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 defaultThemeVersion="124226"/>
  <bookViews>
    <workbookView xWindow="-105" yWindow="-105" windowWidth="23250" windowHeight="12450" tabRatio="922" firstSheet="4" activeTab="11"/>
  </bookViews>
  <sheets>
    <sheet name="Chấm công KT" sheetId="8" state="hidden" r:id="rId1"/>
    <sheet name="BTH mủ tạp" sheetId="128" state="hidden" r:id="rId2"/>
    <sheet name="BTH mủ Sỉum" sheetId="169" state="hidden" r:id="rId3"/>
    <sheet name="TONGHOPCONGDOI" sheetId="9" state="hidden" r:id="rId4"/>
    <sheet name="Trạm 1" sheetId="99" r:id="rId5"/>
    <sheet name="Trạm 2" sheetId="101" r:id="rId6"/>
    <sheet name="CNKT " sheetId="151" r:id="rId7"/>
    <sheet name="lương gián tiếp" sheetId="136" r:id="rId8"/>
    <sheet name="LƯƠNG CN TRỰC TIẾP " sheetId="132" state="hidden" r:id="rId9"/>
    <sheet name="LƯƠNG CN TRỰC TIẾP  (2)" sheetId="180" r:id="rId10"/>
    <sheet name="Tỉ lệ hoàn thành " sheetId="153" state="hidden" r:id="rId11"/>
    <sheet name="Phân toán  " sheetId="154" r:id="rId12"/>
    <sheet name="TT CVK" sheetId="158" state="hidden" r:id="rId13"/>
    <sheet name="PLcon (2)" sheetId="170" state="hidden" r:id="rId14"/>
    <sheet name="DSN Thuê" sheetId="167" state="hidden" r:id="rId15"/>
    <sheet name="tiền TB " sheetId="159" state="hidden" r:id="rId16"/>
    <sheet name="Hổ trợ vi gô " sheetId="160" state="hidden" r:id="rId17"/>
    <sheet name="Thanh toán XX" sheetId="137" r:id="rId18"/>
    <sheet name="PC xăng xe T4" sheetId="138" state="hidden" r:id="rId19"/>
    <sheet name="PLcon NT" sheetId="59" state="hidden" r:id="rId20"/>
    <sheet name="Phân Toán CVK" sheetId="79" state="hidden" r:id="rId21"/>
    <sheet name="Bảng ĐP - BV  " sheetId="162" state="hidden" r:id="rId22"/>
    <sheet name="Bảng CC - NV" sheetId="177" state="hidden" r:id="rId23"/>
    <sheet name="Mã số nhân viên" sheetId="179" state="hidden" r:id="rId24"/>
  </sheets>
  <externalReferences>
    <externalReference r:id="rId25"/>
  </externalReferences>
  <definedNames>
    <definedName name="_xlnm._FilterDatabase" localSheetId="2" hidden="1">'BTH mủ Sỉum'!#REF!</definedName>
    <definedName name="_xlnm._FilterDatabase" localSheetId="1" hidden="1">'BTH mủ tạp'!$B$2:$AM$223</definedName>
    <definedName name="_xlnm._FilterDatabase" localSheetId="6" hidden="1">'CNKT '!$A$15:$AL$221</definedName>
    <definedName name="_xlnm._FilterDatabase" localSheetId="0" hidden="1">'Chấm công KT'!$B$1:$AU$167</definedName>
    <definedName name="_xlnm._FilterDatabase" localSheetId="3" hidden="1">TONGHOPCONGDOI!$A$10:$AT$167</definedName>
    <definedName name="_xlnm.Print_Area" localSheetId="2">'BTH mủ Sỉum'!#REF!</definedName>
    <definedName name="_xlnm.Print_Area" localSheetId="1">'BTH mủ tạp'!$A$2:$AN$236</definedName>
    <definedName name="_xlnm.Print_Area" localSheetId="6">'CNKT '!$B$3:$AC$184</definedName>
    <definedName name="_xlnm.Print_Area" localSheetId="3">TONGHOPCONGDOI!$A$1:$AE$178</definedName>
    <definedName name="_xlnm.Print_Titles" localSheetId="21">'Bảng ĐP - BV  '!#REF!</definedName>
    <definedName name="_xlnm.Print_Titles" localSheetId="2">'BTH mủ Sỉum'!#REF!</definedName>
    <definedName name="_xlnm.Print_Titles" localSheetId="1">'BTH mủ tạp'!$13:$14</definedName>
    <definedName name="_xlnm.Print_Titles" localSheetId="6">'CNKT '!$12:$14</definedName>
    <definedName name="_xlnm.Print_Titles" localSheetId="0">'Chấm công KT'!$10:$11</definedName>
    <definedName name="_xlnm.Print_Titles" localSheetId="8">'LƯƠNG CN TRỰC TIẾP '!$11:$12</definedName>
    <definedName name="_xlnm.Print_Titles" localSheetId="9">'LƯƠNG CN TRỰC TIẾP  (2)'!$11:$12</definedName>
    <definedName name="_xlnm.Print_Titles" localSheetId="18">'PC xăng xe T4'!$11:$12</definedName>
    <definedName name="_xlnm.Print_Titles" localSheetId="11">'Phân toán  '!$12:$12</definedName>
    <definedName name="_xlnm.Print_Titles" localSheetId="20">'Phân Toán CVK'!$12:$12</definedName>
    <definedName name="_xlnm.Print_Titles" localSheetId="15">'tiền TB '!$10:$10</definedName>
    <definedName name="_xlnm.Print_Titles" localSheetId="3">TONGHOPCONGDOI!$6:$8</definedName>
    <definedName name="_xlnm.Print_Titles" localSheetId="17">'Thanh toán XX'!$12:$13</definedName>
    <definedName name="_xlnm.Print_Titles" localSheetId="4">'Trạm 1'!$13:$15</definedName>
    <definedName name="_xlnm.Print_Titles" localSheetId="5">'Trạm 2'!$14:$16</definedName>
  </definedNames>
  <calcPr calcId="144525"/>
</workbook>
</file>

<file path=xl/calcChain.xml><?xml version="1.0" encoding="utf-8"?>
<calcChain xmlns="http://schemas.openxmlformats.org/spreadsheetml/2006/main">
  <c r="W18" i="99" l="1"/>
  <c r="W19" i="99"/>
  <c r="W20" i="99"/>
  <c r="W21" i="99"/>
  <c r="W22" i="99"/>
  <c r="W23" i="99"/>
  <c r="W24" i="99"/>
  <c r="W25" i="99"/>
  <c r="W26" i="99"/>
  <c r="W27" i="99"/>
  <c r="W28" i="99"/>
  <c r="W29" i="99"/>
  <c r="W30" i="99"/>
  <c r="W31" i="99"/>
  <c r="W32" i="99"/>
  <c r="W33" i="99"/>
  <c r="W34" i="99"/>
  <c r="W35" i="99"/>
  <c r="W36" i="99"/>
  <c r="W37" i="99"/>
  <c r="W38" i="99"/>
  <c r="W39" i="99"/>
  <c r="W40" i="99"/>
  <c r="W41" i="99"/>
  <c r="W42" i="99"/>
  <c r="W43" i="99"/>
  <c r="W44" i="99"/>
  <c r="W45" i="99"/>
  <c r="W46" i="99"/>
  <c r="W47" i="99"/>
  <c r="W48" i="99"/>
  <c r="W49" i="99"/>
  <c r="W50" i="99"/>
  <c r="W51" i="99"/>
  <c r="W52" i="99"/>
  <c r="W53" i="99"/>
  <c r="W54" i="99"/>
  <c r="W55" i="99"/>
  <c r="W56" i="99"/>
  <c r="W57" i="99"/>
  <c r="W58" i="99"/>
  <c r="W59" i="99"/>
  <c r="W60" i="99"/>
  <c r="W61" i="99"/>
  <c r="W62" i="99"/>
  <c r="W63" i="99"/>
  <c r="W64" i="99"/>
  <c r="W65" i="99"/>
  <c r="W66" i="99"/>
  <c r="W67" i="99"/>
  <c r="W68" i="99"/>
  <c r="W69" i="99"/>
  <c r="W70" i="99"/>
  <c r="W71" i="99"/>
  <c r="W72" i="99"/>
  <c r="W73" i="99"/>
  <c r="W74" i="99"/>
  <c r="W75" i="99"/>
  <c r="W76" i="99"/>
  <c r="W77" i="99"/>
  <c r="W78" i="99"/>
  <c r="W79" i="99"/>
  <c r="W80" i="99"/>
  <c r="W81" i="99"/>
  <c r="W82" i="99"/>
  <c r="W83" i="99"/>
  <c r="W84" i="99"/>
  <c r="W85" i="99"/>
  <c r="W86" i="99"/>
  <c r="W87" i="99"/>
  <c r="W88" i="99"/>
  <c r="W89" i="99"/>
  <c r="W90" i="99"/>
  <c r="W91" i="99"/>
  <c r="W92" i="99"/>
  <c r="W17" i="99"/>
  <c r="W16" i="99"/>
  <c r="W18" i="101"/>
  <c r="W19" i="101"/>
  <c r="W20" i="101"/>
  <c r="W21" i="101"/>
  <c r="W22" i="101"/>
  <c r="W23" i="101"/>
  <c r="W24" i="101"/>
  <c r="W25" i="101"/>
  <c r="W26" i="101"/>
  <c r="W27" i="101"/>
  <c r="W28" i="101"/>
  <c r="W29" i="101"/>
  <c r="W30" i="101"/>
  <c r="W31" i="101"/>
  <c r="W32" i="101"/>
  <c r="W33" i="101"/>
  <c r="W34" i="101"/>
  <c r="W35" i="101"/>
  <c r="W36" i="101"/>
  <c r="W37" i="101"/>
  <c r="W38" i="101"/>
  <c r="W39" i="101"/>
  <c r="W40" i="101"/>
  <c r="W41" i="101"/>
  <c r="W42" i="101"/>
  <c r="W43" i="101"/>
  <c r="W44" i="101"/>
  <c r="W45" i="101"/>
  <c r="W46" i="101"/>
  <c r="W47" i="101"/>
  <c r="W48" i="101"/>
  <c r="W49" i="101"/>
  <c r="W50" i="101"/>
  <c r="W51" i="101"/>
  <c r="W52" i="101"/>
  <c r="W53" i="101"/>
  <c r="W54" i="101"/>
  <c r="W55" i="101"/>
  <c r="W56" i="101"/>
  <c r="W57" i="101"/>
  <c r="W58" i="101"/>
  <c r="W59" i="101"/>
  <c r="W60" i="101"/>
  <c r="W61" i="101"/>
  <c r="W62" i="101"/>
  <c r="W63" i="101"/>
  <c r="W64" i="101"/>
  <c r="W65" i="101"/>
  <c r="W66" i="101"/>
  <c r="W67" i="101"/>
  <c r="W68" i="101"/>
  <c r="W69" i="101"/>
  <c r="W70" i="101"/>
  <c r="W71" i="101"/>
  <c r="W72" i="101"/>
  <c r="W73" i="101"/>
  <c r="W74" i="101"/>
  <c r="W75" i="101"/>
  <c r="W76" i="101"/>
  <c r="W77" i="101"/>
  <c r="W78" i="101"/>
  <c r="W17" i="101"/>
  <c r="K15" i="180"/>
  <c r="K16" i="180"/>
  <c r="K17" i="180"/>
  <c r="J18" i="180"/>
  <c r="J17" i="180"/>
  <c r="J16" i="180"/>
  <c r="J15" i="180"/>
  <c r="G18" i="180"/>
  <c r="I17" i="180"/>
  <c r="F17" i="180"/>
  <c r="I15" i="180"/>
  <c r="I16" i="180"/>
  <c r="F16" i="180"/>
  <c r="F15" i="180"/>
  <c r="H15" i="180"/>
  <c r="G14" i="180"/>
  <c r="G13" i="180"/>
  <c r="L15" i="180"/>
  <c r="L14" i="180"/>
  <c r="E14" i="180"/>
  <c r="L13" i="180"/>
  <c r="E13" i="180"/>
  <c r="K166" i="132"/>
  <c r="G33" i="154"/>
  <c r="J172" i="132"/>
  <c r="J171" i="132"/>
  <c r="I172" i="132"/>
  <c r="I171" i="132"/>
  <c r="F172" i="132"/>
  <c r="F171" i="132"/>
  <c r="D172" i="132"/>
  <c r="D171" i="132"/>
  <c r="E21" i="136"/>
  <c r="F21" i="136"/>
  <c r="G21" i="136"/>
  <c r="H21" i="136"/>
  <c r="I21" i="136"/>
  <c r="J21" i="136"/>
  <c r="D21" i="136"/>
  <c r="E18" i="136"/>
  <c r="F18" i="136"/>
  <c r="H18" i="136" s="1"/>
  <c r="F17" i="136"/>
  <c r="H17" i="136" s="1"/>
  <c r="H16" i="136" s="1"/>
  <c r="E17" i="136"/>
  <c r="E16" i="136" s="1"/>
  <c r="D18" i="136"/>
  <c r="D17" i="136"/>
  <c r="D16" i="136" s="1"/>
  <c r="B18" i="136"/>
  <c r="B17" i="136"/>
  <c r="F168" i="132"/>
  <c r="F169" i="132"/>
  <c r="F167" i="132"/>
  <c r="F166" i="132" s="1"/>
  <c r="F176" i="132" s="1"/>
  <c r="E99" i="132"/>
  <c r="E13" i="132"/>
  <c r="L18" i="180" l="1"/>
  <c r="I18" i="136"/>
  <c r="J18" i="136" s="1"/>
  <c r="F16" i="136"/>
  <c r="I17" i="136"/>
  <c r="M14" i="180" l="1"/>
  <c r="M13" i="180"/>
  <c r="J17" i="136"/>
  <c r="J16" i="136" s="1"/>
  <c r="I16" i="136"/>
  <c r="AI20" i="177" l="1"/>
  <c r="AI18" i="162"/>
  <c r="W101" i="99"/>
  <c r="H13" i="180" s="1"/>
  <c r="Y101" i="99"/>
  <c r="E101" i="99"/>
  <c r="F16" i="158"/>
  <c r="AC162" i="9"/>
  <c r="AC83" i="9"/>
  <c r="X98" i="151"/>
  <c r="J13" i="132"/>
  <c r="L13" i="132"/>
  <c r="G20" i="154"/>
  <c r="F22" i="154"/>
  <c r="F25" i="154"/>
  <c r="F24" i="154"/>
  <c r="F16" i="154"/>
  <c r="M15" i="180" l="1"/>
  <c r="M18" i="180" s="1"/>
  <c r="E79" i="9"/>
  <c r="T15" i="151"/>
  <c r="V15" i="151"/>
  <c r="W15" i="151"/>
  <c r="Z15" i="151"/>
  <c r="J101" i="151"/>
  <c r="V101" i="151"/>
  <c r="W101" i="151"/>
  <c r="Z101" i="151"/>
  <c r="AB101" i="151"/>
  <c r="M195" i="151"/>
  <c r="X99" i="151"/>
  <c r="X100" i="151"/>
  <c r="M196" i="151"/>
  <c r="M193" i="151"/>
  <c r="L197" i="151"/>
  <c r="M197" i="151" s="1"/>
  <c r="M194" i="151"/>
  <c r="J99" i="132"/>
  <c r="L99" i="132"/>
  <c r="D165" i="132"/>
  <c r="D167" i="151"/>
  <c r="G167" i="151" s="1"/>
  <c r="U167" i="151"/>
  <c r="X167" i="151" s="1"/>
  <c r="D100" i="151"/>
  <c r="I83" i="101"/>
  <c r="S83" i="101"/>
  <c r="U83" i="101"/>
  <c r="V83" i="101"/>
  <c r="Y83" i="101"/>
  <c r="I101" i="99"/>
  <c r="S101" i="99"/>
  <c r="U101" i="99"/>
  <c r="V101" i="99"/>
  <c r="T82" i="101"/>
  <c r="U82" i="101"/>
  <c r="V82" i="101"/>
  <c r="C82" i="101"/>
  <c r="F82" i="101" s="1"/>
  <c r="C100" i="99"/>
  <c r="F96" i="9"/>
  <c r="G96" i="9"/>
  <c r="H96" i="9"/>
  <c r="I96" i="9"/>
  <c r="J96" i="9"/>
  <c r="K96" i="9"/>
  <c r="L96" i="9"/>
  <c r="M96" i="9"/>
  <c r="N96" i="9"/>
  <c r="O96" i="9"/>
  <c r="P96" i="9"/>
  <c r="Q96" i="9"/>
  <c r="S96" i="9"/>
  <c r="T96" i="9"/>
  <c r="Y96" i="9"/>
  <c r="Z96" i="9"/>
  <c r="AA96" i="9"/>
  <c r="AB96" i="9"/>
  <c r="AC96" i="9"/>
  <c r="E96" i="9"/>
  <c r="G10" i="9"/>
  <c r="H10" i="9"/>
  <c r="I10" i="9"/>
  <c r="J10" i="9"/>
  <c r="K10" i="9"/>
  <c r="L10" i="9"/>
  <c r="M10" i="9"/>
  <c r="N10" i="9"/>
  <c r="O10" i="9"/>
  <c r="P10" i="9"/>
  <c r="S10" i="9"/>
  <c r="X10" i="9"/>
  <c r="AB10" i="9"/>
  <c r="F10" i="9"/>
  <c r="Q162" i="9"/>
  <c r="Q95" i="9"/>
  <c r="AC95" i="9" s="1"/>
  <c r="H95" i="9"/>
  <c r="H162" i="9"/>
  <c r="D18" i="162"/>
  <c r="U164" i="151"/>
  <c r="X164" i="151" s="1"/>
  <c r="U165" i="151"/>
  <c r="X165" i="151" s="1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D155" i="128"/>
  <c r="D156" i="128"/>
  <c r="D157" i="128"/>
  <c r="D158" i="128"/>
  <c r="D159" i="128"/>
  <c r="D160" i="128"/>
  <c r="C98" i="9"/>
  <c r="T79" i="101"/>
  <c r="T81" i="101"/>
  <c r="I79" i="101"/>
  <c r="I97" i="99"/>
  <c r="J97" i="151" s="1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S12" i="8"/>
  <c r="AK96" i="8"/>
  <c r="AL96" i="8"/>
  <c r="AM96" i="8"/>
  <c r="AN96" i="8"/>
  <c r="AO96" i="8"/>
  <c r="AP96" i="8"/>
  <c r="AK97" i="8"/>
  <c r="AL97" i="8"/>
  <c r="AM97" i="8"/>
  <c r="AN97" i="8"/>
  <c r="AO97" i="8"/>
  <c r="AP97" i="8"/>
  <c r="AK98" i="8"/>
  <c r="AL98" i="8"/>
  <c r="AM98" i="8"/>
  <c r="AN98" i="8"/>
  <c r="AO98" i="8"/>
  <c r="AP98" i="8"/>
  <c r="AK99" i="8"/>
  <c r="AL99" i="8"/>
  <c r="AM99" i="8"/>
  <c r="AN99" i="8"/>
  <c r="AQ99" i="8" s="1"/>
  <c r="AO99" i="8"/>
  <c r="AP99" i="8"/>
  <c r="AK100" i="8"/>
  <c r="AL100" i="8"/>
  <c r="AM100" i="8"/>
  <c r="AN100" i="8"/>
  <c r="AO100" i="8"/>
  <c r="AP100" i="8"/>
  <c r="AK101" i="8"/>
  <c r="AL101" i="8"/>
  <c r="AM101" i="8"/>
  <c r="AN101" i="8"/>
  <c r="AO101" i="8"/>
  <c r="AP101" i="8"/>
  <c r="AK102" i="8"/>
  <c r="AL102" i="8"/>
  <c r="AM102" i="8"/>
  <c r="AN102" i="8"/>
  <c r="AO102" i="8"/>
  <c r="AP102" i="8"/>
  <c r="AK103" i="8"/>
  <c r="AL103" i="8"/>
  <c r="AM103" i="8"/>
  <c r="AN103" i="8"/>
  <c r="AO103" i="8"/>
  <c r="AP103" i="8"/>
  <c r="AK104" i="8"/>
  <c r="AL104" i="8"/>
  <c r="AM104" i="8"/>
  <c r="AN104" i="8"/>
  <c r="AO104" i="8"/>
  <c r="AP104" i="8"/>
  <c r="AK105" i="8"/>
  <c r="AL105" i="8"/>
  <c r="AM105" i="8"/>
  <c r="AN105" i="8"/>
  <c r="AO105" i="8"/>
  <c r="AP105" i="8"/>
  <c r="AK106" i="8"/>
  <c r="AL106" i="8"/>
  <c r="AM106" i="8"/>
  <c r="AN106" i="8"/>
  <c r="AO106" i="8"/>
  <c r="AP106" i="8"/>
  <c r="AK107" i="8"/>
  <c r="AL107" i="8"/>
  <c r="AM107" i="8"/>
  <c r="AN107" i="8"/>
  <c r="AO107" i="8"/>
  <c r="AP107" i="8"/>
  <c r="AK108" i="8"/>
  <c r="AL108" i="8"/>
  <c r="AM108" i="8"/>
  <c r="AN108" i="8"/>
  <c r="AO108" i="8"/>
  <c r="AP108" i="8"/>
  <c r="AK109" i="8"/>
  <c r="AL109" i="8"/>
  <c r="AM109" i="8"/>
  <c r="AN109" i="8"/>
  <c r="AO109" i="8"/>
  <c r="AP109" i="8"/>
  <c r="AK110" i="8"/>
  <c r="AL110" i="8"/>
  <c r="AM110" i="8"/>
  <c r="AN110" i="8"/>
  <c r="AO110" i="8"/>
  <c r="AP110" i="8"/>
  <c r="AK111" i="8"/>
  <c r="AL111" i="8"/>
  <c r="AM111" i="8"/>
  <c r="AN111" i="8"/>
  <c r="AO111" i="8"/>
  <c r="AP111" i="8"/>
  <c r="AK112" i="8"/>
  <c r="AL112" i="8"/>
  <c r="AM112" i="8"/>
  <c r="AN112" i="8"/>
  <c r="AO112" i="8"/>
  <c r="AP112" i="8"/>
  <c r="AK113" i="8"/>
  <c r="AL113" i="8"/>
  <c r="AM113" i="8"/>
  <c r="AN113" i="8"/>
  <c r="AO113" i="8"/>
  <c r="AP113" i="8"/>
  <c r="AK114" i="8"/>
  <c r="AQ114" i="8" s="1"/>
  <c r="AL114" i="8"/>
  <c r="AM114" i="8"/>
  <c r="AN114" i="8"/>
  <c r="AO114" i="8"/>
  <c r="AP114" i="8"/>
  <c r="AK115" i="8"/>
  <c r="AL115" i="8"/>
  <c r="AM115" i="8"/>
  <c r="AN115" i="8"/>
  <c r="AO115" i="8"/>
  <c r="AP115" i="8"/>
  <c r="AK116" i="8"/>
  <c r="AL116" i="8"/>
  <c r="AM116" i="8"/>
  <c r="AN116" i="8"/>
  <c r="AO116" i="8"/>
  <c r="AP116" i="8"/>
  <c r="AK117" i="8"/>
  <c r="AL117" i="8"/>
  <c r="AM117" i="8"/>
  <c r="AN117" i="8"/>
  <c r="AO117" i="8"/>
  <c r="AP117" i="8"/>
  <c r="AK118" i="8"/>
  <c r="AL118" i="8"/>
  <c r="AM118" i="8"/>
  <c r="AN118" i="8"/>
  <c r="AO118" i="8"/>
  <c r="AP118" i="8"/>
  <c r="AK119" i="8"/>
  <c r="AL119" i="8"/>
  <c r="AM119" i="8"/>
  <c r="AN119" i="8"/>
  <c r="AO119" i="8"/>
  <c r="AP119" i="8"/>
  <c r="AK120" i="8"/>
  <c r="AL120" i="8"/>
  <c r="AM120" i="8"/>
  <c r="AN120" i="8"/>
  <c r="AO120" i="8"/>
  <c r="AP120" i="8"/>
  <c r="AK121" i="8"/>
  <c r="AL121" i="8"/>
  <c r="AM121" i="8"/>
  <c r="AN121" i="8"/>
  <c r="AO121" i="8"/>
  <c r="AP121" i="8"/>
  <c r="AK122" i="8"/>
  <c r="AL122" i="8"/>
  <c r="AM122" i="8"/>
  <c r="AN122" i="8"/>
  <c r="AO122" i="8"/>
  <c r="AP122" i="8"/>
  <c r="AK123" i="8"/>
  <c r="AL123" i="8"/>
  <c r="AM123" i="8"/>
  <c r="AN123" i="8"/>
  <c r="AO123" i="8"/>
  <c r="AP123" i="8"/>
  <c r="AK124" i="8"/>
  <c r="AL124" i="8"/>
  <c r="AM124" i="8"/>
  <c r="AN124" i="8"/>
  <c r="AO124" i="8"/>
  <c r="AP124" i="8"/>
  <c r="AK125" i="8"/>
  <c r="AL125" i="8"/>
  <c r="AM125" i="8"/>
  <c r="AN125" i="8"/>
  <c r="AO125" i="8"/>
  <c r="AP125" i="8"/>
  <c r="AK126" i="8"/>
  <c r="AL126" i="8"/>
  <c r="AM126" i="8"/>
  <c r="AN126" i="8"/>
  <c r="AQ126" i="8" s="1"/>
  <c r="AO126" i="8"/>
  <c r="AP126" i="8"/>
  <c r="AK127" i="8"/>
  <c r="AL127" i="8"/>
  <c r="AM127" i="8"/>
  <c r="AN127" i="8"/>
  <c r="AO127" i="8"/>
  <c r="AP127" i="8"/>
  <c r="AK128" i="8"/>
  <c r="AL128" i="8"/>
  <c r="AM128" i="8"/>
  <c r="AN128" i="8"/>
  <c r="AO128" i="8"/>
  <c r="AP128" i="8"/>
  <c r="AK129" i="8"/>
  <c r="AL129" i="8"/>
  <c r="AM129" i="8"/>
  <c r="AN129" i="8"/>
  <c r="AO129" i="8"/>
  <c r="AP129" i="8"/>
  <c r="AK130" i="8"/>
  <c r="AL130" i="8"/>
  <c r="AM130" i="8"/>
  <c r="AN130" i="8"/>
  <c r="AO130" i="8"/>
  <c r="AP130" i="8"/>
  <c r="AK131" i="8"/>
  <c r="AL131" i="8"/>
  <c r="AM131" i="8"/>
  <c r="AN131" i="8"/>
  <c r="AO131" i="8"/>
  <c r="AP131" i="8"/>
  <c r="AK132" i="8"/>
  <c r="AL132" i="8"/>
  <c r="AM132" i="8"/>
  <c r="AN132" i="8"/>
  <c r="AO132" i="8"/>
  <c r="AP132" i="8"/>
  <c r="AK133" i="8"/>
  <c r="AL133" i="8"/>
  <c r="AM133" i="8"/>
  <c r="AN133" i="8"/>
  <c r="AO133" i="8"/>
  <c r="AP133" i="8"/>
  <c r="AK134" i="8"/>
  <c r="AL134" i="8"/>
  <c r="AM134" i="8"/>
  <c r="AN134" i="8"/>
  <c r="AO134" i="8"/>
  <c r="AP134" i="8"/>
  <c r="AK135" i="8"/>
  <c r="AL135" i="8"/>
  <c r="AM135" i="8"/>
  <c r="AN135" i="8"/>
  <c r="AO135" i="8"/>
  <c r="AP135" i="8"/>
  <c r="AK136" i="8"/>
  <c r="AL136" i="8"/>
  <c r="AM136" i="8"/>
  <c r="AN136" i="8"/>
  <c r="AO136" i="8"/>
  <c r="AP136" i="8"/>
  <c r="AK137" i="8"/>
  <c r="AL137" i="8"/>
  <c r="AM137" i="8"/>
  <c r="AN137" i="8"/>
  <c r="AO137" i="8"/>
  <c r="AP137" i="8"/>
  <c r="AK138" i="8"/>
  <c r="AL138" i="8"/>
  <c r="AM138" i="8"/>
  <c r="AN138" i="8"/>
  <c r="AO138" i="8"/>
  <c r="AP138" i="8"/>
  <c r="AK139" i="8"/>
  <c r="AL139" i="8"/>
  <c r="AM139" i="8"/>
  <c r="AN139" i="8"/>
  <c r="AO139" i="8"/>
  <c r="AP139" i="8"/>
  <c r="AK140" i="8"/>
  <c r="AL140" i="8"/>
  <c r="AM140" i="8"/>
  <c r="AN140" i="8"/>
  <c r="AO140" i="8"/>
  <c r="AP140" i="8"/>
  <c r="AK141" i="8"/>
  <c r="AL141" i="8"/>
  <c r="AM141" i="8"/>
  <c r="AN141" i="8"/>
  <c r="AO141" i="8"/>
  <c r="AP141" i="8"/>
  <c r="AK142" i="8"/>
  <c r="AL142" i="8"/>
  <c r="AM142" i="8"/>
  <c r="AN142" i="8"/>
  <c r="AO142" i="8"/>
  <c r="AP142" i="8"/>
  <c r="AK143" i="8"/>
  <c r="AL143" i="8"/>
  <c r="AM143" i="8"/>
  <c r="AN143" i="8"/>
  <c r="AO143" i="8"/>
  <c r="AP143" i="8"/>
  <c r="AK144" i="8"/>
  <c r="AL144" i="8"/>
  <c r="AM144" i="8"/>
  <c r="AN144" i="8"/>
  <c r="AO144" i="8"/>
  <c r="AP144" i="8"/>
  <c r="AK145" i="8"/>
  <c r="AL145" i="8"/>
  <c r="AM145" i="8"/>
  <c r="AN145" i="8"/>
  <c r="AO145" i="8"/>
  <c r="AP145" i="8"/>
  <c r="AK146" i="8"/>
  <c r="AL146" i="8"/>
  <c r="AM146" i="8"/>
  <c r="AN146" i="8"/>
  <c r="AO146" i="8"/>
  <c r="AP146" i="8"/>
  <c r="AK147" i="8"/>
  <c r="AL147" i="8"/>
  <c r="AM147" i="8"/>
  <c r="AN147" i="8"/>
  <c r="AO147" i="8"/>
  <c r="AP147" i="8"/>
  <c r="AK148" i="8"/>
  <c r="AL148" i="8"/>
  <c r="AM148" i="8"/>
  <c r="AN148" i="8"/>
  <c r="AO148" i="8"/>
  <c r="AP148" i="8"/>
  <c r="AK149" i="8"/>
  <c r="AL149" i="8"/>
  <c r="AM149" i="8"/>
  <c r="AN149" i="8"/>
  <c r="AO149" i="8"/>
  <c r="AP149" i="8"/>
  <c r="AK150" i="8"/>
  <c r="AL150" i="8"/>
  <c r="AM150" i="8"/>
  <c r="AN150" i="8"/>
  <c r="AO150" i="8"/>
  <c r="AP150" i="8"/>
  <c r="AK151" i="8"/>
  <c r="AL151" i="8"/>
  <c r="AM151" i="8"/>
  <c r="AN151" i="8"/>
  <c r="AO151" i="8"/>
  <c r="AP151" i="8"/>
  <c r="AK152" i="8"/>
  <c r="AL152" i="8"/>
  <c r="AM152" i="8"/>
  <c r="AN152" i="8"/>
  <c r="AO152" i="8"/>
  <c r="AP152" i="8"/>
  <c r="AK153" i="8"/>
  <c r="AL153" i="8"/>
  <c r="AM153" i="8"/>
  <c r="AN153" i="8"/>
  <c r="AO153" i="8"/>
  <c r="AP153" i="8"/>
  <c r="AK154" i="8"/>
  <c r="AL154" i="8"/>
  <c r="AM154" i="8"/>
  <c r="AN154" i="8"/>
  <c r="AQ154" i="8" s="1"/>
  <c r="AO154" i="8"/>
  <c r="AP154" i="8"/>
  <c r="AK155" i="8"/>
  <c r="AL155" i="8"/>
  <c r="AM155" i="8"/>
  <c r="AN155" i="8"/>
  <c r="AO155" i="8"/>
  <c r="AP155" i="8"/>
  <c r="AK156" i="8"/>
  <c r="AL156" i="8"/>
  <c r="AM156" i="8"/>
  <c r="AN156" i="8"/>
  <c r="AO156" i="8"/>
  <c r="AP156" i="8"/>
  <c r="AN95" i="8"/>
  <c r="AM95" i="8"/>
  <c r="AL95" i="8"/>
  <c r="AK95" i="8"/>
  <c r="AK14" i="8"/>
  <c r="AL14" i="8"/>
  <c r="AM14" i="8"/>
  <c r="AN14" i="8"/>
  <c r="AO14" i="8"/>
  <c r="AP14" i="8"/>
  <c r="AK15" i="8"/>
  <c r="AL15" i="8"/>
  <c r="AM15" i="8"/>
  <c r="AN15" i="8"/>
  <c r="AO15" i="8"/>
  <c r="AP15" i="8"/>
  <c r="AK16" i="8"/>
  <c r="AL16" i="8"/>
  <c r="AM16" i="8"/>
  <c r="AN16" i="8"/>
  <c r="AO16" i="8"/>
  <c r="AP16" i="8"/>
  <c r="AK17" i="8"/>
  <c r="AL17" i="8"/>
  <c r="AM17" i="8"/>
  <c r="AN17" i="8"/>
  <c r="AO17" i="8"/>
  <c r="AP17" i="8"/>
  <c r="AK18" i="8"/>
  <c r="AL18" i="8"/>
  <c r="AM18" i="8"/>
  <c r="AN18" i="8"/>
  <c r="AO18" i="8"/>
  <c r="AP18" i="8"/>
  <c r="AK19" i="8"/>
  <c r="AL19" i="8"/>
  <c r="AM19" i="8"/>
  <c r="AN19" i="8"/>
  <c r="AO19" i="8"/>
  <c r="AP19" i="8"/>
  <c r="AK20" i="8"/>
  <c r="AL20" i="8"/>
  <c r="AM20" i="8"/>
  <c r="AN20" i="8"/>
  <c r="AO20" i="8"/>
  <c r="AP20" i="8"/>
  <c r="AK21" i="8"/>
  <c r="AL21" i="8"/>
  <c r="AM21" i="8"/>
  <c r="AN21" i="8"/>
  <c r="AO21" i="8"/>
  <c r="AP21" i="8"/>
  <c r="AK22" i="8"/>
  <c r="AL22" i="8"/>
  <c r="AM22" i="8"/>
  <c r="AN22" i="8"/>
  <c r="AO22" i="8"/>
  <c r="AP22" i="8"/>
  <c r="AK23" i="8"/>
  <c r="AL23" i="8"/>
  <c r="AM23" i="8"/>
  <c r="AN23" i="8"/>
  <c r="AO23" i="8"/>
  <c r="AP23" i="8"/>
  <c r="AK24" i="8"/>
  <c r="AL24" i="8"/>
  <c r="AM24" i="8"/>
  <c r="AN24" i="8"/>
  <c r="AO24" i="8"/>
  <c r="AP24" i="8"/>
  <c r="AK25" i="8"/>
  <c r="AL25" i="8"/>
  <c r="AM25" i="8"/>
  <c r="AN25" i="8"/>
  <c r="AO25" i="8"/>
  <c r="AP25" i="8"/>
  <c r="AK26" i="8"/>
  <c r="AL26" i="8"/>
  <c r="AM26" i="8"/>
  <c r="AN26" i="8"/>
  <c r="AO26" i="8"/>
  <c r="AP26" i="8"/>
  <c r="AK27" i="8"/>
  <c r="AL27" i="8"/>
  <c r="AM27" i="8"/>
  <c r="AN27" i="8"/>
  <c r="AO27" i="8"/>
  <c r="AP27" i="8"/>
  <c r="AK28" i="8"/>
  <c r="AL28" i="8"/>
  <c r="AM28" i="8"/>
  <c r="AN28" i="8"/>
  <c r="AO28" i="8"/>
  <c r="AP28" i="8"/>
  <c r="AK29" i="8"/>
  <c r="AL29" i="8"/>
  <c r="AM29" i="8"/>
  <c r="AN29" i="8"/>
  <c r="AO29" i="8"/>
  <c r="AP29" i="8"/>
  <c r="AK30" i="8"/>
  <c r="AL30" i="8"/>
  <c r="AM30" i="8"/>
  <c r="AN30" i="8"/>
  <c r="AO30" i="8"/>
  <c r="AP30" i="8"/>
  <c r="AK31" i="8"/>
  <c r="AL31" i="8"/>
  <c r="AM31" i="8"/>
  <c r="AN31" i="8"/>
  <c r="AO31" i="8"/>
  <c r="AP31" i="8"/>
  <c r="AK32" i="8"/>
  <c r="AL32" i="8"/>
  <c r="AM32" i="8"/>
  <c r="AN32" i="8"/>
  <c r="AO32" i="8"/>
  <c r="AP32" i="8"/>
  <c r="AK33" i="8"/>
  <c r="AL33" i="8"/>
  <c r="AM33" i="8"/>
  <c r="AN33" i="8"/>
  <c r="AO33" i="8"/>
  <c r="AP33" i="8"/>
  <c r="AK34" i="8"/>
  <c r="AL34" i="8"/>
  <c r="AM34" i="8"/>
  <c r="AN34" i="8"/>
  <c r="AO34" i="8"/>
  <c r="AP34" i="8"/>
  <c r="AK35" i="8"/>
  <c r="AL35" i="8"/>
  <c r="AM35" i="8"/>
  <c r="AN35" i="8"/>
  <c r="AO35" i="8"/>
  <c r="AP35" i="8"/>
  <c r="AK36" i="8"/>
  <c r="AL36" i="8"/>
  <c r="AM36" i="8"/>
  <c r="AN36" i="8"/>
  <c r="AO36" i="8"/>
  <c r="AP36" i="8"/>
  <c r="AK37" i="8"/>
  <c r="AL37" i="8"/>
  <c r="AM37" i="8"/>
  <c r="AN37" i="8"/>
  <c r="AO37" i="8"/>
  <c r="AP37" i="8"/>
  <c r="AK38" i="8"/>
  <c r="AL38" i="8"/>
  <c r="AM38" i="8"/>
  <c r="AN38" i="8"/>
  <c r="AO38" i="8"/>
  <c r="AP38" i="8"/>
  <c r="AK39" i="8"/>
  <c r="AL39" i="8"/>
  <c r="AM39" i="8"/>
  <c r="AN39" i="8"/>
  <c r="AO39" i="8"/>
  <c r="AP39" i="8"/>
  <c r="AK40" i="8"/>
  <c r="AL40" i="8"/>
  <c r="AM40" i="8"/>
  <c r="AN40" i="8"/>
  <c r="AO40" i="8"/>
  <c r="AP40" i="8"/>
  <c r="AK41" i="8"/>
  <c r="AL41" i="8"/>
  <c r="AM41" i="8"/>
  <c r="AN41" i="8"/>
  <c r="AO41" i="8"/>
  <c r="AP41" i="8"/>
  <c r="AK42" i="8"/>
  <c r="AL42" i="8"/>
  <c r="AM42" i="8"/>
  <c r="AN42" i="8"/>
  <c r="AO42" i="8"/>
  <c r="AP42" i="8"/>
  <c r="AK43" i="8"/>
  <c r="AL43" i="8"/>
  <c r="AM43" i="8"/>
  <c r="AN43" i="8"/>
  <c r="AO43" i="8"/>
  <c r="AP43" i="8"/>
  <c r="AK44" i="8"/>
  <c r="AL44" i="8"/>
  <c r="AM44" i="8"/>
  <c r="AN44" i="8"/>
  <c r="AO44" i="8"/>
  <c r="AP44" i="8"/>
  <c r="AK45" i="8"/>
  <c r="AL45" i="8"/>
  <c r="AM45" i="8"/>
  <c r="AN45" i="8"/>
  <c r="AO45" i="8"/>
  <c r="AP45" i="8"/>
  <c r="AK46" i="8"/>
  <c r="AL46" i="8"/>
  <c r="AM46" i="8"/>
  <c r="AN46" i="8"/>
  <c r="AO46" i="8"/>
  <c r="AP46" i="8"/>
  <c r="AK47" i="8"/>
  <c r="AL47" i="8"/>
  <c r="AM47" i="8"/>
  <c r="AN47" i="8"/>
  <c r="AO47" i="8"/>
  <c r="AP47" i="8"/>
  <c r="AK48" i="8"/>
  <c r="AL48" i="8"/>
  <c r="AM48" i="8"/>
  <c r="AN48" i="8"/>
  <c r="AO48" i="8"/>
  <c r="AP48" i="8"/>
  <c r="AK49" i="8"/>
  <c r="AL49" i="8"/>
  <c r="AM49" i="8"/>
  <c r="AN49" i="8"/>
  <c r="AO49" i="8"/>
  <c r="AP49" i="8"/>
  <c r="AK50" i="8"/>
  <c r="AL50" i="8"/>
  <c r="AM50" i="8"/>
  <c r="AN50" i="8"/>
  <c r="AO50" i="8"/>
  <c r="AP50" i="8"/>
  <c r="AK51" i="8"/>
  <c r="AL51" i="8"/>
  <c r="AM51" i="8"/>
  <c r="AN51" i="8"/>
  <c r="AO51" i="8"/>
  <c r="AP51" i="8"/>
  <c r="AK52" i="8"/>
  <c r="AL52" i="8"/>
  <c r="AM52" i="8"/>
  <c r="AN52" i="8"/>
  <c r="AO52" i="8"/>
  <c r="AP52" i="8"/>
  <c r="AK53" i="8"/>
  <c r="AL53" i="8"/>
  <c r="AM53" i="8"/>
  <c r="AN53" i="8"/>
  <c r="AO53" i="8"/>
  <c r="AP53" i="8"/>
  <c r="AK54" i="8"/>
  <c r="AL54" i="8"/>
  <c r="AM54" i="8"/>
  <c r="AN54" i="8"/>
  <c r="AO54" i="8"/>
  <c r="AP54" i="8"/>
  <c r="AK55" i="8"/>
  <c r="AL55" i="8"/>
  <c r="AM55" i="8"/>
  <c r="AN55" i="8"/>
  <c r="AO55" i="8"/>
  <c r="AP55" i="8"/>
  <c r="AK56" i="8"/>
  <c r="AL56" i="8"/>
  <c r="AM56" i="8"/>
  <c r="AN56" i="8"/>
  <c r="AO56" i="8"/>
  <c r="AP56" i="8"/>
  <c r="AK57" i="8"/>
  <c r="AL57" i="8"/>
  <c r="AM57" i="8"/>
  <c r="AN57" i="8"/>
  <c r="AQ57" i="8" s="1"/>
  <c r="AO57" i="8"/>
  <c r="AP57" i="8"/>
  <c r="AK58" i="8"/>
  <c r="AL58" i="8"/>
  <c r="AM58" i="8"/>
  <c r="AN58" i="8"/>
  <c r="AO58" i="8"/>
  <c r="AP58" i="8"/>
  <c r="AK59" i="8"/>
  <c r="AL59" i="8"/>
  <c r="AM59" i="8"/>
  <c r="AN59" i="8"/>
  <c r="AO59" i="8"/>
  <c r="AP59" i="8"/>
  <c r="AK60" i="8"/>
  <c r="AL60" i="8"/>
  <c r="AM60" i="8"/>
  <c r="AN60" i="8"/>
  <c r="AO60" i="8"/>
  <c r="AP60" i="8"/>
  <c r="AK61" i="8"/>
  <c r="AL61" i="8"/>
  <c r="AM61" i="8"/>
  <c r="AN61" i="8"/>
  <c r="AO61" i="8"/>
  <c r="AP61" i="8"/>
  <c r="AK62" i="8"/>
  <c r="AL62" i="8"/>
  <c r="AM62" i="8"/>
  <c r="AN62" i="8"/>
  <c r="AO62" i="8"/>
  <c r="AP62" i="8"/>
  <c r="AK63" i="8"/>
  <c r="AL63" i="8"/>
  <c r="AM63" i="8"/>
  <c r="AN63" i="8"/>
  <c r="AO63" i="8"/>
  <c r="AP63" i="8"/>
  <c r="AK64" i="8"/>
  <c r="AL64" i="8"/>
  <c r="AM64" i="8"/>
  <c r="AN64" i="8"/>
  <c r="AO64" i="8"/>
  <c r="AP64" i="8"/>
  <c r="AK65" i="8"/>
  <c r="AL65" i="8"/>
  <c r="AM65" i="8"/>
  <c r="AN65" i="8"/>
  <c r="AO65" i="8"/>
  <c r="AP65" i="8"/>
  <c r="AK66" i="8"/>
  <c r="AL66" i="8"/>
  <c r="AM66" i="8"/>
  <c r="AN66" i="8"/>
  <c r="AO66" i="8"/>
  <c r="AP66" i="8"/>
  <c r="AK67" i="8"/>
  <c r="AL67" i="8"/>
  <c r="AM67" i="8"/>
  <c r="AN67" i="8"/>
  <c r="AO67" i="8"/>
  <c r="AP67" i="8"/>
  <c r="AK68" i="8"/>
  <c r="AL68" i="8"/>
  <c r="AM68" i="8"/>
  <c r="AN68" i="8"/>
  <c r="AO68" i="8"/>
  <c r="AP68" i="8"/>
  <c r="AK69" i="8"/>
  <c r="AL69" i="8"/>
  <c r="AM69" i="8"/>
  <c r="AN69" i="8"/>
  <c r="AO69" i="8"/>
  <c r="AP69" i="8"/>
  <c r="AK70" i="8"/>
  <c r="AL70" i="8"/>
  <c r="AM70" i="8"/>
  <c r="AN70" i="8"/>
  <c r="AO70" i="8"/>
  <c r="AP70" i="8"/>
  <c r="AK71" i="8"/>
  <c r="AL71" i="8"/>
  <c r="AM71" i="8"/>
  <c r="AN71" i="8"/>
  <c r="AO71" i="8"/>
  <c r="AP71" i="8"/>
  <c r="AK72" i="8"/>
  <c r="AL72" i="8"/>
  <c r="AM72" i="8"/>
  <c r="AN72" i="8"/>
  <c r="AO72" i="8"/>
  <c r="AP72" i="8"/>
  <c r="AK73" i="8"/>
  <c r="AL73" i="8"/>
  <c r="AM73" i="8"/>
  <c r="AN73" i="8"/>
  <c r="AO73" i="8"/>
  <c r="AP73" i="8"/>
  <c r="AK74" i="8"/>
  <c r="AL74" i="8"/>
  <c r="AM74" i="8"/>
  <c r="AN74" i="8"/>
  <c r="AO74" i="8"/>
  <c r="AP74" i="8"/>
  <c r="AK75" i="8"/>
  <c r="AL75" i="8"/>
  <c r="AM75" i="8"/>
  <c r="AN75" i="8"/>
  <c r="AO75" i="8"/>
  <c r="AP75" i="8"/>
  <c r="AK76" i="8"/>
  <c r="AL76" i="8"/>
  <c r="AM76" i="8"/>
  <c r="AN76" i="8"/>
  <c r="AO76" i="8"/>
  <c r="AP76" i="8"/>
  <c r="AK77" i="8"/>
  <c r="AL77" i="8"/>
  <c r="AM77" i="8"/>
  <c r="AN77" i="8"/>
  <c r="AO77" i="8"/>
  <c r="AP77" i="8"/>
  <c r="AK78" i="8"/>
  <c r="AL78" i="8"/>
  <c r="AM78" i="8"/>
  <c r="AN78" i="8"/>
  <c r="AO78" i="8"/>
  <c r="AP78" i="8"/>
  <c r="AK79" i="8"/>
  <c r="AL79" i="8"/>
  <c r="AM79" i="8"/>
  <c r="AN79" i="8"/>
  <c r="AO79" i="8"/>
  <c r="AP79" i="8"/>
  <c r="AK80" i="8"/>
  <c r="AL80" i="8"/>
  <c r="AM80" i="8"/>
  <c r="AN80" i="8"/>
  <c r="AO80" i="8"/>
  <c r="AP80" i="8"/>
  <c r="AK81" i="8"/>
  <c r="AL81" i="8"/>
  <c r="AM81" i="8"/>
  <c r="AN81" i="8"/>
  <c r="AO81" i="8"/>
  <c r="AP81" i="8"/>
  <c r="AK82" i="8"/>
  <c r="AL82" i="8"/>
  <c r="AM82" i="8"/>
  <c r="AN82" i="8"/>
  <c r="AO82" i="8"/>
  <c r="AP82" i="8"/>
  <c r="AK83" i="8"/>
  <c r="AL83" i="8"/>
  <c r="AM83" i="8"/>
  <c r="AN83" i="8"/>
  <c r="AO83" i="8"/>
  <c r="AP83" i="8"/>
  <c r="AK84" i="8"/>
  <c r="AL84" i="8"/>
  <c r="AM84" i="8"/>
  <c r="AN84" i="8"/>
  <c r="AO84" i="8"/>
  <c r="AP84" i="8"/>
  <c r="AK85" i="8"/>
  <c r="AL85" i="8"/>
  <c r="AM85" i="8"/>
  <c r="AN85" i="8"/>
  <c r="AO85" i="8"/>
  <c r="AP85" i="8"/>
  <c r="AK86" i="8"/>
  <c r="AL86" i="8"/>
  <c r="AM86" i="8"/>
  <c r="AN86" i="8"/>
  <c r="AO86" i="8"/>
  <c r="AP86" i="8"/>
  <c r="AK87" i="8"/>
  <c r="AL87" i="8"/>
  <c r="AM87" i="8"/>
  <c r="AN87" i="8"/>
  <c r="AO87" i="8"/>
  <c r="AP87" i="8"/>
  <c r="AK88" i="8"/>
  <c r="AL88" i="8"/>
  <c r="AM88" i="8"/>
  <c r="AN88" i="8"/>
  <c r="AO88" i="8"/>
  <c r="AP88" i="8"/>
  <c r="AK89" i="8"/>
  <c r="AL89" i="8"/>
  <c r="AM89" i="8"/>
  <c r="AN89" i="8"/>
  <c r="AO89" i="8"/>
  <c r="AP89" i="8"/>
  <c r="AK90" i="8"/>
  <c r="AL90" i="8"/>
  <c r="AM90" i="8"/>
  <c r="AN90" i="8"/>
  <c r="AO90" i="8"/>
  <c r="AP90" i="8"/>
  <c r="AK91" i="8"/>
  <c r="AL91" i="8"/>
  <c r="AM91" i="8"/>
  <c r="AN91" i="8"/>
  <c r="AO91" i="8"/>
  <c r="AP91" i="8"/>
  <c r="AK92" i="8"/>
  <c r="AL92" i="8"/>
  <c r="AM92" i="8"/>
  <c r="AN92" i="8"/>
  <c r="AO92" i="8"/>
  <c r="AP92" i="8"/>
  <c r="AN13" i="8"/>
  <c r="AM13" i="8"/>
  <c r="AL13" i="8"/>
  <c r="AK13" i="8"/>
  <c r="AK12" i="8" s="1"/>
  <c r="G100" i="151" l="1"/>
  <c r="Y100" i="151" s="1"/>
  <c r="AA100" i="151" s="1"/>
  <c r="Z100" i="99" s="1"/>
  <c r="AQ65" i="8"/>
  <c r="AQ18" i="8"/>
  <c r="AQ110" i="8"/>
  <c r="AQ69" i="8"/>
  <c r="AQ61" i="8"/>
  <c r="AQ130" i="8"/>
  <c r="AQ106" i="8"/>
  <c r="AQ100" i="8"/>
  <c r="AQ85" i="8"/>
  <c r="AQ45" i="8"/>
  <c r="AQ38" i="8"/>
  <c r="AQ34" i="8"/>
  <c r="AQ29" i="8"/>
  <c r="AQ146" i="8"/>
  <c r="AQ143" i="8"/>
  <c r="AQ134" i="8"/>
  <c r="AQ122" i="8"/>
  <c r="AQ119" i="8"/>
  <c r="AQ118" i="8"/>
  <c r="Y167" i="151"/>
  <c r="AA167" i="151" s="1"/>
  <c r="D98" i="132"/>
  <c r="AQ113" i="8"/>
  <c r="AQ109" i="8"/>
  <c r="AQ64" i="8"/>
  <c r="AQ129" i="8"/>
  <c r="AQ83" i="8"/>
  <c r="AQ82" i="8"/>
  <c r="AQ79" i="8"/>
  <c r="AQ78" i="8"/>
  <c r="AQ75" i="8"/>
  <c r="AQ74" i="8"/>
  <c r="AQ71" i="8"/>
  <c r="AQ70" i="8"/>
  <c r="AQ56" i="8"/>
  <c r="AQ53" i="8"/>
  <c r="AQ52" i="8"/>
  <c r="AQ49" i="8"/>
  <c r="AQ48" i="8"/>
  <c r="AQ27" i="8"/>
  <c r="AQ26" i="8"/>
  <c r="AQ23" i="8"/>
  <c r="AQ22" i="8"/>
  <c r="AQ19" i="8"/>
  <c r="AQ15" i="8"/>
  <c r="AM12" i="8"/>
  <c r="AQ153" i="8"/>
  <c r="AQ150" i="8"/>
  <c r="AQ149" i="8"/>
  <c r="AQ132" i="8"/>
  <c r="AQ131" i="8"/>
  <c r="AQ125" i="8"/>
  <c r="AQ116" i="8"/>
  <c r="AQ115" i="8"/>
  <c r="AQ105" i="8"/>
  <c r="AQ101" i="8"/>
  <c r="AQ96" i="8"/>
  <c r="AQ87" i="8"/>
  <c r="AQ43" i="8"/>
  <c r="AQ35" i="8"/>
  <c r="AQ144" i="8"/>
  <c r="AQ136" i="8"/>
  <c r="AQ89" i="8"/>
  <c r="AQ88" i="8"/>
  <c r="AQ67" i="8"/>
  <c r="AQ66" i="8"/>
  <c r="AQ63" i="8"/>
  <c r="AQ62" i="8"/>
  <c r="AQ59" i="8"/>
  <c r="AQ58" i="8"/>
  <c r="AQ50" i="8"/>
  <c r="AQ44" i="8"/>
  <c r="AQ41" i="8"/>
  <c r="AQ40" i="8"/>
  <c r="AQ37" i="8"/>
  <c r="AQ36" i="8"/>
  <c r="AQ33" i="8"/>
  <c r="AQ32" i="8"/>
  <c r="AQ156" i="8"/>
  <c r="AQ155" i="8"/>
  <c r="AQ145" i="8"/>
  <c r="AQ142" i="8"/>
  <c r="AQ141" i="8"/>
  <c r="AQ138" i="8"/>
  <c r="AQ137" i="8"/>
  <c r="AQ128" i="8"/>
  <c r="AQ127" i="8"/>
  <c r="AQ121" i="8"/>
  <c r="AQ112" i="8"/>
  <c r="AQ111" i="8"/>
  <c r="AQ108" i="8"/>
  <c r="AQ107" i="8"/>
  <c r="AQ102" i="8"/>
  <c r="AQ97" i="8"/>
  <c r="AQ68" i="8"/>
  <c r="AQ60" i="8"/>
  <c r="AQ39" i="8"/>
  <c r="AQ31" i="8"/>
  <c r="AQ140" i="8"/>
  <c r="AQ120" i="8"/>
  <c r="AQ86" i="8"/>
  <c r="AQ84" i="8"/>
  <c r="AQ81" i="8"/>
  <c r="AQ80" i="8"/>
  <c r="AQ77" i="8"/>
  <c r="AQ76" i="8"/>
  <c r="AQ73" i="8"/>
  <c r="AQ72" i="8"/>
  <c r="AQ55" i="8"/>
  <c r="AQ54" i="8"/>
  <c r="AQ51" i="8"/>
  <c r="AQ47" i="8"/>
  <c r="AQ46" i="8"/>
  <c r="AQ42" i="8"/>
  <c r="AQ30" i="8"/>
  <c r="AQ28" i="8"/>
  <c r="AQ25" i="8"/>
  <c r="AQ24" i="8"/>
  <c r="AQ21" i="8"/>
  <c r="AQ20" i="8"/>
  <c r="AQ17" i="8"/>
  <c r="AQ16" i="8"/>
  <c r="AQ152" i="8"/>
  <c r="AQ151" i="8"/>
  <c r="AQ148" i="8"/>
  <c r="AQ147" i="8"/>
  <c r="AQ139" i="8"/>
  <c r="AQ135" i="8"/>
  <c r="AQ133" i="8"/>
  <c r="AQ124" i="8"/>
  <c r="AQ123" i="8"/>
  <c r="AQ117" i="8"/>
  <c r="AQ104" i="8"/>
  <c r="AQ103" i="8"/>
  <c r="AQ98" i="8"/>
  <c r="AQ92" i="8"/>
  <c r="AQ90" i="8"/>
  <c r="AQ91" i="8"/>
  <c r="AL12" i="8"/>
  <c r="AQ14" i="8"/>
  <c r="AN12" i="8"/>
  <c r="AK159" i="128" l="1"/>
  <c r="AM159" i="128" s="1"/>
  <c r="L166" i="132" l="1"/>
  <c r="E12" i="136"/>
  <c r="B15" i="136"/>
  <c r="B14" i="136"/>
  <c r="D168" i="132" s="1"/>
  <c r="B13" i="136"/>
  <c r="D167" i="132" s="1"/>
  <c r="H94" i="9"/>
  <c r="I11" i="9"/>
  <c r="E20" i="177"/>
  <c r="F20" i="177"/>
  <c r="G20" i="177"/>
  <c r="H20" i="177"/>
  <c r="I20" i="177"/>
  <c r="K20" i="177"/>
  <c r="L20" i="177"/>
  <c r="M20" i="177"/>
  <c r="N20" i="177"/>
  <c r="O20" i="177"/>
  <c r="P20" i="177"/>
  <c r="R20" i="177"/>
  <c r="S20" i="177"/>
  <c r="T20" i="177"/>
  <c r="U20" i="177"/>
  <c r="V20" i="177"/>
  <c r="W20" i="177"/>
  <c r="Y20" i="177"/>
  <c r="Z20" i="177"/>
  <c r="AA20" i="177"/>
  <c r="AB20" i="177"/>
  <c r="AC20" i="177"/>
  <c r="AD20" i="177"/>
  <c r="AF20" i="177"/>
  <c r="AG20" i="177"/>
  <c r="K1284" i="170"/>
  <c r="E1284" i="170"/>
  <c r="K1267" i="170"/>
  <c r="E1267" i="170"/>
  <c r="K1250" i="170"/>
  <c r="E1250" i="170"/>
  <c r="K1233" i="170"/>
  <c r="E1233" i="170"/>
  <c r="K1216" i="170"/>
  <c r="E1216" i="170"/>
  <c r="K1199" i="170"/>
  <c r="E1199" i="170"/>
  <c r="K1182" i="170"/>
  <c r="E1182" i="170"/>
  <c r="K1165" i="170"/>
  <c r="E1165" i="170"/>
  <c r="K1148" i="170"/>
  <c r="E1148" i="170"/>
  <c r="K1131" i="170"/>
  <c r="E1131" i="170"/>
  <c r="K1114" i="170"/>
  <c r="E1114" i="170"/>
  <c r="K1097" i="170"/>
  <c r="E1097" i="170"/>
  <c r="K1080" i="170"/>
  <c r="E1080" i="170"/>
  <c r="K1063" i="170"/>
  <c r="E1063" i="170"/>
  <c r="K1046" i="170"/>
  <c r="E1046" i="170"/>
  <c r="K1029" i="170"/>
  <c r="E1029" i="170"/>
  <c r="K1012" i="170"/>
  <c r="E1012" i="170"/>
  <c r="K995" i="170"/>
  <c r="E995" i="170"/>
  <c r="K978" i="170"/>
  <c r="E978" i="170"/>
  <c r="K961" i="170"/>
  <c r="E961" i="170"/>
  <c r="K944" i="170"/>
  <c r="E944" i="170"/>
  <c r="K927" i="170"/>
  <c r="E927" i="170"/>
  <c r="K910" i="170"/>
  <c r="E910" i="170"/>
  <c r="K893" i="170"/>
  <c r="E893" i="170"/>
  <c r="K876" i="170"/>
  <c r="E876" i="170"/>
  <c r="K859" i="170"/>
  <c r="E859" i="170"/>
  <c r="K842" i="170"/>
  <c r="E842" i="170"/>
  <c r="K825" i="170"/>
  <c r="E825" i="170"/>
  <c r="K808" i="170"/>
  <c r="E808" i="170"/>
  <c r="K791" i="170"/>
  <c r="E791" i="170"/>
  <c r="K774" i="170"/>
  <c r="E774" i="170"/>
  <c r="K757" i="170"/>
  <c r="K735" i="170"/>
  <c r="E735" i="170"/>
  <c r="K703" i="170"/>
  <c r="E703" i="170"/>
  <c r="K686" i="170"/>
  <c r="E686" i="170"/>
  <c r="K669" i="170"/>
  <c r="E669" i="170"/>
  <c r="K652" i="170"/>
  <c r="E652" i="170"/>
  <c r="K634" i="170"/>
  <c r="E634" i="170"/>
  <c r="K617" i="170"/>
  <c r="E617" i="170"/>
  <c r="K600" i="170"/>
  <c r="E600" i="170"/>
  <c r="K583" i="170"/>
  <c r="E583" i="170"/>
  <c r="K566" i="170"/>
  <c r="E566" i="170"/>
  <c r="K549" i="170"/>
  <c r="E549" i="170"/>
  <c r="K533" i="170"/>
  <c r="E533" i="170"/>
  <c r="K516" i="170"/>
  <c r="E516" i="170"/>
  <c r="K499" i="170"/>
  <c r="E499" i="170"/>
  <c r="K481" i="170"/>
  <c r="E481" i="170"/>
  <c r="K463" i="170"/>
  <c r="E463" i="170"/>
  <c r="K447" i="170"/>
  <c r="E447" i="170"/>
  <c r="K430" i="170"/>
  <c r="E430" i="170"/>
  <c r="K413" i="170"/>
  <c r="E413" i="170"/>
  <c r="K395" i="170"/>
  <c r="E395" i="170"/>
  <c r="K378" i="170"/>
  <c r="E378" i="170"/>
  <c r="K361" i="170"/>
  <c r="E361" i="170"/>
  <c r="K343" i="170"/>
  <c r="E343" i="170"/>
  <c r="K325" i="170"/>
  <c r="E325" i="170"/>
  <c r="K308" i="170"/>
  <c r="E308" i="170"/>
  <c r="K291" i="170"/>
  <c r="E291" i="170"/>
  <c r="K274" i="170"/>
  <c r="E274" i="170"/>
  <c r="K257" i="170"/>
  <c r="E257" i="170"/>
  <c r="K240" i="170"/>
  <c r="E240" i="170"/>
  <c r="K222" i="170"/>
  <c r="E222" i="170"/>
  <c r="K205" i="170"/>
  <c r="E205" i="170"/>
  <c r="K188" i="170"/>
  <c r="E188" i="170"/>
  <c r="K171" i="170"/>
  <c r="E171" i="170"/>
  <c r="K154" i="170"/>
  <c r="E154" i="170"/>
  <c r="K137" i="170"/>
  <c r="E137" i="170"/>
  <c r="K120" i="170"/>
  <c r="E120" i="170"/>
  <c r="K103" i="170"/>
  <c r="E103" i="170"/>
  <c r="K86" i="170"/>
  <c r="E86" i="170"/>
  <c r="K69" i="170"/>
  <c r="E69" i="170"/>
  <c r="K52" i="170"/>
  <c r="E52" i="170"/>
  <c r="K35" i="170"/>
  <c r="E35" i="170"/>
  <c r="K18" i="170"/>
  <c r="AB15" i="151"/>
  <c r="D12" i="167" l="1"/>
  <c r="D169" i="132"/>
  <c r="J12" i="153"/>
  <c r="F14" i="158" l="1"/>
  <c r="G14" i="153" l="1"/>
  <c r="G15" i="153" s="1"/>
  <c r="AK17" i="128" l="1"/>
  <c r="AK18" i="128"/>
  <c r="AK19" i="128"/>
  <c r="AK20" i="128"/>
  <c r="AK21" i="128"/>
  <c r="AK22" i="128"/>
  <c r="AK23" i="128"/>
  <c r="AK24" i="128"/>
  <c r="AK25" i="128"/>
  <c r="AK26" i="128"/>
  <c r="AK27" i="128"/>
  <c r="AK28" i="128"/>
  <c r="AK29" i="128"/>
  <c r="AK30" i="128"/>
  <c r="AK31" i="128"/>
  <c r="AK32" i="128"/>
  <c r="AK33" i="128"/>
  <c r="AK34" i="128"/>
  <c r="AK35" i="128"/>
  <c r="AK36" i="128"/>
  <c r="AK37" i="128"/>
  <c r="AK38" i="128"/>
  <c r="AK39" i="128"/>
  <c r="AK40" i="128"/>
  <c r="AK41" i="128"/>
  <c r="AK42" i="128"/>
  <c r="AK43" i="128"/>
  <c r="AK44" i="128"/>
  <c r="AK45" i="128"/>
  <c r="AK46" i="128"/>
  <c r="AK47" i="128"/>
  <c r="AK48" i="128"/>
  <c r="AK49" i="128"/>
  <c r="AK50" i="128"/>
  <c r="AK51" i="128"/>
  <c r="AK52" i="128"/>
  <c r="AK53" i="128"/>
  <c r="AK54" i="128"/>
  <c r="AK55" i="128"/>
  <c r="AK56" i="128"/>
  <c r="AK57" i="128"/>
  <c r="AK58" i="128"/>
  <c r="AK59" i="128"/>
  <c r="AK60" i="128"/>
  <c r="AK61" i="128"/>
  <c r="AK62" i="128"/>
  <c r="AK63" i="128"/>
  <c r="AK64" i="128"/>
  <c r="AK65" i="128"/>
  <c r="AK66" i="128"/>
  <c r="AK67" i="128"/>
  <c r="AK68" i="128"/>
  <c r="AK69" i="128"/>
  <c r="AK70" i="128"/>
  <c r="AK71" i="128"/>
  <c r="AK72" i="128"/>
  <c r="AK73" i="128"/>
  <c r="AK74" i="128"/>
  <c r="AK75" i="128"/>
  <c r="AK76" i="128"/>
  <c r="AK77" i="128"/>
  <c r="AK78" i="128"/>
  <c r="AK79" i="128"/>
  <c r="AK80" i="128"/>
  <c r="AK81" i="128"/>
  <c r="AK82" i="128"/>
  <c r="AK83" i="128"/>
  <c r="AK84" i="128"/>
  <c r="AK85" i="128"/>
  <c r="AK86" i="128"/>
  <c r="AK87" i="128"/>
  <c r="AK88" i="128"/>
  <c r="AK89" i="128"/>
  <c r="AK90" i="128"/>
  <c r="AM90" i="128" s="1"/>
  <c r="AK91" i="128"/>
  <c r="AK92" i="128"/>
  <c r="AK93" i="128"/>
  <c r="AK94" i="128"/>
  <c r="L1310" i="170" l="1"/>
  <c r="D20" i="177" l="1"/>
  <c r="E18" i="162"/>
  <c r="F18" i="162"/>
  <c r="G18" i="162"/>
  <c r="H18" i="162"/>
  <c r="I18" i="162"/>
  <c r="J18" i="162"/>
  <c r="K18" i="162"/>
  <c r="L18" i="162"/>
  <c r="M18" i="162"/>
  <c r="N18" i="162"/>
  <c r="O18" i="162"/>
  <c r="P18" i="162"/>
  <c r="Q18" i="162"/>
  <c r="R18" i="162"/>
  <c r="S18" i="162"/>
  <c r="T18" i="162"/>
  <c r="U18" i="162"/>
  <c r="V18" i="162"/>
  <c r="W18" i="162"/>
  <c r="X18" i="162"/>
  <c r="Y18" i="162"/>
  <c r="Z18" i="162"/>
  <c r="AA18" i="162"/>
  <c r="AB18" i="162"/>
  <c r="AC18" i="162"/>
  <c r="AD18" i="162"/>
  <c r="AE18" i="162"/>
  <c r="AF18" i="162"/>
  <c r="AG18" i="162"/>
  <c r="AH18" i="162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4" i="8"/>
  <c r="G98" i="128"/>
  <c r="H98" i="128"/>
  <c r="I98" i="128"/>
  <c r="J98" i="128"/>
  <c r="K98" i="128"/>
  <c r="L98" i="128"/>
  <c r="M98" i="128"/>
  <c r="N98" i="128"/>
  <c r="O98" i="128"/>
  <c r="P98" i="128"/>
  <c r="Q98" i="128"/>
  <c r="R98" i="128"/>
  <c r="S98" i="128"/>
  <c r="T98" i="128"/>
  <c r="U98" i="128"/>
  <c r="V98" i="128"/>
  <c r="W98" i="128"/>
  <c r="X98" i="128"/>
  <c r="Y98" i="128"/>
  <c r="Z98" i="128"/>
  <c r="AA98" i="128"/>
  <c r="AB98" i="128"/>
  <c r="AC98" i="128"/>
  <c r="AD98" i="128"/>
  <c r="AE98" i="128"/>
  <c r="AF98" i="128"/>
  <c r="AG98" i="128"/>
  <c r="AH98" i="128"/>
  <c r="AI98" i="128"/>
  <c r="AJ98" i="128"/>
  <c r="F98" i="128"/>
  <c r="G16" i="128"/>
  <c r="H16" i="128"/>
  <c r="I16" i="128"/>
  <c r="J16" i="128"/>
  <c r="K16" i="128"/>
  <c r="L16" i="128"/>
  <c r="M16" i="128"/>
  <c r="N16" i="128"/>
  <c r="O16" i="128"/>
  <c r="P16" i="128"/>
  <c r="Q16" i="128"/>
  <c r="R16" i="128"/>
  <c r="S16" i="128"/>
  <c r="T16" i="128"/>
  <c r="U16" i="128"/>
  <c r="V16" i="128"/>
  <c r="W16" i="128"/>
  <c r="X16" i="128"/>
  <c r="Y16" i="128"/>
  <c r="Z16" i="128"/>
  <c r="AA16" i="128"/>
  <c r="AB16" i="128"/>
  <c r="AC16" i="128"/>
  <c r="AD16" i="128"/>
  <c r="AE16" i="128"/>
  <c r="AF16" i="128"/>
  <c r="AG16" i="128"/>
  <c r="AH16" i="128"/>
  <c r="AI16" i="128"/>
  <c r="AJ16" i="128"/>
  <c r="F16" i="128"/>
  <c r="AH161" i="128" l="1"/>
  <c r="AD161" i="128"/>
  <c r="Z161" i="128"/>
  <c r="V161" i="128"/>
  <c r="R161" i="128"/>
  <c r="N161" i="128"/>
  <c r="J161" i="128"/>
  <c r="F161" i="128"/>
  <c r="AG161" i="128"/>
  <c r="AC161" i="128"/>
  <c r="Y161" i="128"/>
  <c r="U161" i="128"/>
  <c r="Q161" i="128"/>
  <c r="M161" i="128"/>
  <c r="I161" i="128"/>
  <c r="AF161" i="128"/>
  <c r="AB161" i="128"/>
  <c r="X161" i="128"/>
  <c r="T161" i="128"/>
  <c r="P161" i="128"/>
  <c r="L161" i="128"/>
  <c r="H161" i="128"/>
  <c r="AI161" i="128"/>
  <c r="AE161" i="128"/>
  <c r="AA161" i="128"/>
  <c r="W161" i="128"/>
  <c r="S161" i="128"/>
  <c r="O161" i="128"/>
  <c r="K161" i="128"/>
  <c r="G161" i="128"/>
  <c r="D98" i="151"/>
  <c r="D96" i="132" s="1"/>
  <c r="D99" i="151"/>
  <c r="C98" i="99"/>
  <c r="C99" i="99"/>
  <c r="B722" i="170" l="1"/>
  <c r="D97" i="132"/>
  <c r="F15" i="158"/>
  <c r="D16" i="158"/>
  <c r="B15" i="153"/>
  <c r="G20" i="153"/>
  <c r="G19" i="153"/>
  <c r="F13" i="158"/>
  <c r="J21" i="153" l="1"/>
  <c r="K12" i="153"/>
  <c r="I13" i="153" l="1"/>
  <c r="L13" i="153" s="1"/>
  <c r="M13" i="153" s="1"/>
  <c r="F187" i="128" l="1"/>
  <c r="F179" i="128"/>
  <c r="F180" i="128"/>
  <c r="F176" i="128"/>
  <c r="F178" i="128"/>
  <c r="F22" i="153"/>
  <c r="F23" i="153"/>
  <c r="F18" i="153"/>
  <c r="C85" i="9"/>
  <c r="Y85" i="9" s="1"/>
  <c r="C86" i="9"/>
  <c r="Y86" i="9" s="1"/>
  <c r="C87" i="9"/>
  <c r="Y87" i="9" s="1"/>
  <c r="C88" i="9"/>
  <c r="Y88" i="9" s="1"/>
  <c r="C89" i="9"/>
  <c r="Y89" i="9" s="1"/>
  <c r="C90" i="9"/>
  <c r="Y90" i="9" s="1"/>
  <c r="C91" i="9"/>
  <c r="C94" i="99" l="1"/>
  <c r="D94" i="151"/>
  <c r="C90" i="99"/>
  <c r="D90" i="151"/>
  <c r="D95" i="151"/>
  <c r="C95" i="99"/>
  <c r="D91" i="151"/>
  <c r="C91" i="99"/>
  <c r="D96" i="151"/>
  <c r="C96" i="99"/>
  <c r="D92" i="151"/>
  <c r="C92" i="99"/>
  <c r="D97" i="151"/>
  <c r="C97" i="99"/>
  <c r="D93" i="151"/>
  <c r="D91" i="132" s="1"/>
  <c r="C93" i="99"/>
  <c r="F194" i="128"/>
  <c r="AA179" i="128"/>
  <c r="T179" i="128"/>
  <c r="T178" i="128"/>
  <c r="D89" i="132" l="1"/>
  <c r="D88" i="132"/>
  <c r="D90" i="132"/>
  <c r="D93" i="132"/>
  <c r="D92" i="132"/>
  <c r="D95" i="132"/>
  <c r="I97" i="151"/>
  <c r="H97" i="151"/>
  <c r="D94" i="132"/>
  <c r="D91" i="128"/>
  <c r="D92" i="128"/>
  <c r="D93" i="128"/>
  <c r="D94" i="128"/>
  <c r="D95" i="128"/>
  <c r="D96" i="128"/>
  <c r="D97" i="128"/>
  <c r="AK97" i="128"/>
  <c r="O180" i="9"/>
  <c r="R180" i="9"/>
  <c r="P180" i="9"/>
  <c r="Q180" i="9"/>
  <c r="Q155" i="9"/>
  <c r="Q156" i="9"/>
  <c r="Q157" i="9"/>
  <c r="Q158" i="9"/>
  <c r="Q159" i="9"/>
  <c r="Q160" i="9"/>
  <c r="Q84" i="9"/>
  <c r="Q85" i="9"/>
  <c r="F90" i="151" s="1"/>
  <c r="G90" i="151" s="1"/>
  <c r="Q86" i="9"/>
  <c r="F91" i="151" s="1"/>
  <c r="G91" i="151" s="1"/>
  <c r="Q87" i="9"/>
  <c r="F92" i="151" s="1"/>
  <c r="G92" i="151" s="1"/>
  <c r="Q88" i="9"/>
  <c r="F93" i="151" s="1"/>
  <c r="G93" i="151" s="1"/>
  <c r="Q89" i="9"/>
  <c r="F94" i="151" s="1"/>
  <c r="G94" i="151" s="1"/>
  <c r="Q90" i="9"/>
  <c r="F95" i="151" s="1"/>
  <c r="G95" i="151" s="1"/>
  <c r="Q91" i="9"/>
  <c r="Q92" i="9"/>
  <c r="F97" i="151" s="1"/>
  <c r="G97" i="151" s="1"/>
  <c r="Q93" i="9"/>
  <c r="Q94" i="9"/>
  <c r="G99" i="151" s="1"/>
  <c r="Y99" i="151" s="1"/>
  <c r="AA99" i="151" s="1"/>
  <c r="Q161" i="9"/>
  <c r="E98" i="9"/>
  <c r="E99" i="9"/>
  <c r="Q99" i="9" s="1"/>
  <c r="E100" i="9"/>
  <c r="Q100" i="9" s="1"/>
  <c r="E101" i="9"/>
  <c r="Q101" i="9" s="1"/>
  <c r="E102" i="9"/>
  <c r="E103" i="9"/>
  <c r="Q103" i="9" s="1"/>
  <c r="E104" i="9"/>
  <c r="Q104" i="9" s="1"/>
  <c r="E105" i="9"/>
  <c r="Q105" i="9" s="1"/>
  <c r="E106" i="9"/>
  <c r="Q106" i="9" s="1"/>
  <c r="E107" i="9"/>
  <c r="Q107" i="9" s="1"/>
  <c r="E108" i="9"/>
  <c r="Q108" i="9" s="1"/>
  <c r="E109" i="9"/>
  <c r="Q109" i="9" s="1"/>
  <c r="E110" i="9"/>
  <c r="Q110" i="9" s="1"/>
  <c r="E111" i="9"/>
  <c r="Q111" i="9" s="1"/>
  <c r="E112" i="9"/>
  <c r="Q112" i="9" s="1"/>
  <c r="E113" i="9"/>
  <c r="Q113" i="9" s="1"/>
  <c r="E114" i="9"/>
  <c r="Q114" i="9" s="1"/>
  <c r="E115" i="9"/>
  <c r="Q115" i="9" s="1"/>
  <c r="E116" i="9"/>
  <c r="Q116" i="9" s="1"/>
  <c r="E117" i="9"/>
  <c r="Q117" i="9" s="1"/>
  <c r="E118" i="9"/>
  <c r="Q118" i="9" s="1"/>
  <c r="E119" i="9"/>
  <c r="Q119" i="9" s="1"/>
  <c r="E120" i="9"/>
  <c r="Q120" i="9" s="1"/>
  <c r="E121" i="9"/>
  <c r="Q121" i="9" s="1"/>
  <c r="E122" i="9"/>
  <c r="Q122" i="9" s="1"/>
  <c r="E123" i="9"/>
  <c r="Q123" i="9" s="1"/>
  <c r="E124" i="9"/>
  <c r="Q124" i="9" s="1"/>
  <c r="E125" i="9"/>
  <c r="Q125" i="9" s="1"/>
  <c r="E126" i="9"/>
  <c r="Q126" i="9" s="1"/>
  <c r="E127" i="9"/>
  <c r="Q127" i="9" s="1"/>
  <c r="E128" i="9"/>
  <c r="Q128" i="9" s="1"/>
  <c r="E129" i="9"/>
  <c r="Q129" i="9" s="1"/>
  <c r="E130" i="9"/>
  <c r="Q130" i="9" s="1"/>
  <c r="E131" i="9"/>
  <c r="Q131" i="9" s="1"/>
  <c r="E132" i="9"/>
  <c r="Q132" i="9" s="1"/>
  <c r="E133" i="9"/>
  <c r="Q133" i="9" s="1"/>
  <c r="E134" i="9"/>
  <c r="Q134" i="9" s="1"/>
  <c r="E135" i="9"/>
  <c r="Q135" i="9" s="1"/>
  <c r="E136" i="9"/>
  <c r="Q136" i="9" s="1"/>
  <c r="E137" i="9"/>
  <c r="Q137" i="9" s="1"/>
  <c r="E138" i="9"/>
  <c r="Q138" i="9" s="1"/>
  <c r="E139" i="9"/>
  <c r="Q139" i="9" s="1"/>
  <c r="E140" i="9"/>
  <c r="Q140" i="9" s="1"/>
  <c r="E141" i="9"/>
  <c r="Q141" i="9" s="1"/>
  <c r="E142" i="9"/>
  <c r="Q142" i="9" s="1"/>
  <c r="E143" i="9"/>
  <c r="Q143" i="9" s="1"/>
  <c r="E144" i="9"/>
  <c r="Q144" i="9" s="1"/>
  <c r="E145" i="9"/>
  <c r="Q145" i="9" s="1"/>
  <c r="E146" i="9"/>
  <c r="Q146" i="9" s="1"/>
  <c r="E147" i="9"/>
  <c r="Q147" i="9" s="1"/>
  <c r="E148" i="9"/>
  <c r="Q148" i="9" s="1"/>
  <c r="E149" i="9"/>
  <c r="Q149" i="9" s="1"/>
  <c r="E150" i="9"/>
  <c r="Q150" i="9" s="1"/>
  <c r="E151" i="9"/>
  <c r="Q151" i="9" s="1"/>
  <c r="E152" i="9"/>
  <c r="Q152" i="9" s="1"/>
  <c r="E153" i="9"/>
  <c r="Q153" i="9" s="1"/>
  <c r="E154" i="9"/>
  <c r="Q154" i="9" s="1"/>
  <c r="E97" i="9"/>
  <c r="E70" i="9"/>
  <c r="Q70" i="9" s="1"/>
  <c r="E71" i="9"/>
  <c r="Q71" i="9" s="1"/>
  <c r="E72" i="9"/>
  <c r="Q72" i="9" s="1"/>
  <c r="E73" i="9"/>
  <c r="Q73" i="9" s="1"/>
  <c r="E74" i="9"/>
  <c r="Q74" i="9" s="1"/>
  <c r="E75" i="9"/>
  <c r="Q75" i="9" s="1"/>
  <c r="E76" i="9"/>
  <c r="Q76" i="9" s="1"/>
  <c r="E77" i="9"/>
  <c r="Q77" i="9" s="1"/>
  <c r="E78" i="9"/>
  <c r="Q78" i="9" s="1"/>
  <c r="Q79" i="9"/>
  <c r="E80" i="9"/>
  <c r="Q80" i="9" s="1"/>
  <c r="E81" i="9"/>
  <c r="Q81" i="9" s="1"/>
  <c r="E82" i="9"/>
  <c r="Q82" i="9" s="1"/>
  <c r="E83" i="9"/>
  <c r="Q83" i="9" s="1"/>
  <c r="E12" i="9"/>
  <c r="Q12" i="9" s="1"/>
  <c r="E13" i="9"/>
  <c r="Q13" i="9" s="1"/>
  <c r="E14" i="9"/>
  <c r="Q14" i="9" s="1"/>
  <c r="E15" i="9"/>
  <c r="Q15" i="9" s="1"/>
  <c r="E16" i="9"/>
  <c r="Q16" i="9" s="1"/>
  <c r="E17" i="9"/>
  <c r="Q17" i="9" s="1"/>
  <c r="E18" i="9"/>
  <c r="Q18" i="9" s="1"/>
  <c r="E19" i="9"/>
  <c r="Q19" i="9" s="1"/>
  <c r="E20" i="9"/>
  <c r="Q20" i="9" s="1"/>
  <c r="E21" i="9"/>
  <c r="Q21" i="9" s="1"/>
  <c r="E22" i="9"/>
  <c r="Q22" i="9" s="1"/>
  <c r="E23" i="9"/>
  <c r="Q23" i="9" s="1"/>
  <c r="E24" i="9"/>
  <c r="Q24" i="9" s="1"/>
  <c r="E25" i="9"/>
  <c r="Q25" i="9" s="1"/>
  <c r="E26" i="9"/>
  <c r="Q26" i="9" s="1"/>
  <c r="E27" i="9"/>
  <c r="Q27" i="9" s="1"/>
  <c r="E28" i="9"/>
  <c r="Q28" i="9" s="1"/>
  <c r="E29" i="9"/>
  <c r="Q29" i="9" s="1"/>
  <c r="E30" i="9"/>
  <c r="Q30" i="9" s="1"/>
  <c r="E31" i="9"/>
  <c r="Q31" i="9" s="1"/>
  <c r="E32" i="9"/>
  <c r="Q32" i="9" s="1"/>
  <c r="E33" i="9"/>
  <c r="Q33" i="9" s="1"/>
  <c r="E34" i="9"/>
  <c r="Q34" i="9" s="1"/>
  <c r="E35" i="9"/>
  <c r="Q35" i="9" s="1"/>
  <c r="E36" i="9"/>
  <c r="Q36" i="9" s="1"/>
  <c r="E37" i="9"/>
  <c r="Q37" i="9" s="1"/>
  <c r="E38" i="9"/>
  <c r="Q38" i="9" s="1"/>
  <c r="E39" i="9"/>
  <c r="Q39" i="9" s="1"/>
  <c r="E40" i="9"/>
  <c r="Q40" i="9" s="1"/>
  <c r="E41" i="9"/>
  <c r="Q41" i="9" s="1"/>
  <c r="E42" i="9"/>
  <c r="Q42" i="9" s="1"/>
  <c r="E43" i="9"/>
  <c r="Q43" i="9" s="1"/>
  <c r="E44" i="9"/>
  <c r="Q44" i="9" s="1"/>
  <c r="E45" i="9"/>
  <c r="Q45" i="9" s="1"/>
  <c r="E46" i="9"/>
  <c r="Q46" i="9" s="1"/>
  <c r="E47" i="9"/>
  <c r="Q47" i="9" s="1"/>
  <c r="E48" i="9"/>
  <c r="Q48" i="9" s="1"/>
  <c r="E49" i="9"/>
  <c r="Q49" i="9" s="1"/>
  <c r="E50" i="9"/>
  <c r="E51" i="9"/>
  <c r="Q51" i="9" s="1"/>
  <c r="E52" i="9"/>
  <c r="Q52" i="9" s="1"/>
  <c r="E53" i="9"/>
  <c r="Q53" i="9" s="1"/>
  <c r="E54" i="9"/>
  <c r="Q54" i="9" s="1"/>
  <c r="E55" i="9"/>
  <c r="Q55" i="9" s="1"/>
  <c r="E56" i="9"/>
  <c r="Q56" i="9" s="1"/>
  <c r="E57" i="9"/>
  <c r="Q57" i="9" s="1"/>
  <c r="E58" i="9"/>
  <c r="Q58" i="9" s="1"/>
  <c r="E59" i="9"/>
  <c r="Q59" i="9" s="1"/>
  <c r="E60" i="9"/>
  <c r="Q60" i="9" s="1"/>
  <c r="E61" i="9"/>
  <c r="Q61" i="9" s="1"/>
  <c r="E62" i="9"/>
  <c r="Q62" i="9" s="1"/>
  <c r="E63" i="9"/>
  <c r="Q63" i="9" s="1"/>
  <c r="E64" i="9"/>
  <c r="Q64" i="9" s="1"/>
  <c r="E65" i="9"/>
  <c r="Q65" i="9" s="1"/>
  <c r="E66" i="9"/>
  <c r="Q66" i="9" s="1"/>
  <c r="E67" i="9"/>
  <c r="Q67" i="9" s="1"/>
  <c r="E68" i="9"/>
  <c r="Q68" i="9" s="1"/>
  <c r="E69" i="9"/>
  <c r="Q69" i="9" s="1"/>
  <c r="E11" i="9"/>
  <c r="F96" i="151" l="1"/>
  <c r="G96" i="151" s="1"/>
  <c r="Q10" i="9"/>
  <c r="Q11" i="9"/>
  <c r="E10" i="9"/>
  <c r="G98" i="151"/>
  <c r="Y98" i="151" s="1"/>
  <c r="AA98" i="151" s="1"/>
  <c r="AM97" i="128"/>
  <c r="R91" i="9"/>
  <c r="Q50" i="9"/>
  <c r="Q102" i="9"/>
  <c r="Q98" i="9"/>
  <c r="Q97" i="9"/>
  <c r="AG20" i="169"/>
  <c r="AI20" i="169"/>
  <c r="C87" i="132" l="1"/>
  <c r="C88" i="132"/>
  <c r="C89" i="132"/>
  <c r="C90" i="132"/>
  <c r="C91" i="132"/>
  <c r="C92" i="132"/>
  <c r="C93" i="132"/>
  <c r="C94" i="132"/>
  <c r="T11" i="9"/>
  <c r="C160" i="151"/>
  <c r="C161" i="151"/>
  <c r="C162" i="151"/>
  <c r="C163" i="151"/>
  <c r="C164" i="151"/>
  <c r="B75" i="101"/>
  <c r="B76" i="101"/>
  <c r="B77" i="101"/>
  <c r="B78" i="101"/>
  <c r="B79" i="101"/>
  <c r="G18" i="153" l="1"/>
  <c r="B20" i="153" l="1"/>
  <c r="B19" i="153"/>
  <c r="B18" i="153"/>
  <c r="B14" i="153"/>
  <c r="AA186" i="128"/>
  <c r="T186" i="128"/>
  <c r="F186" i="128"/>
  <c r="F193" i="128" s="1"/>
  <c r="F185" i="128"/>
  <c r="F184" i="128"/>
  <c r="F183" i="128"/>
  <c r="F190" i="128" s="1"/>
  <c r="F177" i="128"/>
  <c r="F165" i="128"/>
  <c r="F166" i="128"/>
  <c r="F167" i="128"/>
  <c r="F168" i="128"/>
  <c r="M168" i="128"/>
  <c r="R168" i="128"/>
  <c r="F170" i="128"/>
  <c r="F169" i="128" s="1"/>
  <c r="AS153" i="8"/>
  <c r="AT153" i="8" s="1"/>
  <c r="AS154" i="8"/>
  <c r="AT154" i="8" s="1"/>
  <c r="AS155" i="8"/>
  <c r="AT155" i="8" s="1"/>
  <c r="AS156" i="8"/>
  <c r="AT156" i="8" s="1"/>
  <c r="AS96" i="8"/>
  <c r="AS97" i="8"/>
  <c r="AS98" i="8"/>
  <c r="AS99" i="8"/>
  <c r="AS100" i="8"/>
  <c r="AS101" i="8"/>
  <c r="AS102" i="8"/>
  <c r="AS103" i="8"/>
  <c r="AS104" i="8"/>
  <c r="AS105" i="8"/>
  <c r="AS106" i="8"/>
  <c r="AS107" i="8"/>
  <c r="AS108" i="8"/>
  <c r="AS109" i="8"/>
  <c r="AS110" i="8"/>
  <c r="AS111" i="8"/>
  <c r="AS112" i="8"/>
  <c r="AS113" i="8"/>
  <c r="AS114" i="8"/>
  <c r="AS115" i="8"/>
  <c r="AS116" i="8"/>
  <c r="AS117" i="8"/>
  <c r="AS118" i="8"/>
  <c r="AS119" i="8"/>
  <c r="AS120" i="8"/>
  <c r="AS121" i="8"/>
  <c r="AS122" i="8"/>
  <c r="AS123" i="8"/>
  <c r="AS124" i="8"/>
  <c r="AS125" i="8"/>
  <c r="AS126" i="8"/>
  <c r="AS127" i="8"/>
  <c r="AS128" i="8"/>
  <c r="AS129" i="8"/>
  <c r="AS130" i="8"/>
  <c r="AS131" i="8"/>
  <c r="AS132" i="8"/>
  <c r="AS133" i="8"/>
  <c r="AS134" i="8"/>
  <c r="AS135" i="8"/>
  <c r="AS136" i="8"/>
  <c r="AS137" i="8"/>
  <c r="AS138" i="8"/>
  <c r="AS139" i="8"/>
  <c r="AS140" i="8"/>
  <c r="AS141" i="8"/>
  <c r="AS142" i="8"/>
  <c r="AS143" i="8"/>
  <c r="AS144" i="8"/>
  <c r="AS145" i="8"/>
  <c r="AS146" i="8"/>
  <c r="AS147" i="8"/>
  <c r="AS148" i="8"/>
  <c r="AS149" i="8"/>
  <c r="AS150" i="8"/>
  <c r="AS151" i="8"/>
  <c r="AS152" i="8"/>
  <c r="AS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95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74" i="8"/>
  <c r="AS75" i="8"/>
  <c r="AS76" i="8"/>
  <c r="AS77" i="8"/>
  <c r="AS78" i="8"/>
  <c r="AS79" i="8"/>
  <c r="AS80" i="8"/>
  <c r="AS81" i="8"/>
  <c r="AS82" i="8"/>
  <c r="AS83" i="8"/>
  <c r="AS84" i="8"/>
  <c r="AS85" i="8"/>
  <c r="AS12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5" i="8"/>
  <c r="C37" i="8"/>
  <c r="C38" i="8"/>
  <c r="C39" i="8"/>
  <c r="C40" i="8"/>
  <c r="C41" i="8"/>
  <c r="C42" i="8"/>
  <c r="C43" i="8"/>
  <c r="C44" i="8"/>
  <c r="C45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7" i="8"/>
  <c r="C68" i="8"/>
  <c r="C69" i="8"/>
  <c r="C70" i="8"/>
  <c r="C71" i="8"/>
  <c r="C73" i="8"/>
  <c r="C74" i="8"/>
  <c r="C75" i="8"/>
  <c r="C76" i="8"/>
  <c r="C77" i="8"/>
  <c r="C78" i="8"/>
  <c r="C79" i="8"/>
  <c r="C80" i="8"/>
  <c r="C82" i="8"/>
  <c r="C83" i="8"/>
  <c r="C84" i="8"/>
  <c r="C85" i="8"/>
  <c r="F191" i="128" l="1"/>
  <c r="F182" i="128"/>
  <c r="F188" i="128" s="1"/>
  <c r="C87" i="128"/>
  <c r="B81" i="9"/>
  <c r="C86" i="151"/>
  <c r="C84" i="132"/>
  <c r="B86" i="99"/>
  <c r="C75" i="128"/>
  <c r="B69" i="9"/>
  <c r="C74" i="151"/>
  <c r="C72" i="132"/>
  <c r="B74" i="99"/>
  <c r="C63" i="128"/>
  <c r="B57" i="9"/>
  <c r="C62" i="151"/>
  <c r="C60" i="132"/>
  <c r="B62" i="99"/>
  <c r="C55" i="128"/>
  <c r="B49" i="9"/>
  <c r="C54" i="151"/>
  <c r="C52" i="132"/>
  <c r="B54" i="99"/>
  <c r="C51" i="128"/>
  <c r="B45" i="9"/>
  <c r="C50" i="151"/>
  <c r="C48" i="132"/>
  <c r="B50" i="99"/>
  <c r="C47" i="128"/>
  <c r="B41" i="9"/>
  <c r="C46" i="151"/>
  <c r="C44" i="132"/>
  <c r="B46" i="99"/>
  <c r="C43" i="128"/>
  <c r="B37" i="9"/>
  <c r="C42" i="151"/>
  <c r="C40" i="132"/>
  <c r="B42" i="99"/>
  <c r="C39" i="128"/>
  <c r="B33" i="9"/>
  <c r="C38" i="151"/>
  <c r="C36" i="132"/>
  <c r="B38" i="99"/>
  <c r="C35" i="128"/>
  <c r="B29" i="9"/>
  <c r="C34" i="151"/>
  <c r="C32" i="132"/>
  <c r="B34" i="99"/>
  <c r="C31" i="128"/>
  <c r="B25" i="9"/>
  <c r="C30" i="151"/>
  <c r="B30" i="99"/>
  <c r="C28" i="132"/>
  <c r="C27" i="128"/>
  <c r="B21" i="9"/>
  <c r="C26" i="151"/>
  <c r="B26" i="99"/>
  <c r="C24" i="132"/>
  <c r="C23" i="128"/>
  <c r="B17" i="9"/>
  <c r="C22" i="151"/>
  <c r="B22" i="99"/>
  <c r="C20" i="132"/>
  <c r="B97" i="9"/>
  <c r="C102" i="151"/>
  <c r="B17" i="101"/>
  <c r="C100" i="132"/>
  <c r="B147" i="9"/>
  <c r="C150" i="132"/>
  <c r="C152" i="151"/>
  <c r="B67" i="101"/>
  <c r="C145" i="128"/>
  <c r="B143" i="9"/>
  <c r="C146" i="132"/>
  <c r="C148" i="151"/>
  <c r="B63" i="101"/>
  <c r="C141" i="128"/>
  <c r="B139" i="9"/>
  <c r="C142" i="132"/>
  <c r="C144" i="151"/>
  <c r="B59" i="101"/>
  <c r="B135" i="9"/>
  <c r="C138" i="132"/>
  <c r="B55" i="101"/>
  <c r="C140" i="151"/>
  <c r="B131" i="9"/>
  <c r="C134" i="132"/>
  <c r="C136" i="151"/>
  <c r="B51" i="101"/>
  <c r="C129" i="128"/>
  <c r="B127" i="9"/>
  <c r="C130" i="132"/>
  <c r="C132" i="151"/>
  <c r="B47" i="101"/>
  <c r="C125" i="128"/>
  <c r="B123" i="9"/>
  <c r="C126" i="132"/>
  <c r="C128" i="151"/>
  <c r="B43" i="101"/>
  <c r="B119" i="9"/>
  <c r="C122" i="132"/>
  <c r="B39" i="101"/>
  <c r="C124" i="151"/>
  <c r="B115" i="9"/>
  <c r="C118" i="132"/>
  <c r="C120" i="151"/>
  <c r="B35" i="101"/>
  <c r="C113" i="128"/>
  <c r="B111" i="9"/>
  <c r="C114" i="132"/>
  <c r="C116" i="151"/>
  <c r="B31" i="101"/>
  <c r="C109" i="128"/>
  <c r="B107" i="9"/>
  <c r="C110" i="132"/>
  <c r="C112" i="151"/>
  <c r="B27" i="101"/>
  <c r="B103" i="9"/>
  <c r="C106" i="132"/>
  <c r="B23" i="101"/>
  <c r="C108" i="151"/>
  <c r="B99" i="9"/>
  <c r="C102" i="132"/>
  <c r="C104" i="151"/>
  <c r="B19" i="101"/>
  <c r="C19" i="128"/>
  <c r="B13" i="9"/>
  <c r="C18" i="151"/>
  <c r="B18" i="99"/>
  <c r="C16" i="132"/>
  <c r="B151" i="9"/>
  <c r="C154" i="132"/>
  <c r="B71" i="101"/>
  <c r="C156" i="151"/>
  <c r="B11" i="9"/>
  <c r="C14" i="132"/>
  <c r="C16" i="151"/>
  <c r="B16" i="99"/>
  <c r="B80" i="9"/>
  <c r="C85" i="151"/>
  <c r="C83" i="132"/>
  <c r="B85" i="99"/>
  <c r="B76" i="9"/>
  <c r="C81" i="151"/>
  <c r="C79" i="132"/>
  <c r="B81" i="99"/>
  <c r="B72" i="9"/>
  <c r="C77" i="151"/>
  <c r="C75" i="132"/>
  <c r="B77" i="99"/>
  <c r="B68" i="9"/>
  <c r="C73" i="151"/>
  <c r="C71" i="132"/>
  <c r="B73" i="99"/>
  <c r="B64" i="9"/>
  <c r="C69" i="151"/>
  <c r="C67" i="132"/>
  <c r="B69" i="99"/>
  <c r="B60" i="9"/>
  <c r="C65" i="151"/>
  <c r="C63" i="132"/>
  <c r="B65" i="99"/>
  <c r="B56" i="9"/>
  <c r="C61" i="151"/>
  <c r="C59" i="132"/>
  <c r="B61" i="99"/>
  <c r="B52" i="9"/>
  <c r="C57" i="151"/>
  <c r="C55" i="132"/>
  <c r="B57" i="99"/>
  <c r="B48" i="9"/>
  <c r="C53" i="151"/>
  <c r="C51" i="132"/>
  <c r="B53" i="99"/>
  <c r="B44" i="9"/>
  <c r="C49" i="151"/>
  <c r="C47" i="132"/>
  <c r="B49" i="99"/>
  <c r="B40" i="9"/>
  <c r="C45" i="151"/>
  <c r="C43" i="132"/>
  <c r="B45" i="99"/>
  <c r="B36" i="9"/>
  <c r="C41" i="151"/>
  <c r="C39" i="132"/>
  <c r="B41" i="99"/>
  <c r="B32" i="9"/>
  <c r="C37" i="151"/>
  <c r="C35" i="132"/>
  <c r="B37" i="99"/>
  <c r="B28" i="9"/>
  <c r="C33" i="151"/>
  <c r="B33" i="99"/>
  <c r="C31" i="132"/>
  <c r="B24" i="9"/>
  <c r="C29" i="151"/>
  <c r="B29" i="99"/>
  <c r="C27" i="132"/>
  <c r="B20" i="9"/>
  <c r="C25" i="151"/>
  <c r="B25" i="99"/>
  <c r="C23" i="132"/>
  <c r="B16" i="9"/>
  <c r="C21" i="151"/>
  <c r="B21" i="99"/>
  <c r="C19" i="132"/>
  <c r="B12" i="9"/>
  <c r="C17" i="151"/>
  <c r="B17" i="99"/>
  <c r="C15" i="132"/>
  <c r="AT152" i="8"/>
  <c r="B154" i="9"/>
  <c r="C157" i="132"/>
  <c r="C159" i="151"/>
  <c r="B74" i="101"/>
  <c r="AT148" i="8"/>
  <c r="B150" i="9"/>
  <c r="C153" i="132"/>
  <c r="C155" i="151"/>
  <c r="B70" i="101"/>
  <c r="AT144" i="8"/>
  <c r="B146" i="9"/>
  <c r="C149" i="132"/>
  <c r="C151" i="151"/>
  <c r="B66" i="101"/>
  <c r="AT140" i="8"/>
  <c r="B142" i="9"/>
  <c r="C145" i="132"/>
  <c r="C147" i="151"/>
  <c r="B62" i="101"/>
  <c r="AT136" i="8"/>
  <c r="B138" i="9"/>
  <c r="C141" i="132"/>
  <c r="C143" i="151"/>
  <c r="B58" i="101"/>
  <c r="AT132" i="8"/>
  <c r="B134" i="9"/>
  <c r="C137" i="132"/>
  <c r="C139" i="151"/>
  <c r="B54" i="101"/>
  <c r="AT128" i="8"/>
  <c r="B130" i="9"/>
  <c r="C133" i="132"/>
  <c r="C135" i="151"/>
  <c r="B50" i="101"/>
  <c r="AT124" i="8"/>
  <c r="B126" i="9"/>
  <c r="C129" i="132"/>
  <c r="C131" i="151"/>
  <c r="B46" i="101"/>
  <c r="AT120" i="8"/>
  <c r="B122" i="9"/>
  <c r="C125" i="132"/>
  <c r="C127" i="151"/>
  <c r="B42" i="101"/>
  <c r="AT116" i="8"/>
  <c r="B118" i="9"/>
  <c r="C121" i="132"/>
  <c r="C123" i="151"/>
  <c r="B38" i="101"/>
  <c r="AT112" i="8"/>
  <c r="B114" i="9"/>
  <c r="C117" i="132"/>
  <c r="C119" i="151"/>
  <c r="B34" i="101"/>
  <c r="AT108" i="8"/>
  <c r="B110" i="9"/>
  <c r="C113" i="132"/>
  <c r="C115" i="151"/>
  <c r="B30" i="101"/>
  <c r="AT104" i="8"/>
  <c r="B106" i="9"/>
  <c r="C109" i="132"/>
  <c r="C111" i="151"/>
  <c r="B26" i="101"/>
  <c r="AT100" i="8"/>
  <c r="B102" i="9"/>
  <c r="C105" i="132"/>
  <c r="C107" i="151"/>
  <c r="B22" i="101"/>
  <c r="AT96" i="8"/>
  <c r="B98" i="9"/>
  <c r="C101" i="132"/>
  <c r="C103" i="151"/>
  <c r="B18" i="101"/>
  <c r="C83" i="128"/>
  <c r="B77" i="9"/>
  <c r="C82" i="151"/>
  <c r="C80" i="132"/>
  <c r="B82" i="99"/>
  <c r="C79" i="128"/>
  <c r="B73" i="9"/>
  <c r="C78" i="151"/>
  <c r="C76" i="132"/>
  <c r="B78" i="99"/>
  <c r="C67" i="128"/>
  <c r="B61" i="9"/>
  <c r="C66" i="151"/>
  <c r="C64" i="132"/>
  <c r="B66" i="99"/>
  <c r="B83" i="9"/>
  <c r="C88" i="151"/>
  <c r="C86" i="132"/>
  <c r="B88" i="99"/>
  <c r="B75" i="9"/>
  <c r="C80" i="151"/>
  <c r="C78" i="132"/>
  <c r="B80" i="99"/>
  <c r="B67" i="9"/>
  <c r="C72" i="151"/>
  <c r="C70" i="132"/>
  <c r="B72" i="99"/>
  <c r="B59" i="9"/>
  <c r="C64" i="151"/>
  <c r="C62" i="132"/>
  <c r="B64" i="99"/>
  <c r="B51" i="9"/>
  <c r="C56" i="151"/>
  <c r="C54" i="132"/>
  <c r="B56" i="99"/>
  <c r="B39" i="9"/>
  <c r="C44" i="151"/>
  <c r="C42" i="132"/>
  <c r="B44" i="99"/>
  <c r="B35" i="9"/>
  <c r="C40" i="151"/>
  <c r="C38" i="132"/>
  <c r="B40" i="99"/>
  <c r="B27" i="9"/>
  <c r="C32" i="151"/>
  <c r="C30" i="132"/>
  <c r="B32" i="99"/>
  <c r="B19" i="9"/>
  <c r="C24" i="151"/>
  <c r="B24" i="99"/>
  <c r="C22" i="132"/>
  <c r="AT151" i="8"/>
  <c r="B153" i="9"/>
  <c r="C158" i="151"/>
  <c r="B73" i="101"/>
  <c r="C156" i="132"/>
  <c r="AT147" i="8"/>
  <c r="B149" i="9"/>
  <c r="C154" i="151"/>
  <c r="B69" i="101"/>
  <c r="C152" i="132"/>
  <c r="AT139" i="8"/>
  <c r="B141" i="9"/>
  <c r="C146" i="151"/>
  <c r="B61" i="101"/>
  <c r="C144" i="132"/>
  <c r="AT135" i="8"/>
  <c r="B137" i="9"/>
  <c r="C142" i="151"/>
  <c r="B57" i="101"/>
  <c r="C140" i="132"/>
  <c r="AT131" i="8"/>
  <c r="B133" i="9"/>
  <c r="C138" i="151"/>
  <c r="B53" i="101"/>
  <c r="C136" i="132"/>
  <c r="AT127" i="8"/>
  <c r="B129" i="9"/>
  <c r="C134" i="151"/>
  <c r="B49" i="101"/>
  <c r="C132" i="132"/>
  <c r="AT123" i="8"/>
  <c r="B125" i="9"/>
  <c r="C130" i="151"/>
  <c r="B45" i="101"/>
  <c r="C128" i="132"/>
  <c r="AT119" i="8"/>
  <c r="B121" i="9"/>
  <c r="C126" i="151"/>
  <c r="B41" i="101"/>
  <c r="C124" i="132"/>
  <c r="AT115" i="8"/>
  <c r="B117" i="9"/>
  <c r="C122" i="151"/>
  <c r="B37" i="101"/>
  <c r="C120" i="132"/>
  <c r="AT111" i="8"/>
  <c r="B113" i="9"/>
  <c r="C118" i="151"/>
  <c r="B33" i="101"/>
  <c r="C116" i="132"/>
  <c r="AT107" i="8"/>
  <c r="B109" i="9"/>
  <c r="C114" i="151"/>
  <c r="B29" i="101"/>
  <c r="C112" i="132"/>
  <c r="AT103" i="8"/>
  <c r="B105" i="9"/>
  <c r="C110" i="151"/>
  <c r="B25" i="101"/>
  <c r="C108" i="132"/>
  <c r="AT99" i="8"/>
  <c r="B101" i="9"/>
  <c r="C106" i="151"/>
  <c r="B21" i="101"/>
  <c r="C104" i="132"/>
  <c r="C71" i="128"/>
  <c r="B65" i="9"/>
  <c r="C70" i="151"/>
  <c r="C68" i="132"/>
  <c r="B70" i="99"/>
  <c r="C59" i="128"/>
  <c r="B53" i="9"/>
  <c r="C58" i="151"/>
  <c r="C56" i="132"/>
  <c r="B58" i="99"/>
  <c r="B79" i="9"/>
  <c r="C84" i="151"/>
  <c r="C82" i="132"/>
  <c r="B84" i="99"/>
  <c r="B71" i="9"/>
  <c r="C76" i="151"/>
  <c r="C74" i="132"/>
  <c r="B76" i="99"/>
  <c r="B63" i="9"/>
  <c r="C68" i="151"/>
  <c r="C66" i="132"/>
  <c r="B68" i="99"/>
  <c r="B55" i="9"/>
  <c r="C60" i="151"/>
  <c r="C58" i="132"/>
  <c r="B60" i="99"/>
  <c r="B47" i="9"/>
  <c r="C52" i="151"/>
  <c r="C50" i="132"/>
  <c r="B52" i="99"/>
  <c r="B43" i="9"/>
  <c r="C48" i="151"/>
  <c r="C46" i="132"/>
  <c r="B48" i="99"/>
  <c r="B31" i="9"/>
  <c r="C36" i="151"/>
  <c r="C34" i="132"/>
  <c r="B36" i="99"/>
  <c r="B23" i="9"/>
  <c r="C28" i="151"/>
  <c r="B28" i="99"/>
  <c r="C26" i="132"/>
  <c r="B15" i="9"/>
  <c r="C20" i="151"/>
  <c r="B20" i="99"/>
  <c r="C18" i="132"/>
  <c r="AT143" i="8"/>
  <c r="B145" i="9"/>
  <c r="C150" i="151"/>
  <c r="B65" i="101"/>
  <c r="C148" i="132"/>
  <c r="B82" i="9"/>
  <c r="C85" i="132"/>
  <c r="B87" i="99"/>
  <c r="C87" i="151"/>
  <c r="B78" i="9"/>
  <c r="C81" i="132"/>
  <c r="B83" i="99"/>
  <c r="C83" i="151"/>
  <c r="B74" i="9"/>
  <c r="C77" i="132"/>
  <c r="C79" i="151"/>
  <c r="B79" i="99"/>
  <c r="B70" i="9"/>
  <c r="C73" i="132"/>
  <c r="B75" i="99"/>
  <c r="C75" i="151"/>
  <c r="B66" i="9"/>
  <c r="C69" i="132"/>
  <c r="B71" i="99"/>
  <c r="C71" i="151"/>
  <c r="B62" i="9"/>
  <c r="C65" i="132"/>
  <c r="B67" i="99"/>
  <c r="C67" i="151"/>
  <c r="B58" i="9"/>
  <c r="C61" i="132"/>
  <c r="C63" i="151"/>
  <c r="B63" i="99"/>
  <c r="B54" i="9"/>
  <c r="C57" i="132"/>
  <c r="B59" i="99"/>
  <c r="C59" i="151"/>
  <c r="B50" i="9"/>
  <c r="C53" i="132"/>
  <c r="B55" i="99"/>
  <c r="C55" i="151"/>
  <c r="B46" i="9"/>
  <c r="C49" i="132"/>
  <c r="B51" i="99"/>
  <c r="C51" i="151"/>
  <c r="B42" i="9"/>
  <c r="C45" i="132"/>
  <c r="C47" i="151"/>
  <c r="B47" i="99"/>
  <c r="B38" i="9"/>
  <c r="C41" i="132"/>
  <c r="B43" i="99"/>
  <c r="C43" i="151"/>
  <c r="B34" i="9"/>
  <c r="C37" i="132"/>
  <c r="B39" i="99"/>
  <c r="C39" i="151"/>
  <c r="B30" i="9"/>
  <c r="C33" i="132"/>
  <c r="B35" i="99"/>
  <c r="C35" i="151"/>
  <c r="B26" i="9"/>
  <c r="C29" i="132"/>
  <c r="C31" i="151"/>
  <c r="B31" i="99"/>
  <c r="B22" i="9"/>
  <c r="C25" i="132"/>
  <c r="B27" i="99"/>
  <c r="C27" i="151"/>
  <c r="B18" i="9"/>
  <c r="C21" i="132"/>
  <c r="C23" i="151"/>
  <c r="B23" i="99"/>
  <c r="B14" i="9"/>
  <c r="C17" i="132"/>
  <c r="C19" i="151"/>
  <c r="B19" i="99"/>
  <c r="B152" i="9"/>
  <c r="C157" i="151"/>
  <c r="B72" i="101"/>
  <c r="C155" i="132"/>
  <c r="B148" i="9"/>
  <c r="C153" i="151"/>
  <c r="B68" i="101"/>
  <c r="C151" i="132"/>
  <c r="B144" i="9"/>
  <c r="C149" i="151"/>
  <c r="B64" i="101"/>
  <c r="C147" i="132"/>
  <c r="B140" i="9"/>
  <c r="C145" i="151"/>
  <c r="B60" i="101"/>
  <c r="C143" i="132"/>
  <c r="B136" i="9"/>
  <c r="C141" i="151"/>
  <c r="B56" i="101"/>
  <c r="C139" i="132"/>
  <c r="B132" i="9"/>
  <c r="C137" i="151"/>
  <c r="B52" i="101"/>
  <c r="C135" i="132"/>
  <c r="B128" i="9"/>
  <c r="C133" i="151"/>
  <c r="B48" i="101"/>
  <c r="C131" i="132"/>
  <c r="B124" i="9"/>
  <c r="C129" i="151"/>
  <c r="B44" i="101"/>
  <c r="C127" i="132"/>
  <c r="B120" i="9"/>
  <c r="C125" i="151"/>
  <c r="B40" i="101"/>
  <c r="C123" i="132"/>
  <c r="B116" i="9"/>
  <c r="C121" i="151"/>
  <c r="B36" i="101"/>
  <c r="C119" i="132"/>
  <c r="B112" i="9"/>
  <c r="C117" i="151"/>
  <c r="B32" i="101"/>
  <c r="C115" i="132"/>
  <c r="B108" i="9"/>
  <c r="C113" i="151"/>
  <c r="B28" i="101"/>
  <c r="C111" i="132"/>
  <c r="B104" i="9"/>
  <c r="C109" i="151"/>
  <c r="B24" i="101"/>
  <c r="C107" i="132"/>
  <c r="B100" i="9"/>
  <c r="C105" i="151"/>
  <c r="B20" i="101"/>
  <c r="C103" i="132"/>
  <c r="F192" i="128"/>
  <c r="AT95" i="8"/>
  <c r="AT149" i="8"/>
  <c r="AT145" i="8"/>
  <c r="AT133" i="8"/>
  <c r="AT129" i="8"/>
  <c r="AT117" i="8"/>
  <c r="AT113" i="8"/>
  <c r="AT12" i="8"/>
  <c r="AT81" i="8"/>
  <c r="AT77" i="8"/>
  <c r="AT73" i="8"/>
  <c r="AT69" i="8"/>
  <c r="AT65" i="8"/>
  <c r="AT61" i="8"/>
  <c r="AT57" i="8"/>
  <c r="AT53" i="8"/>
  <c r="AT49" i="8"/>
  <c r="AT45" i="8"/>
  <c r="AT41" i="8"/>
  <c r="AT37" i="8"/>
  <c r="AT33" i="8"/>
  <c r="AT29" i="8"/>
  <c r="AT25" i="8"/>
  <c r="AT21" i="8"/>
  <c r="AT17" i="8"/>
  <c r="AT13" i="8"/>
  <c r="AT84" i="8"/>
  <c r="AT80" i="8"/>
  <c r="AT76" i="8"/>
  <c r="AT72" i="8"/>
  <c r="AT68" i="8"/>
  <c r="AT64" i="8"/>
  <c r="AT60" i="8"/>
  <c r="AT56" i="8"/>
  <c r="AT52" i="8"/>
  <c r="AT48" i="8"/>
  <c r="AT44" i="8"/>
  <c r="AT40" i="8"/>
  <c r="AT36" i="8"/>
  <c r="AT32" i="8"/>
  <c r="AT28" i="8"/>
  <c r="AT24" i="8"/>
  <c r="AT20" i="8"/>
  <c r="AT16" i="8"/>
  <c r="AT74" i="8"/>
  <c r="AT58" i="8"/>
  <c r="AT42" i="8"/>
  <c r="AT26" i="8"/>
  <c r="AT14" i="8"/>
  <c r="AT83" i="8"/>
  <c r="AT79" i="8"/>
  <c r="AT75" i="8"/>
  <c r="AT71" i="8"/>
  <c r="AT67" i="8"/>
  <c r="AT63" i="8"/>
  <c r="AT59" i="8"/>
  <c r="AT55" i="8"/>
  <c r="AT51" i="8"/>
  <c r="AT47" i="8"/>
  <c r="AT43" i="8"/>
  <c r="AT39" i="8"/>
  <c r="AT35" i="8"/>
  <c r="AT31" i="8"/>
  <c r="AT150" i="8"/>
  <c r="AT146" i="8"/>
  <c r="AT142" i="8"/>
  <c r="AT138" i="8"/>
  <c r="AT134" i="8"/>
  <c r="AT130" i="8"/>
  <c r="AT126" i="8"/>
  <c r="AT122" i="8"/>
  <c r="AT118" i="8"/>
  <c r="AT114" i="8"/>
  <c r="AT110" i="8"/>
  <c r="AT106" i="8"/>
  <c r="AT102" i="8"/>
  <c r="AT98" i="8"/>
  <c r="AT101" i="8"/>
  <c r="AT97" i="8"/>
  <c r="AT141" i="8"/>
  <c r="AT125" i="8"/>
  <c r="AT109" i="8"/>
  <c r="C17" i="128"/>
  <c r="C86" i="128"/>
  <c r="C82" i="128"/>
  <c r="C78" i="128"/>
  <c r="C74" i="128"/>
  <c r="C70" i="128"/>
  <c r="C66" i="128"/>
  <c r="C62" i="128"/>
  <c r="C58" i="128"/>
  <c r="C54" i="128"/>
  <c r="C50" i="128"/>
  <c r="C46" i="128"/>
  <c r="C42" i="128"/>
  <c r="C38" i="128"/>
  <c r="C34" i="128"/>
  <c r="C30" i="128"/>
  <c r="C26" i="128"/>
  <c r="C22" i="128"/>
  <c r="C18" i="128"/>
  <c r="C154" i="128"/>
  <c r="C150" i="128"/>
  <c r="C146" i="128"/>
  <c r="C142" i="128"/>
  <c r="C138" i="128"/>
  <c r="C134" i="128"/>
  <c r="C130" i="128"/>
  <c r="C126" i="128"/>
  <c r="C122" i="128"/>
  <c r="C118" i="128"/>
  <c r="C114" i="128"/>
  <c r="C110" i="128"/>
  <c r="C106" i="128"/>
  <c r="C102" i="128"/>
  <c r="AT27" i="8"/>
  <c r="AT23" i="8"/>
  <c r="AT19" i="8"/>
  <c r="AT15" i="8"/>
  <c r="AT70" i="8"/>
  <c r="AT54" i="8"/>
  <c r="AT38" i="8"/>
  <c r="AT22" i="8"/>
  <c r="AT137" i="8"/>
  <c r="AT121" i="8"/>
  <c r="AT105" i="8"/>
  <c r="C89" i="128"/>
  <c r="C85" i="128"/>
  <c r="C81" i="128"/>
  <c r="C77" i="128"/>
  <c r="C73" i="128"/>
  <c r="C69" i="128"/>
  <c r="C65" i="128"/>
  <c r="C61" i="128"/>
  <c r="C57" i="128"/>
  <c r="C53" i="128"/>
  <c r="C49" i="128"/>
  <c r="C45" i="128"/>
  <c r="C41" i="128"/>
  <c r="C37" i="128"/>
  <c r="C33" i="128"/>
  <c r="C29" i="128"/>
  <c r="C25" i="128"/>
  <c r="C21" i="128"/>
  <c r="C99" i="128"/>
  <c r="C153" i="128"/>
  <c r="C149" i="128"/>
  <c r="C137" i="128"/>
  <c r="C133" i="128"/>
  <c r="C121" i="128"/>
  <c r="C117" i="128"/>
  <c r="C105" i="128"/>
  <c r="C101" i="128"/>
  <c r="AT82" i="8"/>
  <c r="AT66" i="8"/>
  <c r="AT50" i="8"/>
  <c r="AT34" i="8"/>
  <c r="AT18" i="8"/>
  <c r="C88" i="128"/>
  <c r="C84" i="128"/>
  <c r="C80" i="128"/>
  <c r="C76" i="128"/>
  <c r="C72" i="128"/>
  <c r="C68" i="128"/>
  <c r="C64" i="128"/>
  <c r="C60" i="128"/>
  <c r="C56" i="128"/>
  <c r="C52" i="128"/>
  <c r="C48" i="128"/>
  <c r="C44" i="128"/>
  <c r="C40" i="128"/>
  <c r="C36" i="128"/>
  <c r="C32" i="128"/>
  <c r="C28" i="128"/>
  <c r="C24" i="128"/>
  <c r="C20" i="128"/>
  <c r="C156" i="128"/>
  <c r="C152" i="128"/>
  <c r="C148" i="128"/>
  <c r="C144" i="128"/>
  <c r="C140" i="128"/>
  <c r="C136" i="128"/>
  <c r="C132" i="128"/>
  <c r="C128" i="128"/>
  <c r="C124" i="128"/>
  <c r="C120" i="128"/>
  <c r="C116" i="128"/>
  <c r="C112" i="128"/>
  <c r="C108" i="128"/>
  <c r="C104" i="128"/>
  <c r="C100" i="128"/>
  <c r="AT78" i="8"/>
  <c r="AT62" i="8"/>
  <c r="AT46" i="8"/>
  <c r="AT30" i="8"/>
  <c r="C155" i="128"/>
  <c r="C151" i="128"/>
  <c r="C147" i="128"/>
  <c r="C143" i="128"/>
  <c r="C139" i="128"/>
  <c r="C135" i="128"/>
  <c r="C131" i="128"/>
  <c r="C127" i="128"/>
  <c r="C123" i="128"/>
  <c r="C119" i="128"/>
  <c r="C115" i="128"/>
  <c r="C111" i="128"/>
  <c r="C107" i="128"/>
  <c r="C103" i="128"/>
  <c r="F164" i="128"/>
  <c r="F171" i="128" s="1"/>
  <c r="F175" i="128"/>
  <c r="F181" i="128" s="1"/>
  <c r="F189" i="128" l="1"/>
  <c r="F195" i="128" s="1"/>
  <c r="Q184" i="128"/>
  <c r="Q183" i="128"/>
  <c r="Q178" i="128"/>
  <c r="Q179" i="128"/>
  <c r="Q176" i="128"/>
  <c r="Q177" i="128"/>
  <c r="AI15" i="177"/>
  <c r="AI19" i="177"/>
  <c r="AI18" i="177"/>
  <c r="AI17" i="177"/>
  <c r="AI16" i="177"/>
  <c r="AI14" i="177"/>
  <c r="AI13" i="177"/>
  <c r="AI12" i="177"/>
  <c r="B20" i="136"/>
  <c r="AI17" i="162"/>
  <c r="AI16" i="162"/>
  <c r="AI15" i="162"/>
  <c r="AI14" i="162"/>
  <c r="D13" i="136" s="1"/>
  <c r="G13" i="136" s="1"/>
  <c r="H167" i="132" s="1"/>
  <c r="AI13" i="162"/>
  <c r="AI12" i="162"/>
  <c r="H13" i="136" l="1"/>
  <c r="I167" i="132" s="1"/>
  <c r="D15" i="136"/>
  <c r="G15" i="136" s="1"/>
  <c r="H169" i="132" s="1"/>
  <c r="D14" i="136"/>
  <c r="Q175" i="128"/>
  <c r="D20" i="136"/>
  <c r="E20" i="136" s="1"/>
  <c r="K167" i="132" l="1"/>
  <c r="H15" i="136"/>
  <c r="I169" i="132" s="1"/>
  <c r="F12" i="167"/>
  <c r="J13" i="136"/>
  <c r="D12" i="136"/>
  <c r="G14" i="136"/>
  <c r="H168" i="132" s="1"/>
  <c r="H166" i="132" s="1"/>
  <c r="H176" i="132" s="1"/>
  <c r="F174" i="132"/>
  <c r="F173" i="132" s="1"/>
  <c r="F178" i="132" s="1"/>
  <c r="H20" i="136"/>
  <c r="F13" i="167" s="1"/>
  <c r="H14" i="136" l="1"/>
  <c r="I168" i="132" s="1"/>
  <c r="G12" i="136"/>
  <c r="I15" i="136"/>
  <c r="J169" i="132" s="1"/>
  <c r="J166" i="132" s="1"/>
  <c r="J176" i="132" s="1"/>
  <c r="Y8" i="151"/>
  <c r="W168" i="151"/>
  <c r="AO13" i="8"/>
  <c r="AP13" i="8"/>
  <c r="AP12" i="8" s="1"/>
  <c r="K169" i="132" l="1"/>
  <c r="K168" i="132"/>
  <c r="K176" i="132" s="1"/>
  <c r="I166" i="132"/>
  <c r="I176" i="132" s="1"/>
  <c r="AO12" i="8"/>
  <c r="AQ13" i="8"/>
  <c r="AQ12" i="8" s="1"/>
  <c r="I12" i="136"/>
  <c r="G12" i="167"/>
  <c r="J15" i="136"/>
  <c r="J14" i="136"/>
  <c r="H12" i="136"/>
  <c r="H31" i="154" s="1"/>
  <c r="D31" i="154" s="1"/>
  <c r="G31" i="154" s="1"/>
  <c r="J12" i="136" l="1"/>
  <c r="J169" i="99"/>
  <c r="J170" i="99"/>
  <c r="J171" i="99"/>
  <c r="J172" i="99"/>
  <c r="J173" i="99"/>
  <c r="J174" i="99"/>
  <c r="J175" i="99"/>
  <c r="J176" i="99"/>
  <c r="J179" i="99"/>
  <c r="J180" i="99"/>
  <c r="J181" i="99"/>
  <c r="J184" i="99"/>
  <c r="J177" i="99" l="1"/>
  <c r="D19" i="128" l="1"/>
  <c r="D20" i="128"/>
  <c r="D21" i="128"/>
  <c r="D22" i="128"/>
  <c r="D23" i="128"/>
  <c r="D24" i="128"/>
  <c r="D25" i="128"/>
  <c r="D26" i="128"/>
  <c r="D27" i="128"/>
  <c r="D28" i="128"/>
  <c r="D29" i="128"/>
  <c r="D30" i="128"/>
  <c r="D31" i="128"/>
  <c r="D32" i="128"/>
  <c r="D33" i="128"/>
  <c r="D34" i="128"/>
  <c r="D35" i="128"/>
  <c r="D36" i="128"/>
  <c r="D37" i="128"/>
  <c r="D38" i="128"/>
  <c r="D39" i="128"/>
  <c r="D40" i="128"/>
  <c r="D41" i="128"/>
  <c r="D42" i="128"/>
  <c r="D43" i="128"/>
  <c r="D44" i="128"/>
  <c r="D45" i="128"/>
  <c r="D46" i="128"/>
  <c r="D47" i="128"/>
  <c r="D48" i="128"/>
  <c r="D49" i="128"/>
  <c r="D50" i="128"/>
  <c r="D51" i="128"/>
  <c r="D52" i="128"/>
  <c r="D53" i="128"/>
  <c r="D54" i="128"/>
  <c r="D55" i="128"/>
  <c r="D56" i="128"/>
  <c r="D57" i="128"/>
  <c r="D58" i="128"/>
  <c r="D59" i="128"/>
  <c r="D60" i="128"/>
  <c r="D61" i="128"/>
  <c r="D62" i="128"/>
  <c r="D63" i="128"/>
  <c r="D64" i="128"/>
  <c r="D65" i="128"/>
  <c r="D66" i="128"/>
  <c r="D67" i="128"/>
  <c r="D68" i="128"/>
  <c r="D69" i="128"/>
  <c r="D70" i="128"/>
  <c r="D71" i="128"/>
  <c r="D72" i="128"/>
  <c r="D73" i="128"/>
  <c r="D74" i="128"/>
  <c r="D75" i="128"/>
  <c r="D76" i="128"/>
  <c r="D77" i="128"/>
  <c r="D78" i="128"/>
  <c r="D79" i="128"/>
  <c r="D80" i="128"/>
  <c r="D81" i="128"/>
  <c r="D82" i="128"/>
  <c r="D83" i="128"/>
  <c r="D84" i="128"/>
  <c r="D85" i="128"/>
  <c r="D86" i="128"/>
  <c r="D87" i="128"/>
  <c r="D88" i="128"/>
  <c r="D89" i="128"/>
  <c r="D90" i="128"/>
  <c r="C13" i="9" l="1"/>
  <c r="Y13" i="9" s="1"/>
  <c r="C14" i="9"/>
  <c r="Y14" i="9" s="1"/>
  <c r="C15" i="9"/>
  <c r="Y15" i="9" s="1"/>
  <c r="C16" i="9"/>
  <c r="Y16" i="9" s="1"/>
  <c r="C17" i="9"/>
  <c r="Y17" i="9" s="1"/>
  <c r="C18" i="9"/>
  <c r="Y18" i="9" s="1"/>
  <c r="C19" i="9"/>
  <c r="Y19" i="9" s="1"/>
  <c r="C20" i="9"/>
  <c r="Y20" i="9" s="1"/>
  <c r="C21" i="9"/>
  <c r="Y21" i="9" s="1"/>
  <c r="C22" i="9"/>
  <c r="Y22" i="9" s="1"/>
  <c r="C23" i="9"/>
  <c r="Y23" i="9" s="1"/>
  <c r="C24" i="9"/>
  <c r="Y24" i="9" s="1"/>
  <c r="C25" i="9"/>
  <c r="Y25" i="9" s="1"/>
  <c r="C26" i="9"/>
  <c r="Y26" i="9" s="1"/>
  <c r="C27" i="9"/>
  <c r="Y27" i="9" s="1"/>
  <c r="C28" i="9"/>
  <c r="Y28" i="9" s="1"/>
  <c r="C29" i="9"/>
  <c r="Y29" i="9" s="1"/>
  <c r="C30" i="9"/>
  <c r="Y30" i="9" s="1"/>
  <c r="C31" i="9"/>
  <c r="Y31" i="9" s="1"/>
  <c r="C32" i="9"/>
  <c r="Y32" i="9" s="1"/>
  <c r="C33" i="9"/>
  <c r="Y33" i="9" s="1"/>
  <c r="C34" i="9"/>
  <c r="Y34" i="9" s="1"/>
  <c r="C35" i="9"/>
  <c r="Y35" i="9" s="1"/>
  <c r="C36" i="9"/>
  <c r="Y36" i="9" s="1"/>
  <c r="C37" i="9"/>
  <c r="Y37" i="9" s="1"/>
  <c r="C38" i="9"/>
  <c r="Y38" i="9" s="1"/>
  <c r="C39" i="9"/>
  <c r="Y39" i="9" s="1"/>
  <c r="C40" i="9"/>
  <c r="Y40" i="9" s="1"/>
  <c r="C41" i="9"/>
  <c r="Y41" i="9" s="1"/>
  <c r="C42" i="9"/>
  <c r="Y42" i="9" s="1"/>
  <c r="C43" i="9"/>
  <c r="Y43" i="9" s="1"/>
  <c r="C44" i="9"/>
  <c r="Y44" i="9" s="1"/>
  <c r="C45" i="9"/>
  <c r="Y45" i="9" s="1"/>
  <c r="C46" i="9"/>
  <c r="Y46" i="9" s="1"/>
  <c r="C47" i="9"/>
  <c r="Y47" i="9" s="1"/>
  <c r="C48" i="9"/>
  <c r="Y48" i="9" s="1"/>
  <c r="C49" i="9"/>
  <c r="Y49" i="9" s="1"/>
  <c r="C50" i="9"/>
  <c r="Y50" i="9" s="1"/>
  <c r="C51" i="9"/>
  <c r="Y51" i="9" s="1"/>
  <c r="C52" i="9"/>
  <c r="Y52" i="9" s="1"/>
  <c r="C53" i="9"/>
  <c r="Y53" i="9" s="1"/>
  <c r="C54" i="9"/>
  <c r="Y54" i="9" s="1"/>
  <c r="C55" i="9"/>
  <c r="Y55" i="9" s="1"/>
  <c r="C56" i="9"/>
  <c r="Y56" i="9" s="1"/>
  <c r="C57" i="9"/>
  <c r="Y57" i="9" s="1"/>
  <c r="C58" i="9"/>
  <c r="Y58" i="9" s="1"/>
  <c r="C59" i="9"/>
  <c r="Y59" i="9" s="1"/>
  <c r="C60" i="9"/>
  <c r="Y60" i="9" s="1"/>
  <c r="C61" i="9"/>
  <c r="Y61" i="9" s="1"/>
  <c r="C62" i="9"/>
  <c r="Y62" i="9" s="1"/>
  <c r="C63" i="9"/>
  <c r="Y63" i="9" s="1"/>
  <c r="C64" i="9"/>
  <c r="Y64" i="9" s="1"/>
  <c r="C65" i="9"/>
  <c r="Y65" i="9" s="1"/>
  <c r="C66" i="9"/>
  <c r="Y66" i="9" s="1"/>
  <c r="C67" i="9"/>
  <c r="Y67" i="9" s="1"/>
  <c r="C68" i="9"/>
  <c r="Y68" i="9" s="1"/>
  <c r="C69" i="9"/>
  <c r="Y69" i="9" s="1"/>
  <c r="C70" i="9"/>
  <c r="Y70" i="9" s="1"/>
  <c r="C71" i="9"/>
  <c r="Y71" i="9" s="1"/>
  <c r="C72" i="9"/>
  <c r="Y72" i="9" s="1"/>
  <c r="C73" i="9"/>
  <c r="Y73" i="9" s="1"/>
  <c r="C74" i="9"/>
  <c r="Y74" i="9" s="1"/>
  <c r="C75" i="9"/>
  <c r="Y75" i="9" s="1"/>
  <c r="C76" i="9"/>
  <c r="Y76" i="9" s="1"/>
  <c r="C77" i="9"/>
  <c r="Y77" i="9" s="1"/>
  <c r="C78" i="9"/>
  <c r="Y78" i="9" s="1"/>
  <c r="C79" i="9"/>
  <c r="C80" i="9"/>
  <c r="Y80" i="9" s="1"/>
  <c r="C81" i="9"/>
  <c r="Y81" i="9" s="1"/>
  <c r="C82" i="9"/>
  <c r="Y82" i="9" s="1"/>
  <c r="C83" i="9"/>
  <c r="Y83" i="9" s="1"/>
  <c r="C84" i="9"/>
  <c r="Y84" i="9" s="1"/>
  <c r="Y79" i="9" l="1"/>
  <c r="C86" i="99"/>
  <c r="D86" i="151"/>
  <c r="C82" i="99"/>
  <c r="D82" i="151"/>
  <c r="C78" i="99"/>
  <c r="D78" i="151"/>
  <c r="C74" i="99"/>
  <c r="D74" i="151"/>
  <c r="C70" i="99"/>
  <c r="D70" i="151"/>
  <c r="D66" i="151"/>
  <c r="C66" i="99"/>
  <c r="D62" i="151"/>
  <c r="C62" i="99"/>
  <c r="D58" i="151"/>
  <c r="C58" i="99"/>
  <c r="D54" i="151"/>
  <c r="C54" i="99"/>
  <c r="D50" i="151"/>
  <c r="C50" i="99"/>
  <c r="D46" i="151"/>
  <c r="C46" i="99"/>
  <c r="D42" i="151"/>
  <c r="C42" i="99"/>
  <c r="D38" i="151"/>
  <c r="C38" i="99"/>
  <c r="C34" i="99"/>
  <c r="D34" i="151"/>
  <c r="C30" i="99"/>
  <c r="D30" i="151"/>
  <c r="C26" i="99"/>
  <c r="D26" i="151"/>
  <c r="C22" i="99"/>
  <c r="D22" i="151"/>
  <c r="C18" i="99"/>
  <c r="D18" i="151"/>
  <c r="D87" i="151"/>
  <c r="C87" i="99"/>
  <c r="D83" i="151"/>
  <c r="C83" i="99"/>
  <c r="D79" i="151"/>
  <c r="C79" i="99"/>
  <c r="D75" i="151"/>
  <c r="C75" i="99"/>
  <c r="D71" i="151"/>
  <c r="C71" i="99"/>
  <c r="D67" i="151"/>
  <c r="C67" i="99"/>
  <c r="D63" i="151"/>
  <c r="C63" i="99"/>
  <c r="D59" i="151"/>
  <c r="C59" i="99"/>
  <c r="D55" i="151"/>
  <c r="C55" i="99"/>
  <c r="D51" i="151"/>
  <c r="C51" i="99"/>
  <c r="D47" i="151"/>
  <c r="C47" i="99"/>
  <c r="D43" i="151"/>
  <c r="C43" i="99"/>
  <c r="D35" i="151"/>
  <c r="C35" i="99"/>
  <c r="D31" i="151"/>
  <c r="C31" i="99"/>
  <c r="D27" i="151"/>
  <c r="C27" i="99"/>
  <c r="D23" i="151"/>
  <c r="C23" i="99"/>
  <c r="D19" i="151"/>
  <c r="C19" i="99"/>
  <c r="D88" i="151"/>
  <c r="C88" i="99"/>
  <c r="D84" i="151"/>
  <c r="C84" i="99"/>
  <c r="D80" i="151"/>
  <c r="C80" i="99"/>
  <c r="D76" i="151"/>
  <c r="C76" i="99"/>
  <c r="D72" i="151"/>
  <c r="C72" i="99"/>
  <c r="D68" i="151"/>
  <c r="C68" i="99"/>
  <c r="D64" i="151"/>
  <c r="C64" i="99"/>
  <c r="D60" i="151"/>
  <c r="C60" i="99"/>
  <c r="D56" i="151"/>
  <c r="C56" i="99"/>
  <c r="D52" i="151"/>
  <c r="C52" i="99"/>
  <c r="C48" i="99"/>
  <c r="D48" i="151"/>
  <c r="C44" i="99"/>
  <c r="D44" i="151"/>
  <c r="C40" i="99"/>
  <c r="D40" i="151"/>
  <c r="D36" i="151"/>
  <c r="C36" i="99"/>
  <c r="D32" i="151"/>
  <c r="C32" i="99"/>
  <c r="D28" i="151"/>
  <c r="C28" i="99"/>
  <c r="D24" i="151"/>
  <c r="C24" i="99"/>
  <c r="D20" i="151"/>
  <c r="C20" i="99"/>
  <c r="D89" i="151"/>
  <c r="C89" i="99"/>
  <c r="D85" i="151"/>
  <c r="C85" i="99"/>
  <c r="D81" i="151"/>
  <c r="C81" i="99"/>
  <c r="D77" i="151"/>
  <c r="C77" i="99"/>
  <c r="D73" i="151"/>
  <c r="C73" i="99"/>
  <c r="C65" i="99"/>
  <c r="D65" i="151"/>
  <c r="C61" i="99"/>
  <c r="D61" i="151"/>
  <c r="C57" i="99"/>
  <c r="D57" i="151"/>
  <c r="C53" i="99"/>
  <c r="D53" i="151"/>
  <c r="D45" i="151"/>
  <c r="C45" i="99"/>
  <c r="D41" i="151"/>
  <c r="C41" i="99"/>
  <c r="D33" i="151"/>
  <c r="C33" i="99"/>
  <c r="D29" i="151"/>
  <c r="C29" i="99"/>
  <c r="D25" i="151"/>
  <c r="C25" i="99"/>
  <c r="D21" i="151"/>
  <c r="C21" i="99"/>
  <c r="C69" i="99"/>
  <c r="D69" i="151"/>
  <c r="C49" i="99"/>
  <c r="D49" i="151"/>
  <c r="C39" i="99"/>
  <c r="D39" i="151"/>
  <c r="D37" i="151"/>
  <c r="C37" i="99"/>
  <c r="M198" i="151"/>
  <c r="D87" i="132" l="1"/>
  <c r="G89" i="151"/>
  <c r="AJ13" i="138"/>
  <c r="AJ14" i="138"/>
  <c r="V81" i="101" l="1"/>
  <c r="M200" i="151"/>
  <c r="AF18" i="169"/>
  <c r="AE18" i="169"/>
  <c r="AF16" i="169"/>
  <c r="AE16" i="169"/>
  <c r="AH17" i="169"/>
  <c r="AH16" i="169" s="1"/>
  <c r="AF20" i="169" l="1"/>
  <c r="AE20" i="169"/>
  <c r="E15" i="138"/>
  <c r="F15" i="138"/>
  <c r="G15" i="138"/>
  <c r="H15" i="138"/>
  <c r="I15" i="138"/>
  <c r="J15" i="138"/>
  <c r="K15" i="138"/>
  <c r="L15" i="138"/>
  <c r="M15" i="138"/>
  <c r="N15" i="138"/>
  <c r="O15" i="138"/>
  <c r="P15" i="138"/>
  <c r="Q15" i="138"/>
  <c r="R15" i="138"/>
  <c r="S15" i="138"/>
  <c r="T15" i="138"/>
  <c r="U15" i="138"/>
  <c r="V15" i="138"/>
  <c r="W15" i="138"/>
  <c r="X15" i="138"/>
  <c r="Y15" i="138"/>
  <c r="Z15" i="138"/>
  <c r="AA15" i="138"/>
  <c r="AB15" i="138"/>
  <c r="AC15" i="138"/>
  <c r="AD15" i="138"/>
  <c r="AE15" i="138"/>
  <c r="AF15" i="138"/>
  <c r="P10" i="153" l="1"/>
  <c r="R65" i="59" l="1"/>
  <c r="Q3" i="59"/>
  <c r="Q17" i="59"/>
  <c r="G13" i="59"/>
  <c r="E1301" i="170" l="1"/>
  <c r="J175" i="132"/>
  <c r="L175" i="132"/>
  <c r="I9" i="9"/>
  <c r="L9" i="9"/>
  <c r="M9" i="9"/>
  <c r="N9" i="9"/>
  <c r="P9" i="9"/>
  <c r="AB9" i="9"/>
  <c r="O9" i="9" l="1"/>
  <c r="K9" i="9"/>
  <c r="G9" i="9"/>
  <c r="E9" i="9"/>
  <c r="E163" i="9" s="1"/>
  <c r="H9" i="9"/>
  <c r="J9" i="9"/>
  <c r="F9" i="9"/>
  <c r="M199" i="151"/>
  <c r="Z168" i="151" l="1"/>
  <c r="B14" i="137"/>
  <c r="C14" i="137"/>
  <c r="B15" i="137"/>
  <c r="C15" i="137"/>
  <c r="AG15" i="138"/>
  <c r="AH15" i="138"/>
  <c r="AI15" i="138"/>
  <c r="D14" i="137"/>
  <c r="F14" i="137" s="1"/>
  <c r="D15" i="137"/>
  <c r="F15" i="137" s="1"/>
  <c r="AJ15" i="138" l="1"/>
  <c r="D16" i="137" l="1"/>
  <c r="C79" i="101" l="1"/>
  <c r="G79" i="101" s="1"/>
  <c r="U81" i="101"/>
  <c r="K96" i="99" l="1"/>
  <c r="G96" i="99"/>
  <c r="J164" i="151"/>
  <c r="AH19" i="169"/>
  <c r="AD18" i="169"/>
  <c r="AC18" i="169"/>
  <c r="AB18" i="169"/>
  <c r="AA18" i="169"/>
  <c r="Z18" i="169"/>
  <c r="Y18" i="169"/>
  <c r="X18" i="169"/>
  <c r="W18" i="169"/>
  <c r="V18" i="169"/>
  <c r="U18" i="169"/>
  <c r="T18" i="169"/>
  <c r="S18" i="169"/>
  <c r="R18" i="169"/>
  <c r="Q18" i="169"/>
  <c r="P18" i="169"/>
  <c r="O18" i="169"/>
  <c r="N18" i="169"/>
  <c r="M18" i="169"/>
  <c r="L18" i="169"/>
  <c r="K18" i="169"/>
  <c r="J18" i="169"/>
  <c r="I18" i="169"/>
  <c r="H18" i="169"/>
  <c r="G18" i="169"/>
  <c r="F18" i="169"/>
  <c r="E18" i="169"/>
  <c r="D18" i="169"/>
  <c r="C18" i="169"/>
  <c r="AJ17" i="169"/>
  <c r="AK16" i="169"/>
  <c r="AK20" i="169" s="1"/>
  <c r="AD16" i="169"/>
  <c r="AC16" i="169"/>
  <c r="AB16" i="169"/>
  <c r="AA16" i="169"/>
  <c r="Z16" i="169"/>
  <c r="Y16" i="169"/>
  <c r="X16" i="169"/>
  <c r="W16" i="169"/>
  <c r="V16" i="169"/>
  <c r="U16" i="169"/>
  <c r="T16" i="169"/>
  <c r="S16" i="169"/>
  <c r="R16" i="169"/>
  <c r="Q16" i="169"/>
  <c r="P16" i="169"/>
  <c r="O16" i="169"/>
  <c r="N16" i="169"/>
  <c r="M16" i="169"/>
  <c r="L16" i="169"/>
  <c r="K16" i="169"/>
  <c r="J16" i="169"/>
  <c r="I16" i="169"/>
  <c r="H16" i="169"/>
  <c r="G16" i="169"/>
  <c r="F16" i="169"/>
  <c r="E16" i="169"/>
  <c r="D16" i="169"/>
  <c r="C16" i="169"/>
  <c r="AK94" i="8" l="1"/>
  <c r="AH18" i="169"/>
  <c r="AH20" i="169" s="1"/>
  <c r="AJ16" i="169"/>
  <c r="AJ19" i="169"/>
  <c r="S9" i="9" l="1"/>
  <c r="AJ18" i="169"/>
  <c r="AJ20" i="169" s="1"/>
  <c r="J96" i="151"/>
  <c r="J15" i="151" s="1"/>
  <c r="K18" i="158"/>
  <c r="J168" i="151" l="1"/>
  <c r="K190" i="151"/>
  <c r="D165" i="151"/>
  <c r="D166" i="151"/>
  <c r="D164" i="151"/>
  <c r="C80" i="101"/>
  <c r="C81" i="101"/>
  <c r="K95" i="99"/>
  <c r="B1288" i="170" l="1"/>
  <c r="U166" i="151"/>
  <c r="X166" i="151" s="1"/>
  <c r="E20" i="154"/>
  <c r="D162" i="132"/>
  <c r="D163" i="132"/>
  <c r="D164" i="132"/>
  <c r="M201" i="151"/>
  <c r="M202" i="151" s="1"/>
  <c r="AC159" i="9" l="1"/>
  <c r="F164" i="151"/>
  <c r="G164" i="151" s="1"/>
  <c r="Q59" i="59"/>
  <c r="Q45" i="59"/>
  <c r="Q31" i="59"/>
  <c r="Q73" i="59"/>
  <c r="R79" i="59"/>
  <c r="R23" i="59"/>
  <c r="E757" i="170"/>
  <c r="Q82" i="59" l="1"/>
  <c r="K1301" i="170" l="1"/>
  <c r="H1288" i="170"/>
  <c r="I1295" i="170" s="1"/>
  <c r="E718" i="170"/>
  <c r="L651" i="170"/>
  <c r="M600" i="170"/>
  <c r="M583" i="170"/>
  <c r="L532" i="170"/>
  <c r="M499" i="170"/>
  <c r="M481" i="170"/>
  <c r="M430" i="170"/>
  <c r="M413" i="170"/>
  <c r="M137" i="170"/>
  <c r="M120" i="170"/>
  <c r="M86" i="170"/>
  <c r="M52" i="170"/>
  <c r="E18" i="170"/>
  <c r="G4" i="170"/>
  <c r="G21" i="170" s="1"/>
  <c r="A38" i="170" s="1"/>
  <c r="B2" i="170"/>
  <c r="M190" i="151"/>
  <c r="B1271" i="170"/>
  <c r="H1271" i="170"/>
  <c r="AC90" i="9"/>
  <c r="U92" i="9"/>
  <c r="U93" i="9"/>
  <c r="AC91" i="9"/>
  <c r="AK160" i="128"/>
  <c r="AK158" i="128"/>
  <c r="AK157" i="128"/>
  <c r="AK156" i="128"/>
  <c r="AK155" i="128"/>
  <c r="AK154" i="128"/>
  <c r="AK153" i="128"/>
  <c r="AK152" i="128"/>
  <c r="AK151" i="128"/>
  <c r="AK150" i="128"/>
  <c r="AK149" i="128"/>
  <c r="AK148" i="128"/>
  <c r="AK147" i="128"/>
  <c r="AM147" i="128" s="1"/>
  <c r="AK146" i="128"/>
  <c r="AM146" i="128" s="1"/>
  <c r="AK145" i="128"/>
  <c r="AM145" i="128" s="1"/>
  <c r="AK144" i="128"/>
  <c r="AM144" i="128" s="1"/>
  <c r="AK143" i="128"/>
  <c r="AM143" i="128" s="1"/>
  <c r="AK142" i="128"/>
  <c r="AM142" i="128" s="1"/>
  <c r="AK141" i="128"/>
  <c r="AM141" i="128" s="1"/>
  <c r="AK140" i="128"/>
  <c r="AM140" i="128" s="1"/>
  <c r="AK139" i="128"/>
  <c r="AM139" i="128" s="1"/>
  <c r="AK138" i="128"/>
  <c r="AM138" i="128" s="1"/>
  <c r="AK137" i="128"/>
  <c r="AM137" i="128" s="1"/>
  <c r="AK136" i="128"/>
  <c r="AM136" i="128" s="1"/>
  <c r="AK135" i="128"/>
  <c r="AM135" i="128" s="1"/>
  <c r="AK134" i="128"/>
  <c r="AM134" i="128" s="1"/>
  <c r="AK133" i="128"/>
  <c r="AM133" i="128" s="1"/>
  <c r="AK132" i="128"/>
  <c r="AM132" i="128" s="1"/>
  <c r="AK131" i="128"/>
  <c r="AM131" i="128" s="1"/>
  <c r="AK130" i="128"/>
  <c r="AM130" i="128" s="1"/>
  <c r="AK129" i="128"/>
  <c r="AM129" i="128" s="1"/>
  <c r="AK128" i="128"/>
  <c r="AM128" i="128" s="1"/>
  <c r="AK127" i="128"/>
  <c r="AM127" i="128" s="1"/>
  <c r="AK126" i="128"/>
  <c r="AM126" i="128" s="1"/>
  <c r="AK125" i="128"/>
  <c r="AM125" i="128" s="1"/>
  <c r="AK124" i="128"/>
  <c r="AM124" i="128" s="1"/>
  <c r="AK123" i="128"/>
  <c r="AM123" i="128" s="1"/>
  <c r="AK122" i="128"/>
  <c r="AM122" i="128" s="1"/>
  <c r="AK121" i="128"/>
  <c r="AM121" i="128" s="1"/>
  <c r="AK120" i="128"/>
  <c r="AM120" i="128" s="1"/>
  <c r="AK119" i="128"/>
  <c r="AM119" i="128" s="1"/>
  <c r="AK118" i="128"/>
  <c r="AM118" i="128" s="1"/>
  <c r="AK117" i="128"/>
  <c r="AM117" i="128" s="1"/>
  <c r="AK116" i="128"/>
  <c r="AM116" i="128" s="1"/>
  <c r="AK115" i="128"/>
  <c r="AM115" i="128" s="1"/>
  <c r="AK114" i="128"/>
  <c r="AM114" i="128" s="1"/>
  <c r="AK113" i="128"/>
  <c r="AM113" i="128" s="1"/>
  <c r="AK112" i="128"/>
  <c r="AM112" i="128" s="1"/>
  <c r="AK111" i="128"/>
  <c r="AM111" i="128" s="1"/>
  <c r="AK110" i="128"/>
  <c r="AK109" i="128"/>
  <c r="AM109" i="128" s="1"/>
  <c r="AK108" i="128"/>
  <c r="AM108" i="128" s="1"/>
  <c r="AK107" i="128"/>
  <c r="AM107" i="128" s="1"/>
  <c r="AK106" i="128"/>
  <c r="AM106" i="128" s="1"/>
  <c r="AK105" i="128"/>
  <c r="AM105" i="128" s="1"/>
  <c r="AK104" i="128"/>
  <c r="AM104" i="128" s="1"/>
  <c r="AK103" i="128"/>
  <c r="AM103" i="128" s="1"/>
  <c r="AK102" i="128"/>
  <c r="AK101" i="128"/>
  <c r="AM101" i="128" s="1"/>
  <c r="AK100" i="128"/>
  <c r="AM100" i="128" s="1"/>
  <c r="AK99" i="128"/>
  <c r="AK96" i="128"/>
  <c r="AK95" i="128"/>
  <c r="AK16" i="128" s="1"/>
  <c r="R14" i="9"/>
  <c r="V90" i="9"/>
  <c r="W90" i="9"/>
  <c r="Z90" i="9"/>
  <c r="AA90" i="9"/>
  <c r="AM151" i="128" l="1"/>
  <c r="AM149" i="128"/>
  <c r="AM153" i="128"/>
  <c r="AM150" i="128"/>
  <c r="AM154" i="128"/>
  <c r="AM158" i="128"/>
  <c r="AM160" i="128"/>
  <c r="AM148" i="128"/>
  <c r="AM152" i="128"/>
  <c r="AM156" i="128"/>
  <c r="AM155" i="128"/>
  <c r="AK98" i="128"/>
  <c r="J1276" i="170"/>
  <c r="J1261" i="170"/>
  <c r="J1244" i="170"/>
  <c r="D1240" i="170"/>
  <c r="J1224" i="170"/>
  <c r="D1227" i="170"/>
  <c r="J1206" i="170"/>
  <c r="J1190" i="170"/>
  <c r="D1193" i="170"/>
  <c r="D1190" i="170"/>
  <c r="D1173" i="170"/>
  <c r="J1159" i="170"/>
  <c r="D1155" i="170"/>
  <c r="J1139" i="170"/>
  <c r="D1138" i="170"/>
  <c r="D1125" i="170"/>
  <c r="D1105" i="170"/>
  <c r="J1087" i="170"/>
  <c r="D1088" i="170"/>
  <c r="J1074" i="170"/>
  <c r="D1070" i="170"/>
  <c r="D1054" i="170"/>
  <c r="J1040" i="170"/>
  <c r="D1036" i="170"/>
  <c r="J1020" i="170"/>
  <c r="D1019" i="170"/>
  <c r="D1003" i="170"/>
  <c r="J989" i="170"/>
  <c r="D985" i="170"/>
  <c r="D969" i="170"/>
  <c r="J955" i="170"/>
  <c r="J952" i="170"/>
  <c r="J934" i="170"/>
  <c r="J918" i="170"/>
  <c r="D921" i="170"/>
  <c r="J900" i="170"/>
  <c r="J884" i="170"/>
  <c r="D883" i="170"/>
  <c r="D867" i="170"/>
  <c r="J853" i="170"/>
  <c r="J833" i="170"/>
  <c r="D836" i="170"/>
  <c r="J815" i="170"/>
  <c r="D799" i="170"/>
  <c r="J785" i="170"/>
  <c r="D781" i="170"/>
  <c r="J765" i="170"/>
  <c r="D764" i="170"/>
  <c r="J747" i="170"/>
  <c r="J1257" i="170"/>
  <c r="D1261" i="170"/>
  <c r="D1258" i="170"/>
  <c r="J1227" i="170"/>
  <c r="D1224" i="170"/>
  <c r="D1206" i="170"/>
  <c r="J1193" i="170"/>
  <c r="J1176" i="170"/>
  <c r="J1172" i="170"/>
  <c r="D1176" i="170"/>
  <c r="J1156" i="170"/>
  <c r="J1142" i="170"/>
  <c r="J1121" i="170"/>
  <c r="D1122" i="170"/>
  <c r="J1104" i="170"/>
  <c r="D1108" i="170"/>
  <c r="D1087" i="170"/>
  <c r="D1074" i="170"/>
  <c r="D1071" i="170"/>
  <c r="D1053" i="170"/>
  <c r="D1040" i="170"/>
  <c r="D1037" i="170"/>
  <c r="J1019" i="170"/>
  <c r="D1023" i="170"/>
  <c r="D1020" i="170"/>
  <c r="D1002" i="170"/>
  <c r="D989" i="170"/>
  <c r="D986" i="170"/>
  <c r="D968" i="170"/>
  <c r="J951" i="170"/>
  <c r="J935" i="170"/>
  <c r="J917" i="170"/>
  <c r="J904" i="170"/>
  <c r="J901" i="170"/>
  <c r="J883" i="170"/>
  <c r="J866" i="170"/>
  <c r="D870" i="170"/>
  <c r="J850" i="170"/>
  <c r="D853" i="170"/>
  <c r="D849" i="170"/>
  <c r="J836" i="170"/>
  <c r="D833" i="170"/>
  <c r="J802" i="170"/>
  <c r="J799" i="170"/>
  <c r="J729" i="170"/>
  <c r="J726" i="170"/>
  <c r="D725" i="170"/>
  <c r="J697" i="170"/>
  <c r="D693" i="170"/>
  <c r="J677" i="170"/>
  <c r="D680" i="170"/>
  <c r="J625" i="170"/>
  <c r="D607" i="170"/>
  <c r="J594" i="170"/>
  <c r="D591" i="170"/>
  <c r="D573" i="170"/>
  <c r="J560" i="170"/>
  <c r="J557" i="170"/>
  <c r="J540" i="170"/>
  <c r="D540" i="170"/>
  <c r="J524" i="170"/>
  <c r="D524" i="170"/>
  <c r="J506" i="170"/>
  <c r="D510" i="170"/>
  <c r="D506" i="170"/>
  <c r="J493" i="170"/>
  <c r="D490" i="170"/>
  <c r="J453" i="170"/>
  <c r="D457" i="170"/>
  <c r="D454" i="170"/>
  <c r="D437" i="170"/>
  <c r="J424" i="170"/>
  <c r="J403" i="170"/>
  <c r="D385" i="170"/>
  <c r="J372" i="170"/>
  <c r="J351" i="170"/>
  <c r="D355" i="170"/>
  <c r="J334" i="170"/>
  <c r="D333" i="170"/>
  <c r="J319" i="170"/>
  <c r="D315" i="170"/>
  <c r="J302" i="170"/>
  <c r="D302" i="170"/>
  <c r="J282" i="170"/>
  <c r="J264" i="170"/>
  <c r="D268" i="170"/>
  <c r="D248" i="170"/>
  <c r="J231" i="170"/>
  <c r="D231" i="170"/>
  <c r="D212" i="170"/>
  <c r="J199" i="170"/>
  <c r="J196" i="170"/>
  <c r="D195" i="170"/>
  <c r="J182" i="170"/>
  <c r="J179" i="170"/>
  <c r="D162" i="170"/>
  <c r="J144" i="170"/>
  <c r="D148" i="170"/>
  <c r="J128" i="170"/>
  <c r="D128" i="170"/>
  <c r="J111" i="170"/>
  <c r="D110" i="170"/>
  <c r="J97" i="170"/>
  <c r="J76" i="170"/>
  <c r="D80" i="170"/>
  <c r="D77" i="170"/>
  <c r="D59" i="170"/>
  <c r="J46" i="170"/>
  <c r="J25" i="170"/>
  <c r="D29" i="170"/>
  <c r="J8" i="170"/>
  <c r="J1240" i="170"/>
  <c r="J1275" i="170"/>
  <c r="D1276" i="170"/>
  <c r="D1244" i="170"/>
  <c r="D1207" i="170"/>
  <c r="D1189" i="170"/>
  <c r="J1173" i="170"/>
  <c r="D1121" i="170"/>
  <c r="D1104" i="170"/>
  <c r="J1057" i="170"/>
  <c r="J1053" i="170"/>
  <c r="D1006" i="170"/>
  <c r="J986" i="170"/>
  <c r="D972" i="170"/>
  <c r="D955" i="170"/>
  <c r="D951" i="170"/>
  <c r="D866" i="170"/>
  <c r="J832" i="170"/>
  <c r="J819" i="170"/>
  <c r="D816" i="170"/>
  <c r="J798" i="170"/>
  <c r="J748" i="170"/>
  <c r="J727" i="170"/>
  <c r="D676" i="170"/>
  <c r="D663" i="170"/>
  <c r="D643" i="170"/>
  <c r="J628" i="170"/>
  <c r="D624" i="170"/>
  <c r="J607" i="170"/>
  <c r="J590" i="170"/>
  <c r="D577" i="170"/>
  <c r="D574" i="170"/>
  <c r="D556" i="170"/>
  <c r="D543" i="170"/>
  <c r="D527" i="170"/>
  <c r="D489" i="170"/>
  <c r="D472" i="170"/>
  <c r="J457" i="170"/>
  <c r="J454" i="170"/>
  <c r="J441" i="170"/>
  <c r="J438" i="170"/>
  <c r="D403" i="170"/>
  <c r="J385" i="170"/>
  <c r="J368" i="170"/>
  <c r="J355" i="170"/>
  <c r="J352" i="170"/>
  <c r="D352" i="170"/>
  <c r="J337" i="170"/>
  <c r="D337" i="170"/>
  <c r="D334" i="170"/>
  <c r="J298" i="170"/>
  <c r="J281" i="170"/>
  <c r="D264" i="170"/>
  <c r="J234" i="170"/>
  <c r="J212" i="170"/>
  <c r="D196" i="170"/>
  <c r="D178" i="170"/>
  <c r="J148" i="170"/>
  <c r="J127" i="170"/>
  <c r="J110" i="170"/>
  <c r="D94" i="170"/>
  <c r="D76" i="170"/>
  <c r="D43" i="170"/>
  <c r="D1274" i="170"/>
  <c r="J1241" i="170"/>
  <c r="D1142" i="170"/>
  <c r="J1108" i="170"/>
  <c r="J1091" i="170"/>
  <c r="J1070" i="170"/>
  <c r="J1054" i="170"/>
  <c r="J1036" i="170"/>
  <c r="D952" i="170"/>
  <c r="D938" i="170"/>
  <c r="D934" i="170"/>
  <c r="D904" i="170"/>
  <c r="D900" i="170"/>
  <c r="D884" i="170"/>
  <c r="J870" i="170"/>
  <c r="J849" i="170"/>
  <c r="D832" i="170"/>
  <c r="J816" i="170"/>
  <c r="D802" i="170"/>
  <c r="D798" i="170"/>
  <c r="J782" i="170"/>
  <c r="D768" i="170"/>
  <c r="J693" i="170"/>
  <c r="D660" i="170"/>
  <c r="J646" i="170"/>
  <c r="J642" i="170"/>
  <c r="D628" i="170"/>
  <c r="D625" i="170"/>
  <c r="D590" i="170"/>
  <c r="D560" i="170"/>
  <c r="D557" i="170"/>
  <c r="J543" i="170"/>
  <c r="J527" i="170"/>
  <c r="J510" i="170"/>
  <c r="D507" i="170"/>
  <c r="J490" i="170"/>
  <c r="D493" i="170"/>
  <c r="J471" i="170"/>
  <c r="D441" i="170"/>
  <c r="D438" i="170"/>
  <c r="J421" i="170"/>
  <c r="D424" i="170"/>
  <c r="D420" i="170"/>
  <c r="D404" i="170"/>
  <c r="J389" i="170"/>
  <c r="J386" i="170"/>
  <c r="J315" i="170"/>
  <c r="D299" i="170"/>
  <c r="J285" i="170"/>
  <c r="D281" i="170"/>
  <c r="J248" i="170"/>
  <c r="D251" i="170"/>
  <c r="D234" i="170"/>
  <c r="J216" i="170"/>
  <c r="J213" i="170"/>
  <c r="J195" i="170"/>
  <c r="D182" i="170"/>
  <c r="D179" i="170"/>
  <c r="J161" i="170"/>
  <c r="J145" i="170"/>
  <c r="D145" i="170"/>
  <c r="J131" i="170"/>
  <c r="J114" i="170"/>
  <c r="J93" i="170"/>
  <c r="J80" i="170"/>
  <c r="J77" i="170"/>
  <c r="J59" i="170"/>
  <c r="J42" i="170"/>
  <c r="J29" i="170"/>
  <c r="J26" i="170"/>
  <c r="D26" i="170"/>
  <c r="J12" i="170"/>
  <c r="J9" i="170"/>
  <c r="J1278" i="170"/>
  <c r="D1275" i="170"/>
  <c r="D1241" i="170"/>
  <c r="J1223" i="170"/>
  <c r="D1223" i="170"/>
  <c r="J1210" i="170"/>
  <c r="J1189" i="170"/>
  <c r="D1172" i="170"/>
  <c r="D1159" i="170"/>
  <c r="D1139" i="170"/>
  <c r="J1125" i="170"/>
  <c r="J1105" i="170"/>
  <c r="J1088" i="170"/>
  <c r="D1091" i="170"/>
  <c r="J1071" i="170"/>
  <c r="D1057" i="170"/>
  <c r="J1037" i="170"/>
  <c r="J1006" i="170"/>
  <c r="J1002" i="170"/>
  <c r="J972" i="170"/>
  <c r="J968" i="170"/>
  <c r="D935" i="170"/>
  <c r="D917" i="170"/>
  <c r="D901" i="170"/>
  <c r="J867" i="170"/>
  <c r="D850" i="170"/>
  <c r="D819" i="170"/>
  <c r="D815" i="170"/>
  <c r="D785" i="170"/>
  <c r="D765" i="170"/>
  <c r="J725" i="170"/>
  <c r="D726" i="170"/>
  <c r="D697" i="170"/>
  <c r="D694" i="170"/>
  <c r="J676" i="170"/>
  <c r="D677" i="170"/>
  <c r="J659" i="170"/>
  <c r="J643" i="170"/>
  <c r="D642" i="170"/>
  <c r="J611" i="170"/>
  <c r="J608" i="170"/>
  <c r="D611" i="170"/>
  <c r="D608" i="170"/>
  <c r="J591" i="170"/>
  <c r="D594" i="170"/>
  <c r="J573" i="170"/>
  <c r="J507" i="170"/>
  <c r="J475" i="170"/>
  <c r="J472" i="170"/>
  <c r="D471" i="170"/>
  <c r="D453" i="170"/>
  <c r="D421" i="170"/>
  <c r="D407" i="170"/>
  <c r="D389" i="170"/>
  <c r="D386" i="170"/>
  <c r="J369" i="170"/>
  <c r="D372" i="170"/>
  <c r="D368" i="170"/>
  <c r="D351" i="170"/>
  <c r="J299" i="170"/>
  <c r="D285" i="170"/>
  <c r="D282" i="170"/>
  <c r="D265" i="170"/>
  <c r="J251" i="170"/>
  <c r="D247" i="170"/>
  <c r="D216" i="170"/>
  <c r="D213" i="170"/>
  <c r="J1274" i="170"/>
  <c r="J1258" i="170"/>
  <c r="J1207" i="170"/>
  <c r="J1138" i="170"/>
  <c r="J1023" i="170"/>
  <c r="J1003" i="170"/>
  <c r="D887" i="170"/>
  <c r="D782" i="170"/>
  <c r="J680" i="170"/>
  <c r="J663" i="170"/>
  <c r="D659" i="170"/>
  <c r="J577" i="170"/>
  <c r="J407" i="170"/>
  <c r="D319" i="170"/>
  <c r="J268" i="170"/>
  <c r="J165" i="170"/>
  <c r="D161" i="170"/>
  <c r="D144" i="170"/>
  <c r="J94" i="170"/>
  <c r="D97" i="170"/>
  <c r="J63" i="170"/>
  <c r="D1257" i="170"/>
  <c r="J1122" i="170"/>
  <c r="J985" i="170"/>
  <c r="J938" i="170"/>
  <c r="J764" i="170"/>
  <c r="D727" i="170"/>
  <c r="J556" i="170"/>
  <c r="J539" i="170"/>
  <c r="D475" i="170"/>
  <c r="D199" i="170"/>
  <c r="J178" i="170"/>
  <c r="D131" i="170"/>
  <c r="D60" i="170"/>
  <c r="D42" i="170"/>
  <c r="D1278" i="170"/>
  <c r="D1210" i="170"/>
  <c r="J1155" i="170"/>
  <c r="J969" i="170"/>
  <c r="J768" i="170"/>
  <c r="D729" i="170"/>
  <c r="D646" i="170"/>
  <c r="J624" i="170"/>
  <c r="D539" i="170"/>
  <c r="J523" i="170"/>
  <c r="J437" i="170"/>
  <c r="J420" i="170"/>
  <c r="J333" i="170"/>
  <c r="D298" i="170"/>
  <c r="J247" i="170"/>
  <c r="D127" i="170"/>
  <c r="D111" i="170"/>
  <c r="D93" i="170"/>
  <c r="J60" i="170"/>
  <c r="D1156" i="170"/>
  <c r="J921" i="170"/>
  <c r="D918" i="170"/>
  <c r="J887" i="170"/>
  <c r="J781" i="170"/>
  <c r="J751" i="170"/>
  <c r="J694" i="170"/>
  <c r="J660" i="170"/>
  <c r="J574" i="170"/>
  <c r="D523" i="170"/>
  <c r="J489" i="170"/>
  <c r="J404" i="170"/>
  <c r="D369" i="170"/>
  <c r="J316" i="170"/>
  <c r="D316" i="170"/>
  <c r="J265" i="170"/>
  <c r="J230" i="170"/>
  <c r="D230" i="170"/>
  <c r="J162" i="170"/>
  <c r="D165" i="170"/>
  <c r="D114" i="170"/>
  <c r="D63" i="170"/>
  <c r="J43" i="170"/>
  <c r="D46" i="170"/>
  <c r="D25" i="170"/>
  <c r="AM27" i="128"/>
  <c r="R21" i="9"/>
  <c r="AM31" i="128"/>
  <c r="R25" i="9"/>
  <c r="AM35" i="128"/>
  <c r="R29" i="9"/>
  <c r="AM39" i="128"/>
  <c r="R33" i="9"/>
  <c r="AM43" i="128"/>
  <c r="R37" i="9"/>
  <c r="AM47" i="128"/>
  <c r="R41" i="9"/>
  <c r="AM51" i="128"/>
  <c r="R45" i="9"/>
  <c r="AM55" i="128"/>
  <c r="R49" i="9"/>
  <c r="AM59" i="128"/>
  <c r="R53" i="9"/>
  <c r="AM63" i="128"/>
  <c r="R57" i="9"/>
  <c r="AM67" i="128"/>
  <c r="R61" i="9"/>
  <c r="AM71" i="128"/>
  <c r="R65" i="9"/>
  <c r="AM75" i="128"/>
  <c r="R69" i="9"/>
  <c r="AM79" i="128"/>
  <c r="R73" i="9"/>
  <c r="AM83" i="128"/>
  <c r="R77" i="9"/>
  <c r="AM87" i="128"/>
  <c r="R81" i="9"/>
  <c r="AM91" i="128"/>
  <c r="R85" i="9"/>
  <c r="AM95" i="128"/>
  <c r="R89" i="9"/>
  <c r="AM32" i="128"/>
  <c r="R26" i="9"/>
  <c r="AM36" i="128"/>
  <c r="R30" i="9"/>
  <c r="AM40" i="128"/>
  <c r="R34" i="9"/>
  <c r="AM44" i="128"/>
  <c r="R38" i="9"/>
  <c r="AM48" i="128"/>
  <c r="R42" i="9"/>
  <c r="AM52" i="128"/>
  <c r="R46" i="9"/>
  <c r="AM56" i="128"/>
  <c r="R50" i="9"/>
  <c r="AM60" i="128"/>
  <c r="R54" i="9"/>
  <c r="AM64" i="128"/>
  <c r="R58" i="9"/>
  <c r="AM68" i="128"/>
  <c r="R62" i="9"/>
  <c r="AM72" i="128"/>
  <c r="R66" i="9"/>
  <c r="AM76" i="128"/>
  <c r="R70" i="9"/>
  <c r="AM80" i="128"/>
  <c r="R74" i="9"/>
  <c r="AM84" i="128"/>
  <c r="R78" i="9"/>
  <c r="AM88" i="128"/>
  <c r="R82" i="9"/>
  <c r="AM92" i="128"/>
  <c r="R86" i="9"/>
  <c r="AM96" i="128"/>
  <c r="R90" i="9"/>
  <c r="AM19" i="128"/>
  <c r="R13" i="9"/>
  <c r="AM28" i="128"/>
  <c r="R22" i="9"/>
  <c r="T177" i="128"/>
  <c r="AM21" i="128"/>
  <c r="R15" i="9"/>
  <c r="AM25" i="128"/>
  <c r="R19" i="9"/>
  <c r="AM29" i="128"/>
  <c r="R23" i="9"/>
  <c r="AM33" i="128"/>
  <c r="R27" i="9"/>
  <c r="AM37" i="128"/>
  <c r="R31" i="9"/>
  <c r="AM41" i="128"/>
  <c r="R35" i="9"/>
  <c r="AM45" i="128"/>
  <c r="R39" i="9"/>
  <c r="AM49" i="128"/>
  <c r="R43" i="9"/>
  <c r="AM53" i="128"/>
  <c r="R47" i="9"/>
  <c r="AM57" i="128"/>
  <c r="R51" i="9"/>
  <c r="AM61" i="128"/>
  <c r="R55" i="9"/>
  <c r="AM65" i="128"/>
  <c r="R59" i="9"/>
  <c r="AM69" i="128"/>
  <c r="R63" i="9"/>
  <c r="AM73" i="128"/>
  <c r="R67" i="9"/>
  <c r="AM77" i="128"/>
  <c r="R71" i="9"/>
  <c r="AM81" i="128"/>
  <c r="R75" i="9"/>
  <c r="AM85" i="128"/>
  <c r="R79" i="9"/>
  <c r="AM89" i="128"/>
  <c r="R83" i="9"/>
  <c r="AM93" i="128"/>
  <c r="R87" i="9"/>
  <c r="AM23" i="128"/>
  <c r="R17" i="9"/>
  <c r="AM24" i="128"/>
  <c r="R18" i="9"/>
  <c r="T176" i="128"/>
  <c r="AM22" i="128"/>
  <c r="R16" i="9"/>
  <c r="AM26" i="128"/>
  <c r="R20" i="9"/>
  <c r="AM30" i="128"/>
  <c r="R24" i="9"/>
  <c r="AM34" i="128"/>
  <c r="R28" i="9"/>
  <c r="AM38" i="128"/>
  <c r="R32" i="9"/>
  <c r="AM42" i="128"/>
  <c r="R36" i="9"/>
  <c r="AM46" i="128"/>
  <c r="R40" i="9"/>
  <c r="AM50" i="128"/>
  <c r="R44" i="9"/>
  <c r="AM54" i="128"/>
  <c r="R48" i="9"/>
  <c r="AM58" i="128"/>
  <c r="R52" i="9"/>
  <c r="AM62" i="128"/>
  <c r="R56" i="9"/>
  <c r="AM66" i="128"/>
  <c r="R60" i="9"/>
  <c r="AM70" i="128"/>
  <c r="R64" i="9"/>
  <c r="AM74" i="128"/>
  <c r="R68" i="9"/>
  <c r="AM78" i="128"/>
  <c r="R72" i="9"/>
  <c r="AM82" i="128"/>
  <c r="R76" i="9"/>
  <c r="AM86" i="128"/>
  <c r="R80" i="9"/>
  <c r="R84" i="9"/>
  <c r="T180" i="128"/>
  <c r="AM94" i="128"/>
  <c r="R88" i="9"/>
  <c r="AM20" i="128"/>
  <c r="M167" i="128"/>
  <c r="AM102" i="128"/>
  <c r="T183" i="128"/>
  <c r="AM110" i="128"/>
  <c r="AA185" i="128" s="1"/>
  <c r="T185" i="128"/>
  <c r="T192" i="128" s="1"/>
  <c r="AM17" i="128"/>
  <c r="M166" i="128"/>
  <c r="AM99" i="128"/>
  <c r="T184" i="128"/>
  <c r="AM157" i="128"/>
  <c r="T187" i="128"/>
  <c r="M170" i="128"/>
  <c r="M169" i="128" s="1"/>
  <c r="AM18" i="128"/>
  <c r="M165" i="128"/>
  <c r="D1292" i="170"/>
  <c r="D1294" i="170"/>
  <c r="D1293" i="170"/>
  <c r="D1295" i="170"/>
  <c r="D1291" i="170"/>
  <c r="AL7" i="151"/>
  <c r="D12" i="170"/>
  <c r="H722" i="170"/>
  <c r="AJ7" i="151"/>
  <c r="H673" i="170"/>
  <c r="B690" i="170"/>
  <c r="B707" i="170"/>
  <c r="M652" i="170"/>
  <c r="M18" i="170"/>
  <c r="I1290" i="170"/>
  <c r="K1290" i="170" s="1"/>
  <c r="I1297" i="170"/>
  <c r="K1297" i="170" s="1"/>
  <c r="M35" i="170"/>
  <c r="M103" i="170"/>
  <c r="M274" i="170"/>
  <c r="M308" i="170"/>
  <c r="M343" i="170"/>
  <c r="M377" i="170"/>
  <c r="M463" i="170"/>
  <c r="M533" i="170"/>
  <c r="M669" i="170"/>
  <c r="I1292" i="170"/>
  <c r="M69" i="170"/>
  <c r="M291" i="170"/>
  <c r="M325" i="170"/>
  <c r="M361" i="170"/>
  <c r="M757" i="170"/>
  <c r="I1294" i="170"/>
  <c r="D748" i="170"/>
  <c r="D8" i="170"/>
  <c r="D711" i="170"/>
  <c r="J1291" i="170"/>
  <c r="J1293" i="170"/>
  <c r="M171" i="170"/>
  <c r="M205" i="170"/>
  <c r="M240" i="170"/>
  <c r="M395" i="170"/>
  <c r="M447" i="170"/>
  <c r="M516" i="170"/>
  <c r="G38" i="170"/>
  <c r="M154" i="170"/>
  <c r="M188" i="170"/>
  <c r="M222" i="170"/>
  <c r="M257" i="170"/>
  <c r="M634" i="170"/>
  <c r="J1294" i="170"/>
  <c r="D9" i="170"/>
  <c r="M549" i="170"/>
  <c r="M617" i="170"/>
  <c r="J1295" i="170"/>
  <c r="K1295" i="170" s="1"/>
  <c r="D714" i="170"/>
  <c r="D710" i="170"/>
  <c r="J1292" i="170"/>
  <c r="D751" i="170"/>
  <c r="D747" i="170"/>
  <c r="M566" i="170"/>
  <c r="D713" i="170"/>
  <c r="I1291" i="170"/>
  <c r="I1293" i="170"/>
  <c r="I96" i="151"/>
  <c r="I95" i="151"/>
  <c r="T175" i="128" l="1"/>
  <c r="AA178" i="128"/>
  <c r="AA192" i="128" s="1"/>
  <c r="E16" i="154"/>
  <c r="T182" i="128"/>
  <c r="T188" i="128" s="1"/>
  <c r="AA180" i="128"/>
  <c r="AA176" i="128"/>
  <c r="AA184" i="128"/>
  <c r="AM98" i="128"/>
  <c r="AM16" i="128"/>
  <c r="AS17" i="128" s="1"/>
  <c r="T191" i="128"/>
  <c r="T190" i="128"/>
  <c r="AA177" i="128"/>
  <c r="AA183" i="128"/>
  <c r="T181" i="128"/>
  <c r="M164" i="128"/>
  <c r="M171" i="128" s="1"/>
  <c r="R166" i="128"/>
  <c r="R170" i="128"/>
  <c r="R169" i="128" s="1"/>
  <c r="AA187" i="128"/>
  <c r="R167" i="128"/>
  <c r="AK161" i="128"/>
  <c r="R165" i="128"/>
  <c r="E18" i="154"/>
  <c r="AL8" i="151"/>
  <c r="E17" i="154"/>
  <c r="G17" i="154" s="1"/>
  <c r="AB9" i="99"/>
  <c r="AF7" i="151"/>
  <c r="AH7" i="151"/>
  <c r="AB10" i="101"/>
  <c r="K1292" i="170"/>
  <c r="K1294" i="170"/>
  <c r="K1293" i="170"/>
  <c r="K1291" i="170"/>
  <c r="G55" i="170"/>
  <c r="A72" i="170" s="1"/>
  <c r="G72" i="170" s="1"/>
  <c r="A89" i="170" s="1"/>
  <c r="G89" i="170" s="1"/>
  <c r="A106" i="170" s="1"/>
  <c r="G106" i="170" s="1"/>
  <c r="A123" i="170" s="1"/>
  <c r="G123" i="170" s="1"/>
  <c r="A140" i="170" s="1"/>
  <c r="G140" i="170" s="1"/>
  <c r="A157" i="170" s="1"/>
  <c r="G157" i="170" s="1"/>
  <c r="A174" i="170" s="1"/>
  <c r="G174" i="170" s="1"/>
  <c r="A191" i="170" s="1"/>
  <c r="G191" i="170" s="1"/>
  <c r="A208" i="170" s="1"/>
  <c r="G208" i="170" s="1"/>
  <c r="A226" i="170" s="1"/>
  <c r="G226" i="170" s="1"/>
  <c r="A243" i="170" s="1"/>
  <c r="A55" i="170"/>
  <c r="I16" i="167"/>
  <c r="L14" i="167"/>
  <c r="L15" i="167" s="1"/>
  <c r="K14" i="167"/>
  <c r="I14" i="167"/>
  <c r="G16" i="154" l="1"/>
  <c r="AF8" i="151"/>
  <c r="X11" i="151" s="1"/>
  <c r="AB10" i="99"/>
  <c r="AA182" i="128"/>
  <c r="AH184" i="128" s="1"/>
  <c r="AA175" i="128"/>
  <c r="AH177" i="128" s="1"/>
  <c r="R164" i="128"/>
  <c r="R171" i="128" s="1"/>
  <c r="W165" i="128" s="1"/>
  <c r="AH8" i="151"/>
  <c r="G243" i="170"/>
  <c r="A260" i="170" s="1"/>
  <c r="G260" i="170" s="1"/>
  <c r="A277" i="170" s="1"/>
  <c r="G277" i="170" s="1"/>
  <c r="A294" i="170" s="1"/>
  <c r="G294" i="170" s="1"/>
  <c r="A311" i="170" s="1"/>
  <c r="G311" i="170" s="1"/>
  <c r="A329" i="170" s="1"/>
  <c r="G329" i="170" s="1"/>
  <c r="A347" i="170" s="1"/>
  <c r="G347" i="170" s="1"/>
  <c r="A364" i="170" s="1"/>
  <c r="G364" i="170" s="1"/>
  <c r="A381" i="170" s="1"/>
  <c r="G381" i="170" s="1"/>
  <c r="A399" i="170" s="1"/>
  <c r="G399" i="170" s="1"/>
  <c r="A416" i="170" s="1"/>
  <c r="G416" i="170" s="1"/>
  <c r="A433" i="170" s="1"/>
  <c r="G433" i="170" s="1"/>
  <c r="A467" i="170" s="1"/>
  <c r="G467" i="170" s="1"/>
  <c r="A485" i="170" s="1"/>
  <c r="G485" i="170" s="1"/>
  <c r="A502" i="170" s="1"/>
  <c r="G502" i="170" s="1"/>
  <c r="A519" i="170" s="1"/>
  <c r="G519" i="170" s="1"/>
  <c r="A535" i="170" s="1"/>
  <c r="G535" i="170" s="1"/>
  <c r="A552" i="170" s="1"/>
  <c r="K1302" i="170"/>
  <c r="Z12" i="99" l="1"/>
  <c r="J97" i="99"/>
  <c r="K97" i="151" s="1"/>
  <c r="M97" i="151" s="1"/>
  <c r="J96" i="99"/>
  <c r="AH183" i="128"/>
  <c r="AH178" i="128"/>
  <c r="AH176" i="128"/>
  <c r="W170" i="128"/>
  <c r="W169" i="128" s="1"/>
  <c r="W167" i="128"/>
  <c r="W168" i="128"/>
  <c r="W166" i="128"/>
  <c r="AA181" i="128"/>
  <c r="AH179" i="128"/>
  <c r="A449" i="170"/>
  <c r="G449" i="170" s="1"/>
  <c r="A569" i="170"/>
  <c r="G552" i="170"/>
  <c r="V13" i="9"/>
  <c r="V14" i="9"/>
  <c r="V15" i="9"/>
  <c r="V16" i="9"/>
  <c r="V17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AK157" i="8" l="1"/>
  <c r="AH175" i="128"/>
  <c r="V18" i="9"/>
  <c r="W164" i="128"/>
  <c r="W171" i="128" s="1"/>
  <c r="AH186" i="128"/>
  <c r="AH185" i="128"/>
  <c r="A586" i="170"/>
  <c r="G569" i="170"/>
  <c r="AH182" i="128" l="1"/>
  <c r="A603" i="170"/>
  <c r="G586" i="170"/>
  <c r="A620" i="170" l="1"/>
  <c r="G603" i="170"/>
  <c r="AP95" i="8"/>
  <c r="AO95" i="8"/>
  <c r="W13" i="9"/>
  <c r="W14" i="9"/>
  <c r="W15" i="9"/>
  <c r="W16" i="9"/>
  <c r="W17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AJ161" i="128"/>
  <c r="AQ95" i="8" l="1"/>
  <c r="AL94" i="8"/>
  <c r="AM94" i="8"/>
  <c r="AN94" i="8"/>
  <c r="AO94" i="8"/>
  <c r="AP94" i="8"/>
  <c r="W18" i="9"/>
  <c r="A638" i="170"/>
  <c r="G620" i="170"/>
  <c r="AQ94" i="8" l="1"/>
  <c r="AO157" i="8"/>
  <c r="AN157" i="8"/>
  <c r="AP157" i="8"/>
  <c r="A655" i="170"/>
  <c r="G638" i="170"/>
  <c r="G655" i="170" l="1"/>
  <c r="G672" i="170" s="1"/>
  <c r="A672" i="170"/>
  <c r="G706" i="170" l="1"/>
  <c r="G689" i="170"/>
  <c r="A706" i="170"/>
  <c r="A721" i="170" s="1"/>
  <c r="A689" i="170"/>
  <c r="G721" i="170" l="1"/>
  <c r="A743" i="170"/>
  <c r="AC161" i="9"/>
  <c r="AC94" i="9"/>
  <c r="Z98" i="99" l="1"/>
  <c r="F81" i="101"/>
  <c r="AC158" i="9" l="1"/>
  <c r="D161" i="151" l="1"/>
  <c r="C76" i="101"/>
  <c r="X156" i="9"/>
  <c r="D153" i="151"/>
  <c r="C68" i="101"/>
  <c r="X148" i="9"/>
  <c r="D145" i="151"/>
  <c r="C60" i="101"/>
  <c r="X140" i="9"/>
  <c r="D137" i="151"/>
  <c r="C52" i="101"/>
  <c r="X132" i="9"/>
  <c r="D129" i="151"/>
  <c r="C44" i="101"/>
  <c r="X124" i="9"/>
  <c r="D121" i="151"/>
  <c r="C36" i="101"/>
  <c r="X116" i="9"/>
  <c r="D113" i="151"/>
  <c r="C28" i="101"/>
  <c r="X108" i="9"/>
  <c r="D162" i="151"/>
  <c r="C77" i="101"/>
  <c r="X157" i="9"/>
  <c r="D154" i="151"/>
  <c r="C69" i="101"/>
  <c r="X149" i="9"/>
  <c r="D146" i="151"/>
  <c r="C61" i="101"/>
  <c r="X141" i="9"/>
  <c r="D138" i="151"/>
  <c r="C53" i="101"/>
  <c r="X133" i="9"/>
  <c r="D130" i="151"/>
  <c r="C45" i="101"/>
  <c r="X125" i="9"/>
  <c r="D122" i="151"/>
  <c r="C37" i="101"/>
  <c r="X117" i="9"/>
  <c r="D118" i="151"/>
  <c r="C33" i="101"/>
  <c r="X113" i="9"/>
  <c r="D114" i="151"/>
  <c r="C29" i="101"/>
  <c r="X109" i="9"/>
  <c r="D106" i="151"/>
  <c r="C21" i="101"/>
  <c r="X101" i="9"/>
  <c r="C78" i="101"/>
  <c r="D163" i="151"/>
  <c r="X158" i="9"/>
  <c r="C74" i="101"/>
  <c r="D159" i="151"/>
  <c r="X154" i="9"/>
  <c r="C70" i="101"/>
  <c r="D155" i="151"/>
  <c r="X150" i="9"/>
  <c r="C66" i="101"/>
  <c r="D151" i="151"/>
  <c r="X146" i="9"/>
  <c r="C62" i="101"/>
  <c r="D147" i="151"/>
  <c r="X142" i="9"/>
  <c r="C58" i="101"/>
  <c r="D143" i="151"/>
  <c r="X138" i="9"/>
  <c r="C54" i="101"/>
  <c r="D139" i="151"/>
  <c r="X134" i="9"/>
  <c r="C50" i="101"/>
  <c r="D135" i="151"/>
  <c r="X130" i="9"/>
  <c r="C46" i="101"/>
  <c r="D131" i="151"/>
  <c r="X126" i="9"/>
  <c r="C42" i="101"/>
  <c r="D127" i="151"/>
  <c r="X122" i="9"/>
  <c r="C38" i="101"/>
  <c r="D123" i="151"/>
  <c r="X118" i="9"/>
  <c r="C34" i="101"/>
  <c r="D119" i="151"/>
  <c r="X114" i="9"/>
  <c r="C30" i="101"/>
  <c r="D115" i="151"/>
  <c r="X110" i="9"/>
  <c r="C26" i="101"/>
  <c r="D111" i="151"/>
  <c r="X106" i="9"/>
  <c r="C22" i="101"/>
  <c r="D107" i="151"/>
  <c r="X102" i="9"/>
  <c r="D157" i="151"/>
  <c r="C72" i="101"/>
  <c r="X152" i="9"/>
  <c r="D149" i="151"/>
  <c r="C64" i="101"/>
  <c r="X144" i="9"/>
  <c r="D141" i="151"/>
  <c r="C56" i="101"/>
  <c r="X136" i="9"/>
  <c r="D133" i="151"/>
  <c r="C48" i="101"/>
  <c r="X128" i="9"/>
  <c r="D125" i="151"/>
  <c r="C40" i="101"/>
  <c r="X120" i="9"/>
  <c r="D117" i="151"/>
  <c r="C32" i="101"/>
  <c r="X112" i="9"/>
  <c r="D109" i="151"/>
  <c r="C24" i="101"/>
  <c r="X104" i="9"/>
  <c r="D105" i="151"/>
  <c r="C20" i="101"/>
  <c r="X100" i="9"/>
  <c r="D158" i="151"/>
  <c r="C73" i="101"/>
  <c r="X153" i="9"/>
  <c r="D150" i="151"/>
  <c r="C65" i="101"/>
  <c r="X145" i="9"/>
  <c r="D142" i="151"/>
  <c r="C57" i="101"/>
  <c r="X137" i="9"/>
  <c r="D134" i="151"/>
  <c r="C49" i="101"/>
  <c r="X129" i="9"/>
  <c r="D126" i="151"/>
  <c r="C41" i="101"/>
  <c r="X121" i="9"/>
  <c r="D110" i="151"/>
  <c r="C25" i="101"/>
  <c r="X105" i="9"/>
  <c r="D160" i="151"/>
  <c r="C75" i="101"/>
  <c r="X155" i="9"/>
  <c r="D156" i="151"/>
  <c r="C71" i="101"/>
  <c r="X151" i="9"/>
  <c r="D152" i="151"/>
  <c r="C67" i="101"/>
  <c r="X147" i="9"/>
  <c r="D148" i="151"/>
  <c r="C63" i="101"/>
  <c r="X143" i="9"/>
  <c r="D144" i="151"/>
  <c r="C59" i="101"/>
  <c r="X139" i="9"/>
  <c r="D140" i="151"/>
  <c r="C55" i="101"/>
  <c r="X135" i="9"/>
  <c r="D136" i="151"/>
  <c r="C51" i="101"/>
  <c r="X131" i="9"/>
  <c r="D132" i="151"/>
  <c r="C47" i="101"/>
  <c r="X127" i="9"/>
  <c r="D128" i="151"/>
  <c r="C43" i="101"/>
  <c r="X123" i="9"/>
  <c r="D124" i="151"/>
  <c r="C39" i="101"/>
  <c r="X119" i="9"/>
  <c r="D120" i="151"/>
  <c r="C35" i="101"/>
  <c r="X115" i="9"/>
  <c r="D116" i="151"/>
  <c r="C31" i="101"/>
  <c r="X111" i="9"/>
  <c r="D112" i="151"/>
  <c r="C27" i="101"/>
  <c r="X107" i="9"/>
  <c r="D108" i="151"/>
  <c r="C23" i="101"/>
  <c r="X103" i="9"/>
  <c r="D104" i="151"/>
  <c r="C19" i="101"/>
  <c r="X99" i="9"/>
  <c r="AC89" i="9"/>
  <c r="AC87" i="9"/>
  <c r="AC88" i="9"/>
  <c r="V157" i="9"/>
  <c r="W157" i="9"/>
  <c r="V149" i="9"/>
  <c r="W149" i="9"/>
  <c r="V141" i="9"/>
  <c r="W141" i="9"/>
  <c r="V133" i="9"/>
  <c r="W133" i="9"/>
  <c r="V125" i="9"/>
  <c r="W125" i="9"/>
  <c r="V117" i="9"/>
  <c r="W117" i="9"/>
  <c r="V109" i="9"/>
  <c r="W109" i="9"/>
  <c r="V101" i="9"/>
  <c r="W101" i="9"/>
  <c r="AA89" i="9"/>
  <c r="Z89" i="9"/>
  <c r="V158" i="9"/>
  <c r="W158" i="9"/>
  <c r="V150" i="9"/>
  <c r="W150" i="9"/>
  <c r="V142" i="9"/>
  <c r="W142" i="9"/>
  <c r="V134" i="9"/>
  <c r="W134" i="9"/>
  <c r="V130" i="9"/>
  <c r="W130" i="9"/>
  <c r="V122" i="9"/>
  <c r="W122" i="9"/>
  <c r="V114" i="9"/>
  <c r="W114" i="9"/>
  <c r="V106" i="9"/>
  <c r="W106" i="9"/>
  <c r="Z86" i="9"/>
  <c r="AA86" i="9"/>
  <c r="V155" i="9"/>
  <c r="W155" i="9"/>
  <c r="V151" i="9"/>
  <c r="W151" i="9"/>
  <c r="V147" i="9"/>
  <c r="W147" i="9"/>
  <c r="V143" i="9"/>
  <c r="W143" i="9"/>
  <c r="V139" i="9"/>
  <c r="W139" i="9"/>
  <c r="V135" i="9"/>
  <c r="W135" i="9"/>
  <c r="V131" i="9"/>
  <c r="W131" i="9"/>
  <c r="V127" i="9"/>
  <c r="W127" i="9"/>
  <c r="V123" i="9"/>
  <c r="W123" i="9"/>
  <c r="V119" i="9"/>
  <c r="W119" i="9"/>
  <c r="V115" i="9"/>
  <c r="W115" i="9"/>
  <c r="V111" i="9"/>
  <c r="W111" i="9"/>
  <c r="V107" i="9"/>
  <c r="W107" i="9"/>
  <c r="V103" i="9"/>
  <c r="W103" i="9"/>
  <c r="V99" i="9"/>
  <c r="W99" i="9"/>
  <c r="Z88" i="9"/>
  <c r="AA88" i="9"/>
  <c r="V153" i="9"/>
  <c r="W153" i="9"/>
  <c r="V145" i="9"/>
  <c r="W145" i="9"/>
  <c r="V137" i="9"/>
  <c r="W137" i="9"/>
  <c r="V129" i="9"/>
  <c r="W129" i="9"/>
  <c r="V121" i="9"/>
  <c r="W121" i="9"/>
  <c r="V113" i="9"/>
  <c r="W113" i="9"/>
  <c r="V105" i="9"/>
  <c r="W105" i="9"/>
  <c r="V154" i="9"/>
  <c r="W154" i="9"/>
  <c r="V146" i="9"/>
  <c r="W146" i="9"/>
  <c r="V138" i="9"/>
  <c r="W138" i="9"/>
  <c r="V126" i="9"/>
  <c r="W126" i="9"/>
  <c r="V118" i="9"/>
  <c r="W118" i="9"/>
  <c r="V110" i="9"/>
  <c r="W110" i="9"/>
  <c r="V102" i="9"/>
  <c r="W102" i="9"/>
  <c r="AA87" i="9"/>
  <c r="Z87" i="9"/>
  <c r="V156" i="9"/>
  <c r="W156" i="9"/>
  <c r="V152" i="9"/>
  <c r="W152" i="9"/>
  <c r="V148" i="9"/>
  <c r="W148" i="9"/>
  <c r="V144" i="9"/>
  <c r="W144" i="9"/>
  <c r="V140" i="9"/>
  <c r="W140" i="9"/>
  <c r="V136" i="9"/>
  <c r="W136" i="9"/>
  <c r="V132" i="9"/>
  <c r="W132" i="9"/>
  <c r="V128" i="9"/>
  <c r="W128" i="9"/>
  <c r="V124" i="9"/>
  <c r="W124" i="9"/>
  <c r="V120" i="9"/>
  <c r="W120" i="9"/>
  <c r="V116" i="9"/>
  <c r="W116" i="9"/>
  <c r="V112" i="9"/>
  <c r="W112" i="9"/>
  <c r="V108" i="9"/>
  <c r="W108" i="9"/>
  <c r="V104" i="9"/>
  <c r="W104" i="9"/>
  <c r="V100" i="9"/>
  <c r="W100" i="9"/>
  <c r="K77" i="101" l="1"/>
  <c r="K78" i="101"/>
  <c r="K91" i="99"/>
  <c r="K94" i="99"/>
  <c r="K92" i="99"/>
  <c r="K93" i="99"/>
  <c r="B656" i="170"/>
  <c r="H1254" i="170"/>
  <c r="H656" i="170"/>
  <c r="B1254" i="170"/>
  <c r="H1237" i="170"/>
  <c r="B761" i="170"/>
  <c r="B897" i="170"/>
  <c r="B1033" i="170"/>
  <c r="B1169" i="170"/>
  <c r="B1084" i="170"/>
  <c r="H795" i="170"/>
  <c r="H1067" i="170"/>
  <c r="H846" i="170"/>
  <c r="H982" i="170"/>
  <c r="H1118" i="170"/>
  <c r="B914" i="170"/>
  <c r="B1186" i="170"/>
  <c r="H965" i="170"/>
  <c r="B863" i="170"/>
  <c r="B1135" i="170"/>
  <c r="H761" i="170"/>
  <c r="H999" i="170"/>
  <c r="H948" i="170"/>
  <c r="H1220" i="170"/>
  <c r="H897" i="170"/>
  <c r="H1169" i="170"/>
  <c r="B829" i="170"/>
  <c r="B1101" i="170"/>
  <c r="B948" i="170"/>
  <c r="B1220" i="170"/>
  <c r="H914" i="170"/>
  <c r="H1186" i="170"/>
  <c r="B795" i="170"/>
  <c r="B931" i="170"/>
  <c r="B1067" i="170"/>
  <c r="B1203" i="170"/>
  <c r="B812" i="170"/>
  <c r="B1152" i="170"/>
  <c r="H863" i="170"/>
  <c r="H1135" i="170"/>
  <c r="H880" i="170"/>
  <c r="H1016" i="170"/>
  <c r="H1152" i="170"/>
  <c r="B778" i="170"/>
  <c r="B982" i="170"/>
  <c r="H1033" i="170"/>
  <c r="I92" i="151"/>
  <c r="B673" i="170"/>
  <c r="I93" i="151"/>
  <c r="I94" i="151"/>
  <c r="H639" i="170"/>
  <c r="D110" i="132"/>
  <c r="D126" i="132"/>
  <c r="D142" i="132"/>
  <c r="D158" i="132"/>
  <c r="D124" i="132"/>
  <c r="D156" i="132"/>
  <c r="D123" i="132"/>
  <c r="D155" i="132"/>
  <c r="D105" i="132"/>
  <c r="D121" i="132"/>
  <c r="D137" i="132"/>
  <c r="D153" i="132"/>
  <c r="D112" i="132"/>
  <c r="D136" i="132"/>
  <c r="D111" i="132"/>
  <c r="D143" i="132"/>
  <c r="D114" i="132"/>
  <c r="D130" i="132"/>
  <c r="D146" i="132"/>
  <c r="D132" i="132"/>
  <c r="D103" i="132"/>
  <c r="D131" i="132"/>
  <c r="D109" i="132"/>
  <c r="D125" i="132"/>
  <c r="D141" i="132"/>
  <c r="D157" i="132"/>
  <c r="D116" i="132"/>
  <c r="D144" i="132"/>
  <c r="D119" i="132"/>
  <c r="D151" i="132"/>
  <c r="D102" i="132"/>
  <c r="D118" i="132"/>
  <c r="D134" i="132"/>
  <c r="D150" i="132"/>
  <c r="D140" i="132"/>
  <c r="D107" i="132"/>
  <c r="D139" i="132"/>
  <c r="D113" i="132"/>
  <c r="D129" i="132"/>
  <c r="D145" i="132"/>
  <c r="D161" i="132"/>
  <c r="D120" i="132"/>
  <c r="D152" i="132"/>
  <c r="D127" i="132"/>
  <c r="D159" i="132"/>
  <c r="B1050" i="170"/>
  <c r="B880" i="170"/>
  <c r="B1016" i="170"/>
  <c r="B965" i="170"/>
  <c r="B1237" i="170"/>
  <c r="H829" i="170"/>
  <c r="H1101" i="170"/>
  <c r="H778" i="170"/>
  <c r="H1050" i="170"/>
  <c r="D106" i="132"/>
  <c r="D122" i="132"/>
  <c r="D138" i="132"/>
  <c r="D154" i="132"/>
  <c r="D108" i="132"/>
  <c r="D148" i="132"/>
  <c r="D115" i="132"/>
  <c r="D147" i="132"/>
  <c r="D117" i="132"/>
  <c r="D133" i="132"/>
  <c r="D149" i="132"/>
  <c r="D104" i="132"/>
  <c r="D128" i="132"/>
  <c r="D160" i="132"/>
  <c r="D135" i="132"/>
  <c r="B846" i="170"/>
  <c r="B1118" i="170"/>
  <c r="H812" i="170"/>
  <c r="H1084" i="170"/>
  <c r="H931" i="170"/>
  <c r="H1203" i="170"/>
  <c r="B999" i="170"/>
  <c r="I163" i="151"/>
  <c r="F163" i="151"/>
  <c r="H78" i="101"/>
  <c r="F78" i="101"/>
  <c r="G157" i="8" l="1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7" i="8"/>
  <c r="J11" i="154" l="1"/>
  <c r="L178" i="132"/>
  <c r="D13" i="167"/>
  <c r="D11" i="167"/>
  <c r="D10" i="167"/>
  <c r="E13" i="101"/>
  <c r="W82" i="101" l="1"/>
  <c r="X82" i="101" s="1"/>
  <c r="W79" i="101"/>
  <c r="F18" i="154"/>
  <c r="W81" i="101"/>
  <c r="F20" i="154"/>
  <c r="D174" i="132"/>
  <c r="F27" i="154"/>
  <c r="F26" i="154"/>
  <c r="F23" i="154"/>
  <c r="X81" i="101" l="1"/>
  <c r="E12" i="99" l="1"/>
  <c r="AC92" i="9"/>
  <c r="D15" i="160"/>
  <c r="H14" i="160"/>
  <c r="I14" i="160" s="1"/>
  <c r="W6" i="160"/>
  <c r="X6" i="160" s="1"/>
  <c r="Y6" i="160" s="1"/>
  <c r="F21" i="159"/>
  <c r="D14" i="79" s="1"/>
  <c r="E21" i="159"/>
  <c r="Y5" i="158"/>
  <c r="Z5" i="158" s="1"/>
  <c r="AA5" i="158" s="1"/>
  <c r="L97" i="99" l="1"/>
  <c r="L96" i="99"/>
  <c r="AB15" i="99"/>
  <c r="AC15" i="99" s="1"/>
  <c r="L35" i="154" l="1"/>
  <c r="O23" i="153"/>
  <c r="G23" i="153"/>
  <c r="O22" i="153"/>
  <c r="G22" i="153"/>
  <c r="O17" i="153"/>
  <c r="O16" i="153"/>
  <c r="X221" i="151"/>
  <c r="X220" i="151"/>
  <c r="X219" i="151"/>
  <c r="G213" i="151"/>
  <c r="U186" i="151"/>
  <c r="D186" i="151"/>
  <c r="R9" i="59"/>
  <c r="K69" i="59"/>
  <c r="G69" i="59"/>
  <c r="C69" i="59"/>
  <c r="O55" i="59"/>
  <c r="K55" i="59"/>
  <c r="C55" i="59"/>
  <c r="K41" i="59"/>
  <c r="G41" i="59"/>
  <c r="C41" i="59"/>
  <c r="O27" i="59"/>
  <c r="K27" i="59"/>
  <c r="G27" i="59"/>
  <c r="C27" i="59"/>
  <c r="O13" i="59"/>
  <c r="K13" i="59"/>
  <c r="C13" i="59"/>
  <c r="G55" i="59"/>
  <c r="P9" i="59"/>
  <c r="AB168" i="151" l="1"/>
  <c r="F17" i="154"/>
  <c r="G18" i="154"/>
  <c r="F19" i="154"/>
  <c r="AM157" i="8" l="1"/>
  <c r="AL157" i="8"/>
  <c r="AQ157" i="8" l="1"/>
  <c r="I167" i="9" l="1"/>
  <c r="G167" i="9"/>
  <c r="K83" i="59"/>
  <c r="K76" i="59"/>
  <c r="Q9" i="9" l="1"/>
  <c r="AF28" i="9" s="1"/>
  <c r="K84" i="59"/>
  <c r="T176" i="9" l="1"/>
  <c r="AC93" i="9"/>
  <c r="U42" i="59"/>
  <c r="T98" i="9" l="1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D18" i="128"/>
  <c r="D17" i="128"/>
  <c r="C691" i="170" l="1"/>
  <c r="D695" i="170" s="1"/>
  <c r="I674" i="170"/>
  <c r="J678" i="170" s="1"/>
  <c r="C674" i="170"/>
  <c r="D678" i="170" s="1"/>
  <c r="C657" i="170"/>
  <c r="D661" i="170" s="1"/>
  <c r="I640" i="170"/>
  <c r="J644" i="170" s="1"/>
  <c r="I657" i="170"/>
  <c r="J661" i="170" s="1"/>
  <c r="AD13" i="9"/>
  <c r="AD33" i="9"/>
  <c r="AD45" i="9"/>
  <c r="AD57" i="9"/>
  <c r="AD69" i="9"/>
  <c r="AD81" i="9"/>
  <c r="AD30" i="9"/>
  <c r="AD42" i="9"/>
  <c r="AD58" i="9"/>
  <c r="AD78" i="9"/>
  <c r="AD98" i="9"/>
  <c r="AD14" i="9"/>
  <c r="AD26" i="9"/>
  <c r="AD46" i="9"/>
  <c r="AD62" i="9"/>
  <c r="AD74" i="9"/>
  <c r="AD15" i="9"/>
  <c r="AD19" i="9"/>
  <c r="AD23" i="9"/>
  <c r="AD27" i="9"/>
  <c r="AD31" i="9"/>
  <c r="AD35" i="9"/>
  <c r="AD39" i="9"/>
  <c r="AD43" i="9"/>
  <c r="AD47" i="9"/>
  <c r="AD51" i="9"/>
  <c r="AD55" i="9"/>
  <c r="AD59" i="9"/>
  <c r="AD63" i="9"/>
  <c r="AD67" i="9"/>
  <c r="AD71" i="9"/>
  <c r="AD75" i="9"/>
  <c r="AD79" i="9"/>
  <c r="AD83" i="9"/>
  <c r="AD87" i="9"/>
  <c r="AD91" i="9"/>
  <c r="AD21" i="9"/>
  <c r="AD29" i="9"/>
  <c r="AD37" i="9"/>
  <c r="AD49" i="9"/>
  <c r="AD65" i="9"/>
  <c r="AD73" i="9"/>
  <c r="AD89" i="9"/>
  <c r="AD22" i="9"/>
  <c r="AD38" i="9"/>
  <c r="AD54" i="9"/>
  <c r="AD66" i="9"/>
  <c r="AD82" i="9"/>
  <c r="AD90" i="9"/>
  <c r="AD112" i="9"/>
  <c r="AD16" i="9"/>
  <c r="AD20" i="9"/>
  <c r="AD24" i="9"/>
  <c r="AD28" i="9"/>
  <c r="AD32" i="9"/>
  <c r="AD36" i="9"/>
  <c r="AD40" i="9"/>
  <c r="AD44" i="9"/>
  <c r="AD48" i="9"/>
  <c r="AD52" i="9"/>
  <c r="AD56" i="9"/>
  <c r="AD60" i="9"/>
  <c r="AD64" i="9"/>
  <c r="AD68" i="9"/>
  <c r="AD72" i="9"/>
  <c r="AD76" i="9"/>
  <c r="AD80" i="9"/>
  <c r="AD84" i="9"/>
  <c r="AD88" i="9"/>
  <c r="AD17" i="9"/>
  <c r="AD25" i="9"/>
  <c r="AD41" i="9"/>
  <c r="AD53" i="9"/>
  <c r="AD61" i="9"/>
  <c r="AD77" i="9"/>
  <c r="AD85" i="9"/>
  <c r="AD18" i="9"/>
  <c r="AD34" i="9"/>
  <c r="AD50" i="9"/>
  <c r="AD70" i="9"/>
  <c r="AD86" i="9"/>
  <c r="L95" i="151"/>
  <c r="L96" i="151"/>
  <c r="L94" i="151"/>
  <c r="H92" i="151"/>
  <c r="H93" i="151"/>
  <c r="H91" i="151"/>
  <c r="L93" i="151"/>
  <c r="L92" i="151"/>
  <c r="L91" i="151"/>
  <c r="H94" i="151"/>
  <c r="D103" i="151"/>
  <c r="C18" i="101"/>
  <c r="X98" i="9"/>
  <c r="C708" i="170"/>
  <c r="AA83" i="9"/>
  <c r="Z83" i="9"/>
  <c r="AA71" i="9"/>
  <c r="Z71" i="9"/>
  <c r="AA63" i="9"/>
  <c r="Z63" i="9"/>
  <c r="AA55" i="9"/>
  <c r="Z55" i="9"/>
  <c r="AA47" i="9"/>
  <c r="Z47" i="9"/>
  <c r="AA39" i="9"/>
  <c r="Z39" i="9"/>
  <c r="AA31" i="9"/>
  <c r="Z31" i="9"/>
  <c r="AA23" i="9"/>
  <c r="Z23" i="9"/>
  <c r="AA15" i="9"/>
  <c r="Z15" i="9"/>
  <c r="Z84" i="9"/>
  <c r="AA84" i="9"/>
  <c r="Z80" i="9"/>
  <c r="AA80" i="9"/>
  <c r="Z76" i="9"/>
  <c r="AA76" i="9"/>
  <c r="Z68" i="9"/>
  <c r="AA68" i="9"/>
  <c r="Z60" i="9"/>
  <c r="AA60" i="9"/>
  <c r="Z56" i="9"/>
  <c r="AA56" i="9"/>
  <c r="Z48" i="9"/>
  <c r="AA48" i="9"/>
  <c r="Z44" i="9"/>
  <c r="AA44" i="9"/>
  <c r="Z36" i="9"/>
  <c r="AA36" i="9"/>
  <c r="Z32" i="9"/>
  <c r="AA32" i="9"/>
  <c r="Z24" i="9"/>
  <c r="AA24" i="9"/>
  <c r="Z20" i="9"/>
  <c r="AA20" i="9"/>
  <c r="Z16" i="9"/>
  <c r="AA16" i="9"/>
  <c r="AA85" i="9"/>
  <c r="Z85" i="9"/>
  <c r="AA81" i="9"/>
  <c r="Z81" i="9"/>
  <c r="AA77" i="9"/>
  <c r="Z77" i="9"/>
  <c r="AA73" i="9"/>
  <c r="Z73" i="9"/>
  <c r="AA69" i="9"/>
  <c r="Z69" i="9"/>
  <c r="AA65" i="9"/>
  <c r="Z65" i="9"/>
  <c r="AA61" i="9"/>
  <c r="Z61" i="9"/>
  <c r="AA57" i="9"/>
  <c r="Z57" i="9"/>
  <c r="AA53" i="9"/>
  <c r="Z53" i="9"/>
  <c r="AA49" i="9"/>
  <c r="Z49" i="9"/>
  <c r="AA45" i="9"/>
  <c r="Z45" i="9"/>
  <c r="AA41" i="9"/>
  <c r="Z41" i="9"/>
  <c r="AA37" i="9"/>
  <c r="Z37" i="9"/>
  <c r="AA33" i="9"/>
  <c r="Z33" i="9"/>
  <c r="AA29" i="9"/>
  <c r="Z29" i="9"/>
  <c r="AA25" i="9"/>
  <c r="Z25" i="9"/>
  <c r="AA21" i="9"/>
  <c r="Z21" i="9"/>
  <c r="AA17" i="9"/>
  <c r="Z17" i="9"/>
  <c r="AA13" i="9"/>
  <c r="Z13" i="9"/>
  <c r="AA79" i="9"/>
  <c r="Z79" i="9"/>
  <c r="AA75" i="9"/>
  <c r="Z75" i="9"/>
  <c r="AA67" i="9"/>
  <c r="Z67" i="9"/>
  <c r="AA59" i="9"/>
  <c r="Z59" i="9"/>
  <c r="AA51" i="9"/>
  <c r="Z51" i="9"/>
  <c r="AA43" i="9"/>
  <c r="Z43" i="9"/>
  <c r="AA35" i="9"/>
  <c r="Z35" i="9"/>
  <c r="AA27" i="9"/>
  <c r="Z27" i="9"/>
  <c r="AA19" i="9"/>
  <c r="Z19" i="9"/>
  <c r="Z72" i="9"/>
  <c r="AA72" i="9"/>
  <c r="Z64" i="9"/>
  <c r="AA64" i="9"/>
  <c r="Z52" i="9"/>
  <c r="AA52" i="9"/>
  <c r="Z40" i="9"/>
  <c r="AA40" i="9"/>
  <c r="Z28" i="9"/>
  <c r="AA28" i="9"/>
  <c r="Z82" i="9"/>
  <c r="AA82" i="9"/>
  <c r="Z78" i="9"/>
  <c r="AA78" i="9"/>
  <c r="Z74" i="9"/>
  <c r="AA74" i="9"/>
  <c r="Z70" i="9"/>
  <c r="AA70" i="9"/>
  <c r="Z66" i="9"/>
  <c r="AA66" i="9"/>
  <c r="Z62" i="9"/>
  <c r="AA62" i="9"/>
  <c r="Z58" i="9"/>
  <c r="AA58" i="9"/>
  <c r="Z54" i="9"/>
  <c r="AA54" i="9"/>
  <c r="Z50" i="9"/>
  <c r="AA50" i="9"/>
  <c r="Z46" i="9"/>
  <c r="AA46" i="9"/>
  <c r="Z42" i="9"/>
  <c r="AA42" i="9"/>
  <c r="Z38" i="9"/>
  <c r="AA38" i="9"/>
  <c r="Z34" i="9"/>
  <c r="AA34" i="9"/>
  <c r="Z30" i="9"/>
  <c r="AA30" i="9"/>
  <c r="Z26" i="9"/>
  <c r="AA26" i="9"/>
  <c r="Z22" i="9"/>
  <c r="AA22" i="9"/>
  <c r="Z18" i="9"/>
  <c r="AA18" i="9"/>
  <c r="Z14" i="9"/>
  <c r="AA14" i="9"/>
  <c r="V98" i="9"/>
  <c r="W98" i="9"/>
  <c r="AC155" i="9"/>
  <c r="F75" i="101"/>
  <c r="F160" i="151"/>
  <c r="AC156" i="9"/>
  <c r="F161" i="151"/>
  <c r="F76" i="101"/>
  <c r="AC157" i="9"/>
  <c r="F162" i="151"/>
  <c r="F77" i="101"/>
  <c r="I144" i="151"/>
  <c r="I160" i="151"/>
  <c r="I153" i="151"/>
  <c r="I137" i="151"/>
  <c r="I105" i="151"/>
  <c r="I161" i="151"/>
  <c r="I150" i="151"/>
  <c r="I162" i="151"/>
  <c r="I143" i="151"/>
  <c r="I121" i="151"/>
  <c r="K21" i="99" l="1"/>
  <c r="K45" i="99"/>
  <c r="K69" i="99"/>
  <c r="K85" i="99"/>
  <c r="K55" i="99"/>
  <c r="K27" i="99"/>
  <c r="K26" i="99"/>
  <c r="K78" i="99"/>
  <c r="K36" i="99"/>
  <c r="K44" i="99"/>
  <c r="K68" i="99"/>
  <c r="K76" i="99"/>
  <c r="K43" i="99"/>
  <c r="K75" i="99"/>
  <c r="K42" i="99"/>
  <c r="K25" i="99"/>
  <c r="K33" i="99"/>
  <c r="K41" i="99"/>
  <c r="K49" i="99"/>
  <c r="K57" i="99"/>
  <c r="K65" i="99"/>
  <c r="K73" i="99"/>
  <c r="K81" i="99"/>
  <c r="K89" i="99"/>
  <c r="K31" i="99"/>
  <c r="K47" i="99"/>
  <c r="K63" i="99"/>
  <c r="K79" i="99"/>
  <c r="K30" i="99"/>
  <c r="K46" i="99"/>
  <c r="K62" i="99"/>
  <c r="K74" i="99"/>
  <c r="K90" i="99"/>
  <c r="K24" i="99"/>
  <c r="K32" i="99"/>
  <c r="K40" i="99"/>
  <c r="K48" i="99"/>
  <c r="K56" i="99"/>
  <c r="K64" i="99"/>
  <c r="K72" i="99"/>
  <c r="K80" i="99"/>
  <c r="K88" i="99"/>
  <c r="K29" i="99"/>
  <c r="K37" i="99"/>
  <c r="K53" i="99"/>
  <c r="K61" i="99"/>
  <c r="K77" i="99"/>
  <c r="K19" i="99"/>
  <c r="K39" i="99"/>
  <c r="K71" i="99"/>
  <c r="K87" i="99"/>
  <c r="K38" i="99"/>
  <c r="K54" i="99"/>
  <c r="K70" i="99"/>
  <c r="K82" i="99"/>
  <c r="K28" i="99"/>
  <c r="K52" i="99"/>
  <c r="K60" i="99"/>
  <c r="K84" i="99"/>
  <c r="K59" i="99"/>
  <c r="K18" i="99"/>
  <c r="K58" i="99"/>
  <c r="K23" i="99"/>
  <c r="K35" i="99"/>
  <c r="K51" i="99"/>
  <c r="K67" i="99"/>
  <c r="K83" i="99"/>
  <c r="K22" i="99"/>
  <c r="K34" i="99"/>
  <c r="K50" i="99"/>
  <c r="K66" i="99"/>
  <c r="K86" i="99"/>
  <c r="L21" i="151"/>
  <c r="L37" i="151"/>
  <c r="L53" i="151"/>
  <c r="L77" i="151"/>
  <c r="L27" i="151"/>
  <c r="L59" i="151"/>
  <c r="L75" i="151"/>
  <c r="L42" i="151"/>
  <c r="L58" i="151"/>
  <c r="L78" i="151"/>
  <c r="L25" i="151"/>
  <c r="L33" i="151"/>
  <c r="L41" i="151"/>
  <c r="L49" i="151"/>
  <c r="L57" i="151"/>
  <c r="L65" i="151"/>
  <c r="L73" i="151"/>
  <c r="L81" i="151"/>
  <c r="L31" i="151"/>
  <c r="L47" i="151"/>
  <c r="L63" i="151"/>
  <c r="L79" i="151"/>
  <c r="L30" i="151"/>
  <c r="L46" i="151"/>
  <c r="L62" i="151"/>
  <c r="L74" i="151"/>
  <c r="L32" i="151"/>
  <c r="L40" i="151"/>
  <c r="L48" i="151"/>
  <c r="L56" i="151"/>
  <c r="L64" i="151"/>
  <c r="L72" i="151"/>
  <c r="L80" i="151"/>
  <c r="L29" i="151"/>
  <c r="L45" i="151"/>
  <c r="L61" i="151"/>
  <c r="L69" i="151"/>
  <c r="L85" i="151"/>
  <c r="L19" i="151"/>
  <c r="L39" i="151"/>
  <c r="L55" i="151"/>
  <c r="L71" i="151"/>
  <c r="L38" i="151"/>
  <c r="L54" i="151"/>
  <c r="L82" i="151"/>
  <c r="L20" i="151"/>
  <c r="L36" i="151"/>
  <c r="L60" i="151"/>
  <c r="L68" i="151"/>
  <c r="L84" i="151"/>
  <c r="L35" i="151"/>
  <c r="L22" i="151"/>
  <c r="L34" i="151"/>
  <c r="L50" i="151"/>
  <c r="L66" i="151"/>
  <c r="L86" i="151"/>
  <c r="M93" i="151"/>
  <c r="K93" i="151"/>
  <c r="M94" i="151"/>
  <c r="K94" i="151"/>
  <c r="M92" i="151"/>
  <c r="K92" i="151"/>
  <c r="K20" i="99"/>
  <c r="H20" i="99"/>
  <c r="H70" i="151"/>
  <c r="L70" i="151"/>
  <c r="H28" i="151"/>
  <c r="L28" i="151"/>
  <c r="H44" i="151"/>
  <c r="L44" i="151"/>
  <c r="B312" i="170"/>
  <c r="L52" i="151"/>
  <c r="D74" i="132"/>
  <c r="L76" i="151"/>
  <c r="L89" i="151"/>
  <c r="H43" i="151"/>
  <c r="L43" i="151"/>
  <c r="H18" i="151"/>
  <c r="L18" i="151"/>
  <c r="H26" i="151"/>
  <c r="L26" i="151"/>
  <c r="L90" i="151"/>
  <c r="H24" i="151"/>
  <c r="L24" i="151"/>
  <c r="H88" i="151"/>
  <c r="L88" i="151"/>
  <c r="H87" i="151"/>
  <c r="L87" i="151"/>
  <c r="H23" i="151"/>
  <c r="L23" i="151"/>
  <c r="H51" i="151"/>
  <c r="L51" i="151"/>
  <c r="H67" i="151"/>
  <c r="L67" i="151"/>
  <c r="H83" i="151"/>
  <c r="L83" i="151"/>
  <c r="H31" i="151"/>
  <c r="H38" i="151"/>
  <c r="H84" i="151"/>
  <c r="H33" i="151"/>
  <c r="H63" i="151"/>
  <c r="H21" i="151"/>
  <c r="H50" i="151"/>
  <c r="H29" i="151"/>
  <c r="H85" i="151"/>
  <c r="H71" i="151"/>
  <c r="H30" i="151"/>
  <c r="H86" i="151"/>
  <c r="H35" i="151"/>
  <c r="H74" i="151"/>
  <c r="H66" i="151"/>
  <c r="H27" i="151"/>
  <c r="H77" i="151"/>
  <c r="H48" i="151"/>
  <c r="H68" i="151"/>
  <c r="H53" i="151"/>
  <c r="H64" i="151"/>
  <c r="H82" i="151"/>
  <c r="H41" i="151"/>
  <c r="H60" i="151"/>
  <c r="H39" i="151"/>
  <c r="H49" i="151"/>
  <c r="H81" i="151"/>
  <c r="H54" i="151"/>
  <c r="H36" i="151"/>
  <c r="D52" i="132"/>
  <c r="H58" i="151"/>
  <c r="H78" i="151"/>
  <c r="H37" i="151"/>
  <c r="H69" i="151"/>
  <c r="H32" i="151"/>
  <c r="D58" i="132"/>
  <c r="H57" i="151"/>
  <c r="H65" i="151"/>
  <c r="H73" i="151"/>
  <c r="H47" i="151"/>
  <c r="H79" i="151"/>
  <c r="H20" i="151"/>
  <c r="D26" i="132"/>
  <c r="H45" i="151"/>
  <c r="H61" i="151"/>
  <c r="H19" i="151"/>
  <c r="H55" i="151"/>
  <c r="H46" i="151"/>
  <c r="H62" i="151"/>
  <c r="H40" i="151"/>
  <c r="H56" i="151"/>
  <c r="H72" i="151"/>
  <c r="H80" i="151"/>
  <c r="H25" i="151"/>
  <c r="B39" i="170"/>
  <c r="H59" i="151"/>
  <c r="H75" i="151"/>
  <c r="H42" i="151"/>
  <c r="H22" i="151"/>
  <c r="H34" i="151"/>
  <c r="H76" i="151"/>
  <c r="H52" i="151"/>
  <c r="D31" i="132"/>
  <c r="D39" i="132"/>
  <c r="H278" i="170"/>
  <c r="H744" i="170"/>
  <c r="D25" i="132"/>
  <c r="H227" i="170"/>
  <c r="B22" i="170"/>
  <c r="D24" i="132"/>
  <c r="B365" i="170"/>
  <c r="B536" i="170"/>
  <c r="D19" i="132"/>
  <c r="H107" i="170"/>
  <c r="D35" i="132"/>
  <c r="D51" i="132"/>
  <c r="D37" i="132"/>
  <c r="B503" i="170"/>
  <c r="B73" i="170"/>
  <c r="B141" i="170"/>
  <c r="B621" i="170"/>
  <c r="D67" i="132"/>
  <c r="D75" i="132"/>
  <c r="H587" i="170"/>
  <c r="D69" i="132"/>
  <c r="H604" i="170"/>
  <c r="B124" i="170"/>
  <c r="B278" i="170"/>
  <c r="B417" i="170"/>
  <c r="H536" i="170"/>
  <c r="H56" i="170"/>
  <c r="H158" i="170"/>
  <c r="D49" i="132"/>
  <c r="D65" i="132"/>
  <c r="D81" i="132"/>
  <c r="D20" i="132"/>
  <c r="B295" i="170"/>
  <c r="B434" i="170"/>
  <c r="D84" i="132"/>
  <c r="H553" i="170"/>
  <c r="D29" i="132"/>
  <c r="D61" i="132"/>
  <c r="D36" i="132"/>
  <c r="B330" i="170"/>
  <c r="D68" i="132"/>
  <c r="D80" i="132"/>
  <c r="B107" i="170"/>
  <c r="D34" i="132"/>
  <c r="D42" i="132"/>
  <c r="B382" i="170"/>
  <c r="D66" i="132"/>
  <c r="B587" i="170"/>
  <c r="D77" i="132"/>
  <c r="D18" i="132"/>
  <c r="B244" i="170"/>
  <c r="D50" i="132"/>
  <c r="B520" i="170"/>
  <c r="B468" i="170"/>
  <c r="H261" i="170"/>
  <c r="B570" i="170"/>
  <c r="H124" i="170"/>
  <c r="D45" i="132"/>
  <c r="B175" i="170"/>
  <c r="B450" i="170"/>
  <c r="D82" i="132"/>
  <c r="H400" i="170"/>
  <c r="B192" i="170"/>
  <c r="D60" i="132"/>
  <c r="D38" i="132"/>
  <c r="B348" i="170"/>
  <c r="H141" i="170"/>
  <c r="D79" i="132"/>
  <c r="H348" i="170"/>
  <c r="D73" i="132"/>
  <c r="H22" i="170"/>
  <c r="D22" i="132"/>
  <c r="B209" i="170"/>
  <c r="D17" i="132"/>
  <c r="H73" i="170"/>
  <c r="H417" i="170"/>
  <c r="B227" i="170"/>
  <c r="H90" i="170"/>
  <c r="D16" i="132"/>
  <c r="D44" i="132"/>
  <c r="D23" i="132"/>
  <c r="D47" i="132"/>
  <c r="D57" i="132"/>
  <c r="D32" i="132"/>
  <c r="B90" i="170"/>
  <c r="D55" i="132"/>
  <c r="H621" i="170"/>
  <c r="D41" i="132"/>
  <c r="D56" i="132"/>
  <c r="D76" i="132"/>
  <c r="B400" i="170"/>
  <c r="D70" i="132"/>
  <c r="D78" i="132"/>
  <c r="D86" i="132"/>
  <c r="D53" i="132"/>
  <c r="B261" i="170"/>
  <c r="D54" i="132"/>
  <c r="B486" i="170"/>
  <c r="B553" i="170"/>
  <c r="D21" i="132"/>
  <c r="H295" i="170"/>
  <c r="H89" i="151"/>
  <c r="H39" i="170"/>
  <c r="H209" i="170"/>
  <c r="D63" i="132"/>
  <c r="H365" i="170"/>
  <c r="H503" i="170"/>
  <c r="B56" i="170"/>
  <c r="D40" i="132"/>
  <c r="H570" i="170"/>
  <c r="H175" i="170"/>
  <c r="H312" i="170"/>
  <c r="H330" i="170"/>
  <c r="B604" i="170"/>
  <c r="D59" i="132"/>
  <c r="H450" i="170"/>
  <c r="D83" i="132"/>
  <c r="H434" i="170"/>
  <c r="B158" i="170"/>
  <c r="H244" i="170"/>
  <c r="H382" i="170"/>
  <c r="H520" i="170"/>
  <c r="H192" i="170"/>
  <c r="D85" i="132"/>
  <c r="D48" i="132"/>
  <c r="D72" i="132"/>
  <c r="B639" i="170"/>
  <c r="D30" i="132"/>
  <c r="D46" i="132"/>
  <c r="D62" i="132"/>
  <c r="D33" i="132"/>
  <c r="H468" i="170"/>
  <c r="D28" i="132"/>
  <c r="D64" i="132"/>
  <c r="D27" i="132"/>
  <c r="D43" i="132"/>
  <c r="H90" i="151"/>
  <c r="H486" i="170"/>
  <c r="G95" i="99"/>
  <c r="L95" i="99" s="1"/>
  <c r="H95" i="151"/>
  <c r="U90" i="9"/>
  <c r="D71" i="132"/>
  <c r="U91" i="9"/>
  <c r="H96" i="151"/>
  <c r="D101" i="132"/>
  <c r="U87" i="9"/>
  <c r="G92" i="99"/>
  <c r="L92" i="99" s="1"/>
  <c r="U89" i="9"/>
  <c r="G94" i="99"/>
  <c r="I103" i="151"/>
  <c r="I119" i="151"/>
  <c r="I113" i="151"/>
  <c r="I145" i="151"/>
  <c r="I151" i="151"/>
  <c r="I129" i="151"/>
  <c r="I135" i="151"/>
  <c r="I139" i="151"/>
  <c r="I120" i="151"/>
  <c r="I117" i="151"/>
  <c r="I104" i="151"/>
  <c r="I152" i="151"/>
  <c r="I126" i="151"/>
  <c r="I136" i="151"/>
  <c r="I158" i="151"/>
  <c r="I110" i="151"/>
  <c r="I142" i="151"/>
  <c r="I122" i="151"/>
  <c r="I133" i="151"/>
  <c r="I140" i="151"/>
  <c r="I156" i="151"/>
  <c r="I108" i="151"/>
  <c r="I124" i="151"/>
  <c r="I141" i="151"/>
  <c r="I149" i="151"/>
  <c r="I123" i="151"/>
  <c r="I146" i="151"/>
  <c r="I155" i="151"/>
  <c r="I114" i="151"/>
  <c r="I130" i="151"/>
  <c r="I107" i="151"/>
  <c r="I147" i="151"/>
  <c r="I134" i="151"/>
  <c r="I128" i="151"/>
  <c r="I159" i="151"/>
  <c r="I127" i="151"/>
  <c r="I118" i="151"/>
  <c r="I111" i="151"/>
  <c r="I112" i="151"/>
  <c r="G162" i="151"/>
  <c r="G160" i="151"/>
  <c r="I109" i="151"/>
  <c r="I125" i="151"/>
  <c r="I157" i="151"/>
  <c r="I116" i="151"/>
  <c r="I148" i="151"/>
  <c r="G161" i="151"/>
  <c r="I115" i="151"/>
  <c r="I154" i="151"/>
  <c r="I132" i="151"/>
  <c r="I131" i="151"/>
  <c r="I106" i="151"/>
  <c r="I138" i="151"/>
  <c r="H45" i="101"/>
  <c r="H65" i="101"/>
  <c r="H223" i="151" l="1"/>
  <c r="I383" i="170"/>
  <c r="J387" i="170" s="1"/>
  <c r="I331" i="170"/>
  <c r="J335" i="170" s="1"/>
  <c r="I296" i="170"/>
  <c r="J300" i="170" s="1"/>
  <c r="C91" i="170"/>
  <c r="D95" i="170" s="1"/>
  <c r="C228" i="170"/>
  <c r="D232" i="170" s="1"/>
  <c r="C210" i="170"/>
  <c r="D214" i="170" s="1"/>
  <c r="I349" i="170"/>
  <c r="J353" i="170" s="1"/>
  <c r="I125" i="170"/>
  <c r="J129" i="170" s="1"/>
  <c r="C521" i="170"/>
  <c r="D525" i="170" s="1"/>
  <c r="C296" i="170"/>
  <c r="D300" i="170" s="1"/>
  <c r="C418" i="170"/>
  <c r="D422" i="170" s="1"/>
  <c r="C622" i="170"/>
  <c r="D626" i="170" s="1"/>
  <c r="C23" i="170"/>
  <c r="D27" i="170" s="1"/>
  <c r="I279" i="170"/>
  <c r="J283" i="170" s="1"/>
  <c r="I487" i="170"/>
  <c r="J491" i="170" s="1"/>
  <c r="I521" i="170"/>
  <c r="J525" i="170" s="1"/>
  <c r="I435" i="170"/>
  <c r="J439" i="170" s="1"/>
  <c r="C605" i="170"/>
  <c r="D609" i="170" s="1"/>
  <c r="I571" i="170"/>
  <c r="J575" i="170" s="1"/>
  <c r="I366" i="170"/>
  <c r="J370" i="170" s="1"/>
  <c r="C487" i="170"/>
  <c r="D491" i="170" s="1"/>
  <c r="I91" i="170"/>
  <c r="J95" i="170" s="1"/>
  <c r="C349" i="170"/>
  <c r="D353" i="170" s="1"/>
  <c r="I401" i="170"/>
  <c r="J405" i="170" s="1"/>
  <c r="C469" i="170"/>
  <c r="D473" i="170" s="1"/>
  <c r="C383" i="170"/>
  <c r="D387" i="170" s="1"/>
  <c r="C435" i="170"/>
  <c r="D439" i="170" s="1"/>
  <c r="I537" i="170"/>
  <c r="J541" i="170" s="1"/>
  <c r="I605" i="170"/>
  <c r="J609" i="170" s="1"/>
  <c r="C504" i="170"/>
  <c r="D508" i="170" s="1"/>
  <c r="I108" i="170"/>
  <c r="J112" i="170" s="1"/>
  <c r="C640" i="170"/>
  <c r="D644" i="170" s="1"/>
  <c r="I193" i="170"/>
  <c r="J197" i="170" s="1"/>
  <c r="C159" i="170"/>
  <c r="D163" i="170" s="1"/>
  <c r="I176" i="170"/>
  <c r="J180" i="170" s="1"/>
  <c r="I504" i="170"/>
  <c r="J508" i="170" s="1"/>
  <c r="I40" i="170"/>
  <c r="J44" i="170" s="1"/>
  <c r="C554" i="170"/>
  <c r="D558" i="170" s="1"/>
  <c r="C401" i="170"/>
  <c r="D405" i="170" s="1"/>
  <c r="I622" i="170"/>
  <c r="J626" i="170" s="1"/>
  <c r="I74" i="170"/>
  <c r="J78" i="170" s="1"/>
  <c r="I23" i="170"/>
  <c r="J27" i="170" s="1"/>
  <c r="I142" i="170"/>
  <c r="J146" i="170" s="1"/>
  <c r="C193" i="170"/>
  <c r="D197" i="170" s="1"/>
  <c r="C176" i="170"/>
  <c r="D180" i="170" s="1"/>
  <c r="I262" i="170"/>
  <c r="J266" i="170" s="1"/>
  <c r="C245" i="170"/>
  <c r="D249" i="170" s="1"/>
  <c r="C108" i="170"/>
  <c r="D112" i="170" s="1"/>
  <c r="I57" i="170"/>
  <c r="J61" i="170" s="1"/>
  <c r="C125" i="170"/>
  <c r="D129" i="170" s="1"/>
  <c r="C74" i="170"/>
  <c r="D78" i="170" s="1"/>
  <c r="C366" i="170"/>
  <c r="D370" i="170" s="1"/>
  <c r="C40" i="170"/>
  <c r="D44" i="170" s="1"/>
  <c r="C313" i="170"/>
  <c r="D317" i="170" s="1"/>
  <c r="I469" i="170"/>
  <c r="J473" i="170" s="1"/>
  <c r="I245" i="170"/>
  <c r="J249" i="170" s="1"/>
  <c r="I451" i="170"/>
  <c r="J455" i="170" s="1"/>
  <c r="I313" i="170"/>
  <c r="J317" i="170" s="1"/>
  <c r="C57" i="170"/>
  <c r="D61" i="170" s="1"/>
  <c r="I210" i="170"/>
  <c r="J214" i="170" s="1"/>
  <c r="C262" i="170"/>
  <c r="D266" i="170" s="1"/>
  <c r="I418" i="170"/>
  <c r="J422" i="170" s="1"/>
  <c r="C451" i="170"/>
  <c r="D455" i="170" s="1"/>
  <c r="C571" i="170"/>
  <c r="D575" i="170" s="1"/>
  <c r="C588" i="170"/>
  <c r="D592" i="170" s="1"/>
  <c r="C331" i="170"/>
  <c r="D335" i="170" s="1"/>
  <c r="I554" i="170"/>
  <c r="J558" i="170" s="1"/>
  <c r="I159" i="170"/>
  <c r="J163" i="170" s="1"/>
  <c r="C279" i="170"/>
  <c r="D283" i="170" s="1"/>
  <c r="I588" i="170"/>
  <c r="J592" i="170" s="1"/>
  <c r="C142" i="170"/>
  <c r="D146" i="170" s="1"/>
  <c r="C537" i="170"/>
  <c r="D541" i="170" s="1"/>
  <c r="I228" i="170"/>
  <c r="J232" i="170" s="1"/>
  <c r="L94" i="99"/>
  <c r="M96" i="151"/>
  <c r="K96" i="151"/>
  <c r="M95" i="151"/>
  <c r="K95" i="151"/>
  <c r="J94" i="99"/>
  <c r="J92" i="99"/>
  <c r="J95" i="99"/>
  <c r="H33" i="101"/>
  <c r="H29" i="101"/>
  <c r="H39" i="101"/>
  <c r="H66" i="101"/>
  <c r="H73" i="101"/>
  <c r="H24" i="101"/>
  <c r="H51" i="101"/>
  <c r="H23" i="101"/>
  <c r="H75" i="101"/>
  <c r="H52" i="101"/>
  <c r="H21" i="101"/>
  <c r="H36" i="101"/>
  <c r="H77" i="101"/>
  <c r="H71" i="101"/>
  <c r="H41" i="101"/>
  <c r="H35" i="101"/>
  <c r="H61" i="101"/>
  <c r="H48" i="101"/>
  <c r="H60" i="101"/>
  <c r="H28" i="101"/>
  <c r="H32" i="101"/>
  <c r="H26" i="101"/>
  <c r="H30" i="101"/>
  <c r="H70" i="101"/>
  <c r="H34" i="101"/>
  <c r="H25" i="101"/>
  <c r="H67" i="101"/>
  <c r="H40" i="101"/>
  <c r="H19" i="101"/>
  <c r="H27" i="101"/>
  <c r="H76" i="101"/>
  <c r="H37" i="101"/>
  <c r="H46" i="101"/>
  <c r="H64" i="101"/>
  <c r="H55" i="101"/>
  <c r="H31" i="101"/>
  <c r="H43" i="101"/>
  <c r="H49" i="101"/>
  <c r="H68" i="101"/>
  <c r="H42" i="101"/>
  <c r="H62" i="101"/>
  <c r="H50" i="101"/>
  <c r="H57" i="101"/>
  <c r="H72" i="101"/>
  <c r="H56" i="101"/>
  <c r="H38" i="101"/>
  <c r="H59" i="101"/>
  <c r="H69" i="101"/>
  <c r="H74" i="101"/>
  <c r="H44" i="101"/>
  <c r="H54" i="101"/>
  <c r="H53" i="101"/>
  <c r="H63" i="101"/>
  <c r="H20" i="101"/>
  <c r="H58" i="101"/>
  <c r="H47" i="101"/>
  <c r="H22" i="101"/>
  <c r="AJ157" i="8"/>
  <c r="D19" i="136" l="1"/>
  <c r="AT85" i="8"/>
  <c r="Y6" i="137"/>
  <c r="Z6" i="137" s="1"/>
  <c r="AA6" i="137" s="1"/>
  <c r="AP20" i="138"/>
  <c r="AO20" i="138"/>
  <c r="AN20" i="138"/>
  <c r="AL17" i="138"/>
  <c r="F16" i="137"/>
  <c r="AK15" i="138" l="1"/>
  <c r="D19" i="79" l="1"/>
  <c r="F19" i="79" s="1"/>
  <c r="J16" i="137"/>
  <c r="K16" i="137"/>
  <c r="AA5" i="136" l="1"/>
  <c r="AB5" i="136" s="1"/>
  <c r="AC5" i="136" s="1"/>
  <c r="AC160" i="9" l="1"/>
  <c r="T85" i="9"/>
  <c r="I90" i="151" s="1"/>
  <c r="T86" i="9"/>
  <c r="I91" i="151" s="1"/>
  <c r="T93" i="9"/>
  <c r="T80" i="9"/>
  <c r="I85" i="151" s="1"/>
  <c r="M85" i="151" s="1"/>
  <c r="T81" i="9"/>
  <c r="I86" i="151" s="1"/>
  <c r="M86" i="151" s="1"/>
  <c r="T82" i="9"/>
  <c r="I87" i="151" s="1"/>
  <c r="M87" i="151" s="1"/>
  <c r="T83" i="9"/>
  <c r="I88" i="151" s="1"/>
  <c r="M88" i="151" s="1"/>
  <c r="T84" i="9"/>
  <c r="AC84" i="9"/>
  <c r="AC85" i="9"/>
  <c r="AC86" i="9"/>
  <c r="I89" i="151" l="1"/>
  <c r="K89" i="151" s="1"/>
  <c r="T10" i="9"/>
  <c r="M91" i="151"/>
  <c r="K91" i="151"/>
  <c r="M89" i="151"/>
  <c r="M90" i="151"/>
  <c r="K90" i="151"/>
  <c r="A760" i="170"/>
  <c r="A777" i="170" s="1"/>
  <c r="A794" i="170" s="1"/>
  <c r="A811" i="170" s="1"/>
  <c r="G743" i="170"/>
  <c r="G760" i="170" s="1"/>
  <c r="G777" i="170" s="1"/>
  <c r="G794" i="170" s="1"/>
  <c r="AC82" i="9"/>
  <c r="G159" i="151"/>
  <c r="F74" i="101"/>
  <c r="G163" i="151"/>
  <c r="AC81" i="9"/>
  <c r="AC154" i="9"/>
  <c r="F80" i="101" l="1"/>
  <c r="A828" i="170"/>
  <c r="G811" i="170"/>
  <c r="G165" i="151"/>
  <c r="Y165" i="151" s="1"/>
  <c r="AA165" i="151" s="1"/>
  <c r="G166" i="151"/>
  <c r="G86" i="151"/>
  <c r="G88" i="151"/>
  <c r="G87" i="151"/>
  <c r="Y166" i="151" l="1"/>
  <c r="AA166" i="151" s="1"/>
  <c r="G828" i="170"/>
  <c r="A845" i="170"/>
  <c r="AE96" i="9"/>
  <c r="R51" i="59"/>
  <c r="R37" i="59"/>
  <c r="R82" i="59" s="1"/>
  <c r="S82" i="59" s="1"/>
  <c r="C83" i="59"/>
  <c r="C76" i="59"/>
  <c r="G83" i="59"/>
  <c r="G76" i="59"/>
  <c r="G845" i="170" l="1"/>
  <c r="A862" i="170"/>
  <c r="G93" i="99"/>
  <c r="L93" i="99" s="1"/>
  <c r="U88" i="9"/>
  <c r="G84" i="59"/>
  <c r="C84" i="59"/>
  <c r="L179" i="132"/>
  <c r="Q85" i="59"/>
  <c r="J93" i="99" l="1"/>
  <c r="A879" i="170"/>
  <c r="G862" i="170"/>
  <c r="A896" i="170" l="1"/>
  <c r="G879" i="170"/>
  <c r="G896" i="170" l="1"/>
  <c r="A913" i="170"/>
  <c r="A930" i="170" l="1"/>
  <c r="G913" i="170"/>
  <c r="H91" i="99"/>
  <c r="A947" i="170" l="1"/>
  <c r="G930" i="170"/>
  <c r="H90" i="99"/>
  <c r="H89" i="99"/>
  <c r="A964" i="170" l="1"/>
  <c r="G947" i="170"/>
  <c r="AP161" i="128"/>
  <c r="G964" i="170" l="1"/>
  <c r="A981" i="170"/>
  <c r="K75" i="101"/>
  <c r="K76" i="101"/>
  <c r="G981" i="170" l="1"/>
  <c r="A998" i="170"/>
  <c r="U84" i="9"/>
  <c r="U85" i="9"/>
  <c r="U86" i="9"/>
  <c r="G91" i="99"/>
  <c r="L91" i="99" s="1"/>
  <c r="G90" i="99"/>
  <c r="L90" i="99" s="1"/>
  <c r="G89" i="99"/>
  <c r="L89" i="99" s="1"/>
  <c r="E19" i="136"/>
  <c r="AX158" i="8"/>
  <c r="J89" i="99" l="1"/>
  <c r="J90" i="99"/>
  <c r="J91" i="99"/>
  <c r="G998" i="170"/>
  <c r="A1015" i="170"/>
  <c r="A1032" i="170" l="1"/>
  <c r="G1015" i="170"/>
  <c r="I174" i="132" l="1"/>
  <c r="I173" i="132" s="1"/>
  <c r="I178" i="132" s="1"/>
  <c r="A1049" i="170"/>
  <c r="G1032" i="170"/>
  <c r="I20" i="136"/>
  <c r="H19" i="136"/>
  <c r="K4" i="9"/>
  <c r="P59" i="59"/>
  <c r="C62" i="59"/>
  <c r="C70" i="59" s="1"/>
  <c r="P17" i="59"/>
  <c r="G34" i="154" l="1"/>
  <c r="J174" i="132"/>
  <c r="J173" i="132" s="1"/>
  <c r="J178" i="132" s="1"/>
  <c r="G13" i="167"/>
  <c r="A1066" i="170"/>
  <c r="G1049" i="170"/>
  <c r="I19" i="136"/>
  <c r="J20" i="136"/>
  <c r="J4" i="9"/>
  <c r="C11" i="9"/>
  <c r="F100" i="99" s="1"/>
  <c r="X100" i="99" s="1"/>
  <c r="C12" i="9"/>
  <c r="Y12" i="9" s="1"/>
  <c r="P19" i="59"/>
  <c r="P21" i="59"/>
  <c r="P22" i="59"/>
  <c r="P23" i="59"/>
  <c r="P24" i="59"/>
  <c r="P25" i="59"/>
  <c r="P26" i="59"/>
  <c r="P29" i="59"/>
  <c r="P44" i="59"/>
  <c r="P45" i="59"/>
  <c r="P46" i="59"/>
  <c r="P47" i="59"/>
  <c r="P49" i="59"/>
  <c r="P50" i="59"/>
  <c r="P51" i="59"/>
  <c r="P52" i="59"/>
  <c r="P53" i="59"/>
  <c r="P54" i="59"/>
  <c r="P57" i="59"/>
  <c r="P58" i="59"/>
  <c r="P60" i="59"/>
  <c r="P61" i="59"/>
  <c r="P63" i="59"/>
  <c r="P64" i="59"/>
  <c r="P65" i="59"/>
  <c r="P66" i="59"/>
  <c r="P67" i="59"/>
  <c r="P68" i="59"/>
  <c r="P7" i="59"/>
  <c r="P8" i="59"/>
  <c r="P10" i="59"/>
  <c r="P11" i="59"/>
  <c r="P12" i="59"/>
  <c r="P15" i="59"/>
  <c r="P16" i="59"/>
  <c r="P18" i="59"/>
  <c r="P4" i="59"/>
  <c r="P5" i="59"/>
  <c r="P3" i="59"/>
  <c r="Y11" i="9" l="1"/>
  <c r="Y10" i="9" s="1"/>
  <c r="Q92" i="99"/>
  <c r="R90" i="99"/>
  <c r="P96" i="99"/>
  <c r="T96" i="99" s="1"/>
  <c r="Q93" i="99"/>
  <c r="R91" i="99"/>
  <c r="P94" i="99"/>
  <c r="T94" i="99" s="1"/>
  <c r="R96" i="99"/>
  <c r="R94" i="99"/>
  <c r="R92" i="99"/>
  <c r="P90" i="99"/>
  <c r="T90" i="99" s="1"/>
  <c r="Q95" i="99"/>
  <c r="R93" i="99"/>
  <c r="P91" i="99"/>
  <c r="T91" i="99" s="1"/>
  <c r="P95" i="99"/>
  <c r="T95" i="99" s="1"/>
  <c r="P92" i="99"/>
  <c r="T92" i="99" s="1"/>
  <c r="Q96" i="99"/>
  <c r="R95" i="99"/>
  <c r="P93" i="99"/>
  <c r="T93" i="99" s="1"/>
  <c r="Q94" i="99"/>
  <c r="Q90" i="99"/>
  <c r="Q91" i="99"/>
  <c r="Q89" i="99"/>
  <c r="R89" i="99"/>
  <c r="P89" i="99"/>
  <c r="T89" i="99" s="1"/>
  <c r="K174" i="132"/>
  <c r="M96" i="99"/>
  <c r="N97" i="99"/>
  <c r="O94" i="99"/>
  <c r="N96" i="99"/>
  <c r="O97" i="99"/>
  <c r="O95" i="99"/>
  <c r="M97" i="99"/>
  <c r="O96" i="99"/>
  <c r="N95" i="99"/>
  <c r="M95" i="99"/>
  <c r="M80" i="99"/>
  <c r="M64" i="99"/>
  <c r="M48" i="99"/>
  <c r="M32" i="99"/>
  <c r="M93" i="99"/>
  <c r="M77" i="99"/>
  <c r="M61" i="99"/>
  <c r="M45" i="99"/>
  <c r="M29" i="99"/>
  <c r="M90" i="99"/>
  <c r="M74" i="99"/>
  <c r="M58" i="99"/>
  <c r="M42" i="99"/>
  <c r="M26" i="99"/>
  <c r="M87" i="99"/>
  <c r="M71" i="99"/>
  <c r="M55" i="99"/>
  <c r="M39" i="99"/>
  <c r="M19" i="99"/>
  <c r="M84" i="99"/>
  <c r="M68" i="99"/>
  <c r="M52" i="99"/>
  <c r="M36" i="99"/>
  <c r="M20" i="99"/>
  <c r="M81" i="99"/>
  <c r="M65" i="99"/>
  <c r="M49" i="99"/>
  <c r="M33" i="99"/>
  <c r="M94" i="99"/>
  <c r="M78" i="99"/>
  <c r="M62" i="99"/>
  <c r="M46" i="99"/>
  <c r="M30" i="99"/>
  <c r="M91" i="99"/>
  <c r="M75" i="99"/>
  <c r="M59" i="99"/>
  <c r="M43" i="99"/>
  <c r="M27" i="99"/>
  <c r="M88" i="99"/>
  <c r="M72" i="99"/>
  <c r="M56" i="99"/>
  <c r="M40" i="99"/>
  <c r="M24" i="99"/>
  <c r="M85" i="99"/>
  <c r="M69" i="99"/>
  <c r="M53" i="99"/>
  <c r="M37" i="99"/>
  <c r="M21" i="99"/>
  <c r="M82" i="99"/>
  <c r="M66" i="99"/>
  <c r="M50" i="99"/>
  <c r="M34" i="99"/>
  <c r="M18" i="99"/>
  <c r="M79" i="99"/>
  <c r="M63" i="99"/>
  <c r="M47" i="99"/>
  <c r="M31" i="99"/>
  <c r="M92" i="99"/>
  <c r="M76" i="99"/>
  <c r="M60" i="99"/>
  <c r="M44" i="99"/>
  <c r="M28" i="99"/>
  <c r="M89" i="99"/>
  <c r="M73" i="99"/>
  <c r="M57" i="99"/>
  <c r="M41" i="99"/>
  <c r="M25" i="99"/>
  <c r="M86" i="99"/>
  <c r="M70" i="99"/>
  <c r="M54" i="99"/>
  <c r="M38" i="99"/>
  <c r="M22" i="99"/>
  <c r="M83" i="99"/>
  <c r="M67" i="99"/>
  <c r="M51" i="99"/>
  <c r="M35" i="99"/>
  <c r="M23" i="99"/>
  <c r="O86" i="99"/>
  <c r="O78" i="99"/>
  <c r="O70" i="99"/>
  <c r="O62" i="99"/>
  <c r="O54" i="99"/>
  <c r="O46" i="99"/>
  <c r="O38" i="99"/>
  <c r="O30" i="99"/>
  <c r="N19" i="99"/>
  <c r="O91" i="99"/>
  <c r="O83" i="99"/>
  <c r="O75" i="99"/>
  <c r="O67" i="99"/>
  <c r="O59" i="99"/>
  <c r="O51" i="99"/>
  <c r="O43" i="99"/>
  <c r="O35" i="99"/>
  <c r="O27" i="99"/>
  <c r="O19" i="99"/>
  <c r="O88" i="99"/>
  <c r="O80" i="99"/>
  <c r="O72" i="99"/>
  <c r="O64" i="99"/>
  <c r="O56" i="99"/>
  <c r="O48" i="99"/>
  <c r="O40" i="99"/>
  <c r="O32" i="99"/>
  <c r="O24" i="99"/>
  <c r="O93" i="99"/>
  <c r="O85" i="99"/>
  <c r="O77" i="99"/>
  <c r="O69" i="99"/>
  <c r="O61" i="99"/>
  <c r="O53" i="99"/>
  <c r="O45" i="99"/>
  <c r="O37" i="99"/>
  <c r="O29" i="99"/>
  <c r="O21" i="99"/>
  <c r="N87" i="99"/>
  <c r="N79" i="99"/>
  <c r="N71" i="99"/>
  <c r="N63" i="99"/>
  <c r="N55" i="99"/>
  <c r="N47" i="99"/>
  <c r="N39" i="99"/>
  <c r="N31" i="99"/>
  <c r="O22" i="99"/>
  <c r="N92" i="99"/>
  <c r="N84" i="99"/>
  <c r="N76" i="99"/>
  <c r="N68" i="99"/>
  <c r="N60" i="99"/>
  <c r="N52" i="99"/>
  <c r="N44" i="99"/>
  <c r="N36" i="99"/>
  <c r="N28" i="99"/>
  <c r="N20" i="99"/>
  <c r="N89" i="99"/>
  <c r="N81" i="99"/>
  <c r="N73" i="99"/>
  <c r="N65" i="99"/>
  <c r="N57" i="99"/>
  <c r="N49" i="99"/>
  <c r="N41" i="99"/>
  <c r="N33" i="99"/>
  <c r="N25" i="99"/>
  <c r="N94" i="99"/>
  <c r="N86" i="99"/>
  <c r="N78" i="99"/>
  <c r="N70" i="99"/>
  <c r="N62" i="99"/>
  <c r="N54" i="99"/>
  <c r="N46" i="99"/>
  <c r="N38" i="99"/>
  <c r="N30" i="99"/>
  <c r="N22" i="99"/>
  <c r="O90" i="99"/>
  <c r="O82" i="99"/>
  <c r="O74" i="99"/>
  <c r="O66" i="99"/>
  <c r="O58" i="99"/>
  <c r="O50" i="99"/>
  <c r="O42" i="99"/>
  <c r="O34" i="99"/>
  <c r="O26" i="99"/>
  <c r="O87" i="99"/>
  <c r="O79" i="99"/>
  <c r="O71" i="99"/>
  <c r="O63" i="99"/>
  <c r="O55" i="99"/>
  <c r="O47" i="99"/>
  <c r="O39" i="99"/>
  <c r="O31" i="99"/>
  <c r="O23" i="99"/>
  <c r="O92" i="99"/>
  <c r="O84" i="99"/>
  <c r="O76" i="99"/>
  <c r="O68" i="99"/>
  <c r="O60" i="99"/>
  <c r="O52" i="99"/>
  <c r="O44" i="99"/>
  <c r="O36" i="99"/>
  <c r="O28" i="99"/>
  <c r="O20" i="99"/>
  <c r="O89" i="99"/>
  <c r="O81" i="99"/>
  <c r="O73" i="99"/>
  <c r="O65" i="99"/>
  <c r="O57" i="99"/>
  <c r="O49" i="99"/>
  <c r="O41" i="99"/>
  <c r="O33" i="99"/>
  <c r="O25" i="99"/>
  <c r="N91" i="99"/>
  <c r="N83" i="99"/>
  <c r="N75" i="99"/>
  <c r="N67" i="99"/>
  <c r="N59" i="99"/>
  <c r="N51" i="99"/>
  <c r="N43" i="99"/>
  <c r="N35" i="99"/>
  <c r="N27" i="99"/>
  <c r="O18" i="99"/>
  <c r="N88" i="99"/>
  <c r="N80" i="99"/>
  <c r="N72" i="99"/>
  <c r="N64" i="99"/>
  <c r="N56" i="99"/>
  <c r="N48" i="99"/>
  <c r="N40" i="99"/>
  <c r="N32" i="99"/>
  <c r="N24" i="99"/>
  <c r="N93" i="99"/>
  <c r="N85" i="99"/>
  <c r="N77" i="99"/>
  <c r="N69" i="99"/>
  <c r="N61" i="99"/>
  <c r="N53" i="99"/>
  <c r="N45" i="99"/>
  <c r="N37" i="99"/>
  <c r="N29" i="99"/>
  <c r="N21" i="99"/>
  <c r="N90" i="99"/>
  <c r="N82" i="99"/>
  <c r="N74" i="99"/>
  <c r="N66" i="99"/>
  <c r="N58" i="99"/>
  <c r="N50" i="99"/>
  <c r="N42" i="99"/>
  <c r="N34" i="99"/>
  <c r="N26" i="99"/>
  <c r="N18" i="99"/>
  <c r="N23" i="99"/>
  <c r="Q20" i="99"/>
  <c r="C17" i="99"/>
  <c r="R12" i="9"/>
  <c r="V12" i="9"/>
  <c r="W12" i="9"/>
  <c r="AD12" i="9"/>
  <c r="Q97" i="151"/>
  <c r="N97" i="151"/>
  <c r="R97" i="151"/>
  <c r="O97" i="151"/>
  <c r="S97" i="151"/>
  <c r="P97" i="151"/>
  <c r="AD11" i="9"/>
  <c r="F99" i="99"/>
  <c r="X99" i="99" s="1"/>
  <c r="V11" i="9"/>
  <c r="W11" i="9"/>
  <c r="O96" i="151"/>
  <c r="N96" i="151"/>
  <c r="R11" i="9"/>
  <c r="R10" i="9" s="1"/>
  <c r="O95" i="151"/>
  <c r="N95" i="151"/>
  <c r="N93" i="151"/>
  <c r="O93" i="151"/>
  <c r="O94" i="151"/>
  <c r="N91" i="151"/>
  <c r="N94" i="151"/>
  <c r="O91" i="151"/>
  <c r="O92" i="151"/>
  <c r="N92" i="151"/>
  <c r="N53" i="151"/>
  <c r="O77" i="151"/>
  <c r="N43" i="151"/>
  <c r="O59" i="151"/>
  <c r="O18" i="151"/>
  <c r="O58" i="151"/>
  <c r="N78" i="151"/>
  <c r="N41" i="151"/>
  <c r="O49" i="151"/>
  <c r="N73" i="151"/>
  <c r="O81" i="151"/>
  <c r="N31" i="151"/>
  <c r="O47" i="151"/>
  <c r="O30" i="151"/>
  <c r="N46" i="151"/>
  <c r="N90" i="151"/>
  <c r="O32" i="151"/>
  <c r="N40" i="151"/>
  <c r="O64" i="151"/>
  <c r="N72" i="151"/>
  <c r="O88" i="151"/>
  <c r="O29" i="151"/>
  <c r="N69" i="151"/>
  <c r="O85" i="151"/>
  <c r="N55" i="151"/>
  <c r="O71" i="151"/>
  <c r="O38" i="151"/>
  <c r="N54" i="151"/>
  <c r="O82" i="151"/>
  <c r="N20" i="151"/>
  <c r="O36" i="151"/>
  <c r="O52" i="151"/>
  <c r="N60" i="151"/>
  <c r="O76" i="151"/>
  <c r="N84" i="151"/>
  <c r="N35" i="151"/>
  <c r="N67" i="151"/>
  <c r="O34" i="151"/>
  <c r="N50" i="151"/>
  <c r="N37" i="151"/>
  <c r="O53" i="151"/>
  <c r="O43" i="151"/>
  <c r="N18" i="151"/>
  <c r="O42" i="151"/>
  <c r="N58" i="151"/>
  <c r="N33" i="151"/>
  <c r="O41" i="151"/>
  <c r="N65" i="151"/>
  <c r="O73" i="151"/>
  <c r="N89" i="151"/>
  <c r="O31" i="151"/>
  <c r="N79" i="151"/>
  <c r="N30" i="151"/>
  <c r="O74" i="151"/>
  <c r="O24" i="151"/>
  <c r="N32" i="151"/>
  <c r="O56" i="151"/>
  <c r="N64" i="151"/>
  <c r="N88" i="151"/>
  <c r="N61" i="151"/>
  <c r="O69" i="151"/>
  <c r="N39" i="151"/>
  <c r="O55" i="151"/>
  <c r="N87" i="151"/>
  <c r="N38" i="151"/>
  <c r="O70" i="151"/>
  <c r="N82" i="151"/>
  <c r="O28" i="151"/>
  <c r="N36" i="151"/>
  <c r="N52" i="151"/>
  <c r="N76" i="151"/>
  <c r="N23" i="151"/>
  <c r="O35" i="151"/>
  <c r="O67" i="151"/>
  <c r="O22" i="151"/>
  <c r="N34" i="151"/>
  <c r="O86" i="151"/>
  <c r="N21" i="151"/>
  <c r="O37" i="151"/>
  <c r="N27" i="151"/>
  <c r="N75" i="151"/>
  <c r="O26" i="151"/>
  <c r="N42" i="151"/>
  <c r="N25" i="151"/>
  <c r="O33" i="151"/>
  <c r="N57" i="151"/>
  <c r="O65" i="151"/>
  <c r="O89" i="151"/>
  <c r="N63" i="151"/>
  <c r="O79" i="151"/>
  <c r="O62" i="151"/>
  <c r="N74" i="151"/>
  <c r="N24" i="151"/>
  <c r="O48" i="151"/>
  <c r="N56" i="151"/>
  <c r="O80" i="151"/>
  <c r="N45" i="151"/>
  <c r="O61" i="151"/>
  <c r="N19" i="151"/>
  <c r="O39" i="151"/>
  <c r="O87" i="151"/>
  <c r="N70" i="151"/>
  <c r="N28" i="151"/>
  <c r="O44" i="151"/>
  <c r="O68" i="151"/>
  <c r="O23" i="151"/>
  <c r="N51" i="151"/>
  <c r="N83" i="151"/>
  <c r="N22" i="151"/>
  <c r="O66" i="151"/>
  <c r="N86" i="151"/>
  <c r="O21" i="151"/>
  <c r="N77" i="151"/>
  <c r="O27" i="151"/>
  <c r="N59" i="151"/>
  <c r="O75" i="151"/>
  <c r="N26" i="151"/>
  <c r="O78" i="151"/>
  <c r="O25" i="151"/>
  <c r="N49" i="151"/>
  <c r="O57" i="151"/>
  <c r="N81" i="151"/>
  <c r="N47" i="151"/>
  <c r="O63" i="151"/>
  <c r="O46" i="151"/>
  <c r="N62" i="151"/>
  <c r="O90" i="151"/>
  <c r="O40" i="151"/>
  <c r="N48" i="151"/>
  <c r="O72" i="151"/>
  <c r="N80" i="151"/>
  <c r="N29" i="151"/>
  <c r="O45" i="151"/>
  <c r="N85" i="151"/>
  <c r="O19" i="151"/>
  <c r="N71" i="151"/>
  <c r="O54" i="151"/>
  <c r="O20" i="151"/>
  <c r="N44" i="151"/>
  <c r="O60" i="151"/>
  <c r="N68" i="151"/>
  <c r="O84" i="151"/>
  <c r="O51" i="151"/>
  <c r="O83" i="151"/>
  <c r="O50" i="151"/>
  <c r="N66" i="151"/>
  <c r="S91" i="151"/>
  <c r="S92" i="151"/>
  <c r="P94" i="151"/>
  <c r="S96" i="151"/>
  <c r="P89" i="151"/>
  <c r="R94" i="151"/>
  <c r="Q90" i="151"/>
  <c r="U90" i="151" s="1"/>
  <c r="Q93" i="151"/>
  <c r="U93" i="151" s="1"/>
  <c r="P93" i="151"/>
  <c r="Q96" i="151"/>
  <c r="U96" i="151" s="1"/>
  <c r="Q95" i="151"/>
  <c r="U95" i="151" s="1"/>
  <c r="Q89" i="151"/>
  <c r="U89" i="151" s="1"/>
  <c r="P90" i="151"/>
  <c r="P95" i="151"/>
  <c r="S93" i="151"/>
  <c r="Q91" i="151"/>
  <c r="U91" i="151" s="1"/>
  <c r="Q92" i="151"/>
  <c r="U92" i="151" s="1"/>
  <c r="P92" i="151"/>
  <c r="S94" i="151"/>
  <c r="S95" i="151"/>
  <c r="Q94" i="151"/>
  <c r="U94" i="151" s="1"/>
  <c r="P91" i="151"/>
  <c r="R93" i="151"/>
  <c r="R95" i="151"/>
  <c r="R92" i="151"/>
  <c r="P96" i="151"/>
  <c r="R91" i="151"/>
  <c r="R96" i="151"/>
  <c r="R90" i="151"/>
  <c r="S89" i="151"/>
  <c r="S90" i="151"/>
  <c r="R89" i="151"/>
  <c r="A1083" i="170"/>
  <c r="G1066" i="170"/>
  <c r="AA11" i="9"/>
  <c r="Z11" i="9"/>
  <c r="P97" i="99"/>
  <c r="F95" i="99"/>
  <c r="Q97" i="99"/>
  <c r="R97" i="99"/>
  <c r="F97" i="99"/>
  <c r="R98" i="99"/>
  <c r="Q98" i="99"/>
  <c r="F98" i="99"/>
  <c r="P98" i="99"/>
  <c r="F93" i="99"/>
  <c r="F94" i="99"/>
  <c r="F92" i="99"/>
  <c r="F90" i="99"/>
  <c r="Z12" i="9"/>
  <c r="AA12" i="9"/>
  <c r="AC11" i="9"/>
  <c r="Q82" i="99"/>
  <c r="Q61" i="99"/>
  <c r="Q71" i="99"/>
  <c r="R76" i="99"/>
  <c r="R67" i="99"/>
  <c r="R88" i="99"/>
  <c r="Q80" i="99"/>
  <c r="R87" i="99"/>
  <c r="R58" i="99"/>
  <c r="R74" i="99"/>
  <c r="Q66" i="99"/>
  <c r="Q77" i="99"/>
  <c r="R71" i="99"/>
  <c r="R60" i="99"/>
  <c r="R69" i="99"/>
  <c r="R85" i="99"/>
  <c r="Q63" i="99"/>
  <c r="R72" i="99"/>
  <c r="Q64" i="99"/>
  <c r="Q75" i="99"/>
  <c r="Q57" i="99"/>
  <c r="R68" i="99"/>
  <c r="R64" i="99"/>
  <c r="Q58" i="99"/>
  <c r="Q85" i="99"/>
  <c r="Q88" i="99"/>
  <c r="Q60" i="99"/>
  <c r="Q62" i="99"/>
  <c r="R30" i="99"/>
  <c r="R57" i="99"/>
  <c r="R44" i="99"/>
  <c r="Q42" i="99"/>
  <c r="Q65" i="99"/>
  <c r="R47" i="99"/>
  <c r="R53" i="99"/>
  <c r="R40" i="99"/>
  <c r="R45" i="99"/>
  <c r="Q43" i="99"/>
  <c r="R18" i="99"/>
  <c r="R42" i="99"/>
  <c r="Q33" i="99"/>
  <c r="R19" i="99"/>
  <c r="R35" i="99"/>
  <c r="R51" i="99"/>
  <c r="Q32" i="99"/>
  <c r="Q30" i="99"/>
  <c r="Q29" i="99"/>
  <c r="R20" i="99"/>
  <c r="P26" i="151"/>
  <c r="P42" i="151"/>
  <c r="P58" i="151"/>
  <c r="P74" i="151"/>
  <c r="Q33" i="151"/>
  <c r="U33" i="151" s="1"/>
  <c r="Q49" i="151"/>
  <c r="U49" i="151" s="1"/>
  <c r="Q65" i="151"/>
  <c r="U65" i="151" s="1"/>
  <c r="Q81" i="151"/>
  <c r="U81" i="151" s="1"/>
  <c r="R20" i="151"/>
  <c r="P36" i="151"/>
  <c r="S36" i="151"/>
  <c r="R56" i="151"/>
  <c r="P76" i="151"/>
  <c r="S76" i="151"/>
  <c r="S88" i="151"/>
  <c r="S27" i="151"/>
  <c r="Q27" i="151"/>
  <c r="U27" i="151" s="1"/>
  <c r="R43" i="151"/>
  <c r="S59" i="151"/>
  <c r="P59" i="151"/>
  <c r="R75" i="151"/>
  <c r="S87" i="151"/>
  <c r="P87" i="151"/>
  <c r="P44" i="151"/>
  <c r="R44" i="151"/>
  <c r="S60" i="151"/>
  <c r="P72" i="151"/>
  <c r="R23" i="151"/>
  <c r="S39" i="151"/>
  <c r="P39" i="151"/>
  <c r="R55" i="151"/>
  <c r="S71" i="151"/>
  <c r="P71" i="151"/>
  <c r="R22" i="151"/>
  <c r="P30" i="151"/>
  <c r="R38" i="151"/>
  <c r="P46" i="151"/>
  <c r="P62" i="151"/>
  <c r="P78" i="151"/>
  <c r="R21" i="151"/>
  <c r="S29" i="151"/>
  <c r="P29" i="151"/>
  <c r="R37" i="151"/>
  <c r="S45" i="151"/>
  <c r="P45" i="151"/>
  <c r="R53" i="151"/>
  <c r="S61" i="151"/>
  <c r="P61" i="151"/>
  <c r="R69" i="151"/>
  <c r="S77" i="151"/>
  <c r="P77" i="151"/>
  <c r="R85" i="151"/>
  <c r="P28" i="151"/>
  <c r="R28" i="151"/>
  <c r="P68" i="151"/>
  <c r="R68" i="151"/>
  <c r="S80" i="151"/>
  <c r="S19" i="151"/>
  <c r="P19" i="151"/>
  <c r="R35" i="151"/>
  <c r="S51" i="151"/>
  <c r="P51" i="151"/>
  <c r="R67" i="151"/>
  <c r="S79" i="151"/>
  <c r="Q79" i="151"/>
  <c r="U79" i="151" s="1"/>
  <c r="R24" i="151"/>
  <c r="P40" i="151"/>
  <c r="S40" i="151"/>
  <c r="P64" i="151"/>
  <c r="R64" i="151"/>
  <c r="S31" i="151"/>
  <c r="Q31" i="151"/>
  <c r="U31" i="151" s="1"/>
  <c r="R47" i="151"/>
  <c r="S63" i="151"/>
  <c r="P63" i="151"/>
  <c r="R83" i="151"/>
  <c r="Q70" i="99"/>
  <c r="R54" i="99"/>
  <c r="Q18" i="99"/>
  <c r="Q83" i="99"/>
  <c r="R37" i="99"/>
  <c r="Q68" i="99"/>
  <c r="R34" i="99"/>
  <c r="R28" i="99"/>
  <c r="R27" i="99"/>
  <c r="Q37" i="99"/>
  <c r="Q46" i="99"/>
  <c r="Q41" i="99"/>
  <c r="Q56" i="99"/>
  <c r="P34" i="151"/>
  <c r="P66" i="151"/>
  <c r="R74" i="151"/>
  <c r="Q41" i="151"/>
  <c r="U41" i="151" s="1"/>
  <c r="Q73" i="151"/>
  <c r="U73" i="151" s="1"/>
  <c r="S20" i="151"/>
  <c r="P56" i="151"/>
  <c r="R76" i="151"/>
  <c r="S43" i="151"/>
  <c r="R59" i="151"/>
  <c r="P75" i="151"/>
  <c r="P32" i="151"/>
  <c r="S23" i="151"/>
  <c r="R39" i="151"/>
  <c r="P55" i="151"/>
  <c r="P22" i="151"/>
  <c r="R30" i="151"/>
  <c r="P54" i="151"/>
  <c r="R62" i="151"/>
  <c r="R70" i="151"/>
  <c r="P86" i="151"/>
  <c r="R29" i="151"/>
  <c r="P37" i="151"/>
  <c r="S53" i="151"/>
  <c r="R61" i="151"/>
  <c r="P69" i="151"/>
  <c r="S85" i="151"/>
  <c r="R48" i="151"/>
  <c r="P80" i="151"/>
  <c r="R19" i="151"/>
  <c r="P35" i="151"/>
  <c r="S67" i="151"/>
  <c r="R79" i="151"/>
  <c r="S24" i="151"/>
  <c r="P52" i="151"/>
  <c r="S64" i="151"/>
  <c r="R84" i="151"/>
  <c r="S47" i="151"/>
  <c r="R63" i="151"/>
  <c r="P83" i="151"/>
  <c r="R62" i="99"/>
  <c r="R80" i="99"/>
  <c r="R84" i="99"/>
  <c r="R66" i="99"/>
  <c r="R78" i="99"/>
  <c r="Q72" i="99"/>
  <c r="R86" i="99"/>
  <c r="Q27" i="99"/>
  <c r="R50" i="99"/>
  <c r="R23" i="99"/>
  <c r="Q79" i="99"/>
  <c r="Q26" i="99"/>
  <c r="Q39" i="99"/>
  <c r="Q44" i="99"/>
  <c r="Q28" i="99"/>
  <c r="Q18" i="151"/>
  <c r="U18" i="151" s="1"/>
  <c r="S26" i="151"/>
  <c r="R34" i="151"/>
  <c r="Q50" i="151"/>
  <c r="U50" i="151" s="1"/>
  <c r="S58" i="151"/>
  <c r="R66" i="151"/>
  <c r="Q82" i="151"/>
  <c r="U82" i="151" s="1"/>
  <c r="R25" i="151"/>
  <c r="P33" i="151"/>
  <c r="S49" i="151"/>
  <c r="R57" i="151"/>
  <c r="P65" i="151"/>
  <c r="S81" i="151"/>
  <c r="Q56" i="151"/>
  <c r="U56" i="151" s="1"/>
  <c r="R88" i="151"/>
  <c r="Q75" i="151"/>
  <c r="U75" i="151" s="1"/>
  <c r="Q32" i="151"/>
  <c r="U32" i="151" s="1"/>
  <c r="R60" i="151"/>
  <c r="Q55" i="151"/>
  <c r="U55" i="151" s="1"/>
  <c r="Q22" i="151"/>
  <c r="U22" i="151" s="1"/>
  <c r="S30" i="151"/>
  <c r="Q54" i="151"/>
  <c r="U54" i="151" s="1"/>
  <c r="S62" i="151"/>
  <c r="Q86" i="151"/>
  <c r="U86" i="151" s="1"/>
  <c r="Q21" i="151"/>
  <c r="U21" i="151" s="1"/>
  <c r="Q53" i="151"/>
  <c r="U53" i="151" s="1"/>
  <c r="Q85" i="151"/>
  <c r="U85" i="151" s="1"/>
  <c r="Q48" i="151"/>
  <c r="U48" i="151" s="1"/>
  <c r="Q67" i="151"/>
  <c r="U67" i="151" s="1"/>
  <c r="Q24" i="151"/>
  <c r="U24" i="151" s="1"/>
  <c r="S52" i="151"/>
  <c r="Q84" i="151"/>
  <c r="U84" i="151" s="1"/>
  <c r="P47" i="151"/>
  <c r="Q86" i="99"/>
  <c r="R79" i="99"/>
  <c r="R83" i="99"/>
  <c r="R82" i="99"/>
  <c r="R77" i="99"/>
  <c r="Q76" i="99"/>
  <c r="Q87" i="99"/>
  <c r="Q78" i="99"/>
  <c r="R24" i="99"/>
  <c r="Q84" i="99"/>
  <c r="Q51" i="99"/>
  <c r="R26" i="99"/>
  <c r="Q45" i="99"/>
  <c r="Q81" i="99"/>
  <c r="R39" i="99"/>
  <c r="R32" i="99"/>
  <c r="R29" i="99"/>
  <c r="Q73" i="99"/>
  <c r="Q19" i="99"/>
  <c r="Q40" i="99"/>
  <c r="Q34" i="99"/>
  <c r="Q25" i="99"/>
  <c r="Q36" i="99"/>
  <c r="Q31" i="99"/>
  <c r="Q47" i="99"/>
  <c r="R49" i="99"/>
  <c r="Q22" i="99"/>
  <c r="Q54" i="99"/>
  <c r="R25" i="99"/>
  <c r="Q53" i="99"/>
  <c r="Q48" i="99"/>
  <c r="S18" i="151"/>
  <c r="Q26" i="151"/>
  <c r="U26" i="151" s="1"/>
  <c r="S34" i="151"/>
  <c r="Q42" i="151"/>
  <c r="U42" i="151" s="1"/>
  <c r="R42" i="151"/>
  <c r="S50" i="151"/>
  <c r="Q58" i="151"/>
  <c r="U58" i="151" s="1"/>
  <c r="R58" i="151"/>
  <c r="S66" i="151"/>
  <c r="Q74" i="151"/>
  <c r="U74" i="151" s="1"/>
  <c r="S82" i="151"/>
  <c r="S25" i="151"/>
  <c r="P25" i="151"/>
  <c r="R33" i="151"/>
  <c r="S41" i="151"/>
  <c r="P41" i="151"/>
  <c r="R49" i="151"/>
  <c r="S57" i="151"/>
  <c r="P57" i="151"/>
  <c r="R65" i="151"/>
  <c r="S73" i="151"/>
  <c r="P73" i="151"/>
  <c r="R81" i="151"/>
  <c r="Q36" i="151"/>
  <c r="U36" i="151" s="1"/>
  <c r="Q76" i="151"/>
  <c r="U76" i="151" s="1"/>
  <c r="P27" i="151"/>
  <c r="Q59" i="151"/>
  <c r="U59" i="151" s="1"/>
  <c r="Q87" i="151"/>
  <c r="U87" i="151" s="1"/>
  <c r="Q44" i="151"/>
  <c r="U44" i="151" s="1"/>
  <c r="S44" i="151"/>
  <c r="Q72" i="151"/>
  <c r="U72" i="151" s="1"/>
  <c r="R72" i="151"/>
  <c r="Q39" i="151"/>
  <c r="U39" i="151" s="1"/>
  <c r="Q71" i="151"/>
  <c r="U71" i="151" s="1"/>
  <c r="S22" i="151"/>
  <c r="Q30" i="151"/>
  <c r="U30" i="151" s="1"/>
  <c r="S38" i="151"/>
  <c r="Q46" i="151"/>
  <c r="U46" i="151" s="1"/>
  <c r="S54" i="151"/>
  <c r="Q62" i="151"/>
  <c r="U62" i="151" s="1"/>
  <c r="S70" i="151"/>
  <c r="Q78" i="151"/>
  <c r="U78" i="151" s="1"/>
  <c r="R78" i="151"/>
  <c r="S86" i="151"/>
  <c r="Q29" i="151"/>
  <c r="U29" i="151" s="1"/>
  <c r="Q45" i="151"/>
  <c r="U45" i="151" s="1"/>
  <c r="Q61" i="151"/>
  <c r="U61" i="151" s="1"/>
  <c r="Q77" i="151"/>
  <c r="U77" i="151" s="1"/>
  <c r="Q28" i="151"/>
  <c r="U28" i="151" s="1"/>
  <c r="S28" i="151"/>
  <c r="Q68" i="151"/>
  <c r="U68" i="151" s="1"/>
  <c r="S68" i="151"/>
  <c r="Q19" i="151"/>
  <c r="U19" i="151" s="1"/>
  <c r="Q51" i="151"/>
  <c r="U51" i="151" s="1"/>
  <c r="P79" i="151"/>
  <c r="Q40" i="151"/>
  <c r="U40" i="151" s="1"/>
  <c r="Q64" i="151"/>
  <c r="U64" i="151" s="1"/>
  <c r="P31" i="151"/>
  <c r="Q63" i="151"/>
  <c r="U63" i="151" s="1"/>
  <c r="R73" i="99"/>
  <c r="Q67" i="99"/>
  <c r="R63" i="99"/>
  <c r="Q74" i="99"/>
  <c r="Q69" i="99"/>
  <c r="R81" i="99"/>
  <c r="R75" i="99"/>
  <c r="R70" i="99"/>
  <c r="Q35" i="99"/>
  <c r="R41" i="99"/>
  <c r="R31" i="99"/>
  <c r="R21" i="99"/>
  <c r="R46" i="99"/>
  <c r="Q24" i="99"/>
  <c r="R43" i="99"/>
  <c r="R52" i="99"/>
  <c r="Q21" i="99"/>
  <c r="R36" i="99"/>
  <c r="P18" i="151"/>
  <c r="R26" i="151"/>
  <c r="P50" i="151"/>
  <c r="P82" i="151"/>
  <c r="Q25" i="151"/>
  <c r="U25" i="151" s="1"/>
  <c r="Q57" i="151"/>
  <c r="U57" i="151" s="1"/>
  <c r="P20" i="151"/>
  <c r="R36" i="151"/>
  <c r="S56" i="151"/>
  <c r="P88" i="151"/>
  <c r="R27" i="151"/>
  <c r="Q43" i="151"/>
  <c r="U43" i="151" s="1"/>
  <c r="S75" i="151"/>
  <c r="R87" i="151"/>
  <c r="R32" i="151"/>
  <c r="P60" i="151"/>
  <c r="S72" i="151"/>
  <c r="P23" i="151"/>
  <c r="S55" i="151"/>
  <c r="R71" i="151"/>
  <c r="P38" i="151"/>
  <c r="R46" i="151"/>
  <c r="P70" i="151"/>
  <c r="R86" i="151"/>
  <c r="S21" i="151"/>
  <c r="P21" i="151"/>
  <c r="S37" i="151"/>
  <c r="R45" i="151"/>
  <c r="P53" i="151"/>
  <c r="S69" i="151"/>
  <c r="R77" i="151"/>
  <c r="P85" i="151"/>
  <c r="P48" i="151"/>
  <c r="R80" i="151"/>
  <c r="S35" i="151"/>
  <c r="R51" i="151"/>
  <c r="P67" i="151"/>
  <c r="P24" i="151"/>
  <c r="R40" i="151"/>
  <c r="R52" i="151"/>
  <c r="P84" i="151"/>
  <c r="R31" i="151"/>
  <c r="Q47" i="151"/>
  <c r="U47" i="151" s="1"/>
  <c r="S83" i="151"/>
  <c r="R65" i="99"/>
  <c r="R61" i="99"/>
  <c r="R59" i="99"/>
  <c r="R38" i="99"/>
  <c r="Q52" i="99"/>
  <c r="Q59" i="99"/>
  <c r="R55" i="99"/>
  <c r="R48" i="99"/>
  <c r="R22" i="99"/>
  <c r="Q49" i="99"/>
  <c r="Q50" i="99"/>
  <c r="Q23" i="99"/>
  <c r="Q55" i="99"/>
  <c r="Q38" i="99"/>
  <c r="R33" i="99"/>
  <c r="R56" i="99"/>
  <c r="R18" i="151"/>
  <c r="Q34" i="151"/>
  <c r="U34" i="151" s="1"/>
  <c r="S42" i="151"/>
  <c r="R50" i="151"/>
  <c r="Q66" i="151"/>
  <c r="U66" i="151" s="1"/>
  <c r="S74" i="151"/>
  <c r="R82" i="151"/>
  <c r="S33" i="151"/>
  <c r="R41" i="151"/>
  <c r="P49" i="151"/>
  <c r="S65" i="151"/>
  <c r="R73" i="151"/>
  <c r="P81" i="151"/>
  <c r="Q20" i="151"/>
  <c r="U20" i="151" s="1"/>
  <c r="Q88" i="151"/>
  <c r="U88" i="151" s="1"/>
  <c r="P43" i="151"/>
  <c r="S32" i="151"/>
  <c r="Q60" i="151"/>
  <c r="U60" i="151" s="1"/>
  <c r="Q23" i="151"/>
  <c r="U23" i="151" s="1"/>
  <c r="Q38" i="151"/>
  <c r="U38" i="151" s="1"/>
  <c r="S46" i="151"/>
  <c r="R54" i="151"/>
  <c r="Q70" i="151"/>
  <c r="U70" i="151" s="1"/>
  <c r="S78" i="151"/>
  <c r="Q37" i="151"/>
  <c r="U37" i="151" s="1"/>
  <c r="Q69" i="151"/>
  <c r="U69" i="151" s="1"/>
  <c r="S48" i="151"/>
  <c r="Q80" i="151"/>
  <c r="U80" i="151" s="1"/>
  <c r="Q35" i="151"/>
  <c r="U35" i="151" s="1"/>
  <c r="Q52" i="151"/>
  <c r="U52" i="151" s="1"/>
  <c r="S84" i="151"/>
  <c r="Q83" i="151"/>
  <c r="U83" i="151" s="1"/>
  <c r="H34" i="154"/>
  <c r="J19" i="136"/>
  <c r="G81" i="151"/>
  <c r="G73" i="151"/>
  <c r="G65" i="151"/>
  <c r="G57" i="151"/>
  <c r="G49" i="151"/>
  <c r="G41" i="151"/>
  <c r="G33" i="151"/>
  <c r="G25" i="151"/>
  <c r="G82" i="151"/>
  <c r="G74" i="151"/>
  <c r="G66" i="151"/>
  <c r="G58" i="151"/>
  <c r="G50" i="151"/>
  <c r="G46" i="151"/>
  <c r="G38" i="151"/>
  <c r="G30" i="151"/>
  <c r="G26" i="151"/>
  <c r="G22" i="151"/>
  <c r="G18" i="151"/>
  <c r="G83" i="151"/>
  <c r="G79" i="151"/>
  <c r="G75" i="151"/>
  <c r="G71" i="151"/>
  <c r="G67" i="151"/>
  <c r="G63" i="151"/>
  <c r="G59" i="151"/>
  <c r="G55" i="151"/>
  <c r="G51" i="151"/>
  <c r="G47" i="151"/>
  <c r="G43" i="151"/>
  <c r="G39" i="151"/>
  <c r="G35" i="151"/>
  <c r="G31" i="151"/>
  <c r="G27" i="151"/>
  <c r="G23" i="151"/>
  <c r="G19" i="151"/>
  <c r="G77" i="151"/>
  <c r="G69" i="151"/>
  <c r="G61" i="151"/>
  <c r="G53" i="151"/>
  <c r="G45" i="151"/>
  <c r="G37" i="151"/>
  <c r="G29" i="151"/>
  <c r="G21" i="151"/>
  <c r="G78" i="151"/>
  <c r="G70" i="151"/>
  <c r="G62" i="151"/>
  <c r="G54" i="151"/>
  <c r="G42" i="151"/>
  <c r="G34" i="151"/>
  <c r="G84" i="151"/>
  <c r="G80" i="151"/>
  <c r="G76" i="151"/>
  <c r="G72" i="151"/>
  <c r="G68" i="151"/>
  <c r="G64" i="151"/>
  <c r="G60" i="151"/>
  <c r="G56" i="151"/>
  <c r="G52" i="151"/>
  <c r="G48" i="151"/>
  <c r="G44" i="151"/>
  <c r="G40" i="151"/>
  <c r="G36" i="151"/>
  <c r="G32" i="151"/>
  <c r="G28" i="151"/>
  <c r="G24" i="151"/>
  <c r="G20" i="151"/>
  <c r="AC80" i="9"/>
  <c r="G154" i="151"/>
  <c r="F69" i="101"/>
  <c r="F61" i="101"/>
  <c r="G146" i="151"/>
  <c r="F53" i="101"/>
  <c r="G138" i="151"/>
  <c r="F45" i="101"/>
  <c r="G130" i="151"/>
  <c r="F37" i="101"/>
  <c r="G122" i="151"/>
  <c r="G114" i="151"/>
  <c r="F29" i="101"/>
  <c r="F21" i="101"/>
  <c r="G106" i="151"/>
  <c r="G151" i="151"/>
  <c r="F66" i="101"/>
  <c r="G143" i="151"/>
  <c r="F58" i="101"/>
  <c r="G139" i="151"/>
  <c r="F54" i="101"/>
  <c r="G131" i="151"/>
  <c r="F46" i="101"/>
  <c r="F42" i="101"/>
  <c r="G127" i="151"/>
  <c r="G119" i="151"/>
  <c r="F34" i="101"/>
  <c r="G111" i="151"/>
  <c r="F26" i="101"/>
  <c r="G107" i="151"/>
  <c r="F22" i="101"/>
  <c r="F71" i="101"/>
  <c r="G156" i="151"/>
  <c r="G152" i="151"/>
  <c r="F67" i="101"/>
  <c r="G148" i="151"/>
  <c r="F63" i="101"/>
  <c r="G144" i="151"/>
  <c r="F59" i="101"/>
  <c r="F55" i="101"/>
  <c r="G140" i="151"/>
  <c r="F51" i="101"/>
  <c r="G136" i="151"/>
  <c r="G132" i="151"/>
  <c r="F47" i="101"/>
  <c r="F43" i="101"/>
  <c r="G128" i="151"/>
  <c r="F39" i="101"/>
  <c r="G124" i="151"/>
  <c r="G120" i="151"/>
  <c r="F35" i="101"/>
  <c r="F31" i="101"/>
  <c r="G116" i="151"/>
  <c r="F27" i="101"/>
  <c r="G112" i="151"/>
  <c r="G108" i="151"/>
  <c r="F23" i="101"/>
  <c r="G104" i="151"/>
  <c r="F19" i="101"/>
  <c r="G158" i="151"/>
  <c r="F73" i="101"/>
  <c r="G150" i="151"/>
  <c r="F65" i="101"/>
  <c r="G142" i="151"/>
  <c r="F57" i="101"/>
  <c r="G134" i="151"/>
  <c r="F49" i="101"/>
  <c r="G126" i="151"/>
  <c r="F41" i="101"/>
  <c r="G118" i="151"/>
  <c r="F33" i="101"/>
  <c r="G110" i="151"/>
  <c r="F25" i="101"/>
  <c r="F70" i="101"/>
  <c r="G155" i="151"/>
  <c r="G147" i="151"/>
  <c r="F62" i="101"/>
  <c r="G135" i="151"/>
  <c r="F50" i="101"/>
  <c r="G123" i="151"/>
  <c r="F38" i="101"/>
  <c r="G115" i="151"/>
  <c r="F30" i="101"/>
  <c r="G157" i="151"/>
  <c r="F72" i="101"/>
  <c r="F68" i="101"/>
  <c r="G153" i="151"/>
  <c r="G149" i="151"/>
  <c r="F64" i="101"/>
  <c r="G145" i="151"/>
  <c r="F60" i="101"/>
  <c r="F56" i="101"/>
  <c r="G141" i="151"/>
  <c r="G137" i="151"/>
  <c r="F52" i="101"/>
  <c r="G133" i="151"/>
  <c r="F48" i="101"/>
  <c r="G129" i="151"/>
  <c r="F44" i="101"/>
  <c r="G125" i="151"/>
  <c r="F40" i="101"/>
  <c r="G121" i="151"/>
  <c r="F36" i="101"/>
  <c r="G117" i="151"/>
  <c r="F32" i="101"/>
  <c r="G113" i="151"/>
  <c r="F28" i="101"/>
  <c r="F24" i="101"/>
  <c r="G109" i="151"/>
  <c r="G105" i="151"/>
  <c r="F20" i="101"/>
  <c r="C16" i="99"/>
  <c r="P28" i="99"/>
  <c r="T28" i="99" s="1"/>
  <c r="P35" i="99"/>
  <c r="T35" i="99" s="1"/>
  <c r="P66" i="99"/>
  <c r="T66" i="99" s="1"/>
  <c r="P68" i="99"/>
  <c r="T68" i="99" s="1"/>
  <c r="P19" i="99"/>
  <c r="T19" i="99" s="1"/>
  <c r="P50" i="99"/>
  <c r="T50" i="99" s="1"/>
  <c r="P85" i="99"/>
  <c r="T85" i="99" s="1"/>
  <c r="P24" i="99"/>
  <c r="T24" i="99" s="1"/>
  <c r="P41" i="99"/>
  <c r="T41" i="99" s="1"/>
  <c r="P73" i="99"/>
  <c r="T73" i="99" s="1"/>
  <c r="P60" i="99"/>
  <c r="T60" i="99" s="1"/>
  <c r="P69" i="99"/>
  <c r="T69" i="99" s="1"/>
  <c r="P67" i="99"/>
  <c r="T67" i="99" s="1"/>
  <c r="P42" i="99"/>
  <c r="T42" i="99" s="1"/>
  <c r="P21" i="99"/>
  <c r="T21" i="99" s="1"/>
  <c r="P44" i="99"/>
  <c r="T44" i="99" s="1"/>
  <c r="P59" i="99"/>
  <c r="T59" i="99" s="1"/>
  <c r="P26" i="99"/>
  <c r="T26" i="99" s="1"/>
  <c r="P82" i="99"/>
  <c r="T82" i="99" s="1"/>
  <c r="P72" i="99"/>
  <c r="T72" i="99" s="1"/>
  <c r="P84" i="99"/>
  <c r="T84" i="99" s="1"/>
  <c r="P77" i="99"/>
  <c r="T77" i="99" s="1"/>
  <c r="P29" i="99"/>
  <c r="T29" i="99" s="1"/>
  <c r="P43" i="99"/>
  <c r="T43" i="99" s="1"/>
  <c r="P88" i="99"/>
  <c r="T88" i="99" s="1"/>
  <c r="P64" i="99"/>
  <c r="T64" i="99" s="1"/>
  <c r="P23" i="99"/>
  <c r="T23" i="99" s="1"/>
  <c r="P55" i="99"/>
  <c r="T55" i="99" s="1"/>
  <c r="P87" i="99"/>
  <c r="T87" i="99" s="1"/>
  <c r="P30" i="99"/>
  <c r="T30" i="99" s="1"/>
  <c r="P62" i="99"/>
  <c r="T62" i="99" s="1"/>
  <c r="P36" i="99"/>
  <c r="T36" i="99" s="1"/>
  <c r="P83" i="99"/>
  <c r="T83" i="99" s="1"/>
  <c r="P58" i="99"/>
  <c r="T58" i="99" s="1"/>
  <c r="P37" i="99"/>
  <c r="T37" i="99" s="1"/>
  <c r="P76" i="99"/>
  <c r="T76" i="99" s="1"/>
  <c r="P48" i="99"/>
  <c r="T48" i="99" s="1"/>
  <c r="P56" i="99"/>
  <c r="T56" i="99" s="1"/>
  <c r="P47" i="99"/>
  <c r="T47" i="99" s="1"/>
  <c r="P79" i="99"/>
  <c r="T79" i="99" s="1"/>
  <c r="P22" i="99"/>
  <c r="T22" i="99" s="1"/>
  <c r="P54" i="99"/>
  <c r="T54" i="99" s="1"/>
  <c r="P86" i="99"/>
  <c r="T86" i="99" s="1"/>
  <c r="P65" i="99"/>
  <c r="T65" i="99" s="1"/>
  <c r="P51" i="99"/>
  <c r="T51" i="99" s="1"/>
  <c r="P18" i="99"/>
  <c r="T18" i="99" s="1"/>
  <c r="P52" i="99"/>
  <c r="T52" i="99" s="1"/>
  <c r="P74" i="99"/>
  <c r="T74" i="99" s="1"/>
  <c r="P45" i="99"/>
  <c r="T45" i="99" s="1"/>
  <c r="P33" i="99"/>
  <c r="T33" i="99" s="1"/>
  <c r="P40" i="99"/>
  <c r="T40" i="99" s="1"/>
  <c r="P39" i="99"/>
  <c r="T39" i="99" s="1"/>
  <c r="P71" i="99"/>
  <c r="T71" i="99" s="1"/>
  <c r="P46" i="99"/>
  <c r="T46" i="99" s="1"/>
  <c r="P78" i="99"/>
  <c r="T78" i="99" s="1"/>
  <c r="P25" i="99"/>
  <c r="T25" i="99" s="1"/>
  <c r="P57" i="99"/>
  <c r="T57" i="99" s="1"/>
  <c r="P53" i="99"/>
  <c r="T53" i="99" s="1"/>
  <c r="P27" i="99"/>
  <c r="T27" i="99" s="1"/>
  <c r="P20" i="99"/>
  <c r="T20" i="99" s="1"/>
  <c r="P61" i="99"/>
  <c r="T61" i="99" s="1"/>
  <c r="P75" i="99"/>
  <c r="T75" i="99" s="1"/>
  <c r="P34" i="99"/>
  <c r="T34" i="99" s="1"/>
  <c r="P81" i="99"/>
  <c r="T81" i="99" s="1"/>
  <c r="P32" i="99"/>
  <c r="T32" i="99" s="1"/>
  <c r="P80" i="99"/>
  <c r="T80" i="99" s="1"/>
  <c r="P31" i="99"/>
  <c r="T31" i="99" s="1"/>
  <c r="P63" i="99"/>
  <c r="T63" i="99" s="1"/>
  <c r="P38" i="99"/>
  <c r="T38" i="99" s="1"/>
  <c r="P70" i="99"/>
  <c r="T70" i="99" s="1"/>
  <c r="P49" i="99"/>
  <c r="T49" i="99" s="1"/>
  <c r="D17" i="151"/>
  <c r="D16" i="151"/>
  <c r="H88" i="99"/>
  <c r="H75" i="99"/>
  <c r="H67" i="99"/>
  <c r="H59" i="99"/>
  <c r="H51" i="99"/>
  <c r="H43" i="99"/>
  <c r="H39" i="99"/>
  <c r="H31" i="99"/>
  <c r="H19" i="99"/>
  <c r="H87" i="99"/>
  <c r="H82" i="99"/>
  <c r="H78" i="99"/>
  <c r="H74" i="99"/>
  <c r="H70" i="99"/>
  <c r="H66" i="99"/>
  <c r="H62" i="99"/>
  <c r="H58" i="99"/>
  <c r="H54" i="99"/>
  <c r="H50" i="99"/>
  <c r="H46" i="99"/>
  <c r="H42" i="99"/>
  <c r="H38" i="99"/>
  <c r="H34" i="99"/>
  <c r="H30" i="99"/>
  <c r="H26" i="99"/>
  <c r="H22" i="99"/>
  <c r="H18" i="99"/>
  <c r="H83" i="99"/>
  <c r="H79" i="99"/>
  <c r="H71" i="99"/>
  <c r="H63" i="99"/>
  <c r="H55" i="99"/>
  <c r="H47" i="99"/>
  <c r="H35" i="99"/>
  <c r="H27" i="99"/>
  <c r="H23" i="99"/>
  <c r="H86" i="99"/>
  <c r="H81" i="99"/>
  <c r="H77" i="99"/>
  <c r="H73" i="99"/>
  <c r="H69" i="99"/>
  <c r="H65" i="99"/>
  <c r="H61" i="99"/>
  <c r="H57" i="99"/>
  <c r="H53" i="99"/>
  <c r="H49" i="99"/>
  <c r="H45" i="99"/>
  <c r="H41" i="99"/>
  <c r="H37" i="99"/>
  <c r="H33" i="99"/>
  <c r="H29" i="99"/>
  <c r="H25" i="99"/>
  <c r="H21" i="99"/>
  <c r="H85" i="99"/>
  <c r="H80" i="99"/>
  <c r="H76" i="99"/>
  <c r="H72" i="99"/>
  <c r="H68" i="99"/>
  <c r="H64" i="99"/>
  <c r="H60" i="99"/>
  <c r="H56" i="99"/>
  <c r="H52" i="99"/>
  <c r="H48" i="99"/>
  <c r="H44" i="99"/>
  <c r="H40" i="99"/>
  <c r="H36" i="99"/>
  <c r="H32" i="99"/>
  <c r="H28" i="99"/>
  <c r="H24" i="99"/>
  <c r="O69" i="59"/>
  <c r="P69" i="59" s="1"/>
  <c r="O62" i="59"/>
  <c r="K62" i="59"/>
  <c r="K70" i="59" s="1"/>
  <c r="G62" i="59"/>
  <c r="O48" i="59"/>
  <c r="K48" i="59"/>
  <c r="G48" i="59"/>
  <c r="M174" i="132" l="1"/>
  <c r="K173" i="132"/>
  <c r="K178" i="132" s="1"/>
  <c r="G95" i="132"/>
  <c r="G91" i="132"/>
  <c r="G94" i="132"/>
  <c r="G92" i="132"/>
  <c r="G93" i="132"/>
  <c r="X95" i="151"/>
  <c r="H93" i="132" s="1"/>
  <c r="X97" i="151"/>
  <c r="X94" i="151"/>
  <c r="H92" i="132" s="1"/>
  <c r="X93" i="151"/>
  <c r="H91" i="132" s="1"/>
  <c r="X96" i="151"/>
  <c r="Z10" i="9"/>
  <c r="W10" i="9"/>
  <c r="V10" i="9"/>
  <c r="AA10" i="9"/>
  <c r="X74" i="151"/>
  <c r="H72" i="132" s="1"/>
  <c r="X34" i="151"/>
  <c r="X23" i="151"/>
  <c r="H21" i="132" s="1"/>
  <c r="X87" i="151"/>
  <c r="H85" i="132" s="1"/>
  <c r="X61" i="151"/>
  <c r="X65" i="151"/>
  <c r="X37" i="151"/>
  <c r="H35" i="132" s="1"/>
  <c r="X35" i="151"/>
  <c r="H33" i="132" s="1"/>
  <c r="X54" i="151"/>
  <c r="H52" i="132" s="1"/>
  <c r="X72" i="151"/>
  <c r="X90" i="151"/>
  <c r="H88" i="132" s="1"/>
  <c r="X31" i="151"/>
  <c r="H29" i="132" s="1"/>
  <c r="W96" i="99"/>
  <c r="X96" i="99" s="1"/>
  <c r="X29" i="151"/>
  <c r="H27" i="132" s="1"/>
  <c r="X32" i="151"/>
  <c r="H30" i="132" s="1"/>
  <c r="X41" i="151"/>
  <c r="H39" i="132" s="1"/>
  <c r="X91" i="151"/>
  <c r="H89" i="132" s="1"/>
  <c r="X44" i="151"/>
  <c r="H42" i="132" s="1"/>
  <c r="X80" i="151"/>
  <c r="H78" i="132" s="1"/>
  <c r="X47" i="151"/>
  <c r="H45" i="132" s="1"/>
  <c r="X59" i="151"/>
  <c r="H57" i="132" s="1"/>
  <c r="X86" i="151"/>
  <c r="X51" i="151"/>
  <c r="H49" i="132" s="1"/>
  <c r="X28" i="151"/>
  <c r="H26" i="132" s="1"/>
  <c r="X19" i="151"/>
  <c r="H17" i="132" s="1"/>
  <c r="X56" i="151"/>
  <c r="H54" i="132" s="1"/>
  <c r="X42" i="151"/>
  <c r="H40" i="132" s="1"/>
  <c r="X76" i="151"/>
  <c r="H74" i="132" s="1"/>
  <c r="X82" i="151"/>
  <c r="H80" i="132" s="1"/>
  <c r="X88" i="151"/>
  <c r="X18" i="151"/>
  <c r="H16" i="132" s="1"/>
  <c r="X50" i="151"/>
  <c r="H48" i="132" s="1"/>
  <c r="X84" i="151"/>
  <c r="H82" i="132" s="1"/>
  <c r="X69" i="151"/>
  <c r="H67" i="132" s="1"/>
  <c r="X46" i="151"/>
  <c r="H44" i="132" s="1"/>
  <c r="X78" i="151"/>
  <c r="H76" i="132" s="1"/>
  <c r="X43" i="151"/>
  <c r="H41" i="132" s="1"/>
  <c r="X49" i="151"/>
  <c r="H47" i="132" s="1"/>
  <c r="X25" i="151"/>
  <c r="H23" i="132" s="1"/>
  <c r="X27" i="151"/>
  <c r="H25" i="132" s="1"/>
  <c r="X79" i="151"/>
  <c r="H77" i="132" s="1"/>
  <c r="X66" i="151"/>
  <c r="H64" i="132" s="1"/>
  <c r="X85" i="151"/>
  <c r="H83" i="132" s="1"/>
  <c r="X62" i="151"/>
  <c r="H60" i="132" s="1"/>
  <c r="X81" i="151"/>
  <c r="X70" i="151"/>
  <c r="H68" i="132" s="1"/>
  <c r="X57" i="151"/>
  <c r="H55" i="132" s="1"/>
  <c r="X21" i="151"/>
  <c r="H19" i="132" s="1"/>
  <c r="X52" i="151"/>
  <c r="X39" i="151"/>
  <c r="H37" i="132" s="1"/>
  <c r="X64" i="151"/>
  <c r="H62" i="132" s="1"/>
  <c r="X89" i="151"/>
  <c r="H87" i="132" s="1"/>
  <c r="X33" i="151"/>
  <c r="H31" i="132" s="1"/>
  <c r="X20" i="151"/>
  <c r="H18" i="132" s="1"/>
  <c r="X40" i="151"/>
  <c r="H38" i="132" s="1"/>
  <c r="X73" i="151"/>
  <c r="H71" i="132" s="1"/>
  <c r="X71" i="151"/>
  <c r="X83" i="151"/>
  <c r="H81" i="132" s="1"/>
  <c r="X92" i="151"/>
  <c r="H90" i="132" s="1"/>
  <c r="X68" i="151"/>
  <c r="H66" i="132" s="1"/>
  <c r="X48" i="151"/>
  <c r="H46" i="132" s="1"/>
  <c r="X26" i="151"/>
  <c r="H24" i="132" s="1"/>
  <c r="X77" i="151"/>
  <c r="H75" i="132" s="1"/>
  <c r="X22" i="151"/>
  <c r="H20" i="132" s="1"/>
  <c r="X45" i="151"/>
  <c r="X24" i="151"/>
  <c r="H22" i="132" s="1"/>
  <c r="X63" i="151"/>
  <c r="H61" i="132" s="1"/>
  <c r="X75" i="151"/>
  <c r="H73" i="132" s="1"/>
  <c r="X36" i="151"/>
  <c r="H34" i="132" s="1"/>
  <c r="X38" i="151"/>
  <c r="H36" i="132" s="1"/>
  <c r="X30" i="151"/>
  <c r="H28" i="132" s="1"/>
  <c r="X58" i="151"/>
  <c r="X67" i="151"/>
  <c r="X60" i="151"/>
  <c r="H58" i="132" s="1"/>
  <c r="X55" i="151"/>
  <c r="H53" i="132" s="1"/>
  <c r="X53" i="151"/>
  <c r="H51" i="132" s="1"/>
  <c r="F98" i="132"/>
  <c r="I98" i="132" s="1"/>
  <c r="K98" i="132"/>
  <c r="M98" i="132" s="1"/>
  <c r="H59" i="132"/>
  <c r="W95" i="99"/>
  <c r="N17" i="99"/>
  <c r="M17" i="99"/>
  <c r="W94" i="99"/>
  <c r="W93" i="99"/>
  <c r="P16" i="99"/>
  <c r="Y9" i="9"/>
  <c r="I693" i="170"/>
  <c r="K693" i="170" s="1"/>
  <c r="I698" i="170"/>
  <c r="K698" i="170" s="1"/>
  <c r="I695" i="170"/>
  <c r="I692" i="170"/>
  <c r="K692" i="170" s="1"/>
  <c r="I699" i="170"/>
  <c r="K699" i="170" s="1"/>
  <c r="I696" i="170"/>
  <c r="K696" i="170" s="1"/>
  <c r="K700" i="170"/>
  <c r="I697" i="170"/>
  <c r="K697" i="170" s="1"/>
  <c r="I694" i="170"/>
  <c r="K694" i="170" s="1"/>
  <c r="C728" i="170"/>
  <c r="E728" i="170" s="1"/>
  <c r="C725" i="170"/>
  <c r="E725" i="170" s="1"/>
  <c r="E732" i="170"/>
  <c r="C731" i="170"/>
  <c r="E731" i="170" s="1"/>
  <c r="C726" i="170"/>
  <c r="E726" i="170" s="1"/>
  <c r="C724" i="170"/>
  <c r="E724" i="170" s="1"/>
  <c r="C730" i="170"/>
  <c r="E730" i="170" s="1"/>
  <c r="C729" i="170"/>
  <c r="E729" i="170" s="1"/>
  <c r="C727" i="170"/>
  <c r="E727" i="170" s="1"/>
  <c r="I681" i="170"/>
  <c r="K681" i="170" s="1"/>
  <c r="I679" i="170"/>
  <c r="K679" i="170" s="1"/>
  <c r="C696" i="170"/>
  <c r="E696" i="170" s="1"/>
  <c r="C694" i="170"/>
  <c r="E694" i="170" s="1"/>
  <c r="C692" i="170"/>
  <c r="E692" i="170" s="1"/>
  <c r="I724" i="170"/>
  <c r="K724" i="170" s="1"/>
  <c r="I728" i="170"/>
  <c r="K728" i="170" s="1"/>
  <c r="I675" i="170"/>
  <c r="K675" i="170" s="1"/>
  <c r="I682" i="170"/>
  <c r="K682" i="170" s="1"/>
  <c r="C697" i="170"/>
  <c r="E697" i="170" s="1"/>
  <c r="C698" i="170"/>
  <c r="E698" i="170" s="1"/>
  <c r="K732" i="170"/>
  <c r="I725" i="170"/>
  <c r="K725" i="170" s="1"/>
  <c r="K683" i="170"/>
  <c r="I676" i="170"/>
  <c r="K676" i="170" s="1"/>
  <c r="I677" i="170"/>
  <c r="K677" i="170" s="1"/>
  <c r="C699" i="170"/>
  <c r="E699" i="170" s="1"/>
  <c r="I729" i="170"/>
  <c r="K729" i="170" s="1"/>
  <c r="I727" i="170"/>
  <c r="K727" i="170" s="1"/>
  <c r="I680" i="170"/>
  <c r="K680" i="170" s="1"/>
  <c r="I678" i="170"/>
  <c r="K678" i="170" s="1"/>
  <c r="C693" i="170"/>
  <c r="E693" i="170" s="1"/>
  <c r="E700" i="170"/>
  <c r="I731" i="170"/>
  <c r="K731" i="170" s="1"/>
  <c r="I730" i="170"/>
  <c r="K730" i="170" s="1"/>
  <c r="I726" i="170"/>
  <c r="K726" i="170" s="1"/>
  <c r="C676" i="170"/>
  <c r="E676" i="170" s="1"/>
  <c r="C679" i="170"/>
  <c r="E679" i="170" s="1"/>
  <c r="C661" i="170"/>
  <c r="E661" i="170" s="1"/>
  <c r="C663" i="170"/>
  <c r="E663" i="170" s="1"/>
  <c r="I641" i="170"/>
  <c r="K641" i="170" s="1"/>
  <c r="I660" i="170"/>
  <c r="K660" i="170" s="1"/>
  <c r="I658" i="170"/>
  <c r="K658" i="170" s="1"/>
  <c r="I663" i="170"/>
  <c r="K663" i="170" s="1"/>
  <c r="C678" i="170"/>
  <c r="E678" i="170" s="1"/>
  <c r="C677" i="170"/>
  <c r="E677" i="170" s="1"/>
  <c r="C675" i="170"/>
  <c r="E675" i="170" s="1"/>
  <c r="C664" i="170"/>
  <c r="E664" i="170" s="1"/>
  <c r="C665" i="170"/>
  <c r="E665" i="170" s="1"/>
  <c r="C658" i="170"/>
  <c r="E658" i="170" s="1"/>
  <c r="I643" i="170"/>
  <c r="K643" i="170" s="1"/>
  <c r="I647" i="170"/>
  <c r="K647" i="170" s="1"/>
  <c r="I665" i="170"/>
  <c r="K665" i="170" s="1"/>
  <c r="I661" i="170"/>
  <c r="K661" i="170" s="1"/>
  <c r="I659" i="170"/>
  <c r="K659" i="170" s="1"/>
  <c r="C680" i="170"/>
  <c r="E680" i="170" s="1"/>
  <c r="C682" i="170"/>
  <c r="E682" i="170" s="1"/>
  <c r="C660" i="170"/>
  <c r="E660" i="170" s="1"/>
  <c r="C662" i="170"/>
  <c r="E662" i="170" s="1"/>
  <c r="I646" i="170"/>
  <c r="K646" i="170" s="1"/>
  <c r="I642" i="170"/>
  <c r="K642" i="170" s="1"/>
  <c r="I648" i="170"/>
  <c r="K648" i="170" s="1"/>
  <c r="I664" i="170"/>
  <c r="K664" i="170" s="1"/>
  <c r="I662" i="170"/>
  <c r="K662" i="170" s="1"/>
  <c r="E683" i="170"/>
  <c r="C681" i="170"/>
  <c r="E681" i="170" s="1"/>
  <c r="C659" i="170"/>
  <c r="E659" i="170" s="1"/>
  <c r="E666" i="170"/>
  <c r="K649" i="170"/>
  <c r="I645" i="170"/>
  <c r="K645" i="170" s="1"/>
  <c r="I644" i="170"/>
  <c r="K644" i="170" s="1"/>
  <c r="K666" i="170"/>
  <c r="I389" i="170"/>
  <c r="K389" i="170" s="1"/>
  <c r="K392" i="170"/>
  <c r="I337" i="170"/>
  <c r="K337" i="170" s="1"/>
  <c r="I333" i="170"/>
  <c r="K333" i="170" s="1"/>
  <c r="I302" i="170"/>
  <c r="K302" i="170" s="1"/>
  <c r="I297" i="170"/>
  <c r="K297" i="170" s="1"/>
  <c r="C97" i="170"/>
  <c r="E97" i="170" s="1"/>
  <c r="C99" i="170"/>
  <c r="E99" i="170" s="1"/>
  <c r="C96" i="170"/>
  <c r="E96" i="170" s="1"/>
  <c r="C231" i="170"/>
  <c r="E231" i="170" s="1"/>
  <c r="C230" i="170"/>
  <c r="E230" i="170" s="1"/>
  <c r="C215" i="170"/>
  <c r="E215" i="170" s="1"/>
  <c r="C213" i="170"/>
  <c r="E213" i="170" s="1"/>
  <c r="C211" i="170"/>
  <c r="E211" i="170" s="1"/>
  <c r="I357" i="170"/>
  <c r="K357" i="170" s="1"/>
  <c r="I351" i="170"/>
  <c r="K351" i="170" s="1"/>
  <c r="I131" i="170"/>
  <c r="K131" i="170" s="1"/>
  <c r="I130" i="170"/>
  <c r="K130" i="170" s="1"/>
  <c r="C524" i="170"/>
  <c r="E524" i="170" s="1"/>
  <c r="C529" i="170"/>
  <c r="E529" i="170" s="1"/>
  <c r="C298" i="170"/>
  <c r="E298" i="170" s="1"/>
  <c r="E305" i="170"/>
  <c r="C426" i="170"/>
  <c r="E426" i="170" s="1"/>
  <c r="C625" i="170"/>
  <c r="E625" i="170" s="1"/>
  <c r="C627" i="170"/>
  <c r="E627" i="170" s="1"/>
  <c r="C26" i="170"/>
  <c r="E26" i="170" s="1"/>
  <c r="C31" i="170"/>
  <c r="E31" i="170" s="1"/>
  <c r="I285" i="170"/>
  <c r="K285" i="170" s="1"/>
  <c r="I284" i="170"/>
  <c r="K284" i="170" s="1"/>
  <c r="I490" i="170"/>
  <c r="K490" i="170" s="1"/>
  <c r="I492" i="170"/>
  <c r="K492" i="170" s="1"/>
  <c r="I527" i="170"/>
  <c r="K527" i="170" s="1"/>
  <c r="I522" i="170"/>
  <c r="K522" i="170" s="1"/>
  <c r="I526" i="170"/>
  <c r="K526" i="170" s="1"/>
  <c r="I442" i="170"/>
  <c r="K442" i="170" s="1"/>
  <c r="I440" i="170"/>
  <c r="K440" i="170" s="1"/>
  <c r="C610" i="170"/>
  <c r="E610" i="170" s="1"/>
  <c r="C608" i="170"/>
  <c r="E608" i="170" s="1"/>
  <c r="I578" i="170"/>
  <c r="K578" i="170" s="1"/>
  <c r="I576" i="170"/>
  <c r="K576" i="170" s="1"/>
  <c r="I368" i="170"/>
  <c r="K368" i="170" s="1"/>
  <c r="I373" i="170"/>
  <c r="K373" i="170" s="1"/>
  <c r="I371" i="170"/>
  <c r="K371" i="170" s="1"/>
  <c r="C490" i="170"/>
  <c r="E490" i="170" s="1"/>
  <c r="C492" i="170"/>
  <c r="E492" i="170" s="1"/>
  <c r="I93" i="170"/>
  <c r="K93" i="170" s="1"/>
  <c r="K100" i="170"/>
  <c r="I94" i="170"/>
  <c r="K94" i="170" s="1"/>
  <c r="E358" i="170"/>
  <c r="I406" i="170"/>
  <c r="K406" i="170" s="1"/>
  <c r="K410" i="170"/>
  <c r="C477" i="170"/>
  <c r="E477" i="170" s="1"/>
  <c r="C470" i="170"/>
  <c r="E470" i="170" s="1"/>
  <c r="C388" i="170"/>
  <c r="E388" i="170" s="1"/>
  <c r="C386" i="170"/>
  <c r="E386" i="170" s="1"/>
  <c r="C438" i="170"/>
  <c r="E438" i="170" s="1"/>
  <c r="C436" i="170"/>
  <c r="E436" i="170" s="1"/>
  <c r="I543" i="170"/>
  <c r="K543" i="170" s="1"/>
  <c r="I538" i="170"/>
  <c r="K538" i="170" s="1"/>
  <c r="I545" i="170"/>
  <c r="K545" i="170" s="1"/>
  <c r="K614" i="170"/>
  <c r="I613" i="170"/>
  <c r="K613" i="170" s="1"/>
  <c r="C507" i="170"/>
  <c r="E507" i="170" s="1"/>
  <c r="C506" i="170"/>
  <c r="E506" i="170" s="1"/>
  <c r="I111" i="170"/>
  <c r="K111" i="170" s="1"/>
  <c r="C648" i="170"/>
  <c r="E648" i="170" s="1"/>
  <c r="C641" i="170"/>
  <c r="E641" i="170" s="1"/>
  <c r="K202" i="170"/>
  <c r="I200" i="170"/>
  <c r="K200" i="170" s="1"/>
  <c r="C166" i="170"/>
  <c r="E166" i="170" s="1"/>
  <c r="C164" i="170"/>
  <c r="E164" i="170" s="1"/>
  <c r="I183" i="170"/>
  <c r="K183" i="170" s="1"/>
  <c r="I182" i="170"/>
  <c r="K182" i="170" s="1"/>
  <c r="I506" i="170"/>
  <c r="K506" i="170" s="1"/>
  <c r="I42" i="170"/>
  <c r="K42" i="170" s="1"/>
  <c r="K49" i="170"/>
  <c r="I43" i="170"/>
  <c r="K43" i="170" s="1"/>
  <c r="C560" i="170"/>
  <c r="E560" i="170" s="1"/>
  <c r="C556" i="170"/>
  <c r="E556" i="170" s="1"/>
  <c r="C406" i="170"/>
  <c r="E406" i="170" s="1"/>
  <c r="E410" i="170"/>
  <c r="C403" i="170"/>
  <c r="E403" i="170" s="1"/>
  <c r="I625" i="170"/>
  <c r="K625" i="170" s="1"/>
  <c r="I630" i="170"/>
  <c r="K630" i="170" s="1"/>
  <c r="I79" i="170"/>
  <c r="K79" i="170" s="1"/>
  <c r="I76" i="170"/>
  <c r="K76" i="170" s="1"/>
  <c r="I26" i="170"/>
  <c r="K26" i="170" s="1"/>
  <c r="K32" i="170"/>
  <c r="I147" i="170"/>
  <c r="K147" i="170" s="1"/>
  <c r="I144" i="170"/>
  <c r="K144" i="170" s="1"/>
  <c r="C199" i="170"/>
  <c r="E199" i="170" s="1"/>
  <c r="C179" i="170"/>
  <c r="E179" i="170" s="1"/>
  <c r="C178" i="170"/>
  <c r="E178" i="170" s="1"/>
  <c r="C177" i="170"/>
  <c r="E177" i="170" s="1"/>
  <c r="I268" i="170"/>
  <c r="K268" i="170" s="1"/>
  <c r="C247" i="170"/>
  <c r="E247" i="170" s="1"/>
  <c r="C250" i="170"/>
  <c r="E250" i="170" s="1"/>
  <c r="C115" i="170"/>
  <c r="E115" i="170" s="1"/>
  <c r="I60" i="170"/>
  <c r="K60" i="170" s="1"/>
  <c r="I59" i="170"/>
  <c r="K59" i="170" s="1"/>
  <c r="C130" i="170"/>
  <c r="E130" i="170" s="1"/>
  <c r="C126" i="170"/>
  <c r="E126" i="170" s="1"/>
  <c r="C80" i="170"/>
  <c r="E80" i="170" s="1"/>
  <c r="C76" i="170"/>
  <c r="E76" i="170" s="1"/>
  <c r="C371" i="170"/>
  <c r="E371" i="170" s="1"/>
  <c r="C46" i="170"/>
  <c r="E46" i="170" s="1"/>
  <c r="C48" i="170"/>
  <c r="E48" i="170" s="1"/>
  <c r="C45" i="170"/>
  <c r="E45" i="170" s="1"/>
  <c r="C320" i="170"/>
  <c r="E320" i="170" s="1"/>
  <c r="C316" i="170"/>
  <c r="E316" i="170" s="1"/>
  <c r="I472" i="170"/>
  <c r="K472" i="170" s="1"/>
  <c r="I471" i="170"/>
  <c r="K471" i="170" s="1"/>
  <c r="I470" i="170"/>
  <c r="K470" i="170" s="1"/>
  <c r="I246" i="170"/>
  <c r="K246" i="170" s="1"/>
  <c r="I457" i="170"/>
  <c r="K457" i="170" s="1"/>
  <c r="I453" i="170"/>
  <c r="K453" i="170" s="1"/>
  <c r="I454" i="170"/>
  <c r="K454" i="170" s="1"/>
  <c r="I318" i="170"/>
  <c r="K318" i="170" s="1"/>
  <c r="I316" i="170"/>
  <c r="K316" i="170" s="1"/>
  <c r="C62" i="170"/>
  <c r="E62" i="170" s="1"/>
  <c r="E66" i="170"/>
  <c r="I216" i="170"/>
  <c r="K216" i="170" s="1"/>
  <c r="I215" i="170"/>
  <c r="K215" i="170" s="1"/>
  <c r="C270" i="170"/>
  <c r="E270" i="170" s="1"/>
  <c r="C268" i="170"/>
  <c r="E268" i="170" s="1"/>
  <c r="I421" i="170"/>
  <c r="K421" i="170" s="1"/>
  <c r="I423" i="170"/>
  <c r="K423" i="170" s="1"/>
  <c r="C459" i="170"/>
  <c r="E459" i="170" s="1"/>
  <c r="C456" i="170"/>
  <c r="E456" i="170" s="1"/>
  <c r="C458" i="170"/>
  <c r="E458" i="170" s="1"/>
  <c r="C579" i="170"/>
  <c r="E579" i="170" s="1"/>
  <c r="C573" i="170"/>
  <c r="E573" i="170" s="1"/>
  <c r="C594" i="170"/>
  <c r="E594" i="170" s="1"/>
  <c r="C590" i="170"/>
  <c r="E590" i="170" s="1"/>
  <c r="C332" i="170"/>
  <c r="E332" i="170" s="1"/>
  <c r="C336" i="170"/>
  <c r="E336" i="170" s="1"/>
  <c r="I561" i="170"/>
  <c r="K561" i="170" s="1"/>
  <c r="I560" i="170"/>
  <c r="K560" i="170" s="1"/>
  <c r="K168" i="170"/>
  <c r="I167" i="170"/>
  <c r="K167" i="170" s="1"/>
  <c r="C282" i="170"/>
  <c r="E282" i="170" s="1"/>
  <c r="C281" i="170"/>
  <c r="E281" i="170" s="1"/>
  <c r="I594" i="170"/>
  <c r="K594" i="170" s="1"/>
  <c r="I596" i="170"/>
  <c r="K596" i="170" s="1"/>
  <c r="C144" i="170"/>
  <c r="E144" i="170" s="1"/>
  <c r="C143" i="170"/>
  <c r="E143" i="170" s="1"/>
  <c r="C540" i="170"/>
  <c r="E540" i="170" s="1"/>
  <c r="C545" i="170"/>
  <c r="E545" i="170" s="1"/>
  <c r="I234" i="170"/>
  <c r="K234" i="170" s="1"/>
  <c r="I230" i="170"/>
  <c r="K230" i="170" s="1"/>
  <c r="I384" i="170"/>
  <c r="K384" i="170" s="1"/>
  <c r="K340" i="170"/>
  <c r="I338" i="170"/>
  <c r="K338" i="170" s="1"/>
  <c r="I336" i="170"/>
  <c r="K336" i="170" s="1"/>
  <c r="K305" i="170"/>
  <c r="I303" i="170"/>
  <c r="K303" i="170" s="1"/>
  <c r="E100" i="170"/>
  <c r="C98" i="170"/>
  <c r="E98" i="170" s="1"/>
  <c r="C93" i="170"/>
  <c r="E93" i="170" s="1"/>
  <c r="C234" i="170"/>
  <c r="E234" i="170" s="1"/>
  <c r="C235" i="170"/>
  <c r="E235" i="170" s="1"/>
  <c r="C217" i="170"/>
  <c r="E217" i="170" s="1"/>
  <c r="C216" i="170"/>
  <c r="E216" i="170" s="1"/>
  <c r="C218" i="170"/>
  <c r="E218" i="170" s="1"/>
  <c r="K358" i="170"/>
  <c r="K134" i="170"/>
  <c r="I132" i="170"/>
  <c r="K132" i="170" s="1"/>
  <c r="C522" i="170"/>
  <c r="E522" i="170" s="1"/>
  <c r="C303" i="170"/>
  <c r="E303" i="170" s="1"/>
  <c r="C297" i="170"/>
  <c r="E297" i="170" s="1"/>
  <c r="C421" i="170"/>
  <c r="E421" i="170" s="1"/>
  <c r="C425" i="170"/>
  <c r="E425" i="170" s="1"/>
  <c r="C630" i="170"/>
  <c r="E630" i="170" s="1"/>
  <c r="C629" i="170"/>
  <c r="E629" i="170" s="1"/>
  <c r="C624" i="170"/>
  <c r="E624" i="170" s="1"/>
  <c r="C29" i="170"/>
  <c r="E29" i="170" s="1"/>
  <c r="C28" i="170"/>
  <c r="E28" i="170" s="1"/>
  <c r="K288" i="170"/>
  <c r="I286" i="170"/>
  <c r="K286" i="170" s="1"/>
  <c r="I281" i="170"/>
  <c r="K281" i="170" s="1"/>
  <c r="I493" i="170"/>
  <c r="K493" i="170" s="1"/>
  <c r="I495" i="170"/>
  <c r="K495" i="170" s="1"/>
  <c r="I529" i="170"/>
  <c r="K529" i="170" s="1"/>
  <c r="K530" i="170"/>
  <c r="K444" i="170"/>
  <c r="C612" i="170"/>
  <c r="E612" i="170" s="1"/>
  <c r="C611" i="170"/>
  <c r="E611" i="170" s="1"/>
  <c r="C606" i="170"/>
  <c r="E606" i="170" s="1"/>
  <c r="K580" i="170"/>
  <c r="I369" i="170"/>
  <c r="K369" i="170" s="1"/>
  <c r="I367" i="170"/>
  <c r="K367" i="170" s="1"/>
  <c r="C488" i="170"/>
  <c r="E488" i="170" s="1"/>
  <c r="I92" i="170"/>
  <c r="K92" i="170" s="1"/>
  <c r="C356" i="170"/>
  <c r="E356" i="170" s="1"/>
  <c r="C350" i="170"/>
  <c r="E350" i="170" s="1"/>
  <c r="I408" i="170"/>
  <c r="K408" i="170" s="1"/>
  <c r="I402" i="170"/>
  <c r="K402" i="170" s="1"/>
  <c r="I404" i="170"/>
  <c r="K404" i="170" s="1"/>
  <c r="C471" i="170"/>
  <c r="E471" i="170" s="1"/>
  <c r="C474" i="170"/>
  <c r="E474" i="170" s="1"/>
  <c r="C390" i="170"/>
  <c r="E390" i="170" s="1"/>
  <c r="C389" i="170"/>
  <c r="E389" i="170" s="1"/>
  <c r="C384" i="170"/>
  <c r="E384" i="170" s="1"/>
  <c r="C441" i="170"/>
  <c r="E441" i="170" s="1"/>
  <c r="K546" i="170"/>
  <c r="I542" i="170"/>
  <c r="K542" i="170" s="1"/>
  <c r="I606" i="170"/>
  <c r="K606" i="170" s="1"/>
  <c r="E513" i="170"/>
  <c r="C511" i="170"/>
  <c r="E511" i="170" s="1"/>
  <c r="C512" i="170"/>
  <c r="E512" i="170" s="1"/>
  <c r="I109" i="170"/>
  <c r="K109" i="170" s="1"/>
  <c r="I115" i="170"/>
  <c r="K115" i="170" s="1"/>
  <c r="C642" i="170"/>
  <c r="E642" i="170" s="1"/>
  <c r="C645" i="170"/>
  <c r="E645" i="170" s="1"/>
  <c r="I194" i="170"/>
  <c r="K194" i="170" s="1"/>
  <c r="I199" i="170"/>
  <c r="K199" i="170" s="1"/>
  <c r="I201" i="170"/>
  <c r="K201" i="170" s="1"/>
  <c r="C160" i="170"/>
  <c r="E160" i="170" s="1"/>
  <c r="C167" i="170"/>
  <c r="E167" i="170" s="1"/>
  <c r="I177" i="170"/>
  <c r="K177" i="170" s="1"/>
  <c r="I178" i="170"/>
  <c r="K178" i="170" s="1"/>
  <c r="I510" i="170"/>
  <c r="K510" i="170" s="1"/>
  <c r="I41" i="170"/>
  <c r="K41" i="170" s="1"/>
  <c r="C555" i="170"/>
  <c r="E555" i="170" s="1"/>
  <c r="C408" i="170"/>
  <c r="E408" i="170" s="1"/>
  <c r="C409" i="170"/>
  <c r="E409" i="170" s="1"/>
  <c r="I623" i="170"/>
  <c r="K623" i="170" s="1"/>
  <c r="I81" i="170"/>
  <c r="K81" i="170" s="1"/>
  <c r="K83" i="170"/>
  <c r="I29" i="170"/>
  <c r="K29" i="170" s="1"/>
  <c r="I24" i="170"/>
  <c r="K24" i="170" s="1"/>
  <c r="I150" i="170"/>
  <c r="K150" i="170" s="1"/>
  <c r="I143" i="170"/>
  <c r="K143" i="170" s="1"/>
  <c r="C200" i="170"/>
  <c r="E200" i="170" s="1"/>
  <c r="C194" i="170"/>
  <c r="E194" i="170" s="1"/>
  <c r="C184" i="170"/>
  <c r="E184" i="170" s="1"/>
  <c r="C183" i="170"/>
  <c r="E183" i="170" s="1"/>
  <c r="E185" i="170"/>
  <c r="I270" i="170"/>
  <c r="K270" i="170" s="1"/>
  <c r="I264" i="170"/>
  <c r="K264" i="170" s="1"/>
  <c r="C253" i="170"/>
  <c r="E253" i="170" s="1"/>
  <c r="E254" i="170"/>
  <c r="E117" i="170"/>
  <c r="C110" i="170"/>
  <c r="E110" i="170" s="1"/>
  <c r="I65" i="170"/>
  <c r="K65" i="170" s="1"/>
  <c r="I62" i="170"/>
  <c r="K62" i="170" s="1"/>
  <c r="I58" i="170"/>
  <c r="K58" i="170" s="1"/>
  <c r="E134" i="170"/>
  <c r="C75" i="170"/>
  <c r="E75" i="170" s="1"/>
  <c r="E83" i="170"/>
  <c r="C82" i="170"/>
  <c r="E82" i="170" s="1"/>
  <c r="C369" i="170"/>
  <c r="E369" i="170" s="1"/>
  <c r="C367" i="170"/>
  <c r="E367" i="170" s="1"/>
  <c r="E49" i="170"/>
  <c r="C47" i="170"/>
  <c r="E47" i="170" s="1"/>
  <c r="C42" i="170"/>
  <c r="E42" i="170" s="1"/>
  <c r="C318" i="170"/>
  <c r="E318" i="170" s="1"/>
  <c r="I477" i="170"/>
  <c r="K477" i="170" s="1"/>
  <c r="I474" i="170"/>
  <c r="K474" i="170" s="1"/>
  <c r="I476" i="170"/>
  <c r="K476" i="170" s="1"/>
  <c r="I248" i="170"/>
  <c r="K248" i="170" s="1"/>
  <c r="K460" i="170"/>
  <c r="I458" i="170"/>
  <c r="K458" i="170" s="1"/>
  <c r="I321" i="170"/>
  <c r="K321" i="170" s="1"/>
  <c r="I319" i="170"/>
  <c r="K319" i="170" s="1"/>
  <c r="C64" i="170"/>
  <c r="E64" i="170" s="1"/>
  <c r="C58" i="170"/>
  <c r="E58" i="170" s="1"/>
  <c r="C63" i="170"/>
  <c r="E63" i="170" s="1"/>
  <c r="I211" i="170"/>
  <c r="K211" i="170" s="1"/>
  <c r="C265" i="170"/>
  <c r="E265" i="170" s="1"/>
  <c r="C264" i="170"/>
  <c r="E264" i="170" s="1"/>
  <c r="I424" i="170"/>
  <c r="K424" i="170" s="1"/>
  <c r="I426" i="170"/>
  <c r="K426" i="170" s="1"/>
  <c r="C452" i="170"/>
  <c r="E452" i="170" s="1"/>
  <c r="E460" i="170"/>
  <c r="C454" i="170"/>
  <c r="E454" i="170" s="1"/>
  <c r="E580" i="170"/>
  <c r="E597" i="170"/>
  <c r="C593" i="170"/>
  <c r="E593" i="170" s="1"/>
  <c r="C339" i="170"/>
  <c r="E339" i="170" s="1"/>
  <c r="I555" i="170"/>
  <c r="K555" i="170" s="1"/>
  <c r="I556" i="170"/>
  <c r="K556" i="170" s="1"/>
  <c r="I161" i="170"/>
  <c r="K161" i="170" s="1"/>
  <c r="I165" i="170"/>
  <c r="K165" i="170" s="1"/>
  <c r="C287" i="170"/>
  <c r="E287" i="170" s="1"/>
  <c r="C284" i="170"/>
  <c r="E284" i="170" s="1"/>
  <c r="C280" i="170"/>
  <c r="E280" i="170" s="1"/>
  <c r="K597" i="170"/>
  <c r="C149" i="170"/>
  <c r="E149" i="170" s="1"/>
  <c r="C150" i="170"/>
  <c r="E150" i="170" s="1"/>
  <c r="C538" i="170"/>
  <c r="E538" i="170" s="1"/>
  <c r="K237" i="170"/>
  <c r="I235" i="170"/>
  <c r="K235" i="170" s="1"/>
  <c r="I233" i="170"/>
  <c r="K233" i="170" s="1"/>
  <c r="I386" i="170"/>
  <c r="K386" i="170" s="1"/>
  <c r="I388" i="170"/>
  <c r="K388" i="170" s="1"/>
  <c r="I339" i="170"/>
  <c r="K339" i="170" s="1"/>
  <c r="I298" i="170"/>
  <c r="K298" i="170" s="1"/>
  <c r="I301" i="170"/>
  <c r="K301" i="170" s="1"/>
  <c r="C92" i="170"/>
  <c r="E92" i="170" s="1"/>
  <c r="C229" i="170"/>
  <c r="E229" i="170" s="1"/>
  <c r="E237" i="170"/>
  <c r="C212" i="170"/>
  <c r="E212" i="170" s="1"/>
  <c r="I354" i="170"/>
  <c r="K354" i="170" s="1"/>
  <c r="I350" i="170"/>
  <c r="K350" i="170" s="1"/>
  <c r="I355" i="170"/>
  <c r="K355" i="170" s="1"/>
  <c r="I128" i="170"/>
  <c r="K128" i="170" s="1"/>
  <c r="I127" i="170"/>
  <c r="K127" i="170" s="1"/>
  <c r="C527" i="170"/>
  <c r="E527" i="170" s="1"/>
  <c r="C523" i="170"/>
  <c r="E523" i="170" s="1"/>
  <c r="C299" i="170"/>
  <c r="E299" i="170" s="1"/>
  <c r="C301" i="170"/>
  <c r="E301" i="170" s="1"/>
  <c r="C424" i="170"/>
  <c r="E424" i="170" s="1"/>
  <c r="C420" i="170"/>
  <c r="E420" i="170" s="1"/>
  <c r="C628" i="170"/>
  <c r="E628" i="170" s="1"/>
  <c r="E631" i="170"/>
  <c r="C25" i="170"/>
  <c r="E25" i="170" s="1"/>
  <c r="E32" i="170"/>
  <c r="I282" i="170"/>
  <c r="K282" i="170" s="1"/>
  <c r="I287" i="170"/>
  <c r="K287" i="170" s="1"/>
  <c r="I489" i="170"/>
  <c r="K489" i="170" s="1"/>
  <c r="K496" i="170"/>
  <c r="I523" i="170"/>
  <c r="K523" i="170" s="1"/>
  <c r="I438" i="170"/>
  <c r="K438" i="170" s="1"/>
  <c r="I436" i="170"/>
  <c r="K436" i="170" s="1"/>
  <c r="I441" i="170"/>
  <c r="K441" i="170" s="1"/>
  <c r="C607" i="170"/>
  <c r="E607" i="170" s="1"/>
  <c r="C613" i="170"/>
  <c r="E613" i="170" s="1"/>
  <c r="I574" i="170"/>
  <c r="K574" i="170" s="1"/>
  <c r="I572" i="170"/>
  <c r="K572" i="170" s="1"/>
  <c r="I577" i="170"/>
  <c r="K577" i="170" s="1"/>
  <c r="I372" i="170"/>
  <c r="K372" i="170" s="1"/>
  <c r="I374" i="170"/>
  <c r="K374" i="170" s="1"/>
  <c r="C493" i="170"/>
  <c r="E493" i="170" s="1"/>
  <c r="C489" i="170"/>
  <c r="E489" i="170" s="1"/>
  <c r="I96" i="170"/>
  <c r="K96" i="170" s="1"/>
  <c r="I98" i="170"/>
  <c r="K98" i="170" s="1"/>
  <c r="C351" i="170"/>
  <c r="E351" i="170" s="1"/>
  <c r="C354" i="170"/>
  <c r="E354" i="170" s="1"/>
  <c r="C355" i="170"/>
  <c r="E355" i="170" s="1"/>
  <c r="I407" i="170"/>
  <c r="K407" i="170" s="1"/>
  <c r="E478" i="170"/>
  <c r="C472" i="170"/>
  <c r="E472" i="170" s="1"/>
  <c r="C385" i="170"/>
  <c r="E385" i="170" s="1"/>
  <c r="C391" i="170"/>
  <c r="E391" i="170" s="1"/>
  <c r="C440" i="170"/>
  <c r="E440" i="170" s="1"/>
  <c r="C443" i="170"/>
  <c r="E443" i="170" s="1"/>
  <c r="C437" i="170"/>
  <c r="E437" i="170" s="1"/>
  <c r="I539" i="170"/>
  <c r="K539" i="170" s="1"/>
  <c r="I610" i="170"/>
  <c r="K610" i="170" s="1"/>
  <c r="I608" i="170"/>
  <c r="K608" i="170" s="1"/>
  <c r="C509" i="170"/>
  <c r="E509" i="170" s="1"/>
  <c r="I114" i="170"/>
  <c r="K114" i="170" s="1"/>
  <c r="I113" i="170"/>
  <c r="K113" i="170" s="1"/>
  <c r="I110" i="170"/>
  <c r="K110" i="170" s="1"/>
  <c r="C644" i="170"/>
  <c r="E644" i="170" s="1"/>
  <c r="E649" i="170"/>
  <c r="C643" i="170"/>
  <c r="E643" i="170" s="1"/>
  <c r="I195" i="170"/>
  <c r="K195" i="170" s="1"/>
  <c r="C165" i="170"/>
  <c r="E165" i="170" s="1"/>
  <c r="C162" i="170"/>
  <c r="E162" i="170" s="1"/>
  <c r="I184" i="170"/>
  <c r="K184" i="170" s="1"/>
  <c r="I181" i="170"/>
  <c r="K181" i="170" s="1"/>
  <c r="I509" i="170"/>
  <c r="K509" i="170" s="1"/>
  <c r="I511" i="170"/>
  <c r="K511" i="170" s="1"/>
  <c r="I505" i="170"/>
  <c r="K505" i="170" s="1"/>
  <c r="I45" i="170"/>
  <c r="K45" i="170" s="1"/>
  <c r="I47" i="170"/>
  <c r="K47" i="170" s="1"/>
  <c r="C557" i="170"/>
  <c r="E557" i="170" s="1"/>
  <c r="E563" i="170"/>
  <c r="C402" i="170"/>
  <c r="E402" i="170" s="1"/>
  <c r="I628" i="170"/>
  <c r="K628" i="170" s="1"/>
  <c r="I626" i="170"/>
  <c r="K626" i="170" s="1"/>
  <c r="I624" i="170"/>
  <c r="K624" i="170" s="1"/>
  <c r="I77" i="170"/>
  <c r="K77" i="170" s="1"/>
  <c r="I75" i="170"/>
  <c r="K75" i="170" s="1"/>
  <c r="I28" i="170"/>
  <c r="K28" i="170" s="1"/>
  <c r="I31" i="170"/>
  <c r="K31" i="170" s="1"/>
  <c r="I149" i="170"/>
  <c r="K149" i="170" s="1"/>
  <c r="K151" i="170"/>
  <c r="C198" i="170"/>
  <c r="E198" i="170" s="1"/>
  <c r="C196" i="170"/>
  <c r="E196" i="170" s="1"/>
  <c r="C182" i="170"/>
  <c r="E182" i="170" s="1"/>
  <c r="C181" i="170"/>
  <c r="E181" i="170" s="1"/>
  <c r="I267" i="170"/>
  <c r="K267" i="170" s="1"/>
  <c r="K271" i="170"/>
  <c r="C248" i="170"/>
  <c r="E248" i="170" s="1"/>
  <c r="C252" i="170"/>
  <c r="E252" i="170" s="1"/>
  <c r="C113" i="170"/>
  <c r="E113" i="170" s="1"/>
  <c r="C114" i="170"/>
  <c r="E114" i="170" s="1"/>
  <c r="C111" i="170"/>
  <c r="E111" i="170" s="1"/>
  <c r="K66" i="170"/>
  <c r="I64" i="170"/>
  <c r="K64" i="170" s="1"/>
  <c r="C127" i="170"/>
  <c r="E127" i="170" s="1"/>
  <c r="C128" i="170"/>
  <c r="E128" i="170" s="1"/>
  <c r="C77" i="170"/>
  <c r="E77" i="170" s="1"/>
  <c r="C79" i="170"/>
  <c r="E79" i="170" s="1"/>
  <c r="C372" i="170"/>
  <c r="E372" i="170" s="1"/>
  <c r="C373" i="170"/>
  <c r="E373" i="170" s="1"/>
  <c r="C41" i="170"/>
  <c r="E41" i="170" s="1"/>
  <c r="C319" i="170"/>
  <c r="E319" i="170" s="1"/>
  <c r="C321" i="170"/>
  <c r="E321" i="170" s="1"/>
  <c r="C314" i="170"/>
  <c r="E314" i="170" s="1"/>
  <c r="K478" i="170"/>
  <c r="I250" i="170"/>
  <c r="K250" i="170" s="1"/>
  <c r="I251" i="170"/>
  <c r="K251" i="170" s="1"/>
  <c r="I253" i="170"/>
  <c r="K253" i="170" s="1"/>
  <c r="I452" i="170"/>
  <c r="K452" i="170" s="1"/>
  <c r="I456" i="170"/>
  <c r="K456" i="170" s="1"/>
  <c r="I315" i="170"/>
  <c r="K315" i="170" s="1"/>
  <c r="K322" i="170"/>
  <c r="C60" i="170"/>
  <c r="E60" i="170" s="1"/>
  <c r="I213" i="170"/>
  <c r="K213" i="170" s="1"/>
  <c r="I212" i="170"/>
  <c r="K212" i="170" s="1"/>
  <c r="E271" i="170"/>
  <c r="C269" i="170"/>
  <c r="E269" i="170" s="1"/>
  <c r="I420" i="170"/>
  <c r="K420" i="170" s="1"/>
  <c r="K427" i="170"/>
  <c r="C457" i="170"/>
  <c r="E457" i="170" s="1"/>
  <c r="C576" i="170"/>
  <c r="E576" i="170" s="1"/>
  <c r="C572" i="170"/>
  <c r="E572" i="170" s="1"/>
  <c r="C577" i="170"/>
  <c r="E577" i="170" s="1"/>
  <c r="C596" i="170"/>
  <c r="E596" i="170" s="1"/>
  <c r="C595" i="170"/>
  <c r="E595" i="170" s="1"/>
  <c r="C337" i="170"/>
  <c r="E337" i="170" s="1"/>
  <c r="C333" i="170"/>
  <c r="E333" i="170" s="1"/>
  <c r="C334" i="170"/>
  <c r="E334" i="170" s="1"/>
  <c r="I562" i="170"/>
  <c r="K562" i="170" s="1"/>
  <c r="I559" i="170"/>
  <c r="K559" i="170" s="1"/>
  <c r="I160" i="170"/>
  <c r="K160" i="170" s="1"/>
  <c r="I162" i="170"/>
  <c r="K162" i="170" s="1"/>
  <c r="E288" i="170"/>
  <c r="C286" i="170"/>
  <c r="E286" i="170" s="1"/>
  <c r="I590" i="170"/>
  <c r="K590" i="170" s="1"/>
  <c r="I595" i="170"/>
  <c r="K595" i="170" s="1"/>
  <c r="I593" i="170"/>
  <c r="K593" i="170" s="1"/>
  <c r="C145" i="170"/>
  <c r="E145" i="170" s="1"/>
  <c r="C147" i="170"/>
  <c r="E147" i="170" s="1"/>
  <c r="C543" i="170"/>
  <c r="E543" i="170" s="1"/>
  <c r="C539" i="170"/>
  <c r="E539" i="170" s="1"/>
  <c r="I231" i="170"/>
  <c r="K231" i="170" s="1"/>
  <c r="I236" i="170"/>
  <c r="K236" i="170" s="1"/>
  <c r="I391" i="170"/>
  <c r="K391" i="170" s="1"/>
  <c r="I390" i="170"/>
  <c r="K390" i="170" s="1"/>
  <c r="I385" i="170"/>
  <c r="K385" i="170" s="1"/>
  <c r="I334" i="170"/>
  <c r="K334" i="170" s="1"/>
  <c r="I332" i="170"/>
  <c r="K332" i="170" s="1"/>
  <c r="I299" i="170"/>
  <c r="K299" i="170" s="1"/>
  <c r="I304" i="170"/>
  <c r="K304" i="170" s="1"/>
  <c r="C94" i="170"/>
  <c r="E94" i="170" s="1"/>
  <c r="C236" i="170"/>
  <c r="E236" i="170" s="1"/>
  <c r="C233" i="170"/>
  <c r="E233" i="170" s="1"/>
  <c r="E219" i="170"/>
  <c r="I356" i="170"/>
  <c r="K356" i="170" s="1"/>
  <c r="I352" i="170"/>
  <c r="K352" i="170" s="1"/>
  <c r="I126" i="170"/>
  <c r="K126" i="170" s="1"/>
  <c r="I133" i="170"/>
  <c r="K133" i="170" s="1"/>
  <c r="E530" i="170"/>
  <c r="C528" i="170"/>
  <c r="E528" i="170" s="1"/>
  <c r="C526" i="170"/>
  <c r="E526" i="170" s="1"/>
  <c r="C302" i="170"/>
  <c r="E302" i="170" s="1"/>
  <c r="C304" i="170"/>
  <c r="E304" i="170" s="1"/>
  <c r="E427" i="170"/>
  <c r="C423" i="170"/>
  <c r="E423" i="170" s="1"/>
  <c r="C419" i="170"/>
  <c r="E419" i="170" s="1"/>
  <c r="C623" i="170"/>
  <c r="E623" i="170" s="1"/>
  <c r="C30" i="170"/>
  <c r="E30" i="170" s="1"/>
  <c r="C24" i="170"/>
  <c r="E24" i="170" s="1"/>
  <c r="I280" i="170"/>
  <c r="K280" i="170" s="1"/>
  <c r="I494" i="170"/>
  <c r="K494" i="170" s="1"/>
  <c r="I488" i="170"/>
  <c r="K488" i="170" s="1"/>
  <c r="I524" i="170"/>
  <c r="K524" i="170" s="1"/>
  <c r="I528" i="170"/>
  <c r="K528" i="170" s="1"/>
  <c r="I443" i="170"/>
  <c r="K443" i="170" s="1"/>
  <c r="I437" i="170"/>
  <c r="K437" i="170" s="1"/>
  <c r="E614" i="170"/>
  <c r="I579" i="170"/>
  <c r="K579" i="170" s="1"/>
  <c r="I573" i="170"/>
  <c r="K573" i="170" s="1"/>
  <c r="K375" i="170"/>
  <c r="E496" i="170"/>
  <c r="C494" i="170"/>
  <c r="E494" i="170" s="1"/>
  <c r="C495" i="170"/>
  <c r="E495" i="170" s="1"/>
  <c r="I99" i="170"/>
  <c r="K99" i="170" s="1"/>
  <c r="I97" i="170"/>
  <c r="K97" i="170" s="1"/>
  <c r="C357" i="170"/>
  <c r="E357" i="170" s="1"/>
  <c r="C352" i="170"/>
  <c r="E352" i="170" s="1"/>
  <c r="I409" i="170"/>
  <c r="K409" i="170" s="1"/>
  <c r="I403" i="170"/>
  <c r="K403" i="170" s="1"/>
  <c r="C476" i="170"/>
  <c r="E476" i="170" s="1"/>
  <c r="C475" i="170"/>
  <c r="E475" i="170" s="1"/>
  <c r="E392" i="170"/>
  <c r="C442" i="170"/>
  <c r="E442" i="170" s="1"/>
  <c r="E444" i="170"/>
  <c r="I540" i="170"/>
  <c r="K540" i="170" s="1"/>
  <c r="I544" i="170"/>
  <c r="K544" i="170" s="1"/>
  <c r="I612" i="170"/>
  <c r="K612" i="170" s="1"/>
  <c r="I611" i="170"/>
  <c r="K611" i="170" s="1"/>
  <c r="I607" i="170"/>
  <c r="K607" i="170" s="1"/>
  <c r="C510" i="170"/>
  <c r="E510" i="170" s="1"/>
  <c r="C505" i="170"/>
  <c r="E505" i="170" s="1"/>
  <c r="K117" i="170"/>
  <c r="I116" i="170"/>
  <c r="K116" i="170" s="1"/>
  <c r="C647" i="170"/>
  <c r="E647" i="170" s="1"/>
  <c r="C646" i="170"/>
  <c r="E646" i="170" s="1"/>
  <c r="I198" i="170"/>
  <c r="K198" i="170" s="1"/>
  <c r="I196" i="170"/>
  <c r="K196" i="170" s="1"/>
  <c r="E168" i="170"/>
  <c r="C161" i="170"/>
  <c r="E161" i="170" s="1"/>
  <c r="I179" i="170"/>
  <c r="K179" i="170" s="1"/>
  <c r="K185" i="170"/>
  <c r="I512" i="170"/>
  <c r="K512" i="170" s="1"/>
  <c r="I507" i="170"/>
  <c r="K507" i="170" s="1"/>
  <c r="K513" i="170"/>
  <c r="I48" i="170"/>
  <c r="K48" i="170" s="1"/>
  <c r="I46" i="170"/>
  <c r="K46" i="170" s="1"/>
  <c r="C562" i="170"/>
  <c r="E562" i="170" s="1"/>
  <c r="C561" i="170"/>
  <c r="E561" i="170" s="1"/>
  <c r="C559" i="170"/>
  <c r="E559" i="170" s="1"/>
  <c r="C404" i="170"/>
  <c r="E404" i="170" s="1"/>
  <c r="C407" i="170"/>
  <c r="E407" i="170" s="1"/>
  <c r="K631" i="170"/>
  <c r="I629" i="170"/>
  <c r="K629" i="170" s="1"/>
  <c r="I627" i="170"/>
  <c r="K627" i="170" s="1"/>
  <c r="I80" i="170"/>
  <c r="K80" i="170" s="1"/>
  <c r="I82" i="170"/>
  <c r="K82" i="170" s="1"/>
  <c r="I30" i="170"/>
  <c r="K30" i="170" s="1"/>
  <c r="I25" i="170"/>
  <c r="K25" i="170" s="1"/>
  <c r="I145" i="170"/>
  <c r="K145" i="170" s="1"/>
  <c r="I148" i="170"/>
  <c r="K148" i="170" s="1"/>
  <c r="C201" i="170"/>
  <c r="E201" i="170" s="1"/>
  <c r="E202" i="170"/>
  <c r="C195" i="170"/>
  <c r="E195" i="170" s="1"/>
  <c r="I269" i="170"/>
  <c r="K269" i="170" s="1"/>
  <c r="I263" i="170"/>
  <c r="K263" i="170" s="1"/>
  <c r="I265" i="170"/>
  <c r="K265" i="170" s="1"/>
  <c r="C251" i="170"/>
  <c r="E251" i="170" s="1"/>
  <c r="C246" i="170"/>
  <c r="E246" i="170" s="1"/>
  <c r="C116" i="170"/>
  <c r="E116" i="170" s="1"/>
  <c r="C109" i="170"/>
  <c r="E109" i="170" s="1"/>
  <c r="I63" i="170"/>
  <c r="K63" i="170" s="1"/>
  <c r="C133" i="170"/>
  <c r="E133" i="170" s="1"/>
  <c r="C131" i="170"/>
  <c r="E131" i="170" s="1"/>
  <c r="C132" i="170"/>
  <c r="E132" i="170" s="1"/>
  <c r="C81" i="170"/>
  <c r="E81" i="170" s="1"/>
  <c r="E375" i="170"/>
  <c r="C374" i="170"/>
  <c r="E374" i="170" s="1"/>
  <c r="C368" i="170"/>
  <c r="E368" i="170" s="1"/>
  <c r="C43" i="170"/>
  <c r="E43" i="170" s="1"/>
  <c r="E322" i="170"/>
  <c r="C315" i="170"/>
  <c r="E315" i="170" s="1"/>
  <c r="I475" i="170"/>
  <c r="K475" i="170" s="1"/>
  <c r="I252" i="170"/>
  <c r="K252" i="170" s="1"/>
  <c r="K254" i="170"/>
  <c r="I247" i="170"/>
  <c r="K247" i="170" s="1"/>
  <c r="I459" i="170"/>
  <c r="K459" i="170" s="1"/>
  <c r="I314" i="170"/>
  <c r="K314" i="170" s="1"/>
  <c r="I320" i="170"/>
  <c r="K320" i="170" s="1"/>
  <c r="C65" i="170"/>
  <c r="E65" i="170" s="1"/>
  <c r="C59" i="170"/>
  <c r="E59" i="170" s="1"/>
  <c r="I218" i="170"/>
  <c r="K218" i="170" s="1"/>
  <c r="I217" i="170"/>
  <c r="K217" i="170" s="1"/>
  <c r="K219" i="170"/>
  <c r="C267" i="170"/>
  <c r="E267" i="170" s="1"/>
  <c r="C263" i="170"/>
  <c r="E263" i="170" s="1"/>
  <c r="I425" i="170"/>
  <c r="K425" i="170" s="1"/>
  <c r="I419" i="170"/>
  <c r="K419" i="170" s="1"/>
  <c r="C453" i="170"/>
  <c r="E453" i="170" s="1"/>
  <c r="C578" i="170"/>
  <c r="E578" i="170" s="1"/>
  <c r="C574" i="170"/>
  <c r="E574" i="170" s="1"/>
  <c r="C589" i="170"/>
  <c r="E589" i="170" s="1"/>
  <c r="C591" i="170"/>
  <c r="E591" i="170" s="1"/>
  <c r="E340" i="170"/>
  <c r="C338" i="170"/>
  <c r="E338" i="170" s="1"/>
  <c r="I557" i="170"/>
  <c r="K557" i="170" s="1"/>
  <c r="K563" i="170"/>
  <c r="I166" i="170"/>
  <c r="K166" i="170" s="1"/>
  <c r="I164" i="170"/>
  <c r="K164" i="170" s="1"/>
  <c r="C285" i="170"/>
  <c r="E285" i="170" s="1"/>
  <c r="I591" i="170"/>
  <c r="K591" i="170" s="1"/>
  <c r="I589" i="170"/>
  <c r="K589" i="170" s="1"/>
  <c r="C148" i="170"/>
  <c r="E148" i="170" s="1"/>
  <c r="E151" i="170"/>
  <c r="E546" i="170"/>
  <c r="C544" i="170"/>
  <c r="E544" i="170" s="1"/>
  <c r="C542" i="170"/>
  <c r="E542" i="170" s="1"/>
  <c r="I229" i="170"/>
  <c r="K229" i="170" s="1"/>
  <c r="O16" i="99"/>
  <c r="O17" i="99"/>
  <c r="H63" i="132"/>
  <c r="H43" i="132"/>
  <c r="H56" i="132"/>
  <c r="H65" i="132"/>
  <c r="H69" i="132"/>
  <c r="H70" i="132"/>
  <c r="H84" i="132"/>
  <c r="H86" i="132"/>
  <c r="Y97" i="151"/>
  <c r="AA97" i="151" s="1"/>
  <c r="Z97" i="99" s="1"/>
  <c r="H32" i="132"/>
  <c r="H79" i="132"/>
  <c r="H50" i="132"/>
  <c r="Z9" i="9"/>
  <c r="AA9" i="9"/>
  <c r="F86" i="132"/>
  <c r="F94" i="132"/>
  <c r="F96" i="132"/>
  <c r="I96" i="132" s="1"/>
  <c r="F95" i="132"/>
  <c r="F97" i="132"/>
  <c r="F87" i="132"/>
  <c r="F90" i="132"/>
  <c r="F92" i="132"/>
  <c r="F91" i="132"/>
  <c r="F88" i="132"/>
  <c r="F93" i="132"/>
  <c r="F89" i="132"/>
  <c r="K96" i="132"/>
  <c r="M96" i="132" s="1"/>
  <c r="K97" i="132"/>
  <c r="M97" i="132" s="1"/>
  <c r="U11" i="9"/>
  <c r="K17" i="99"/>
  <c r="K16" i="99"/>
  <c r="N16" i="99"/>
  <c r="M16" i="99"/>
  <c r="G103" i="151"/>
  <c r="L16" i="151"/>
  <c r="O16" i="151"/>
  <c r="N16" i="151"/>
  <c r="G90" i="132"/>
  <c r="G86" i="132"/>
  <c r="G87" i="132"/>
  <c r="G88" i="132"/>
  <c r="G89" i="132"/>
  <c r="L17" i="151"/>
  <c r="N17" i="151"/>
  <c r="O17" i="151"/>
  <c r="H17" i="151"/>
  <c r="Q17" i="99"/>
  <c r="Q16" i="99"/>
  <c r="W98" i="99"/>
  <c r="X98" i="99" s="1"/>
  <c r="H5" i="170"/>
  <c r="B5" i="170"/>
  <c r="C709" i="170"/>
  <c r="E709" i="170" s="1"/>
  <c r="C710" i="170"/>
  <c r="E710" i="170" s="1"/>
  <c r="C712" i="170"/>
  <c r="E712" i="170" s="1"/>
  <c r="C711" i="170"/>
  <c r="E711" i="170" s="1"/>
  <c r="C714" i="170"/>
  <c r="E714" i="170" s="1"/>
  <c r="C713" i="170"/>
  <c r="E713" i="170" s="1"/>
  <c r="F18" i="101"/>
  <c r="T97" i="99"/>
  <c r="A1100" i="170"/>
  <c r="G1083" i="170"/>
  <c r="D15" i="132"/>
  <c r="F85" i="132"/>
  <c r="P17" i="99"/>
  <c r="T17" i="99" s="1"/>
  <c r="F89" i="99"/>
  <c r="R16" i="99"/>
  <c r="R17" i="99"/>
  <c r="S17" i="151"/>
  <c r="R17" i="151"/>
  <c r="Q17" i="151"/>
  <c r="U17" i="151" s="1"/>
  <c r="P17" i="151"/>
  <c r="S16" i="151"/>
  <c r="S15" i="151" s="1"/>
  <c r="R16" i="151"/>
  <c r="F91" i="99"/>
  <c r="G85" i="151"/>
  <c r="F83" i="132" s="1"/>
  <c r="D14" i="132"/>
  <c r="F56" i="132"/>
  <c r="F60" i="132"/>
  <c r="F61" i="132"/>
  <c r="F66" i="132"/>
  <c r="F57" i="132"/>
  <c r="F45" i="132"/>
  <c r="F23" i="132"/>
  <c r="F65" i="132"/>
  <c r="F36" i="132"/>
  <c r="F74" i="132"/>
  <c r="F78" i="132"/>
  <c r="F72" i="132"/>
  <c r="F81" i="132"/>
  <c r="F68" i="132"/>
  <c r="F58" i="132"/>
  <c r="F28" i="132"/>
  <c r="F24" i="132"/>
  <c r="F20" i="132"/>
  <c r="F21" i="132"/>
  <c r="F30" i="132"/>
  <c r="F82" i="132"/>
  <c r="F46" i="132"/>
  <c r="F18" i="132"/>
  <c r="F17" i="132"/>
  <c r="F27" i="132"/>
  <c r="F59" i="132"/>
  <c r="F67" i="132"/>
  <c r="F79" i="132"/>
  <c r="F32" i="132"/>
  <c r="F69" i="132"/>
  <c r="F50" i="132"/>
  <c r="F22" i="132"/>
  <c r="F75" i="132"/>
  <c r="F16" i="132"/>
  <c r="F52" i="132"/>
  <c r="F63" i="132"/>
  <c r="F55" i="132"/>
  <c r="F84" i="132"/>
  <c r="F19" i="132"/>
  <c r="F31" i="132"/>
  <c r="F70" i="132"/>
  <c r="F41" i="132"/>
  <c r="F51" i="132"/>
  <c r="F76" i="132"/>
  <c r="F53" i="132"/>
  <c r="F48" i="132"/>
  <c r="F35" i="132"/>
  <c r="F43" i="132"/>
  <c r="F73" i="132"/>
  <c r="F44" i="132"/>
  <c r="F29" i="132"/>
  <c r="F34" i="132"/>
  <c r="F25" i="132"/>
  <c r="F47" i="132"/>
  <c r="F39" i="132"/>
  <c r="F40" i="132"/>
  <c r="F33" i="132"/>
  <c r="F77" i="132"/>
  <c r="F42" i="132"/>
  <c r="F38" i="132"/>
  <c r="F64" i="132"/>
  <c r="F49" i="132"/>
  <c r="F37" i="132"/>
  <c r="F26" i="132"/>
  <c r="F71" i="132"/>
  <c r="F62" i="132"/>
  <c r="F54" i="132"/>
  <c r="F80" i="132"/>
  <c r="Q16" i="151"/>
  <c r="F50" i="99"/>
  <c r="F20" i="99"/>
  <c r="F52" i="99"/>
  <c r="F84" i="99"/>
  <c r="F47" i="99"/>
  <c r="F79" i="99"/>
  <c r="F58" i="99"/>
  <c r="F25" i="99"/>
  <c r="F21" i="99"/>
  <c r="F81" i="99"/>
  <c r="F70" i="99"/>
  <c r="F32" i="99"/>
  <c r="F80" i="99"/>
  <c r="F73" i="99"/>
  <c r="F43" i="99"/>
  <c r="F75" i="99"/>
  <c r="F62" i="99"/>
  <c r="F34" i="99"/>
  <c r="F69" i="99"/>
  <c r="F44" i="99"/>
  <c r="F76" i="99"/>
  <c r="F39" i="99"/>
  <c r="F71" i="99"/>
  <c r="F42" i="99"/>
  <c r="F77" i="99"/>
  <c r="F65" i="99"/>
  <c r="F54" i="99"/>
  <c r="F24" i="99"/>
  <c r="F72" i="99"/>
  <c r="F57" i="99"/>
  <c r="F35" i="99"/>
  <c r="F67" i="99"/>
  <c r="F46" i="99"/>
  <c r="F18" i="99"/>
  <c r="F33" i="99"/>
  <c r="F68" i="99"/>
  <c r="F63" i="99"/>
  <c r="F86" i="99"/>
  <c r="F61" i="99"/>
  <c r="F49" i="99"/>
  <c r="F38" i="99"/>
  <c r="F41" i="99"/>
  <c r="F27" i="99"/>
  <c r="F22" i="99"/>
  <c r="F29" i="99"/>
  <c r="F83" i="99"/>
  <c r="F30" i="99"/>
  <c r="F66" i="99"/>
  <c r="F28" i="99"/>
  <c r="F23" i="99"/>
  <c r="F87" i="99"/>
  <c r="F60" i="99"/>
  <c r="F55" i="99"/>
  <c r="F74" i="99"/>
  <c r="F45" i="99"/>
  <c r="F37" i="99"/>
  <c r="F88" i="99"/>
  <c r="F19" i="99"/>
  <c r="F78" i="99"/>
  <c r="F36" i="99"/>
  <c r="F31" i="99"/>
  <c r="F26" i="99"/>
  <c r="F85" i="99"/>
  <c r="F48" i="99"/>
  <c r="F59" i="99"/>
  <c r="F53" i="99"/>
  <c r="F40" i="99"/>
  <c r="F51" i="99"/>
  <c r="F64" i="99"/>
  <c r="F56" i="99"/>
  <c r="F82" i="99"/>
  <c r="K56" i="59"/>
  <c r="H84" i="99"/>
  <c r="O70" i="59"/>
  <c r="G70" i="59"/>
  <c r="P55" i="59"/>
  <c r="O56" i="59"/>
  <c r="G56" i="59"/>
  <c r="P62" i="59"/>
  <c r="I95" i="132" l="1"/>
  <c r="N101" i="99"/>
  <c r="K101" i="99"/>
  <c r="H94" i="132"/>
  <c r="R15" i="151"/>
  <c r="L15" i="151"/>
  <c r="Q15" i="151"/>
  <c r="Q101" i="99"/>
  <c r="O15" i="151"/>
  <c r="X17" i="151"/>
  <c r="H15" i="132" s="1"/>
  <c r="T16" i="99"/>
  <c r="T101" i="99" s="1"/>
  <c r="P101" i="99"/>
  <c r="R101" i="99"/>
  <c r="F15" i="151"/>
  <c r="N15" i="151"/>
  <c r="M101" i="99"/>
  <c r="O101" i="99"/>
  <c r="U16" i="151"/>
  <c r="U15" i="151" s="1"/>
  <c r="E736" i="170"/>
  <c r="K15" i="170"/>
  <c r="I12" i="170"/>
  <c r="K12" i="170" s="1"/>
  <c r="I9" i="170"/>
  <c r="K9" i="170" s="1"/>
  <c r="I6" i="170"/>
  <c r="J10" i="170" s="1"/>
  <c r="I7" i="170"/>
  <c r="K7" i="170" s="1"/>
  <c r="I14" i="170"/>
  <c r="K14" i="170" s="1"/>
  <c r="I11" i="170"/>
  <c r="K11" i="170" s="1"/>
  <c r="I13" i="170"/>
  <c r="K13" i="170" s="1"/>
  <c r="I8" i="170"/>
  <c r="K8" i="170" s="1"/>
  <c r="K736" i="170"/>
  <c r="K687" i="170"/>
  <c r="K670" i="170"/>
  <c r="K95" i="132"/>
  <c r="M95" i="132" s="1"/>
  <c r="E15" i="170"/>
  <c r="C6" i="170"/>
  <c r="D10" i="170" s="1"/>
  <c r="I88" i="132"/>
  <c r="W97" i="99"/>
  <c r="X97" i="99" s="1"/>
  <c r="I87" i="132"/>
  <c r="I91" i="132"/>
  <c r="I92" i="132"/>
  <c r="X89" i="99"/>
  <c r="I93" i="132"/>
  <c r="I90" i="132"/>
  <c r="I89" i="132"/>
  <c r="I86" i="132"/>
  <c r="X90" i="99"/>
  <c r="X93" i="99"/>
  <c r="X95" i="99"/>
  <c r="X91" i="99"/>
  <c r="X92" i="99"/>
  <c r="X94" i="99"/>
  <c r="K635" i="170"/>
  <c r="E653" i="170"/>
  <c r="K653" i="170"/>
  <c r="E687" i="170"/>
  <c r="E670" i="170"/>
  <c r="C715" i="170"/>
  <c r="E715" i="170" s="1"/>
  <c r="E719" i="170" s="1"/>
  <c r="L719" i="170" s="1"/>
  <c r="P70" i="59"/>
  <c r="C7" i="170"/>
  <c r="E7" i="170" s="1"/>
  <c r="C12" i="170"/>
  <c r="E12" i="170" s="1"/>
  <c r="G1100" i="170"/>
  <c r="A1117" i="170"/>
  <c r="G17" i="151"/>
  <c r="F15" i="132" s="1"/>
  <c r="F16" i="99"/>
  <c r="G16" i="151"/>
  <c r="F17" i="99"/>
  <c r="G15" i="151" l="1"/>
  <c r="F101" i="99"/>
  <c r="F13" i="180" s="1"/>
  <c r="L736" i="170"/>
  <c r="F14" i="132"/>
  <c r="F13" i="132" s="1"/>
  <c r="I97" i="132"/>
  <c r="Y92" i="151"/>
  <c r="AA92" i="151" s="1"/>
  <c r="Y95" i="151"/>
  <c r="AA95" i="151" s="1"/>
  <c r="Y96" i="151"/>
  <c r="AA96" i="151" s="1"/>
  <c r="L653" i="170"/>
  <c r="Y91" i="151"/>
  <c r="AA91" i="151" s="1"/>
  <c r="Y90" i="151"/>
  <c r="AA90" i="151" s="1"/>
  <c r="Y94" i="151"/>
  <c r="AA94" i="151" s="1"/>
  <c r="Y93" i="151"/>
  <c r="AA93" i="151" s="1"/>
  <c r="Y89" i="151"/>
  <c r="AA89" i="151" s="1"/>
  <c r="L687" i="170"/>
  <c r="G1117" i="170"/>
  <c r="A1134" i="170"/>
  <c r="F11" i="79"/>
  <c r="I13" i="180" l="1"/>
  <c r="K87" i="132"/>
  <c r="M87" i="132" s="1"/>
  <c r="Z91" i="99"/>
  <c r="AA91" i="99" s="1"/>
  <c r="K89" i="132"/>
  <c r="M89" i="132" s="1"/>
  <c r="Z95" i="99"/>
  <c r="K93" i="132"/>
  <c r="M93" i="132" s="1"/>
  <c r="Z90" i="99"/>
  <c r="AA90" i="99" s="1"/>
  <c r="K88" i="132"/>
  <c r="M88" i="132" s="1"/>
  <c r="Z96" i="99"/>
  <c r="Z93" i="99"/>
  <c r="AA93" i="99" s="1"/>
  <c r="K91" i="132"/>
  <c r="Z92" i="99"/>
  <c r="AA92" i="99" s="1"/>
  <c r="K90" i="132"/>
  <c r="M90" i="132" s="1"/>
  <c r="Z94" i="99"/>
  <c r="AA94" i="99" s="1"/>
  <c r="K92" i="132"/>
  <c r="M92" i="132" s="1"/>
  <c r="Z89" i="99"/>
  <c r="AA89" i="99" s="1"/>
  <c r="AA97" i="99"/>
  <c r="A1151" i="170"/>
  <c r="G1134" i="170"/>
  <c r="K13" i="180" l="1"/>
  <c r="M91" i="132"/>
  <c r="A1168" i="170"/>
  <c r="G1151" i="170"/>
  <c r="A1185" i="170" l="1"/>
  <c r="G1168" i="170"/>
  <c r="G1185" i="170" l="1"/>
  <c r="A1202" i="170"/>
  <c r="H20" i="79"/>
  <c r="A1219" i="170" l="1"/>
  <c r="G1202" i="170"/>
  <c r="D100" i="128"/>
  <c r="K18" i="101" s="1"/>
  <c r="D101" i="128"/>
  <c r="K19" i="101" s="1"/>
  <c r="D102" i="128"/>
  <c r="K20" i="101" s="1"/>
  <c r="D103" i="128"/>
  <c r="K21" i="101" s="1"/>
  <c r="D104" i="128"/>
  <c r="K22" i="101" s="1"/>
  <c r="D105" i="128"/>
  <c r="K23" i="101" s="1"/>
  <c r="D106" i="128"/>
  <c r="K24" i="101" s="1"/>
  <c r="D107" i="128"/>
  <c r="K25" i="101" s="1"/>
  <c r="D108" i="128"/>
  <c r="K26" i="101" s="1"/>
  <c r="D109" i="128"/>
  <c r="K27" i="101" s="1"/>
  <c r="D110" i="128"/>
  <c r="K28" i="101" s="1"/>
  <c r="D111" i="128"/>
  <c r="K29" i="101" s="1"/>
  <c r="D112" i="128"/>
  <c r="K30" i="101" s="1"/>
  <c r="D113" i="128"/>
  <c r="K31" i="101" s="1"/>
  <c r="D114" i="128"/>
  <c r="K32" i="101" s="1"/>
  <c r="D115" i="128"/>
  <c r="K33" i="101" s="1"/>
  <c r="D116" i="128"/>
  <c r="K34" i="101" s="1"/>
  <c r="D117" i="128"/>
  <c r="K35" i="101" s="1"/>
  <c r="D118" i="128"/>
  <c r="K36" i="101" s="1"/>
  <c r="D119" i="128"/>
  <c r="K37" i="101" s="1"/>
  <c r="D120" i="128"/>
  <c r="K38" i="101" s="1"/>
  <c r="D121" i="128"/>
  <c r="K39" i="101" s="1"/>
  <c r="D122" i="128"/>
  <c r="K40" i="101" s="1"/>
  <c r="D123" i="128"/>
  <c r="K41" i="101" s="1"/>
  <c r="D124" i="128"/>
  <c r="K42" i="101" s="1"/>
  <c r="D125" i="128"/>
  <c r="K43" i="101" s="1"/>
  <c r="D126" i="128"/>
  <c r="K44" i="101" s="1"/>
  <c r="D127" i="128"/>
  <c r="K45" i="101" s="1"/>
  <c r="D128" i="128"/>
  <c r="K46" i="101" s="1"/>
  <c r="D129" i="128"/>
  <c r="K47" i="101" s="1"/>
  <c r="D130" i="128"/>
  <c r="K48" i="101" s="1"/>
  <c r="D131" i="128"/>
  <c r="K49" i="101" s="1"/>
  <c r="D132" i="128"/>
  <c r="K50" i="101" s="1"/>
  <c r="D133" i="128"/>
  <c r="K51" i="101" s="1"/>
  <c r="D134" i="128"/>
  <c r="K52" i="101" s="1"/>
  <c r="D135" i="128"/>
  <c r="K53" i="101" s="1"/>
  <c r="D136" i="128"/>
  <c r="K54" i="101" s="1"/>
  <c r="D137" i="128"/>
  <c r="K55" i="101" s="1"/>
  <c r="D138" i="128"/>
  <c r="K56" i="101" s="1"/>
  <c r="D139" i="128"/>
  <c r="K57" i="101" s="1"/>
  <c r="D140" i="128"/>
  <c r="K58" i="101" s="1"/>
  <c r="D141" i="128"/>
  <c r="K59" i="101" s="1"/>
  <c r="D142" i="128"/>
  <c r="K60" i="101" s="1"/>
  <c r="D143" i="128"/>
  <c r="K61" i="101" s="1"/>
  <c r="D144" i="128"/>
  <c r="K62" i="101" s="1"/>
  <c r="D145" i="128"/>
  <c r="K63" i="101" s="1"/>
  <c r="D146" i="128"/>
  <c r="K64" i="101" s="1"/>
  <c r="D147" i="128"/>
  <c r="K65" i="101" s="1"/>
  <c r="D148" i="128"/>
  <c r="K66" i="101" s="1"/>
  <c r="D149" i="128"/>
  <c r="K67" i="101" s="1"/>
  <c r="D150" i="128"/>
  <c r="K68" i="101" s="1"/>
  <c r="D151" i="128"/>
  <c r="K69" i="101" s="1"/>
  <c r="D152" i="128"/>
  <c r="K70" i="101" s="1"/>
  <c r="D153" i="128"/>
  <c r="K71" i="101" s="1"/>
  <c r="D154" i="128"/>
  <c r="K72" i="101" s="1"/>
  <c r="K73" i="101"/>
  <c r="K74" i="101"/>
  <c r="D99" i="128"/>
  <c r="R104" i="9" l="1"/>
  <c r="G24" i="101" s="1"/>
  <c r="R120" i="9"/>
  <c r="G40" i="101" s="1"/>
  <c r="R132" i="9"/>
  <c r="G52" i="101" s="1"/>
  <c r="R144" i="9"/>
  <c r="G64" i="101" s="1"/>
  <c r="R108" i="9"/>
  <c r="G28" i="101" s="1"/>
  <c r="R124" i="9"/>
  <c r="G44" i="101" s="1"/>
  <c r="R133" i="9"/>
  <c r="G53" i="101" s="1"/>
  <c r="R98" i="9"/>
  <c r="R100" i="9"/>
  <c r="G20" i="101" s="1"/>
  <c r="R112" i="9"/>
  <c r="G32" i="101" s="1"/>
  <c r="R125" i="9"/>
  <c r="G45" i="101" s="1"/>
  <c r="R136" i="9"/>
  <c r="G56" i="101" s="1"/>
  <c r="R101" i="9"/>
  <c r="G21" i="101" s="1"/>
  <c r="R116" i="9"/>
  <c r="G36" i="101" s="1"/>
  <c r="R128" i="9"/>
  <c r="G48" i="101" s="1"/>
  <c r="R140" i="9"/>
  <c r="G60" i="101" s="1"/>
  <c r="R119" i="9"/>
  <c r="G39" i="101" s="1"/>
  <c r="R103" i="9"/>
  <c r="G23" i="101" s="1"/>
  <c r="R127" i="9"/>
  <c r="G47" i="101" s="1"/>
  <c r="R107" i="9"/>
  <c r="G27" i="101" s="1"/>
  <c r="R138" i="9"/>
  <c r="G58" i="101" s="1"/>
  <c r="R122" i="9"/>
  <c r="G42" i="101" s="1"/>
  <c r="R106" i="9"/>
  <c r="G26" i="101" s="1"/>
  <c r="R137" i="9"/>
  <c r="G57" i="101" s="1"/>
  <c r="R113" i="9"/>
  <c r="G33" i="101" s="1"/>
  <c r="R135" i="9"/>
  <c r="G55" i="101" s="1"/>
  <c r="R143" i="9"/>
  <c r="G63" i="101" s="1"/>
  <c r="R123" i="9"/>
  <c r="G43" i="101" s="1"/>
  <c r="R99" i="9"/>
  <c r="G19" i="101" s="1"/>
  <c r="R134" i="9"/>
  <c r="G54" i="101" s="1"/>
  <c r="R118" i="9"/>
  <c r="G38" i="101" s="1"/>
  <c r="R102" i="9"/>
  <c r="G22" i="101" s="1"/>
  <c r="R129" i="9"/>
  <c r="G49" i="101" s="1"/>
  <c r="R109" i="9"/>
  <c r="G29" i="101" s="1"/>
  <c r="R139" i="9"/>
  <c r="G59" i="101" s="1"/>
  <c r="R115" i="9"/>
  <c r="G35" i="101" s="1"/>
  <c r="R158" i="9"/>
  <c r="G78" i="101" s="1"/>
  <c r="R130" i="9"/>
  <c r="G50" i="101" s="1"/>
  <c r="R114" i="9"/>
  <c r="G34" i="101" s="1"/>
  <c r="R145" i="9"/>
  <c r="G65" i="101" s="1"/>
  <c r="R121" i="9"/>
  <c r="G41" i="101" s="1"/>
  <c r="R105" i="9"/>
  <c r="G25" i="101" s="1"/>
  <c r="R131" i="9"/>
  <c r="G51" i="101" s="1"/>
  <c r="R111" i="9"/>
  <c r="G31" i="101" s="1"/>
  <c r="R142" i="9"/>
  <c r="G62" i="101" s="1"/>
  <c r="R126" i="9"/>
  <c r="G46" i="101" s="1"/>
  <c r="R110" i="9"/>
  <c r="G30" i="101" s="1"/>
  <c r="R141" i="9"/>
  <c r="G61" i="101" s="1"/>
  <c r="R117" i="9"/>
  <c r="G37" i="101" s="1"/>
  <c r="R155" i="9"/>
  <c r="G75" i="101" s="1"/>
  <c r="R153" i="9"/>
  <c r="G73" i="101" s="1"/>
  <c r="R147" i="9"/>
  <c r="G67" i="101" s="1"/>
  <c r="R148" i="9"/>
  <c r="G68" i="101" s="1"/>
  <c r="R156" i="9"/>
  <c r="G76" i="101" s="1"/>
  <c r="R146" i="9"/>
  <c r="G66" i="101" s="1"/>
  <c r="R154" i="9"/>
  <c r="G74" i="101" s="1"/>
  <c r="R149" i="9"/>
  <c r="G69" i="101" s="1"/>
  <c r="R151" i="9"/>
  <c r="G71" i="101" s="1"/>
  <c r="R152" i="9"/>
  <c r="G72" i="101" s="1"/>
  <c r="R157" i="9"/>
  <c r="G77" i="101" s="1"/>
  <c r="R150" i="9"/>
  <c r="G70" i="101" s="1"/>
  <c r="C1204" i="170"/>
  <c r="D1208" i="170" s="1"/>
  <c r="C1102" i="170"/>
  <c r="D1106" i="170" s="1"/>
  <c r="I1221" i="170"/>
  <c r="J1225" i="170" s="1"/>
  <c r="I1068" i="170"/>
  <c r="J1072" i="170" s="1"/>
  <c r="C847" i="170"/>
  <c r="D851" i="170" s="1"/>
  <c r="C949" i="170"/>
  <c r="D953" i="170" s="1"/>
  <c r="I762" i="170"/>
  <c r="J766" i="170" s="1"/>
  <c r="C1187" i="170"/>
  <c r="D1191" i="170" s="1"/>
  <c r="I830" i="170"/>
  <c r="J834" i="170" s="1"/>
  <c r="I1017" i="170"/>
  <c r="J1021" i="170" s="1"/>
  <c r="I1000" i="170"/>
  <c r="J1004" i="170" s="1"/>
  <c r="I983" i="170"/>
  <c r="J987" i="170" s="1"/>
  <c r="C1000" i="170"/>
  <c r="D1004" i="170" s="1"/>
  <c r="I1102" i="170"/>
  <c r="J1106" i="170" s="1"/>
  <c r="I1153" i="170"/>
  <c r="J1157" i="170" s="1"/>
  <c r="I864" i="170"/>
  <c r="J868" i="170" s="1"/>
  <c r="C830" i="170"/>
  <c r="D834" i="170" s="1"/>
  <c r="I1119" i="170"/>
  <c r="J1123" i="170" s="1"/>
  <c r="C898" i="170"/>
  <c r="D902" i="170" s="1"/>
  <c r="I779" i="170"/>
  <c r="J783" i="170" s="1"/>
  <c r="C1238" i="170"/>
  <c r="D1242" i="170" s="1"/>
  <c r="C983" i="170"/>
  <c r="D987" i="170" s="1"/>
  <c r="I881" i="170"/>
  <c r="J885" i="170" s="1"/>
  <c r="C813" i="170"/>
  <c r="D817" i="170" s="1"/>
  <c r="C1119" i="170"/>
  <c r="D1123" i="170" s="1"/>
  <c r="C881" i="170"/>
  <c r="D885" i="170" s="1"/>
  <c r="I1085" i="170"/>
  <c r="J1089" i="170" s="1"/>
  <c r="C779" i="170"/>
  <c r="D783" i="170" s="1"/>
  <c r="C1255" i="170"/>
  <c r="D1259" i="170" s="1"/>
  <c r="I932" i="170"/>
  <c r="J936" i="170" s="1"/>
  <c r="I1051" i="170"/>
  <c r="J1055" i="170" s="1"/>
  <c r="C1051" i="170"/>
  <c r="D1055" i="170" s="1"/>
  <c r="C796" i="170"/>
  <c r="D800" i="170" s="1"/>
  <c r="I847" i="170"/>
  <c r="J851" i="170" s="1"/>
  <c r="I1238" i="170"/>
  <c r="J1242" i="170" s="1"/>
  <c r="I1204" i="170"/>
  <c r="J1208" i="170" s="1"/>
  <c r="C1153" i="170"/>
  <c r="D1157" i="170" s="1"/>
  <c r="C932" i="170"/>
  <c r="D936" i="170" s="1"/>
  <c r="C1221" i="170"/>
  <c r="D1225" i="170" s="1"/>
  <c r="I1170" i="170"/>
  <c r="J1174" i="170" s="1"/>
  <c r="I966" i="170"/>
  <c r="J970" i="170" s="1"/>
  <c r="C1085" i="170"/>
  <c r="D1089" i="170" s="1"/>
  <c r="C762" i="170"/>
  <c r="D766" i="170" s="1"/>
  <c r="I1255" i="170"/>
  <c r="J1259" i="170" s="1"/>
  <c r="I813" i="170"/>
  <c r="J817" i="170" s="1"/>
  <c r="I949" i="170"/>
  <c r="J953" i="170" s="1"/>
  <c r="C864" i="170"/>
  <c r="D868" i="170" s="1"/>
  <c r="I796" i="170"/>
  <c r="J800" i="170" s="1"/>
  <c r="C966" i="170"/>
  <c r="D970" i="170" s="1"/>
  <c r="I1136" i="170"/>
  <c r="J1140" i="170" s="1"/>
  <c r="I1187" i="170"/>
  <c r="J1191" i="170" s="1"/>
  <c r="C1136" i="170"/>
  <c r="D1140" i="170" s="1"/>
  <c r="C915" i="170"/>
  <c r="D919" i="170" s="1"/>
  <c r="C1034" i="170"/>
  <c r="D1038" i="170" s="1"/>
  <c r="I898" i="170"/>
  <c r="J902" i="170" s="1"/>
  <c r="C1170" i="170"/>
  <c r="D1174" i="170" s="1"/>
  <c r="I1034" i="170"/>
  <c r="J1038" i="170" s="1"/>
  <c r="C1017" i="170"/>
  <c r="D1021" i="170" s="1"/>
  <c r="C1068" i="170"/>
  <c r="D1072" i="170" s="1"/>
  <c r="I915" i="170"/>
  <c r="J919" i="170" s="1"/>
  <c r="AD101" i="9"/>
  <c r="AD121" i="9"/>
  <c r="AD110" i="9"/>
  <c r="AD126" i="9"/>
  <c r="AD142" i="9"/>
  <c r="AD107" i="9"/>
  <c r="AD123" i="9"/>
  <c r="AD139" i="9"/>
  <c r="AD155" i="9"/>
  <c r="AD145" i="9"/>
  <c r="AD104" i="9"/>
  <c r="AD120" i="9"/>
  <c r="AD136" i="9"/>
  <c r="AD152" i="9"/>
  <c r="AD141" i="9"/>
  <c r="AD113" i="9"/>
  <c r="AD106" i="9"/>
  <c r="AD122" i="9"/>
  <c r="AD138" i="9"/>
  <c r="AD154" i="9"/>
  <c r="AD103" i="9"/>
  <c r="AD119" i="9"/>
  <c r="AD135" i="9"/>
  <c r="AD151" i="9"/>
  <c r="AD137" i="9"/>
  <c r="AD100" i="9"/>
  <c r="AD116" i="9"/>
  <c r="AD132" i="9"/>
  <c r="AD148" i="9"/>
  <c r="AD129" i="9"/>
  <c r="AD109" i="9"/>
  <c r="AD149" i="9"/>
  <c r="AD102" i="9"/>
  <c r="AD118" i="9"/>
  <c r="AD134" i="9"/>
  <c r="AD150" i="9"/>
  <c r="AD99" i="9"/>
  <c r="AD115" i="9"/>
  <c r="AD131" i="9"/>
  <c r="AD147" i="9"/>
  <c r="AD125" i="9"/>
  <c r="AD128" i="9"/>
  <c r="AD144" i="9"/>
  <c r="AD117" i="9"/>
  <c r="I691" i="170"/>
  <c r="J695" i="170" s="1"/>
  <c r="K695" i="170" s="1"/>
  <c r="K704" i="170" s="1"/>
  <c r="AD105" i="9"/>
  <c r="AD133" i="9"/>
  <c r="AD114" i="9"/>
  <c r="AD130" i="9"/>
  <c r="AD146" i="9"/>
  <c r="AD111" i="9"/>
  <c r="AD127" i="9"/>
  <c r="AD143" i="9"/>
  <c r="AD157" i="9"/>
  <c r="AD108" i="9"/>
  <c r="AD124" i="9"/>
  <c r="AD140" i="9"/>
  <c r="AD156" i="9"/>
  <c r="AD153" i="9"/>
  <c r="I745" i="170"/>
  <c r="J749" i="170" s="1"/>
  <c r="H147" i="151"/>
  <c r="H115" i="151"/>
  <c r="H150" i="151"/>
  <c r="H134" i="151"/>
  <c r="H118" i="151"/>
  <c r="H145" i="151"/>
  <c r="H129" i="151"/>
  <c r="H113" i="151"/>
  <c r="H140" i="151"/>
  <c r="H124" i="151"/>
  <c r="H108" i="151"/>
  <c r="H110" i="151"/>
  <c r="H148" i="151"/>
  <c r="H116" i="151"/>
  <c r="H151" i="151"/>
  <c r="H133" i="151"/>
  <c r="H159" i="151"/>
  <c r="H143" i="151"/>
  <c r="H127" i="151"/>
  <c r="H111" i="151"/>
  <c r="H162" i="151"/>
  <c r="H146" i="151"/>
  <c r="H130" i="151"/>
  <c r="H114" i="151"/>
  <c r="H157" i="151"/>
  <c r="H141" i="151"/>
  <c r="H125" i="151"/>
  <c r="H109" i="151"/>
  <c r="H152" i="151"/>
  <c r="H136" i="151"/>
  <c r="H120" i="151"/>
  <c r="H104" i="151"/>
  <c r="H155" i="151"/>
  <c r="H139" i="151"/>
  <c r="H123" i="151"/>
  <c r="H107" i="151"/>
  <c r="H158" i="151"/>
  <c r="H142" i="151"/>
  <c r="H126" i="151"/>
  <c r="H137" i="151"/>
  <c r="H105" i="151"/>
  <c r="H132" i="151"/>
  <c r="H135" i="151"/>
  <c r="H106" i="151"/>
  <c r="H117" i="151"/>
  <c r="H144" i="151"/>
  <c r="H153" i="151"/>
  <c r="H119" i="151"/>
  <c r="H138" i="151"/>
  <c r="H128" i="151"/>
  <c r="H122" i="151"/>
  <c r="H149" i="151"/>
  <c r="H112" i="151"/>
  <c r="L108" i="151"/>
  <c r="L131" i="151"/>
  <c r="L132" i="151"/>
  <c r="L117" i="151"/>
  <c r="L114" i="151"/>
  <c r="L113" i="151"/>
  <c r="L112" i="151"/>
  <c r="L144" i="151"/>
  <c r="L126" i="151"/>
  <c r="L109" i="151"/>
  <c r="L137" i="151"/>
  <c r="L110" i="151"/>
  <c r="L119" i="151"/>
  <c r="L151" i="151"/>
  <c r="L163" i="151"/>
  <c r="L104" i="151"/>
  <c r="L136" i="151"/>
  <c r="L142" i="151"/>
  <c r="L157" i="151"/>
  <c r="L118" i="151"/>
  <c r="L121" i="151"/>
  <c r="L134" i="151"/>
  <c r="L127" i="151"/>
  <c r="L159" i="151"/>
  <c r="L123" i="151"/>
  <c r="L155" i="151"/>
  <c r="L130" i="151"/>
  <c r="L140" i="151"/>
  <c r="L133" i="151"/>
  <c r="L154" i="151"/>
  <c r="L115" i="151"/>
  <c r="L147" i="151"/>
  <c r="L116" i="151"/>
  <c r="L148" i="151"/>
  <c r="L149" i="151"/>
  <c r="L138" i="151"/>
  <c r="L145" i="151"/>
  <c r="L128" i="151"/>
  <c r="L160" i="151"/>
  <c r="L158" i="151"/>
  <c r="L141" i="151"/>
  <c r="L150" i="151"/>
  <c r="L135" i="151"/>
  <c r="L162" i="151"/>
  <c r="L161" i="151"/>
  <c r="L120" i="151"/>
  <c r="L152" i="151"/>
  <c r="L125" i="151"/>
  <c r="L146" i="151"/>
  <c r="L153" i="151"/>
  <c r="L111" i="151"/>
  <c r="L143" i="151"/>
  <c r="L107" i="151"/>
  <c r="L139" i="151"/>
  <c r="L106" i="151"/>
  <c r="L124" i="151"/>
  <c r="L156" i="151"/>
  <c r="L105" i="151"/>
  <c r="L122" i="151"/>
  <c r="L129" i="151"/>
  <c r="H103" i="151"/>
  <c r="L103" i="151"/>
  <c r="H163" i="151"/>
  <c r="H121" i="151"/>
  <c r="H154" i="151"/>
  <c r="A1236" i="170"/>
  <c r="G1219" i="170"/>
  <c r="H160" i="151" l="1"/>
  <c r="H224" i="151" s="1"/>
  <c r="H156" i="151"/>
  <c r="H161" i="151"/>
  <c r="H131" i="151"/>
  <c r="G1236" i="170"/>
  <c r="A1253" i="170"/>
  <c r="U156" i="9"/>
  <c r="U157" i="9"/>
  <c r="U155" i="9"/>
  <c r="U158" i="9"/>
  <c r="A1270" i="170" l="1"/>
  <c r="G1253" i="170"/>
  <c r="I16" i="151"/>
  <c r="A1287" i="170" l="1"/>
  <c r="G1287" i="170" s="1"/>
  <c r="G1270" i="170"/>
  <c r="AP163" i="128"/>
  <c r="E19" i="154" l="1"/>
  <c r="E15" i="154" s="1"/>
  <c r="H18" i="154"/>
  <c r="U36" i="9"/>
  <c r="U81" i="9"/>
  <c r="G84" i="132"/>
  <c r="I84" i="132" s="1"/>
  <c r="U122" i="9"/>
  <c r="U138" i="9"/>
  <c r="U154" i="9"/>
  <c r="U21" i="9"/>
  <c r="U37" i="9"/>
  <c r="U53" i="9"/>
  <c r="U69" i="9"/>
  <c r="U77" i="9"/>
  <c r="U67" i="9"/>
  <c r="U137" i="9"/>
  <c r="U64" i="9"/>
  <c r="U103" i="9"/>
  <c r="U119" i="9"/>
  <c r="U135" i="9"/>
  <c r="U151" i="9"/>
  <c r="U18" i="9"/>
  <c r="U26" i="9"/>
  <c r="U46" i="9"/>
  <c r="U62" i="9"/>
  <c r="U43" i="9"/>
  <c r="U55" i="9"/>
  <c r="U117" i="9"/>
  <c r="U16" i="9"/>
  <c r="U40" i="9"/>
  <c r="U104" i="9"/>
  <c r="U120" i="9"/>
  <c r="U144" i="9"/>
  <c r="U19" i="9"/>
  <c r="U14" i="9"/>
  <c r="U102" i="9"/>
  <c r="U110" i="9"/>
  <c r="U118" i="9"/>
  <c r="U126" i="9"/>
  <c r="U134" i="9"/>
  <c r="U142" i="9"/>
  <c r="U150" i="9"/>
  <c r="U17" i="9"/>
  <c r="U25" i="9"/>
  <c r="U33" i="9"/>
  <c r="U41" i="9"/>
  <c r="U49" i="9"/>
  <c r="U57" i="9"/>
  <c r="U65" i="9"/>
  <c r="U73" i="9"/>
  <c r="U74" i="9"/>
  <c r="U59" i="9"/>
  <c r="U75" i="9"/>
  <c r="U105" i="9"/>
  <c r="U125" i="9"/>
  <c r="U149" i="9"/>
  <c r="U12" i="9"/>
  <c r="U52" i="9"/>
  <c r="U76" i="9"/>
  <c r="U99" i="9"/>
  <c r="U107" i="9"/>
  <c r="U115" i="9"/>
  <c r="U123" i="9"/>
  <c r="U131" i="9"/>
  <c r="U139" i="9"/>
  <c r="U147" i="9"/>
  <c r="U22" i="9"/>
  <c r="U30" i="9"/>
  <c r="U42" i="9"/>
  <c r="U50" i="9"/>
  <c r="U58" i="9"/>
  <c r="U66" i="9"/>
  <c r="U78" i="9"/>
  <c r="U51" i="9"/>
  <c r="U63" i="9"/>
  <c r="U106" i="9"/>
  <c r="U114" i="9"/>
  <c r="U130" i="9"/>
  <c r="U146" i="9"/>
  <c r="U13" i="9"/>
  <c r="U29" i="9"/>
  <c r="U45" i="9"/>
  <c r="U61" i="9"/>
  <c r="U47" i="9"/>
  <c r="U113" i="9"/>
  <c r="U24" i="9"/>
  <c r="U111" i="9"/>
  <c r="U127" i="9"/>
  <c r="U143" i="9"/>
  <c r="U38" i="9"/>
  <c r="U54" i="9"/>
  <c r="U70" i="9"/>
  <c r="U79" i="9"/>
  <c r="H16" i="151"/>
  <c r="H15" i="151" s="1"/>
  <c r="U83" i="9"/>
  <c r="U141" i="9"/>
  <c r="U60" i="9"/>
  <c r="U112" i="9"/>
  <c r="U128" i="9"/>
  <c r="U136" i="9"/>
  <c r="U152" i="9"/>
  <c r="U27" i="9"/>
  <c r="U35" i="9"/>
  <c r="U71" i="9"/>
  <c r="U101" i="9"/>
  <c r="U121" i="9"/>
  <c r="U145" i="9"/>
  <c r="U32" i="9"/>
  <c r="U56" i="9"/>
  <c r="U82" i="9"/>
  <c r="G85" i="132"/>
  <c r="I85" i="132" s="1"/>
  <c r="U34" i="9"/>
  <c r="U80" i="9"/>
  <c r="G83" i="132"/>
  <c r="I83" i="132" s="1"/>
  <c r="U129" i="9"/>
  <c r="U153" i="9"/>
  <c r="U28" i="9"/>
  <c r="U48" i="9"/>
  <c r="U72" i="9"/>
  <c r="U100" i="9"/>
  <c r="U108" i="9"/>
  <c r="U116" i="9"/>
  <c r="U124" i="9"/>
  <c r="U132" i="9"/>
  <c r="U140" i="9"/>
  <c r="U148" i="9"/>
  <c r="U98" i="9"/>
  <c r="U15" i="9"/>
  <c r="U23" i="9"/>
  <c r="U31" i="9"/>
  <c r="U39" i="9"/>
  <c r="U109" i="9"/>
  <c r="U133" i="9"/>
  <c r="U20" i="9"/>
  <c r="U44" i="9"/>
  <c r="U68" i="9"/>
  <c r="G41" i="99"/>
  <c r="L41" i="99" s="1"/>
  <c r="G86" i="99"/>
  <c r="L86" i="99" s="1"/>
  <c r="G22" i="99"/>
  <c r="L22" i="99" s="1"/>
  <c r="G30" i="99"/>
  <c r="L30" i="99" s="1"/>
  <c r="G38" i="99"/>
  <c r="L38" i="99" s="1"/>
  <c r="G46" i="99"/>
  <c r="L46" i="99" s="1"/>
  <c r="G54" i="99"/>
  <c r="L54" i="99" s="1"/>
  <c r="G62" i="99"/>
  <c r="L62" i="99" s="1"/>
  <c r="G70" i="99"/>
  <c r="L70" i="99" s="1"/>
  <c r="G78" i="99"/>
  <c r="L78" i="99" s="1"/>
  <c r="G79" i="99"/>
  <c r="L79" i="99" s="1"/>
  <c r="G64" i="99"/>
  <c r="L64" i="99" s="1"/>
  <c r="G80" i="99"/>
  <c r="L80" i="99" s="1"/>
  <c r="G57" i="99"/>
  <c r="L57" i="99" s="1"/>
  <c r="G81" i="99"/>
  <c r="L81" i="99" s="1"/>
  <c r="G27" i="99"/>
  <c r="L27" i="99" s="1"/>
  <c r="G35" i="99"/>
  <c r="L35" i="99" s="1"/>
  <c r="G47" i="99"/>
  <c r="L47" i="99" s="1"/>
  <c r="G55" i="99"/>
  <c r="L55" i="99" s="1"/>
  <c r="G63" i="99"/>
  <c r="L63" i="99" s="1"/>
  <c r="G71" i="99"/>
  <c r="L71" i="99" s="1"/>
  <c r="G83" i="99"/>
  <c r="L83" i="99" s="1"/>
  <c r="G56" i="99"/>
  <c r="L56" i="99" s="1"/>
  <c r="G68" i="99"/>
  <c r="L68" i="99" s="1"/>
  <c r="G33" i="99"/>
  <c r="L33" i="99" s="1"/>
  <c r="G53" i="99"/>
  <c r="L53" i="99" s="1"/>
  <c r="G77" i="99"/>
  <c r="L77" i="99" s="1"/>
  <c r="G24" i="99"/>
  <c r="L24" i="99" s="1"/>
  <c r="G32" i="99"/>
  <c r="L32" i="99" s="1"/>
  <c r="G40" i="99"/>
  <c r="L40" i="99" s="1"/>
  <c r="G76" i="99"/>
  <c r="L76" i="99" s="1"/>
  <c r="G37" i="99"/>
  <c r="L37" i="99" s="1"/>
  <c r="G61" i="99"/>
  <c r="L61" i="99" s="1"/>
  <c r="G39" i="99"/>
  <c r="L39" i="99" s="1"/>
  <c r="G85" i="99"/>
  <c r="L85" i="99" s="1"/>
  <c r="G88" i="99"/>
  <c r="L88" i="99" s="1"/>
  <c r="G87" i="99"/>
  <c r="L87" i="99" s="1"/>
  <c r="G19" i="99"/>
  <c r="L19" i="99" s="1"/>
  <c r="G18" i="99"/>
  <c r="L18" i="99" s="1"/>
  <c r="G26" i="99"/>
  <c r="L26" i="99" s="1"/>
  <c r="G34" i="99"/>
  <c r="L34" i="99" s="1"/>
  <c r="G42" i="99"/>
  <c r="L42" i="99" s="1"/>
  <c r="G50" i="99"/>
  <c r="L50" i="99" s="1"/>
  <c r="G58" i="99"/>
  <c r="L58" i="99" s="1"/>
  <c r="G66" i="99"/>
  <c r="L66" i="99" s="1"/>
  <c r="G74" i="99"/>
  <c r="L74" i="99" s="1"/>
  <c r="G82" i="99"/>
  <c r="L82" i="99" s="1"/>
  <c r="G52" i="99"/>
  <c r="L52" i="99" s="1"/>
  <c r="G72" i="99"/>
  <c r="L72" i="99" s="1"/>
  <c r="G29" i="99"/>
  <c r="L29" i="99" s="1"/>
  <c r="G69" i="99"/>
  <c r="L69" i="99" s="1"/>
  <c r="G23" i="99"/>
  <c r="L23" i="99" s="1"/>
  <c r="G31" i="99"/>
  <c r="L31" i="99" s="1"/>
  <c r="G43" i="99"/>
  <c r="L43" i="99" s="1"/>
  <c r="G51" i="99"/>
  <c r="L51" i="99" s="1"/>
  <c r="G59" i="99"/>
  <c r="L59" i="99" s="1"/>
  <c r="G67" i="99"/>
  <c r="L67" i="99" s="1"/>
  <c r="G75" i="99"/>
  <c r="L75" i="99" s="1"/>
  <c r="G48" i="99"/>
  <c r="L48" i="99" s="1"/>
  <c r="G60" i="99"/>
  <c r="L60" i="99" s="1"/>
  <c r="G84" i="99"/>
  <c r="L84" i="99" s="1"/>
  <c r="G21" i="99"/>
  <c r="L21" i="99" s="1"/>
  <c r="G45" i="99"/>
  <c r="L45" i="99" s="1"/>
  <c r="G65" i="99"/>
  <c r="L65" i="99" s="1"/>
  <c r="G20" i="99"/>
  <c r="L20" i="99" s="1"/>
  <c r="G28" i="99"/>
  <c r="L28" i="99" s="1"/>
  <c r="G36" i="99"/>
  <c r="L36" i="99" s="1"/>
  <c r="G44" i="99"/>
  <c r="L44" i="99" s="1"/>
  <c r="G25" i="99"/>
  <c r="L25" i="99" s="1"/>
  <c r="G49" i="99"/>
  <c r="L49" i="99" s="1"/>
  <c r="G73" i="99"/>
  <c r="L73" i="99" s="1"/>
  <c r="U10" i="9" l="1"/>
  <c r="M16" i="151"/>
  <c r="J49" i="99"/>
  <c r="J44" i="99"/>
  <c r="J67" i="99"/>
  <c r="J74" i="99"/>
  <c r="J77" i="99"/>
  <c r="J35" i="99"/>
  <c r="J54" i="99"/>
  <c r="J86" i="99"/>
  <c r="J25" i="99"/>
  <c r="J36" i="99"/>
  <c r="J21" i="99"/>
  <c r="J60" i="99"/>
  <c r="J59" i="99"/>
  <c r="J23" i="99"/>
  <c r="J69" i="99"/>
  <c r="J72" i="99"/>
  <c r="J66" i="99"/>
  <c r="J34" i="99"/>
  <c r="J37" i="99"/>
  <c r="J76" i="99"/>
  <c r="J53" i="99"/>
  <c r="J68" i="99"/>
  <c r="J63" i="99"/>
  <c r="J27" i="99"/>
  <c r="J81" i="99"/>
  <c r="J78" i="99"/>
  <c r="J46" i="99"/>
  <c r="J41" i="99"/>
  <c r="J28" i="99"/>
  <c r="J48" i="99"/>
  <c r="J51" i="99"/>
  <c r="J29" i="99"/>
  <c r="J52" i="99"/>
  <c r="J58" i="99"/>
  <c r="J26" i="99"/>
  <c r="J85" i="99"/>
  <c r="J40" i="99"/>
  <c r="J33" i="99"/>
  <c r="J56" i="99"/>
  <c r="J55" i="99"/>
  <c r="J57" i="99"/>
  <c r="J80" i="99"/>
  <c r="J70" i="99"/>
  <c r="J38" i="99"/>
  <c r="J45" i="99"/>
  <c r="J84" i="99"/>
  <c r="J31" i="99"/>
  <c r="J42" i="99"/>
  <c r="J61" i="99"/>
  <c r="J24" i="99"/>
  <c r="J71" i="99"/>
  <c r="J79" i="99"/>
  <c r="J22" i="99"/>
  <c r="J73" i="99"/>
  <c r="J20" i="99"/>
  <c r="J65" i="99"/>
  <c r="J75" i="99"/>
  <c r="J43" i="99"/>
  <c r="J82" i="99"/>
  <c r="J50" i="99"/>
  <c r="J18" i="99"/>
  <c r="J19" i="99"/>
  <c r="J39" i="99"/>
  <c r="J32" i="99"/>
  <c r="J83" i="99"/>
  <c r="J47" i="99"/>
  <c r="J64" i="99"/>
  <c r="J62" i="99"/>
  <c r="J30" i="99"/>
  <c r="AJ8" i="151"/>
  <c r="AA11" i="151" s="1"/>
  <c r="M163" i="151" s="1"/>
  <c r="AM161" i="128"/>
  <c r="AM166" i="128" s="1"/>
  <c r="J87" i="99"/>
  <c r="J88" i="99"/>
  <c r="K16" i="151"/>
  <c r="AB11" i="101"/>
  <c r="H19" i="154"/>
  <c r="G19" i="154"/>
  <c r="G15" i="154" s="1"/>
  <c r="H17" i="154"/>
  <c r="H16" i="154"/>
  <c r="K87" i="151"/>
  <c r="I609" i="170" s="1"/>
  <c r="K609" i="170" s="1"/>
  <c r="K88" i="151"/>
  <c r="C626" i="170" s="1"/>
  <c r="E626" i="170" s="1"/>
  <c r="K85" i="151"/>
  <c r="I592" i="170" s="1"/>
  <c r="K592" i="170" s="1"/>
  <c r="K86" i="151"/>
  <c r="C609" i="170" s="1"/>
  <c r="E609" i="170" s="1"/>
  <c r="G14" i="132" l="1"/>
  <c r="J60" i="101"/>
  <c r="J79" i="101"/>
  <c r="L79" i="101" s="1"/>
  <c r="K163" i="151"/>
  <c r="M149" i="151"/>
  <c r="M160" i="151"/>
  <c r="M136" i="151"/>
  <c r="M135" i="151"/>
  <c r="M127" i="151"/>
  <c r="M129" i="151"/>
  <c r="M143" i="151"/>
  <c r="M123" i="151"/>
  <c r="M108" i="151"/>
  <c r="M114" i="151"/>
  <c r="M116" i="151"/>
  <c r="M147" i="151"/>
  <c r="M117" i="151"/>
  <c r="M152" i="151"/>
  <c r="M110" i="151"/>
  <c r="M159" i="151"/>
  <c r="M118" i="151"/>
  <c r="M144" i="151"/>
  <c r="M148" i="151"/>
  <c r="M121" i="151"/>
  <c r="M112" i="151"/>
  <c r="M162" i="151"/>
  <c r="M131" i="151"/>
  <c r="M130" i="151"/>
  <c r="M154" i="151"/>
  <c r="M153" i="151"/>
  <c r="M140" i="151"/>
  <c r="M150" i="151"/>
  <c r="M151" i="151"/>
  <c r="M119" i="151"/>
  <c r="M113" i="151"/>
  <c r="M106" i="151"/>
  <c r="M126" i="151"/>
  <c r="M133" i="151"/>
  <c r="M134" i="151"/>
  <c r="M145" i="151"/>
  <c r="M146" i="151"/>
  <c r="M125" i="151"/>
  <c r="M141" i="151"/>
  <c r="M137" i="151"/>
  <c r="M128" i="151"/>
  <c r="M105" i="151"/>
  <c r="M157" i="151"/>
  <c r="M156" i="151"/>
  <c r="M107" i="151"/>
  <c r="M120" i="151"/>
  <c r="M132" i="151"/>
  <c r="M103" i="151"/>
  <c r="M142" i="151"/>
  <c r="M104" i="151"/>
  <c r="M158" i="151"/>
  <c r="M161" i="151"/>
  <c r="M111" i="151"/>
  <c r="M122" i="151"/>
  <c r="M124" i="151"/>
  <c r="M109" i="151"/>
  <c r="M139" i="151"/>
  <c r="M138" i="151"/>
  <c r="M155" i="151"/>
  <c r="M115" i="151"/>
  <c r="K618" i="170"/>
  <c r="L670" i="170"/>
  <c r="K121" i="151"/>
  <c r="AA194" i="128"/>
  <c r="T194" i="128"/>
  <c r="T193" i="128"/>
  <c r="T189" i="128" s="1"/>
  <c r="E635" i="170"/>
  <c r="L635" i="170" s="1"/>
  <c r="E618" i="170"/>
  <c r="K601" i="170"/>
  <c r="K129" i="151"/>
  <c r="K123" i="151"/>
  <c r="K156" i="151"/>
  <c r="K146" i="151"/>
  <c r="K137" i="151"/>
  <c r="K138" i="151"/>
  <c r="K149" i="151"/>
  <c r="K118" i="151"/>
  <c r="K154" i="151"/>
  <c r="K159" i="151"/>
  <c r="K108" i="151"/>
  <c r="K139" i="151"/>
  <c r="K151" i="151"/>
  <c r="K132" i="151"/>
  <c r="K147" i="151"/>
  <c r="K111" i="151"/>
  <c r="K106" i="151"/>
  <c r="J66" i="101"/>
  <c r="J75" i="101"/>
  <c r="J65" i="101"/>
  <c r="K122" i="151"/>
  <c r="K110" i="151"/>
  <c r="K136" i="151"/>
  <c r="K158" i="151"/>
  <c r="K131" i="151"/>
  <c r="K112" i="151"/>
  <c r="K105" i="151"/>
  <c r="J43" i="101"/>
  <c r="J33" i="101"/>
  <c r="J34" i="101"/>
  <c r="J28" i="101"/>
  <c r="K120" i="151"/>
  <c r="K126" i="151"/>
  <c r="K145" i="151"/>
  <c r="K133" i="151"/>
  <c r="J59" i="101"/>
  <c r="J27" i="101"/>
  <c r="J50" i="101"/>
  <c r="J21" i="101"/>
  <c r="J49" i="101"/>
  <c r="J76" i="101"/>
  <c r="J44" i="101"/>
  <c r="K127" i="151"/>
  <c r="K142" i="151"/>
  <c r="K125" i="151"/>
  <c r="K107" i="151"/>
  <c r="K104" i="151"/>
  <c r="K119" i="151"/>
  <c r="K141" i="151"/>
  <c r="K113" i="151"/>
  <c r="K143" i="151"/>
  <c r="K124" i="151"/>
  <c r="K109" i="151"/>
  <c r="K115" i="151"/>
  <c r="K130" i="151"/>
  <c r="K144" i="151"/>
  <c r="K148" i="151"/>
  <c r="K153" i="151"/>
  <c r="J23" i="101"/>
  <c r="J51" i="101"/>
  <c r="J74" i="101"/>
  <c r="J42" i="101"/>
  <c r="J73" i="101"/>
  <c r="J41" i="101"/>
  <c r="J68" i="101"/>
  <c r="J36" i="101"/>
  <c r="J67" i="101"/>
  <c r="J35" i="101"/>
  <c r="J58" i="101"/>
  <c r="J26" i="101"/>
  <c r="J57" i="101"/>
  <c r="J25" i="101"/>
  <c r="J52" i="101"/>
  <c r="K140" i="151"/>
  <c r="K155" i="151"/>
  <c r="K152" i="151"/>
  <c r="K117" i="151"/>
  <c r="K103" i="151"/>
  <c r="K114" i="151"/>
  <c r="K128" i="151"/>
  <c r="K135" i="151"/>
  <c r="K116" i="151"/>
  <c r="K157" i="151"/>
  <c r="K150" i="151"/>
  <c r="K134" i="151"/>
  <c r="K162" i="151"/>
  <c r="K160" i="151"/>
  <c r="K161" i="151"/>
  <c r="J19" i="101"/>
  <c r="J63" i="101"/>
  <c r="J47" i="101"/>
  <c r="J31" i="101"/>
  <c r="J70" i="101"/>
  <c r="J54" i="101"/>
  <c r="J38" i="101"/>
  <c r="Z13" i="101"/>
  <c r="J69" i="101"/>
  <c r="J53" i="101"/>
  <c r="J37" i="101"/>
  <c r="J20" i="101"/>
  <c r="J64" i="101"/>
  <c r="J48" i="101"/>
  <c r="J32" i="101"/>
  <c r="J78" i="101"/>
  <c r="J71" i="101"/>
  <c r="J55" i="101"/>
  <c r="J39" i="101"/>
  <c r="J22" i="101"/>
  <c r="J62" i="101"/>
  <c r="J46" i="101"/>
  <c r="J30" i="101"/>
  <c r="J77" i="101"/>
  <c r="J61" i="101"/>
  <c r="J45" i="101"/>
  <c r="J29" i="101"/>
  <c r="J72" i="101"/>
  <c r="J56" i="101"/>
  <c r="J40" i="101"/>
  <c r="J24" i="101"/>
  <c r="C10" i="170"/>
  <c r="E10" i="170" s="1"/>
  <c r="H15" i="154"/>
  <c r="X79" i="101" l="1"/>
  <c r="K164" i="151"/>
  <c r="M164" i="151" s="1"/>
  <c r="Y164" i="151" s="1"/>
  <c r="AA164" i="151" s="1"/>
  <c r="L77" i="101"/>
  <c r="L76" i="101"/>
  <c r="L78" i="101"/>
  <c r="L75" i="101"/>
  <c r="L61" i="101"/>
  <c r="L74" i="101"/>
  <c r="L49" i="101"/>
  <c r="L66" i="101"/>
  <c r="L43" i="101"/>
  <c r="L53" i="101"/>
  <c r="L65" i="101"/>
  <c r="L35" i="101"/>
  <c r="L44" i="101"/>
  <c r="L57" i="101"/>
  <c r="L24" i="101"/>
  <c r="L69" i="101"/>
  <c r="L71" i="101"/>
  <c r="L51" i="101"/>
  <c r="L39" i="101"/>
  <c r="L42" i="101"/>
  <c r="L60" i="101"/>
  <c r="L34" i="101"/>
  <c r="L25" i="101"/>
  <c r="L20" i="101"/>
  <c r="L64" i="101"/>
  <c r="L62" i="101"/>
  <c r="L37" i="101"/>
  <c r="L50" i="101"/>
  <c r="L73" i="101"/>
  <c r="L54" i="101"/>
  <c r="L36" i="101"/>
  <c r="L19" i="101"/>
  <c r="L68" i="101"/>
  <c r="L21" i="101"/>
  <c r="L28" i="101"/>
  <c r="L72" i="101"/>
  <c r="L70" i="101"/>
  <c r="L58" i="101"/>
  <c r="L32" i="101"/>
  <c r="L30" i="101"/>
  <c r="L63" i="101"/>
  <c r="L41" i="101"/>
  <c r="L59" i="101"/>
  <c r="L22" i="101"/>
  <c r="L55" i="101"/>
  <c r="L45" i="101"/>
  <c r="L23" i="101"/>
  <c r="L48" i="101"/>
  <c r="L47" i="101"/>
  <c r="L40" i="101"/>
  <c r="L38" i="101"/>
  <c r="L26" i="101"/>
  <c r="L67" i="101"/>
  <c r="L29" i="101"/>
  <c r="L31" i="101"/>
  <c r="L56" i="101"/>
  <c r="L27" i="101"/>
  <c r="L52" i="101"/>
  <c r="L33" i="101"/>
  <c r="L46" i="101"/>
  <c r="T195" i="128"/>
  <c r="AA191" i="128"/>
  <c r="AA193" i="128"/>
  <c r="AA188" i="128"/>
  <c r="AA190" i="128"/>
  <c r="L618" i="170"/>
  <c r="AA189" i="128" l="1"/>
  <c r="AH192" i="128" s="1"/>
  <c r="AH191" i="128" l="1"/>
  <c r="AH190" i="128"/>
  <c r="Q192" i="128"/>
  <c r="Q191" i="128"/>
  <c r="Q190" i="128"/>
  <c r="AA195" i="128"/>
  <c r="AH193" i="128"/>
  <c r="Q186" i="128" l="1"/>
  <c r="Q193" i="128"/>
  <c r="AH189" i="128"/>
  <c r="Q185" i="128"/>
  <c r="Q182" i="128" l="1"/>
  <c r="Q189" i="128"/>
  <c r="G20" i="79" l="1"/>
  <c r="N3" i="9"/>
  <c r="AC12" i="9"/>
  <c r="T12" i="9"/>
  <c r="AC13" i="9"/>
  <c r="T13" i="9"/>
  <c r="I18" i="151" s="1"/>
  <c r="AC14" i="9"/>
  <c r="T14" i="9"/>
  <c r="I19" i="151" s="1"/>
  <c r="AC15" i="9"/>
  <c r="T15" i="9"/>
  <c r="I20" i="151" s="1"/>
  <c r="AC16" i="9"/>
  <c r="T16" i="9"/>
  <c r="I21" i="151" s="1"/>
  <c r="AC17" i="9"/>
  <c r="T17" i="9"/>
  <c r="I22" i="151" s="1"/>
  <c r="AC18" i="9"/>
  <c r="T18" i="9"/>
  <c r="I23" i="151" s="1"/>
  <c r="AC19" i="9"/>
  <c r="T19" i="9"/>
  <c r="I24" i="151" s="1"/>
  <c r="AC20" i="9"/>
  <c r="T20" i="9"/>
  <c r="I25" i="151" s="1"/>
  <c r="AC21" i="9"/>
  <c r="T21" i="9"/>
  <c r="I26" i="151" s="1"/>
  <c r="AC22" i="9"/>
  <c r="T22" i="9"/>
  <c r="I27" i="151" s="1"/>
  <c r="AC23" i="9"/>
  <c r="T23" i="9"/>
  <c r="I28" i="151" s="1"/>
  <c r="AC24" i="9"/>
  <c r="T24" i="9"/>
  <c r="I29" i="151" s="1"/>
  <c r="AC25" i="9"/>
  <c r="T25" i="9"/>
  <c r="I30" i="151" s="1"/>
  <c r="AC26" i="9"/>
  <c r="T26" i="9"/>
  <c r="I31" i="151" s="1"/>
  <c r="AC27" i="9"/>
  <c r="T27" i="9"/>
  <c r="I32" i="151" s="1"/>
  <c r="AC28" i="9"/>
  <c r="T28" i="9"/>
  <c r="I33" i="151" s="1"/>
  <c r="AC29" i="9"/>
  <c r="T29" i="9"/>
  <c r="I34" i="151" s="1"/>
  <c r="AC30" i="9"/>
  <c r="T30" i="9"/>
  <c r="I35" i="151" s="1"/>
  <c r="AC31" i="9"/>
  <c r="T31" i="9"/>
  <c r="I36" i="151" s="1"/>
  <c r="AC32" i="9"/>
  <c r="T32" i="9"/>
  <c r="I37" i="151" s="1"/>
  <c r="AC33" i="9"/>
  <c r="T33" i="9"/>
  <c r="I38" i="151" s="1"/>
  <c r="AC34" i="9"/>
  <c r="T34" i="9"/>
  <c r="I39" i="151" s="1"/>
  <c r="AC35" i="9"/>
  <c r="T35" i="9"/>
  <c r="I40" i="151" s="1"/>
  <c r="AC36" i="9"/>
  <c r="T36" i="9"/>
  <c r="I41" i="151" s="1"/>
  <c r="AC37" i="9"/>
  <c r="T37" i="9"/>
  <c r="I42" i="151" s="1"/>
  <c r="AC38" i="9"/>
  <c r="T38" i="9"/>
  <c r="I43" i="151" s="1"/>
  <c r="AC39" i="9"/>
  <c r="T39" i="9"/>
  <c r="I44" i="151" s="1"/>
  <c r="AC40" i="9"/>
  <c r="T40" i="9"/>
  <c r="I45" i="151" s="1"/>
  <c r="AC41" i="9"/>
  <c r="T41" i="9"/>
  <c r="I46" i="151" s="1"/>
  <c r="AC42" i="9"/>
  <c r="T42" i="9"/>
  <c r="I47" i="151" s="1"/>
  <c r="AC43" i="9"/>
  <c r="T43" i="9"/>
  <c r="I48" i="151" s="1"/>
  <c r="AC44" i="9"/>
  <c r="T44" i="9"/>
  <c r="I49" i="151" s="1"/>
  <c r="AC45" i="9"/>
  <c r="T45" i="9"/>
  <c r="I50" i="151" s="1"/>
  <c r="AC46" i="9"/>
  <c r="T46" i="9"/>
  <c r="I51" i="151" s="1"/>
  <c r="AC47" i="9"/>
  <c r="T47" i="9"/>
  <c r="I52" i="151" s="1"/>
  <c r="AC48" i="9"/>
  <c r="T48" i="9"/>
  <c r="I53" i="151" s="1"/>
  <c r="AC49" i="9"/>
  <c r="T49" i="9"/>
  <c r="I54" i="151" s="1"/>
  <c r="AC50" i="9"/>
  <c r="T50" i="9"/>
  <c r="I55" i="151" s="1"/>
  <c r="AC51" i="9"/>
  <c r="T51" i="9"/>
  <c r="I56" i="151" s="1"/>
  <c r="AC52" i="9"/>
  <c r="T52" i="9"/>
  <c r="I57" i="151" s="1"/>
  <c r="AC53" i="9"/>
  <c r="T53" i="9"/>
  <c r="I58" i="151" s="1"/>
  <c r="AC54" i="9"/>
  <c r="T54" i="9"/>
  <c r="I59" i="151" s="1"/>
  <c r="AC55" i="9"/>
  <c r="T55" i="9"/>
  <c r="I60" i="151" s="1"/>
  <c r="AC56" i="9"/>
  <c r="T56" i="9"/>
  <c r="I61" i="151" s="1"/>
  <c r="AC57" i="9"/>
  <c r="T57" i="9"/>
  <c r="I62" i="151" s="1"/>
  <c r="AC58" i="9"/>
  <c r="T58" i="9"/>
  <c r="I63" i="151" s="1"/>
  <c r="AC59" i="9"/>
  <c r="T59" i="9"/>
  <c r="I64" i="151" s="1"/>
  <c r="AC60" i="9"/>
  <c r="T60" i="9"/>
  <c r="I65" i="151" s="1"/>
  <c r="AC61" i="9"/>
  <c r="T61" i="9"/>
  <c r="I66" i="151" s="1"/>
  <c r="AC62" i="9"/>
  <c r="T62" i="9"/>
  <c r="I67" i="151" s="1"/>
  <c r="AC63" i="9"/>
  <c r="T63" i="9"/>
  <c r="I68" i="151" s="1"/>
  <c r="AC64" i="9"/>
  <c r="T64" i="9"/>
  <c r="I69" i="151" s="1"/>
  <c r="AC65" i="9"/>
  <c r="T65" i="9"/>
  <c r="I70" i="151" s="1"/>
  <c r="AC66" i="9"/>
  <c r="T66" i="9"/>
  <c r="I71" i="151" s="1"/>
  <c r="AC67" i="9"/>
  <c r="T67" i="9"/>
  <c r="I72" i="151" s="1"/>
  <c r="AC68" i="9"/>
  <c r="T68" i="9"/>
  <c r="I73" i="151" s="1"/>
  <c r="AC69" i="9"/>
  <c r="T69" i="9"/>
  <c r="I74" i="151" s="1"/>
  <c r="T70" i="9"/>
  <c r="I75" i="151" s="1"/>
  <c r="AC71" i="9"/>
  <c r="T71" i="9"/>
  <c r="I76" i="151" s="1"/>
  <c r="AC72" i="9"/>
  <c r="T72" i="9"/>
  <c r="I77" i="151" s="1"/>
  <c r="AC73" i="9"/>
  <c r="T73" i="9"/>
  <c r="I78" i="151" s="1"/>
  <c r="AC74" i="9"/>
  <c r="T74" i="9"/>
  <c r="I79" i="151" s="1"/>
  <c r="AC75" i="9"/>
  <c r="T75" i="9"/>
  <c r="I80" i="151" s="1"/>
  <c r="AC76" i="9"/>
  <c r="T76" i="9"/>
  <c r="I81" i="151" s="1"/>
  <c r="AC77" i="9"/>
  <c r="T77" i="9"/>
  <c r="I82" i="151" s="1"/>
  <c r="AC78" i="9"/>
  <c r="T78" i="9"/>
  <c r="I83" i="151" s="1"/>
  <c r="AC79" i="9"/>
  <c r="AC10" i="9" s="1"/>
  <c r="T79" i="9"/>
  <c r="I84" i="151" s="1"/>
  <c r="AF101" i="9"/>
  <c r="C97" i="9"/>
  <c r="T97" i="9"/>
  <c r="AC99" i="9"/>
  <c r="AC100" i="9"/>
  <c r="AC101" i="9"/>
  <c r="AC102" i="9"/>
  <c r="AG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C132" i="9"/>
  <c r="AC133" i="9"/>
  <c r="AC134" i="9"/>
  <c r="AC135" i="9"/>
  <c r="AC136" i="9"/>
  <c r="AC137" i="9"/>
  <c r="AC138" i="9"/>
  <c r="AC139" i="9"/>
  <c r="AC140" i="9"/>
  <c r="AG140" i="9"/>
  <c r="AC141" i="9"/>
  <c r="AC142" i="9"/>
  <c r="AC143" i="9"/>
  <c r="AC144" i="9"/>
  <c r="AC145" i="9"/>
  <c r="AC146" i="9"/>
  <c r="AC147" i="9"/>
  <c r="AC148" i="9"/>
  <c r="AC149" i="9"/>
  <c r="AC150" i="9"/>
  <c r="AC151" i="9"/>
  <c r="AC152" i="9"/>
  <c r="AC153" i="9"/>
  <c r="O163" i="9"/>
  <c r="AF163" i="9"/>
  <c r="AG164" i="9"/>
  <c r="AH169" i="9"/>
  <c r="AH170" i="9" s="1"/>
  <c r="AI169" i="9"/>
  <c r="AI170" i="9" s="1"/>
  <c r="AJ169" i="9"/>
  <c r="AJ170" i="9" s="1"/>
  <c r="AK169" i="9"/>
  <c r="AK170" i="9" s="1"/>
  <c r="AO172" i="9"/>
  <c r="C157" i="99"/>
  <c r="O157" i="99"/>
  <c r="F177" i="99"/>
  <c r="F179" i="99"/>
  <c r="W198" i="99"/>
  <c r="W199" i="99"/>
  <c r="W200" i="99"/>
  <c r="W145" i="101"/>
  <c r="W146" i="101"/>
  <c r="W147" i="101"/>
  <c r="R97" i="9" l="1"/>
  <c r="R96" i="9" s="1"/>
  <c r="AD97" i="9"/>
  <c r="M74" i="151"/>
  <c r="G72" i="132" s="1"/>
  <c r="I72" i="132" s="1"/>
  <c r="M70" i="151"/>
  <c r="G68" i="132" s="1"/>
  <c r="I68" i="132" s="1"/>
  <c r="M66" i="151"/>
  <c r="G64" i="132" s="1"/>
  <c r="I64" i="132" s="1"/>
  <c r="M62" i="151"/>
  <c r="G60" i="132" s="1"/>
  <c r="I60" i="132" s="1"/>
  <c r="M58" i="151"/>
  <c r="G56" i="132" s="1"/>
  <c r="I56" i="132" s="1"/>
  <c r="M54" i="151"/>
  <c r="G52" i="132" s="1"/>
  <c r="I52" i="132" s="1"/>
  <c r="M50" i="151"/>
  <c r="G48" i="132" s="1"/>
  <c r="I48" i="132" s="1"/>
  <c r="M46" i="151"/>
  <c r="G44" i="132" s="1"/>
  <c r="I44" i="132" s="1"/>
  <c r="M42" i="151"/>
  <c r="G40" i="132" s="1"/>
  <c r="I40" i="132" s="1"/>
  <c r="M38" i="151"/>
  <c r="G36" i="132" s="1"/>
  <c r="I36" i="132" s="1"/>
  <c r="M34" i="151"/>
  <c r="G32" i="132" s="1"/>
  <c r="I32" i="132" s="1"/>
  <c r="M32" i="151"/>
  <c r="G30" i="132" s="1"/>
  <c r="I30" i="132" s="1"/>
  <c r="M28" i="151"/>
  <c r="G26" i="132" s="1"/>
  <c r="I26" i="132" s="1"/>
  <c r="M26" i="151"/>
  <c r="G24" i="132" s="1"/>
  <c r="I24" i="132" s="1"/>
  <c r="M24" i="151"/>
  <c r="G22" i="132" s="1"/>
  <c r="I22" i="132" s="1"/>
  <c r="M22" i="151"/>
  <c r="G20" i="132" s="1"/>
  <c r="I20" i="132" s="1"/>
  <c r="M20" i="151"/>
  <c r="G18" i="132" s="1"/>
  <c r="I18" i="132" s="1"/>
  <c r="M18" i="151"/>
  <c r="G16" i="132" s="1"/>
  <c r="I16" i="132" s="1"/>
  <c r="M72" i="151"/>
  <c r="G70" i="132" s="1"/>
  <c r="I70" i="132" s="1"/>
  <c r="M68" i="151"/>
  <c r="G66" i="132" s="1"/>
  <c r="I66" i="132" s="1"/>
  <c r="M64" i="151"/>
  <c r="G62" i="132" s="1"/>
  <c r="I62" i="132" s="1"/>
  <c r="M60" i="151"/>
  <c r="G58" i="132" s="1"/>
  <c r="I58" i="132" s="1"/>
  <c r="M56" i="151"/>
  <c r="G54" i="132" s="1"/>
  <c r="I54" i="132" s="1"/>
  <c r="M52" i="151"/>
  <c r="G50" i="132" s="1"/>
  <c r="I50" i="132" s="1"/>
  <c r="M48" i="151"/>
  <c r="G46" i="132" s="1"/>
  <c r="I46" i="132" s="1"/>
  <c r="M44" i="151"/>
  <c r="G42" i="132" s="1"/>
  <c r="I42" i="132" s="1"/>
  <c r="M40" i="151"/>
  <c r="G38" i="132" s="1"/>
  <c r="I38" i="132" s="1"/>
  <c r="M36" i="151"/>
  <c r="G34" i="132" s="1"/>
  <c r="I34" i="132" s="1"/>
  <c r="M30" i="151"/>
  <c r="G28" i="132" s="1"/>
  <c r="I28" i="132" s="1"/>
  <c r="M84" i="151"/>
  <c r="M82" i="151"/>
  <c r="G80" i="132" s="1"/>
  <c r="I80" i="132" s="1"/>
  <c r="M80" i="151"/>
  <c r="G78" i="132" s="1"/>
  <c r="I78" i="132" s="1"/>
  <c r="M78" i="151"/>
  <c r="G76" i="132" s="1"/>
  <c r="I76" i="132" s="1"/>
  <c r="M76" i="151"/>
  <c r="G74" i="132" s="1"/>
  <c r="I74" i="132" s="1"/>
  <c r="M69" i="151"/>
  <c r="G67" i="132" s="1"/>
  <c r="I67" i="132" s="1"/>
  <c r="M65" i="151"/>
  <c r="G63" i="132" s="1"/>
  <c r="I63" i="132" s="1"/>
  <c r="M63" i="151"/>
  <c r="G61" i="132" s="1"/>
  <c r="I61" i="132" s="1"/>
  <c r="M59" i="151"/>
  <c r="G57" i="132" s="1"/>
  <c r="I57" i="132" s="1"/>
  <c r="M55" i="151"/>
  <c r="G53" i="132" s="1"/>
  <c r="I53" i="132" s="1"/>
  <c r="M51" i="151"/>
  <c r="G49" i="132" s="1"/>
  <c r="I49" i="132" s="1"/>
  <c r="M47" i="151"/>
  <c r="G45" i="132" s="1"/>
  <c r="I45" i="132" s="1"/>
  <c r="M43" i="151"/>
  <c r="G41" i="132" s="1"/>
  <c r="I41" i="132" s="1"/>
  <c r="M41" i="151"/>
  <c r="G39" i="132" s="1"/>
  <c r="I39" i="132" s="1"/>
  <c r="M37" i="151"/>
  <c r="G35" i="132" s="1"/>
  <c r="I35" i="132" s="1"/>
  <c r="M33" i="151"/>
  <c r="G31" i="132" s="1"/>
  <c r="I31" i="132" s="1"/>
  <c r="M29" i="151"/>
  <c r="G27" i="132" s="1"/>
  <c r="I27" i="132" s="1"/>
  <c r="M27" i="151"/>
  <c r="G25" i="132" s="1"/>
  <c r="I25" i="132" s="1"/>
  <c r="M25" i="151"/>
  <c r="G23" i="132" s="1"/>
  <c r="I23" i="132" s="1"/>
  <c r="M23" i="151"/>
  <c r="G21" i="132" s="1"/>
  <c r="I21" i="132" s="1"/>
  <c r="M21" i="151"/>
  <c r="G19" i="132" s="1"/>
  <c r="I19" i="132" s="1"/>
  <c r="M19" i="151"/>
  <c r="G17" i="132" s="1"/>
  <c r="I17" i="132" s="1"/>
  <c r="M73" i="151"/>
  <c r="G71" i="132" s="1"/>
  <c r="I71" i="132" s="1"/>
  <c r="M71" i="151"/>
  <c r="G69" i="132" s="1"/>
  <c r="I69" i="132" s="1"/>
  <c r="M67" i="151"/>
  <c r="G65" i="132" s="1"/>
  <c r="I65" i="132" s="1"/>
  <c r="M61" i="151"/>
  <c r="G59" i="132" s="1"/>
  <c r="I59" i="132" s="1"/>
  <c r="M57" i="151"/>
  <c r="G55" i="132" s="1"/>
  <c r="I55" i="132" s="1"/>
  <c r="M53" i="151"/>
  <c r="G51" i="132" s="1"/>
  <c r="I51" i="132" s="1"/>
  <c r="M49" i="151"/>
  <c r="G47" i="132" s="1"/>
  <c r="I47" i="132" s="1"/>
  <c r="M45" i="151"/>
  <c r="G43" i="132" s="1"/>
  <c r="I43" i="132" s="1"/>
  <c r="M39" i="151"/>
  <c r="G37" i="132" s="1"/>
  <c r="I37" i="132" s="1"/>
  <c r="M35" i="151"/>
  <c r="G33" i="132" s="1"/>
  <c r="I33" i="132" s="1"/>
  <c r="M31" i="151"/>
  <c r="G29" i="132" s="1"/>
  <c r="I29" i="132" s="1"/>
  <c r="M83" i="151"/>
  <c r="G81" i="132" s="1"/>
  <c r="I81" i="132" s="1"/>
  <c r="M81" i="151"/>
  <c r="G79" i="132" s="1"/>
  <c r="I79" i="132" s="1"/>
  <c r="M79" i="151"/>
  <c r="G77" i="132" s="1"/>
  <c r="I77" i="132" s="1"/>
  <c r="M77" i="151"/>
  <c r="G75" i="132" s="1"/>
  <c r="I75" i="132" s="1"/>
  <c r="M75" i="151"/>
  <c r="G73" i="132" s="1"/>
  <c r="I73" i="132" s="1"/>
  <c r="T9" i="9"/>
  <c r="O80" i="101"/>
  <c r="T80" i="101" s="1"/>
  <c r="X97" i="9"/>
  <c r="X96" i="9" s="1"/>
  <c r="W97" i="9"/>
  <c r="W96" i="9" s="1"/>
  <c r="O23" i="101"/>
  <c r="T23" i="101" s="1"/>
  <c r="O25" i="101"/>
  <c r="T25" i="101" s="1"/>
  <c r="O58" i="101"/>
  <c r="T58" i="101" s="1"/>
  <c r="O52" i="101"/>
  <c r="T52" i="101" s="1"/>
  <c r="O27" i="101"/>
  <c r="T27" i="101" s="1"/>
  <c r="O41" i="101"/>
  <c r="T41" i="101" s="1"/>
  <c r="O62" i="101"/>
  <c r="T62" i="101" s="1"/>
  <c r="O28" i="101"/>
  <c r="T28" i="101" s="1"/>
  <c r="O47" i="101"/>
  <c r="T47" i="101" s="1"/>
  <c r="O50" i="101"/>
  <c r="T50" i="101" s="1"/>
  <c r="O36" i="101"/>
  <c r="T36" i="101" s="1"/>
  <c r="O35" i="101"/>
  <c r="T35" i="101" s="1"/>
  <c r="O56" i="101"/>
  <c r="T56" i="101" s="1"/>
  <c r="O22" i="101"/>
  <c r="T22" i="101" s="1"/>
  <c r="O69" i="101"/>
  <c r="T69" i="101" s="1"/>
  <c r="P128" i="151"/>
  <c r="U128" i="151" s="1"/>
  <c r="P160" i="151"/>
  <c r="U160" i="151" s="1"/>
  <c r="P158" i="151"/>
  <c r="U158" i="151" s="1"/>
  <c r="P157" i="151"/>
  <c r="U157" i="151" s="1"/>
  <c r="P123" i="151"/>
  <c r="U123" i="151" s="1"/>
  <c r="P155" i="151"/>
  <c r="U155" i="151" s="1"/>
  <c r="P138" i="151"/>
  <c r="U138" i="151" s="1"/>
  <c r="P145" i="151"/>
  <c r="U145" i="151" s="1"/>
  <c r="P116" i="151"/>
  <c r="U116" i="151" s="1"/>
  <c r="P148" i="151"/>
  <c r="U148" i="151" s="1"/>
  <c r="P105" i="151"/>
  <c r="U105" i="151" s="1"/>
  <c r="P111" i="151"/>
  <c r="U111" i="151" s="1"/>
  <c r="P143" i="151"/>
  <c r="U143" i="151" s="1"/>
  <c r="P118" i="151"/>
  <c r="U118" i="151" s="1"/>
  <c r="P121" i="151"/>
  <c r="U121" i="151" s="1"/>
  <c r="P104" i="151"/>
  <c r="U104" i="151" s="1"/>
  <c r="P136" i="151"/>
  <c r="U136" i="151" s="1"/>
  <c r="P142" i="151"/>
  <c r="U142" i="151" s="1"/>
  <c r="P141" i="151"/>
  <c r="U141" i="151" s="1"/>
  <c r="P131" i="151"/>
  <c r="U131" i="151" s="1"/>
  <c r="P163" i="151"/>
  <c r="U163" i="151" s="1"/>
  <c r="P154" i="151"/>
  <c r="U154" i="151" s="1"/>
  <c r="P161" i="151"/>
  <c r="U161" i="151" s="1"/>
  <c r="O71" i="101"/>
  <c r="T71" i="101" s="1"/>
  <c r="O64" i="101"/>
  <c r="T64" i="101" s="1"/>
  <c r="O42" i="101"/>
  <c r="T42" i="101" s="1"/>
  <c r="O77" i="101"/>
  <c r="T77" i="101" s="1"/>
  <c r="O75" i="101"/>
  <c r="T75" i="101" s="1"/>
  <c r="O46" i="101"/>
  <c r="T46" i="101" s="1"/>
  <c r="O53" i="101"/>
  <c r="T53" i="101" s="1"/>
  <c r="O31" i="101"/>
  <c r="T31" i="101" s="1"/>
  <c r="O34" i="101"/>
  <c r="T34" i="101" s="1"/>
  <c r="O61" i="101"/>
  <c r="T61" i="101" s="1"/>
  <c r="P108" i="151"/>
  <c r="U108" i="151" s="1"/>
  <c r="P140" i="151"/>
  <c r="U140" i="151" s="1"/>
  <c r="P110" i="151"/>
  <c r="U110" i="151" s="1"/>
  <c r="P117" i="151"/>
  <c r="U117" i="151" s="1"/>
  <c r="P119" i="151"/>
  <c r="U119" i="151" s="1"/>
  <c r="P151" i="151"/>
  <c r="U151" i="151" s="1"/>
  <c r="P130" i="151"/>
  <c r="U130" i="151" s="1"/>
  <c r="P137" i="151"/>
  <c r="U137" i="151" s="1"/>
  <c r="O19" i="101"/>
  <c r="T19" i="101" s="1"/>
  <c r="O57" i="101"/>
  <c r="T57" i="101" s="1"/>
  <c r="O24" i="101"/>
  <c r="T24" i="101" s="1"/>
  <c r="O70" i="101"/>
  <c r="T70" i="101" s="1"/>
  <c r="O37" i="101"/>
  <c r="T37" i="101" s="1"/>
  <c r="O55" i="101"/>
  <c r="T55" i="101" s="1"/>
  <c r="O32" i="101"/>
  <c r="T32" i="101" s="1"/>
  <c r="O26" i="101"/>
  <c r="T26" i="101" s="1"/>
  <c r="O45" i="101"/>
  <c r="T45" i="101" s="1"/>
  <c r="O59" i="101"/>
  <c r="T59" i="101" s="1"/>
  <c r="O72" i="101"/>
  <c r="T72" i="101" s="1"/>
  <c r="O30" i="101"/>
  <c r="T30" i="101" s="1"/>
  <c r="O29" i="101"/>
  <c r="T29" i="101" s="1"/>
  <c r="O49" i="101"/>
  <c r="T49" i="101" s="1"/>
  <c r="O48" i="101"/>
  <c r="T48" i="101" s="1"/>
  <c r="O33" i="101"/>
  <c r="T33" i="101" s="1"/>
  <c r="O67" i="101"/>
  <c r="T67" i="101" s="1"/>
  <c r="O54" i="101"/>
  <c r="T54" i="101" s="1"/>
  <c r="O76" i="101"/>
  <c r="T76" i="101" s="1"/>
  <c r="P112" i="151"/>
  <c r="U112" i="151" s="1"/>
  <c r="P144" i="151"/>
  <c r="U144" i="151" s="1"/>
  <c r="P126" i="151"/>
  <c r="U126" i="151" s="1"/>
  <c r="P125" i="151"/>
  <c r="U125" i="151" s="1"/>
  <c r="P107" i="151"/>
  <c r="U107" i="151" s="1"/>
  <c r="P139" i="151"/>
  <c r="U139" i="151" s="1"/>
  <c r="P114" i="151"/>
  <c r="U114" i="151" s="1"/>
  <c r="P113" i="151"/>
  <c r="U113" i="151" s="1"/>
  <c r="P132" i="151"/>
  <c r="U132" i="151" s="1"/>
  <c r="P134" i="151"/>
  <c r="U134" i="151" s="1"/>
  <c r="P133" i="151"/>
  <c r="U133" i="151" s="1"/>
  <c r="P127" i="151"/>
  <c r="U127" i="151" s="1"/>
  <c r="P159" i="151"/>
  <c r="U159" i="151" s="1"/>
  <c r="P146" i="151"/>
  <c r="U146" i="151" s="1"/>
  <c r="P153" i="151"/>
  <c r="U153" i="151" s="1"/>
  <c r="P120" i="151"/>
  <c r="U120" i="151" s="1"/>
  <c r="P152" i="151"/>
  <c r="U152" i="151" s="1"/>
  <c r="P109" i="151"/>
  <c r="U109" i="151" s="1"/>
  <c r="P115" i="151"/>
  <c r="U115" i="151" s="1"/>
  <c r="P147" i="151"/>
  <c r="U147" i="151" s="1"/>
  <c r="P122" i="151"/>
  <c r="U122" i="151" s="1"/>
  <c r="P129" i="151"/>
  <c r="U129" i="151" s="1"/>
  <c r="O39" i="101"/>
  <c r="T39" i="101" s="1"/>
  <c r="O65" i="101"/>
  <c r="T65" i="101" s="1"/>
  <c r="O74" i="101"/>
  <c r="T74" i="101" s="1"/>
  <c r="O21" i="101"/>
  <c r="T21" i="101" s="1"/>
  <c r="O43" i="101"/>
  <c r="T43" i="101" s="1"/>
  <c r="O73" i="101"/>
  <c r="T73" i="101" s="1"/>
  <c r="O40" i="101"/>
  <c r="T40" i="101" s="1"/>
  <c r="O78" i="101"/>
  <c r="T78" i="101" s="1"/>
  <c r="O60" i="101"/>
  <c r="T60" i="101" s="1"/>
  <c r="O63" i="101"/>
  <c r="T63" i="101" s="1"/>
  <c r="O20" i="101"/>
  <c r="T20" i="101" s="1"/>
  <c r="O66" i="101"/>
  <c r="T66" i="101" s="1"/>
  <c r="O68" i="101"/>
  <c r="T68" i="101" s="1"/>
  <c r="P124" i="151"/>
  <c r="U124" i="151" s="1"/>
  <c r="P156" i="151"/>
  <c r="U156" i="151" s="1"/>
  <c r="P150" i="151"/>
  <c r="U150" i="151" s="1"/>
  <c r="P149" i="151"/>
  <c r="U149" i="151" s="1"/>
  <c r="P135" i="151"/>
  <c r="U135" i="151" s="1"/>
  <c r="P106" i="151"/>
  <c r="U106" i="151" s="1"/>
  <c r="P162" i="151"/>
  <c r="U162" i="151" s="1"/>
  <c r="O51" i="101"/>
  <c r="T51" i="101" s="1"/>
  <c r="O38" i="101"/>
  <c r="T38" i="101" s="1"/>
  <c r="O44" i="101"/>
  <c r="T44" i="101" s="1"/>
  <c r="P103" i="151"/>
  <c r="U103" i="151" s="1"/>
  <c r="O18" i="101"/>
  <c r="T18" i="101" s="1"/>
  <c r="V97" i="9"/>
  <c r="V96" i="9" s="1"/>
  <c r="R9" i="9"/>
  <c r="I17" i="151"/>
  <c r="I15" i="151" s="1"/>
  <c r="Q41" i="101"/>
  <c r="N150" i="151"/>
  <c r="O150" i="151"/>
  <c r="S156" i="151"/>
  <c r="Q43" i="101"/>
  <c r="R75" i="101"/>
  <c r="N20" i="101"/>
  <c r="P28" i="101"/>
  <c r="R28" i="101"/>
  <c r="N36" i="101"/>
  <c r="P44" i="101"/>
  <c r="M44" i="101"/>
  <c r="N52" i="101"/>
  <c r="P60" i="101"/>
  <c r="M60" i="101"/>
  <c r="N68" i="101"/>
  <c r="P76" i="101"/>
  <c r="M76" i="101"/>
  <c r="Q148" i="151"/>
  <c r="N38" i="101"/>
  <c r="Q126" i="151"/>
  <c r="R107" i="151"/>
  <c r="Q123" i="151"/>
  <c r="O139" i="151"/>
  <c r="N139" i="151"/>
  <c r="S155" i="151"/>
  <c r="R106" i="151"/>
  <c r="S106" i="151"/>
  <c r="Q118" i="151"/>
  <c r="R73" i="101"/>
  <c r="Q131" i="151"/>
  <c r="M31" i="101"/>
  <c r="S104" i="151"/>
  <c r="Q114" i="151"/>
  <c r="P78" i="101"/>
  <c r="N78" i="101"/>
  <c r="Q25" i="101"/>
  <c r="N122" i="151"/>
  <c r="O122" i="151"/>
  <c r="R134" i="151"/>
  <c r="S134" i="151"/>
  <c r="Q57" i="101"/>
  <c r="N154" i="151"/>
  <c r="O154" i="151"/>
  <c r="P62" i="101"/>
  <c r="N62" i="101"/>
  <c r="R124" i="151"/>
  <c r="O124" i="151"/>
  <c r="Q136" i="151"/>
  <c r="Q71" i="101"/>
  <c r="N27" i="101"/>
  <c r="M59" i="101"/>
  <c r="S128" i="151"/>
  <c r="Q24" i="101"/>
  <c r="R32" i="101"/>
  <c r="Q40" i="101"/>
  <c r="Q48" i="101"/>
  <c r="M56" i="101"/>
  <c r="Q64" i="101"/>
  <c r="M72" i="101"/>
  <c r="N116" i="151"/>
  <c r="R70" i="101"/>
  <c r="M26" i="101"/>
  <c r="Q42" i="101"/>
  <c r="N58" i="101"/>
  <c r="M74" i="101"/>
  <c r="R135" i="151"/>
  <c r="N110" i="151"/>
  <c r="O110" i="151"/>
  <c r="M19" i="101"/>
  <c r="N51" i="101"/>
  <c r="P51" i="101"/>
  <c r="R112" i="151"/>
  <c r="O112" i="151"/>
  <c r="O109" i="151"/>
  <c r="Q109" i="151"/>
  <c r="S117" i="151"/>
  <c r="N125" i="151"/>
  <c r="R133" i="151"/>
  <c r="O141" i="151"/>
  <c r="Q141" i="151"/>
  <c r="S149" i="151"/>
  <c r="N157" i="151"/>
  <c r="M54" i="101"/>
  <c r="S147" i="151"/>
  <c r="Q111" i="151"/>
  <c r="O127" i="151"/>
  <c r="N127" i="151"/>
  <c r="S143" i="151"/>
  <c r="R159" i="151"/>
  <c r="N146" i="151"/>
  <c r="O146" i="151"/>
  <c r="M29" i="101"/>
  <c r="N37" i="101"/>
  <c r="P37" i="101"/>
  <c r="M49" i="101"/>
  <c r="N61" i="101"/>
  <c r="P61" i="101"/>
  <c r="M69" i="101"/>
  <c r="Q140" i="151"/>
  <c r="Q152" i="151"/>
  <c r="P30" i="101"/>
  <c r="Q30" i="101"/>
  <c r="S119" i="151"/>
  <c r="N130" i="151"/>
  <c r="O130" i="151"/>
  <c r="Q142" i="151"/>
  <c r="N35" i="101"/>
  <c r="M67" i="101"/>
  <c r="S144" i="151"/>
  <c r="R105" i="151"/>
  <c r="O113" i="151"/>
  <c r="Q113" i="151"/>
  <c r="S121" i="151"/>
  <c r="N129" i="151"/>
  <c r="R137" i="151"/>
  <c r="O145" i="151"/>
  <c r="Q145" i="151"/>
  <c r="S153" i="151"/>
  <c r="R161" i="151"/>
  <c r="S132" i="151"/>
  <c r="N22" i="101"/>
  <c r="S115" i="151"/>
  <c r="R34" i="101"/>
  <c r="P50" i="101"/>
  <c r="Q50" i="101"/>
  <c r="R66" i="101"/>
  <c r="M21" i="101"/>
  <c r="N33" i="101"/>
  <c r="P33" i="101"/>
  <c r="M45" i="101"/>
  <c r="N53" i="101"/>
  <c r="P53" i="101"/>
  <c r="M65" i="101"/>
  <c r="N77" i="101"/>
  <c r="P77" i="101"/>
  <c r="M39" i="101"/>
  <c r="S108" i="151"/>
  <c r="S163" i="151"/>
  <c r="M55" i="101"/>
  <c r="S120" i="151"/>
  <c r="R47" i="101"/>
  <c r="P47" i="101"/>
  <c r="Q23" i="101"/>
  <c r="M46" i="101"/>
  <c r="R63" i="101"/>
  <c r="P63" i="101"/>
  <c r="O151" i="151"/>
  <c r="N151" i="151"/>
  <c r="S162" i="151"/>
  <c r="R41" i="101"/>
  <c r="Q150" i="151"/>
  <c r="R156" i="151"/>
  <c r="O156" i="151"/>
  <c r="R43" i="101"/>
  <c r="P43" i="101"/>
  <c r="Q75" i="101"/>
  <c r="S160" i="151"/>
  <c r="R160" i="151"/>
  <c r="P20" i="101"/>
  <c r="R20" i="101"/>
  <c r="N28" i="101"/>
  <c r="P36" i="101"/>
  <c r="R36" i="101"/>
  <c r="N44" i="101"/>
  <c r="P52" i="101"/>
  <c r="M52" i="101"/>
  <c r="N60" i="101"/>
  <c r="P68" i="101"/>
  <c r="M68" i="101"/>
  <c r="N76" i="101"/>
  <c r="N148" i="151"/>
  <c r="M38" i="101"/>
  <c r="N126" i="151"/>
  <c r="O126" i="151"/>
  <c r="O107" i="151"/>
  <c r="N107" i="151"/>
  <c r="S123" i="151"/>
  <c r="R139" i="151"/>
  <c r="Q155" i="151"/>
  <c r="N118" i="151"/>
  <c r="O118" i="151"/>
  <c r="R138" i="151"/>
  <c r="S138" i="151"/>
  <c r="Q73" i="101"/>
  <c r="S131" i="151"/>
  <c r="N31" i="101"/>
  <c r="P31" i="101"/>
  <c r="R104" i="151"/>
  <c r="O104" i="151"/>
  <c r="N114" i="151"/>
  <c r="O114" i="151"/>
  <c r="R78" i="101"/>
  <c r="R25" i="101"/>
  <c r="Q122" i="151"/>
  <c r="R57" i="101"/>
  <c r="Q154" i="151"/>
  <c r="R62" i="101"/>
  <c r="S124" i="151"/>
  <c r="N136" i="151"/>
  <c r="R71" i="101"/>
  <c r="P71" i="101"/>
  <c r="M27" i="101"/>
  <c r="N59" i="101"/>
  <c r="P59" i="101"/>
  <c r="R128" i="151"/>
  <c r="O128" i="151"/>
  <c r="R24" i="101"/>
  <c r="Q32" i="101"/>
  <c r="R40" i="101"/>
  <c r="M48" i="101"/>
  <c r="Q56" i="101"/>
  <c r="M64" i="101"/>
  <c r="Q72" i="101"/>
  <c r="Q116" i="151"/>
  <c r="P70" i="101"/>
  <c r="N70" i="101"/>
  <c r="R158" i="151"/>
  <c r="S158" i="151"/>
  <c r="Q26" i="101"/>
  <c r="M42" i="101"/>
  <c r="M58" i="101"/>
  <c r="N74" i="101"/>
  <c r="O135" i="151"/>
  <c r="N135" i="151"/>
  <c r="Q110" i="151"/>
  <c r="N19" i="101"/>
  <c r="M51" i="101"/>
  <c r="S112" i="151"/>
  <c r="N109" i="151"/>
  <c r="R117" i="151"/>
  <c r="O125" i="151"/>
  <c r="Q125" i="151"/>
  <c r="S133" i="151"/>
  <c r="N141" i="151"/>
  <c r="R149" i="151"/>
  <c r="O157" i="151"/>
  <c r="Q157" i="151"/>
  <c r="Q54" i="101"/>
  <c r="Q147" i="151"/>
  <c r="S111" i="151"/>
  <c r="R127" i="151"/>
  <c r="Q143" i="151"/>
  <c r="O159" i="151"/>
  <c r="N159" i="151"/>
  <c r="Q146" i="151"/>
  <c r="N29" i="101"/>
  <c r="P29" i="101"/>
  <c r="M37" i="101"/>
  <c r="N49" i="101"/>
  <c r="P49" i="101"/>
  <c r="M61" i="101"/>
  <c r="N69" i="101"/>
  <c r="P69" i="101"/>
  <c r="N140" i="151"/>
  <c r="N152" i="151"/>
  <c r="R30" i="101"/>
  <c r="Q119" i="151"/>
  <c r="Q130" i="151"/>
  <c r="N142" i="151"/>
  <c r="O142" i="151"/>
  <c r="M35" i="101"/>
  <c r="N67" i="101"/>
  <c r="P67" i="101"/>
  <c r="R144" i="151"/>
  <c r="O144" i="151"/>
  <c r="S105" i="151"/>
  <c r="N113" i="151"/>
  <c r="R121" i="151"/>
  <c r="O129" i="151"/>
  <c r="Q129" i="151"/>
  <c r="S137" i="151"/>
  <c r="N145" i="151"/>
  <c r="R153" i="151"/>
  <c r="S161" i="151"/>
  <c r="Q161" i="151"/>
  <c r="R132" i="151"/>
  <c r="O132" i="151"/>
  <c r="M22" i="101"/>
  <c r="Q115" i="151"/>
  <c r="P34" i="101"/>
  <c r="N34" i="101"/>
  <c r="R50" i="101"/>
  <c r="P66" i="101"/>
  <c r="Q66" i="101"/>
  <c r="N21" i="101"/>
  <c r="P21" i="101"/>
  <c r="M33" i="101"/>
  <c r="N45" i="101"/>
  <c r="P45" i="101"/>
  <c r="M53" i="101"/>
  <c r="N65" i="101"/>
  <c r="P65" i="101"/>
  <c r="M77" i="101"/>
  <c r="N39" i="101"/>
  <c r="P39" i="101"/>
  <c r="R108" i="151"/>
  <c r="O108" i="151"/>
  <c r="O163" i="151"/>
  <c r="N55" i="101"/>
  <c r="R120" i="151"/>
  <c r="O120" i="151"/>
  <c r="Q47" i="101"/>
  <c r="R23" i="101"/>
  <c r="Q46" i="101"/>
  <c r="Q63" i="101"/>
  <c r="R151" i="151"/>
  <c r="T162" i="151"/>
  <c r="R162" i="151"/>
  <c r="N156" i="151"/>
  <c r="M36" i="101"/>
  <c r="R44" i="101"/>
  <c r="Q68" i="101"/>
  <c r="R76" i="101"/>
  <c r="S148" i="151"/>
  <c r="R38" i="101"/>
  <c r="Q107" i="151"/>
  <c r="N123" i="151"/>
  <c r="Q139" i="151"/>
  <c r="N155" i="151"/>
  <c r="Q106" i="151"/>
  <c r="Q138" i="151"/>
  <c r="P73" i="101"/>
  <c r="R31" i="101"/>
  <c r="N104" i="151"/>
  <c r="S114" i="151"/>
  <c r="M25" i="101"/>
  <c r="Q134" i="151"/>
  <c r="P57" i="101"/>
  <c r="S154" i="151"/>
  <c r="R136" i="151"/>
  <c r="Q27" i="101"/>
  <c r="M24" i="101"/>
  <c r="P40" i="101"/>
  <c r="N48" i="101"/>
  <c r="R56" i="101"/>
  <c r="P72" i="101"/>
  <c r="O116" i="151"/>
  <c r="P42" i="101"/>
  <c r="R58" i="101"/>
  <c r="Q74" i="101"/>
  <c r="R110" i="151"/>
  <c r="Q19" i="101"/>
  <c r="R109" i="151"/>
  <c r="Q117" i="151"/>
  <c r="R125" i="151"/>
  <c r="Q133" i="151"/>
  <c r="R141" i="151"/>
  <c r="Q149" i="151"/>
  <c r="R157" i="151"/>
  <c r="R29" i="101"/>
  <c r="Q37" i="101"/>
  <c r="R69" i="101"/>
  <c r="S140" i="151"/>
  <c r="O152" i="151"/>
  <c r="N119" i="151"/>
  <c r="S142" i="151"/>
  <c r="R67" i="101"/>
  <c r="N144" i="151"/>
  <c r="N105" i="151"/>
  <c r="S113" i="151"/>
  <c r="N121" i="151"/>
  <c r="S129" i="151"/>
  <c r="N137" i="151"/>
  <c r="S145" i="151"/>
  <c r="N153" i="151"/>
  <c r="N161" i="151"/>
  <c r="N132" i="151"/>
  <c r="R22" i="101"/>
  <c r="R115" i="151"/>
  <c r="M34" i="101"/>
  <c r="R21" i="101"/>
  <c r="Q33" i="101"/>
  <c r="R65" i="101"/>
  <c r="Q77" i="101"/>
  <c r="R163" i="151"/>
  <c r="N47" i="101"/>
  <c r="M23" i="101"/>
  <c r="N46" i="101"/>
  <c r="N63" i="101"/>
  <c r="P41" i="101"/>
  <c r="S150" i="151"/>
  <c r="M43" i="101"/>
  <c r="P75" i="101"/>
  <c r="N160" i="151"/>
  <c r="Q20" i="101"/>
  <c r="Q44" i="101"/>
  <c r="R52" i="101"/>
  <c r="Q76" i="101"/>
  <c r="R148" i="151"/>
  <c r="P38" i="101"/>
  <c r="R126" i="151"/>
  <c r="S107" i="151"/>
  <c r="R123" i="151"/>
  <c r="S139" i="151"/>
  <c r="R155" i="151"/>
  <c r="N106" i="151"/>
  <c r="R118" i="151"/>
  <c r="N138" i="151"/>
  <c r="M73" i="101"/>
  <c r="N131" i="151"/>
  <c r="M78" i="101"/>
  <c r="N25" i="101"/>
  <c r="R122" i="151"/>
  <c r="N134" i="151"/>
  <c r="M57" i="101"/>
  <c r="Q124" i="151"/>
  <c r="R27" i="101"/>
  <c r="Q59" i="101"/>
  <c r="Q128" i="151"/>
  <c r="N24" i="101"/>
  <c r="M32" i="101"/>
  <c r="P48" i="101"/>
  <c r="N56" i="101"/>
  <c r="R64" i="101"/>
  <c r="S116" i="151"/>
  <c r="M70" i="101"/>
  <c r="O158" i="151"/>
  <c r="N26" i="101"/>
  <c r="P58" i="101"/>
  <c r="R74" i="101"/>
  <c r="R19" i="101"/>
  <c r="Q51" i="101"/>
  <c r="Q112" i="151"/>
  <c r="S109" i="151"/>
  <c r="N117" i="151"/>
  <c r="S125" i="151"/>
  <c r="N133" i="151"/>
  <c r="S141" i="151"/>
  <c r="N149" i="151"/>
  <c r="S157" i="151"/>
  <c r="N54" i="101"/>
  <c r="N147" i="151"/>
  <c r="N111" i="151"/>
  <c r="Q127" i="151"/>
  <c r="N143" i="151"/>
  <c r="Q159" i="151"/>
  <c r="S146" i="151"/>
  <c r="R37" i="101"/>
  <c r="Q49" i="101"/>
  <c r="R140" i="151"/>
  <c r="S152" i="151"/>
  <c r="N30" i="101"/>
  <c r="R119" i="151"/>
  <c r="S130" i="151"/>
  <c r="P35" i="101"/>
  <c r="O105" i="151"/>
  <c r="O121" i="151"/>
  <c r="O137" i="151"/>
  <c r="O153" i="151"/>
  <c r="O161" i="151"/>
  <c r="P22" i="101"/>
  <c r="O115" i="151"/>
  <c r="Q34" i="101"/>
  <c r="N50" i="101"/>
  <c r="R33" i="101"/>
  <c r="Q45" i="101"/>
  <c r="R77" i="101"/>
  <c r="Q39" i="101"/>
  <c r="Q108" i="151"/>
  <c r="N163" i="151"/>
  <c r="P55" i="101"/>
  <c r="N23" i="101"/>
  <c r="R46" i="101"/>
  <c r="Q151" i="151"/>
  <c r="Q162" i="151"/>
  <c r="M41" i="101"/>
  <c r="N43" i="101"/>
  <c r="M75" i="101"/>
  <c r="Q160" i="151"/>
  <c r="M20" i="101"/>
  <c r="Q28" i="101"/>
  <c r="Q52" i="101"/>
  <c r="R60" i="101"/>
  <c r="O123" i="151"/>
  <c r="O155" i="151"/>
  <c r="N73" i="101"/>
  <c r="R131" i="151"/>
  <c r="R114" i="151"/>
  <c r="Q78" i="101"/>
  <c r="N57" i="101"/>
  <c r="R154" i="151"/>
  <c r="M62" i="101"/>
  <c r="N124" i="151"/>
  <c r="O136" i="151"/>
  <c r="M71" i="101"/>
  <c r="R59" i="101"/>
  <c r="N128" i="151"/>
  <c r="P24" i="101"/>
  <c r="N32" i="101"/>
  <c r="M40" i="101"/>
  <c r="P56" i="101"/>
  <c r="N64" i="101"/>
  <c r="R72" i="101"/>
  <c r="R116" i="151"/>
  <c r="Q70" i="101"/>
  <c r="Q158" i="151"/>
  <c r="R26" i="101"/>
  <c r="N42" i="101"/>
  <c r="P74" i="101"/>
  <c r="Q135" i="151"/>
  <c r="S110" i="151"/>
  <c r="R51" i="101"/>
  <c r="N112" i="151"/>
  <c r="O117" i="151"/>
  <c r="O133" i="151"/>
  <c r="O149" i="151"/>
  <c r="R54" i="101"/>
  <c r="R147" i="151"/>
  <c r="R111" i="151"/>
  <c r="S127" i="151"/>
  <c r="R143" i="151"/>
  <c r="S159" i="151"/>
  <c r="R49" i="101"/>
  <c r="Q61" i="101"/>
  <c r="R152" i="151"/>
  <c r="M30" i="101"/>
  <c r="O119" i="151"/>
  <c r="R142" i="151"/>
  <c r="Q35" i="101"/>
  <c r="M50" i="101"/>
  <c r="N66" i="101"/>
  <c r="R45" i="101"/>
  <c r="Q53" i="101"/>
  <c r="R39" i="101"/>
  <c r="N108" i="151"/>
  <c r="T163" i="151"/>
  <c r="Q55" i="101"/>
  <c r="Q120" i="151"/>
  <c r="P46" i="101"/>
  <c r="S151" i="151"/>
  <c r="N162" i="151"/>
  <c r="N41" i="101"/>
  <c r="R150" i="151"/>
  <c r="Q156" i="151"/>
  <c r="N75" i="101"/>
  <c r="O160" i="151"/>
  <c r="M28" i="101"/>
  <c r="Q36" i="101"/>
  <c r="Q60" i="101"/>
  <c r="R68" i="101"/>
  <c r="O148" i="151"/>
  <c r="Q38" i="101"/>
  <c r="S126" i="151"/>
  <c r="O106" i="151"/>
  <c r="S118" i="151"/>
  <c r="O138" i="151"/>
  <c r="O131" i="151"/>
  <c r="Q31" i="101"/>
  <c r="Q104" i="151"/>
  <c r="P25" i="101"/>
  <c r="S122" i="151"/>
  <c r="O134" i="151"/>
  <c r="Q62" i="101"/>
  <c r="S136" i="151"/>
  <c r="N71" i="101"/>
  <c r="P27" i="101"/>
  <c r="P32" i="101"/>
  <c r="N40" i="101"/>
  <c r="R48" i="101"/>
  <c r="P64" i="101"/>
  <c r="N72" i="101"/>
  <c r="N158" i="151"/>
  <c r="P26" i="101"/>
  <c r="R42" i="101"/>
  <c r="Q58" i="101"/>
  <c r="S135" i="151"/>
  <c r="P19" i="101"/>
  <c r="P54" i="101"/>
  <c r="O147" i="151"/>
  <c r="O111" i="151"/>
  <c r="O143" i="151"/>
  <c r="R146" i="151"/>
  <c r="Q29" i="101"/>
  <c r="R61" i="101"/>
  <c r="Q69" i="101"/>
  <c r="O140" i="151"/>
  <c r="R130" i="151"/>
  <c r="R35" i="101"/>
  <c r="Q67" i="101"/>
  <c r="Q144" i="151"/>
  <c r="Q105" i="151"/>
  <c r="R113" i="151"/>
  <c r="Q121" i="151"/>
  <c r="R129" i="151"/>
  <c r="Q137" i="151"/>
  <c r="R145" i="151"/>
  <c r="Q153" i="151"/>
  <c r="T161" i="151"/>
  <c r="Q132" i="151"/>
  <c r="Q22" i="101"/>
  <c r="N115" i="151"/>
  <c r="M66" i="101"/>
  <c r="Q21" i="101"/>
  <c r="R53" i="101"/>
  <c r="Q65" i="101"/>
  <c r="Q163" i="151"/>
  <c r="R55" i="101"/>
  <c r="N120" i="151"/>
  <c r="M47" i="101"/>
  <c r="P23" i="101"/>
  <c r="M63" i="101"/>
  <c r="O162" i="151"/>
  <c r="R18" i="101"/>
  <c r="Q103" i="151"/>
  <c r="N18" i="101"/>
  <c r="N103" i="151"/>
  <c r="M18" i="101"/>
  <c r="R103" i="151"/>
  <c r="P18" i="101"/>
  <c r="S103" i="151"/>
  <c r="Q18" i="101"/>
  <c r="O103" i="151"/>
  <c r="K84" i="151"/>
  <c r="K82" i="151"/>
  <c r="C575" i="170" s="1"/>
  <c r="E575" i="170" s="1"/>
  <c r="K80" i="151"/>
  <c r="C558" i="170" s="1"/>
  <c r="E558" i="170" s="1"/>
  <c r="K78" i="151"/>
  <c r="C541" i="170" s="1"/>
  <c r="E541" i="170" s="1"/>
  <c r="K76" i="151"/>
  <c r="C525" i="170" s="1"/>
  <c r="E525" i="170" s="1"/>
  <c r="K74" i="151"/>
  <c r="C508" i="170" s="1"/>
  <c r="E508" i="170" s="1"/>
  <c r="K72" i="151"/>
  <c r="C491" i="170" s="1"/>
  <c r="E491" i="170" s="1"/>
  <c r="K70" i="151"/>
  <c r="C473" i="170" s="1"/>
  <c r="E473" i="170" s="1"/>
  <c r="K68" i="151"/>
  <c r="C455" i="170" s="1"/>
  <c r="E455" i="170" s="1"/>
  <c r="K66" i="151"/>
  <c r="C439" i="170" s="1"/>
  <c r="E439" i="170" s="1"/>
  <c r="K64" i="151"/>
  <c r="C422" i="170" s="1"/>
  <c r="E422" i="170" s="1"/>
  <c r="K62" i="151"/>
  <c r="C405" i="170" s="1"/>
  <c r="E405" i="170" s="1"/>
  <c r="K60" i="151"/>
  <c r="C387" i="170" s="1"/>
  <c r="E387" i="170" s="1"/>
  <c r="K58" i="151"/>
  <c r="C370" i="170" s="1"/>
  <c r="E370" i="170" s="1"/>
  <c r="K56" i="151"/>
  <c r="C353" i="170" s="1"/>
  <c r="E353" i="170" s="1"/>
  <c r="K54" i="151"/>
  <c r="C335" i="170" s="1"/>
  <c r="E335" i="170" s="1"/>
  <c r="K52" i="151"/>
  <c r="C317" i="170" s="1"/>
  <c r="E317" i="170" s="1"/>
  <c r="K50" i="151"/>
  <c r="C300" i="170" s="1"/>
  <c r="E300" i="170" s="1"/>
  <c r="K48" i="151"/>
  <c r="C283" i="170" s="1"/>
  <c r="E283" i="170" s="1"/>
  <c r="K46" i="151"/>
  <c r="C266" i="170" s="1"/>
  <c r="E266" i="170" s="1"/>
  <c r="K44" i="151"/>
  <c r="C249" i="170" s="1"/>
  <c r="E249" i="170" s="1"/>
  <c r="K42" i="151"/>
  <c r="C232" i="170" s="1"/>
  <c r="E232" i="170" s="1"/>
  <c r="K40" i="151"/>
  <c r="C214" i="170" s="1"/>
  <c r="E214" i="170" s="1"/>
  <c r="K38" i="151"/>
  <c r="C197" i="170" s="1"/>
  <c r="E197" i="170" s="1"/>
  <c r="K36" i="151"/>
  <c r="C180" i="170" s="1"/>
  <c r="E180" i="170" s="1"/>
  <c r="K34" i="151"/>
  <c r="C163" i="170" s="1"/>
  <c r="E163" i="170" s="1"/>
  <c r="K32" i="151"/>
  <c r="C146" i="170" s="1"/>
  <c r="E146" i="170" s="1"/>
  <c r="K30" i="151"/>
  <c r="C129" i="170" s="1"/>
  <c r="E129" i="170" s="1"/>
  <c r="K28" i="151"/>
  <c r="C112" i="170" s="1"/>
  <c r="E112" i="170" s="1"/>
  <c r="K26" i="151"/>
  <c r="C95" i="170" s="1"/>
  <c r="E95" i="170" s="1"/>
  <c r="K24" i="151"/>
  <c r="C78" i="170" s="1"/>
  <c r="E78" i="170" s="1"/>
  <c r="K22" i="151"/>
  <c r="C61" i="170" s="1"/>
  <c r="E61" i="170" s="1"/>
  <c r="K20" i="151"/>
  <c r="C44" i="170" s="1"/>
  <c r="E44" i="170" s="1"/>
  <c r="E53" i="170" s="1"/>
  <c r="K18" i="151"/>
  <c r="C27" i="170" s="1"/>
  <c r="E27" i="170" s="1"/>
  <c r="E36" i="170" s="1"/>
  <c r="K83" i="151"/>
  <c r="I575" i="170" s="1"/>
  <c r="K575" i="170" s="1"/>
  <c r="K81" i="151"/>
  <c r="I558" i="170" s="1"/>
  <c r="K558" i="170" s="1"/>
  <c r="K79" i="151"/>
  <c r="I541" i="170" s="1"/>
  <c r="K541" i="170" s="1"/>
  <c r="K77" i="151"/>
  <c r="I525" i="170" s="1"/>
  <c r="K525" i="170" s="1"/>
  <c r="K75" i="151"/>
  <c r="I508" i="170" s="1"/>
  <c r="K508" i="170" s="1"/>
  <c r="K73" i="151"/>
  <c r="I491" i="170" s="1"/>
  <c r="K491" i="170" s="1"/>
  <c r="K71" i="151"/>
  <c r="I473" i="170" s="1"/>
  <c r="K473" i="170" s="1"/>
  <c r="K69" i="151"/>
  <c r="I455" i="170" s="1"/>
  <c r="K455" i="170" s="1"/>
  <c r="K67" i="151"/>
  <c r="I439" i="170" s="1"/>
  <c r="K439" i="170" s="1"/>
  <c r="K65" i="151"/>
  <c r="I422" i="170" s="1"/>
  <c r="K422" i="170" s="1"/>
  <c r="K63" i="151"/>
  <c r="I405" i="170" s="1"/>
  <c r="K405" i="170" s="1"/>
  <c r="K61" i="151"/>
  <c r="I387" i="170" s="1"/>
  <c r="K387" i="170" s="1"/>
  <c r="K59" i="151"/>
  <c r="I370" i="170" s="1"/>
  <c r="K370" i="170" s="1"/>
  <c r="K57" i="151"/>
  <c r="I353" i="170" s="1"/>
  <c r="K353" i="170" s="1"/>
  <c r="K55" i="151"/>
  <c r="I335" i="170" s="1"/>
  <c r="K335" i="170" s="1"/>
  <c r="K53" i="151"/>
  <c r="I317" i="170" s="1"/>
  <c r="K317" i="170" s="1"/>
  <c r="K51" i="151"/>
  <c r="I300" i="170" s="1"/>
  <c r="K300" i="170" s="1"/>
  <c r="K49" i="151"/>
  <c r="I283" i="170" s="1"/>
  <c r="K283" i="170" s="1"/>
  <c r="K47" i="151"/>
  <c r="I266" i="170" s="1"/>
  <c r="K266" i="170" s="1"/>
  <c r="K45" i="151"/>
  <c r="I249" i="170" s="1"/>
  <c r="K249" i="170" s="1"/>
  <c r="K43" i="151"/>
  <c r="I232" i="170" s="1"/>
  <c r="K232" i="170" s="1"/>
  <c r="K41" i="151"/>
  <c r="I214" i="170" s="1"/>
  <c r="K214" i="170" s="1"/>
  <c r="K39" i="151"/>
  <c r="I197" i="170" s="1"/>
  <c r="K197" i="170" s="1"/>
  <c r="K37" i="151"/>
  <c r="I180" i="170" s="1"/>
  <c r="K180" i="170" s="1"/>
  <c r="K35" i="151"/>
  <c r="I163" i="170" s="1"/>
  <c r="K163" i="170" s="1"/>
  <c r="K33" i="151"/>
  <c r="I146" i="170" s="1"/>
  <c r="K146" i="170" s="1"/>
  <c r="K31" i="151"/>
  <c r="I129" i="170" s="1"/>
  <c r="K129" i="170" s="1"/>
  <c r="K29" i="151"/>
  <c r="I112" i="170" s="1"/>
  <c r="K112" i="170" s="1"/>
  <c r="K27" i="151"/>
  <c r="I95" i="170" s="1"/>
  <c r="K95" i="170" s="1"/>
  <c r="K25" i="151"/>
  <c r="I78" i="170" s="1"/>
  <c r="K78" i="170" s="1"/>
  <c r="K23" i="151"/>
  <c r="I61" i="170" s="1"/>
  <c r="K61" i="170" s="1"/>
  <c r="K21" i="151"/>
  <c r="I44" i="170" s="1"/>
  <c r="K44" i="170" s="1"/>
  <c r="K19" i="151"/>
  <c r="I27" i="170" s="1"/>
  <c r="K27" i="170" s="1"/>
  <c r="C17" i="101"/>
  <c r="T160" i="151"/>
  <c r="D102" i="151"/>
  <c r="Z82" i="101" s="1"/>
  <c r="AC97" i="9"/>
  <c r="I163" i="9"/>
  <c r="AC70" i="9"/>
  <c r="T177" i="99"/>
  <c r="AC98" i="9"/>
  <c r="L163" i="9"/>
  <c r="J163" i="9"/>
  <c r="P163" i="9"/>
  <c r="Q168" i="9" s="1"/>
  <c r="M163" i="9"/>
  <c r="N163" i="9"/>
  <c r="G163" i="9"/>
  <c r="P182" i="9" s="1"/>
  <c r="K163" i="9"/>
  <c r="H163" i="9"/>
  <c r="X108" i="151" l="1"/>
  <c r="X149" i="151"/>
  <c r="X121" i="151"/>
  <c r="X156" i="151"/>
  <c r="H154" i="132" s="1"/>
  <c r="T101" i="151"/>
  <c r="C592" i="170"/>
  <c r="E592" i="170" s="1"/>
  <c r="E601" i="170" s="1"/>
  <c r="L601" i="170" s="1"/>
  <c r="C695" i="170"/>
  <c r="E695" i="170" s="1"/>
  <c r="E704" i="170" s="1"/>
  <c r="L704" i="170" s="1"/>
  <c r="G82" i="132"/>
  <c r="I82" i="132" s="1"/>
  <c r="I94" i="132"/>
  <c r="X112" i="151"/>
  <c r="H110" i="132" s="1"/>
  <c r="X124" i="151"/>
  <c r="H122" i="132" s="1"/>
  <c r="X111" i="151"/>
  <c r="H109" i="132" s="1"/>
  <c r="X117" i="151"/>
  <c r="H115" i="132" s="1"/>
  <c r="X153" i="151"/>
  <c r="H151" i="132" s="1"/>
  <c r="X123" i="151"/>
  <c r="H121" i="132" s="1"/>
  <c r="X109" i="151"/>
  <c r="H107" i="132" s="1"/>
  <c r="X126" i="151"/>
  <c r="X125" i="151"/>
  <c r="X122" i="151"/>
  <c r="H120" i="132" s="1"/>
  <c r="X150" i="151"/>
  <c r="H148" i="132" s="1"/>
  <c r="X147" i="151"/>
  <c r="X134" i="151"/>
  <c r="H132" i="132" s="1"/>
  <c r="X131" i="151"/>
  <c r="X106" i="151"/>
  <c r="H104" i="132" s="1"/>
  <c r="X160" i="151"/>
  <c r="X104" i="151"/>
  <c r="X145" i="151"/>
  <c r="H143" i="132" s="1"/>
  <c r="X159" i="151"/>
  <c r="H157" i="132" s="1"/>
  <c r="X135" i="151"/>
  <c r="X118" i="151"/>
  <c r="X107" i="151"/>
  <c r="H105" i="132" s="1"/>
  <c r="X151" i="151"/>
  <c r="H149" i="132" s="1"/>
  <c r="X130" i="151"/>
  <c r="X116" i="151"/>
  <c r="X139" i="151"/>
  <c r="H137" i="132" s="1"/>
  <c r="X163" i="151"/>
  <c r="H161" i="132" s="1"/>
  <c r="X115" i="151"/>
  <c r="H113" i="132" s="1"/>
  <c r="X162" i="151"/>
  <c r="X128" i="151"/>
  <c r="X143" i="151"/>
  <c r="H141" i="132" s="1"/>
  <c r="X133" i="151"/>
  <c r="H131" i="132" s="1"/>
  <c r="X132" i="151"/>
  <c r="H130" i="132" s="1"/>
  <c r="X137" i="151"/>
  <c r="H135" i="132" s="1"/>
  <c r="X105" i="151"/>
  <c r="H103" i="132" s="1"/>
  <c r="X119" i="151"/>
  <c r="H117" i="132" s="1"/>
  <c r="X155" i="151"/>
  <c r="X113" i="151"/>
  <c r="X142" i="151"/>
  <c r="H140" i="132" s="1"/>
  <c r="X152" i="151"/>
  <c r="H150" i="132" s="1"/>
  <c r="X136" i="151"/>
  <c r="X148" i="151"/>
  <c r="H146" i="132" s="1"/>
  <c r="X127" i="151"/>
  <c r="H125" i="132" s="1"/>
  <c r="X110" i="151"/>
  <c r="H108" i="132" s="1"/>
  <c r="X103" i="151"/>
  <c r="H101" i="132" s="1"/>
  <c r="X120" i="151"/>
  <c r="H118" i="132" s="1"/>
  <c r="X158" i="151"/>
  <c r="H156" i="132" s="1"/>
  <c r="X138" i="151"/>
  <c r="H136" i="132" s="1"/>
  <c r="X161" i="151"/>
  <c r="H159" i="132" s="1"/>
  <c r="X144" i="151"/>
  <c r="H142" i="132" s="1"/>
  <c r="X140" i="151"/>
  <c r="H138" i="132" s="1"/>
  <c r="X141" i="151"/>
  <c r="H139" i="132" s="1"/>
  <c r="X114" i="151"/>
  <c r="X129" i="151"/>
  <c r="X146" i="151"/>
  <c r="H144" i="132" s="1"/>
  <c r="X157" i="151"/>
  <c r="H155" i="132" s="1"/>
  <c r="X154" i="151"/>
  <c r="H152" i="132" s="1"/>
  <c r="G165" i="132"/>
  <c r="H165" i="132"/>
  <c r="K165" i="132"/>
  <c r="M165" i="132" s="1"/>
  <c r="F165" i="132"/>
  <c r="K17" i="101"/>
  <c r="K83" i="101" s="1"/>
  <c r="G17" i="101"/>
  <c r="X78" i="101"/>
  <c r="AC9" i="9"/>
  <c r="I1273" i="170"/>
  <c r="K1273" i="170" s="1"/>
  <c r="K1281" i="170"/>
  <c r="C1280" i="170"/>
  <c r="E1280" i="170" s="1"/>
  <c r="C1276" i="170"/>
  <c r="E1276" i="170" s="1"/>
  <c r="E1281" i="170"/>
  <c r="I1275" i="170"/>
  <c r="K1275" i="170" s="1"/>
  <c r="I1274" i="170"/>
  <c r="K1274" i="170" s="1"/>
  <c r="C1273" i="170"/>
  <c r="E1273" i="170" s="1"/>
  <c r="C1279" i="170"/>
  <c r="E1279" i="170" s="1"/>
  <c r="I1277" i="170"/>
  <c r="K1277" i="170" s="1"/>
  <c r="I1276" i="170"/>
  <c r="K1276" i="170" s="1"/>
  <c r="C1275" i="170"/>
  <c r="E1275" i="170" s="1"/>
  <c r="C1274" i="170"/>
  <c r="E1274" i="170" s="1"/>
  <c r="I1279" i="170"/>
  <c r="K1279" i="170" s="1"/>
  <c r="I1280" i="170"/>
  <c r="K1280" i="170" s="1"/>
  <c r="I1278" i="170"/>
  <c r="K1278" i="170" s="1"/>
  <c r="C1278" i="170"/>
  <c r="E1278" i="170" s="1"/>
  <c r="C1277" i="170"/>
  <c r="E1277" i="170" s="1"/>
  <c r="K1094" i="170"/>
  <c r="I1090" i="170"/>
  <c r="K1090" i="170" s="1"/>
  <c r="I786" i="170"/>
  <c r="K786" i="170" s="1"/>
  <c r="I787" i="170"/>
  <c r="K787" i="170" s="1"/>
  <c r="I785" i="170"/>
  <c r="K785" i="170" s="1"/>
  <c r="C971" i="170"/>
  <c r="E971" i="170" s="1"/>
  <c r="E975" i="170"/>
  <c r="C784" i="170"/>
  <c r="E784" i="170" s="1"/>
  <c r="C780" i="170"/>
  <c r="E780" i="170" s="1"/>
  <c r="I1139" i="170"/>
  <c r="K1139" i="170" s="1"/>
  <c r="I1140" i="170"/>
  <c r="K1140" i="170" s="1"/>
  <c r="I1138" i="170"/>
  <c r="K1138" i="170" s="1"/>
  <c r="C1208" i="170"/>
  <c r="E1208" i="170" s="1"/>
  <c r="I1193" i="170"/>
  <c r="K1193" i="170" s="1"/>
  <c r="I1191" i="170"/>
  <c r="K1191" i="170" s="1"/>
  <c r="I1194" i="170"/>
  <c r="K1194" i="170" s="1"/>
  <c r="E1111" i="170"/>
  <c r="I1227" i="170"/>
  <c r="K1227" i="170" s="1"/>
  <c r="I1225" i="170"/>
  <c r="K1225" i="170" s="1"/>
  <c r="C1137" i="170"/>
  <c r="E1137" i="170" s="1"/>
  <c r="C1144" i="170"/>
  <c r="E1144" i="170" s="1"/>
  <c r="E924" i="170"/>
  <c r="C919" i="170"/>
  <c r="E919" i="170" s="1"/>
  <c r="C922" i="170"/>
  <c r="E922" i="170" s="1"/>
  <c r="I1071" i="170"/>
  <c r="K1071" i="170" s="1"/>
  <c r="C1038" i="170"/>
  <c r="E1038" i="170" s="1"/>
  <c r="C1035" i="170"/>
  <c r="E1035" i="170" s="1"/>
  <c r="C1037" i="170"/>
  <c r="E1037" i="170" s="1"/>
  <c r="C1258" i="170"/>
  <c r="E1258" i="170" s="1"/>
  <c r="C1261" i="170"/>
  <c r="E1261" i="170" s="1"/>
  <c r="I937" i="170"/>
  <c r="K937" i="170" s="1"/>
  <c r="I935" i="170"/>
  <c r="K935" i="170" s="1"/>
  <c r="I934" i="170"/>
  <c r="K934" i="170" s="1"/>
  <c r="C849" i="170"/>
  <c r="E849" i="170" s="1"/>
  <c r="I1056" i="170"/>
  <c r="K1056" i="170" s="1"/>
  <c r="I1055" i="170"/>
  <c r="K1055" i="170" s="1"/>
  <c r="K1060" i="170"/>
  <c r="C1246" i="170"/>
  <c r="E1246" i="170" s="1"/>
  <c r="C1241" i="170"/>
  <c r="E1241" i="170" s="1"/>
  <c r="C1057" i="170"/>
  <c r="E1057" i="170" s="1"/>
  <c r="E1060" i="170"/>
  <c r="C1054" i="170"/>
  <c r="E1054" i="170" s="1"/>
  <c r="C989" i="170"/>
  <c r="E989" i="170" s="1"/>
  <c r="C991" i="170"/>
  <c r="E991" i="170" s="1"/>
  <c r="I887" i="170"/>
  <c r="K887" i="170" s="1"/>
  <c r="I888" i="170"/>
  <c r="K888" i="170" s="1"/>
  <c r="I883" i="170"/>
  <c r="K883" i="170" s="1"/>
  <c r="C821" i="170"/>
  <c r="E821" i="170" s="1"/>
  <c r="C819" i="170"/>
  <c r="E819" i="170" s="1"/>
  <c r="C802" i="170"/>
  <c r="E802" i="170" s="1"/>
  <c r="C801" i="170"/>
  <c r="E801" i="170" s="1"/>
  <c r="C800" i="170"/>
  <c r="E800" i="170" s="1"/>
  <c r="C952" i="170"/>
  <c r="E952" i="170" s="1"/>
  <c r="I902" i="170"/>
  <c r="K902" i="170" s="1"/>
  <c r="I906" i="170"/>
  <c r="K906" i="170" s="1"/>
  <c r="I904" i="170"/>
  <c r="K904" i="170" s="1"/>
  <c r="I769" i="170"/>
  <c r="K769" i="170" s="1"/>
  <c r="E1196" i="170"/>
  <c r="C1189" i="170"/>
  <c r="E1189" i="170" s="1"/>
  <c r="I852" i="170"/>
  <c r="K852" i="170" s="1"/>
  <c r="I850" i="170"/>
  <c r="K850" i="170" s="1"/>
  <c r="C1176" i="170"/>
  <c r="E1176" i="170" s="1"/>
  <c r="C1174" i="170"/>
  <c r="E1174" i="170" s="1"/>
  <c r="C1177" i="170"/>
  <c r="E1177" i="170" s="1"/>
  <c r="I1239" i="170"/>
  <c r="K1239" i="170" s="1"/>
  <c r="I1241" i="170"/>
  <c r="K1241" i="170" s="1"/>
  <c r="I1205" i="170"/>
  <c r="K1205" i="170" s="1"/>
  <c r="I1206" i="170"/>
  <c r="K1206" i="170" s="1"/>
  <c r="C1121" i="170"/>
  <c r="E1121" i="170" s="1"/>
  <c r="C1126" i="170"/>
  <c r="E1126" i="170" s="1"/>
  <c r="C1124" i="170"/>
  <c r="E1124" i="170" s="1"/>
  <c r="K839" i="170"/>
  <c r="C886" i="170"/>
  <c r="E886" i="170" s="1"/>
  <c r="C888" i="170"/>
  <c r="E888" i="170" s="1"/>
  <c r="C883" i="170"/>
  <c r="E883" i="170" s="1"/>
  <c r="I1037" i="170"/>
  <c r="K1037" i="170" s="1"/>
  <c r="I1042" i="170"/>
  <c r="K1042" i="170" s="1"/>
  <c r="I1025" i="170"/>
  <c r="K1025" i="170" s="1"/>
  <c r="I1019" i="170"/>
  <c r="K1019" i="170" s="1"/>
  <c r="C1154" i="170"/>
  <c r="E1154" i="170" s="1"/>
  <c r="C1155" i="170"/>
  <c r="E1155" i="170" s="1"/>
  <c r="C937" i="170"/>
  <c r="E937" i="170" s="1"/>
  <c r="C936" i="170"/>
  <c r="E936" i="170" s="1"/>
  <c r="C933" i="170"/>
  <c r="E933" i="170" s="1"/>
  <c r="C1225" i="170"/>
  <c r="E1225" i="170" s="1"/>
  <c r="C1229" i="170"/>
  <c r="E1229" i="170" s="1"/>
  <c r="I1176" i="170"/>
  <c r="K1176" i="170" s="1"/>
  <c r="I1174" i="170"/>
  <c r="K1174" i="170" s="1"/>
  <c r="I1177" i="170"/>
  <c r="K1177" i="170" s="1"/>
  <c r="K1009" i="170"/>
  <c r="I971" i="170"/>
  <c r="K971" i="170" s="1"/>
  <c r="I970" i="170"/>
  <c r="K970" i="170" s="1"/>
  <c r="I967" i="170"/>
  <c r="K967" i="170" s="1"/>
  <c r="I986" i="170"/>
  <c r="K986" i="170" s="1"/>
  <c r="C1091" i="170"/>
  <c r="E1091" i="170" s="1"/>
  <c r="E1094" i="170"/>
  <c r="C1088" i="170"/>
  <c r="E1088" i="170" s="1"/>
  <c r="C767" i="170"/>
  <c r="E767" i="170" s="1"/>
  <c r="C765" i="170"/>
  <c r="E765" i="170" s="1"/>
  <c r="I1263" i="170"/>
  <c r="K1263" i="170" s="1"/>
  <c r="I1258" i="170"/>
  <c r="K1258" i="170" s="1"/>
  <c r="I1256" i="170"/>
  <c r="K1256" i="170" s="1"/>
  <c r="C1005" i="170"/>
  <c r="E1005" i="170" s="1"/>
  <c r="I817" i="170"/>
  <c r="K817" i="170" s="1"/>
  <c r="I821" i="170"/>
  <c r="K821" i="170" s="1"/>
  <c r="I815" i="170"/>
  <c r="K815" i="170" s="1"/>
  <c r="I1103" i="170"/>
  <c r="K1103" i="170" s="1"/>
  <c r="C1021" i="170"/>
  <c r="E1021" i="170" s="1"/>
  <c r="C1024" i="170"/>
  <c r="E1024" i="170" s="1"/>
  <c r="C1018" i="170"/>
  <c r="E1018" i="170" s="1"/>
  <c r="I1157" i="170"/>
  <c r="K1157" i="170" s="1"/>
  <c r="I1159" i="170"/>
  <c r="K1159" i="170" s="1"/>
  <c r="I865" i="170"/>
  <c r="K865" i="170" s="1"/>
  <c r="C1072" i="170"/>
  <c r="E1072" i="170" s="1"/>
  <c r="C1069" i="170"/>
  <c r="E1069" i="170" s="1"/>
  <c r="C1075" i="170"/>
  <c r="E1075" i="170" s="1"/>
  <c r="I920" i="170"/>
  <c r="K920" i="170" s="1"/>
  <c r="I919" i="170"/>
  <c r="K919" i="170" s="1"/>
  <c r="C836" i="170"/>
  <c r="E836" i="170" s="1"/>
  <c r="C838" i="170"/>
  <c r="E838" i="170" s="1"/>
  <c r="I957" i="170"/>
  <c r="K957" i="170" s="1"/>
  <c r="I950" i="170"/>
  <c r="K950" i="170" s="1"/>
  <c r="C870" i="170"/>
  <c r="E870" i="170" s="1"/>
  <c r="C871" i="170"/>
  <c r="E871" i="170" s="1"/>
  <c r="C869" i="170"/>
  <c r="E869" i="170" s="1"/>
  <c r="I1123" i="170"/>
  <c r="K1123" i="170" s="1"/>
  <c r="I801" i="170"/>
  <c r="K801" i="170" s="1"/>
  <c r="I804" i="170"/>
  <c r="K804" i="170" s="1"/>
  <c r="I802" i="170"/>
  <c r="K802" i="170" s="1"/>
  <c r="E907" i="170"/>
  <c r="I1092" i="170"/>
  <c r="K1092" i="170" s="1"/>
  <c r="I1088" i="170"/>
  <c r="K1088" i="170" s="1"/>
  <c r="I781" i="170"/>
  <c r="K781" i="170" s="1"/>
  <c r="I782" i="170"/>
  <c r="K782" i="170" s="1"/>
  <c r="C967" i="170"/>
  <c r="E967" i="170" s="1"/>
  <c r="C973" i="170"/>
  <c r="E973" i="170" s="1"/>
  <c r="C787" i="170"/>
  <c r="E787" i="170" s="1"/>
  <c r="C785" i="170"/>
  <c r="E785" i="170" s="1"/>
  <c r="I1142" i="170"/>
  <c r="K1142" i="170" s="1"/>
  <c r="I1144" i="170"/>
  <c r="K1144" i="170" s="1"/>
  <c r="I1141" i="170"/>
  <c r="K1141" i="170" s="1"/>
  <c r="C1207" i="170"/>
  <c r="E1207" i="170" s="1"/>
  <c r="E1213" i="170"/>
  <c r="I1195" i="170"/>
  <c r="K1195" i="170" s="1"/>
  <c r="I1190" i="170"/>
  <c r="K1190" i="170" s="1"/>
  <c r="I1189" i="170"/>
  <c r="K1189" i="170" s="1"/>
  <c r="C1103" i="170"/>
  <c r="E1103" i="170" s="1"/>
  <c r="C1106" i="170"/>
  <c r="E1106" i="170" s="1"/>
  <c r="I1229" i="170"/>
  <c r="K1229" i="170" s="1"/>
  <c r="I1224" i="170"/>
  <c r="K1224" i="170" s="1"/>
  <c r="I1223" i="170"/>
  <c r="K1223" i="170" s="1"/>
  <c r="C1143" i="170"/>
  <c r="E1143" i="170" s="1"/>
  <c r="C1139" i="170"/>
  <c r="E1139" i="170" s="1"/>
  <c r="C917" i="170"/>
  <c r="E917" i="170" s="1"/>
  <c r="C923" i="170"/>
  <c r="E923" i="170" s="1"/>
  <c r="C916" i="170"/>
  <c r="E916" i="170" s="1"/>
  <c r="I1074" i="170"/>
  <c r="K1074" i="170" s="1"/>
  <c r="I1075" i="170"/>
  <c r="K1075" i="170" s="1"/>
  <c r="E1043" i="170"/>
  <c r="C1039" i="170"/>
  <c r="E1039" i="170" s="1"/>
  <c r="C1041" i="170"/>
  <c r="E1041" i="170" s="1"/>
  <c r="C1260" i="170"/>
  <c r="E1260" i="170" s="1"/>
  <c r="C1259" i="170"/>
  <c r="E1259" i="170" s="1"/>
  <c r="I940" i="170"/>
  <c r="K940" i="170" s="1"/>
  <c r="K941" i="170"/>
  <c r="I933" i="170"/>
  <c r="K933" i="170" s="1"/>
  <c r="C850" i="170"/>
  <c r="E850" i="170" s="1"/>
  <c r="C854" i="170"/>
  <c r="E854" i="170" s="1"/>
  <c r="I1058" i="170"/>
  <c r="K1058" i="170" s="1"/>
  <c r="I1059" i="170"/>
  <c r="K1059" i="170" s="1"/>
  <c r="I1057" i="170"/>
  <c r="K1057" i="170" s="1"/>
  <c r="C1244" i="170"/>
  <c r="E1244" i="170" s="1"/>
  <c r="C1059" i="170"/>
  <c r="E1059" i="170" s="1"/>
  <c r="C1058" i="170"/>
  <c r="E1058" i="170" s="1"/>
  <c r="C1053" i="170"/>
  <c r="E1053" i="170" s="1"/>
  <c r="C986" i="170"/>
  <c r="E986" i="170" s="1"/>
  <c r="I889" i="170"/>
  <c r="K889" i="170" s="1"/>
  <c r="I884" i="170"/>
  <c r="K884" i="170" s="1"/>
  <c r="C815" i="170"/>
  <c r="E815" i="170" s="1"/>
  <c r="C804" i="170"/>
  <c r="E804" i="170" s="1"/>
  <c r="E805" i="170"/>
  <c r="C799" i="170"/>
  <c r="E799" i="170" s="1"/>
  <c r="C954" i="170"/>
  <c r="E954" i="170" s="1"/>
  <c r="C953" i="170"/>
  <c r="E953" i="170" s="1"/>
  <c r="K907" i="170"/>
  <c r="I901" i="170"/>
  <c r="K901" i="170" s="1"/>
  <c r="I900" i="170"/>
  <c r="K900" i="170" s="1"/>
  <c r="I763" i="170"/>
  <c r="K763" i="170" s="1"/>
  <c r="I766" i="170"/>
  <c r="K766" i="170" s="1"/>
  <c r="C1190" i="170"/>
  <c r="E1190" i="170" s="1"/>
  <c r="C1191" i="170"/>
  <c r="E1191" i="170" s="1"/>
  <c r="C1193" i="170"/>
  <c r="E1193" i="170" s="1"/>
  <c r="K856" i="170"/>
  <c r="I854" i="170"/>
  <c r="K854" i="170" s="1"/>
  <c r="C1178" i="170"/>
  <c r="E1178" i="170" s="1"/>
  <c r="C1173" i="170"/>
  <c r="E1173" i="170" s="1"/>
  <c r="C1172" i="170"/>
  <c r="E1172" i="170" s="1"/>
  <c r="I1242" i="170"/>
  <c r="K1242" i="170" s="1"/>
  <c r="K1247" i="170"/>
  <c r="I1211" i="170"/>
  <c r="K1211" i="170" s="1"/>
  <c r="I1210" i="170"/>
  <c r="K1210" i="170" s="1"/>
  <c r="C1127" i="170"/>
  <c r="E1127" i="170" s="1"/>
  <c r="C1125" i="170"/>
  <c r="E1125" i="170" s="1"/>
  <c r="I831" i="170"/>
  <c r="K831" i="170" s="1"/>
  <c r="I834" i="170"/>
  <c r="K834" i="170" s="1"/>
  <c r="C889" i="170"/>
  <c r="E889" i="170" s="1"/>
  <c r="C882" i="170"/>
  <c r="E882" i="170" s="1"/>
  <c r="I1040" i="170"/>
  <c r="K1040" i="170" s="1"/>
  <c r="I1041" i="170"/>
  <c r="K1041" i="170" s="1"/>
  <c r="I1023" i="170"/>
  <c r="K1023" i="170" s="1"/>
  <c r="I1024" i="170"/>
  <c r="K1024" i="170" s="1"/>
  <c r="K1026" i="170"/>
  <c r="C1160" i="170"/>
  <c r="E1160" i="170" s="1"/>
  <c r="C1159" i="170"/>
  <c r="E1159" i="170" s="1"/>
  <c r="C939" i="170"/>
  <c r="E939" i="170" s="1"/>
  <c r="C940" i="170"/>
  <c r="E940" i="170" s="1"/>
  <c r="C938" i="170"/>
  <c r="E938" i="170" s="1"/>
  <c r="C1228" i="170"/>
  <c r="E1228" i="170" s="1"/>
  <c r="C1227" i="170"/>
  <c r="E1227" i="170" s="1"/>
  <c r="K1179" i="170"/>
  <c r="I1178" i="170"/>
  <c r="K1178" i="170" s="1"/>
  <c r="I1172" i="170"/>
  <c r="K1172" i="170" s="1"/>
  <c r="I1003" i="170"/>
  <c r="K1003" i="170" s="1"/>
  <c r="I1002" i="170"/>
  <c r="K1002" i="170" s="1"/>
  <c r="I973" i="170"/>
  <c r="K973" i="170" s="1"/>
  <c r="I974" i="170"/>
  <c r="K974" i="170" s="1"/>
  <c r="I972" i="170"/>
  <c r="K972" i="170" s="1"/>
  <c r="I989" i="170"/>
  <c r="K989" i="170" s="1"/>
  <c r="I987" i="170"/>
  <c r="K987" i="170" s="1"/>
  <c r="C1093" i="170"/>
  <c r="E1093" i="170" s="1"/>
  <c r="C1092" i="170"/>
  <c r="E1092" i="170" s="1"/>
  <c r="C1087" i="170"/>
  <c r="E1087" i="170" s="1"/>
  <c r="C770" i="170"/>
  <c r="E770" i="170" s="1"/>
  <c r="C763" i="170"/>
  <c r="E763" i="170" s="1"/>
  <c r="I1257" i="170"/>
  <c r="K1257" i="170" s="1"/>
  <c r="I1261" i="170"/>
  <c r="K1261" i="170" s="1"/>
  <c r="I1262" i="170"/>
  <c r="K1262" i="170" s="1"/>
  <c r="C1001" i="170"/>
  <c r="E1001" i="170" s="1"/>
  <c r="C1007" i="170"/>
  <c r="E1007" i="170" s="1"/>
  <c r="K822" i="170"/>
  <c r="I816" i="170"/>
  <c r="K816" i="170" s="1"/>
  <c r="I819" i="170"/>
  <c r="K819" i="170" s="1"/>
  <c r="I1105" i="170"/>
  <c r="K1105" i="170" s="1"/>
  <c r="I1106" i="170"/>
  <c r="K1106" i="170" s="1"/>
  <c r="E1026" i="170"/>
  <c r="C1019" i="170"/>
  <c r="E1019" i="170" s="1"/>
  <c r="C1022" i="170"/>
  <c r="E1022" i="170" s="1"/>
  <c r="I1155" i="170"/>
  <c r="K1155" i="170" s="1"/>
  <c r="I1161" i="170"/>
  <c r="K1161" i="170" s="1"/>
  <c r="I1154" i="170"/>
  <c r="K1154" i="170" s="1"/>
  <c r="I867" i="170"/>
  <c r="K867" i="170" s="1"/>
  <c r="I868" i="170"/>
  <c r="K868" i="170" s="1"/>
  <c r="E1077" i="170"/>
  <c r="C1073" i="170"/>
  <c r="E1073" i="170" s="1"/>
  <c r="C1071" i="170"/>
  <c r="E1071" i="170" s="1"/>
  <c r="I916" i="170"/>
  <c r="K916" i="170" s="1"/>
  <c r="K924" i="170"/>
  <c r="C832" i="170"/>
  <c r="E832" i="170" s="1"/>
  <c r="C831" i="170"/>
  <c r="E831" i="170" s="1"/>
  <c r="C834" i="170"/>
  <c r="E834" i="170" s="1"/>
  <c r="I952" i="170"/>
  <c r="K952" i="170" s="1"/>
  <c r="I954" i="170"/>
  <c r="K954" i="170" s="1"/>
  <c r="C872" i="170"/>
  <c r="E872" i="170" s="1"/>
  <c r="C867" i="170"/>
  <c r="E867" i="170" s="1"/>
  <c r="C866" i="170"/>
  <c r="E866" i="170" s="1"/>
  <c r="I1122" i="170"/>
  <c r="K1122" i="170" s="1"/>
  <c r="K1128" i="170"/>
  <c r="I803" i="170"/>
  <c r="K803" i="170" s="1"/>
  <c r="K805" i="170"/>
  <c r="I798" i="170"/>
  <c r="K798" i="170" s="1"/>
  <c r="C901" i="170"/>
  <c r="E901" i="170" s="1"/>
  <c r="C900" i="170"/>
  <c r="E900" i="170" s="1"/>
  <c r="I1087" i="170"/>
  <c r="K1087" i="170" s="1"/>
  <c r="I1086" i="170"/>
  <c r="K1086" i="170" s="1"/>
  <c r="I780" i="170"/>
  <c r="K780" i="170" s="1"/>
  <c r="I784" i="170"/>
  <c r="K784" i="170" s="1"/>
  <c r="C972" i="170"/>
  <c r="E972" i="170" s="1"/>
  <c r="C969" i="170"/>
  <c r="E969" i="170" s="1"/>
  <c r="C970" i="170"/>
  <c r="E970" i="170" s="1"/>
  <c r="C783" i="170"/>
  <c r="E783" i="170" s="1"/>
  <c r="C786" i="170"/>
  <c r="E786" i="170" s="1"/>
  <c r="I1143" i="170"/>
  <c r="K1143" i="170" s="1"/>
  <c r="K1145" i="170"/>
  <c r="C1209" i="170"/>
  <c r="E1209" i="170" s="1"/>
  <c r="C1212" i="170"/>
  <c r="E1212" i="170" s="1"/>
  <c r="C1206" i="170"/>
  <c r="E1206" i="170" s="1"/>
  <c r="K1196" i="170"/>
  <c r="I1192" i="170"/>
  <c r="K1192" i="170" s="1"/>
  <c r="C1108" i="170"/>
  <c r="E1108" i="170" s="1"/>
  <c r="C1109" i="170"/>
  <c r="E1109" i="170" s="1"/>
  <c r="C1104" i="170"/>
  <c r="E1104" i="170" s="1"/>
  <c r="K1230" i="170"/>
  <c r="I1228" i="170"/>
  <c r="K1228" i="170" s="1"/>
  <c r="C1140" i="170"/>
  <c r="E1140" i="170" s="1"/>
  <c r="C1138" i="170"/>
  <c r="E1138" i="170" s="1"/>
  <c r="C1141" i="170"/>
  <c r="E1141" i="170" s="1"/>
  <c r="C918" i="170"/>
  <c r="E918" i="170" s="1"/>
  <c r="C920" i="170"/>
  <c r="E920" i="170" s="1"/>
  <c r="K1077" i="170"/>
  <c r="I1069" i="170"/>
  <c r="K1069" i="170" s="1"/>
  <c r="I1076" i="170"/>
  <c r="K1076" i="170" s="1"/>
  <c r="C1042" i="170"/>
  <c r="E1042" i="170" s="1"/>
  <c r="C1036" i="170"/>
  <c r="E1036" i="170" s="1"/>
  <c r="C1262" i="170"/>
  <c r="E1262" i="170" s="1"/>
  <c r="C1263" i="170"/>
  <c r="E1263" i="170" s="1"/>
  <c r="I938" i="170"/>
  <c r="K938" i="170" s="1"/>
  <c r="C853" i="170"/>
  <c r="E853" i="170" s="1"/>
  <c r="C848" i="170"/>
  <c r="E848" i="170" s="1"/>
  <c r="C851" i="170"/>
  <c r="E851" i="170" s="1"/>
  <c r="I1052" i="170"/>
  <c r="K1052" i="170" s="1"/>
  <c r="C1242" i="170"/>
  <c r="E1242" i="170" s="1"/>
  <c r="C1240" i="170"/>
  <c r="E1240" i="170" s="1"/>
  <c r="C1245" i="170"/>
  <c r="E1245" i="170" s="1"/>
  <c r="C1056" i="170"/>
  <c r="E1056" i="170" s="1"/>
  <c r="C987" i="170"/>
  <c r="E987" i="170" s="1"/>
  <c r="C990" i="170"/>
  <c r="E990" i="170" s="1"/>
  <c r="C988" i="170"/>
  <c r="E988" i="170" s="1"/>
  <c r="I886" i="170"/>
  <c r="K886" i="170" s="1"/>
  <c r="I885" i="170"/>
  <c r="K885" i="170" s="1"/>
  <c r="C817" i="170"/>
  <c r="E817" i="170" s="1"/>
  <c r="E822" i="170"/>
  <c r="C816" i="170"/>
  <c r="E816" i="170" s="1"/>
  <c r="C803" i="170"/>
  <c r="E803" i="170" s="1"/>
  <c r="C956" i="170"/>
  <c r="E956" i="170" s="1"/>
  <c r="C957" i="170"/>
  <c r="E957" i="170" s="1"/>
  <c r="C951" i="170"/>
  <c r="E951" i="170" s="1"/>
  <c r="I905" i="170"/>
  <c r="K905" i="170" s="1"/>
  <c r="I899" i="170"/>
  <c r="K899" i="170" s="1"/>
  <c r="K771" i="170"/>
  <c r="I770" i="170"/>
  <c r="K770" i="170" s="1"/>
  <c r="I764" i="170"/>
  <c r="K764" i="170" s="1"/>
  <c r="C1195" i="170"/>
  <c r="E1195" i="170" s="1"/>
  <c r="C1188" i="170"/>
  <c r="E1188" i="170" s="1"/>
  <c r="I853" i="170"/>
  <c r="K853" i="170" s="1"/>
  <c r="I855" i="170"/>
  <c r="K855" i="170" s="1"/>
  <c r="E1179" i="170"/>
  <c r="C1175" i="170"/>
  <c r="E1175" i="170" s="1"/>
  <c r="I1245" i="170"/>
  <c r="K1245" i="170" s="1"/>
  <c r="I1243" i="170"/>
  <c r="K1243" i="170" s="1"/>
  <c r="I1208" i="170"/>
  <c r="K1208" i="170" s="1"/>
  <c r="I1212" i="170"/>
  <c r="K1212" i="170" s="1"/>
  <c r="C1120" i="170"/>
  <c r="E1120" i="170" s="1"/>
  <c r="C1123" i="170"/>
  <c r="E1123" i="170" s="1"/>
  <c r="I836" i="170"/>
  <c r="K836" i="170" s="1"/>
  <c r="I837" i="170"/>
  <c r="K837" i="170" s="1"/>
  <c r="I835" i="170"/>
  <c r="K835" i="170" s="1"/>
  <c r="C885" i="170"/>
  <c r="E885" i="170" s="1"/>
  <c r="C887" i="170"/>
  <c r="E887" i="170" s="1"/>
  <c r="K1043" i="170"/>
  <c r="I1035" i="170"/>
  <c r="K1035" i="170" s="1"/>
  <c r="I1038" i="170"/>
  <c r="K1038" i="170" s="1"/>
  <c r="I1020" i="170"/>
  <c r="K1020" i="170" s="1"/>
  <c r="I1018" i="170"/>
  <c r="K1018" i="170" s="1"/>
  <c r="C1157" i="170"/>
  <c r="E1157" i="170" s="1"/>
  <c r="C1161" i="170"/>
  <c r="E1161" i="170" s="1"/>
  <c r="E941" i="170"/>
  <c r="C1226" i="170"/>
  <c r="E1226" i="170" s="1"/>
  <c r="C1224" i="170"/>
  <c r="E1224" i="170" s="1"/>
  <c r="I1171" i="170"/>
  <c r="K1171" i="170" s="1"/>
  <c r="I1005" i="170"/>
  <c r="K1005" i="170" s="1"/>
  <c r="I1004" i="170"/>
  <c r="K1004" i="170" s="1"/>
  <c r="I1001" i="170"/>
  <c r="K1001" i="170" s="1"/>
  <c r="K975" i="170"/>
  <c r="K992" i="170"/>
  <c r="I991" i="170"/>
  <c r="K991" i="170" s="1"/>
  <c r="I984" i="170"/>
  <c r="K984" i="170" s="1"/>
  <c r="C1090" i="170"/>
  <c r="E1090" i="170" s="1"/>
  <c r="C766" i="170"/>
  <c r="E766" i="170" s="1"/>
  <c r="C768" i="170"/>
  <c r="E768" i="170" s="1"/>
  <c r="K1264" i="170"/>
  <c r="C1006" i="170"/>
  <c r="E1006" i="170" s="1"/>
  <c r="C1003" i="170"/>
  <c r="E1003" i="170" s="1"/>
  <c r="E1009" i="170"/>
  <c r="I814" i="170"/>
  <c r="K814" i="170" s="1"/>
  <c r="I1107" i="170"/>
  <c r="K1107" i="170" s="1"/>
  <c r="K1111" i="170"/>
  <c r="I1110" i="170"/>
  <c r="K1110" i="170" s="1"/>
  <c r="C1023" i="170"/>
  <c r="E1023" i="170" s="1"/>
  <c r="C1025" i="170"/>
  <c r="E1025" i="170" s="1"/>
  <c r="I1156" i="170"/>
  <c r="K1156" i="170" s="1"/>
  <c r="I1158" i="170"/>
  <c r="K1158" i="170" s="1"/>
  <c r="I869" i="170"/>
  <c r="K869" i="170" s="1"/>
  <c r="K873" i="170"/>
  <c r="I872" i="170"/>
  <c r="K872" i="170" s="1"/>
  <c r="C1076" i="170"/>
  <c r="E1076" i="170" s="1"/>
  <c r="C1070" i="170"/>
  <c r="E1070" i="170" s="1"/>
  <c r="I921" i="170"/>
  <c r="K921" i="170" s="1"/>
  <c r="I922" i="170"/>
  <c r="K922" i="170" s="1"/>
  <c r="I917" i="170"/>
  <c r="K917" i="170" s="1"/>
  <c r="C835" i="170"/>
  <c r="E835" i="170" s="1"/>
  <c r="C833" i="170"/>
  <c r="E833" i="170" s="1"/>
  <c r="I955" i="170"/>
  <c r="K955" i="170" s="1"/>
  <c r="I951" i="170"/>
  <c r="K951" i="170" s="1"/>
  <c r="E873" i="170"/>
  <c r="I1124" i="170"/>
  <c r="K1124" i="170" s="1"/>
  <c r="I1127" i="170"/>
  <c r="K1127" i="170" s="1"/>
  <c r="I1121" i="170"/>
  <c r="K1121" i="170" s="1"/>
  <c r="I797" i="170"/>
  <c r="K797" i="170" s="1"/>
  <c r="C903" i="170"/>
  <c r="E903" i="170" s="1"/>
  <c r="C902" i="170"/>
  <c r="E902" i="170" s="1"/>
  <c r="C899" i="170"/>
  <c r="E899" i="170" s="1"/>
  <c r="I1089" i="170"/>
  <c r="K1089" i="170" s="1"/>
  <c r="I1091" i="170"/>
  <c r="K1091" i="170" s="1"/>
  <c r="I1093" i="170"/>
  <c r="K1093" i="170" s="1"/>
  <c r="I783" i="170"/>
  <c r="K783" i="170" s="1"/>
  <c r="K788" i="170"/>
  <c r="C974" i="170"/>
  <c r="E974" i="170" s="1"/>
  <c r="C968" i="170"/>
  <c r="E968" i="170" s="1"/>
  <c r="E788" i="170"/>
  <c r="C781" i="170"/>
  <c r="E781" i="170" s="1"/>
  <c r="C782" i="170"/>
  <c r="E782" i="170" s="1"/>
  <c r="I1137" i="170"/>
  <c r="K1137" i="170" s="1"/>
  <c r="C1211" i="170"/>
  <c r="E1211" i="170" s="1"/>
  <c r="C1210" i="170"/>
  <c r="E1210" i="170" s="1"/>
  <c r="C1205" i="170"/>
  <c r="E1205" i="170" s="1"/>
  <c r="I1188" i="170"/>
  <c r="K1188" i="170" s="1"/>
  <c r="C1110" i="170"/>
  <c r="E1110" i="170" s="1"/>
  <c r="C1105" i="170"/>
  <c r="E1105" i="170" s="1"/>
  <c r="C1107" i="170"/>
  <c r="E1107" i="170" s="1"/>
  <c r="I1222" i="170"/>
  <c r="K1222" i="170" s="1"/>
  <c r="I1226" i="170"/>
  <c r="K1226" i="170" s="1"/>
  <c r="E1145" i="170"/>
  <c r="C1142" i="170"/>
  <c r="E1142" i="170" s="1"/>
  <c r="C921" i="170"/>
  <c r="E921" i="170" s="1"/>
  <c r="I1070" i="170"/>
  <c r="K1070" i="170" s="1"/>
  <c r="I1073" i="170"/>
  <c r="K1073" i="170" s="1"/>
  <c r="I1072" i="170"/>
  <c r="K1072" i="170" s="1"/>
  <c r="C1040" i="170"/>
  <c r="E1040" i="170" s="1"/>
  <c r="E1264" i="170"/>
  <c r="C1256" i="170"/>
  <c r="E1256" i="170" s="1"/>
  <c r="C1257" i="170"/>
  <c r="E1257" i="170" s="1"/>
  <c r="I939" i="170"/>
  <c r="K939" i="170" s="1"/>
  <c r="I936" i="170"/>
  <c r="K936" i="170" s="1"/>
  <c r="E856" i="170"/>
  <c r="C852" i="170"/>
  <c r="E852" i="170" s="1"/>
  <c r="C855" i="170"/>
  <c r="E855" i="170" s="1"/>
  <c r="I1054" i="170"/>
  <c r="K1054" i="170" s="1"/>
  <c r="I1053" i="170"/>
  <c r="K1053" i="170" s="1"/>
  <c r="E1247" i="170"/>
  <c r="C1243" i="170"/>
  <c r="E1243" i="170" s="1"/>
  <c r="C1239" i="170"/>
  <c r="E1239" i="170" s="1"/>
  <c r="C1052" i="170"/>
  <c r="E1052" i="170" s="1"/>
  <c r="C1055" i="170"/>
  <c r="E1055" i="170" s="1"/>
  <c r="E992" i="170"/>
  <c r="C985" i="170"/>
  <c r="E985" i="170" s="1"/>
  <c r="C984" i="170"/>
  <c r="E984" i="170" s="1"/>
  <c r="I882" i="170"/>
  <c r="K882" i="170" s="1"/>
  <c r="K890" i="170"/>
  <c r="C820" i="170"/>
  <c r="E820" i="170" s="1"/>
  <c r="C818" i="170"/>
  <c r="E818" i="170" s="1"/>
  <c r="C814" i="170"/>
  <c r="E814" i="170" s="1"/>
  <c r="C797" i="170"/>
  <c r="E797" i="170" s="1"/>
  <c r="C798" i="170"/>
  <c r="E798" i="170" s="1"/>
  <c r="E958" i="170"/>
  <c r="C950" i="170"/>
  <c r="E950" i="170" s="1"/>
  <c r="C955" i="170"/>
  <c r="E955" i="170" s="1"/>
  <c r="I903" i="170"/>
  <c r="K903" i="170" s="1"/>
  <c r="I768" i="170"/>
  <c r="K768" i="170" s="1"/>
  <c r="I765" i="170"/>
  <c r="K765" i="170" s="1"/>
  <c r="I767" i="170"/>
  <c r="K767" i="170" s="1"/>
  <c r="C1194" i="170"/>
  <c r="E1194" i="170" s="1"/>
  <c r="C1192" i="170"/>
  <c r="E1192" i="170" s="1"/>
  <c r="I849" i="170"/>
  <c r="K849" i="170" s="1"/>
  <c r="I848" i="170"/>
  <c r="K848" i="170" s="1"/>
  <c r="I851" i="170"/>
  <c r="K851" i="170" s="1"/>
  <c r="C1171" i="170"/>
  <c r="E1171" i="170" s="1"/>
  <c r="I1240" i="170"/>
  <c r="K1240" i="170" s="1"/>
  <c r="I1246" i="170"/>
  <c r="K1246" i="170" s="1"/>
  <c r="I1244" i="170"/>
  <c r="K1244" i="170" s="1"/>
  <c r="K1213" i="170"/>
  <c r="I1209" i="170"/>
  <c r="K1209" i="170" s="1"/>
  <c r="I1207" i="170"/>
  <c r="K1207" i="170" s="1"/>
  <c r="E1128" i="170"/>
  <c r="C1122" i="170"/>
  <c r="E1122" i="170" s="1"/>
  <c r="I838" i="170"/>
  <c r="K838" i="170" s="1"/>
  <c r="I833" i="170"/>
  <c r="K833" i="170" s="1"/>
  <c r="I832" i="170"/>
  <c r="K832" i="170" s="1"/>
  <c r="E890" i="170"/>
  <c r="C884" i="170"/>
  <c r="E884" i="170" s="1"/>
  <c r="I1036" i="170"/>
  <c r="K1036" i="170" s="1"/>
  <c r="I1039" i="170"/>
  <c r="K1039" i="170" s="1"/>
  <c r="I1022" i="170"/>
  <c r="K1022" i="170" s="1"/>
  <c r="I1021" i="170"/>
  <c r="K1021" i="170" s="1"/>
  <c r="E1162" i="170"/>
  <c r="C1158" i="170"/>
  <c r="E1158" i="170" s="1"/>
  <c r="C1156" i="170"/>
  <c r="E1156" i="170" s="1"/>
  <c r="C935" i="170"/>
  <c r="E935" i="170" s="1"/>
  <c r="C934" i="170"/>
  <c r="E934" i="170" s="1"/>
  <c r="C1223" i="170"/>
  <c r="E1223" i="170" s="1"/>
  <c r="C1222" i="170"/>
  <c r="E1222" i="170" s="1"/>
  <c r="E1230" i="170"/>
  <c r="I1173" i="170"/>
  <c r="K1173" i="170" s="1"/>
  <c r="I1175" i="170"/>
  <c r="K1175" i="170" s="1"/>
  <c r="I1007" i="170"/>
  <c r="K1007" i="170" s="1"/>
  <c r="I1008" i="170"/>
  <c r="K1008" i="170" s="1"/>
  <c r="I1006" i="170"/>
  <c r="K1006" i="170" s="1"/>
  <c r="I969" i="170"/>
  <c r="K969" i="170" s="1"/>
  <c r="I968" i="170"/>
  <c r="K968" i="170" s="1"/>
  <c r="I985" i="170"/>
  <c r="K985" i="170" s="1"/>
  <c r="I990" i="170"/>
  <c r="K990" i="170" s="1"/>
  <c r="I988" i="170"/>
  <c r="K988" i="170" s="1"/>
  <c r="C1086" i="170"/>
  <c r="E1086" i="170" s="1"/>
  <c r="C1089" i="170"/>
  <c r="E1089" i="170" s="1"/>
  <c r="E771" i="170"/>
  <c r="C764" i="170"/>
  <c r="E764" i="170" s="1"/>
  <c r="C769" i="170"/>
  <c r="E769" i="170" s="1"/>
  <c r="I1260" i="170"/>
  <c r="K1260" i="170" s="1"/>
  <c r="I1259" i="170"/>
  <c r="K1259" i="170" s="1"/>
  <c r="C1008" i="170"/>
  <c r="E1008" i="170" s="1"/>
  <c r="C1002" i="170"/>
  <c r="E1002" i="170" s="1"/>
  <c r="C1004" i="170"/>
  <c r="E1004" i="170" s="1"/>
  <c r="I820" i="170"/>
  <c r="K820" i="170" s="1"/>
  <c r="I818" i="170"/>
  <c r="K818" i="170" s="1"/>
  <c r="I1109" i="170"/>
  <c r="K1109" i="170" s="1"/>
  <c r="I1108" i="170"/>
  <c r="K1108" i="170" s="1"/>
  <c r="I1104" i="170"/>
  <c r="K1104" i="170" s="1"/>
  <c r="C1020" i="170"/>
  <c r="E1020" i="170" s="1"/>
  <c r="I1160" i="170"/>
  <c r="K1160" i="170" s="1"/>
  <c r="K1162" i="170"/>
  <c r="I871" i="170"/>
  <c r="K871" i="170" s="1"/>
  <c r="I870" i="170"/>
  <c r="K870" i="170" s="1"/>
  <c r="I866" i="170"/>
  <c r="K866" i="170" s="1"/>
  <c r="C1074" i="170"/>
  <c r="E1074" i="170" s="1"/>
  <c r="I923" i="170"/>
  <c r="K923" i="170" s="1"/>
  <c r="I918" i="170"/>
  <c r="K918" i="170" s="1"/>
  <c r="E839" i="170"/>
  <c r="C837" i="170"/>
  <c r="E837" i="170" s="1"/>
  <c r="K958" i="170"/>
  <c r="I953" i="170"/>
  <c r="K953" i="170" s="1"/>
  <c r="I956" i="170"/>
  <c r="K956" i="170" s="1"/>
  <c r="C865" i="170"/>
  <c r="E865" i="170" s="1"/>
  <c r="C868" i="170"/>
  <c r="E868" i="170" s="1"/>
  <c r="I1126" i="170"/>
  <c r="K1126" i="170" s="1"/>
  <c r="I1125" i="170"/>
  <c r="K1125" i="170" s="1"/>
  <c r="I1120" i="170"/>
  <c r="K1120" i="170" s="1"/>
  <c r="I799" i="170"/>
  <c r="K799" i="170" s="1"/>
  <c r="I800" i="170"/>
  <c r="K800" i="170" s="1"/>
  <c r="C905" i="170"/>
  <c r="E905" i="170" s="1"/>
  <c r="C906" i="170"/>
  <c r="E906" i="170" s="1"/>
  <c r="C904" i="170"/>
  <c r="E904" i="170" s="1"/>
  <c r="I753" i="170"/>
  <c r="K753" i="170" s="1"/>
  <c r="I747" i="170"/>
  <c r="K747" i="170" s="1"/>
  <c r="I752" i="170"/>
  <c r="K752" i="170" s="1"/>
  <c r="I748" i="170"/>
  <c r="K748" i="170" s="1"/>
  <c r="I750" i="170"/>
  <c r="K750" i="170" s="1"/>
  <c r="I751" i="170"/>
  <c r="K751" i="170" s="1"/>
  <c r="I746" i="170"/>
  <c r="K746" i="170" s="1"/>
  <c r="K754" i="170"/>
  <c r="I749" i="170"/>
  <c r="K749" i="170" s="1"/>
  <c r="H160" i="132"/>
  <c r="H126" i="132"/>
  <c r="H153" i="132"/>
  <c r="H111" i="132"/>
  <c r="H134" i="132"/>
  <c r="H112" i="132"/>
  <c r="H106" i="132"/>
  <c r="H147" i="132"/>
  <c r="H119" i="132"/>
  <c r="H124" i="132"/>
  <c r="H123" i="132"/>
  <c r="H127" i="132"/>
  <c r="H145" i="132"/>
  <c r="H129" i="132"/>
  <c r="H158" i="132"/>
  <c r="H102" i="132"/>
  <c r="H133" i="132"/>
  <c r="H116" i="132"/>
  <c r="H128" i="132"/>
  <c r="H114" i="132"/>
  <c r="M17" i="101"/>
  <c r="V9" i="9"/>
  <c r="K87" i="170"/>
  <c r="K155" i="170"/>
  <c r="K223" i="170"/>
  <c r="K362" i="170"/>
  <c r="E70" i="170"/>
  <c r="E138" i="170"/>
  <c r="E344" i="170"/>
  <c r="E482" i="170"/>
  <c r="E550" i="170"/>
  <c r="L102" i="151"/>
  <c r="L101" i="151" s="1"/>
  <c r="G164" i="132"/>
  <c r="H162" i="132"/>
  <c r="F163" i="132"/>
  <c r="F162" i="132"/>
  <c r="F164" i="132"/>
  <c r="H163" i="132"/>
  <c r="G162" i="132"/>
  <c r="H164" i="132"/>
  <c r="G163" i="132"/>
  <c r="Z79" i="101"/>
  <c r="AA79" i="101" s="1"/>
  <c r="K162" i="132"/>
  <c r="M162" i="132" s="1"/>
  <c r="F159" i="132"/>
  <c r="F158" i="132"/>
  <c r="F161" i="132"/>
  <c r="F160" i="132"/>
  <c r="Z80" i="101"/>
  <c r="K163" i="132"/>
  <c r="M163" i="132" s="1"/>
  <c r="Z81" i="101"/>
  <c r="AA81" i="101" s="1"/>
  <c r="K164" i="132"/>
  <c r="M164" i="132" s="1"/>
  <c r="G160" i="132"/>
  <c r="G161" i="132"/>
  <c r="G158" i="132"/>
  <c r="G159" i="132"/>
  <c r="T168" i="151"/>
  <c r="E189" i="170"/>
  <c r="E379" i="170"/>
  <c r="E223" i="170"/>
  <c r="E500" i="170"/>
  <c r="K17" i="151"/>
  <c r="K15" i="151" s="1"/>
  <c r="M17" i="151"/>
  <c r="M15" i="151" s="1"/>
  <c r="K500" i="170"/>
  <c r="X9" i="9"/>
  <c r="W9" i="9"/>
  <c r="E292" i="170"/>
  <c r="E431" i="170"/>
  <c r="K567" i="170"/>
  <c r="G104" i="132"/>
  <c r="G124" i="132"/>
  <c r="G103" i="132"/>
  <c r="G105" i="132"/>
  <c r="G147" i="132"/>
  <c r="G120" i="132"/>
  <c r="G123" i="132"/>
  <c r="G145" i="132"/>
  <c r="G110" i="132"/>
  <c r="G132" i="132"/>
  <c r="G106" i="132"/>
  <c r="G114" i="132"/>
  <c r="G146" i="132"/>
  <c r="G151" i="132"/>
  <c r="G152" i="132"/>
  <c r="G111" i="132"/>
  <c r="G143" i="132"/>
  <c r="G149" i="132"/>
  <c r="G117" i="132"/>
  <c r="G156" i="132"/>
  <c r="G137" i="132"/>
  <c r="G150" i="132"/>
  <c r="G101" i="132"/>
  <c r="G148" i="132"/>
  <c r="G154" i="132"/>
  <c r="G129" i="132"/>
  <c r="G112" i="132"/>
  <c r="G155" i="132"/>
  <c r="G136" i="132"/>
  <c r="G118" i="132"/>
  <c r="G108" i="132"/>
  <c r="G127" i="132"/>
  <c r="G153" i="132"/>
  <c r="G157" i="132"/>
  <c r="G122" i="132"/>
  <c r="G125" i="132"/>
  <c r="G126" i="132"/>
  <c r="G115" i="132"/>
  <c r="G144" i="132"/>
  <c r="G139" i="132"/>
  <c r="G128" i="132"/>
  <c r="G109" i="132"/>
  <c r="G141" i="132"/>
  <c r="G107" i="132"/>
  <c r="G134" i="132"/>
  <c r="G140" i="132"/>
  <c r="G121" i="132"/>
  <c r="G119" i="132"/>
  <c r="G116" i="132"/>
  <c r="G142" i="132"/>
  <c r="G102" i="132"/>
  <c r="G131" i="132"/>
  <c r="G113" i="132"/>
  <c r="G133" i="132"/>
  <c r="G130" i="132"/>
  <c r="G135" i="132"/>
  <c r="G138" i="132"/>
  <c r="E275" i="170"/>
  <c r="E414" i="170"/>
  <c r="K121" i="170"/>
  <c r="K464" i="170"/>
  <c r="E104" i="170"/>
  <c r="E172" i="170"/>
  <c r="K292" i="170"/>
  <c r="K53" i="170"/>
  <c r="E258" i="170"/>
  <c r="E396" i="170"/>
  <c r="E206" i="170"/>
  <c r="E121" i="170"/>
  <c r="E464" i="170"/>
  <c r="K70" i="170"/>
  <c r="K138" i="170"/>
  <c r="K206" i="170"/>
  <c r="K275" i="170"/>
  <c r="K344" i="170"/>
  <c r="K414" i="170"/>
  <c r="E87" i="170"/>
  <c r="E155" i="170"/>
  <c r="K172" i="170"/>
  <c r="K379" i="170"/>
  <c r="E362" i="170"/>
  <c r="K104" i="170"/>
  <c r="K241" i="170"/>
  <c r="K309" i="170"/>
  <c r="K258" i="170"/>
  <c r="K326" i="170"/>
  <c r="K396" i="170"/>
  <c r="K534" i="170"/>
  <c r="E241" i="170"/>
  <c r="E309" i="170"/>
  <c r="E448" i="170"/>
  <c r="E517" i="170"/>
  <c r="K482" i="170"/>
  <c r="E534" i="170"/>
  <c r="K448" i="170"/>
  <c r="K517" i="170"/>
  <c r="K584" i="170"/>
  <c r="E567" i="170"/>
  <c r="E584" i="170"/>
  <c r="K431" i="170"/>
  <c r="E326" i="170"/>
  <c r="F108" i="132"/>
  <c r="F139" i="132"/>
  <c r="F103" i="132"/>
  <c r="F156" i="132"/>
  <c r="F127" i="132"/>
  <c r="F144" i="132"/>
  <c r="F105" i="132"/>
  <c r="F149" i="132"/>
  <c r="F129" i="132"/>
  <c r="F109" i="132"/>
  <c r="F155" i="132"/>
  <c r="F133" i="132"/>
  <c r="F113" i="132"/>
  <c r="F131" i="132"/>
  <c r="F123" i="132"/>
  <c r="F106" i="132"/>
  <c r="F134" i="132"/>
  <c r="F114" i="132"/>
  <c r="F126" i="132"/>
  <c r="F104" i="132"/>
  <c r="F145" i="132"/>
  <c r="F125" i="132"/>
  <c r="F124" i="132"/>
  <c r="F115" i="132"/>
  <c r="F140" i="132"/>
  <c r="F146" i="132"/>
  <c r="F148" i="132"/>
  <c r="F150" i="132"/>
  <c r="F130" i="132"/>
  <c r="F142" i="132"/>
  <c r="F128" i="132"/>
  <c r="F119" i="132"/>
  <c r="F136" i="132"/>
  <c r="F147" i="132"/>
  <c r="F107" i="132"/>
  <c r="F132" i="132"/>
  <c r="F110" i="132"/>
  <c r="F138" i="132"/>
  <c r="F102" i="132"/>
  <c r="F143" i="132"/>
  <c r="F122" i="132"/>
  <c r="F151" i="132"/>
  <c r="F111" i="132"/>
  <c r="F117" i="132"/>
  <c r="F141" i="132"/>
  <c r="F121" i="132"/>
  <c r="F154" i="132"/>
  <c r="F118" i="132"/>
  <c r="F112" i="132"/>
  <c r="F135" i="132"/>
  <c r="F152" i="132"/>
  <c r="F116" i="132"/>
  <c r="F153" i="132"/>
  <c r="F120" i="132"/>
  <c r="F157" i="132"/>
  <c r="F137" i="132"/>
  <c r="F101" i="132"/>
  <c r="K550" i="170"/>
  <c r="K36" i="170"/>
  <c r="K189" i="170"/>
  <c r="C1292" i="170"/>
  <c r="E1292" i="170" s="1"/>
  <c r="C1290" i="170"/>
  <c r="E1290" i="170" s="1"/>
  <c r="C1291" i="170"/>
  <c r="E1291" i="170" s="1"/>
  <c r="C1297" i="170"/>
  <c r="E1297" i="170" s="1"/>
  <c r="C1295" i="170"/>
  <c r="E1295" i="170" s="1"/>
  <c r="C1293" i="170"/>
  <c r="E1293" i="170" s="1"/>
  <c r="C1296" i="170"/>
  <c r="E1296" i="170" s="1"/>
  <c r="C1294" i="170"/>
  <c r="E1294" i="170" s="1"/>
  <c r="O17" i="101"/>
  <c r="O83" i="101" s="1"/>
  <c r="E1270" i="170"/>
  <c r="E1287" i="170"/>
  <c r="K1270" i="170"/>
  <c r="E947" i="170"/>
  <c r="E828" i="170"/>
  <c r="K760" i="170"/>
  <c r="K1185" i="170"/>
  <c r="K947" i="170"/>
  <c r="K1134" i="170"/>
  <c r="K1117" i="170"/>
  <c r="E1151" i="170"/>
  <c r="K964" i="170"/>
  <c r="K1253" i="170"/>
  <c r="E1066" i="170"/>
  <c r="E811" i="170"/>
  <c r="K1168" i="170"/>
  <c r="K913" i="170"/>
  <c r="E913" i="170"/>
  <c r="E1032" i="170"/>
  <c r="K998" i="170"/>
  <c r="E1134" i="170"/>
  <c r="K845" i="170"/>
  <c r="E1253" i="170"/>
  <c r="E1168" i="170"/>
  <c r="K794" i="170"/>
  <c r="K981" i="170"/>
  <c r="E794" i="170"/>
  <c r="E1219" i="170"/>
  <c r="K1015" i="170"/>
  <c r="K1032" i="170"/>
  <c r="E1202" i="170"/>
  <c r="E777" i="170"/>
  <c r="E760" i="170"/>
  <c r="K862" i="170"/>
  <c r="E862" i="170"/>
  <c r="K1151" i="170"/>
  <c r="K1236" i="170"/>
  <c r="E896" i="170"/>
  <c r="E1083" i="170"/>
  <c r="E1100" i="170"/>
  <c r="K896" i="170"/>
  <c r="E930" i="170"/>
  <c r="E1185" i="170"/>
  <c r="K1219" i="170"/>
  <c r="K879" i="170"/>
  <c r="E981" i="170"/>
  <c r="K1066" i="170"/>
  <c r="K811" i="170"/>
  <c r="E964" i="170"/>
  <c r="K930" i="170"/>
  <c r="E845" i="170"/>
  <c r="E1049" i="170"/>
  <c r="K828" i="170"/>
  <c r="K1202" i="170"/>
  <c r="K777" i="170"/>
  <c r="K1083" i="170"/>
  <c r="K1100" i="170"/>
  <c r="E998" i="170"/>
  <c r="E1117" i="170"/>
  <c r="E879" i="170"/>
  <c r="K1049" i="170"/>
  <c r="E1015" i="170"/>
  <c r="E1236" i="170"/>
  <c r="K743" i="170"/>
  <c r="P102" i="151"/>
  <c r="P101" i="151" s="1"/>
  <c r="B744" i="170"/>
  <c r="E754" i="170" s="1"/>
  <c r="AA95" i="99"/>
  <c r="AA96" i="99"/>
  <c r="S102" i="151"/>
  <c r="S101" i="151" s="1"/>
  <c r="R102" i="151"/>
  <c r="R101" i="151" s="1"/>
  <c r="R17" i="101"/>
  <c r="R83" i="101" s="1"/>
  <c r="Q17" i="101"/>
  <c r="Q83" i="101" s="1"/>
  <c r="Z163" i="9"/>
  <c r="AA163" i="9"/>
  <c r="P17" i="101"/>
  <c r="P83" i="101" s="1"/>
  <c r="Y73" i="151"/>
  <c r="Y47" i="151"/>
  <c r="Y20" i="151"/>
  <c r="Y40" i="151"/>
  <c r="Y80" i="151"/>
  <c r="Y38" i="151"/>
  <c r="U97" i="9"/>
  <c r="U96" i="9" s="1"/>
  <c r="R163" i="9"/>
  <c r="N17" i="101"/>
  <c r="N83" i="101" s="1"/>
  <c r="E83" i="101"/>
  <c r="D100" i="132"/>
  <c r="P16" i="151"/>
  <c r="X16" i="151" s="1"/>
  <c r="N102" i="151"/>
  <c r="O102" i="151"/>
  <c r="O101" i="151" s="1"/>
  <c r="Q102" i="151"/>
  <c r="Q101" i="151" s="1"/>
  <c r="H102" i="151"/>
  <c r="H101" i="151" s="1"/>
  <c r="I102" i="151"/>
  <c r="I101" i="151" s="1"/>
  <c r="F101" i="151"/>
  <c r="K203" i="151" s="1"/>
  <c r="P27" i="59"/>
  <c r="P13" i="59"/>
  <c r="F163" i="9"/>
  <c r="F180" i="99"/>
  <c r="AB163" i="9"/>
  <c r="T163" i="9"/>
  <c r="S163" i="9"/>
  <c r="P15" i="151" l="1"/>
  <c r="X15" i="151"/>
  <c r="N101" i="151"/>
  <c r="M83" i="101"/>
  <c r="I165" i="132"/>
  <c r="I10" i="170"/>
  <c r="K10" i="170" s="1"/>
  <c r="U102" i="151"/>
  <c r="U101" i="151" s="1"/>
  <c r="C11" i="170"/>
  <c r="E11" i="170" s="1"/>
  <c r="T17" i="101"/>
  <c r="T83" i="101" s="1"/>
  <c r="E877" i="170"/>
  <c r="E809" i="170"/>
  <c r="K1234" i="170"/>
  <c r="K1200" i="170"/>
  <c r="E1115" i="170"/>
  <c r="E1030" i="170"/>
  <c r="K1064" i="170"/>
  <c r="K1268" i="170"/>
  <c r="K860" i="170"/>
  <c r="K1149" i="170"/>
  <c r="E843" i="170"/>
  <c r="K979" i="170"/>
  <c r="K758" i="170"/>
  <c r="E1013" i="170"/>
  <c r="E1098" i="170"/>
  <c r="E962" i="170"/>
  <c r="E826" i="170"/>
  <c r="K894" i="170"/>
  <c r="E1064" i="170"/>
  <c r="K1081" i="170"/>
  <c r="E1217" i="170"/>
  <c r="K1183" i="170"/>
  <c r="E979" i="170"/>
  <c r="E894" i="170"/>
  <c r="E1200" i="170"/>
  <c r="K1217" i="170"/>
  <c r="E1183" i="170"/>
  <c r="E1047" i="170"/>
  <c r="K1115" i="170"/>
  <c r="K775" i="170"/>
  <c r="E1251" i="170"/>
  <c r="K792" i="170"/>
  <c r="K1013" i="170"/>
  <c r="K1030" i="170"/>
  <c r="K843" i="170"/>
  <c r="K877" i="170"/>
  <c r="K1251" i="170"/>
  <c r="E792" i="170"/>
  <c r="K1285" i="170"/>
  <c r="E911" i="170"/>
  <c r="E860" i="170"/>
  <c r="K928" i="170"/>
  <c r="E928" i="170"/>
  <c r="E945" i="170"/>
  <c r="E1149" i="170"/>
  <c r="K809" i="170"/>
  <c r="E1234" i="170"/>
  <c r="E996" i="170"/>
  <c r="E1268" i="170"/>
  <c r="K826" i="170"/>
  <c r="K996" i="170"/>
  <c r="E1166" i="170"/>
  <c r="K1047" i="170"/>
  <c r="E1132" i="170"/>
  <c r="K1098" i="170"/>
  <c r="K1166" i="170"/>
  <c r="E775" i="170"/>
  <c r="K945" i="170"/>
  <c r="K1132" i="170"/>
  <c r="K962" i="170"/>
  <c r="E1081" i="170"/>
  <c r="K911" i="170"/>
  <c r="E1285" i="170"/>
  <c r="P168" i="151"/>
  <c r="G15" i="132"/>
  <c r="G13" i="132" s="1"/>
  <c r="I158" i="132"/>
  <c r="C745" i="170"/>
  <c r="D749" i="170" s="1"/>
  <c r="E743" i="170"/>
  <c r="I159" i="132"/>
  <c r="I160" i="132"/>
  <c r="I161" i="132"/>
  <c r="I164" i="132"/>
  <c r="I163" i="132"/>
  <c r="I162" i="132"/>
  <c r="Q168" i="151"/>
  <c r="R168" i="151"/>
  <c r="O168" i="151"/>
  <c r="M102" i="151"/>
  <c r="M101" i="151" s="1"/>
  <c r="I168" i="151"/>
  <c r="S168" i="151"/>
  <c r="H168" i="151"/>
  <c r="U9" i="9"/>
  <c r="U163" i="9" s="1"/>
  <c r="I121" i="132"/>
  <c r="I152" i="132"/>
  <c r="I101" i="132"/>
  <c r="I112" i="132"/>
  <c r="I126" i="132"/>
  <c r="I157" i="132"/>
  <c r="I102" i="132"/>
  <c r="I124" i="132"/>
  <c r="I135" i="132"/>
  <c r="I114" i="132"/>
  <c r="I111" i="132"/>
  <c r="I148" i="132"/>
  <c r="I155" i="132"/>
  <c r="I105" i="132"/>
  <c r="I146" i="132"/>
  <c r="I122" i="132"/>
  <c r="I110" i="132"/>
  <c r="I113" i="132"/>
  <c r="I137" i="132"/>
  <c r="I116" i="132"/>
  <c r="I139" i="132"/>
  <c r="I153" i="132"/>
  <c r="I136" i="132"/>
  <c r="I130" i="132"/>
  <c r="I134" i="132"/>
  <c r="I129" i="132"/>
  <c r="I118" i="132"/>
  <c r="I143" i="132"/>
  <c r="I132" i="132"/>
  <c r="I119" i="132"/>
  <c r="I115" i="132"/>
  <c r="I106" i="132"/>
  <c r="I133" i="132"/>
  <c r="I149" i="132"/>
  <c r="I108" i="132"/>
  <c r="I154" i="132"/>
  <c r="I123" i="132"/>
  <c r="I103" i="132"/>
  <c r="I142" i="132"/>
  <c r="I125" i="132"/>
  <c r="I109" i="132"/>
  <c r="I141" i="132"/>
  <c r="I140" i="132"/>
  <c r="I145" i="132"/>
  <c r="I127" i="132"/>
  <c r="I117" i="132"/>
  <c r="I150" i="132"/>
  <c r="I104" i="132"/>
  <c r="I156" i="132"/>
  <c r="I107" i="132"/>
  <c r="I128" i="132"/>
  <c r="I120" i="132"/>
  <c r="I151" i="132"/>
  <c r="I138" i="132"/>
  <c r="I147" i="132"/>
  <c r="I131" i="132"/>
  <c r="I144" i="132"/>
  <c r="X23" i="99"/>
  <c r="X40" i="99"/>
  <c r="X61" i="99"/>
  <c r="X51" i="99"/>
  <c r="X39" i="99"/>
  <c r="X77" i="99"/>
  <c r="X66" i="99"/>
  <c r="X76" i="99"/>
  <c r="X82" i="99"/>
  <c r="X46" i="99"/>
  <c r="X59" i="99"/>
  <c r="X58" i="99"/>
  <c r="X68" i="99"/>
  <c r="X55" i="99"/>
  <c r="X65" i="99"/>
  <c r="W80" i="101"/>
  <c r="X72" i="99"/>
  <c r="X78" i="99"/>
  <c r="X87" i="99"/>
  <c r="X22" i="99"/>
  <c r="X36" i="99"/>
  <c r="X81" i="99"/>
  <c r="X67" i="99"/>
  <c r="X71" i="99"/>
  <c r="X28" i="99"/>
  <c r="X73" i="99"/>
  <c r="X29" i="99"/>
  <c r="X33" i="99"/>
  <c r="X41" i="99"/>
  <c r="X25" i="99"/>
  <c r="X31" i="99"/>
  <c r="X37" i="99"/>
  <c r="X27" i="99"/>
  <c r="X84" i="99"/>
  <c r="X21" i="99"/>
  <c r="X26" i="99"/>
  <c r="X44" i="99"/>
  <c r="X54" i="99"/>
  <c r="X38" i="99"/>
  <c r="X75" i="101"/>
  <c r="X42" i="99"/>
  <c r="X74" i="99"/>
  <c r="X60" i="99"/>
  <c r="X48" i="99"/>
  <c r="X70" i="99"/>
  <c r="X50" i="99"/>
  <c r="X52" i="99"/>
  <c r="X76" i="101"/>
  <c r="X77" i="101"/>
  <c r="X45" i="99"/>
  <c r="X18" i="99"/>
  <c r="X80" i="99"/>
  <c r="X49" i="99"/>
  <c r="X24" i="99"/>
  <c r="X57" i="99"/>
  <c r="X47" i="99"/>
  <c r="X35" i="99"/>
  <c r="X43" i="99"/>
  <c r="X86" i="99"/>
  <c r="X56" i="99"/>
  <c r="X32" i="99"/>
  <c r="X62" i="99"/>
  <c r="E1302" i="170"/>
  <c r="L1302" i="170" s="1"/>
  <c r="X64" i="99"/>
  <c r="X20" i="99"/>
  <c r="X74" i="101"/>
  <c r="X75" i="99"/>
  <c r="X63" i="99"/>
  <c r="C9" i="170"/>
  <c r="E9" i="170" s="1"/>
  <c r="L155" i="170"/>
  <c r="L584" i="170"/>
  <c r="L379" i="170"/>
  <c r="C746" i="170"/>
  <c r="E746" i="170" s="1"/>
  <c r="L206" i="170"/>
  <c r="L138" i="170"/>
  <c r="L275" i="170"/>
  <c r="L517" i="170"/>
  <c r="L344" i="170"/>
  <c r="L258" i="170"/>
  <c r="L241" i="170"/>
  <c r="L396" i="170"/>
  <c r="L53" i="170"/>
  <c r="L172" i="170"/>
  <c r="L414" i="170"/>
  <c r="L534" i="170"/>
  <c r="L121" i="170"/>
  <c r="L448" i="170"/>
  <c r="C751" i="170"/>
  <c r="E751" i="170" s="1"/>
  <c r="L362" i="170"/>
  <c r="L326" i="170"/>
  <c r="L567" i="170"/>
  <c r="L70" i="170"/>
  <c r="L550" i="170"/>
  <c r="L482" i="170"/>
  <c r="L309" i="170"/>
  <c r="L464" i="170"/>
  <c r="L223" i="170"/>
  <c r="L104" i="170"/>
  <c r="L36" i="170"/>
  <c r="C748" i="170"/>
  <c r="E748" i="170" s="1"/>
  <c r="C8" i="170"/>
  <c r="E8" i="170" s="1"/>
  <c r="C750" i="170"/>
  <c r="E750" i="170" s="1"/>
  <c r="L500" i="170"/>
  <c r="L431" i="170"/>
  <c r="L189" i="170"/>
  <c r="L292" i="170"/>
  <c r="L87" i="170"/>
  <c r="X34" i="99"/>
  <c r="X53" i="99"/>
  <c r="X85" i="99"/>
  <c r="X69" i="99"/>
  <c r="X79" i="99"/>
  <c r="X30" i="99"/>
  <c r="X83" i="99"/>
  <c r="X19" i="99"/>
  <c r="Y61" i="151"/>
  <c r="AA61" i="151" s="1"/>
  <c r="Y56" i="151"/>
  <c r="Y18" i="151"/>
  <c r="Y81" i="151"/>
  <c r="Y28" i="151"/>
  <c r="AA28" i="151" s="1"/>
  <c r="Y58" i="151"/>
  <c r="Y84" i="151"/>
  <c r="AA84" i="151" s="1"/>
  <c r="K94" i="132" s="1"/>
  <c r="M94" i="132" s="1"/>
  <c r="Y37" i="151"/>
  <c r="AA37" i="151" s="1"/>
  <c r="Y87" i="151"/>
  <c r="Y54" i="151"/>
  <c r="Y79" i="151"/>
  <c r="AA79" i="151" s="1"/>
  <c r="Y52" i="151"/>
  <c r="AA52" i="151" s="1"/>
  <c r="Y77" i="151"/>
  <c r="Y85" i="151"/>
  <c r="Y55" i="151"/>
  <c r="Y59" i="151"/>
  <c r="AA59" i="151" s="1"/>
  <c r="Y78" i="151"/>
  <c r="Y36" i="151"/>
  <c r="AA36" i="151" s="1"/>
  <c r="Y43" i="151"/>
  <c r="AA43" i="151" s="1"/>
  <c r="Y82" i="151"/>
  <c r="Y32" i="151"/>
  <c r="AA32" i="151" s="1"/>
  <c r="Y31" i="151"/>
  <c r="Y45" i="151"/>
  <c r="AA45" i="151" s="1"/>
  <c r="Y34" i="151"/>
  <c r="Y44" i="151"/>
  <c r="AA44" i="151" s="1"/>
  <c r="Y75" i="151"/>
  <c r="AA75" i="151" s="1"/>
  <c r="Y41" i="151"/>
  <c r="AA41" i="151" s="1"/>
  <c r="Y21" i="151"/>
  <c r="Y71" i="151"/>
  <c r="Y63" i="151"/>
  <c r="Y39" i="151"/>
  <c r="AA39" i="151" s="1"/>
  <c r="Y30" i="151"/>
  <c r="F17" i="101"/>
  <c r="Y24" i="151"/>
  <c r="Y46" i="151"/>
  <c r="AA46" i="151" s="1"/>
  <c r="Y62" i="151"/>
  <c r="AA62" i="151" s="1"/>
  <c r="Y22" i="151"/>
  <c r="Y67" i="151"/>
  <c r="Y26" i="151"/>
  <c r="Y27" i="151"/>
  <c r="Y35" i="151"/>
  <c r="Y83" i="151"/>
  <c r="Y53" i="151"/>
  <c r="AA53" i="151" s="1"/>
  <c r="Y69" i="151"/>
  <c r="AA69" i="151" s="1"/>
  <c r="Y74" i="151"/>
  <c r="Y19" i="151"/>
  <c r="AA19" i="151" s="1"/>
  <c r="Y64" i="151"/>
  <c r="AA64" i="151" s="1"/>
  <c r="Y70" i="151"/>
  <c r="AA70" i="151" s="1"/>
  <c r="Y51" i="151"/>
  <c r="Y50" i="151"/>
  <c r="Y72" i="151"/>
  <c r="Y29" i="151"/>
  <c r="Y48" i="151"/>
  <c r="Y86" i="151"/>
  <c r="AA86" i="151" s="1"/>
  <c r="Y42" i="151"/>
  <c r="Y65" i="151"/>
  <c r="Y23" i="151"/>
  <c r="AA23" i="151" s="1"/>
  <c r="Y25" i="151"/>
  <c r="Y76" i="151"/>
  <c r="Y66" i="151"/>
  <c r="Y33" i="151"/>
  <c r="Y49" i="151"/>
  <c r="AA49" i="151" s="1"/>
  <c r="Y57" i="151"/>
  <c r="AA57" i="151" s="1"/>
  <c r="Y60" i="151"/>
  <c r="AA60" i="151" s="1"/>
  <c r="Y68" i="151"/>
  <c r="AA68" i="151" s="1"/>
  <c r="X163" i="9"/>
  <c r="AA80" i="151"/>
  <c r="AA20" i="151"/>
  <c r="AA47" i="151"/>
  <c r="AA40" i="151"/>
  <c r="AA38" i="151"/>
  <c r="AA73" i="151"/>
  <c r="G102" i="151"/>
  <c r="G101" i="151" s="1"/>
  <c r="K102" i="151"/>
  <c r="K101" i="151" s="1"/>
  <c r="W163" i="9"/>
  <c r="Y163" i="9"/>
  <c r="H16" i="99"/>
  <c r="G16" i="99"/>
  <c r="H17" i="99"/>
  <c r="G17" i="99"/>
  <c r="G18" i="101"/>
  <c r="G83" i="101" s="1"/>
  <c r="H18" i="101"/>
  <c r="H17" i="101"/>
  <c r="F181" i="99"/>
  <c r="V163" i="9"/>
  <c r="AF167" i="9"/>
  <c r="AF165" i="9"/>
  <c r="AF166" i="9"/>
  <c r="F83" i="101" l="1"/>
  <c r="F14" i="180" s="1"/>
  <c r="F18" i="180" s="1"/>
  <c r="X17" i="101"/>
  <c r="X102" i="151"/>
  <c r="X101" i="151" s="1"/>
  <c r="H83" i="101"/>
  <c r="H101" i="99"/>
  <c r="W83" i="101"/>
  <c r="H14" i="180" s="1"/>
  <c r="G101" i="99"/>
  <c r="AB102" i="99" s="1"/>
  <c r="X80" i="101"/>
  <c r="AA80" i="101" s="1"/>
  <c r="I15" i="132"/>
  <c r="L17" i="99"/>
  <c r="J16" i="99"/>
  <c r="L16" i="99"/>
  <c r="L17" i="101"/>
  <c r="L1285" i="170"/>
  <c r="F168" i="151"/>
  <c r="Y16" i="151"/>
  <c r="H14" i="132"/>
  <c r="H13" i="132" s="1"/>
  <c r="G168" i="151"/>
  <c r="AE179" i="151" s="1"/>
  <c r="G100" i="132"/>
  <c r="G99" i="132" s="1"/>
  <c r="H100" i="132"/>
  <c r="H99" i="132" s="1"/>
  <c r="L18" i="101"/>
  <c r="J17" i="101"/>
  <c r="N168" i="151"/>
  <c r="D22" i="154" s="1"/>
  <c r="G22" i="154" s="1"/>
  <c r="K19" i="170"/>
  <c r="J17" i="99"/>
  <c r="Z73" i="99"/>
  <c r="AA73" i="99" s="1"/>
  <c r="K71" i="132"/>
  <c r="M71" i="132" s="1"/>
  <c r="Z60" i="99"/>
  <c r="AA60" i="99" s="1"/>
  <c r="K58" i="132"/>
  <c r="M58" i="132" s="1"/>
  <c r="Z23" i="99"/>
  <c r="K21" i="132"/>
  <c r="M21" i="132" s="1"/>
  <c r="Z46" i="99"/>
  <c r="AA46" i="99" s="1"/>
  <c r="K44" i="132"/>
  <c r="M44" i="132" s="1"/>
  <c r="Z59" i="99"/>
  <c r="AA59" i="99" s="1"/>
  <c r="K57" i="132"/>
  <c r="M57" i="132" s="1"/>
  <c r="Z28" i="99"/>
  <c r="AA28" i="99" s="1"/>
  <c r="K26" i="132"/>
  <c r="M26" i="132" s="1"/>
  <c r="Z61" i="99"/>
  <c r="AA61" i="99" s="1"/>
  <c r="K59" i="132"/>
  <c r="M59" i="132" s="1"/>
  <c r="Z38" i="99"/>
  <c r="AA38" i="99" s="1"/>
  <c r="K36" i="132"/>
  <c r="M36" i="132" s="1"/>
  <c r="Z80" i="99"/>
  <c r="AA80" i="99" s="1"/>
  <c r="K78" i="132"/>
  <c r="M78" i="132" s="1"/>
  <c r="Z70" i="99"/>
  <c r="AA70" i="99" s="1"/>
  <c r="K68" i="132"/>
  <c r="M68" i="132" s="1"/>
  <c r="Z69" i="99"/>
  <c r="AA69" i="99" s="1"/>
  <c r="K67" i="132"/>
  <c r="M67" i="132" s="1"/>
  <c r="Z39" i="99"/>
  <c r="AA39" i="99" s="1"/>
  <c r="K37" i="132"/>
  <c r="M37" i="132" s="1"/>
  <c r="Z41" i="99"/>
  <c r="AA41" i="99" s="1"/>
  <c r="K39" i="132"/>
  <c r="M39" i="132" s="1"/>
  <c r="Z45" i="99"/>
  <c r="AA45" i="99" s="1"/>
  <c r="K43" i="132"/>
  <c r="M43" i="132" s="1"/>
  <c r="Z43" i="99"/>
  <c r="AA43" i="99" s="1"/>
  <c r="K41" i="132"/>
  <c r="M41" i="132" s="1"/>
  <c r="Z79" i="99"/>
  <c r="AA79" i="99" s="1"/>
  <c r="K77" i="132"/>
  <c r="M77" i="132" s="1"/>
  <c r="Z37" i="99"/>
  <c r="AA37" i="99" s="1"/>
  <c r="K35" i="132"/>
  <c r="M35" i="132" s="1"/>
  <c r="Z40" i="99"/>
  <c r="AA40" i="99" s="1"/>
  <c r="K38" i="132"/>
  <c r="M38" i="132" s="1"/>
  <c r="Z57" i="99"/>
  <c r="AA57" i="99" s="1"/>
  <c r="K55" i="132"/>
  <c r="M55" i="132" s="1"/>
  <c r="Z64" i="99"/>
  <c r="AA64" i="99" s="1"/>
  <c r="K62" i="132"/>
  <c r="M62" i="132" s="1"/>
  <c r="Z53" i="99"/>
  <c r="AA53" i="99" s="1"/>
  <c r="K51" i="132"/>
  <c r="M51" i="132" s="1"/>
  <c r="Z75" i="99"/>
  <c r="AA75" i="99" s="1"/>
  <c r="K73" i="132"/>
  <c r="M73" i="132" s="1"/>
  <c r="Z36" i="99"/>
  <c r="AA36" i="99" s="1"/>
  <c r="K34" i="132"/>
  <c r="M34" i="132" s="1"/>
  <c r="Z84" i="99"/>
  <c r="AA84" i="99" s="1"/>
  <c r="K82" i="132"/>
  <c r="M82" i="132" s="1"/>
  <c r="Z20" i="99"/>
  <c r="AA20" i="99" s="1"/>
  <c r="K18" i="132"/>
  <c r="M18" i="132" s="1"/>
  <c r="Z52" i="99"/>
  <c r="AA52" i="99" s="1"/>
  <c r="K50" i="132"/>
  <c r="M50" i="132" s="1"/>
  <c r="Z47" i="99"/>
  <c r="AA47" i="99" s="1"/>
  <c r="K45" i="132"/>
  <c r="M45" i="132" s="1"/>
  <c r="Z68" i="99"/>
  <c r="AA68" i="99" s="1"/>
  <c r="K66" i="132"/>
  <c r="M66" i="132" s="1"/>
  <c r="Z49" i="99"/>
  <c r="AA49" i="99" s="1"/>
  <c r="K47" i="132"/>
  <c r="M47" i="132" s="1"/>
  <c r="Z86" i="99"/>
  <c r="AA86" i="99" s="1"/>
  <c r="K84" i="132"/>
  <c r="M84" i="132" s="1"/>
  <c r="Z19" i="99"/>
  <c r="K17" i="132"/>
  <c r="M17" i="132" s="1"/>
  <c r="Z62" i="99"/>
  <c r="AA62" i="99" s="1"/>
  <c r="K60" i="132"/>
  <c r="M60" i="132" s="1"/>
  <c r="Z44" i="99"/>
  <c r="AA44" i="99" s="1"/>
  <c r="K42" i="132"/>
  <c r="M42" i="132" s="1"/>
  <c r="Z32" i="99"/>
  <c r="AA32" i="99" s="1"/>
  <c r="K30" i="132"/>
  <c r="M30" i="132" s="1"/>
  <c r="K186" i="151"/>
  <c r="K189" i="151"/>
  <c r="X88" i="99"/>
  <c r="F100" i="132"/>
  <c r="F99" i="132" s="1"/>
  <c r="M168" i="151"/>
  <c r="K168" i="151"/>
  <c r="K187" i="151"/>
  <c r="M187" i="151" s="1"/>
  <c r="U168" i="151"/>
  <c r="D28" i="154" s="1"/>
  <c r="K188" i="151"/>
  <c r="M188" i="151" s="1"/>
  <c r="C14" i="170"/>
  <c r="E14" i="170" s="1"/>
  <c r="C753" i="170"/>
  <c r="E753" i="170" s="1"/>
  <c r="L962" i="170"/>
  <c r="C747" i="170"/>
  <c r="E747" i="170" s="1"/>
  <c r="L1013" i="170"/>
  <c r="L928" i="170"/>
  <c r="Y116" i="151"/>
  <c r="AA116" i="151" s="1"/>
  <c r="Y152" i="151"/>
  <c r="AA152" i="151" s="1"/>
  <c r="Y128" i="151"/>
  <c r="AA128" i="151" s="1"/>
  <c r="Y127" i="151"/>
  <c r="AA127" i="151" s="1"/>
  <c r="Y125" i="151"/>
  <c r="AA125" i="151" s="1"/>
  <c r="Y126" i="151"/>
  <c r="AA126" i="151" s="1"/>
  <c r="Y142" i="151"/>
  <c r="AA142" i="151" s="1"/>
  <c r="Y106" i="151"/>
  <c r="AA106" i="151" s="1"/>
  <c r="Y154" i="151"/>
  <c r="AA154" i="151" s="1"/>
  <c r="Y134" i="151"/>
  <c r="AA134" i="151" s="1"/>
  <c r="Y158" i="151"/>
  <c r="AA158" i="151" s="1"/>
  <c r="Y105" i="151"/>
  <c r="AA105" i="151" s="1"/>
  <c r="Y151" i="151"/>
  <c r="AA151" i="151" s="1"/>
  <c r="Y131" i="151"/>
  <c r="AA131" i="151" s="1"/>
  <c r="Y147" i="151"/>
  <c r="AA147" i="151" s="1"/>
  <c r="Y133" i="151"/>
  <c r="AA133" i="151" s="1"/>
  <c r="Y118" i="151"/>
  <c r="AA118" i="151" s="1"/>
  <c r="Y137" i="151"/>
  <c r="AA137" i="151" s="1"/>
  <c r="Y150" i="151"/>
  <c r="Y140" i="151"/>
  <c r="AA140" i="151" s="1"/>
  <c r="Y114" i="151"/>
  <c r="AA114" i="151" s="1"/>
  <c r="Y146" i="151"/>
  <c r="AA146" i="151" s="1"/>
  <c r="Y117" i="151"/>
  <c r="AA117" i="151" s="1"/>
  <c r="Y141" i="151"/>
  <c r="AA141" i="151" s="1"/>
  <c r="Y110" i="151"/>
  <c r="AA110" i="151" s="1"/>
  <c r="Y123" i="151"/>
  <c r="AA123" i="151" s="1"/>
  <c r="Y122" i="151"/>
  <c r="AA122" i="151" s="1"/>
  <c r="Y107" i="151"/>
  <c r="AA107" i="151" s="1"/>
  <c r="Y120" i="151"/>
  <c r="AA120" i="151" s="1"/>
  <c r="Y121" i="151"/>
  <c r="AA121" i="151" s="1"/>
  <c r="Y112" i="151"/>
  <c r="AA112" i="151" s="1"/>
  <c r="Y138" i="151"/>
  <c r="AA138" i="151" s="1"/>
  <c r="Y124" i="151"/>
  <c r="AA124" i="151" s="1"/>
  <c r="L1251" i="170"/>
  <c r="L826" i="170"/>
  <c r="L1098" i="170"/>
  <c r="L996" i="170"/>
  <c r="L979" i="170"/>
  <c r="Y162" i="151"/>
  <c r="AA162" i="151" s="1"/>
  <c r="L1132" i="170"/>
  <c r="L792" i="170"/>
  <c r="L1081" i="170"/>
  <c r="L860" i="170"/>
  <c r="L1234" i="170"/>
  <c r="L843" i="170"/>
  <c r="Y129" i="151"/>
  <c r="AA129" i="151" s="1"/>
  <c r="Y156" i="151"/>
  <c r="AA156" i="151" s="1"/>
  <c r="Y103" i="151"/>
  <c r="Y159" i="151"/>
  <c r="AA159" i="151" s="1"/>
  <c r="Y153" i="151"/>
  <c r="AA153" i="151" s="1"/>
  <c r="Y111" i="151"/>
  <c r="AA111" i="151" s="1"/>
  <c r="Y144" i="151"/>
  <c r="AA144" i="151" s="1"/>
  <c r="Y160" i="151"/>
  <c r="AA160" i="151" s="1"/>
  <c r="Y143" i="151"/>
  <c r="AA143" i="151" s="1"/>
  <c r="Y155" i="151"/>
  <c r="AA155" i="151" s="1"/>
  <c r="Y104" i="151"/>
  <c r="AA104" i="151" s="1"/>
  <c r="Y148" i="151"/>
  <c r="AA148" i="151" s="1"/>
  <c r="Y130" i="151"/>
  <c r="AA130" i="151" s="1"/>
  <c r="Y139" i="151"/>
  <c r="AA139" i="151" s="1"/>
  <c r="Y145" i="151"/>
  <c r="AA145" i="151" s="1"/>
  <c r="Y119" i="151"/>
  <c r="AA119" i="151" s="1"/>
  <c r="Y113" i="151"/>
  <c r="AA113" i="151" s="1"/>
  <c r="Y132" i="151"/>
  <c r="AA132" i="151" s="1"/>
  <c r="Y115" i="151"/>
  <c r="AA115" i="151" s="1"/>
  <c r="Y108" i="151"/>
  <c r="AA108" i="151" s="1"/>
  <c r="L911" i="170"/>
  <c r="L1115" i="170"/>
  <c r="L877" i="170"/>
  <c r="L1047" i="170"/>
  <c r="Y161" i="151"/>
  <c r="AA161" i="151" s="1"/>
  <c r="L1166" i="170"/>
  <c r="L894" i="170"/>
  <c r="Y163" i="151"/>
  <c r="AA163" i="151" s="1"/>
  <c r="L945" i="170"/>
  <c r="L1030" i="170"/>
  <c r="D26" i="154"/>
  <c r="G26" i="154" s="1"/>
  <c r="L1217" i="170"/>
  <c r="L775" i="170"/>
  <c r="L1200" i="170"/>
  <c r="L1149" i="170"/>
  <c r="L1183" i="170"/>
  <c r="L809" i="170"/>
  <c r="L1268" i="170"/>
  <c r="D27" i="154"/>
  <c r="G27" i="154" s="1"/>
  <c r="Y136" i="151"/>
  <c r="AA136" i="151" s="1"/>
  <c r="C752" i="170"/>
  <c r="E752" i="170" s="1"/>
  <c r="Y109" i="151"/>
  <c r="AA109" i="151" s="1"/>
  <c r="Y157" i="151"/>
  <c r="AA157" i="151" s="1"/>
  <c r="Y135" i="151"/>
  <c r="AA135" i="151" s="1"/>
  <c r="Y149" i="151"/>
  <c r="AA149" i="151" s="1"/>
  <c r="L1064" i="170"/>
  <c r="C13" i="170"/>
  <c r="E13" i="170" s="1"/>
  <c r="C749" i="170"/>
  <c r="E749" i="170" s="1"/>
  <c r="D25" i="154"/>
  <c r="AA81" i="151"/>
  <c r="AA56" i="151"/>
  <c r="AA71" i="151"/>
  <c r="AA58" i="151"/>
  <c r="AA78" i="151"/>
  <c r="AA18" i="151"/>
  <c r="AA54" i="151"/>
  <c r="AA85" i="151"/>
  <c r="AA87" i="151"/>
  <c r="Y17" i="151"/>
  <c r="AA77" i="151"/>
  <c r="AA55" i="151"/>
  <c r="AA21" i="151"/>
  <c r="AA34" i="151"/>
  <c r="AA82" i="151"/>
  <c r="AA63" i="151"/>
  <c r="AA31" i="151"/>
  <c r="AA30" i="151"/>
  <c r="AA24" i="151"/>
  <c r="AA27" i="151"/>
  <c r="AA35" i="151"/>
  <c r="AA48" i="151"/>
  <c r="AA67" i="151"/>
  <c r="AA22" i="151"/>
  <c r="AA51" i="151"/>
  <c r="AA83" i="151"/>
  <c r="AA50" i="151"/>
  <c r="AA26" i="151"/>
  <c r="AA29" i="151"/>
  <c r="AA74" i="151"/>
  <c r="AA72" i="151"/>
  <c r="AA42" i="151"/>
  <c r="AA76" i="151"/>
  <c r="AA65" i="151"/>
  <c r="AA66" i="151"/>
  <c r="AA33" i="151"/>
  <c r="AA25" i="151"/>
  <c r="Y88" i="151"/>
  <c r="D24" i="154"/>
  <c r="D23" i="154"/>
  <c r="G23" i="154" s="1"/>
  <c r="X40" i="101"/>
  <c r="X55" i="101"/>
  <c r="X50" i="101"/>
  <c r="X33" i="101"/>
  <c r="X48" i="101"/>
  <c r="X29" i="101"/>
  <c r="X36" i="101"/>
  <c r="X23" i="101"/>
  <c r="X24" i="101"/>
  <c r="X46" i="101"/>
  <c r="X49" i="101"/>
  <c r="X54" i="101"/>
  <c r="X72" i="101"/>
  <c r="X37" i="101"/>
  <c r="X64" i="101"/>
  <c r="X41" i="101"/>
  <c r="X53" i="101"/>
  <c r="X67" i="101"/>
  <c r="X31" i="101"/>
  <c r="X61" i="101"/>
  <c r="X69" i="101"/>
  <c r="X45" i="101"/>
  <c r="X52" i="101"/>
  <c r="X21" i="101"/>
  <c r="X47" i="101"/>
  <c r="X39" i="101"/>
  <c r="X38" i="101"/>
  <c r="X22" i="101"/>
  <c r="X20" i="101"/>
  <c r="X71" i="101"/>
  <c r="X60" i="101"/>
  <c r="X44" i="101"/>
  <c r="X30" i="101"/>
  <c r="X35" i="101"/>
  <c r="X28" i="101"/>
  <c r="X58" i="101"/>
  <c r="X34" i="101"/>
  <c r="X66" i="101"/>
  <c r="X57" i="101"/>
  <c r="X26" i="101"/>
  <c r="X62" i="101"/>
  <c r="X59" i="101"/>
  <c r="X19" i="101"/>
  <c r="X63" i="101"/>
  <c r="J18" i="101"/>
  <c r="X65" i="101"/>
  <c r="X43" i="101"/>
  <c r="X70" i="101"/>
  <c r="X32" i="101"/>
  <c r="X51" i="101"/>
  <c r="X56" i="101"/>
  <c r="X42" i="101"/>
  <c r="I14" i="180" l="1"/>
  <c r="I18" i="180" s="1"/>
  <c r="O18" i="180" s="1"/>
  <c r="H18" i="180"/>
  <c r="L101" i="99"/>
  <c r="J83" i="101"/>
  <c r="Y15" i="151"/>
  <c r="J101" i="99"/>
  <c r="H16" i="153" s="1"/>
  <c r="K191" i="151"/>
  <c r="L83" i="101"/>
  <c r="H17" i="153"/>
  <c r="H24" i="154"/>
  <c r="G24" i="154"/>
  <c r="Z76" i="101"/>
  <c r="AA76" i="101" s="1"/>
  <c r="K159" i="132"/>
  <c r="M159" i="132" s="1"/>
  <c r="Z77" i="101"/>
  <c r="AA77" i="101" s="1"/>
  <c r="K160" i="132"/>
  <c r="M160" i="132" s="1"/>
  <c r="Z75" i="101"/>
  <c r="AA75" i="101" s="1"/>
  <c r="K158" i="132"/>
  <c r="M158" i="132" s="1"/>
  <c r="Z78" i="101"/>
  <c r="K161" i="132"/>
  <c r="M161" i="132" s="1"/>
  <c r="AA103" i="151"/>
  <c r="F175" i="132"/>
  <c r="X16" i="99"/>
  <c r="V168" i="151"/>
  <c r="D29" i="154" s="1"/>
  <c r="K31" i="132"/>
  <c r="M31" i="132" s="1"/>
  <c r="Z33" i="99"/>
  <c r="AA33" i="99" s="1"/>
  <c r="Z76" i="99"/>
  <c r="AA76" i="99" s="1"/>
  <c r="K74" i="132"/>
  <c r="M74" i="132" s="1"/>
  <c r="Z74" i="99"/>
  <c r="AA74" i="99" s="1"/>
  <c r="K72" i="132"/>
  <c r="M72" i="132" s="1"/>
  <c r="Z83" i="99"/>
  <c r="AA83" i="99" s="1"/>
  <c r="K81" i="132"/>
  <c r="M81" i="132" s="1"/>
  <c r="Z48" i="99"/>
  <c r="AA48" i="99" s="1"/>
  <c r="K46" i="132"/>
  <c r="M46" i="132" s="1"/>
  <c r="Z30" i="99"/>
  <c r="AA30" i="99" s="1"/>
  <c r="K28" i="132"/>
  <c r="M28" i="132" s="1"/>
  <c r="Z34" i="99"/>
  <c r="AA34" i="99" s="1"/>
  <c r="K32" i="132"/>
  <c r="M32" i="132" s="1"/>
  <c r="Z18" i="99"/>
  <c r="AA18" i="99" s="1"/>
  <c r="K16" i="132"/>
  <c r="M16" i="132" s="1"/>
  <c r="Z56" i="99"/>
  <c r="AA56" i="99" s="1"/>
  <c r="K54" i="132"/>
  <c r="M54" i="132" s="1"/>
  <c r="Z47" i="101"/>
  <c r="AA47" i="101" s="1"/>
  <c r="K130" i="132"/>
  <c r="M130" i="132" s="1"/>
  <c r="Z19" i="101"/>
  <c r="AA19" i="101" s="1"/>
  <c r="K102" i="132"/>
  <c r="M102" i="132" s="1"/>
  <c r="Z44" i="101"/>
  <c r="AA44" i="101" s="1"/>
  <c r="K127" i="132"/>
  <c r="M127" i="132" s="1"/>
  <c r="Z53" i="101"/>
  <c r="AA53" i="101" s="1"/>
  <c r="K136" i="132"/>
  <c r="M136" i="132" s="1"/>
  <c r="Z22" i="101"/>
  <c r="AA22" i="101" s="1"/>
  <c r="K105" i="132"/>
  <c r="M105" i="132" s="1"/>
  <c r="Z56" i="101"/>
  <c r="AA56" i="101" s="1"/>
  <c r="K139" i="132"/>
  <c r="M139" i="132" s="1"/>
  <c r="K115" i="132"/>
  <c r="M115" i="132" s="1"/>
  <c r="Z32" i="101"/>
  <c r="AA32" i="101" s="1"/>
  <c r="Z62" i="101"/>
  <c r="AA62" i="101" s="1"/>
  <c r="K145" i="132"/>
  <c r="M145" i="132" s="1"/>
  <c r="Z40" i="101"/>
  <c r="AA40" i="101" s="1"/>
  <c r="K123" i="132"/>
  <c r="M123" i="132" s="1"/>
  <c r="Z67" i="101"/>
  <c r="AA67" i="101" s="1"/>
  <c r="K150" i="132"/>
  <c r="M150" i="132" s="1"/>
  <c r="Z78" i="99"/>
  <c r="AA78" i="99" s="1"/>
  <c r="K76" i="132"/>
  <c r="M76" i="132" s="1"/>
  <c r="Z25" i="99"/>
  <c r="AA25" i="99" s="1"/>
  <c r="K23" i="132"/>
  <c r="M23" i="132" s="1"/>
  <c r="K63" i="132"/>
  <c r="M63" i="132" s="1"/>
  <c r="Z65" i="99"/>
  <c r="AA65" i="99" s="1"/>
  <c r="Z72" i="99"/>
  <c r="AA72" i="99" s="1"/>
  <c r="K70" i="132"/>
  <c r="M70" i="132" s="1"/>
  <c r="Z50" i="99"/>
  <c r="AA50" i="99" s="1"/>
  <c r="K48" i="132"/>
  <c r="M48" i="132" s="1"/>
  <c r="Z67" i="99"/>
  <c r="AA67" i="99" s="1"/>
  <c r="K65" i="132"/>
  <c r="M65" i="132" s="1"/>
  <c r="Z24" i="99"/>
  <c r="AA24" i="99" s="1"/>
  <c r="K22" i="132"/>
  <c r="M22" i="132" s="1"/>
  <c r="Z82" i="99"/>
  <c r="AA82" i="99" s="1"/>
  <c r="K80" i="132"/>
  <c r="M80" i="132" s="1"/>
  <c r="Z77" i="99"/>
  <c r="AA77" i="99" s="1"/>
  <c r="K75" i="132"/>
  <c r="M75" i="132" s="1"/>
  <c r="Z54" i="99"/>
  <c r="AA54" i="99" s="1"/>
  <c r="K52" i="132"/>
  <c r="M52" i="132" s="1"/>
  <c r="Z71" i="99"/>
  <c r="AA71" i="99" s="1"/>
  <c r="K69" i="132"/>
  <c r="M69" i="132" s="1"/>
  <c r="Z50" i="101"/>
  <c r="AA50" i="101" s="1"/>
  <c r="K133" i="132"/>
  <c r="M133" i="132" s="1"/>
  <c r="Z54" i="101"/>
  <c r="AA54" i="101" s="1"/>
  <c r="K137" i="132"/>
  <c r="M137" i="132" s="1"/>
  <c r="Z68" i="101"/>
  <c r="K151" i="132"/>
  <c r="M151" i="132" s="1"/>
  <c r="Z71" i="101"/>
  <c r="AA71" i="101" s="1"/>
  <c r="K154" i="132"/>
  <c r="M154" i="132" s="1"/>
  <c r="Z39" i="101"/>
  <c r="AA39" i="101" s="1"/>
  <c r="K122" i="132"/>
  <c r="M122" i="132" s="1"/>
  <c r="Z35" i="101"/>
  <c r="AA35" i="101" s="1"/>
  <c r="K118" i="132"/>
  <c r="M118" i="132" s="1"/>
  <c r="Z25" i="101"/>
  <c r="K108" i="132"/>
  <c r="M108" i="132" s="1"/>
  <c r="Z55" i="101"/>
  <c r="AA55" i="101" s="1"/>
  <c r="K138" i="132"/>
  <c r="M138" i="132" s="1"/>
  <c r="K131" i="132"/>
  <c r="M131" i="132" s="1"/>
  <c r="Z48" i="101"/>
  <c r="AA48" i="101" s="1"/>
  <c r="Z73" i="101"/>
  <c r="K156" i="132"/>
  <c r="M156" i="132" s="1"/>
  <c r="Z21" i="101"/>
  <c r="AA21" i="101" s="1"/>
  <c r="K104" i="132"/>
  <c r="M104" i="132" s="1"/>
  <c r="Z57" i="101"/>
  <c r="AA57" i="101" s="1"/>
  <c r="K140" i="132"/>
  <c r="M140" i="132" s="1"/>
  <c r="Z41" i="101"/>
  <c r="AA41" i="101" s="1"/>
  <c r="K124" i="132"/>
  <c r="M124" i="132" s="1"/>
  <c r="Z29" i="99"/>
  <c r="AA29" i="99" s="1"/>
  <c r="K27" i="132"/>
  <c r="M27" i="132" s="1"/>
  <c r="Z51" i="99"/>
  <c r="AA51" i="99" s="1"/>
  <c r="K49" i="132"/>
  <c r="M49" i="132" s="1"/>
  <c r="Z35" i="99"/>
  <c r="AA35" i="99" s="1"/>
  <c r="K33" i="132"/>
  <c r="M33" i="132" s="1"/>
  <c r="Z31" i="99"/>
  <c r="AA31" i="99" s="1"/>
  <c r="K29" i="132"/>
  <c r="M29" i="132" s="1"/>
  <c r="Z21" i="99"/>
  <c r="AA21" i="99" s="1"/>
  <c r="K19" i="132"/>
  <c r="M19" i="132" s="1"/>
  <c r="Z87" i="99"/>
  <c r="AA87" i="99" s="1"/>
  <c r="K85" i="132"/>
  <c r="M85" i="132" s="1"/>
  <c r="Z81" i="99"/>
  <c r="AA81" i="99" s="1"/>
  <c r="K79" i="132"/>
  <c r="M79" i="132" s="1"/>
  <c r="Z64" i="101"/>
  <c r="AA64" i="101" s="1"/>
  <c r="K147" i="132"/>
  <c r="M147" i="132" s="1"/>
  <c r="Z72" i="101"/>
  <c r="AA72" i="101" s="1"/>
  <c r="K155" i="132"/>
  <c r="M155" i="132" s="1"/>
  <c r="Z30" i="101"/>
  <c r="AA30" i="101" s="1"/>
  <c r="K113" i="132"/>
  <c r="M113" i="132" s="1"/>
  <c r="Z28" i="101"/>
  <c r="AA28" i="101" s="1"/>
  <c r="K111" i="132"/>
  <c r="M111" i="132" s="1"/>
  <c r="Z45" i="101"/>
  <c r="AA45" i="101" s="1"/>
  <c r="K128" i="132"/>
  <c r="M128" i="132" s="1"/>
  <c r="Z63" i="101"/>
  <c r="AA63" i="101" s="1"/>
  <c r="K146" i="132"/>
  <c r="M146" i="132" s="1"/>
  <c r="Z70" i="101"/>
  <c r="AA70" i="101" s="1"/>
  <c r="K153" i="132"/>
  <c r="M153" i="132" s="1"/>
  <c r="Z59" i="101"/>
  <c r="AA59" i="101" s="1"/>
  <c r="K142" i="132"/>
  <c r="M142" i="132" s="1"/>
  <c r="Z74" i="101"/>
  <c r="AA74" i="101" s="1"/>
  <c r="K157" i="132"/>
  <c r="M157" i="132" s="1"/>
  <c r="Z27" i="101"/>
  <c r="K110" i="132"/>
  <c r="M110" i="132" s="1"/>
  <c r="Z37" i="101"/>
  <c r="AA37" i="101" s="1"/>
  <c r="K120" i="132"/>
  <c r="M120" i="132" s="1"/>
  <c r="Z61" i="101"/>
  <c r="AA61" i="101" s="1"/>
  <c r="K144" i="132"/>
  <c r="M144" i="132" s="1"/>
  <c r="Z52" i="101"/>
  <c r="AA52" i="101" s="1"/>
  <c r="K135" i="132"/>
  <c r="M135" i="132" s="1"/>
  <c r="Z46" i="101"/>
  <c r="AA46" i="101" s="1"/>
  <c r="K129" i="132"/>
  <c r="M129" i="132" s="1"/>
  <c r="Z66" i="101"/>
  <c r="AA66" i="101" s="1"/>
  <c r="K149" i="132"/>
  <c r="M149" i="132" s="1"/>
  <c r="Z49" i="101"/>
  <c r="AA49" i="101" s="1"/>
  <c r="K132" i="132"/>
  <c r="M132" i="132" s="1"/>
  <c r="Z42" i="101"/>
  <c r="AA42" i="101" s="1"/>
  <c r="K125" i="132"/>
  <c r="M125" i="132" s="1"/>
  <c r="Z43" i="101"/>
  <c r="AA43" i="101" s="1"/>
  <c r="K126" i="132"/>
  <c r="M126" i="132" s="1"/>
  <c r="Z66" i="99"/>
  <c r="AA66" i="99" s="1"/>
  <c r="K64" i="132"/>
  <c r="M64" i="132" s="1"/>
  <c r="Z42" i="99"/>
  <c r="AA42" i="99" s="1"/>
  <c r="K40" i="132"/>
  <c r="M40" i="132" s="1"/>
  <c r="Z26" i="99"/>
  <c r="AA26" i="99" s="1"/>
  <c r="K24" i="132"/>
  <c r="M24" i="132" s="1"/>
  <c r="Z22" i="99"/>
  <c r="AA22" i="99" s="1"/>
  <c r="K20" i="132"/>
  <c r="M20" i="132" s="1"/>
  <c r="Z27" i="99"/>
  <c r="AA27" i="99" s="1"/>
  <c r="K25" i="132"/>
  <c r="M25" i="132" s="1"/>
  <c r="Z63" i="99"/>
  <c r="AA63" i="99" s="1"/>
  <c r="K61" i="132"/>
  <c r="M61" i="132" s="1"/>
  <c r="Z55" i="99"/>
  <c r="AA55" i="99" s="1"/>
  <c r="K53" i="132"/>
  <c r="M53" i="132" s="1"/>
  <c r="Z85" i="99"/>
  <c r="AA85" i="99" s="1"/>
  <c r="K83" i="132"/>
  <c r="M83" i="132" s="1"/>
  <c r="Z58" i="99"/>
  <c r="AA58" i="99" s="1"/>
  <c r="K56" i="132"/>
  <c r="M56" i="132" s="1"/>
  <c r="Z24" i="101"/>
  <c r="AA24" i="101" s="1"/>
  <c r="K107" i="132"/>
  <c r="M107" i="132" s="1"/>
  <c r="Z51" i="101"/>
  <c r="AA51" i="101" s="1"/>
  <c r="K134" i="132"/>
  <c r="M134" i="132" s="1"/>
  <c r="Z23" i="101"/>
  <c r="AA23" i="101" s="1"/>
  <c r="K106" i="132"/>
  <c r="M106" i="132" s="1"/>
  <c r="Z34" i="101"/>
  <c r="AA34" i="101" s="1"/>
  <c r="K117" i="132"/>
  <c r="M117" i="132" s="1"/>
  <c r="Z60" i="101"/>
  <c r="AA60" i="101" s="1"/>
  <c r="K143" i="132"/>
  <c r="M143" i="132" s="1"/>
  <c r="Z58" i="101"/>
  <c r="AA58" i="101" s="1"/>
  <c r="K141" i="132"/>
  <c r="M141" i="132" s="1"/>
  <c r="Z26" i="101"/>
  <c r="AA26" i="101" s="1"/>
  <c r="K109" i="132"/>
  <c r="M109" i="132" s="1"/>
  <c r="K119" i="132"/>
  <c r="M119" i="132" s="1"/>
  <c r="Z36" i="101"/>
  <c r="AA36" i="101" s="1"/>
  <c r="Z38" i="101"/>
  <c r="AA38" i="101" s="1"/>
  <c r="K121" i="132"/>
  <c r="M121" i="132" s="1"/>
  <c r="Z29" i="101"/>
  <c r="AA29" i="101" s="1"/>
  <c r="K112" i="132"/>
  <c r="M112" i="132" s="1"/>
  <c r="Z33" i="101"/>
  <c r="AA33" i="101" s="1"/>
  <c r="K116" i="132"/>
  <c r="M116" i="132" s="1"/>
  <c r="K103" i="132"/>
  <c r="M103" i="132" s="1"/>
  <c r="Z20" i="101"/>
  <c r="AA20" i="101" s="1"/>
  <c r="Z69" i="101"/>
  <c r="AA69" i="101" s="1"/>
  <c r="K152" i="132"/>
  <c r="M152" i="132" s="1"/>
  <c r="Z31" i="101"/>
  <c r="AA31" i="101" s="1"/>
  <c r="K114" i="132"/>
  <c r="M114" i="132" s="1"/>
  <c r="AA78" i="101"/>
  <c r="AA19" i="99"/>
  <c r="G175" i="132"/>
  <c r="G179" i="132" s="1"/>
  <c r="I14" i="132"/>
  <c r="I13" i="132" s="1"/>
  <c r="M186" i="151"/>
  <c r="M191" i="151" s="1"/>
  <c r="E758" i="170"/>
  <c r="L758" i="170" s="1"/>
  <c r="M1302" i="170" s="1"/>
  <c r="E19" i="170"/>
  <c r="L19" i="170" s="1"/>
  <c r="AA23" i="99"/>
  <c r="AA150" i="151"/>
  <c r="H22" i="154"/>
  <c r="X17" i="99"/>
  <c r="Z99" i="99"/>
  <c r="H26" i="154"/>
  <c r="H27" i="154"/>
  <c r="O201" i="151"/>
  <c r="Y102" i="151"/>
  <c r="Y101" i="151" s="1"/>
  <c r="G25" i="154"/>
  <c r="H25" i="154"/>
  <c r="AA17" i="151"/>
  <c r="AA88" i="151"/>
  <c r="H23" i="154"/>
  <c r="X27" i="101"/>
  <c r="X68" i="101"/>
  <c r="X73" i="101"/>
  <c r="X25" i="101"/>
  <c r="F159" i="99"/>
  <c r="J159" i="99" s="1"/>
  <c r="X18" i="101"/>
  <c r="F158" i="99"/>
  <c r="J158" i="99" s="1"/>
  <c r="F160" i="99"/>
  <c r="J160" i="99" s="1"/>
  <c r="F157" i="99"/>
  <c r="J157" i="99" s="1"/>
  <c r="F178" i="99"/>
  <c r="X83" i="101" l="1"/>
  <c r="X101" i="99"/>
  <c r="K14" i="180"/>
  <c r="K18" i="180" s="1"/>
  <c r="O14" i="180"/>
  <c r="P14" i="180" s="1"/>
  <c r="L1304" i="170"/>
  <c r="L1313" i="170" s="1"/>
  <c r="M738" i="170"/>
  <c r="P738" i="170" s="1"/>
  <c r="H23" i="153"/>
  <c r="I23" i="153" s="1"/>
  <c r="L23" i="153" s="1"/>
  <c r="M23" i="153" s="1"/>
  <c r="H18" i="153"/>
  <c r="I18" i="153" s="1"/>
  <c r="H20" i="153"/>
  <c r="I20" i="153" s="1"/>
  <c r="I17" i="153"/>
  <c r="L17" i="153" s="1"/>
  <c r="M17" i="153" s="1"/>
  <c r="H19" i="153"/>
  <c r="I19" i="153" s="1"/>
  <c r="L19" i="153" s="1"/>
  <c r="M19" i="153" s="1"/>
  <c r="H22" i="153"/>
  <c r="I22" i="153" s="1"/>
  <c r="L22" i="153" s="1"/>
  <c r="H14" i="153"/>
  <c r="H15" i="153" s="1"/>
  <c r="Z18" i="101"/>
  <c r="AA18" i="101" s="1"/>
  <c r="K101" i="132"/>
  <c r="M101" i="132" s="1"/>
  <c r="Y168" i="151"/>
  <c r="G29" i="154"/>
  <c r="H29" i="154"/>
  <c r="I16" i="153"/>
  <c r="L16" i="153" s="1"/>
  <c r="M16" i="153" s="1"/>
  <c r="X168" i="151"/>
  <c r="Q202" i="151" s="1"/>
  <c r="Z17" i="99"/>
  <c r="AA17" i="99" s="1"/>
  <c r="K15" i="132"/>
  <c r="M15" i="132" s="1"/>
  <c r="Z88" i="99"/>
  <c r="AA88" i="99" s="1"/>
  <c r="K86" i="132"/>
  <c r="Z65" i="101"/>
  <c r="AA65" i="101" s="1"/>
  <c r="K148" i="132"/>
  <c r="M148" i="132" s="1"/>
  <c r="J167" i="99"/>
  <c r="F192" i="99"/>
  <c r="J178" i="99"/>
  <c r="F182" i="99" s="1"/>
  <c r="L182" i="99" s="1"/>
  <c r="I100" i="132"/>
  <c r="I99" i="132" s="1"/>
  <c r="H175" i="132"/>
  <c r="AA68" i="101"/>
  <c r="AA16" i="151"/>
  <c r="AA15" i="151" s="1"/>
  <c r="AA102" i="151"/>
  <c r="AA27" i="101"/>
  <c r="AA25" i="101"/>
  <c r="AA73" i="101"/>
  <c r="F167" i="99"/>
  <c r="G19" i="79"/>
  <c r="G25" i="79" s="1"/>
  <c r="K34" i="59"/>
  <c r="K42" i="59" s="1"/>
  <c r="AA101" i="151" l="1"/>
  <c r="Z17" i="101"/>
  <c r="AA17" i="101" s="1"/>
  <c r="P32" i="180"/>
  <c r="O32" i="180"/>
  <c r="K21" i="154"/>
  <c r="H179" i="132"/>
  <c r="AE177" i="151"/>
  <c r="F10" i="167"/>
  <c r="M1304" i="170"/>
  <c r="I14" i="153"/>
  <c r="L14" i="153" s="1"/>
  <c r="M14" i="153" s="1"/>
  <c r="L18" i="153"/>
  <c r="M18" i="153" s="1"/>
  <c r="I15" i="153"/>
  <c r="L15" i="153" s="1"/>
  <c r="M15" i="153" s="1"/>
  <c r="M86" i="132"/>
  <c r="L20" i="153"/>
  <c r="M20" i="153" s="1"/>
  <c r="I175" i="132"/>
  <c r="K100" i="132"/>
  <c r="K99" i="132" s="1"/>
  <c r="Z16" i="99"/>
  <c r="Z101" i="99" s="1"/>
  <c r="K14" i="132"/>
  <c r="K13" i="132" s="1"/>
  <c r="M22" i="153"/>
  <c r="M21" i="153" s="1"/>
  <c r="H28" i="154"/>
  <c r="H21" i="154" s="1"/>
  <c r="G28" i="154"/>
  <c r="P17" i="153"/>
  <c r="Q17" i="153" s="1"/>
  <c r="G34" i="59"/>
  <c r="G42" i="59" s="1"/>
  <c r="C48" i="59"/>
  <c r="K6" i="59"/>
  <c r="K14" i="59" s="1"/>
  <c r="M167" i="99"/>
  <c r="W167" i="99" s="1"/>
  <c r="G20" i="59"/>
  <c r="G28" i="59" s="1"/>
  <c r="O20" i="59"/>
  <c r="O6" i="59"/>
  <c r="O14" i="59" s="1"/>
  <c r="G21" i="154" l="1"/>
  <c r="Z83" i="101"/>
  <c r="N1302" i="170" s="1"/>
  <c r="F11" i="167"/>
  <c r="F170" i="132"/>
  <c r="F177" i="132" s="1"/>
  <c r="F179" i="132" s="1"/>
  <c r="I170" i="132"/>
  <c r="I177" i="132" s="1"/>
  <c r="I179" i="132" s="1"/>
  <c r="AB101" i="99"/>
  <c r="M205" i="151"/>
  <c r="AB83" i="101"/>
  <c r="L12" i="153"/>
  <c r="M12" i="153"/>
  <c r="K175" i="132"/>
  <c r="P18" i="153"/>
  <c r="P23" i="153"/>
  <c r="Q23" i="153" s="1"/>
  <c r="P26" i="153"/>
  <c r="L21" i="153"/>
  <c r="AA168" i="151"/>
  <c r="M100" i="132"/>
  <c r="M99" i="132" s="1"/>
  <c r="AA16" i="99"/>
  <c r="M14" i="132"/>
  <c r="M13" i="132" s="1"/>
  <c r="P16" i="153"/>
  <c r="Q16" i="153" s="1"/>
  <c r="O28" i="59"/>
  <c r="P48" i="59"/>
  <c r="C56" i="59"/>
  <c r="P56" i="59" s="1"/>
  <c r="C6" i="59"/>
  <c r="K22" i="154" l="1"/>
  <c r="AA83" i="101"/>
  <c r="AE168" i="151"/>
  <c r="AE173" i="151" s="1"/>
  <c r="N1304" i="170"/>
  <c r="O175" i="132"/>
  <c r="P175" i="132" s="1"/>
  <c r="AA101" i="99"/>
  <c r="M175" i="132"/>
  <c r="K16" i="154" s="1"/>
  <c r="P22" i="153"/>
  <c r="Q22" i="153" s="1"/>
  <c r="C14" i="59"/>
  <c r="G6" i="59"/>
  <c r="G14" i="59" s="1"/>
  <c r="P14" i="59" l="1"/>
  <c r="P6" i="59"/>
  <c r="F14" i="167" l="1"/>
  <c r="C34" i="59" l="1"/>
  <c r="G11" i="167" l="1"/>
  <c r="K172" i="132"/>
  <c r="M172" i="132" s="1"/>
  <c r="C42" i="59"/>
  <c r="C20" i="59"/>
  <c r="O99" i="132" l="1"/>
  <c r="P99" i="132" s="1"/>
  <c r="C28" i="59"/>
  <c r="K20" i="59" l="1"/>
  <c r="P20" i="59" s="1"/>
  <c r="K28" i="59" l="1"/>
  <c r="P28" i="59" s="1"/>
  <c r="K17" i="167" l="1"/>
  <c r="G10" i="167" l="1"/>
  <c r="G14" i="167" s="1"/>
  <c r="J170" i="132"/>
  <c r="J177" i="132" s="1"/>
  <c r="J179" i="132" s="1"/>
  <c r="G32" i="154"/>
  <c r="K35" i="154" l="1"/>
  <c r="K171" i="132"/>
  <c r="K170" i="132" s="1"/>
  <c r="K177" i="132" s="1"/>
  <c r="K179" i="132" s="1"/>
  <c r="H33" i="154"/>
  <c r="M171" i="132" l="1"/>
  <c r="M166" i="132" s="1"/>
  <c r="H32" i="154"/>
  <c r="M178" i="132" l="1"/>
  <c r="AC163" i="9" l="1"/>
  <c r="AI18" i="9" l="1"/>
  <c r="AG9" i="9"/>
  <c r="Q163" i="9"/>
  <c r="AI8" i="9"/>
  <c r="AG20" i="9"/>
  <c r="AG21" i="9" s="1"/>
  <c r="AG22" i="9" s="1"/>
  <c r="T4" i="9"/>
  <c r="H30" i="154" l="1"/>
  <c r="H14" i="154" s="1"/>
  <c r="H13" i="154" s="1"/>
  <c r="H35" i="154" s="1"/>
  <c r="M203" i="151"/>
  <c r="G14" i="154" l="1"/>
  <c r="G13" i="154" s="1"/>
  <c r="G35" i="154" s="1"/>
  <c r="P191" i="151"/>
  <c r="Z191" i="151" s="1"/>
  <c r="Y203" i="151"/>
  <c r="AA204" i="151" s="1"/>
  <c r="K36" i="154" l="1"/>
  <c r="K17" i="154"/>
  <c r="O193" i="132"/>
  <c r="P193" i="132" l="1"/>
  <c r="M179" i="132" l="1"/>
  <c r="D17" i="79" l="1"/>
  <c r="D20" i="79" s="1"/>
  <c r="G23" i="79" l="1"/>
  <c r="G16" i="79" l="1"/>
</calcChain>
</file>

<file path=xl/sharedStrings.xml><?xml version="1.0" encoding="utf-8"?>
<sst xmlns="http://schemas.openxmlformats.org/spreadsheetml/2006/main" count="11586" uniqueCount="867">
  <si>
    <t>Hòa bình - Độc lập - Dân chủ - Thống nhất - Thịnh vượng</t>
  </si>
  <si>
    <t>Đvt</t>
  </si>
  <si>
    <t>Thảo Văn Vông</t>
  </si>
  <si>
    <t>CÔNG TY TNHH CỔ PHẦN QUASA - GERUCO</t>
  </si>
  <si>
    <t>STT</t>
  </si>
  <si>
    <t>Họ và Tên</t>
  </si>
  <si>
    <t>Chức vụ</t>
  </si>
  <si>
    <t>ĐVT</t>
  </si>
  <si>
    <t>Ký nhận</t>
  </si>
  <si>
    <t>Thuế
 TNCN</t>
  </si>
  <si>
    <t>Trích KP
 Công Đoàn</t>
  </si>
  <si>
    <t>Thực 
Nhận</t>
  </si>
  <si>
    <t>Stt</t>
  </si>
  <si>
    <t>Họ và tên</t>
  </si>
  <si>
    <t>Tổng</t>
  </si>
  <si>
    <t>Phụ cấp</t>
  </si>
  <si>
    <t>Thành tiền</t>
  </si>
  <si>
    <t>Chức
 vụ</t>
  </si>
  <si>
    <t>LƯƠNG</t>
  </si>
  <si>
    <t xml:space="preserve">Thuế TNCN </t>
  </si>
  <si>
    <t>Lương chăm sóc</t>
  </si>
  <si>
    <t>Lương sản lượng</t>
  </si>
  <si>
    <t>Phụ cấp khai thác</t>
  </si>
  <si>
    <t>Thành 
tiền</t>
  </si>
  <si>
    <t xml:space="preserve">Hạng
kỹ
thuật
</t>
  </si>
  <si>
    <t>Thành
tiền</t>
  </si>
  <si>
    <t>CNKT</t>
  </si>
  <si>
    <t>PHÒNG TC - HC</t>
  </si>
  <si>
    <t>PHÒNG TC - KT</t>
  </si>
  <si>
    <t>TỔNG GIÁM ĐỐC</t>
  </si>
  <si>
    <t>Họ và Tên Lào</t>
  </si>
  <si>
    <t>Tổng công</t>
  </si>
  <si>
    <t>Mủ tạp</t>
  </si>
  <si>
    <t>Ngày công</t>
  </si>
  <si>
    <t>Xác Nhận</t>
  </si>
  <si>
    <t>CN-KT</t>
  </si>
  <si>
    <t>A</t>
  </si>
  <si>
    <t>Xếp loại KT tính lương</t>
  </si>
  <si>
    <t>Hòa Bình - Độc Lập - Dân Chủ - Thống Nhất - Thịnh Vượng</t>
  </si>
  <si>
    <t>À¯ñ­À¤ò­</t>
  </si>
  <si>
    <t>Trần Viết Hùng</t>
  </si>
  <si>
    <t>Mai Đức Hiếu</t>
  </si>
  <si>
    <t>Hoàng Hữu Công</t>
  </si>
  <si>
    <t>B</t>
  </si>
  <si>
    <t>D</t>
  </si>
  <si>
    <t>Hòa Bình - Độc Lập - Dân Chủ -Thống Nhất - Thịnh Vượng</t>
  </si>
  <si>
    <t>T/T</t>
  </si>
  <si>
    <t>Họ tên</t>
  </si>
  <si>
    <t>Chức  vụ</t>
  </si>
  <si>
    <t>Ngày</t>
  </si>
  <si>
    <t>x</t>
  </si>
  <si>
    <t>CỘNG HÒA DÂN CHỦ NHÂN DÂN LÀO</t>
  </si>
  <si>
    <t>Hòa Bình -Độc Lập  - Dân Chủ - thống Nhất - Thịnh Vượng</t>
  </si>
  <si>
    <t>TT</t>
  </si>
  <si>
    <t>HỌ VÀ TÊN</t>
  </si>
  <si>
    <t>Tổng cộng</t>
  </si>
  <si>
    <t>Phụ cấp ngày cạo, ngày chủ nhật</t>
  </si>
  <si>
    <t>Sản lượng mủ</t>
  </si>
  <si>
    <t>Các khoản PC</t>
  </si>
  <si>
    <t>II</t>
  </si>
  <si>
    <t>NÔNG TRƯỜNG 2</t>
  </si>
  <si>
    <t>Tên Công nhân</t>
  </si>
  <si>
    <t>Ghi chú</t>
  </si>
  <si>
    <t>In Ton</t>
  </si>
  <si>
    <t>Nông luông</t>
  </si>
  <si>
    <t>Đội I</t>
  </si>
  <si>
    <t>I</t>
  </si>
  <si>
    <t>Ngày công</t>
  </si>
  <si>
    <t>Pha Lu</t>
  </si>
  <si>
    <t>KÝ NHẬN</t>
  </si>
  <si>
    <t>GHI CHÚ</t>
  </si>
  <si>
    <t>CHỨC VỤ</t>
  </si>
  <si>
    <t>Công sản phẩm</t>
  </si>
  <si>
    <t>Sản lượng mủ</t>
  </si>
  <si>
    <t xml:space="preserve">Các khoản trừ </t>
  </si>
  <si>
    <t xml:space="preserve">Tạm ứng </t>
  </si>
  <si>
    <t>Tổng trừ:</t>
  </si>
  <si>
    <t xml:space="preserve">Còn lãnh </t>
  </si>
  <si>
    <t>Huội Sai</t>
  </si>
  <si>
    <t>Na Ka Pun</t>
  </si>
  <si>
    <t>TÊN BẢN</t>
  </si>
  <si>
    <t>SỐ CÔNG NHÂN</t>
  </si>
  <si>
    <t>Trưởng bản</t>
  </si>
  <si>
    <t>Na Ka Nông</t>
  </si>
  <si>
    <t>Xôm Xa Ạt</t>
  </si>
  <si>
    <t>Von</t>
  </si>
  <si>
    <t>Xi</t>
  </si>
  <si>
    <t>THỰC NHẬN</t>
  </si>
  <si>
    <t>III</t>
  </si>
  <si>
    <t>Mã số nhân viên</t>
  </si>
  <si>
    <t>Mứt</t>
  </si>
  <si>
    <t>Nộ Na</t>
  </si>
  <si>
    <t>Thăm Mã La</t>
  </si>
  <si>
    <t>Pết</t>
  </si>
  <si>
    <t>Bun Lơng</t>
  </si>
  <si>
    <t>Khăn Hạ</t>
  </si>
  <si>
    <t>00383</t>
  </si>
  <si>
    <t>00377</t>
  </si>
  <si>
    <t>00376</t>
  </si>
  <si>
    <t>00397</t>
  </si>
  <si>
    <t>DANH SÁCH CÔNG NHÂN CHƯA CÓ HỢP ĐỒNG VÀ MÃ SỐ NHÂN VIÊN</t>
  </si>
  <si>
    <t>DANH SÁCH CÔNG NHÂN NGHỈ</t>
  </si>
  <si>
    <t>HỌ TÊN</t>
  </si>
  <si>
    <t>Thăm Ma Lay</t>
  </si>
  <si>
    <t>Bun Mi</t>
  </si>
  <si>
    <t>Son Vi Lay</t>
  </si>
  <si>
    <t>Xi Xa Văn</t>
  </si>
  <si>
    <t>Sênh Đôm Đi</t>
  </si>
  <si>
    <t>Kíp</t>
  </si>
  <si>
    <t>Đội: 1.2.3.4</t>
  </si>
  <si>
    <t>cn</t>
  </si>
  <si>
    <t>Phaloong</t>
  </si>
  <si>
    <t>La Vay</t>
  </si>
  <si>
    <t>Thảo Keo</t>
  </si>
  <si>
    <t>Đội 2</t>
  </si>
  <si>
    <t>Đội 4</t>
  </si>
  <si>
    <t>GIÁM ĐỐC NÔNG TRƯỜNG</t>
  </si>
  <si>
    <t>Tổng
 cộng</t>
  </si>
  <si>
    <t>Tổng 
công</t>
  </si>
  <si>
    <t>Quy khô
DRC=50</t>
  </si>
  <si>
    <t>Trần Viết Dũng</t>
  </si>
  <si>
    <t xml:space="preserve">VC KINH DOANH NĂM </t>
  </si>
  <si>
    <t>Công</t>
  </si>
  <si>
    <t>Nguyễn Trí Thạch</t>
  </si>
  <si>
    <t>BẢNG THANH TOÁN TIỀN HỖ TRỢ CÁC TRƯỞNG BẢN
 CÓ CÔNG NHÂN LÀM VIỆC CHO NÔNG TRƯỜNG VÀ CÔNG AN CỤM BẢN</t>
  </si>
  <si>
    <t>Trưởng Công an</t>
  </si>
  <si>
    <t>Quy khô</t>
  </si>
  <si>
    <t>NGƯỜI LẬP</t>
  </si>
  <si>
    <t xml:space="preserve">Trần Văn Lý </t>
  </si>
  <si>
    <t>Tổng sản lượng mủ tạp+mủ dây quy khô</t>
  </si>
  <si>
    <t>Lương USD</t>
  </si>
  <si>
    <t>Các khoản trừ</t>
  </si>
  <si>
    <t>Mã nhân viên</t>
  </si>
  <si>
    <t>Bảo Vệ</t>
  </si>
  <si>
    <t xml:space="preserve">Lập biểu </t>
  </si>
  <si>
    <t>Xum Phon</t>
  </si>
  <si>
    <t>Đội 1</t>
  </si>
  <si>
    <t>Đội 3</t>
  </si>
  <si>
    <t>T. Đi</t>
  </si>
  <si>
    <t>T. Nhung</t>
  </si>
  <si>
    <t>Lương thực lãnh</t>
  </si>
  <si>
    <t>Tiền ăn</t>
  </si>
  <si>
    <t>Xăng T</t>
  </si>
  <si>
    <t>Các khoản nợ</t>
  </si>
  <si>
    <t>Tiền card</t>
  </si>
  <si>
    <t>Lương thực nhận</t>
  </si>
  <si>
    <t>Xăng</t>
  </si>
  <si>
    <t>tiền lê</t>
  </si>
  <si>
    <t>Tổng cộng</t>
  </si>
  <si>
    <t>Nang Quamg</t>
  </si>
  <si>
    <t>Bun Khăm</t>
  </si>
  <si>
    <t xml:space="preserve">  PHÒNG TC - KT</t>
  </si>
  <si>
    <t xml:space="preserve">       PHÒNG TC - HC</t>
  </si>
  <si>
    <t xml:space="preserve"> </t>
  </si>
  <si>
    <t>Thuế TNCN</t>
  </si>
  <si>
    <t>ịi</t>
  </si>
  <si>
    <t>Thảo Phôn Chay</t>
  </si>
  <si>
    <t>T .Nhum</t>
  </si>
  <si>
    <t>T . Phết</t>
  </si>
  <si>
    <t>N . Khâm (1)</t>
  </si>
  <si>
    <t>Tạp vụ</t>
  </si>
  <si>
    <t>Tạp Vụ</t>
  </si>
  <si>
    <t>lương Đội Lào Phôn +bun khưn</t>
  </si>
  <si>
    <t>Đô La</t>
  </si>
  <si>
    <t>Danh mục</t>
  </si>
  <si>
    <t>Số lượng</t>
  </si>
  <si>
    <t xml:space="preserve">Sản lượng thực hiện quy khô </t>
  </si>
  <si>
    <t>Đơn giá (kíp)</t>
  </si>
  <si>
    <t>Tổng tiền quyết toán (KIP)</t>
  </si>
  <si>
    <t>Tiền lương CN trực tiếp</t>
  </si>
  <si>
    <t>Sản lượng</t>
  </si>
  <si>
    <t>Kg</t>
  </si>
  <si>
    <t>Phụ cấp ngày công</t>
  </si>
  <si>
    <t>Tiền lương chăm sóc vườn cây</t>
  </si>
  <si>
    <t>Usd</t>
  </si>
  <si>
    <t>Tiền lương bảo vệ vườn cây</t>
  </si>
  <si>
    <t>CHI PHÍ KHÁC</t>
  </si>
  <si>
    <t>Phụ cấp Trưởng bản</t>
  </si>
  <si>
    <t>TỔNG CỘNG:</t>
  </si>
  <si>
    <t>T . Lốc</t>
  </si>
  <si>
    <t>Công việc khác</t>
  </si>
  <si>
    <t>N. Tun 1</t>
  </si>
  <si>
    <t>Chi phí tiếp khách</t>
  </si>
  <si>
    <r>
      <t>Nông trường 2</t>
    </r>
    <r>
      <rPr>
        <sz val="11"/>
        <rFont val="Times New Roman"/>
        <family val="1"/>
      </rPr>
      <t>, ngày 02 tháng 10  năm 2022</t>
    </r>
  </si>
  <si>
    <t>Chi phí nhiêu liệu phục vụ sản xuất</t>
  </si>
  <si>
    <t>Phụ cấp xe ViGO biển số nn 0125</t>
  </si>
  <si>
    <t>Nguyễn Ngọc Huấn</t>
  </si>
  <si>
    <t>Đội trưởng</t>
  </si>
  <si>
    <t>T. Phô Thong</t>
  </si>
  <si>
    <t>T. Sô Đa</t>
  </si>
  <si>
    <t>N. Tủn</t>
  </si>
  <si>
    <t>T. Lung</t>
  </si>
  <si>
    <t>N. Mom</t>
  </si>
  <si>
    <t>Đao Hương</t>
  </si>
  <si>
    <t>T. Bun Hinh</t>
  </si>
  <si>
    <t>N . Thích</t>
  </si>
  <si>
    <t>N. Cong Mi</t>
  </si>
  <si>
    <t>T . In Tong</t>
  </si>
  <si>
    <t>T. Nú</t>
  </si>
  <si>
    <t>T . Cổ</t>
  </si>
  <si>
    <t>T. Nọi</t>
  </si>
  <si>
    <t>T. Sa Văn</t>
  </si>
  <si>
    <t>Lăm Ngân</t>
  </si>
  <si>
    <t>Số tiền bằng chữ: Năm trăm ngàn kíp</t>
  </si>
  <si>
    <t>T. Son Xay</t>
  </si>
  <si>
    <t>N. Mon Khăm</t>
  </si>
  <si>
    <t>T. Hin</t>
  </si>
  <si>
    <t>T. Xôm Va Nít</t>
  </si>
  <si>
    <t>T. Lọi</t>
  </si>
  <si>
    <t>T. Ca Te</t>
  </si>
  <si>
    <t>T. Lâm Phon</t>
  </si>
  <si>
    <t>N. Đeng</t>
  </si>
  <si>
    <t>T. Pông</t>
  </si>
  <si>
    <t>N. Lẹ</t>
  </si>
  <si>
    <t>N. Lay</t>
  </si>
  <si>
    <t>Bôi thuốc kích thích</t>
  </si>
  <si>
    <t>Đội phó</t>
  </si>
  <si>
    <t>T. Thong Đon</t>
  </si>
  <si>
    <t>T. Viêng Sa Văn</t>
  </si>
  <si>
    <t>T. Tinh</t>
  </si>
  <si>
    <t>N. Chay</t>
  </si>
  <si>
    <t>T. Cạp</t>
  </si>
  <si>
    <t>N. Soi</t>
  </si>
  <si>
    <t>Kí nhận</t>
  </si>
  <si>
    <t>Đoàn Văn Nghĩa</t>
  </si>
  <si>
    <t>N. Vạt</t>
  </si>
  <si>
    <t>N. Phôn 1</t>
  </si>
  <si>
    <t>T Căng</t>
  </si>
  <si>
    <t>T. In Păn</t>
  </si>
  <si>
    <t>N. Me Kha La</t>
  </si>
  <si>
    <t>T. Bin Ly.</t>
  </si>
  <si>
    <t>N. Phim Phon.</t>
  </si>
  <si>
    <t>T. Phu Ngân</t>
  </si>
  <si>
    <t>N. Ba Say</t>
  </si>
  <si>
    <t>T. May</t>
  </si>
  <si>
    <t>N. Keo</t>
  </si>
  <si>
    <t>N.Vông Ma Ni</t>
  </si>
  <si>
    <t>T. Khăm Mặn</t>
  </si>
  <si>
    <t>N. Bun Đi</t>
  </si>
  <si>
    <t>N. Phon</t>
  </si>
  <si>
    <t>N. Ốc</t>
  </si>
  <si>
    <t>T. Lem</t>
  </si>
  <si>
    <t>N. Bua Hom</t>
  </si>
  <si>
    <t>Tổng lương</t>
  </si>
  <si>
    <t>Ngày công đi cạo thường (x)</t>
  </si>
  <si>
    <t>Ngày CN thường (cn)</t>
  </si>
  <si>
    <t>N. Văn Ta</t>
  </si>
  <si>
    <t>T. Khăm...</t>
  </si>
  <si>
    <t>N. Pheng</t>
  </si>
  <si>
    <t>T. A lem</t>
  </si>
  <si>
    <t>N. Phim Pha</t>
  </si>
  <si>
    <t>T. Huôn</t>
  </si>
  <si>
    <t>Phụ cấp ngày chủ nhật</t>
  </si>
  <si>
    <t>Tiền đảng 2 tháng</t>
  </si>
  <si>
    <t>Tiền quỷ NT 3 tháng</t>
  </si>
  <si>
    <t>ứng lương</t>
  </si>
  <si>
    <t>Nguyễn Thị Huệ</t>
  </si>
  <si>
    <t>N. Pon</t>
  </si>
  <si>
    <t>T. Thon</t>
  </si>
  <si>
    <t>T. Ta</t>
  </si>
  <si>
    <t>T. Xơn</t>
  </si>
  <si>
    <t>Phát chồi đại trà</t>
  </si>
  <si>
    <t>T Xèng</t>
  </si>
  <si>
    <t>N. Lỷ</t>
  </si>
  <si>
    <t xml:space="preserve">Phụ cấp nhỏ a xít </t>
  </si>
  <si>
    <t>Tổng mủ tạp</t>
  </si>
  <si>
    <t>Đội 1,2 3</t>
  </si>
  <si>
    <t>-----oOo-----</t>
  </si>
  <si>
    <t>(1)</t>
  </si>
  <si>
    <t>(2)</t>
  </si>
  <si>
    <t>(4)</t>
  </si>
  <si>
    <t>(5)</t>
  </si>
  <si>
    <t>(6)</t>
  </si>
  <si>
    <t>Sản lượng giao kế hoạch tháng (tấn)</t>
  </si>
  <si>
    <t>Sản lượng thực hiện trong tháng (tấn)</t>
  </si>
  <si>
    <t>PHÒNG KT - NN</t>
  </si>
  <si>
    <t>T. Thong</t>
  </si>
  <si>
    <t>-----o0o-----</t>
  </si>
  <si>
    <t>----- o0o-----</t>
  </si>
  <si>
    <t>Đặng Ngọc Tú</t>
  </si>
  <si>
    <t>Phan Văn Hưng</t>
  </si>
  <si>
    <t xml:space="preserve">Tỷ giá Bath qua Kip: </t>
  </si>
  <si>
    <t>N. Phu Văn</t>
  </si>
  <si>
    <t>Lương thực hiện trong tháng</t>
  </si>
  <si>
    <t>Lương kíp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</si>
  <si>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</si>
  <si>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</si>
  <si>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</si>
  <si>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</si>
  <si>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 xml:space="preserve">Lương cơ bản </t>
  </si>
  <si>
    <t>Lương tính theo tỷ lệ hoàn thành sản lượng</t>
  </si>
  <si>
    <t>Tỷ lệ hoàn thành sản lượng  (%)</t>
  </si>
  <si>
    <t>PC ngày công đi cạo</t>
  </si>
  <si>
    <t>Thưởng 2 tháng</t>
  </si>
  <si>
    <t>Nguyễn Quang Hà</t>
  </si>
  <si>
    <t>Trần Đăng Tám</t>
  </si>
  <si>
    <t>Nguyễn Văn Thái</t>
  </si>
  <si>
    <t>Nguyễn Quốc Triệu Phú</t>
  </si>
  <si>
    <t>T. Ê</t>
  </si>
  <si>
    <t>(3)= (2)/(1)*100%</t>
  </si>
  <si>
    <t>1.1</t>
  </si>
  <si>
    <t>1.2</t>
  </si>
  <si>
    <t>1.3</t>
  </si>
  <si>
    <t>Nguyễn Thị Thùy Linh</t>
  </si>
  <si>
    <t>Nguyễn Văn Cương</t>
  </si>
  <si>
    <t>Lê Minh Trí</t>
  </si>
  <si>
    <t>Trần Thị Kim Ngân</t>
  </si>
  <si>
    <t>T. Vôn</t>
  </si>
  <si>
    <t>T . Bua Ngân</t>
  </si>
  <si>
    <t>N. Nong</t>
  </si>
  <si>
    <t>N. On Xi</t>
  </si>
  <si>
    <t>T. Lốp</t>
  </si>
  <si>
    <t>N. Lăm Phay</t>
  </si>
  <si>
    <t>T Dăn</t>
  </si>
  <si>
    <t>T. Xợt</t>
  </si>
  <si>
    <t>T. Đèng</t>
  </si>
  <si>
    <t>N. Đon</t>
  </si>
  <si>
    <t>N. Xi</t>
  </si>
  <si>
    <t>N. Túc</t>
  </si>
  <si>
    <t>T. Xi Nuôn</t>
  </si>
  <si>
    <t>T. Văn Nô</t>
  </si>
  <si>
    <t>Bun Thon</t>
  </si>
  <si>
    <t>N. Xeo Khăm</t>
  </si>
  <si>
    <t>T. Xan Nha</t>
  </si>
  <si>
    <t xml:space="preserve">T. Xeng </t>
  </si>
  <si>
    <t>T. Vạt</t>
  </si>
  <si>
    <t>T. Lay</t>
  </si>
  <si>
    <t>T. Chăn La .</t>
  </si>
  <si>
    <t>Hoàng Thị Lan</t>
  </si>
  <si>
    <t>T Bun</t>
  </si>
  <si>
    <t>T. Xi Nun</t>
  </si>
  <si>
    <t>N. Xúc</t>
  </si>
  <si>
    <t>T. Lăm Phêng</t>
  </si>
  <si>
    <t>T Bun Xi</t>
  </si>
  <si>
    <t>TỔNG GIÁM ĐỐC                                                                      PHÒNG TC -KT                                                                                   PHÒNG TC - HC</t>
  </si>
  <si>
    <t>Lom</t>
  </si>
  <si>
    <t>Ghi Chú</t>
  </si>
  <si>
    <t>N. Khay Chăn</t>
  </si>
  <si>
    <t>T. Khách</t>
  </si>
  <si>
    <t>Tạp vụ Nông trường</t>
  </si>
  <si>
    <t xml:space="preserve"> Tài xế</t>
  </si>
  <si>
    <t>- BHXH, thuế TNCN,CĐ</t>
  </si>
  <si>
    <t>Nguyễn Minh Thành</t>
  </si>
  <si>
    <t>Mủ tạp (kg)</t>
  </si>
  <si>
    <t xml:space="preserve">Tổng 
lương 
</t>
  </si>
  <si>
    <t>Lương chăm sóc ( đơn giá 25.000 kíp/ công)</t>
  </si>
  <si>
    <t>Tiền lương còn lại</t>
  </si>
  <si>
    <t xml:space="preserve">Tổng Tiền
lương 
</t>
  </si>
  <si>
    <t>Nang On Xi</t>
  </si>
  <si>
    <t>Thảo Túc</t>
  </si>
  <si>
    <t xml:space="preserve">CNK </t>
  </si>
  <si>
    <t>CNK</t>
  </si>
  <si>
    <t>Tiền lương</t>
  </si>
  <si>
    <t>ĐVT : Kíp</t>
  </si>
  <si>
    <t xml:space="preserve">  Vườn cây kinh doanh </t>
  </si>
  <si>
    <t>SL A</t>
  </si>
  <si>
    <t>SLB</t>
  </si>
  <si>
    <t>SLC</t>
  </si>
  <si>
    <t>SLD</t>
  </si>
  <si>
    <t>ngày công thường</t>
  </si>
  <si>
    <t>chủ nhật</t>
  </si>
  <si>
    <t>Phụ cấp nhỏ a xít</t>
  </si>
  <si>
    <t>lương sp</t>
  </si>
  <si>
    <t>Vườn cây kinh doanh</t>
  </si>
  <si>
    <r>
      <t>Tổng tiền lương</t>
    </r>
    <r>
      <rPr>
        <sz val="13"/>
        <rFont val="Times New Roman"/>
        <family val="1"/>
      </rPr>
      <t xml:space="preserve">
</t>
    </r>
  </si>
  <si>
    <t>SỐ CÔNG NHÂN</t>
  </si>
  <si>
    <t xml:space="preserve">C </t>
  </si>
  <si>
    <t>HẠNG KỸ THUẬT</t>
  </si>
  <si>
    <t>Xếp hạng kỹ thuật</t>
  </si>
  <si>
    <t>N. Nhung  ( VP)</t>
  </si>
  <si>
    <t>SẢN LƯỢNG MỦ TẠP (KG)</t>
  </si>
  <si>
    <t>SẢN LƯỢNG MỦ QUY KHÔ (KG)</t>
  </si>
  <si>
    <t>Công nhân chính thức</t>
  </si>
  <si>
    <t>Công nhân thay thế</t>
  </si>
  <si>
    <t>C.</t>
  </si>
  <si>
    <t>Kí tên</t>
  </si>
  <si>
    <t>Đơn giá</t>
  </si>
  <si>
    <t>Hạng kỹ thuật</t>
  </si>
  <si>
    <t>Tỉ giá Bath</t>
  </si>
  <si>
    <t>PC ngày chủ nhật</t>
  </si>
  <si>
    <t>MSNV</t>
  </si>
  <si>
    <t>-----o0o----</t>
  </si>
  <si>
    <t>Phụ cấp 20.000 kíp / ngày / người</t>
  </si>
  <si>
    <t>T. Feng</t>
  </si>
  <si>
    <t xml:space="preserve">T. La </t>
  </si>
  <si>
    <t>TL. TC - KT</t>
  </si>
  <si>
    <t>Tổng tiền lương (kíp)</t>
  </si>
  <si>
    <t>Tổng tiền tiền lương thực nhận (kíp)</t>
  </si>
  <si>
    <t>Mủ dây (kg)</t>
  </si>
  <si>
    <t xml:space="preserve">
 Quy
khô ( kg)
</t>
  </si>
  <si>
    <t>DRC bình quân</t>
  </si>
  <si>
    <t xml:space="preserve">DRC thực tế </t>
  </si>
  <si>
    <t xml:space="preserve"> NÔNG TRƯỜNG 2</t>
  </si>
  <si>
    <t>Mủ Xirum</t>
  </si>
  <si>
    <t>mủ QK</t>
  </si>
  <si>
    <t>DRC mủ dây</t>
  </si>
  <si>
    <t>DRC mủ serum</t>
  </si>
  <si>
    <t>Mủ xirum (kg)</t>
  </si>
  <si>
    <t>Ghi chú :</t>
  </si>
  <si>
    <t>x : Ngày công làm việc</t>
  </si>
  <si>
    <r>
      <t>Ghi chú :</t>
    </r>
    <r>
      <rPr>
        <b/>
        <sz val="10"/>
        <rFont val="Times New Roman"/>
        <family val="1"/>
        <charset val="163"/>
      </rPr>
      <t xml:space="preserve">                        X</t>
    </r>
  </si>
  <si>
    <t>Đơn vị tính : Kíp</t>
  </si>
  <si>
    <t xml:space="preserve"> p :  Nghỉ phép</t>
  </si>
  <si>
    <t xml:space="preserve"> x : Ngày công làm việc</t>
  </si>
  <si>
    <t>cn : Ngày chủ nhật</t>
  </si>
  <si>
    <t>ຊັ້ນເຕັກນິກ</t>
  </si>
  <si>
    <t>ຜະລິດຕະພັນ</t>
  </si>
  <si>
    <t>ມື້ໄປກີດຍາງ</t>
  </si>
  <si>
    <t>ປະລິມານຢາງ</t>
  </si>
  <si>
    <t>ການຫັກລັບ</t>
  </si>
  <si>
    <t>ລ່ວງຫນ້າ</t>
  </si>
  <si>
    <t>ລົບທັງໝົດ</t>
  </si>
  <si>
    <t>ທີ່ຄົງເຫຼືອ</t>
  </si>
  <si>
    <t>Bùi Xuân Mai</t>
  </si>
  <si>
    <t>Tháng 07</t>
  </si>
  <si>
    <t>DRC ( đội 1)</t>
  </si>
  <si>
    <t>Phụ cấp ngày công bình thường</t>
  </si>
  <si>
    <t>T. Bờm</t>
  </si>
  <si>
    <t>Phụ cấp ngày công đi cạo thường</t>
  </si>
  <si>
    <t>Phụ cấp cạo 2 lát ngày chủ nhật</t>
  </si>
  <si>
    <t>(6)=(4)+(5)</t>
  </si>
  <si>
    <t>PC cạo 2 lát chủ nhật</t>
  </si>
  <si>
    <t>Mon (3)</t>
  </si>
  <si>
    <t>C</t>
  </si>
  <si>
    <t>Đội Phó</t>
  </si>
  <si>
    <t>Phụ cấp tiền lương</t>
  </si>
  <si>
    <t>Tiền lương  đội phó người Lào</t>
  </si>
  <si>
    <t>TIỀN LƯƠNG  CB.CNV</t>
  </si>
  <si>
    <t>Ghi chú:</t>
  </si>
  <si>
    <t>x: Ngày công cạo thường</t>
  </si>
  <si>
    <t>cn: Ngày công  chủ nhật thường</t>
  </si>
  <si>
    <t>Ngày công cạo gia tăng 2 miêng (gt)</t>
  </si>
  <si>
    <t>Ngày chủ nhật cạo gia tăng 2 miệng (ct)</t>
  </si>
  <si>
    <t>Ngày công đi cạo 2 lát (đ)</t>
  </si>
  <si>
    <t>đ: Ngày công cạo đi 2 lát</t>
  </si>
  <si>
    <t>đc: Ngày công chủ nhật cạo 2 lát</t>
  </si>
  <si>
    <t>gt: Ngày công cạo gia tăng 2 miệng</t>
  </si>
  <si>
    <t xml:space="preserve">ct: Ngày chủ nhật cạo gia tăng 2 miệng </t>
  </si>
  <si>
    <t>Ngày công chủ nhật cạo 2 lát (đc)</t>
  </si>
  <si>
    <t>TỶ LỆ % THEO HẠNG KỸ THUẬT</t>
  </si>
  <si>
    <t>GHI CHÚ</t>
  </si>
  <si>
    <t>Phụ cấp ngày CN thường</t>
  </si>
  <si>
    <t>Phụ cấp ngày công đi cạo 2 lát</t>
  </si>
  <si>
    <t>Phụ cấp ngày công chủ nhật cạo 2 lát</t>
  </si>
  <si>
    <t xml:space="preserve">Phụ cấp ngày công cạo gia tăng 2 miêng </t>
  </si>
  <si>
    <t>Phụ cấp ngày chủ nhật cạo gia tăng 2 miệng</t>
  </si>
  <si>
    <t>T. Khăm Pỏi</t>
  </si>
  <si>
    <t>Phụ cấp ngày công đi cạo 2 lát</t>
  </si>
  <si>
    <t>Phụ cấp ngày công cạo gia tăng 2 miệng</t>
  </si>
  <si>
    <t>CỘNG HOÀ DÂN CHỦ NHÂN DÂN LÀO</t>
  </si>
  <si>
    <t>Hoà bình - Độc lập - Dân chủ - Thống nhất - Thịnh vượng</t>
  </si>
  <si>
    <t>----oOo----</t>
  </si>
  <si>
    <t>HỌ VÀ TÊN</t>
  </si>
  <si>
    <t>CHỨC VỤ</t>
  </si>
  <si>
    <t>LƯƠNG (kip)</t>
  </si>
  <si>
    <t>THUẾ TNCN (kip)</t>
  </si>
  <si>
    <t>ທອງ</t>
  </si>
  <si>
    <t>đội 2</t>
  </si>
  <si>
    <t>đội 3</t>
  </si>
  <si>
    <t>01967</t>
  </si>
  <si>
    <t>trạm cân</t>
  </si>
  <si>
    <t>TỔNG</t>
  </si>
  <si>
    <t>PC ngày công cạo gia tăng 2 miệng</t>
  </si>
  <si>
    <t>PC chủ nhật cạo gia tăng 2 miệng</t>
  </si>
  <si>
    <t>PC ngày công đi cạo 2 lát</t>
  </si>
  <si>
    <t>ເຮັດວຽກວັນອາທິດ</t>
  </si>
  <si>
    <t xml:space="preserve">ມື້ກີດຍາງ ເພີ່ມຂື້ນ 2 ເທົ່າ </t>
  </si>
  <si>
    <t xml:space="preserve">ກີດຍາງວັນອາທິດ ເພີ່ມຂື້ນ 2 ເທົ່າ </t>
  </si>
  <si>
    <t>ອຸດໜຸນເງິນເດືອນ</t>
  </si>
  <si>
    <t>p : nghỉ phép</t>
  </si>
  <si>
    <t>Số CN</t>
  </si>
  <si>
    <t>Mức hổ trợ</t>
  </si>
  <si>
    <t>từ 2 &gt; 30</t>
  </si>
  <si>
    <t>từ 30 &gt; 50</t>
  </si>
  <si>
    <t>&gt;</t>
  </si>
  <si>
    <t>DRC</t>
  </si>
  <si>
    <t>T. Tan</t>
  </si>
  <si>
    <t>Đơn giá mủ seum</t>
  </si>
  <si>
    <t>N. Phết 2</t>
  </si>
  <si>
    <t>Xam xe y</t>
  </si>
  <si>
    <t xml:space="preserve">Hổ trợ xăng xe </t>
  </si>
  <si>
    <t>Mủ sỉum</t>
  </si>
  <si>
    <t>Lể quốc khánh lào</t>
  </si>
  <si>
    <t xml:space="preserve">ວັນຊາດ </t>
  </si>
  <si>
    <t>Hà Văn Thủy</t>
  </si>
  <si>
    <t>T. Tý</t>
  </si>
  <si>
    <t>Phụ cấp tiền lương (10.000 kíp/phần)</t>
  </si>
  <si>
    <t>Tổng mủ Xirum</t>
  </si>
  <si>
    <t>pt : Phép tết</t>
  </si>
  <si>
    <t>tt :  Trực tết</t>
  </si>
  <si>
    <t>Thành tiền (kip)</t>
  </si>
  <si>
    <t>Phu cấp 10.000 kíp</t>
  </si>
  <si>
    <t>Phu cấp 20.000 kíp</t>
  </si>
  <si>
    <t>ການຈັດປະເພດເຕັກນິກ</t>
  </si>
  <si>
    <t>ອຸດໜູນມື້ໄປກີດຍາງ</t>
  </si>
  <si>
    <t>ອຸດໜູນມື້ໄປເຮັດວຽກວັນອາທິດ</t>
  </si>
  <si>
    <t>ປະລິມານນ້ຳຢາງ</t>
  </si>
  <si>
    <t xml:space="preserve">ອຸດໜູນມື້ກີດຢາງ ເພີ່ມຂື້ນ 2 ເທົ່າ </t>
  </si>
  <si>
    <t>ບັນດາການຫັກລັບ</t>
  </si>
  <si>
    <t>ການເບີກເງີນລ່ວງຫນ້າ</t>
  </si>
  <si>
    <t>ລວມການລົບທັງໝົດ</t>
  </si>
  <si>
    <t>p</t>
  </si>
  <si>
    <t>Pb : Phép bệnh</t>
  </si>
  <si>
    <t>Thổi lá hàng 3m</t>
  </si>
  <si>
    <t>Bốc vật tư lên xuống xe</t>
  </si>
  <si>
    <t>Phụ cấp tiền lương (30.000 kíp/phần)</t>
  </si>
  <si>
    <t>Phụ cấp tiền lương (30.000/ngày)</t>
  </si>
  <si>
    <t>Thiết kế miệng cạo ngữa</t>
  </si>
  <si>
    <t>Xả miệng cạo ngữa</t>
  </si>
  <si>
    <t>Gom chén</t>
  </si>
  <si>
    <t>Phụ cấp tiền lương (500.000 kíp/phần)</t>
  </si>
  <si>
    <t>Phu cấp 500.000 kíp</t>
  </si>
  <si>
    <t>Lăm Ma Thu</t>
  </si>
  <si>
    <t>N. Kay Son</t>
  </si>
  <si>
    <t>T. Đèng 1</t>
  </si>
  <si>
    <t>N. Ly Phon</t>
  </si>
  <si>
    <t>N. Bua Lay</t>
  </si>
  <si>
    <t>T. Không</t>
  </si>
  <si>
    <t>N. Nu Ni</t>
  </si>
  <si>
    <t>N. Thông La</t>
  </si>
  <si>
    <t>T. Khay Khăm</t>
  </si>
  <si>
    <t>T. Toi</t>
  </si>
  <si>
    <t>N. Lăm Phay (2)</t>
  </si>
  <si>
    <t>T. Ne</t>
  </si>
  <si>
    <t xml:space="preserve">T. Lun </t>
  </si>
  <si>
    <t>T. Miềng</t>
  </si>
  <si>
    <t>T. Na</t>
  </si>
  <si>
    <t xml:space="preserve">N. Bun </t>
  </si>
  <si>
    <t>N. Quen</t>
  </si>
  <si>
    <t>Lăm Thong</t>
  </si>
  <si>
    <t>T. Môn</t>
  </si>
  <si>
    <t>T. Phan</t>
  </si>
  <si>
    <t>N. Nọi</t>
  </si>
  <si>
    <t>N. Bù</t>
  </si>
  <si>
    <t>T. Thi</t>
  </si>
  <si>
    <t>On chay</t>
  </si>
  <si>
    <t>T. Bi Ly (2)</t>
  </si>
  <si>
    <t>ĐỘI SẢN XUẤT SỐ 04</t>
  </si>
  <si>
    <t>Trạm 1</t>
  </si>
  <si>
    <t>Trạm 2</t>
  </si>
  <si>
    <t>ĐỘI SẢN XUẤT SỐ 4</t>
  </si>
  <si>
    <t>TỔNG GIÁM ĐỐC                               PHÒNG TC - KT                              PHÒNG TC - HC                                  P.PHÒNG PHỤ TRÁCH                                 ĐỘI TRƯỞNG                                 NGƯỜI LẬP</t>
  </si>
  <si>
    <t xml:space="preserve"> Trạm 2</t>
  </si>
  <si>
    <t>DRC ( trạm 1)</t>
  </si>
  <si>
    <t>DRC ( trạm 2)</t>
  </si>
  <si>
    <t>NV - KT (Lào)</t>
  </si>
  <si>
    <t>N. Tinh</t>
  </si>
  <si>
    <t xml:space="preserve">Thảo Mét </t>
  </si>
  <si>
    <t xml:space="preserve">           PHÒNG TC - HC                          P. PHÒNG PHỤ TRÁCH                            ĐỘI TRƯỞNG                           NGƯỜI LẬP</t>
  </si>
  <si>
    <t xml:space="preserve">Tiền lương kinh doanh </t>
  </si>
  <si>
    <t>CÔNG TY TNHH MTV QUASA - GERUCO LÀO</t>
  </si>
  <si>
    <t xml:space="preserve">Đơn Giá 
</t>
  </si>
  <si>
    <t>NV - KT</t>
  </si>
  <si>
    <t>P.PHÒNG PHỤ TRÁCH</t>
  </si>
  <si>
    <t xml:space="preserve">     TỔNG GIÁM ĐỐC                        PHÒNG TC - KT                            PHÒNG TC - HC                               P.PHÒNG PHỤ TRÁCH                                  ĐỘI TRƯỞNG                                    NGƯỜI LẬP</t>
  </si>
  <si>
    <t>TỔNG GIÁM ĐỐC        PHÒNG TC - KT</t>
  </si>
  <si>
    <t xml:space="preserve">    PHÒNG TC - HC                    </t>
  </si>
  <si>
    <t>P.P PHỤ TRÁCH</t>
  </si>
  <si>
    <t>ĐỘI TRƯỞNG           NGƯỜI LẬP</t>
  </si>
  <si>
    <t xml:space="preserve"> P.PHÒNG PHỤ TRÁCH                                    ĐỘI TRƯỞNG                                                     NGƯỜI LẬP</t>
  </si>
  <si>
    <t xml:space="preserve"> P.PHÒNG PHỤ TRÁCH                            ĐỘI TRƯỞNG                                        NGƯỜI LẬP</t>
  </si>
  <si>
    <t xml:space="preserve">                   TỔNG GIÁM ĐỐC                                  PHÒNG TC -KT                                         PHÒNG TC - HC                  </t>
  </si>
  <si>
    <t>Bảo vệ (T1)</t>
  </si>
  <si>
    <t>TK - TH</t>
  </si>
  <si>
    <t>Hoàng Thị Thủy</t>
  </si>
  <si>
    <t>Cấp dưởng</t>
  </si>
  <si>
    <t>Lát bốc</t>
  </si>
  <si>
    <t>HoTenViet</t>
  </si>
  <si>
    <t>HoTenLao</t>
  </si>
  <si>
    <t>Nam sinh</t>
  </si>
  <si>
    <t>Gioitinhviet</t>
  </si>
  <si>
    <t>Gioitinhlao</t>
  </si>
  <si>
    <t>NoiOViet</t>
  </si>
  <si>
    <t>NoiOLao</t>
  </si>
  <si>
    <t>Số HĐLĐ</t>
  </si>
  <si>
    <t>Nam</t>
  </si>
  <si>
    <t>Khăm xê y</t>
  </si>
  <si>
    <t>03456</t>
  </si>
  <si>
    <t>Xôm xa ạt</t>
  </si>
  <si>
    <t>04052</t>
  </si>
  <si>
    <t>Văng cúp</t>
  </si>
  <si>
    <t>02725</t>
  </si>
  <si>
    <t>Khăm xe y</t>
  </si>
  <si>
    <t>04053</t>
  </si>
  <si>
    <t>Nữ</t>
  </si>
  <si>
    <t>03459</t>
  </si>
  <si>
    <t>04054</t>
  </si>
  <si>
    <t>04055</t>
  </si>
  <si>
    <t>03462</t>
  </si>
  <si>
    <t>03463</t>
  </si>
  <si>
    <t>03464</t>
  </si>
  <si>
    <t>03465</t>
  </si>
  <si>
    <t>03466</t>
  </si>
  <si>
    <t>02727</t>
  </si>
  <si>
    <t>03467</t>
  </si>
  <si>
    <t>04056</t>
  </si>
  <si>
    <t>03469</t>
  </si>
  <si>
    <t>03470</t>
  </si>
  <si>
    <t>03471</t>
  </si>
  <si>
    <t>03472</t>
  </si>
  <si>
    <t>Na phu khăm</t>
  </si>
  <si>
    <t>03473</t>
  </si>
  <si>
    <t>03474</t>
  </si>
  <si>
    <t>Sôm xa at</t>
  </si>
  <si>
    <t>04057</t>
  </si>
  <si>
    <t>03476</t>
  </si>
  <si>
    <t>03477</t>
  </si>
  <si>
    <t>03478</t>
  </si>
  <si>
    <t>03479</t>
  </si>
  <si>
    <t>03480</t>
  </si>
  <si>
    <t>Xi bun hương</t>
  </si>
  <si>
    <t>03481</t>
  </si>
  <si>
    <t>03482</t>
  </si>
  <si>
    <t>03483</t>
  </si>
  <si>
    <t>03484</t>
  </si>
  <si>
    <t>03485</t>
  </si>
  <si>
    <t>02712</t>
  </si>
  <si>
    <t>02722</t>
  </si>
  <si>
    <t>02714</t>
  </si>
  <si>
    <t>02713</t>
  </si>
  <si>
    <t>04058</t>
  </si>
  <si>
    <t>03487</t>
  </si>
  <si>
    <t>03488</t>
  </si>
  <si>
    <t>03489</t>
  </si>
  <si>
    <t>04059</t>
  </si>
  <si>
    <t>03491</t>
  </si>
  <si>
    <t>04060</t>
  </si>
  <si>
    <t>03492</t>
  </si>
  <si>
    <t>03493</t>
  </si>
  <si>
    <t>03496</t>
  </si>
  <si>
    <t>04061</t>
  </si>
  <si>
    <t>03494</t>
  </si>
  <si>
    <t>03495</t>
  </si>
  <si>
    <t>04062</t>
  </si>
  <si>
    <t>03497</t>
  </si>
  <si>
    <t>03498</t>
  </si>
  <si>
    <t>02706</t>
  </si>
  <si>
    <t>04063</t>
  </si>
  <si>
    <t>04064</t>
  </si>
  <si>
    <t>03501</t>
  </si>
  <si>
    <t>03502</t>
  </si>
  <si>
    <t>04065</t>
  </si>
  <si>
    <t>03504</t>
  </si>
  <si>
    <t>04066</t>
  </si>
  <si>
    <t>03506</t>
  </si>
  <si>
    <t>04067</t>
  </si>
  <si>
    <t>03508</t>
  </si>
  <si>
    <t>03512</t>
  </si>
  <si>
    <t>04068</t>
  </si>
  <si>
    <t>04069</t>
  </si>
  <si>
    <t>03546</t>
  </si>
  <si>
    <t>03571</t>
  </si>
  <si>
    <t>04070</t>
  </si>
  <si>
    <t>03515</t>
  </si>
  <si>
    <t>03516</t>
  </si>
  <si>
    <t>Huội xai</t>
  </si>
  <si>
    <t>03544</t>
  </si>
  <si>
    <t>04071</t>
  </si>
  <si>
    <t>Huội Xai</t>
  </si>
  <si>
    <t>04072</t>
  </si>
  <si>
    <t>Nakphung</t>
  </si>
  <si>
    <t>03590</t>
  </si>
  <si>
    <t>03591</t>
  </si>
  <si>
    <t>03592</t>
  </si>
  <si>
    <t>03593</t>
  </si>
  <si>
    <t>03594</t>
  </si>
  <si>
    <t>04073</t>
  </si>
  <si>
    <t>Khăm Xê Y</t>
  </si>
  <si>
    <t>03596</t>
  </si>
  <si>
    <t>03597</t>
  </si>
  <si>
    <t>03598</t>
  </si>
  <si>
    <t>03599</t>
  </si>
  <si>
    <t>04074</t>
  </si>
  <si>
    <t>03601</t>
  </si>
  <si>
    <t>03602</t>
  </si>
  <si>
    <t>03604</t>
  </si>
  <si>
    <t>04075</t>
  </si>
  <si>
    <t>03509</t>
  </si>
  <si>
    <t>03607</t>
  </si>
  <si>
    <t>02729</t>
  </si>
  <si>
    <t>03608</t>
  </si>
  <si>
    <t>03609</t>
  </si>
  <si>
    <t>03610</t>
  </si>
  <si>
    <t>04076</t>
  </si>
  <si>
    <t>03612</t>
  </si>
  <si>
    <t>03613</t>
  </si>
  <si>
    <t>04077</t>
  </si>
  <si>
    <t>03615</t>
  </si>
  <si>
    <t>03616</t>
  </si>
  <si>
    <t>03617</t>
  </si>
  <si>
    <t>03618</t>
  </si>
  <si>
    <t>03619</t>
  </si>
  <si>
    <t>03620</t>
  </si>
  <si>
    <t>04078</t>
  </si>
  <si>
    <t>03622</t>
  </si>
  <si>
    <t>03623</t>
  </si>
  <si>
    <t>03532</t>
  </si>
  <si>
    <t>03625</t>
  </si>
  <si>
    <t>03587</t>
  </si>
  <si>
    <t>04079</t>
  </si>
  <si>
    <t>03628</t>
  </si>
  <si>
    <t>03629</t>
  </si>
  <si>
    <t>03630</t>
  </si>
  <si>
    <t>03631</t>
  </si>
  <si>
    <t>03632</t>
  </si>
  <si>
    <t>04080</t>
  </si>
  <si>
    <t>03634</t>
  </si>
  <si>
    <t>03635</t>
  </si>
  <si>
    <t>03636</t>
  </si>
  <si>
    <t>03637</t>
  </si>
  <si>
    <t>03638</t>
  </si>
  <si>
    <t>04081</t>
  </si>
  <si>
    <t>04082</t>
  </si>
  <si>
    <t>04083</t>
  </si>
  <si>
    <t>03642</t>
  </si>
  <si>
    <t>04084</t>
  </si>
  <si>
    <t>04085</t>
  </si>
  <si>
    <t>Số công nhân</t>
  </si>
  <si>
    <t>Sản lượng mủ (kg)</t>
  </si>
  <si>
    <t>Hạng</t>
  </si>
  <si>
    <t>Tỷ lệ %</t>
  </si>
  <si>
    <t xml:space="preserve">Mủ tạp </t>
  </si>
  <si>
    <t xml:space="preserve">Mủ quy khô </t>
  </si>
  <si>
    <t xml:space="preserve">Tỷ lệ % </t>
  </si>
  <si>
    <t xml:space="preserve"> CN chính thức</t>
  </si>
  <si>
    <t>CN thay thế</t>
  </si>
  <si>
    <t>Tổng Trạm 1</t>
  </si>
  <si>
    <t>Tổng Trạm 2</t>
  </si>
  <si>
    <t xml:space="preserve">Tổng Đội </t>
  </si>
  <si>
    <t xml:space="preserve">P.PHÒNG PHỤ TRÁCH </t>
  </si>
  <si>
    <t>ĐỘI TRƯỞNG</t>
  </si>
  <si>
    <t>Hệ số QLKT (K)</t>
  </si>
  <si>
    <t>CÔNG TY TNHH MTV QUASA-GERUCO LÀO</t>
  </si>
  <si>
    <t>Trạm</t>
  </si>
  <si>
    <t>Lương theo bậc</t>
  </si>
  <si>
    <t>Lương tính theo tỷ lệ hoàn thành sản lượng và hạng kỹ thuật</t>
  </si>
  <si>
    <t>Bảo vệ (T1)</t>
  </si>
  <si>
    <t>Bảo vệ (T2)</t>
  </si>
  <si>
    <t>Bảo vệ (VP)</t>
  </si>
  <si>
    <t>hùng</t>
  </si>
  <si>
    <t>BẢNG THANH TOÁN TIỀN HỔ TRỢ XE QUẢN LÝ THÁNG 06 NĂM 2025</t>
  </si>
  <si>
    <r>
      <rPr>
        <b/>
        <i/>
        <sz val="11"/>
        <color indexed="63"/>
        <rFont val="Times New Roman"/>
        <family val="1"/>
      </rPr>
      <t>Mường phìn</t>
    </r>
    <r>
      <rPr>
        <sz val="11"/>
        <color indexed="63"/>
        <rFont val="Times New Roman"/>
        <family val="1"/>
      </rPr>
      <t>, ngày 02 tháng 07 năm 2025</t>
    </r>
  </si>
  <si>
    <t>NV-KT</t>
  </si>
  <si>
    <t>Bôi thuốc loét sọc</t>
  </si>
  <si>
    <t>Phun cỏ đại trà</t>
  </si>
  <si>
    <t>T. Huân</t>
  </si>
  <si>
    <t>T. Lã</t>
  </si>
  <si>
    <t>N. Veo</t>
  </si>
  <si>
    <t>T. Pu</t>
  </si>
  <si>
    <t>N. Nang</t>
  </si>
  <si>
    <t>T. Tu</t>
  </si>
  <si>
    <t>Tram 2</t>
  </si>
  <si>
    <t>T. Tạch</t>
  </si>
  <si>
    <t>T. Ta.</t>
  </si>
  <si>
    <t xml:space="preserve">Bằng chữ : Mười hai triệu sáu trăm nghìn kíp </t>
  </si>
  <si>
    <t xml:space="preserve">    TỔNG GIÁM ĐỐC       PHÒNG TC - KT          PHÒNG TC - HC       P. P PHỤ TRÁCH         ĐỘI TRƯỞNG         NGƯỜI LẬP</t>
  </si>
  <si>
    <t xml:space="preserve">Ngày công đi cạo thường </t>
  </si>
  <si>
    <t xml:space="preserve">Ngày CN thường </t>
  </si>
  <si>
    <t xml:space="preserve">BẢNG CHẤM CÔNG  </t>
  </si>
  <si>
    <t xml:space="preserve">                             TỔNG GIÁM ĐỐC                                               PHÒNG TC -KT                                                  PHÒNG TC - HC                              </t>
  </si>
  <si>
    <t>Đoàn Văn nghĩa</t>
  </si>
  <si>
    <t>P.P phụ trách</t>
  </si>
  <si>
    <t xml:space="preserve">    PHÒNG TC - KT            PHÒNG TC - HC           P. PHÒNG PHỤ TRÁCH           ĐỘI TRƯỞNG             NGƯỜI LẬP</t>
  </si>
  <si>
    <t>Tramj 2</t>
  </si>
  <si>
    <t>BẢNG TỔNG HỢP CÔNG THỰC HIỆN THÁNG 07 NĂM 2025</t>
  </si>
  <si>
    <t>Bón Phân</t>
  </si>
  <si>
    <t>Phun Potry</t>
  </si>
  <si>
    <t>Hạng mục công việc</t>
  </si>
  <si>
    <t>( Từ ngày 01/07/2025 đến ngày 31/07/2025)</t>
  </si>
  <si>
    <t>ĐỘI TRƯỞNG                NGƯỜI LẬP</t>
  </si>
  <si>
    <t xml:space="preserve">      TỔNG GIÁM ĐỐC                PHÒNG TC - KT               PHÒNG TC - HC               P. PHÒNG PHỤ TRÁCH              ĐỘI TRƯỞNG             NGƯỜI LẬP</t>
  </si>
  <si>
    <t>BẢNG TỔNG HỢP CHI PHÍ KHÁC THÁNG 07 NĂM 2025</t>
  </si>
  <si>
    <t>Mường phìn,ngày 02 tháng 08 năm 2025</t>
  </si>
  <si>
    <t xml:space="preserve"> PHÒNG QL - KT                                                                                                                                                     NÔNG TRƯỜNG 2</t>
  </si>
  <si>
    <t xml:space="preserve">        TỔNG GIÁM ĐỐC                     PHÒNG TC - HC                           P. PHÒNG PHỤ TRÁCH                           ĐỘI TRƯỞNG                              NGƯỜI LẬP</t>
  </si>
  <si>
    <t>PHÒNG QL - KT</t>
  </si>
  <si>
    <t>TỔNG GIÁM ĐỐC                                                                                             PHÒNG QL - KT                                                                                                            P. PHÒNG PHỤ TRÁCH                                                                                                                 ĐỘI TRƯỞNG                                                                                                              NGƯỜI LẬP</t>
  </si>
  <si>
    <t>TỔNG GIÁM ĐỐC                PHÒNG QL - KT                  PHÒNG TC - HC                        P. PHÒNG PHỤ TRÁCH                             ĐỘI TRƯỞNG                            NGƯỜI LẬP</t>
  </si>
  <si>
    <t>tt</t>
  </si>
  <si>
    <t>Leo</t>
  </si>
  <si>
    <t>Hổ trợ mưa bảo</t>
  </si>
  <si>
    <t>ເງີນອຸດໝູນຊ່ວຍເຫຼືອໃນຊວງພາຍຸຝົນຕົກ</t>
  </si>
  <si>
    <t xml:space="preserve">T. Lăm  </t>
  </si>
  <si>
    <t>A. Trí</t>
  </si>
  <si>
    <t>Mường phìn, ngày 02 tháng 09 năm 2025</t>
  </si>
  <si>
    <t>đ</t>
  </si>
  <si>
    <t>Bảo vệ (T2)</t>
  </si>
  <si>
    <t>Keo</t>
  </si>
  <si>
    <t>đ: Ngày công  cạo đúp</t>
  </si>
  <si>
    <t>N.Choi</t>
  </si>
  <si>
    <t>N. Pheng Mi</t>
  </si>
  <si>
    <t>N. In Ton</t>
  </si>
  <si>
    <t>`````````````</t>
  </si>
  <si>
    <t>LƯƠNG THÁNG 08/2025</t>
  </si>
  <si>
    <t>jhjhb kj,jk,jk</t>
  </si>
  <si>
    <t>kjhmjhmjm</t>
  </si>
  <si>
    <t>Tháng 9 năm 2025</t>
  </si>
  <si>
    <t xml:space="preserve">                       PHÒNG TC - HC                                     P. PHÒNG PHỤ TRÁCH                                         ĐỘI TRƯỞNG                                               NGƯỜI LẬP</t>
  </si>
  <si>
    <r>
      <rPr>
        <b/>
        <i/>
        <sz val="11"/>
        <rFont val="Times New Roman"/>
        <family val="1"/>
        <charset val="163"/>
      </rPr>
      <t>Mường phìn</t>
    </r>
    <r>
      <rPr>
        <sz val="11"/>
        <rFont val="Times New Roman"/>
        <family val="1"/>
        <charset val="163"/>
      </rPr>
      <t>, ngày 02 tháng 10 năm 2025</t>
    </r>
  </si>
  <si>
    <t>Pôn</t>
  </si>
  <si>
    <t>Phụ cấp xăng xe</t>
  </si>
  <si>
    <t>DANH SÁCH CB - CNV NỘP THUẾ TNCN THÁNG 09/2025</t>
  </si>
  <si>
    <t>Bảo vệ</t>
  </si>
  <si>
    <t xml:space="preserve"> BẢNG CHẤM CÔNG PHỤ CẤP CHO CÔNG NHÂN KHAI THÁC THÁNG 09 NĂM 2025</t>
  </si>
  <si>
    <t>(Từ ngày 01/09 đến 30/09/2025)</t>
  </si>
  <si>
    <t>BẢNG THEO DÕI SẢN LƯỢNG MỦ SERUM THÁNG 09 NĂM 2025</t>
  </si>
  <si>
    <t>BẢNG THEO DÕI SẢN LƯỢNG MỦ TẠP THÁNG 09 NĂM 2025</t>
  </si>
  <si>
    <t>(Từ ngày 01 đến 30/09/2025)</t>
  </si>
  <si>
    <t xml:space="preserve">tt </t>
  </si>
  <si>
    <t>Mường phìn, ngày 02 tháng 10 năm 2025</t>
  </si>
  <si>
    <t>Huyện Phìn, ngày 01 tháng 10 năm 2025</t>
  </si>
  <si>
    <t>đc</t>
  </si>
  <si>
    <r>
      <rPr>
        <b/>
        <i/>
        <sz val="19"/>
        <rFont val="Times New Roman"/>
        <family val="1"/>
      </rPr>
      <t>Mường phìn</t>
    </r>
    <r>
      <rPr>
        <sz val="19"/>
        <rFont val="Times New Roman"/>
        <family val="1"/>
      </rPr>
      <t>, ngày 02 tháng 10 năm 2025</t>
    </r>
  </si>
  <si>
    <t>BẢNG LƯƠNG KHAI THÁC TRẠM 1 THÁNG 09 NĂM 2025</t>
  </si>
  <si>
    <t>BẢNG LƯƠNG KHAI THÁC TRẠM 2 THÁNG 09 NĂM 2025</t>
  </si>
  <si>
    <r>
      <rPr>
        <b/>
        <i/>
        <sz val="18"/>
        <rFont val="Times New Roman"/>
        <family val="1"/>
      </rPr>
      <t>Mường phìn</t>
    </r>
    <r>
      <rPr>
        <i/>
        <sz val="18"/>
        <rFont val="Times New Roman"/>
        <family val="1"/>
      </rPr>
      <t>, ngày 02 tháng 10 năm 2025</t>
    </r>
  </si>
  <si>
    <t>BẢNG LƯƠNG KHAI THÁC THÁNG 10 NĂM 2025</t>
  </si>
  <si>
    <r>
      <rPr>
        <b/>
        <i/>
        <sz val="13"/>
        <color indexed="63"/>
        <rFont val="Times New Roman"/>
        <family val="1"/>
      </rPr>
      <t xml:space="preserve">                Mường phìn</t>
    </r>
    <r>
      <rPr>
        <sz val="13"/>
        <color indexed="63"/>
        <rFont val="Times New Roman"/>
        <family val="1"/>
      </rPr>
      <t>, ngày 02 tháng 10 năm 2025</t>
    </r>
  </si>
  <si>
    <t>BẢNG THANH TOÁN TIỀN LƯƠNG CB.CNV NGƯỜI LÀO THÁNG 09 NĂM 2025</t>
  </si>
  <si>
    <t>Mường phìn, ngày 02 tháng 10 năm 2025</t>
  </si>
  <si>
    <t>Huyện Phìn, ngày 02 tháng 10 năm 2025</t>
  </si>
  <si>
    <t>BẢNG TÍNH LƯƠNG  ĐỘI THỰC HIỆN TRONG THÁNG 09/2025</t>
  </si>
  <si>
    <t>Mường Phìn, ngày 02 tháng 10 năm 2025</t>
  </si>
  <si>
    <t>BẢNG PHÂN TOÁN TIỀN LƯƠNG THÁNG 09 NĂM 2025</t>
  </si>
  <si>
    <t>( Từ ngày 01/09/2025 đến ngày 30/09/2025)</t>
  </si>
  <si>
    <t>Mường phìn, ngày 02 tháng 10 năm 2025</t>
  </si>
  <si>
    <t>BẢNG THANH TOÁN TIỀN CÔNG VIỆC KHÁC THÁNG 09 NĂM 2025</t>
  </si>
  <si>
    <r>
      <rPr>
        <b/>
        <i/>
        <sz val="11"/>
        <color indexed="63"/>
        <rFont val="Times New Roman"/>
        <family val="1"/>
        <charset val="163"/>
      </rPr>
      <t xml:space="preserve">                                                        Mường phìn</t>
    </r>
    <r>
      <rPr>
        <sz val="11"/>
        <color indexed="63"/>
        <rFont val="Times New Roman"/>
        <family val="1"/>
      </rPr>
      <t>, ngày 02 tháng 10 năm 2025</t>
    </r>
  </si>
  <si>
    <t>THÁNG 09 NĂM 2025</t>
  </si>
  <si>
    <r>
      <rPr>
        <b/>
        <i/>
        <sz val="13"/>
        <color indexed="63"/>
        <rFont val="Times New Roman"/>
        <family val="1"/>
      </rPr>
      <t>Mường phìn</t>
    </r>
    <r>
      <rPr>
        <sz val="13"/>
        <color indexed="63"/>
        <rFont val="Times New Roman"/>
        <family val="1"/>
      </rPr>
      <t>, ngày 02 tháng 10 năm 2025</t>
    </r>
  </si>
  <si>
    <t>BẢNG THANH TOÁN TIỀN PHỤ CẤP XĂNG XE  THÁNG 09 NĂM 2025</t>
  </si>
  <si>
    <t xml:space="preserve"> BẢNG CHẤM CÔNG PHỤ CẤP XĂNG XE THÁNG 09 NĂM 2025</t>
  </si>
  <si>
    <t>Tháng 09 năm 2025</t>
  </si>
  <si>
    <t>BẢNG CHẤM CÔNG  CB.CNV NGƯỜI LÀO</t>
  </si>
  <si>
    <t>Chuyển 1</t>
  </si>
  <si>
    <t>Chuyển 2</t>
  </si>
  <si>
    <t>Cạo gia tăng 2 miệng (thường)</t>
  </si>
  <si>
    <t>Cạo gia tăng 2 miệng (chủ nhật)</t>
  </si>
  <si>
    <t>Phụ cấp cạo đi cạo 2 lát</t>
  </si>
  <si>
    <t>N. Ních</t>
  </si>
  <si>
    <t>BC</t>
  </si>
  <si>
    <t xml:space="preserve">Phụ cấp thêm cạo 2 lát </t>
  </si>
  <si>
    <t>Phụ cấp thêm cạo 2 lát</t>
  </si>
  <si>
    <t>Mủ Xi Rum 1</t>
  </si>
  <si>
    <t>Mủ Xi Rum 2</t>
  </si>
  <si>
    <t>Vệ sinh kho,sắp xếp vật tư</t>
  </si>
  <si>
    <t>Thuê xe chơ thuốc kích thích qua suối</t>
  </si>
  <si>
    <t>Số tiền bằng chữ : Một tỷ, ba trăm mười chín triệu, chín trăm chín mươi sáu nghìn, một trăm chín mươi kíp</t>
  </si>
  <si>
    <t>Số tiền bằng chữ: Một triệu, không trăm năm mươi nghìn kíp</t>
  </si>
  <si>
    <t>Bằng chữ: Tám trăm sáu mươi tám nghìn, tám trăm mười tám kíp</t>
  </si>
  <si>
    <t xml:space="preserve">Số tiền bằng chữ: Một triệu, hai trăm nghìn kíp </t>
  </si>
  <si>
    <t xml:space="preserve">Bằng chữ : Bảy trăm mười tám triệu, năm trăm bốn mươi hai nghìn, ba trăm lẻ một kíp </t>
  </si>
  <si>
    <t xml:space="preserve">Số tiền bằng chữ : Một tỷ, hai trăm chín mươi sáu triệu, không trăm hai mươi tám nghìn, không trăm mười hai kíp </t>
  </si>
  <si>
    <t>Số tiền bằng chữ: Hai mươi ba triệu, chín trăm sáu mươi tám nghìn, một trăm bảy mươi tám kíp</t>
  </si>
  <si>
    <t>Bằng chữ: Một tỷ, ba trăm mười chín triệu, chín trăm chín mươi sáu nghìn, một trăm chín mươi kíp</t>
  </si>
  <si>
    <r>
      <rPr>
        <b/>
        <i/>
        <sz val="11"/>
        <color indexed="63"/>
        <rFont val="Times New Roman"/>
        <family val="1"/>
        <charset val="163"/>
      </rPr>
      <t>Số tiền bằng chữ:</t>
    </r>
    <r>
      <rPr>
        <b/>
        <sz val="11"/>
        <color indexed="63"/>
        <rFont val="Times New Roman"/>
        <family val="1"/>
        <charset val="163"/>
      </rPr>
      <t xml:space="preserve"> Năm triệu, chín trăm nghìn kíp</t>
    </r>
  </si>
  <si>
    <t>BẢNG TỔNG HỢP LƯƠNG CÁN BỘ QUẢN LÝ VÀ CÔNG NHÂN TRỰC TIẾP THÁNG 09 NĂM 2025</t>
  </si>
  <si>
    <t>Lương phụ cấp</t>
  </si>
  <si>
    <t>Bảo vệ vườn cây</t>
  </si>
  <si>
    <t>CB - CNV người Lào</t>
  </si>
  <si>
    <t>Tổng tiền lương vườn cây kinh doanh (1)</t>
  </si>
  <si>
    <t>Tổng tiền lương  bảo vệ vườn cây (2)</t>
  </si>
  <si>
    <t>Tổng tiền lương CB - CNV người Lào (3)</t>
  </si>
  <si>
    <t>Tổng tiền lương tạp vụ người Lào (4)</t>
  </si>
  <si>
    <t xml:space="preserve">I </t>
  </si>
  <si>
    <t xml:space="preserve">Tổng cộng </t>
  </si>
  <si>
    <t xml:space="preserve">Bằng chữ : Năm trăm bảy mươi bảy triệu bốn trăm tám mươi lăm nghìn bảy trăm mười một kíp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</si>
</sst>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2">
    <numFmt numFmtId="43" formatCode="_-* #,##0.00\ _₫_-;\-* #,##0.00\ _₫_-;_-* &quot;-&quot;??\ _₫_-;_-@_-"/>
    <numFmt numFmtId="187" formatCode="_-* #,##0_-;\-* #,##0_-;_-* &quot;-&quot;_-;_-@_-"/>
    <numFmt numFmtId="188" formatCode="_-* #,##0.00_-;\-* #,##0.00_-;_-* &quot;-&quot;??_-;_-@_-"/>
    <numFmt numFmtId="189" formatCode="&quot;$&quot;#,##0_);[Red]\(&quot;$&quot;#,##0\)"/>
    <numFmt numFmtId="190" formatCode="_(&quot;$&quot;* #,##0_);_(&quot;$&quot;* \(#,##0\);_(&quot;$&quot;* &quot;-&quot;_);_(@_)"/>
    <numFmt numFmtId="191" formatCode="_(* #,##0_);_(* \(#,##0\);_(* &quot;-&quot;_);_(@_)"/>
    <numFmt numFmtId="192" formatCode="_(* #,##0.00_);_(* \(#,##0.00\);_(* &quot;-&quot;??_);_(@_)"/>
    <numFmt numFmtId="193" formatCode="_-* #,##0\ _?_-;\-* #,##0\ _?_-;_-* &quot;-&quot;\ _?_-;_-@_-"/>
    <numFmt numFmtId="194" formatCode="_(* #,##0.00_);_(* \(#,##0.00\);_(* &quot;-&quot;&quot;?&quot;&quot;?&quot;_);_(@_)"/>
    <numFmt numFmtId="195" formatCode="_-* #,##0.00\ &quot;₫&quot;_-;\-* #,##0.00\ &quot;₫&quot;_-;_-* &quot;-&quot;&quot;?&quot;&quot;?&quot;\ &quot;₫&quot;_-;_-@_-"/>
    <numFmt numFmtId="196" formatCode="_-* #,##0.00\ _₫_-;\-* #,##0.00\ _₫_-;_-* &quot;-&quot;&quot;?&quot;&quot;?&quot;\ _₫_-;_-@_-"/>
    <numFmt numFmtId="197" formatCode="_-* #,##0\ _₫_-;\-* #,##0\ _₫_-;_-* &quot;-&quot;&quot;?&quot;&quot;?&quot;\ _₫_-;_-@_-"/>
    <numFmt numFmtId="198" formatCode="_(* #,##0_);_(* \(#,##0\);_(* &quot;-&quot;&quot;?&quot;&quot;?&quot;_);_(@_)"/>
    <numFmt numFmtId="199" formatCode="_(* #,##0.0_);_(* \(#,##0.0\);_(* &quot;-&quot;&quot;?&quot;&quot;?&quot;_);_(@_)"/>
    <numFmt numFmtId="200" formatCode="0.0"/>
    <numFmt numFmtId="201" formatCode="_(* #,##0.000_);_(* \(#,##0.000\);_(* &quot;-&quot;&quot;?&quot;&quot;?&quot;_);_(@_)"/>
    <numFmt numFmtId="202" formatCode="_-* #,##0.0000\ _₫_-;\-* #,##0.0000\ _₫_-;_-* &quot;-&quot;&quot;?&quot;&quot;?&quot;\ _₫_-;_-@_-"/>
    <numFmt numFmtId="203" formatCode="0.0000"/>
    <numFmt numFmtId="204" formatCode="#,##0;[Red]#,##0"/>
    <numFmt numFmtId="205" formatCode="#,##0.0;[Red]#,##0.0"/>
    <numFmt numFmtId="206" formatCode="#,##0.00;[Red]#,##0.00"/>
    <numFmt numFmtId="207" formatCode="#,##0_ ;\-#,##0\ "/>
    <numFmt numFmtId="208" formatCode="#,##0.00_ ;\-#,##0.00\ "/>
    <numFmt numFmtId="209" formatCode="_-* #,##0.0\ _?_-;\-* #,##0.0\ _?_-;_-* &quot;-&quot;\ _?_-;_-@_-"/>
    <numFmt numFmtId="210" formatCode="_-* #,##0.00\ _?_-;\-* #,##0.00\ _?_-;_-* &quot;-&quot;\ _?_-;_-@_-"/>
    <numFmt numFmtId="211" formatCode="_(* #,##0.00_);_(* \(#,##0.00\);_(* &quot;-&quot;_);_(@_)"/>
    <numFmt numFmtId="212" formatCode="_(* #,##0.0000_);_(* \(#,##0.0000\);_(* &quot;-&quot;_);_(@_)"/>
    <numFmt numFmtId="213" formatCode="_(* #,##0_);_(* \(#,##0\);_(* &quot;-&quot;??_);_(@_)"/>
    <numFmt numFmtId="214" formatCode="_(* #,##0.0_);_(* \(#,##0.0\);_(* &quot;-&quot;_);_(@_)"/>
    <numFmt numFmtId="215" formatCode="#,##0.0"/>
    <numFmt numFmtId="216" formatCode="_-* #,##0\ _₫_-;\-* #,##0\ _₫_-;_-* &quot;-&quot;??\ _₫_-;_-@_-"/>
    <numFmt numFmtId="217" formatCode="_(* #,##0.0000_);_(* \(#,##0.0000\);_(* &quot;-&quot;??_);_(@_)"/>
    <numFmt numFmtId="218" formatCode="0.000"/>
    <numFmt numFmtId="219" formatCode="_(* #,##0.0_);_(* \(#,##0.0\);_(* &quot;-&quot;??_);_(@_)"/>
    <numFmt numFmtId="220" formatCode="_-* #,##0.0\ _₫_-;\-* #,##0.0\ _₫_-;_-* &quot;-&quot;&quot;?&quot;&quot;?&quot;\ _₫_-;_-@_-"/>
    <numFmt numFmtId="221" formatCode="#,##0\ _?"/>
    <numFmt numFmtId="222" formatCode="_-* #,##0.000\ _₫_-;\-* #,##0.000\ _₫_-;_-* &quot;-&quot;&quot;?&quot;&quot;?&quot;\ _₫_-;_-@_-"/>
    <numFmt numFmtId="223" formatCode="_(* #,##0.000000_);_(* \(#,##0.000000\);_(* &quot;-&quot;_);_(@_)"/>
    <numFmt numFmtId="224" formatCode="#,##0.00\ _?"/>
    <numFmt numFmtId="225" formatCode="#,##0.0\ _?"/>
    <numFmt numFmtId="226" formatCode="_(* #,##0.000000_);_(* \(#,##0.000000\);_(* &quot;-&quot;??_);_(@_)"/>
    <numFmt numFmtId="227" formatCode="_(* #,##0.0000000_);_(* \(#,##0.0000000\);_(* &quot;-&quot;??_);_(@_)"/>
    <numFmt numFmtId="228" formatCode="#,##0.000000000"/>
    <numFmt numFmtId="229" formatCode="_-* #,##0_-;\-* #,##0_-;_-* &quot;-&quot;??_-;_-@_-"/>
    <numFmt numFmtId="230" formatCode="0.00000000"/>
    <numFmt numFmtId="231" formatCode="#,##0.000"/>
    <numFmt numFmtId="232" formatCode="_(* #,##0.000_);_(* \(#,##0.000\);_(* &quot;-&quot;_);_(@_)"/>
    <numFmt numFmtId="233" formatCode="_(* #,##0.0000_);_(* \(#,##0.0000\);_(* &quot;-&quot;&quot;?&quot;&quot;?&quot;_);_(@_)"/>
    <numFmt numFmtId="234" formatCode="0;[Red]0"/>
    <numFmt numFmtId="235" formatCode="_-* #,##0.0\ _₫_-;\-* #,##0.0\ _₫_-;_-* &quot;-&quot;?\ _₫_-;_-@_-"/>
    <numFmt numFmtId="236" formatCode="#,##0.0_ ;\-#,##0.0\ "/>
    <numFmt numFmtId="237" formatCode="_-* #,##0\ _₫_-;\-* #,##0\ _₫_-;_-* &quot;-&quot;?\ _₫_-;_-@_-"/>
  </numFmts>
  <fonts count="198">
    <font>
      <sz val="11"/>
      <color theme="1"/>
      <name val="Calibri"/>
      <family val="2"/>
      <charset val="163"/>
    </font>
    <font>
      <sz val="11"/>
      <color indexed="8"/>
      <name val="Calibri"/>
      <family val="2"/>
      <charset val="163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i/>
      <u/>
      <sz val="12"/>
      <name val="Times New Roman"/>
      <family val="1"/>
    </font>
    <font>
      <u/>
      <sz val="12"/>
      <name val="Times New Roman"/>
      <family val="1"/>
    </font>
    <font>
      <sz val="8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1"/>
      <color indexed="63"/>
      <name val="Calibri"/>
      <family val="2"/>
      <charset val="163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b/>
      <sz val="10"/>
      <color indexed="63"/>
      <name val="Times New Roman"/>
      <family val="1"/>
    </font>
    <font>
      <sz val="10"/>
      <color indexed="63"/>
      <name val="Times New Roman"/>
      <family val="1"/>
    </font>
    <font>
      <b/>
      <sz val="14"/>
      <color indexed="63"/>
      <name val="Times New Roman"/>
      <family val="1"/>
    </font>
    <font>
      <sz val="8"/>
      <name val="Calibri"/>
      <family val="2"/>
      <charset val="163"/>
    </font>
    <font>
      <b/>
      <sz val="13"/>
      <name val="Times New Roman"/>
      <family val="1"/>
    </font>
    <font>
      <u/>
      <sz val="13"/>
      <name val="Times New Roman"/>
      <family val="1"/>
    </font>
    <font>
      <b/>
      <u/>
      <sz val="10"/>
      <name val="Times New Roman"/>
      <family val="1"/>
    </font>
    <font>
      <b/>
      <u/>
      <sz val="13"/>
      <name val="Times New Roman"/>
      <family val="1"/>
    </font>
    <font>
      <sz val="10"/>
      <name val="VNI-Times"/>
    </font>
    <font>
      <sz val="11"/>
      <name val="Times New Roman"/>
      <family val="1"/>
    </font>
    <font>
      <b/>
      <sz val="9"/>
      <name val="Times New Roman"/>
      <family val="1"/>
    </font>
    <font>
      <b/>
      <sz val="12"/>
      <color indexed="63"/>
      <name val="Times New Roman"/>
      <family val="1"/>
    </font>
    <font>
      <i/>
      <sz val="13"/>
      <name val="Times New Roman"/>
      <family val="1"/>
    </font>
    <font>
      <sz val="10"/>
      <name val="VNI-Helve-Condense"/>
    </font>
    <font>
      <sz val="12"/>
      <name val="Times New Roman"/>
      <family val="1"/>
      <charset val="163"/>
    </font>
    <font>
      <sz val="12"/>
      <color indexed="30"/>
      <name val="Times New Roman"/>
      <family val="1"/>
    </font>
    <font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b/>
      <u/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sz val="11"/>
      <color indexed="63"/>
      <name val="Times New Roman"/>
      <family val="1"/>
      <charset val="163"/>
    </font>
    <font>
      <b/>
      <sz val="13"/>
      <name val="Times New Roman"/>
      <family val="1"/>
      <charset val="163"/>
    </font>
    <font>
      <sz val="10"/>
      <name val="Saysettha Lao"/>
      <family val="2"/>
    </font>
    <font>
      <b/>
      <sz val="11"/>
      <color indexed="63"/>
      <name val="Times New Roman"/>
      <family val="1"/>
      <charset val="163"/>
    </font>
    <font>
      <b/>
      <i/>
      <sz val="11"/>
      <name val="Times New Roman"/>
      <family val="1"/>
    </font>
    <font>
      <b/>
      <u/>
      <sz val="12"/>
      <name val="Times New Roman"/>
      <family val="1"/>
    </font>
    <font>
      <sz val="10"/>
      <name val="Calibri"/>
      <family val="2"/>
      <charset val="163"/>
    </font>
    <font>
      <b/>
      <i/>
      <sz val="11"/>
      <color indexed="63"/>
      <name val="Times New Roman"/>
      <family val="1"/>
      <charset val="163"/>
    </font>
    <font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  <font>
      <b/>
      <i/>
      <sz val="11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6"/>
      <name val="Times New Roman"/>
      <family val="1"/>
      <charset val="163"/>
    </font>
    <font>
      <sz val="10"/>
      <name val="Arial"/>
      <family val="2"/>
      <charset val="163"/>
    </font>
    <font>
      <sz val="12"/>
      <name val="Times New Roman"/>
      <family val="2"/>
    </font>
    <font>
      <b/>
      <sz val="12"/>
      <name val="Times New Roman"/>
      <family val="2"/>
    </font>
    <font>
      <sz val="15"/>
      <name val="Times New Roman"/>
      <family val="1"/>
    </font>
    <font>
      <b/>
      <i/>
      <sz val="11"/>
      <color indexed="63"/>
      <name val="Times New Roman"/>
      <family val="1"/>
    </font>
    <font>
      <sz val="13"/>
      <color indexed="63"/>
      <name val="Times New Roman"/>
      <family val="1"/>
    </font>
    <font>
      <sz val="11"/>
      <color indexed="8"/>
      <name val="Calibri"/>
      <family val="2"/>
      <charset val="163"/>
    </font>
    <font>
      <sz val="11"/>
      <color indexed="10"/>
      <name val="Times New Roman"/>
      <family val="1"/>
    </font>
    <font>
      <b/>
      <sz val="12"/>
      <color indexed="10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sz val="12"/>
      <color indexed="8"/>
      <name val="Times New Roman"/>
      <family val="1"/>
      <charset val="163"/>
    </font>
    <font>
      <sz val="12"/>
      <color indexed="10"/>
      <name val="Times New Roman"/>
      <family val="2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sz val="11"/>
      <color indexed="8"/>
      <name val="Calibri"/>
      <family val="2"/>
      <charset val="163"/>
    </font>
    <font>
      <sz val="13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4"/>
      <color indexed="8"/>
      <name val="Times New Roman"/>
      <family val="1"/>
    </font>
    <font>
      <sz val="13"/>
      <color indexed="10"/>
      <name val="Times New Roman"/>
      <family val="1"/>
    </font>
    <font>
      <i/>
      <sz val="13"/>
      <color indexed="8"/>
      <name val="Times New Roman"/>
      <family val="1"/>
    </font>
    <font>
      <sz val="13"/>
      <name val="Times New Roman"/>
      <family val="1"/>
    </font>
    <font>
      <sz val="6"/>
      <name val="Times New Roman"/>
      <family val="1"/>
    </font>
    <font>
      <b/>
      <sz val="16"/>
      <name val="Times New Roman"/>
      <family val="1"/>
    </font>
    <font>
      <sz val="12"/>
      <name val="VNI-Times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sz val="10"/>
      <name val="Arial"/>
      <family val="2"/>
    </font>
    <font>
      <sz val="12"/>
      <color indexed="8"/>
      <name val="Calibri"/>
      <family val="2"/>
      <charset val="163"/>
    </font>
    <font>
      <sz val="14"/>
      <color indexed="8"/>
      <name val="Calibri"/>
      <family val="2"/>
      <charset val="163"/>
    </font>
    <font>
      <sz val="12"/>
      <color indexed="10"/>
      <name val="Times New Roman"/>
      <family val="1"/>
    </font>
    <font>
      <b/>
      <sz val="13"/>
      <color indexed="63"/>
      <name val="Times New Roman"/>
      <family val="1"/>
    </font>
    <font>
      <b/>
      <i/>
      <sz val="13"/>
      <color indexed="63"/>
      <name val="Times New Roman"/>
      <family val="1"/>
    </font>
    <font>
      <b/>
      <sz val="6"/>
      <name val="Times New Roman"/>
      <family val="1"/>
    </font>
    <font>
      <b/>
      <sz val="18"/>
      <name val="Times New Roman"/>
      <family val="1"/>
    </font>
    <font>
      <sz val="11"/>
      <color theme="1"/>
      <name val="Calibri"/>
      <family val="2"/>
      <charset val="163"/>
    </font>
    <font>
      <sz val="11"/>
      <color rgb="FF000000"/>
      <name val="Calibri"/>
      <family val="2"/>
    </font>
    <font>
      <sz val="11"/>
      <color theme="1"/>
      <name val="Arial"/>
      <family val="2"/>
      <charset val="163"/>
    </font>
    <font>
      <sz val="10"/>
      <color rgb="FFFF0000"/>
      <name val="Times New Roman"/>
      <family val="1"/>
    </font>
    <font>
      <sz val="10"/>
      <color rgb="FFFF0000"/>
      <name val="Times New Roman"/>
      <family val="1"/>
      <charset val="163"/>
    </font>
    <font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3"/>
      <color indexed="10"/>
      <name val="Times New Roman"/>
      <family val="1"/>
    </font>
    <font>
      <b/>
      <sz val="18"/>
      <color indexed="8"/>
      <name val="Times New Roman"/>
      <family val="1"/>
    </font>
    <font>
      <b/>
      <sz val="13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8"/>
      <color rgb="FFFF0000"/>
      <name val="Times New Roman"/>
      <family val="1"/>
    </font>
    <font>
      <sz val="18"/>
      <name val="Times New Roman"/>
      <family val="1"/>
    </font>
    <font>
      <b/>
      <i/>
      <sz val="18"/>
      <name val="Times New Roman"/>
      <family val="1"/>
    </font>
    <font>
      <b/>
      <sz val="24"/>
      <name val="Times New Roman"/>
      <family val="1"/>
    </font>
    <font>
      <b/>
      <u/>
      <sz val="18"/>
      <name val="Times New Roman"/>
      <family val="1"/>
    </font>
    <font>
      <b/>
      <i/>
      <u/>
      <sz val="18"/>
      <name val="Times New Roman"/>
      <family val="1"/>
    </font>
    <font>
      <b/>
      <i/>
      <sz val="13"/>
      <color rgb="FFFF0000"/>
      <name val="Times New Roman"/>
      <family val="1"/>
    </font>
    <font>
      <b/>
      <sz val="20"/>
      <name val="Times New Roman"/>
      <family val="1"/>
    </font>
    <font>
      <b/>
      <sz val="20"/>
      <color rgb="FFFF0000"/>
      <name val="Times New Roman"/>
      <family val="1"/>
    </font>
    <font>
      <sz val="20"/>
      <name val="Times New Roman"/>
      <family val="1"/>
    </font>
    <font>
      <b/>
      <sz val="15"/>
      <color indexed="8"/>
      <name val="Times New Roman"/>
      <family val="1"/>
    </font>
    <font>
      <sz val="15"/>
      <color indexed="8"/>
      <name val="Times New Roman"/>
      <family val="1"/>
    </font>
    <font>
      <i/>
      <sz val="15"/>
      <color indexed="8"/>
      <name val="Times New Roman"/>
      <family val="1"/>
    </font>
    <font>
      <b/>
      <sz val="12"/>
      <color rgb="FFFF0000"/>
      <name val="Times New Roman"/>
      <family val="1"/>
      <charset val="163"/>
    </font>
    <font>
      <sz val="11"/>
      <color rgb="FFFF0000"/>
      <name val="Calibri"/>
      <family val="2"/>
      <charset val="163"/>
    </font>
    <font>
      <b/>
      <sz val="11"/>
      <name val="Times New Roman"/>
      <family val="2"/>
    </font>
    <font>
      <b/>
      <sz val="9"/>
      <name val="Times New Roman"/>
      <family val="1"/>
      <charset val="163"/>
    </font>
    <font>
      <i/>
      <sz val="18"/>
      <name val="Times New Roman"/>
      <family val="1"/>
    </font>
    <font>
      <b/>
      <sz val="13"/>
      <color indexed="63"/>
      <name val="Times New Roman"/>
      <family val="1"/>
      <charset val="163"/>
    </font>
    <font>
      <b/>
      <sz val="22"/>
      <name val="Times New Roman"/>
      <family val="1"/>
    </font>
    <font>
      <b/>
      <sz val="36"/>
      <name val="Times New Roman"/>
      <family val="1"/>
    </font>
    <font>
      <sz val="22"/>
      <name val="Times New Roman"/>
      <family val="1"/>
    </font>
    <font>
      <b/>
      <u/>
      <sz val="22"/>
      <name val="Times New Roman"/>
      <family val="1"/>
    </font>
    <font>
      <b/>
      <sz val="18"/>
      <name val="Times New Roman"/>
      <family val="1"/>
      <charset val="163"/>
    </font>
    <font>
      <b/>
      <i/>
      <sz val="18"/>
      <name val="Times New Roman"/>
      <family val="1"/>
      <charset val="163"/>
    </font>
    <font>
      <sz val="36"/>
      <name val="Times New Roman"/>
      <family val="1"/>
    </font>
    <font>
      <i/>
      <sz val="36"/>
      <name val="Times New Roman"/>
      <family val="1"/>
    </font>
    <font>
      <b/>
      <sz val="17"/>
      <name val="Times New Roman"/>
      <family val="1"/>
    </font>
    <font>
      <sz val="16"/>
      <color theme="1"/>
      <name val="Calibri"/>
      <family val="2"/>
      <charset val="163"/>
    </font>
    <font>
      <sz val="6"/>
      <color rgb="FFFF0000"/>
      <name val="Times New Roman"/>
      <family val="1"/>
    </font>
    <font>
      <sz val="11"/>
      <color theme="1"/>
      <name val="Times New Roman"/>
      <family val="1"/>
    </font>
    <font>
      <b/>
      <u/>
      <sz val="10"/>
      <color rgb="FFFF0000"/>
      <name val="Times New Roman"/>
      <family val="1"/>
    </font>
    <font>
      <sz val="10"/>
      <color theme="1"/>
      <name val="Calibri"/>
      <family val="2"/>
      <charset val="163"/>
    </font>
    <font>
      <sz val="10"/>
      <color indexed="30"/>
      <name val="Times New Roman"/>
      <family val="1"/>
    </font>
    <font>
      <sz val="10"/>
      <color indexed="12"/>
      <name val="Times New Roman"/>
      <family val="1"/>
    </font>
    <font>
      <b/>
      <sz val="10"/>
      <name val="Saysettha Lao"/>
      <family val="2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  <charset val="163"/>
    </font>
    <font>
      <b/>
      <u/>
      <sz val="20"/>
      <name val="Times New Roman"/>
      <family val="1"/>
    </font>
    <font>
      <b/>
      <i/>
      <sz val="12"/>
      <name val="Times New Roman"/>
      <family val="1"/>
    </font>
    <font>
      <b/>
      <sz val="15"/>
      <color rgb="FFFF0000"/>
      <name val="Times New Roman"/>
      <family val="1"/>
    </font>
    <font>
      <sz val="11"/>
      <color theme="1"/>
      <name val="Calibri"/>
      <family val="2"/>
    </font>
    <font>
      <b/>
      <sz val="6"/>
      <color rgb="FFFF0000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sz val="14"/>
      <color indexed="10"/>
      <name val="Times New Roman"/>
      <family val="1"/>
    </font>
    <font>
      <sz val="12"/>
      <color rgb="FF000000"/>
      <name val="Times New Roman"/>
      <family val="1"/>
    </font>
    <font>
      <b/>
      <sz val="48"/>
      <name val="Times New Roman"/>
      <family val="1"/>
    </font>
    <font>
      <b/>
      <u/>
      <sz val="36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b/>
      <sz val="13"/>
      <color theme="1"/>
      <name val="Times New Roman"/>
      <family val="1"/>
    </font>
    <font>
      <sz val="10"/>
      <color rgb="FFFF0000"/>
      <name val="Phetsarath OT"/>
    </font>
    <font>
      <b/>
      <sz val="10"/>
      <color rgb="FFFF0000"/>
      <name val="Phetsarath OT"/>
    </font>
    <font>
      <sz val="20"/>
      <name val="Calibri"/>
      <family val="2"/>
      <charset val="163"/>
    </font>
    <font>
      <sz val="16"/>
      <name val="Times New Roman"/>
      <family val="1"/>
    </font>
    <font>
      <sz val="11"/>
      <color theme="0"/>
      <name val="Tahoma"/>
      <family val="2"/>
      <charset val="163"/>
      <scheme val="minor"/>
    </font>
    <font>
      <b/>
      <sz val="22"/>
      <name val="Times New Roman"/>
      <family val="1"/>
      <charset val="163"/>
    </font>
    <font>
      <b/>
      <u/>
      <sz val="16"/>
      <name val="Times New Roman"/>
      <family val="1"/>
    </font>
    <font>
      <b/>
      <i/>
      <u/>
      <sz val="16"/>
      <name val="Times New Roman"/>
      <family val="1"/>
    </font>
    <font>
      <b/>
      <u/>
      <sz val="16"/>
      <color theme="0"/>
      <name val="Times New Roman"/>
      <family val="1"/>
    </font>
    <font>
      <sz val="13"/>
      <name val="Tahoma"/>
      <family val="1"/>
      <charset val="163"/>
      <scheme val="major"/>
    </font>
    <font>
      <b/>
      <sz val="11"/>
      <color theme="1"/>
      <name val="Times New Roman"/>
      <family val="1"/>
    </font>
    <font>
      <sz val="13"/>
      <color rgb="FFFF0000"/>
      <name val="Times New Roman"/>
      <family val="1"/>
    </font>
    <font>
      <b/>
      <sz val="15"/>
      <color theme="1"/>
      <name val="Times New Roman"/>
      <family val="1"/>
    </font>
    <font>
      <sz val="6"/>
      <color rgb="FF00B0F0"/>
      <name val="Times New Roman"/>
      <family val="1"/>
    </font>
    <font>
      <b/>
      <sz val="72"/>
      <name val="Times New Roman"/>
      <family val="1"/>
    </font>
    <font>
      <sz val="48"/>
      <name val="Times New Roman"/>
      <family val="1"/>
    </font>
    <font>
      <b/>
      <u/>
      <sz val="48"/>
      <name val="Times New Roman"/>
      <family val="1"/>
    </font>
    <font>
      <i/>
      <sz val="48"/>
      <name val="Times New Roman"/>
      <family val="1"/>
    </font>
    <font>
      <sz val="36"/>
      <color indexed="8"/>
      <name val="Times New Roman"/>
      <family val="1"/>
    </font>
    <font>
      <sz val="36"/>
      <color theme="1"/>
      <name val="Times New Roman"/>
      <family val="1"/>
    </font>
    <font>
      <sz val="18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26"/>
      <name val="Times New Roman"/>
      <family val="1"/>
    </font>
    <font>
      <b/>
      <sz val="19"/>
      <name val="Times New Roman"/>
      <family val="1"/>
    </font>
    <font>
      <sz val="19"/>
      <name val="Times New Roman"/>
      <family val="1"/>
    </font>
    <font>
      <sz val="19"/>
      <color rgb="FFFF0000"/>
      <name val="Times New Roman"/>
      <family val="1"/>
    </font>
    <font>
      <b/>
      <sz val="19"/>
      <color rgb="FFFF0000"/>
      <name val="Times New Roman"/>
      <family val="1"/>
    </font>
    <font>
      <b/>
      <i/>
      <sz val="19"/>
      <name val="Times New Roman"/>
      <family val="1"/>
    </font>
    <font>
      <sz val="13"/>
      <color theme="0"/>
      <name val="Times New Roman"/>
      <family val="1"/>
    </font>
    <font>
      <sz val="13"/>
      <color theme="1"/>
      <name val="Calibri"/>
      <family val="2"/>
      <charset val="163"/>
    </font>
    <font>
      <sz val="15"/>
      <color rgb="FFFF0000"/>
      <name val="Times New Roman"/>
      <family val="1"/>
    </font>
    <font>
      <sz val="8"/>
      <color rgb="FFFF0000"/>
      <name val="Times New Roman"/>
      <family val="1"/>
    </font>
    <font>
      <sz val="9"/>
      <color rgb="FF081B3A"/>
      <name val="Segoe UI"/>
      <family val="2"/>
    </font>
    <font>
      <sz val="10"/>
      <color rgb="FFED0000"/>
      <name val="Times New Roman"/>
      <family val="1"/>
    </font>
    <font>
      <b/>
      <i/>
      <sz val="13"/>
      <color rgb="FF0070C0"/>
      <name val="Times New Roman"/>
      <family val="1"/>
    </font>
    <font>
      <b/>
      <sz val="13"/>
      <color rgb="FF0070C0"/>
      <name val="Times New Roman"/>
      <family val="1"/>
    </font>
    <font>
      <b/>
      <sz val="13"/>
      <color rgb="FFC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0">
    <xf numFmtId="0" fontId="0" fillId="0" borderId="0"/>
    <xf numFmtId="196" fontId="19" fillId="0" borderId="0" applyFont="0" applyFill="0" applyBorder="0" applyAlignment="0" applyProtection="0"/>
    <xf numFmtId="189" fontId="30" fillId="0" borderId="0" applyFont="0" applyFill="0" applyBorder="0" applyAlignment="0" applyProtection="0"/>
    <xf numFmtId="189" fontId="97" fillId="0" borderId="0" applyFont="0" applyFill="0" applyBorder="0" applyAlignment="0" applyProtection="0"/>
    <xf numFmtId="192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9" fillId="0" borderId="0" applyFont="0" applyFill="0" applyBorder="0" applyAlignment="0" applyProtection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58" fillId="0" borderId="0"/>
    <xf numFmtId="0" fontId="96" fillId="0" borderId="0"/>
    <xf numFmtId="0" fontId="98" fillId="0" borderId="0"/>
    <xf numFmtId="0" fontId="97" fillId="0" borderId="0"/>
    <xf numFmtId="0" fontId="85" fillId="0" borderId="0"/>
    <xf numFmtId="0" fontId="30" fillId="0" borderId="0"/>
    <xf numFmtId="0" fontId="19" fillId="0" borderId="0"/>
    <xf numFmtId="9" fontId="19" fillId="0" borderId="0" applyFont="0" applyFill="0" applyBorder="0" applyAlignment="0" applyProtection="0"/>
    <xf numFmtId="9" fontId="88" fillId="0" borderId="0" applyFont="0" applyFill="0" applyBorder="0" applyAlignment="0" applyProtection="0"/>
    <xf numFmtId="0" fontId="96" fillId="0" borderId="0"/>
    <xf numFmtId="190" fontId="97" fillId="0" borderId="0" applyFont="0" applyFill="0" applyBorder="0" applyAlignment="0" applyProtection="0"/>
    <xf numFmtId="0" fontId="12" fillId="0" borderId="0"/>
    <xf numFmtId="188" fontId="12" fillId="0" borderId="0" applyFont="0" applyFill="0" applyBorder="0" applyAlignment="0" applyProtection="0"/>
    <xf numFmtId="0" fontId="150" fillId="0" borderId="0"/>
    <xf numFmtId="0" fontId="165" fillId="7" borderId="0" applyNumberFormat="0" applyBorder="0" applyAlignment="0" applyProtection="0"/>
    <xf numFmtId="187" fontId="96" fillId="0" borderId="0" applyFont="0" applyFill="0" applyBorder="0" applyAlignment="0" applyProtection="0"/>
  </cellStyleXfs>
  <cellXfs count="1702">
    <xf numFmtId="0" fontId="0" fillId="0" borderId="0" xfId="0"/>
    <xf numFmtId="0" fontId="20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199" fontId="12" fillId="0" borderId="0" xfId="1" applyNumberFormat="1" applyFont="1" applyFill="1"/>
    <xf numFmtId="199" fontId="7" fillId="2" borderId="0" xfId="1" applyNumberFormat="1" applyFont="1" applyFill="1"/>
    <xf numFmtId="199" fontId="12" fillId="2" borderId="0" xfId="1" applyNumberFormat="1" applyFont="1" applyFill="1"/>
    <xf numFmtId="199" fontId="16" fillId="2" borderId="0" xfId="1" applyNumberFormat="1" applyFont="1" applyFill="1" applyAlignment="1">
      <alignment horizontal="center"/>
    </xf>
    <xf numFmtId="199" fontId="16" fillId="2" borderId="0" xfId="1" applyNumberFormat="1" applyFont="1" applyFill="1" applyAlignment="1"/>
    <xf numFmtId="0" fontId="21" fillId="0" borderId="0" xfId="0" applyFont="1"/>
    <xf numFmtId="0" fontId="12" fillId="2" borderId="0" xfId="0" applyFont="1" applyFill="1" applyAlignment="1">
      <alignment horizontal="center"/>
    </xf>
    <xf numFmtId="0" fontId="7" fillId="0" borderId="0" xfId="0" applyFont="1"/>
    <xf numFmtId="199" fontId="10" fillId="2" borderId="0" xfId="1" applyNumberFormat="1" applyFont="1" applyFill="1" applyAlignment="1"/>
    <xf numFmtId="199" fontId="26" fillId="2" borderId="0" xfId="1" applyNumberFormat="1" applyFont="1" applyFill="1" applyAlignment="1"/>
    <xf numFmtId="199" fontId="27" fillId="2" borderId="0" xfId="1" applyNumberFormat="1" applyFont="1" applyFill="1" applyAlignment="1"/>
    <xf numFmtId="0" fontId="20" fillId="0" borderId="1" xfId="0" applyFont="1" applyBorder="1"/>
    <xf numFmtId="0" fontId="20" fillId="0" borderId="2" xfId="0" applyFont="1" applyBorder="1"/>
    <xf numFmtId="0" fontId="14" fillId="2" borderId="0" xfId="0" applyFont="1" applyFill="1"/>
    <xf numFmtId="0" fontId="20" fillId="3" borderId="0" xfId="0" applyFont="1" applyFill="1"/>
    <xf numFmtId="201" fontId="7" fillId="2" borderId="0" xfId="1" applyNumberFormat="1" applyFont="1" applyFill="1"/>
    <xf numFmtId="202" fontId="16" fillId="2" borderId="0" xfId="1" applyNumberFormat="1" applyFont="1" applyFill="1" applyAlignment="1">
      <alignment horizontal="center"/>
    </xf>
    <xf numFmtId="2" fontId="20" fillId="0" borderId="0" xfId="0" applyNumberFormat="1" applyFont="1"/>
    <xf numFmtId="4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right"/>
    </xf>
    <xf numFmtId="196" fontId="12" fillId="0" borderId="0" xfId="1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17" fillId="2" borderId="0" xfId="0" applyFont="1" applyFill="1" applyAlignment="1">
      <alignment wrapText="1"/>
    </xf>
    <xf numFmtId="0" fontId="17" fillId="2" borderId="0" xfId="0" applyFont="1" applyFill="1"/>
    <xf numFmtId="0" fontId="9" fillId="0" borderId="1" xfId="0" applyFont="1" applyBorder="1"/>
    <xf numFmtId="0" fontId="17" fillId="2" borderId="0" xfId="0" applyFont="1" applyFill="1" applyAlignment="1">
      <alignment vertical="center" shrinkToFit="1"/>
    </xf>
    <xf numFmtId="194" fontId="2" fillId="2" borderId="4" xfId="1" applyNumberFormat="1" applyFont="1" applyFill="1" applyBorder="1" applyAlignment="1">
      <alignment horizontal="center" vertical="center" wrapText="1"/>
    </xf>
    <xf numFmtId="3" fontId="37" fillId="0" borderId="5" xfId="0" quotePrefix="1" applyNumberFormat="1" applyFont="1" applyBorder="1" applyAlignment="1">
      <alignment horizontal="center" vertical="center"/>
    </xf>
    <xf numFmtId="0" fontId="37" fillId="0" borderId="5" xfId="0" applyFont="1" applyBorder="1" applyAlignment="1">
      <alignment horizontal="left" vertical="center" wrapText="1" indent="1"/>
    </xf>
    <xf numFmtId="3" fontId="37" fillId="3" borderId="5" xfId="0" quotePrefix="1" applyNumberFormat="1" applyFont="1" applyFill="1" applyBorder="1" applyAlignment="1">
      <alignment horizontal="center" vertical="center"/>
    </xf>
    <xf numFmtId="0" fontId="37" fillId="3" borderId="5" xfId="0" applyFont="1" applyFill="1" applyBorder="1" applyAlignment="1">
      <alignment horizontal="left" vertical="center" wrapText="1" indent="1"/>
    </xf>
    <xf numFmtId="3" fontId="37" fillId="3" borderId="5" xfId="0" applyNumberFormat="1" applyFont="1" applyFill="1" applyBorder="1" applyAlignment="1">
      <alignment horizontal="left" vertical="center" indent="1"/>
    </xf>
    <xf numFmtId="194" fontId="22" fillId="0" borderId="4" xfId="0" applyNumberFormat="1" applyFont="1" applyBorder="1"/>
    <xf numFmtId="198" fontId="22" fillId="0" borderId="4" xfId="0" applyNumberFormat="1" applyFont="1" applyBorder="1"/>
    <xf numFmtId="0" fontId="41" fillId="0" borderId="0" xfId="0" applyFont="1" applyAlignment="1">
      <alignment horizontal="left"/>
    </xf>
    <xf numFmtId="0" fontId="3" fillId="0" borderId="0" xfId="0" applyFont="1"/>
    <xf numFmtId="0" fontId="39" fillId="0" borderId="0" xfId="0" applyFont="1"/>
    <xf numFmtId="4" fontId="9" fillId="0" borderId="0" xfId="0" applyNumberFormat="1" applyFont="1"/>
    <xf numFmtId="0" fontId="53" fillId="0" borderId="0" xfId="0" applyFont="1"/>
    <xf numFmtId="0" fontId="40" fillId="0" borderId="0" xfId="0" applyFont="1"/>
    <xf numFmtId="197" fontId="9" fillId="0" borderId="0" xfId="1" applyNumberFormat="1" applyFont="1" applyFill="1"/>
    <xf numFmtId="3" fontId="9" fillId="0" borderId="0" xfId="0" applyNumberFormat="1" applyFont="1"/>
    <xf numFmtId="198" fontId="9" fillId="0" borderId="0" xfId="0" applyNumberFormat="1" applyFont="1"/>
    <xf numFmtId="191" fontId="9" fillId="0" borderId="0" xfId="0" applyNumberFormat="1" applyFont="1"/>
    <xf numFmtId="0" fontId="41" fillId="0" borderId="0" xfId="0" applyFont="1"/>
    <xf numFmtId="0" fontId="42" fillId="0" borderId="0" xfId="0" applyFont="1"/>
    <xf numFmtId="0" fontId="51" fillId="0" borderId="0" xfId="0" applyFont="1"/>
    <xf numFmtId="0" fontId="36" fillId="0" borderId="0" xfId="0" applyFont="1"/>
    <xf numFmtId="197" fontId="53" fillId="0" borderId="0" xfId="1" applyNumberFormat="1" applyFont="1" applyFill="1"/>
    <xf numFmtId="0" fontId="39" fillId="0" borderId="0" xfId="0" applyFont="1" applyAlignment="1">
      <alignment vertical="center" shrinkToFit="1"/>
    </xf>
    <xf numFmtId="4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208" fontId="9" fillId="0" borderId="0" xfId="0" applyNumberFormat="1" applyFont="1"/>
    <xf numFmtId="199" fontId="7" fillId="0" borderId="0" xfId="1" applyNumberFormat="1" applyFont="1" applyFill="1"/>
    <xf numFmtId="201" fontId="7" fillId="0" borderId="0" xfId="1" applyNumberFormat="1" applyFont="1" applyFill="1"/>
    <xf numFmtId="202" fontId="16" fillId="0" borderId="0" xfId="1" applyNumberFormat="1" applyFont="1" applyFill="1" applyAlignment="1">
      <alignment horizontal="right"/>
    </xf>
    <xf numFmtId="4" fontId="16" fillId="0" borderId="0" xfId="1" applyNumberFormat="1" applyFont="1" applyFill="1" applyAlignment="1">
      <alignment horizontal="right"/>
    </xf>
    <xf numFmtId="199" fontId="16" fillId="0" borderId="0" xfId="1" applyNumberFormat="1" applyFont="1" applyFill="1" applyAlignment="1">
      <alignment horizontal="center"/>
    </xf>
    <xf numFmtId="208" fontId="16" fillId="0" borderId="0" xfId="1" applyNumberFormat="1" applyFont="1" applyFill="1" applyAlignment="1">
      <alignment horizontal="center"/>
    </xf>
    <xf numFmtId="199" fontId="11" fillId="0" borderId="4" xfId="1" applyNumberFormat="1" applyFont="1" applyFill="1" applyBorder="1" applyAlignment="1">
      <alignment horizontal="right" vertical="center" wrapText="1"/>
    </xf>
    <xf numFmtId="4" fontId="11" fillId="0" borderId="4" xfId="1" applyNumberFormat="1" applyFont="1" applyFill="1" applyBorder="1" applyAlignment="1">
      <alignment horizontal="center" vertical="center" wrapText="1"/>
    </xf>
    <xf numFmtId="2" fontId="54" fillId="0" borderId="0" xfId="0" applyNumberFormat="1" applyFont="1"/>
    <xf numFmtId="194" fontId="9" fillId="0" borderId="0" xfId="0" applyNumberFormat="1" applyFont="1"/>
    <xf numFmtId="0" fontId="12" fillId="0" borderId="12" xfId="0" applyFont="1" applyBorder="1" applyAlignment="1">
      <alignment horizontal="left" vertical="center" wrapText="1" indent="1"/>
    </xf>
    <xf numFmtId="1" fontId="12" fillId="0" borderId="5" xfId="0" applyNumberFormat="1" applyFont="1" applyBorder="1" applyAlignment="1">
      <alignment horizontal="left" vertical="center" indent="1"/>
    </xf>
    <xf numFmtId="3" fontId="12" fillId="0" borderId="5" xfId="0" applyNumberFormat="1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wrapText="1" indent="1"/>
    </xf>
    <xf numFmtId="0" fontId="12" fillId="0" borderId="5" xfId="0" applyFont="1" applyBorder="1" applyAlignment="1">
      <alignment horizontal="left" vertical="center" wrapText="1" indent="1"/>
    </xf>
    <xf numFmtId="1" fontId="12" fillId="0" borderId="5" xfId="0" quotePrefix="1" applyNumberFormat="1" applyFont="1" applyBorder="1" applyAlignment="1">
      <alignment horizontal="left" vertical="center" indent="1"/>
    </xf>
    <xf numFmtId="3" fontId="12" fillId="0" borderId="13" xfId="0" applyNumberFormat="1" applyFont="1" applyBorder="1" applyAlignment="1">
      <alignment horizontal="left" vertical="center" indent="1"/>
    </xf>
    <xf numFmtId="1" fontId="12" fillId="0" borderId="13" xfId="0" applyNumberFormat="1" applyFont="1" applyBorder="1" applyAlignment="1">
      <alignment horizontal="left" vertical="center" indent="1"/>
    </xf>
    <xf numFmtId="0" fontId="12" fillId="0" borderId="13" xfId="0" applyFont="1" applyBorder="1" applyAlignment="1">
      <alignment horizontal="left" vertical="center" wrapText="1" indent="1"/>
    </xf>
    <xf numFmtId="0" fontId="47" fillId="0" borderId="0" xfId="0" applyFont="1"/>
    <xf numFmtId="4" fontId="3" fillId="0" borderId="0" xfId="0" applyNumberFormat="1" applyFont="1" applyAlignment="1">
      <alignment horizontal="right"/>
    </xf>
    <xf numFmtId="0" fontId="14" fillId="0" borderId="0" xfId="0" applyFont="1"/>
    <xf numFmtId="197" fontId="64" fillId="0" borderId="0" xfId="1" applyNumberFormat="1" applyFont="1" applyFill="1"/>
    <xf numFmtId="0" fontId="9" fillId="0" borderId="0" xfId="0" applyFont="1" applyAlignment="1">
      <alignment horizontal="left"/>
    </xf>
    <xf numFmtId="213" fontId="9" fillId="0" borderId="0" xfId="0" applyNumberFormat="1" applyFont="1"/>
    <xf numFmtId="192" fontId="9" fillId="0" borderId="0" xfId="0" applyNumberFormat="1" applyFont="1"/>
    <xf numFmtId="43" fontId="9" fillId="0" borderId="0" xfId="0" applyNumberFormat="1" applyFont="1"/>
    <xf numFmtId="200" fontId="9" fillId="0" borderId="0" xfId="0" applyNumberFormat="1" applyFont="1"/>
    <xf numFmtId="0" fontId="39" fillId="0" borderId="4" xfId="0" applyFont="1" applyBorder="1" applyAlignment="1">
      <alignment vertical="center" wrapText="1"/>
    </xf>
    <xf numFmtId="192" fontId="9" fillId="0" borderId="6" xfId="0" applyNumberFormat="1" applyFont="1" applyBorder="1"/>
    <xf numFmtId="0" fontId="39" fillId="0" borderId="4" xfId="0" applyFont="1" applyBorder="1" applyAlignment="1">
      <alignment horizontal="left" vertical="center" wrapText="1"/>
    </xf>
    <xf numFmtId="219" fontId="12" fillId="0" borderId="5" xfId="0" quotePrefix="1" applyNumberFormat="1" applyFont="1" applyBorder="1" applyAlignment="1">
      <alignment horizontal="left" vertical="center" indent="1"/>
    </xf>
    <xf numFmtId="213" fontId="12" fillId="0" borderId="5" xfId="0" applyNumberFormat="1" applyFont="1" applyBorder="1" applyAlignment="1">
      <alignment horizontal="left" vertical="center" wrapText="1" indent="1"/>
    </xf>
    <xf numFmtId="213" fontId="12" fillId="0" borderId="5" xfId="0" quotePrefix="1" applyNumberFormat="1" applyFont="1" applyBorder="1" applyAlignment="1">
      <alignment horizontal="left" vertical="center" indent="1"/>
    </xf>
    <xf numFmtId="213" fontId="12" fillId="0" borderId="12" xfId="0" applyNumberFormat="1" applyFont="1" applyBorder="1" applyAlignment="1">
      <alignment horizontal="left" vertical="center" wrapText="1" indent="1"/>
    </xf>
    <xf numFmtId="213" fontId="12" fillId="0" borderId="5" xfId="0" applyNumberFormat="1" applyFont="1" applyBorder="1" applyAlignment="1">
      <alignment horizontal="left" vertical="center" indent="1"/>
    </xf>
    <xf numFmtId="0" fontId="39" fillId="0" borderId="4" xfId="0" applyFont="1" applyBorder="1" applyAlignment="1">
      <alignment horizontal="center" vertical="center" shrinkToFit="1"/>
    </xf>
    <xf numFmtId="213" fontId="9" fillId="0" borderId="6" xfId="0" applyNumberFormat="1" applyFont="1" applyBorder="1"/>
    <xf numFmtId="0" fontId="9" fillId="0" borderId="2" xfId="0" applyFont="1" applyBorder="1"/>
    <xf numFmtId="192" fontId="54" fillId="0" borderId="0" xfId="0" applyNumberFormat="1" applyFont="1"/>
    <xf numFmtId="43" fontId="12" fillId="0" borderId="5" xfId="0" applyNumberFormat="1" applyFont="1" applyBorder="1" applyAlignment="1">
      <alignment horizontal="left" vertical="center" wrapText="1" indent="1"/>
    </xf>
    <xf numFmtId="213" fontId="65" fillId="0" borderId="0" xfId="0" applyNumberFormat="1" applyFont="1"/>
    <xf numFmtId="0" fontId="7" fillId="0" borderId="5" xfId="0" applyFont="1" applyBorder="1" applyAlignment="1">
      <alignment horizontal="center" vertical="center" shrinkToFit="1"/>
    </xf>
    <xf numFmtId="4" fontId="7" fillId="0" borderId="5" xfId="0" applyNumberFormat="1" applyFont="1" applyBorder="1" applyAlignment="1">
      <alignment horizontal="center" vertical="center" shrinkToFit="1"/>
    </xf>
    <xf numFmtId="191" fontId="39" fillId="0" borderId="5" xfId="1" applyNumberFormat="1" applyFont="1" applyFill="1" applyBorder="1" applyAlignment="1">
      <alignment horizontal="center" vertical="center"/>
    </xf>
    <xf numFmtId="200" fontId="11" fillId="0" borderId="5" xfId="0" applyNumberFormat="1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 shrinkToFit="1"/>
    </xf>
    <xf numFmtId="3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 wrapText="1"/>
    </xf>
    <xf numFmtId="3" fontId="9" fillId="0" borderId="0" xfId="0" applyNumberFormat="1" applyFont="1" applyAlignment="1">
      <alignment vertical="center"/>
    </xf>
    <xf numFmtId="0" fontId="46" fillId="0" borderId="0" xfId="0" applyFont="1"/>
    <xf numFmtId="0" fontId="7" fillId="0" borderId="4" xfId="0" applyFont="1" applyBorder="1" applyAlignment="1">
      <alignment vertical="center" wrapText="1"/>
    </xf>
    <xf numFmtId="191" fontId="7" fillId="0" borderId="0" xfId="1" applyNumberFormat="1" applyFont="1" applyFill="1" applyBorder="1" applyAlignment="1">
      <alignment horizontal="center" vertical="center" shrinkToFit="1"/>
    </xf>
    <xf numFmtId="2" fontId="3" fillId="0" borderId="0" xfId="0" applyNumberFormat="1" applyFont="1"/>
    <xf numFmtId="197" fontId="89" fillId="0" borderId="0" xfId="1" applyNumberFormat="1" applyFont="1" applyFill="1"/>
    <xf numFmtId="199" fontId="26" fillId="0" borderId="0" xfId="1" applyNumberFormat="1" applyFont="1" applyFill="1" applyAlignment="1"/>
    <xf numFmtId="0" fontId="63" fillId="0" borderId="0" xfId="0" applyFont="1"/>
    <xf numFmtId="0" fontId="7" fillId="0" borderId="0" xfId="0" applyFont="1" applyAlignment="1">
      <alignment horizontal="left"/>
    </xf>
    <xf numFmtId="197" fontId="7" fillId="0" borderId="0" xfId="1" applyNumberFormat="1" applyFont="1" applyFill="1"/>
    <xf numFmtId="0" fontId="7" fillId="0" borderId="4" xfId="0" applyFont="1" applyBorder="1"/>
    <xf numFmtId="197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98" fontId="3" fillId="0" borderId="0" xfId="0" applyNumberFormat="1" applyFont="1" applyAlignment="1">
      <alignment vertical="center"/>
    </xf>
    <xf numFmtId="197" fontId="10" fillId="0" borderId="0" xfId="1" applyNumberFormat="1" applyFont="1" applyFill="1" applyBorder="1"/>
    <xf numFmtId="197" fontId="12" fillId="0" borderId="0" xfId="1" applyNumberFormat="1" applyFont="1" applyFill="1"/>
    <xf numFmtId="3" fontId="3" fillId="0" borderId="0" xfId="0" applyNumberFormat="1" applyFont="1"/>
    <xf numFmtId="0" fontId="10" fillId="0" borderId="0" xfId="0" applyFont="1" applyAlignment="1">
      <alignment horizontal="left"/>
    </xf>
    <xf numFmtId="197" fontId="10" fillId="0" borderId="0" xfId="1" applyNumberFormat="1" applyFont="1" applyFill="1" applyAlignment="1">
      <alignment horizontal="center"/>
    </xf>
    <xf numFmtId="193" fontId="0" fillId="0" borderId="5" xfId="0" applyNumberFormat="1" applyBorder="1"/>
    <xf numFmtId="221" fontId="0" fillId="0" borderId="5" xfId="0" applyNumberFormat="1" applyBorder="1"/>
    <xf numFmtId="210" fontId="0" fillId="0" borderId="5" xfId="0" applyNumberFormat="1" applyBorder="1"/>
    <xf numFmtId="0" fontId="0" fillId="0" borderId="5" xfId="0" applyBorder="1"/>
    <xf numFmtId="209" fontId="0" fillId="0" borderId="5" xfId="0" applyNumberFormat="1" applyBorder="1"/>
    <xf numFmtId="210" fontId="36" fillId="0" borderId="4" xfId="7" applyNumberFormat="1" applyFont="1" applyFill="1" applyBorder="1" applyAlignment="1">
      <alignment horizontal="center"/>
    </xf>
    <xf numFmtId="197" fontId="53" fillId="0" borderId="5" xfId="1" applyNumberFormat="1" applyFont="1" applyFill="1" applyBorder="1"/>
    <xf numFmtId="191" fontId="0" fillId="0" borderId="5" xfId="0" applyNumberFormat="1" applyBorder="1" applyAlignment="1">
      <alignment horizontal="left"/>
    </xf>
    <xf numFmtId="197" fontId="64" fillId="0" borderId="5" xfId="1" applyNumberFormat="1" applyFont="1" applyFill="1" applyBorder="1"/>
    <xf numFmtId="0" fontId="79" fillId="0" borderId="0" xfId="0" applyFont="1" applyAlignment="1">
      <alignment horizontal="center" vertical="center"/>
    </xf>
    <xf numFmtId="0" fontId="75" fillId="0" borderId="0" xfId="0" applyFont="1"/>
    <xf numFmtId="0" fontId="78" fillId="0" borderId="0" xfId="0" applyFont="1"/>
    <xf numFmtId="214" fontId="0" fillId="0" borderId="5" xfId="0" applyNumberFormat="1" applyBorder="1"/>
    <xf numFmtId="0" fontId="15" fillId="0" borderId="4" xfId="0" applyFont="1" applyBorder="1"/>
    <xf numFmtId="208" fontId="18" fillId="0" borderId="6" xfId="0" applyNumberFormat="1" applyFont="1" applyBorder="1"/>
    <xf numFmtId="0" fontId="83" fillId="0" borderId="0" xfId="0" applyFont="1" applyAlignment="1">
      <alignment horizontal="center"/>
    </xf>
    <xf numFmtId="199" fontId="83" fillId="0" borderId="0" xfId="1" applyNumberFormat="1" applyFont="1" applyFill="1"/>
    <xf numFmtId="0" fontId="82" fillId="0" borderId="0" xfId="0" applyFont="1"/>
    <xf numFmtId="198" fontId="82" fillId="0" borderId="0" xfId="19" applyNumberFormat="1" applyFont="1" applyAlignment="1">
      <alignment horizontal="center"/>
    </xf>
    <xf numFmtId="198" fontId="82" fillId="0" borderId="0" xfId="0" applyNumberFormat="1" applyFont="1"/>
    <xf numFmtId="199" fontId="82" fillId="0" borderId="0" xfId="1" applyNumberFormat="1" applyFont="1" applyFill="1"/>
    <xf numFmtId="4" fontId="32" fillId="0" borderId="4" xfId="0" applyNumberFormat="1" applyFont="1" applyBorder="1"/>
    <xf numFmtId="194" fontId="32" fillId="0" borderId="4" xfId="0" applyNumberFormat="1" applyFont="1" applyBorder="1"/>
    <xf numFmtId="0" fontId="72" fillId="0" borderId="0" xfId="0" applyFont="1" applyAlignment="1">
      <alignment vertical="center"/>
    </xf>
    <xf numFmtId="197" fontId="82" fillId="0" borderId="0" xfId="1" applyNumberFormat="1" applyFont="1" applyFill="1"/>
    <xf numFmtId="0" fontId="38" fillId="0" borderId="0" xfId="0" applyFont="1"/>
    <xf numFmtId="3" fontId="12" fillId="0" borderId="0" xfId="0" applyNumberFormat="1" applyFont="1"/>
    <xf numFmtId="0" fontId="7" fillId="0" borderId="1" xfId="0" applyFont="1" applyBorder="1" applyAlignment="1">
      <alignment horizontal="center" vertical="center" shrinkToFit="1"/>
    </xf>
    <xf numFmtId="4" fontId="7" fillId="0" borderId="1" xfId="0" applyNumberFormat="1" applyFont="1" applyBorder="1" applyAlignment="1">
      <alignment horizontal="center" vertical="center" shrinkToFit="1"/>
    </xf>
    <xf numFmtId="192" fontId="7" fillId="0" borderId="1" xfId="1" applyNumberFormat="1" applyFont="1" applyFill="1" applyBorder="1" applyAlignment="1">
      <alignment horizontal="center" vertical="center" shrinkToFit="1"/>
    </xf>
    <xf numFmtId="198" fontId="7" fillId="0" borderId="5" xfId="1" applyNumberFormat="1" applyFont="1" applyFill="1" applyBorder="1" applyAlignment="1">
      <alignment horizontal="right" vertical="center" shrinkToFit="1"/>
    </xf>
    <xf numFmtId="192" fontId="7" fillId="0" borderId="5" xfId="1" applyNumberFormat="1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9" xfId="0" applyFont="1" applyBorder="1"/>
    <xf numFmtId="4" fontId="7" fillId="0" borderId="9" xfId="0" applyNumberFormat="1" applyFont="1" applyBorder="1" applyAlignment="1">
      <alignment horizontal="center" vertical="center" shrinkToFit="1"/>
    </xf>
    <xf numFmtId="2" fontId="7" fillId="0" borderId="9" xfId="1" applyNumberFormat="1" applyFont="1" applyFill="1" applyBorder="1" applyAlignment="1">
      <alignment horizontal="right" vertical="center" wrapText="1"/>
    </xf>
    <xf numFmtId="208" fontId="7" fillId="0" borderId="9" xfId="1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4" fontId="7" fillId="0" borderId="1" xfId="1" applyNumberFormat="1" applyFont="1" applyFill="1" applyBorder="1" applyAlignment="1">
      <alignment horizontal="right" vertical="center" shrinkToFit="1"/>
    </xf>
    <xf numFmtId="2" fontId="7" fillId="0" borderId="18" xfId="0" applyNumberFormat="1" applyFont="1" applyBorder="1" applyAlignment="1">
      <alignment horizontal="center" vertical="center" shrinkToFit="1"/>
    </xf>
    <xf numFmtId="193" fontId="7" fillId="0" borderId="18" xfId="1" applyNumberFormat="1" applyFont="1" applyFill="1" applyBorder="1" applyAlignment="1">
      <alignment vertical="center" shrinkToFit="1"/>
    </xf>
    <xf numFmtId="193" fontId="36" fillId="0" borderId="4" xfId="7" applyNumberFormat="1" applyFont="1" applyFill="1" applyBorder="1" applyAlignment="1">
      <alignment horizontal="center"/>
    </xf>
    <xf numFmtId="4" fontId="10" fillId="0" borderId="4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4" xfId="18" applyFont="1" applyBorder="1" applyAlignment="1">
      <alignment horizontal="center" vertical="center"/>
    </xf>
    <xf numFmtId="213" fontId="12" fillId="0" borderId="0" xfId="1" applyNumberFormat="1" applyFont="1" applyFill="1"/>
    <xf numFmtId="0" fontId="90" fillId="0" borderId="0" xfId="16" applyFont="1"/>
    <xf numFmtId="192" fontId="38" fillId="0" borderId="0" xfId="1" applyNumberFormat="1" applyFont="1" applyFill="1"/>
    <xf numFmtId="226" fontId="38" fillId="0" borderId="0" xfId="1" applyNumberFormat="1" applyFont="1" applyFill="1"/>
    <xf numFmtId="227" fontId="38" fillId="0" borderId="0" xfId="0" applyNumberFormat="1" applyFont="1"/>
    <xf numFmtId="0" fontId="17" fillId="0" borderId="0" xfId="0" applyFont="1"/>
    <xf numFmtId="192" fontId="17" fillId="0" borderId="0" xfId="0" applyNumberFormat="1" applyFont="1"/>
    <xf numFmtId="2" fontId="7" fillId="0" borderId="11" xfId="0" applyNumberFormat="1" applyFont="1" applyBorder="1" applyAlignment="1">
      <alignment horizontal="center" vertical="center" shrinkToFit="1"/>
    </xf>
    <xf numFmtId="4" fontId="7" fillId="0" borderId="11" xfId="0" applyNumberFormat="1" applyFont="1" applyBorder="1" applyAlignment="1">
      <alignment horizontal="center" vertical="center" shrinkToFit="1"/>
    </xf>
    <xf numFmtId="0" fontId="7" fillId="0" borderId="11" xfId="0" applyFont="1" applyBorder="1"/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shrinkToFit="1"/>
    </xf>
    <xf numFmtId="213" fontId="38" fillId="0" borderId="0" xfId="0" applyNumberFormat="1" applyFont="1"/>
    <xf numFmtId="0" fontId="87" fillId="0" borderId="0" xfId="16" applyFont="1"/>
    <xf numFmtId="0" fontId="20" fillId="0" borderId="0" xfId="16" applyFont="1"/>
    <xf numFmtId="0" fontId="21" fillId="0" borderId="0" xfId="16" applyFont="1"/>
    <xf numFmtId="0" fontId="36" fillId="0" borderId="4" xfId="18" applyFont="1" applyBorder="1" applyAlignment="1">
      <alignment horizontal="left" vertical="center"/>
    </xf>
    <xf numFmtId="3" fontId="17" fillId="0" borderId="0" xfId="0" applyNumberFormat="1" applyFont="1"/>
    <xf numFmtId="197" fontId="9" fillId="0" borderId="0" xfId="0" applyNumberFormat="1" applyFont="1"/>
    <xf numFmtId="0" fontId="39" fillId="0" borderId="4" xfId="0" applyFont="1" applyBorder="1" applyAlignment="1">
      <alignment horizontal="center" vertical="center" wrapText="1"/>
    </xf>
    <xf numFmtId="198" fontId="39" fillId="0" borderId="4" xfId="1" applyNumberFormat="1" applyFont="1" applyFill="1" applyBorder="1" applyAlignment="1">
      <alignment vertical="center" wrapText="1"/>
    </xf>
    <xf numFmtId="4" fontId="12" fillId="0" borderId="4" xfId="1" applyNumberFormat="1" applyFont="1" applyFill="1" applyBorder="1" applyAlignment="1">
      <alignment horizontal="center" vertical="center"/>
    </xf>
    <xf numFmtId="4" fontId="10" fillId="0" borderId="4" xfId="1" applyNumberFormat="1" applyFont="1" applyFill="1" applyBorder="1" applyAlignment="1">
      <alignment horizontal="center" vertical="center"/>
    </xf>
    <xf numFmtId="4" fontId="12" fillId="0" borderId="4" xfId="0" applyNumberFormat="1" applyFont="1" applyBorder="1" applyAlignment="1">
      <alignment horizontal="center"/>
    </xf>
    <xf numFmtId="0" fontId="87" fillId="0" borderId="0" xfId="16" applyFont="1" applyAlignment="1">
      <alignment horizontal="center"/>
    </xf>
    <xf numFmtId="0" fontId="20" fillId="0" borderId="0" xfId="16" applyFont="1" applyAlignment="1">
      <alignment horizontal="center"/>
    </xf>
    <xf numFmtId="197" fontId="12" fillId="0" borderId="0" xfId="1" applyNumberFormat="1" applyFont="1" applyFill="1" applyAlignment="1">
      <alignment horizontal="center"/>
    </xf>
    <xf numFmtId="197" fontId="10" fillId="0" borderId="4" xfId="1" applyNumberFormat="1" applyFont="1" applyFill="1" applyBorder="1" applyAlignment="1">
      <alignment horizontal="center" vertical="center" wrapText="1"/>
    </xf>
    <xf numFmtId="197" fontId="12" fillId="0" borderId="4" xfId="1" applyNumberFormat="1" applyFont="1" applyFill="1" applyBorder="1" applyAlignment="1">
      <alignment horizontal="right"/>
    </xf>
    <xf numFmtId="197" fontId="10" fillId="0" borderId="4" xfId="1" applyNumberFormat="1" applyFont="1" applyFill="1" applyBorder="1" applyAlignment="1">
      <alignment horizontal="right"/>
    </xf>
    <xf numFmtId="197" fontId="87" fillId="0" borderId="0" xfId="1" applyNumberFormat="1" applyFont="1" applyFill="1"/>
    <xf numFmtId="197" fontId="20" fillId="0" borderId="0" xfId="1" applyNumberFormat="1" applyFont="1" applyFill="1"/>
    <xf numFmtId="197" fontId="21" fillId="0" borderId="0" xfId="1" applyNumberFormat="1" applyFont="1" applyFill="1" applyAlignment="1"/>
    <xf numFmtId="196" fontId="10" fillId="0" borderId="4" xfId="1" applyFont="1" applyFill="1" applyBorder="1" applyAlignment="1">
      <alignment horizontal="center" vertical="center" wrapText="1"/>
    </xf>
    <xf numFmtId="196" fontId="10" fillId="0" borderId="4" xfId="1" applyFont="1" applyFill="1" applyBorder="1" applyAlignment="1">
      <alignment horizontal="right"/>
    </xf>
    <xf numFmtId="196" fontId="12" fillId="0" borderId="4" xfId="1" applyFont="1" applyFill="1" applyBorder="1" applyAlignment="1">
      <alignment horizontal="right"/>
    </xf>
    <xf numFmtId="196" fontId="12" fillId="0" borderId="0" xfId="1" applyFont="1" applyFill="1"/>
    <xf numFmtId="196" fontId="87" fillId="0" borderId="0" xfId="1" applyFont="1" applyFill="1"/>
    <xf numFmtId="196" fontId="20" fillId="0" borderId="0" xfId="1" applyFont="1" applyFill="1"/>
    <xf numFmtId="196" fontId="21" fillId="0" borderId="0" xfId="1" applyFont="1" applyFill="1" applyAlignment="1"/>
    <xf numFmtId="0" fontId="100" fillId="0" borderId="4" xfId="0" applyFont="1" applyBorder="1" applyAlignment="1">
      <alignment horizontal="left" vertical="center" wrapText="1"/>
    </xf>
    <xf numFmtId="213" fontId="54" fillId="0" borderId="6" xfId="0" applyNumberFormat="1" applyFont="1" applyBorder="1"/>
    <xf numFmtId="213" fontId="3" fillId="0" borderId="0" xfId="0" applyNumberFormat="1" applyFont="1"/>
    <xf numFmtId="0" fontId="11" fillId="0" borderId="7" xfId="0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2" fontId="7" fillId="0" borderId="7" xfId="1" applyNumberFormat="1" applyFont="1" applyFill="1" applyBorder="1" applyAlignment="1">
      <alignment horizontal="right" vertical="center" wrapText="1"/>
    </xf>
    <xf numFmtId="210" fontId="7" fillId="0" borderId="7" xfId="1" applyNumberFormat="1" applyFont="1" applyFill="1" applyBorder="1" applyAlignment="1">
      <alignment horizontal="right" vertical="center" wrapText="1"/>
    </xf>
    <xf numFmtId="200" fontId="7" fillId="0" borderId="5" xfId="1" applyNumberFormat="1" applyFont="1" applyFill="1" applyBorder="1" applyAlignment="1">
      <alignment horizontal="center" vertical="center" shrinkToFit="1"/>
    </xf>
    <xf numFmtId="193" fontId="7" fillId="0" borderId="5" xfId="1" applyNumberFormat="1" applyFont="1" applyFill="1" applyBorder="1" applyAlignment="1">
      <alignment vertical="center" shrinkToFit="1"/>
    </xf>
    <xf numFmtId="210" fontId="7" fillId="0" borderId="5" xfId="1" applyNumberFormat="1" applyFont="1" applyFill="1" applyBorder="1" applyAlignment="1">
      <alignment horizontal="right" vertical="center" wrapText="1"/>
    </xf>
    <xf numFmtId="4" fontId="9" fillId="0" borderId="0" xfId="0" applyNumberFormat="1" applyFont="1" applyAlignment="1">
      <alignment vertical="center" wrapText="1"/>
    </xf>
    <xf numFmtId="0" fontId="26" fillId="0" borderId="0" xfId="0" applyFont="1"/>
    <xf numFmtId="4" fontId="10" fillId="0" borderId="4" xfId="0" applyNumberFormat="1" applyFont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1" fontId="11" fillId="0" borderId="20" xfId="0" applyNumberFormat="1" applyFont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97" fontId="82" fillId="0" borderId="4" xfId="1" applyNumberFormat="1" applyFont="1" applyFill="1" applyBorder="1" applyAlignment="1">
      <alignment horizontal="center" vertical="center" wrapText="1"/>
    </xf>
    <xf numFmtId="0" fontId="92" fillId="0" borderId="0" xfId="0" applyFont="1"/>
    <xf numFmtId="0" fontId="42" fillId="0" borderId="0" xfId="0" applyFont="1" applyAlignment="1">
      <alignment horizontal="left"/>
    </xf>
    <xf numFmtId="197" fontId="12" fillId="0" borderId="4" xfId="1" applyNumberFormat="1" applyFont="1" applyFill="1" applyBorder="1" applyAlignment="1">
      <alignment horizontal="center" vertical="center" wrapText="1"/>
    </xf>
    <xf numFmtId="215" fontId="32" fillId="0" borderId="4" xfId="0" applyNumberFormat="1" applyFont="1" applyBorder="1"/>
    <xf numFmtId="4" fontId="7" fillId="0" borderId="18" xfId="0" applyNumberFormat="1" applyFont="1" applyBorder="1" applyAlignment="1">
      <alignment horizontal="center" vertical="center" shrinkToFit="1"/>
    </xf>
    <xf numFmtId="192" fontId="0" fillId="0" borderId="5" xfId="0" applyNumberFormat="1" applyBorder="1"/>
    <xf numFmtId="3" fontId="26" fillId="0" borderId="4" xfId="0" applyNumberFormat="1" applyFont="1" applyBorder="1" applyAlignment="1">
      <alignment horizontal="center" vertical="center"/>
    </xf>
    <xf numFmtId="191" fontId="82" fillId="0" borderId="4" xfId="1" applyNumberFormat="1" applyFont="1" applyFill="1" applyBorder="1" applyAlignment="1">
      <alignment horizontal="right" vertical="center"/>
    </xf>
    <xf numFmtId="0" fontId="12" fillId="0" borderId="4" xfId="0" applyFont="1" applyBorder="1" applyAlignment="1">
      <alignment horizontal="left" vertical="center"/>
    </xf>
    <xf numFmtId="0" fontId="5" fillId="0" borderId="0" xfId="0" applyFont="1"/>
    <xf numFmtId="192" fontId="72" fillId="0" borderId="0" xfId="1" applyNumberFormat="1" applyFont="1" applyFill="1" applyBorder="1" applyAlignment="1">
      <alignment horizontal="center"/>
    </xf>
    <xf numFmtId="0" fontId="72" fillId="0" borderId="0" xfId="0" applyFont="1" applyAlignment="1">
      <alignment horizontal="center"/>
    </xf>
    <xf numFmtId="0" fontId="6" fillId="0" borderId="0" xfId="0" applyFont="1"/>
    <xf numFmtId="192" fontId="78" fillId="0" borderId="0" xfId="1" applyNumberFormat="1" applyFont="1" applyFill="1" applyBorder="1" applyAlignment="1">
      <alignment horizontal="center"/>
    </xf>
    <xf numFmtId="197" fontId="5" fillId="0" borderId="0" xfId="1" applyNumberFormat="1" applyFont="1" applyFill="1" applyBorder="1"/>
    <xf numFmtId="192" fontId="5" fillId="0" borderId="0" xfId="1" applyNumberFormat="1" applyFont="1" applyFill="1" applyBorder="1"/>
    <xf numFmtId="0" fontId="76" fillId="0" borderId="0" xfId="0" applyFont="1"/>
    <xf numFmtId="197" fontId="76" fillId="0" borderId="0" xfId="1" applyNumberFormat="1" applyFont="1" applyFill="1" applyBorder="1"/>
    <xf numFmtId="197" fontId="5" fillId="0" borderId="0" xfId="1" applyNumberFormat="1" applyFont="1" applyFill="1"/>
    <xf numFmtId="0" fontId="79" fillId="0" borderId="0" xfId="0" applyFont="1" applyAlignment="1">
      <alignment horizontal="center" vertical="center" wrapText="1"/>
    </xf>
    <xf numFmtId="9" fontId="72" fillId="0" borderId="0" xfId="21" applyFont="1" applyFill="1" applyBorder="1" applyAlignment="1">
      <alignment horizontal="center"/>
    </xf>
    <xf numFmtId="197" fontId="7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197" fontId="72" fillId="0" borderId="0" xfId="0" applyNumberFormat="1" applyFont="1" applyAlignment="1">
      <alignment vertical="center"/>
    </xf>
    <xf numFmtId="0" fontId="70" fillId="0" borderId="0" xfId="0" applyFont="1" applyAlignment="1">
      <alignment horizontal="center" vertical="center" wrapText="1"/>
    </xf>
    <xf numFmtId="9" fontId="75" fillId="0" borderId="0" xfId="21" applyFont="1" applyFill="1" applyBorder="1"/>
    <xf numFmtId="192" fontId="5" fillId="0" borderId="0" xfId="1" applyNumberFormat="1" applyFont="1" applyFill="1"/>
    <xf numFmtId="0" fontId="70" fillId="0" borderId="0" xfId="0" applyFont="1"/>
    <xf numFmtId="0" fontId="77" fillId="0" borderId="0" xfId="0" applyFont="1" applyAlignment="1">
      <alignment vertical="center"/>
    </xf>
    <xf numFmtId="197" fontId="75" fillId="0" borderId="0" xfId="1" applyNumberFormat="1" applyFont="1" applyFill="1" applyBorder="1"/>
    <xf numFmtId="197" fontId="70" fillId="0" borderId="0" xfId="1" applyNumberFormat="1" applyFont="1" applyFill="1" applyBorder="1" applyAlignment="1">
      <alignment vertical="center"/>
    </xf>
    <xf numFmtId="4" fontId="72" fillId="0" borderId="0" xfId="0" applyNumberFormat="1" applyFont="1" applyAlignment="1">
      <alignment vertical="center"/>
    </xf>
    <xf numFmtId="192" fontId="75" fillId="0" borderId="0" xfId="1" applyNumberFormat="1" applyFont="1" applyFill="1" applyBorder="1"/>
    <xf numFmtId="0" fontId="80" fillId="0" borderId="0" xfId="0" applyFont="1"/>
    <xf numFmtId="3" fontId="75" fillId="0" borderId="0" xfId="0" applyNumberFormat="1" applyFont="1"/>
    <xf numFmtId="192" fontId="78" fillId="0" borderId="0" xfId="1" applyNumberFormat="1" applyFont="1" applyFill="1" applyBorder="1"/>
    <xf numFmtId="0" fontId="104" fillId="0" borderId="0" xfId="0" applyFont="1"/>
    <xf numFmtId="218" fontId="75" fillId="0" borderId="0" xfId="0" applyNumberFormat="1" applyFont="1"/>
    <xf numFmtId="3" fontId="80" fillId="0" borderId="0" xfId="0" applyNumberFormat="1" applyFont="1"/>
    <xf numFmtId="218" fontId="78" fillId="0" borderId="0" xfId="0" applyNumberFormat="1" applyFont="1"/>
    <xf numFmtId="216" fontId="75" fillId="0" borderId="0" xfId="0" applyNumberFormat="1" applyFont="1"/>
    <xf numFmtId="0" fontId="79" fillId="0" borderId="0" xfId="0" applyFont="1"/>
    <xf numFmtId="0" fontId="82" fillId="0" borderId="4" xfId="0" applyFont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56" fillId="0" borderId="0" xfId="0" applyFont="1" applyAlignment="1">
      <alignment horizontal="center"/>
    </xf>
    <xf numFmtId="198" fontId="29" fillId="0" borderId="0" xfId="1" applyNumberFormat="1" applyFont="1" applyFill="1" applyBorder="1" applyAlignment="1">
      <alignment vertical="center"/>
    </xf>
    <xf numFmtId="4" fontId="3" fillId="0" borderId="0" xfId="0" applyNumberFormat="1" applyFont="1" applyAlignment="1">
      <alignment vertical="center"/>
    </xf>
    <xf numFmtId="3" fontId="26" fillId="0" borderId="4" xfId="0" applyNumberFormat="1" applyFont="1" applyBorder="1" applyAlignment="1">
      <alignment horizontal="right" vertical="center"/>
    </xf>
    <xf numFmtId="0" fontId="29" fillId="0" borderId="0" xfId="0" applyFont="1"/>
    <xf numFmtId="4" fontId="12" fillId="0" borderId="4" xfId="0" applyNumberFormat="1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left" vertical="center" shrinkToFit="1"/>
    </xf>
    <xf numFmtId="0" fontId="9" fillId="0" borderId="4" xfId="0" applyFont="1" applyBorder="1" applyAlignment="1">
      <alignment horizontal="left" vertical="center" shrinkToFit="1"/>
    </xf>
    <xf numFmtId="0" fontId="9" fillId="2" borderId="4" xfId="0" applyFont="1" applyFill="1" applyBorder="1" applyAlignment="1">
      <alignment horizontal="center" vertical="center" shrinkToFit="1"/>
    </xf>
    <xf numFmtId="197" fontId="9" fillId="2" borderId="4" xfId="1" applyNumberFormat="1" applyFont="1" applyFill="1" applyBorder="1" applyAlignment="1">
      <alignment vertical="center" shrinkToFit="1"/>
    </xf>
    <xf numFmtId="197" fontId="9" fillId="2" borderId="4" xfId="0" applyNumberFormat="1" applyFont="1" applyFill="1" applyBorder="1" applyAlignment="1">
      <alignment horizontal="right" vertical="center" shrinkToFit="1"/>
    </xf>
    <xf numFmtId="197" fontId="9" fillId="2" borderId="4" xfId="0" applyNumberFormat="1" applyFont="1" applyFill="1" applyBorder="1" applyAlignment="1">
      <alignment vertical="center" shrinkToFit="1"/>
    </xf>
    <xf numFmtId="0" fontId="7" fillId="2" borderId="4" xfId="0" applyFont="1" applyFill="1" applyBorder="1"/>
    <xf numFmtId="0" fontId="20" fillId="0" borderId="4" xfId="0" applyFont="1" applyBorder="1" applyAlignment="1">
      <alignment vertical="center" shrinkToFit="1"/>
    </xf>
    <xf numFmtId="0" fontId="31" fillId="2" borderId="4" xfId="0" applyFont="1" applyFill="1" applyBorder="1" applyAlignment="1">
      <alignment horizontal="center" vertical="center" shrinkToFit="1"/>
    </xf>
    <xf numFmtId="197" fontId="31" fillId="2" borderId="4" xfId="1" applyNumberFormat="1" applyFont="1" applyFill="1" applyBorder="1" applyAlignment="1">
      <alignment vertical="center" shrinkToFit="1"/>
    </xf>
    <xf numFmtId="197" fontId="31" fillId="2" borderId="4" xfId="0" applyNumberFormat="1" applyFont="1" applyFill="1" applyBorder="1" applyAlignment="1">
      <alignment vertical="center" shrinkToFit="1"/>
    </xf>
    <xf numFmtId="1" fontId="82" fillId="0" borderId="4" xfId="0" applyNumberFormat="1" applyFont="1" applyBorder="1" applyAlignment="1">
      <alignment horizontal="center" vertical="center" wrapText="1"/>
    </xf>
    <xf numFmtId="188" fontId="5" fillId="0" borderId="0" xfId="0" applyNumberFormat="1" applyFont="1"/>
    <xf numFmtId="192" fontId="72" fillId="0" borderId="0" xfId="1" applyNumberFormat="1" applyFont="1" applyFill="1" applyBorder="1"/>
    <xf numFmtId="188" fontId="72" fillId="0" borderId="0" xfId="0" applyNumberFormat="1" applyFont="1"/>
    <xf numFmtId="229" fontId="72" fillId="0" borderId="0" xfId="0" applyNumberFormat="1" applyFont="1"/>
    <xf numFmtId="229" fontId="5" fillId="0" borderId="0" xfId="0" applyNumberFormat="1" applyFont="1"/>
    <xf numFmtId="4" fontId="109" fillId="0" borderId="0" xfId="1" applyNumberFormat="1" applyFont="1" applyFill="1"/>
    <xf numFmtId="191" fontId="109" fillId="0" borderId="0" xfId="1" applyNumberFormat="1" applyFont="1" applyFill="1" applyAlignment="1">
      <alignment horizontal="center"/>
    </xf>
    <xf numFmtId="191" fontId="109" fillId="0" borderId="0" xfId="1" applyNumberFormat="1" applyFont="1" applyFill="1"/>
    <xf numFmtId="3" fontId="109" fillId="0" borderId="0" xfId="1" applyNumberFormat="1" applyFont="1" applyFill="1" applyAlignment="1"/>
    <xf numFmtId="197" fontId="12" fillId="0" borderId="0" xfId="0" applyNumberFormat="1" applyFont="1"/>
    <xf numFmtId="1" fontId="12" fillId="0" borderId="0" xfId="0" applyNumberFormat="1" applyFont="1"/>
    <xf numFmtId="197" fontId="10" fillId="0" borderId="0" xfId="1" applyNumberFormat="1" applyFont="1" applyFill="1"/>
    <xf numFmtId="210" fontId="40" fillId="0" borderId="4" xfId="0" applyNumberFormat="1" applyFont="1" applyBorder="1"/>
    <xf numFmtId="0" fontId="92" fillId="0" borderId="0" xfId="0" applyFont="1" applyAlignment="1">
      <alignment horizontal="center"/>
    </xf>
    <xf numFmtId="0" fontId="82" fillId="2" borderId="0" xfId="0" applyFont="1" applyFill="1" applyAlignment="1">
      <alignment horizontal="center"/>
    </xf>
    <xf numFmtId="199" fontId="82" fillId="2" borderId="0" xfId="1" applyNumberFormat="1" applyFont="1" applyFill="1"/>
    <xf numFmtId="0" fontId="27" fillId="0" borderId="0" xfId="0" applyFont="1"/>
    <xf numFmtId="0" fontId="27" fillId="2" borderId="0" xfId="0" applyFont="1" applyFill="1"/>
    <xf numFmtId="0" fontId="27" fillId="2" borderId="0" xfId="0" applyFont="1" applyFill="1" applyAlignment="1">
      <alignment horizontal="center"/>
    </xf>
    <xf numFmtId="201" fontId="82" fillId="2" borderId="0" xfId="1" applyNumberFormat="1" applyFont="1" applyFill="1"/>
    <xf numFmtId="202" fontId="27" fillId="2" borderId="0" xfId="1" applyNumberFormat="1" applyFont="1" applyFill="1" applyAlignment="1">
      <alignment horizontal="center"/>
    </xf>
    <xf numFmtId="199" fontId="27" fillId="2" borderId="0" xfId="1" applyNumberFormat="1" applyFont="1" applyFill="1" applyAlignment="1">
      <alignment horizontal="center"/>
    </xf>
    <xf numFmtId="2" fontId="63" fillId="0" borderId="0" xfId="0" applyNumberFormat="1" applyFont="1"/>
    <xf numFmtId="0" fontId="26" fillId="2" borderId="0" xfId="0" applyFont="1" applyFill="1" applyAlignment="1">
      <alignment wrapText="1"/>
    </xf>
    <xf numFmtId="0" fontId="26" fillId="2" borderId="0" xfId="0" applyFont="1" applyFill="1"/>
    <xf numFmtId="0" fontId="82" fillId="0" borderId="0" xfId="0" applyFont="1" applyAlignment="1">
      <alignment vertical="center"/>
    </xf>
    <xf numFmtId="4" fontId="82" fillId="0" borderId="0" xfId="0" applyNumberFormat="1" applyFont="1" applyAlignment="1">
      <alignment horizontal="center"/>
    </xf>
    <xf numFmtId="4" fontId="82" fillId="0" borderId="0" xfId="0" applyNumberFormat="1" applyFont="1" applyAlignment="1">
      <alignment horizontal="right"/>
    </xf>
    <xf numFmtId="196" fontId="82" fillId="0" borderId="0" xfId="1" applyFont="1" applyFill="1" applyAlignment="1">
      <alignment horizontal="center"/>
    </xf>
    <xf numFmtId="4" fontId="26" fillId="0" borderId="0" xfId="0" applyNumberFormat="1" applyFont="1" applyAlignment="1">
      <alignment vertical="center"/>
    </xf>
    <xf numFmtId="3" fontId="26" fillId="0" borderId="0" xfId="0" applyNumberFormat="1" applyFont="1" applyAlignment="1">
      <alignment vertical="center" wrapText="1"/>
    </xf>
    <xf numFmtId="3" fontId="26" fillId="0" borderId="0" xfId="0" applyNumberFormat="1" applyFont="1" applyAlignment="1">
      <alignment vertical="center"/>
    </xf>
    <xf numFmtId="4" fontId="82" fillId="0" borderId="0" xfId="0" applyNumberFormat="1" applyFont="1" applyAlignment="1">
      <alignment vertical="center"/>
    </xf>
    <xf numFmtId="3" fontId="82" fillId="0" borderId="0" xfId="0" applyNumberFormat="1" applyFont="1" applyAlignment="1">
      <alignment vertical="center" wrapText="1"/>
    </xf>
    <xf numFmtId="3" fontId="82" fillId="0" borderId="0" xfId="0" applyNumberFormat="1" applyFont="1" applyAlignment="1">
      <alignment vertical="center"/>
    </xf>
    <xf numFmtId="0" fontId="12" fillId="0" borderId="0" xfId="0" applyFont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191" fontId="112" fillId="0" borderId="0" xfId="1" applyNumberFormat="1" applyFont="1" applyFill="1" applyAlignment="1">
      <alignment horizontal="center"/>
    </xf>
    <xf numFmtId="191" fontId="112" fillId="0" borderId="0" xfId="1" applyNumberFormat="1" applyFont="1" applyFill="1" applyAlignment="1"/>
    <xf numFmtId="4" fontId="109" fillId="0" borderId="0" xfId="1" applyNumberFormat="1" applyFont="1" applyFill="1" applyBorder="1" applyAlignment="1"/>
    <xf numFmtId="191" fontId="109" fillId="0" borderId="0" xfId="1" applyNumberFormat="1" applyFont="1" applyFill="1" applyBorder="1" applyAlignment="1">
      <alignment horizontal="center"/>
    </xf>
    <xf numFmtId="191" fontId="109" fillId="0" borderId="0" xfId="1" applyNumberFormat="1" applyFont="1" applyFill="1" applyBorder="1" applyAlignment="1"/>
    <xf numFmtId="191" fontId="109" fillId="0" borderId="0" xfId="1" applyNumberFormat="1" applyFont="1" applyFill="1" applyBorder="1"/>
    <xf numFmtId="211" fontId="109" fillId="0" borderId="0" xfId="1" applyNumberFormat="1" applyFont="1" applyFill="1"/>
    <xf numFmtId="4" fontId="109" fillId="0" borderId="0" xfId="1" applyNumberFormat="1" applyFont="1" applyFill="1" applyAlignment="1"/>
    <xf numFmtId="0" fontId="82" fillId="0" borderId="4" xfId="0" quotePrefix="1" applyFont="1" applyBorder="1" applyAlignment="1">
      <alignment horizontal="center" vertical="center"/>
    </xf>
    <xf numFmtId="0" fontId="40" fillId="0" borderId="4" xfId="0" applyFont="1" applyBorder="1"/>
    <xf numFmtId="0" fontId="36" fillId="0" borderId="4" xfId="0" applyFont="1" applyBorder="1"/>
    <xf numFmtId="0" fontId="0" fillId="0" borderId="7" xfId="0" applyBorder="1"/>
    <xf numFmtId="193" fontId="36" fillId="0" borderId="4" xfId="0" applyNumberFormat="1" applyFont="1" applyBorder="1"/>
    <xf numFmtId="193" fontId="36" fillId="0" borderId="4" xfId="7" applyNumberFormat="1" applyFont="1" applyFill="1" applyBorder="1"/>
    <xf numFmtId="192" fontId="0" fillId="0" borderId="4" xfId="0" applyNumberFormat="1" applyBorder="1"/>
    <xf numFmtId="209" fontId="36" fillId="0" borderId="4" xfId="7" applyNumberFormat="1" applyFont="1" applyFill="1" applyBorder="1" applyAlignment="1">
      <alignment horizontal="center"/>
    </xf>
    <xf numFmtId="0" fontId="0" fillId="0" borderId="4" xfId="0" applyBorder="1"/>
    <xf numFmtId="224" fontId="73" fillId="0" borderId="8" xfId="0" applyNumberFormat="1" applyFont="1" applyBorder="1"/>
    <xf numFmtId="225" fontId="73" fillId="0" borderId="8" xfId="0" applyNumberFormat="1" applyFont="1" applyBorder="1"/>
    <xf numFmtId="221" fontId="73" fillId="0" borderId="8" xfId="0" applyNumberFormat="1" applyFont="1" applyBorder="1"/>
    <xf numFmtId="221" fontId="0" fillId="0" borderId="0" xfId="0" applyNumberFormat="1"/>
    <xf numFmtId="193" fontId="0" fillId="0" borderId="0" xfId="0" applyNumberFormat="1"/>
    <xf numFmtId="0" fontId="59" fillId="0" borderId="4" xfId="0" applyFont="1" applyBorder="1" applyAlignment="1">
      <alignment horizontal="center"/>
    </xf>
    <xf numFmtId="0" fontId="59" fillId="0" borderId="4" xfId="0" applyFont="1" applyBorder="1"/>
    <xf numFmtId="197" fontId="0" fillId="0" borderId="0" xfId="0" applyNumberFormat="1"/>
    <xf numFmtId="0" fontId="60" fillId="0" borderId="4" xfId="0" applyFont="1" applyBorder="1"/>
    <xf numFmtId="0" fontId="67" fillId="0" borderId="4" xfId="0" applyFont="1" applyBorder="1"/>
    <xf numFmtId="211" fontId="0" fillId="0" borderId="4" xfId="0" applyNumberFormat="1" applyBorder="1"/>
    <xf numFmtId="200" fontId="0" fillId="0" borderId="4" xfId="0" applyNumberFormat="1" applyBorder="1"/>
    <xf numFmtId="229" fontId="0" fillId="0" borderId="0" xfId="0" applyNumberFormat="1"/>
    <xf numFmtId="2" fontId="0" fillId="0" borderId="4" xfId="0" applyNumberFormat="1" applyBorder="1"/>
    <xf numFmtId="196" fontId="64" fillId="0" borderId="0" xfId="1" applyFont="1" applyFill="1"/>
    <xf numFmtId="0" fontId="68" fillId="0" borderId="4" xfId="0" applyFont="1" applyBorder="1"/>
    <xf numFmtId="214" fontId="69" fillId="0" borderId="4" xfId="0" applyNumberFormat="1" applyFont="1" applyBorder="1"/>
    <xf numFmtId="211" fontId="70" fillId="0" borderId="4" xfId="0" applyNumberFormat="1" applyFont="1" applyBorder="1"/>
    <xf numFmtId="188" fontId="0" fillId="0" borderId="0" xfId="0" applyNumberFormat="1"/>
    <xf numFmtId="0" fontId="67" fillId="0" borderId="0" xfId="0" applyFont="1" applyAlignment="1">
      <alignment horizontal="center"/>
    </xf>
    <xf numFmtId="0" fontId="89" fillId="0" borderId="5" xfId="0" applyFont="1" applyBorder="1"/>
    <xf numFmtId="0" fontId="89" fillId="0" borderId="0" xfId="0" applyFont="1"/>
    <xf numFmtId="0" fontId="67" fillId="0" borderId="19" xfId="0" applyFont="1" applyBorder="1"/>
    <xf numFmtId="0" fontId="0" fillId="0" borderId="24" xfId="0" applyBorder="1"/>
    <xf numFmtId="210" fontId="0" fillId="0" borderId="21" xfId="0" applyNumberFormat="1" applyBorder="1"/>
    <xf numFmtId="0" fontId="0" fillId="0" borderId="26" xfId="0" applyBorder="1"/>
    <xf numFmtId="192" fontId="0" fillId="0" borderId="0" xfId="0" applyNumberFormat="1"/>
    <xf numFmtId="211" fontId="7" fillId="0" borderId="0" xfId="1" applyNumberFormat="1" applyFont="1" applyFill="1" applyBorder="1" applyAlignment="1">
      <alignment horizontal="center" vertical="center" shrinkToFit="1"/>
    </xf>
    <xf numFmtId="0" fontId="119" fillId="0" borderId="0" xfId="0" applyFont="1"/>
    <xf numFmtId="197" fontId="119" fillId="0" borderId="0" xfId="1" applyNumberFormat="1" applyFont="1" applyFill="1" applyBorder="1"/>
    <xf numFmtId="0" fontId="118" fillId="0" borderId="4" xfId="0" applyFont="1" applyBorder="1" applyAlignment="1">
      <alignment horizontal="center" vertical="center"/>
    </xf>
    <xf numFmtId="0" fontId="118" fillId="0" borderId="4" xfId="0" applyFont="1" applyBorder="1" applyAlignment="1">
      <alignment horizontal="center" vertical="center" wrapText="1"/>
    </xf>
    <xf numFmtId="37" fontId="118" fillId="0" borderId="4" xfId="1" applyNumberFormat="1" applyFont="1" applyFill="1" applyBorder="1" applyAlignment="1">
      <alignment horizontal="center" vertical="center" wrapText="1"/>
    </xf>
    <xf numFmtId="197" fontId="118" fillId="0" borderId="4" xfId="1" applyNumberFormat="1" applyFont="1" applyFill="1" applyBorder="1" applyAlignment="1">
      <alignment horizontal="center" vertical="center" wrapText="1"/>
    </xf>
    <xf numFmtId="197" fontId="118" fillId="0" borderId="4" xfId="1" applyNumberFormat="1" applyFont="1" applyFill="1" applyBorder="1" applyAlignment="1">
      <alignment horizontal="center" vertical="center"/>
    </xf>
    <xf numFmtId="0" fontId="118" fillId="0" borderId="4" xfId="0" quotePrefix="1" applyFont="1" applyBorder="1" applyAlignment="1">
      <alignment horizontal="center" vertical="center" wrapText="1"/>
    </xf>
    <xf numFmtId="197" fontId="119" fillId="0" borderId="4" xfId="1" applyNumberFormat="1" applyFont="1" applyFill="1" applyBorder="1" applyAlignment="1">
      <alignment vertical="center" wrapText="1"/>
    </xf>
    <xf numFmtId="197" fontId="118" fillId="0" borderId="4" xfId="1" applyNumberFormat="1" applyFont="1" applyFill="1" applyBorder="1" applyAlignment="1">
      <alignment vertical="center" wrapText="1"/>
    </xf>
    <xf numFmtId="197" fontId="119" fillId="0" borderId="4" xfId="1" applyNumberFormat="1" applyFont="1" applyFill="1" applyBorder="1" applyAlignment="1">
      <alignment vertical="center"/>
    </xf>
    <xf numFmtId="230" fontId="48" fillId="0" borderId="0" xfId="0" applyNumberFormat="1" applyFont="1" applyAlignment="1">
      <alignment horizontal="center"/>
    </xf>
    <xf numFmtId="207" fontId="14" fillId="0" borderId="0" xfId="0" applyNumberFormat="1" applyFont="1" applyAlignment="1">
      <alignment horizontal="center"/>
    </xf>
    <xf numFmtId="191" fontId="7" fillId="0" borderId="4" xfId="0" applyNumberFormat="1" applyFont="1" applyBorder="1" applyAlignment="1">
      <alignment horizontal="left" vertical="center"/>
    </xf>
    <xf numFmtId="3" fontId="7" fillId="0" borderId="4" xfId="0" applyNumberFormat="1" applyFont="1" applyBorder="1" applyAlignment="1">
      <alignment vertical="center" wrapText="1"/>
    </xf>
    <xf numFmtId="0" fontId="7" fillId="0" borderId="4" xfId="0" applyFont="1" applyBorder="1" applyAlignment="1">
      <alignment shrinkToFit="1"/>
    </xf>
    <xf numFmtId="198" fontId="22" fillId="0" borderId="4" xfId="0" applyNumberFormat="1" applyFont="1" applyBorder="1" applyAlignment="1">
      <alignment vertical="center"/>
    </xf>
    <xf numFmtId="213" fontId="38" fillId="0" borderId="0" xfId="1" applyNumberFormat="1" applyFont="1" applyFill="1"/>
    <xf numFmtId="0" fontId="39" fillId="0" borderId="4" xfId="0" applyFont="1" applyBorder="1" applyAlignment="1">
      <alignment horizontal="center" vertical="center"/>
    </xf>
    <xf numFmtId="207" fontId="49" fillId="0" borderId="4" xfId="0" applyNumberFormat="1" applyFont="1" applyBorder="1"/>
    <xf numFmtId="198" fontId="53" fillId="0" borderId="0" xfId="0" applyNumberFormat="1" applyFont="1"/>
    <xf numFmtId="202" fontId="78" fillId="0" borderId="0" xfId="0" applyNumberFormat="1" applyFont="1"/>
    <xf numFmtId="0" fontId="12" fillId="0" borderId="4" xfId="0" quotePrefix="1" applyFont="1" applyBorder="1"/>
    <xf numFmtId="210" fontId="36" fillId="0" borderId="4" xfId="7" applyNumberFormat="1" applyFont="1" applyFill="1" applyBorder="1" applyAlignment="1">
      <alignment horizontal="right"/>
    </xf>
    <xf numFmtId="211" fontId="69" fillId="0" borderId="4" xfId="0" applyNumberFormat="1" applyFont="1" applyBorder="1"/>
    <xf numFmtId="210" fontId="0" fillId="0" borderId="7" xfId="0" applyNumberFormat="1" applyBorder="1"/>
    <xf numFmtId="210" fontId="0" fillId="0" borderId="0" xfId="0" applyNumberFormat="1"/>
    <xf numFmtId="210" fontId="122" fillId="0" borderId="0" xfId="0" applyNumberFormat="1" applyFont="1"/>
    <xf numFmtId="224" fontId="0" fillId="0" borderId="5" xfId="0" applyNumberFormat="1" applyBorder="1"/>
    <xf numFmtId="224" fontId="36" fillId="0" borderId="4" xfId="7" applyNumberFormat="1" applyFont="1" applyFill="1" applyBorder="1" applyAlignment="1">
      <alignment horizontal="center"/>
    </xf>
    <xf numFmtId="224" fontId="64" fillId="0" borderId="0" xfId="1" applyNumberFormat="1" applyFont="1" applyFill="1"/>
    <xf numFmtId="224" fontId="1" fillId="0" borderId="0" xfId="1" applyNumberFormat="1" applyFont="1" applyFill="1"/>
    <xf numFmtId="224" fontId="0" fillId="0" borderId="0" xfId="0" applyNumberFormat="1"/>
    <xf numFmtId="192" fontId="122" fillId="0" borderId="0" xfId="0" applyNumberFormat="1" applyFont="1"/>
    <xf numFmtId="210" fontId="123" fillId="0" borderId="4" xfId="0" applyNumberFormat="1" applyFont="1" applyBorder="1"/>
    <xf numFmtId="0" fontId="82" fillId="0" borderId="4" xfId="0" applyFont="1" applyBorder="1" applyAlignment="1">
      <alignment horizontal="left" vertical="center"/>
    </xf>
    <xf numFmtId="207" fontId="102" fillId="0" borderId="4" xfId="1" applyNumberFormat="1" applyFont="1" applyFill="1" applyBorder="1" applyAlignment="1">
      <alignment horizontal="center" vertical="center" wrapText="1"/>
    </xf>
    <xf numFmtId="3" fontId="82" fillId="0" borderId="0" xfId="0" applyNumberFormat="1" applyFont="1"/>
    <xf numFmtId="0" fontId="10" fillId="0" borderId="0" xfId="0" applyFont="1" applyAlignment="1">
      <alignment horizontal="center"/>
    </xf>
    <xf numFmtId="1" fontId="83" fillId="0" borderId="0" xfId="1" applyNumberFormat="1" applyFont="1" applyFill="1"/>
    <xf numFmtId="1" fontId="9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1" fontId="9" fillId="0" borderId="0" xfId="1" applyNumberFormat="1" applyFont="1" applyFill="1" applyBorder="1" applyAlignment="1">
      <alignment horizontal="center" vertical="center"/>
    </xf>
    <xf numFmtId="1" fontId="9" fillId="0" borderId="0" xfId="1" applyNumberFormat="1" applyFont="1" applyFill="1" applyAlignment="1">
      <alignment horizontal="center" vertical="center"/>
    </xf>
    <xf numFmtId="1" fontId="82" fillId="0" borderId="0" xfId="1" applyNumberFormat="1" applyFont="1" applyFill="1" applyAlignment="1">
      <alignment vertical="center"/>
    </xf>
    <xf numFmtId="1" fontId="82" fillId="0" borderId="0" xfId="1" applyNumberFormat="1" applyFont="1" applyFill="1" applyBorder="1" applyAlignment="1">
      <alignment horizontal="center" vertical="center"/>
    </xf>
    <xf numFmtId="1" fontId="125" fillId="0" borderId="0" xfId="1" applyNumberFormat="1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4" fontId="44" fillId="0" borderId="0" xfId="0" applyNumberFormat="1" applyFont="1" applyAlignment="1">
      <alignment vertical="center"/>
    </xf>
    <xf numFmtId="3" fontId="44" fillId="0" borderId="0" xfId="0" applyNumberFormat="1" applyFont="1" applyAlignment="1">
      <alignment vertical="center" wrapText="1"/>
    </xf>
    <xf numFmtId="3" fontId="44" fillId="0" borderId="0" xfId="0" applyNumberFormat="1" applyFont="1" applyAlignment="1">
      <alignment vertical="center"/>
    </xf>
    <xf numFmtId="0" fontId="126" fillId="0" borderId="0" xfId="0" applyFont="1"/>
    <xf numFmtId="1" fontId="109" fillId="0" borderId="0" xfId="1" applyNumberFormat="1" applyFont="1" applyFill="1" applyAlignment="1">
      <alignment vertical="center"/>
    </xf>
    <xf numFmtId="1" fontId="109" fillId="0" borderId="0" xfId="1" applyNumberFormat="1" applyFont="1" applyFill="1" applyBorder="1" applyAlignment="1">
      <alignment horizontal="center" vertical="center"/>
    </xf>
    <xf numFmtId="1" fontId="129" fillId="0" borderId="0" xfId="1" applyNumberFormat="1" applyFont="1" applyFill="1" applyAlignment="1">
      <alignment vertical="center"/>
    </xf>
    <xf numFmtId="1" fontId="130" fillId="0" borderId="0" xfId="1" applyNumberFormat="1" applyFont="1" applyFill="1" applyBorder="1" applyAlignment="1">
      <alignment horizontal="center" vertical="center"/>
    </xf>
    <xf numFmtId="1" fontId="130" fillId="0" borderId="0" xfId="1" applyNumberFormat="1" applyFont="1" applyFill="1" applyBorder="1" applyAlignment="1">
      <alignment vertical="center"/>
    </xf>
    <xf numFmtId="1" fontId="127" fillId="0" borderId="0" xfId="1" applyNumberFormat="1" applyFont="1" applyFill="1" applyAlignment="1">
      <alignment vertical="center"/>
    </xf>
    <xf numFmtId="1" fontId="132" fillId="0" borderId="0" xfId="1" applyNumberFormat="1" applyFont="1" applyFill="1" applyBorder="1" applyAlignment="1">
      <alignment horizontal="center" vertical="center"/>
    </xf>
    <xf numFmtId="1" fontId="131" fillId="0" borderId="0" xfId="1" applyNumberFormat="1" applyFont="1" applyFill="1" applyAlignment="1">
      <alignment vertical="center"/>
    </xf>
    <xf numFmtId="1" fontId="54" fillId="0" borderId="0" xfId="1" applyNumberFormat="1" applyFont="1" applyFill="1" applyAlignment="1">
      <alignment vertical="center"/>
    </xf>
    <xf numFmtId="1" fontId="133" fillId="0" borderId="0" xfId="1" applyNumberFormat="1" applyFont="1" applyFill="1" applyBorder="1" applyAlignment="1">
      <alignment horizontal="center" vertical="center"/>
    </xf>
    <xf numFmtId="1" fontId="128" fillId="0" borderId="0" xfId="1" applyNumberFormat="1" applyFont="1" applyFill="1" applyAlignment="1">
      <alignment vertical="center"/>
    </xf>
    <xf numFmtId="1" fontId="133" fillId="0" borderId="0" xfId="1" applyNumberFormat="1" applyFont="1" applyFill="1" applyAlignment="1">
      <alignment vertical="center"/>
    </xf>
    <xf numFmtId="0" fontId="26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197" fontId="82" fillId="0" borderId="4" xfId="0" applyNumberFormat="1" applyFont="1" applyBorder="1" applyAlignment="1">
      <alignment horizontal="center" vertical="center"/>
    </xf>
    <xf numFmtId="191" fontId="82" fillId="0" borderId="4" xfId="0" applyNumberFormat="1" applyFont="1" applyBorder="1" applyAlignment="1">
      <alignment vertical="center" wrapText="1"/>
    </xf>
    <xf numFmtId="191" fontId="101" fillId="0" borderId="11" xfId="0" quotePrefix="1" applyNumberFormat="1" applyFont="1" applyBorder="1" applyAlignment="1">
      <alignment horizontal="center" vertical="center"/>
    </xf>
    <xf numFmtId="2" fontId="99" fillId="0" borderId="18" xfId="0" applyNumberFormat="1" applyFont="1" applyBorder="1" applyAlignment="1">
      <alignment horizontal="center" vertical="center" shrinkToFit="1"/>
    </xf>
    <xf numFmtId="2" fontId="102" fillId="0" borderId="7" xfId="0" applyNumberFormat="1" applyFont="1" applyBorder="1" applyAlignment="1">
      <alignment horizontal="center" vertical="center"/>
    </xf>
    <xf numFmtId="1" fontId="102" fillId="0" borderId="7" xfId="0" applyNumberFormat="1" applyFont="1" applyBorder="1" applyAlignment="1">
      <alignment horizontal="center" vertical="center"/>
    </xf>
    <xf numFmtId="2" fontId="99" fillId="0" borderId="11" xfId="0" applyNumberFormat="1" applyFont="1" applyBorder="1" applyAlignment="1">
      <alignment horizontal="center" vertical="center" shrinkToFit="1"/>
    </xf>
    <xf numFmtId="4" fontId="99" fillId="0" borderId="11" xfId="0" applyNumberFormat="1" applyFont="1" applyBorder="1" applyAlignment="1">
      <alignment horizontal="center" vertical="center" shrinkToFit="1"/>
    </xf>
    <xf numFmtId="2" fontId="99" fillId="0" borderId="9" xfId="1" applyNumberFormat="1" applyFont="1" applyFill="1" applyBorder="1" applyAlignment="1">
      <alignment horizontal="right" vertical="center" wrapText="1"/>
    </xf>
    <xf numFmtId="4" fontId="99" fillId="0" borderId="1" xfId="1" applyNumberFormat="1" applyFont="1" applyFill="1" applyBorder="1" applyAlignment="1">
      <alignment horizontal="right" vertical="center" shrinkToFit="1"/>
    </xf>
    <xf numFmtId="192" fontId="99" fillId="0" borderId="1" xfId="1" applyNumberFormat="1" applyFont="1" applyFill="1" applyBorder="1" applyAlignment="1">
      <alignment horizontal="center" vertical="center" shrinkToFit="1"/>
    </xf>
    <xf numFmtId="193" fontId="99" fillId="0" borderId="18" xfId="1" applyNumberFormat="1" applyFont="1" applyFill="1" applyBorder="1" applyAlignment="1">
      <alignment vertical="center" shrinkToFit="1"/>
    </xf>
    <xf numFmtId="0" fontId="99" fillId="0" borderId="11" xfId="0" applyFont="1" applyBorder="1"/>
    <xf numFmtId="192" fontId="103" fillId="0" borderId="6" xfId="0" applyNumberFormat="1" applyFont="1" applyBorder="1"/>
    <xf numFmtId="0" fontId="103" fillId="0" borderId="0" xfId="0" applyFont="1"/>
    <xf numFmtId="0" fontId="99" fillId="0" borderId="11" xfId="0" applyFont="1" applyBorder="1" applyAlignment="1">
      <alignment horizontal="center" vertical="center" shrinkToFit="1"/>
    </xf>
    <xf numFmtId="2" fontId="102" fillId="0" borderId="10" xfId="0" applyNumberFormat="1" applyFont="1" applyBorder="1" applyAlignment="1">
      <alignment horizontal="center" vertical="center"/>
    </xf>
    <xf numFmtId="1" fontId="102" fillId="0" borderId="10" xfId="0" applyNumberFormat="1" applyFont="1" applyBorder="1" applyAlignment="1">
      <alignment horizontal="center" vertical="center"/>
    </xf>
    <xf numFmtId="0" fontId="99" fillId="0" borderId="20" xfId="0" applyFont="1" applyBorder="1" applyAlignment="1">
      <alignment horizontal="left"/>
    </xf>
    <xf numFmtId="192" fontId="99" fillId="0" borderId="5" xfId="1" applyNumberFormat="1" applyFont="1" applyFill="1" applyBorder="1" applyAlignment="1">
      <alignment horizontal="center" vertical="center" shrinkToFit="1"/>
    </xf>
    <xf numFmtId="191" fontId="99" fillId="0" borderId="20" xfId="1" applyNumberFormat="1" applyFont="1" applyFill="1" applyBorder="1" applyAlignment="1">
      <alignment horizontal="center" vertical="center" wrapText="1"/>
    </xf>
    <xf numFmtId="200" fontId="102" fillId="0" borderId="11" xfId="0" applyNumberFormat="1" applyFont="1" applyBorder="1" applyAlignment="1">
      <alignment horizontal="center" vertical="center" shrinkToFit="1"/>
    </xf>
    <xf numFmtId="0" fontId="101" fillId="0" borderId="5" xfId="0" applyFont="1" applyBorder="1" applyAlignment="1">
      <alignment horizontal="left" vertical="center" wrapText="1" indent="1"/>
    </xf>
    <xf numFmtId="3" fontId="101" fillId="0" borderId="5" xfId="0" applyNumberFormat="1" applyFont="1" applyBorder="1" applyAlignment="1">
      <alignment horizontal="left" vertical="center" indent="1"/>
    </xf>
    <xf numFmtId="192" fontId="99" fillId="0" borderId="11" xfId="1" applyNumberFormat="1" applyFont="1" applyFill="1" applyBorder="1" applyAlignment="1">
      <alignment horizontal="center" vertical="center" shrinkToFit="1"/>
    </xf>
    <xf numFmtId="191" fontId="99" fillId="0" borderId="10" xfId="1" applyNumberFormat="1" applyFont="1" applyFill="1" applyBorder="1" applyAlignment="1">
      <alignment vertical="center" shrinkToFit="1"/>
    </xf>
    <xf numFmtId="193" fontId="99" fillId="0" borderId="10" xfId="1" applyNumberFormat="1" applyFont="1" applyFill="1" applyBorder="1" applyAlignment="1">
      <alignment vertical="center" shrinkToFit="1"/>
    </xf>
    <xf numFmtId="193" fontId="99" fillId="0" borderId="11" xfId="1" applyNumberFormat="1" applyFont="1" applyFill="1" applyBorder="1" applyAlignment="1">
      <alignment vertical="center" shrinkToFit="1"/>
    </xf>
    <xf numFmtId="0" fontId="99" fillId="0" borderId="5" xfId="0" applyFont="1" applyBorder="1" applyAlignment="1">
      <alignment horizontal="center" vertical="center" shrinkToFit="1"/>
    </xf>
    <xf numFmtId="0" fontId="102" fillId="0" borderId="7" xfId="0" applyFont="1" applyBorder="1" applyAlignment="1">
      <alignment horizontal="center" vertical="center"/>
    </xf>
    <xf numFmtId="1" fontId="102" fillId="0" borderId="20" xfId="0" applyNumberFormat="1" applyFont="1" applyBorder="1" applyAlignment="1">
      <alignment horizontal="center" vertical="center"/>
    </xf>
    <xf numFmtId="4" fontId="99" fillId="0" borderId="5" xfId="0" applyNumberFormat="1" applyFont="1" applyBorder="1" applyAlignment="1">
      <alignment horizontal="center" vertical="center" shrinkToFit="1"/>
    </xf>
    <xf numFmtId="193" fontId="99" fillId="0" borderId="5" xfId="1" applyNumberFormat="1" applyFont="1" applyFill="1" applyBorder="1" applyAlignment="1">
      <alignment vertical="center" shrinkToFit="1"/>
    </xf>
    <xf numFmtId="210" fontId="99" fillId="0" borderId="5" xfId="1" applyNumberFormat="1" applyFont="1" applyFill="1" applyBorder="1" applyAlignment="1">
      <alignment horizontal="right" vertical="center" wrapText="1"/>
    </xf>
    <xf numFmtId="1" fontId="101" fillId="0" borderId="5" xfId="0" applyNumberFormat="1" applyFont="1" applyBorder="1" applyAlignment="1">
      <alignment horizontal="left" vertical="center" indent="1"/>
    </xf>
    <xf numFmtId="1" fontId="102" fillId="0" borderId="11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shrinkToFit="1"/>
    </xf>
    <xf numFmtId="191" fontId="82" fillId="0" borderId="4" xfId="1" applyNumberFormat="1" applyFont="1" applyFill="1" applyBorder="1" applyAlignment="1">
      <alignment horizontal="right" vertical="center" wrapText="1"/>
    </xf>
    <xf numFmtId="197" fontId="44" fillId="0" borderId="4" xfId="1" applyNumberFormat="1" applyFont="1" applyFill="1" applyBorder="1" applyAlignment="1">
      <alignment horizontal="right" vertical="center"/>
    </xf>
    <xf numFmtId="197" fontId="82" fillId="0" borderId="4" xfId="1" applyNumberFormat="1" applyFont="1" applyFill="1" applyBorder="1" applyAlignment="1">
      <alignment horizontal="right" vertical="center" wrapText="1"/>
    </xf>
    <xf numFmtId="197" fontId="82" fillId="0" borderId="4" xfId="1" applyNumberFormat="1" applyFont="1" applyFill="1" applyBorder="1" applyAlignment="1">
      <alignment horizontal="right" vertical="center"/>
    </xf>
    <xf numFmtId="3" fontId="75" fillId="0" borderId="4" xfId="5" applyNumberFormat="1" applyFont="1" applyFill="1" applyBorder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1" fontId="95" fillId="0" borderId="3" xfId="1" applyNumberFormat="1" applyFont="1" applyFill="1" applyBorder="1" applyAlignment="1">
      <alignment vertical="center"/>
    </xf>
    <xf numFmtId="196" fontId="109" fillId="0" borderId="3" xfId="1" applyFont="1" applyFill="1" applyBorder="1" applyAlignment="1">
      <alignment horizontal="center" vertical="center" wrapText="1"/>
    </xf>
    <xf numFmtId="1" fontId="34" fillId="0" borderId="0" xfId="1" applyNumberFormat="1" applyFont="1" applyFill="1" applyBorder="1" applyAlignment="1">
      <alignment horizontal="center" vertical="center"/>
    </xf>
    <xf numFmtId="196" fontId="0" fillId="0" borderId="0" xfId="1" applyFont="1" applyFill="1"/>
    <xf numFmtId="196" fontId="0" fillId="0" borderId="0" xfId="1" applyFont="1" applyFill="1" applyAlignment="1"/>
    <xf numFmtId="191" fontId="7" fillId="0" borderId="0" xfId="0" applyNumberFormat="1" applyFont="1"/>
    <xf numFmtId="197" fontId="125" fillId="0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99" fontId="2" fillId="2" borderId="4" xfId="1" applyNumberFormat="1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82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3" fillId="0" borderId="0" xfId="0" applyFont="1" applyAlignment="1">
      <alignment horizontal="center"/>
    </xf>
    <xf numFmtId="199" fontId="29" fillId="0" borderId="0" xfId="1" applyNumberFormat="1" applyFont="1" applyFill="1" applyAlignment="1">
      <alignment horizontal="center"/>
    </xf>
    <xf numFmtId="1" fontId="11" fillId="0" borderId="10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91" fontId="147" fillId="0" borderId="0" xfId="1" applyNumberFormat="1" applyFont="1" applyFill="1" applyAlignment="1">
      <alignment horizontal="center"/>
    </xf>
    <xf numFmtId="191" fontId="147" fillId="0" borderId="0" xfId="1" applyNumberFormat="1" applyFont="1" applyFill="1" applyAlignment="1"/>
    <xf numFmtId="210" fontId="66" fillId="0" borderId="4" xfId="7" applyNumberFormat="1" applyFont="1" applyFill="1" applyBorder="1" applyAlignment="1">
      <alignment horizontal="center"/>
    </xf>
    <xf numFmtId="4" fontId="99" fillId="0" borderId="11" xfId="1" applyNumberFormat="1" applyFont="1" applyFill="1" applyBorder="1" applyAlignment="1">
      <alignment horizontal="right" vertical="center" shrinkToFit="1"/>
    </xf>
    <xf numFmtId="233" fontId="16" fillId="0" borderId="0" xfId="1" applyNumberFormat="1" applyFont="1" applyFill="1" applyAlignment="1">
      <alignment horizontal="center"/>
    </xf>
    <xf numFmtId="1" fontId="9" fillId="5" borderId="0" xfId="1" applyNumberFormat="1" applyFont="1" applyFill="1" applyAlignment="1">
      <alignment vertical="center"/>
    </xf>
    <xf numFmtId="191" fontId="99" fillId="0" borderId="7" xfId="1" applyNumberFormat="1" applyFont="1" applyFill="1" applyBorder="1" applyAlignment="1">
      <alignment vertical="center" shrinkToFit="1"/>
    </xf>
    <xf numFmtId="1" fontId="99" fillId="0" borderId="7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top" wrapText="1"/>
    </xf>
    <xf numFmtId="0" fontId="82" fillId="4" borderId="0" xfId="0" applyFont="1" applyFill="1"/>
    <xf numFmtId="0" fontId="26" fillId="4" borderId="0" xfId="0" applyFont="1" applyFill="1"/>
    <xf numFmtId="0" fontId="26" fillId="4" borderId="0" xfId="0" applyFont="1" applyFill="1" applyAlignment="1">
      <alignment horizontal="center"/>
    </xf>
    <xf numFmtId="43" fontId="26" fillId="4" borderId="0" xfId="0" applyNumberFormat="1" applyFont="1" applyFill="1"/>
    <xf numFmtId="0" fontId="26" fillId="4" borderId="4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 wrapText="1"/>
    </xf>
    <xf numFmtId="0" fontId="26" fillId="4" borderId="4" xfId="0" applyFont="1" applyFill="1" applyBorder="1" applyAlignment="1">
      <alignment vertical="center"/>
    </xf>
    <xf numFmtId="0" fontId="26" fillId="4" borderId="0" xfId="0" applyFont="1" applyFill="1" applyAlignment="1">
      <alignment horizontal="center" vertical="center" wrapText="1"/>
    </xf>
    <xf numFmtId="0" fontId="82" fillId="4" borderId="4" xfId="0" applyFont="1" applyFill="1" applyBorder="1" applyAlignment="1">
      <alignment horizontal="center" vertical="center" wrapText="1"/>
    </xf>
    <xf numFmtId="3" fontId="82" fillId="4" borderId="4" xfId="0" applyNumberFormat="1" applyFont="1" applyFill="1" applyBorder="1" applyAlignment="1">
      <alignment horizontal="center" vertical="center"/>
    </xf>
    <xf numFmtId="0" fontId="82" fillId="4" borderId="4" xfId="0" applyFont="1" applyFill="1" applyBorder="1" applyAlignment="1">
      <alignment horizontal="left" vertical="center"/>
    </xf>
    <xf numFmtId="216" fontId="82" fillId="4" borderId="4" xfId="5" applyNumberFormat="1" applyFont="1" applyFill="1" applyBorder="1" applyAlignment="1">
      <alignment horizontal="center" vertical="center"/>
    </xf>
    <xf numFmtId="234" fontId="82" fillId="4" borderId="4" xfId="0" applyNumberFormat="1" applyFont="1" applyFill="1" applyBorder="1" applyAlignment="1">
      <alignment horizontal="center" vertical="center"/>
    </xf>
    <xf numFmtId="218" fontId="82" fillId="4" borderId="0" xfId="0" applyNumberFormat="1" applyFont="1" applyFill="1" applyAlignment="1">
      <alignment horizontal="left" vertical="center"/>
    </xf>
    <xf numFmtId="3" fontId="82" fillId="4" borderId="0" xfId="0" applyNumberFormat="1" applyFont="1" applyFill="1" applyAlignment="1">
      <alignment horizontal="center" vertical="center"/>
    </xf>
    <xf numFmtId="0" fontId="75" fillId="4" borderId="0" xfId="0" applyFont="1" applyFill="1" applyAlignment="1">
      <alignment horizontal="center" vertical="center"/>
    </xf>
    <xf numFmtId="0" fontId="82" fillId="4" borderId="0" xfId="0" applyFont="1" applyFill="1" applyAlignment="1">
      <alignment horizontal="center" vertical="center"/>
    </xf>
    <xf numFmtId="216" fontId="26" fillId="4" borderId="4" xfId="5" applyNumberFormat="1" applyFont="1" applyFill="1" applyBorder="1" applyAlignment="1">
      <alignment horizontal="center" vertical="center"/>
    </xf>
    <xf numFmtId="2" fontId="26" fillId="4" borderId="0" xfId="0" applyNumberFormat="1" applyFont="1" applyFill="1" applyAlignment="1">
      <alignment horizontal="center" vertical="center"/>
    </xf>
    <xf numFmtId="204" fontId="26" fillId="4" borderId="0" xfId="0" applyNumberFormat="1" applyFont="1" applyFill="1" applyAlignment="1">
      <alignment horizontal="center" vertical="center"/>
    </xf>
    <xf numFmtId="3" fontId="26" fillId="4" borderId="0" xfId="0" applyNumberFormat="1" applyFont="1" applyFill="1" applyAlignment="1">
      <alignment horizontal="center" vertical="center"/>
    </xf>
    <xf numFmtId="0" fontId="82" fillId="4" borderId="0" xfId="0" applyFont="1" applyFill="1" applyAlignment="1">
      <alignment horizontal="center"/>
    </xf>
    <xf numFmtId="204" fontId="26" fillId="4" borderId="0" xfId="0" applyNumberFormat="1" applyFont="1" applyFill="1"/>
    <xf numFmtId="4" fontId="26" fillId="4" borderId="0" xfId="0" applyNumberFormat="1" applyFont="1" applyFill="1"/>
    <xf numFmtId="0" fontId="82" fillId="4" borderId="0" xfId="0" applyFont="1" applyFill="1" applyAlignment="1">
      <alignment shrinkToFit="1"/>
    </xf>
    <xf numFmtId="213" fontId="34" fillId="4" borderId="0" xfId="0" applyNumberFormat="1" applyFont="1" applyFill="1" applyAlignment="1">
      <alignment horizontal="center"/>
    </xf>
    <xf numFmtId="213" fontId="82" fillId="4" borderId="0" xfId="0" applyNumberFormat="1" applyFont="1" applyFill="1"/>
    <xf numFmtId="2" fontId="82" fillId="4" borderId="0" xfId="0" applyNumberFormat="1" applyFont="1" applyFill="1"/>
    <xf numFmtId="0" fontId="11" fillId="0" borderId="2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99" fontId="11" fillId="0" borderId="4" xfId="1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4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9" fillId="0" borderId="4" xfId="0" applyFont="1" applyBorder="1"/>
    <xf numFmtId="0" fontId="7" fillId="0" borderId="4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197" fontId="20" fillId="0" borderId="4" xfId="1" applyNumberFormat="1" applyFont="1" applyBorder="1" applyAlignment="1">
      <alignment horizontal="center"/>
    </xf>
    <xf numFmtId="0" fontId="21" fillId="0" borderId="4" xfId="0" applyFont="1" applyBorder="1" applyAlignment="1">
      <alignment horizontal="center" vertical="center"/>
    </xf>
    <xf numFmtId="197" fontId="103" fillId="2" borderId="4" xfId="0" applyNumberFormat="1" applyFont="1" applyFill="1" applyBorder="1" applyAlignment="1">
      <alignment horizontal="right" vertical="center" shrinkToFit="1"/>
    </xf>
    <xf numFmtId="197" fontId="149" fillId="0" borderId="4" xfId="0" applyNumberFormat="1" applyFont="1" applyBorder="1" applyAlignment="1">
      <alignment horizontal="center" vertical="center" wrapText="1"/>
    </xf>
    <xf numFmtId="0" fontId="109" fillId="4" borderId="0" xfId="27" applyFont="1" applyFill="1"/>
    <xf numFmtId="10" fontId="109" fillId="4" borderId="0" xfId="21" applyNumberFormat="1" applyFont="1" applyFill="1"/>
    <xf numFmtId="191" fontId="99" fillId="0" borderId="11" xfId="1" applyNumberFormat="1" applyFont="1" applyFill="1" applyBorder="1" applyAlignment="1">
      <alignment vertical="center" shrinkToFit="1"/>
    </xf>
    <xf numFmtId="1" fontId="7" fillId="0" borderId="7" xfId="1" applyNumberFormat="1" applyFont="1" applyFill="1" applyBorder="1" applyAlignment="1">
      <alignment horizontal="right" vertical="center" wrapText="1"/>
    </xf>
    <xf numFmtId="215" fontId="32" fillId="5" borderId="4" xfId="0" applyNumberFormat="1" applyFont="1" applyFill="1" applyBorder="1"/>
    <xf numFmtId="196" fontId="149" fillId="0" borderId="4" xfId="0" applyNumberFormat="1" applyFont="1" applyBorder="1" applyAlignment="1">
      <alignment horizontal="center" vertical="center" wrapText="1"/>
    </xf>
    <xf numFmtId="222" fontId="149" fillId="0" borderId="4" xfId="0" applyNumberFormat="1" applyFont="1" applyBorder="1" applyAlignment="1">
      <alignment horizontal="center" vertical="center" wrapText="1"/>
    </xf>
    <xf numFmtId="196" fontId="118" fillId="0" borderId="4" xfId="0" quotePrefix="1" applyNumberFormat="1" applyFont="1" applyBorder="1" applyAlignment="1">
      <alignment horizontal="center" vertical="center" wrapText="1"/>
    </xf>
    <xf numFmtId="10" fontId="149" fillId="0" borderId="4" xfId="21" applyNumberFormat="1" applyFont="1" applyFill="1" applyBorder="1" applyAlignment="1">
      <alignment vertical="center" wrapText="1"/>
    </xf>
    <xf numFmtId="0" fontId="107" fillId="0" borderId="0" xfId="0" applyFont="1" applyAlignment="1">
      <alignment horizontal="center" vertical="center"/>
    </xf>
    <xf numFmtId="0" fontId="107" fillId="0" borderId="15" xfId="0" applyFont="1" applyBorder="1" applyAlignment="1">
      <alignment horizontal="center" vertical="center"/>
    </xf>
    <xf numFmtId="213" fontId="0" fillId="0" borderId="0" xfId="0" applyNumberFormat="1"/>
    <xf numFmtId="1" fontId="11" fillId="5" borderId="4" xfId="0" applyNumberFormat="1" applyFont="1" applyFill="1" applyBorder="1" applyAlignment="1">
      <alignment horizontal="center" vertical="center"/>
    </xf>
    <xf numFmtId="200" fontId="11" fillId="5" borderId="10" xfId="0" applyNumberFormat="1" applyFont="1" applyFill="1" applyBorder="1" applyAlignment="1">
      <alignment horizontal="center" vertical="center" shrinkToFit="1"/>
    </xf>
    <xf numFmtId="1" fontId="99" fillId="0" borderId="7" xfId="1" applyNumberFormat="1" applyFont="1" applyFill="1" applyBorder="1" applyAlignment="1">
      <alignment horizontal="right" vertical="center" wrapText="1"/>
    </xf>
    <xf numFmtId="200" fontId="99" fillId="0" borderId="5" xfId="1" applyNumberFormat="1" applyFont="1" applyFill="1" applyBorder="1" applyAlignment="1">
      <alignment horizontal="center" vertical="center" shrinkToFit="1"/>
    </xf>
    <xf numFmtId="191" fontId="99" fillId="0" borderId="5" xfId="1" applyNumberFormat="1" applyFont="1" applyFill="1" applyBorder="1" applyAlignment="1">
      <alignment horizontal="center" vertical="center"/>
    </xf>
    <xf numFmtId="0" fontId="99" fillId="0" borderId="11" xfId="0" applyFont="1" applyBorder="1" applyAlignment="1">
      <alignment horizontal="left" vertical="center" shrinkToFit="1"/>
    </xf>
    <xf numFmtId="200" fontId="99" fillId="0" borderId="11" xfId="1" applyNumberFormat="1" applyFont="1" applyFill="1" applyBorder="1" applyAlignment="1">
      <alignment horizontal="center" vertical="center" shrinkToFit="1"/>
    </xf>
    <xf numFmtId="0" fontId="102" fillId="0" borderId="11" xfId="0" applyFont="1" applyBorder="1" applyAlignment="1">
      <alignment horizontal="center" vertical="center"/>
    </xf>
    <xf numFmtId="198" fontId="99" fillId="0" borderId="5" xfId="1" applyNumberFormat="1" applyFont="1" applyFill="1" applyBorder="1" applyAlignment="1">
      <alignment horizontal="right" vertical="center" shrinkToFit="1"/>
    </xf>
    <xf numFmtId="208" fontId="99" fillId="0" borderId="9" xfId="1" applyNumberFormat="1" applyFont="1" applyFill="1" applyBorder="1" applyAlignment="1">
      <alignment horizontal="right" vertical="center" wrapText="1"/>
    </xf>
    <xf numFmtId="191" fontId="12" fillId="0" borderId="0" xfId="0" applyNumberFormat="1" applyFont="1"/>
    <xf numFmtId="211" fontId="12" fillId="0" borderId="0" xfId="1" applyNumberFormat="1" applyFont="1" applyFill="1"/>
    <xf numFmtId="4" fontId="12" fillId="0" borderId="0" xfId="1" applyNumberFormat="1" applyFont="1" applyFill="1"/>
    <xf numFmtId="191" fontId="12" fillId="0" borderId="0" xfId="1" applyNumberFormat="1" applyFont="1" applyFill="1"/>
    <xf numFmtId="197" fontId="95" fillId="0" borderId="4" xfId="1" applyNumberFormat="1" applyFont="1" applyFill="1" applyBorder="1" applyAlignment="1">
      <alignment horizontal="center" vertical="center"/>
    </xf>
    <xf numFmtId="4" fontId="9" fillId="0" borderId="0" xfId="1" applyNumberFormat="1" applyFont="1" applyFill="1" applyBorder="1" applyAlignment="1"/>
    <xf numFmtId="191" fontId="9" fillId="0" borderId="0" xfId="1" applyNumberFormat="1" applyFont="1" applyFill="1" applyBorder="1" applyAlignment="1">
      <alignment horizontal="center"/>
    </xf>
    <xf numFmtId="191" fontId="9" fillId="0" borderId="0" xfId="1" applyNumberFormat="1" applyFont="1" applyFill="1" applyBorder="1" applyAlignment="1"/>
    <xf numFmtId="191" fontId="9" fillId="0" borderId="0" xfId="1" applyNumberFormat="1" applyFont="1" applyFill="1" applyBorder="1"/>
    <xf numFmtId="191" fontId="26" fillId="0" borderId="4" xfId="1" applyNumberFormat="1" applyFont="1" applyFill="1" applyBorder="1" applyAlignment="1">
      <alignment vertical="center" wrapText="1"/>
    </xf>
    <xf numFmtId="192" fontId="26" fillId="0" borderId="4" xfId="5" applyNumberFormat="1" applyFont="1" applyFill="1" applyBorder="1" applyAlignment="1">
      <alignment horizontal="center" vertical="center" wrapText="1"/>
    </xf>
    <xf numFmtId="3" fontId="26" fillId="0" borderId="4" xfId="5" applyNumberFormat="1" applyFont="1" applyFill="1" applyBorder="1" applyAlignment="1">
      <alignment horizontal="center" vertical="top" wrapText="1"/>
    </xf>
    <xf numFmtId="191" fontId="26" fillId="0" borderId="4" xfId="1" applyNumberFormat="1" applyFont="1" applyFill="1" applyBorder="1" applyAlignment="1">
      <alignment horizontal="right" vertical="center"/>
    </xf>
    <xf numFmtId="192" fontId="82" fillId="0" borderId="4" xfId="5" applyNumberFormat="1" applyFont="1" applyFill="1" applyBorder="1" applyAlignment="1">
      <alignment vertical="center"/>
    </xf>
    <xf numFmtId="191" fontId="82" fillId="0" borderId="4" xfId="1" applyNumberFormat="1" applyFont="1" applyFill="1" applyBorder="1" applyAlignment="1">
      <alignment horizontal="center" vertical="center" shrinkToFit="1"/>
    </xf>
    <xf numFmtId="197" fontId="82" fillId="0" borderId="4" xfId="1" applyNumberFormat="1" applyFont="1" applyFill="1" applyBorder="1" applyAlignment="1">
      <alignment vertical="center" shrinkToFit="1"/>
    </xf>
    <xf numFmtId="191" fontId="82" fillId="0" borderId="4" xfId="1" applyNumberFormat="1" applyFont="1" applyFill="1" applyBorder="1" applyAlignment="1">
      <alignment horizontal="right" vertical="center" shrinkToFit="1"/>
    </xf>
    <xf numFmtId="191" fontId="82" fillId="0" borderId="4" xfId="0" applyNumberFormat="1" applyFont="1" applyBorder="1" applyAlignment="1">
      <alignment horizontal="left" vertical="center"/>
    </xf>
    <xf numFmtId="191" fontId="82" fillId="0" borderId="4" xfId="0" applyNumberFormat="1" applyFont="1" applyBorder="1" applyAlignment="1">
      <alignment horizontal="right" vertical="center"/>
    </xf>
    <xf numFmtId="191" fontId="7" fillId="0" borderId="0" xfId="0" applyNumberFormat="1" applyFont="1" applyAlignment="1">
      <alignment vertical="center"/>
    </xf>
    <xf numFmtId="191" fontId="82" fillId="0" borderId="4" xfId="1" applyNumberFormat="1" applyFont="1" applyFill="1" applyBorder="1" applyAlignment="1">
      <alignment horizontal="left" vertical="center"/>
    </xf>
    <xf numFmtId="211" fontId="26" fillId="0" borderId="4" xfId="1" applyNumberFormat="1" applyFont="1" applyFill="1" applyBorder="1" applyAlignment="1">
      <alignment horizontal="right" vertical="center"/>
    </xf>
    <xf numFmtId="191" fontId="82" fillId="0" borderId="4" xfId="0" applyNumberFormat="1" applyFont="1" applyBorder="1" applyAlignment="1">
      <alignment vertical="center"/>
    </xf>
    <xf numFmtId="211" fontId="11" fillId="0" borderId="0" xfId="1" applyNumberFormat="1" applyFont="1" applyFill="1" applyBorder="1" applyAlignment="1">
      <alignment horizontal="right"/>
    </xf>
    <xf numFmtId="191" fontId="11" fillId="0" borderId="0" xfId="1" applyNumberFormat="1" applyFont="1" applyFill="1" applyBorder="1" applyAlignment="1">
      <alignment horizontal="right"/>
    </xf>
    <xf numFmtId="4" fontId="11" fillId="0" borderId="0" xfId="1" applyNumberFormat="1" applyFont="1" applyFill="1" applyBorder="1" applyAlignment="1">
      <alignment horizontal="right"/>
    </xf>
    <xf numFmtId="191" fontId="11" fillId="0" borderId="0" xfId="1" applyNumberFormat="1" applyFont="1" applyFill="1" applyBorder="1" applyAlignment="1">
      <alignment horizontal="center"/>
    </xf>
    <xf numFmtId="214" fontId="12" fillId="0" borderId="0" xfId="1" applyNumberFormat="1" applyFont="1" applyFill="1" applyAlignment="1"/>
    <xf numFmtId="211" fontId="12" fillId="0" borderId="0" xfId="1" applyNumberFormat="1" applyFont="1" applyFill="1" applyAlignment="1"/>
    <xf numFmtId="191" fontId="26" fillId="0" borderId="0" xfId="0" applyNumberFormat="1" applyFont="1"/>
    <xf numFmtId="3" fontId="9" fillId="0" borderId="0" xfId="1" applyNumberFormat="1" applyFont="1" applyFill="1" applyAlignment="1"/>
    <xf numFmtId="3" fontId="12" fillId="0" borderId="0" xfId="1" applyNumberFormat="1" applyFont="1" applyFill="1" applyAlignment="1"/>
    <xf numFmtId="231" fontId="32" fillId="0" borderId="4" xfId="0" applyNumberFormat="1" applyFont="1" applyBorder="1"/>
    <xf numFmtId="206" fontId="7" fillId="0" borderId="4" xfId="1" applyNumberFormat="1" applyFont="1" applyFill="1" applyBorder="1" applyAlignment="1">
      <alignment horizontal="center" vertical="center"/>
    </xf>
    <xf numFmtId="197" fontId="7" fillId="0" borderId="4" xfId="1" applyNumberFormat="1" applyFont="1" applyFill="1" applyBorder="1" applyAlignment="1">
      <alignment horizontal="right" vertical="center"/>
    </xf>
    <xf numFmtId="197" fontId="7" fillId="0" borderId="4" xfId="1" applyNumberFormat="1" applyFont="1" applyFill="1" applyBorder="1" applyAlignment="1">
      <alignment horizontal="right" vertical="center" shrinkToFit="1"/>
    </xf>
    <xf numFmtId="204" fontId="11" fillId="0" borderId="0" xfId="1" applyNumberFormat="1" applyFont="1" applyFill="1" applyBorder="1" applyAlignment="1">
      <alignment horizontal="center" vertical="center"/>
    </xf>
    <xf numFmtId="206" fontId="11" fillId="0" borderId="0" xfId="1" applyNumberFormat="1" applyFont="1" applyFill="1" applyBorder="1" applyAlignment="1">
      <alignment horizontal="center" vertical="center"/>
    </xf>
    <xf numFmtId="197" fontId="99" fillId="0" borderId="0" xfId="1" applyNumberFormat="1" applyFont="1" applyFill="1" applyAlignment="1">
      <alignment vertical="center"/>
    </xf>
    <xf numFmtId="197" fontId="7" fillId="0" borderId="0" xfId="1" applyNumberFormat="1" applyFont="1" applyFill="1" applyAlignment="1">
      <alignment vertical="center"/>
    </xf>
    <xf numFmtId="0" fontId="7" fillId="0" borderId="4" xfId="0" applyFont="1" applyBorder="1" applyAlignment="1">
      <alignment vertical="center"/>
    </xf>
    <xf numFmtId="197" fontId="63" fillId="0" borderId="0" xfId="1" applyNumberFormat="1" applyFont="1"/>
    <xf numFmtId="1" fontId="134" fillId="0" borderId="0" xfId="1" applyNumberFormat="1" applyFont="1" applyFill="1" applyBorder="1" applyAlignment="1">
      <alignment horizontal="center" vertical="center"/>
    </xf>
    <xf numFmtId="1" fontId="82" fillId="0" borderId="0" xfId="1" applyNumberFormat="1" applyFont="1" applyFill="1" applyAlignment="1">
      <alignment horizontal="center" vertical="center"/>
    </xf>
    <xf numFmtId="1" fontId="115" fillId="0" borderId="14" xfId="1" applyNumberFormat="1" applyFont="1" applyFill="1" applyBorder="1" applyAlignment="1">
      <alignment vertical="center"/>
    </xf>
    <xf numFmtId="1" fontId="115" fillId="0" borderId="22" xfId="1" applyNumberFormat="1" applyFont="1" applyFill="1" applyBorder="1" applyAlignment="1">
      <alignment vertical="center"/>
    </xf>
    <xf numFmtId="198" fontId="11" fillId="0" borderId="4" xfId="1" applyNumberFormat="1" applyFont="1" applyFill="1" applyBorder="1" applyAlignment="1">
      <alignment vertical="center" wrapText="1"/>
    </xf>
    <xf numFmtId="0" fontId="9" fillId="5" borderId="0" xfId="0" applyFont="1" applyFill="1"/>
    <xf numFmtId="0" fontId="7" fillId="0" borderId="4" xfId="0" applyFont="1" applyBorder="1" applyAlignment="1">
      <alignment horizontal="center" vertical="center"/>
    </xf>
    <xf numFmtId="0" fontId="82" fillId="0" borderId="0" xfId="0" applyFont="1" applyAlignment="1">
      <alignment horizontal="left"/>
    </xf>
    <xf numFmtId="1" fontId="157" fillId="0" borderId="0" xfId="1" applyNumberFormat="1" applyFont="1" applyFill="1" applyBorder="1" applyAlignment="1">
      <alignment horizontal="center" vertical="center"/>
    </xf>
    <xf numFmtId="1" fontId="157" fillId="0" borderId="0" xfId="1" applyNumberFormat="1" applyFont="1" applyFill="1" applyBorder="1" applyAlignment="1">
      <alignment vertical="center"/>
    </xf>
    <xf numFmtId="1" fontId="128" fillId="0" borderId="4" xfId="1" applyNumberFormat="1" applyFont="1" applyFill="1" applyBorder="1" applyAlignment="1">
      <alignment horizontal="center" vertical="center"/>
    </xf>
    <xf numFmtId="1" fontId="158" fillId="0" borderId="4" xfId="1" applyNumberFormat="1" applyFont="1" applyFill="1" applyBorder="1" applyAlignment="1">
      <alignment vertical="center"/>
    </xf>
    <xf numFmtId="1" fontId="158" fillId="0" borderId="4" xfId="1" applyNumberFormat="1" applyFont="1" applyFill="1" applyBorder="1" applyAlignment="1">
      <alignment horizontal="right" vertical="center"/>
    </xf>
    <xf numFmtId="1" fontId="158" fillId="0" borderId="4" xfId="1" applyNumberFormat="1" applyFont="1" applyFill="1" applyBorder="1" applyAlignment="1">
      <alignment horizontal="center" vertical="center"/>
    </xf>
    <xf numFmtId="1" fontId="159" fillId="0" borderId="4" xfId="1" applyNumberFormat="1" applyFont="1" applyFill="1" applyBorder="1" applyAlignment="1">
      <alignment horizontal="center" vertical="center"/>
    </xf>
    <xf numFmtId="1" fontId="133" fillId="0" borderId="4" xfId="1" applyNumberFormat="1" applyFont="1" applyFill="1" applyBorder="1" applyAlignment="1">
      <alignment horizontal="center" vertical="center"/>
    </xf>
    <xf numFmtId="1" fontId="159" fillId="0" borderId="4" xfId="1" applyNumberFormat="1" applyFont="1" applyFill="1" applyBorder="1" applyAlignment="1">
      <alignment horizontal="right" vertical="center"/>
    </xf>
    <xf numFmtId="1" fontId="133" fillId="0" borderId="4" xfId="1" applyNumberFormat="1" applyFont="1" applyFill="1" applyBorder="1" applyAlignment="1">
      <alignment horizontal="right" vertical="center" wrapText="1"/>
    </xf>
    <xf numFmtId="2" fontId="133" fillId="0" borderId="4" xfId="1" applyNumberFormat="1" applyFont="1" applyFill="1" applyBorder="1" applyAlignment="1">
      <alignment horizontal="right" vertical="center" wrapText="1"/>
    </xf>
    <xf numFmtId="213" fontId="133" fillId="0" borderId="4" xfId="1" applyNumberFormat="1" applyFont="1" applyFill="1" applyBorder="1" applyAlignment="1">
      <alignment horizontal="right" vertical="center" wrapText="1"/>
    </xf>
    <xf numFmtId="1" fontId="128" fillId="0" borderId="4" xfId="1" applyNumberFormat="1" applyFont="1" applyFill="1" applyBorder="1" applyAlignment="1">
      <alignment horizontal="center" vertical="center" wrapText="1"/>
    </xf>
    <xf numFmtId="1" fontId="133" fillId="0" borderId="4" xfId="1" applyNumberFormat="1" applyFont="1" applyFill="1" applyBorder="1" applyAlignment="1">
      <alignment horizontal="right" vertical="center"/>
    </xf>
    <xf numFmtId="1" fontId="133" fillId="0" borderId="4" xfId="1" applyNumberFormat="1" applyFont="1" applyFill="1" applyBorder="1" applyAlignment="1">
      <alignment vertical="center"/>
    </xf>
    <xf numFmtId="196" fontId="128" fillId="0" borderId="4" xfId="1" applyFont="1" applyFill="1" applyBorder="1" applyAlignment="1">
      <alignment horizontal="center" vertical="center"/>
    </xf>
    <xf numFmtId="196" fontId="128" fillId="0" borderId="4" xfId="1" applyFont="1" applyFill="1" applyBorder="1" applyAlignment="1">
      <alignment horizontal="right" vertical="center"/>
    </xf>
    <xf numFmtId="197" fontId="128" fillId="0" borderId="4" xfId="1" applyNumberFormat="1" applyFont="1" applyFill="1" applyBorder="1" applyAlignment="1">
      <alignment vertical="center"/>
    </xf>
    <xf numFmtId="197" fontId="128" fillId="0" borderId="4" xfId="1" applyNumberFormat="1" applyFont="1" applyFill="1" applyBorder="1" applyAlignment="1">
      <alignment horizontal="center" vertical="center"/>
    </xf>
    <xf numFmtId="1" fontId="128" fillId="0" borderId="4" xfId="1" applyNumberFormat="1" applyFont="1" applyFill="1" applyBorder="1" applyAlignment="1">
      <alignment vertical="center"/>
    </xf>
    <xf numFmtId="197" fontId="101" fillId="0" borderId="4" xfId="1" applyNumberFormat="1" applyFont="1" applyFill="1" applyBorder="1" applyAlignment="1">
      <alignment horizontal="right"/>
    </xf>
    <xf numFmtId="0" fontId="11" fillId="5" borderId="4" xfId="0" applyFont="1" applyFill="1" applyBorder="1" applyAlignment="1">
      <alignment horizontal="center" vertical="center"/>
    </xf>
    <xf numFmtId="213" fontId="54" fillId="5" borderId="1" xfId="0" applyNumberFormat="1" applyFont="1" applyFill="1" applyBorder="1"/>
    <xf numFmtId="213" fontId="3" fillId="5" borderId="0" xfId="0" applyNumberFormat="1" applyFont="1" applyFill="1"/>
    <xf numFmtId="213" fontId="9" fillId="5" borderId="0" xfId="0" applyNumberFormat="1" applyFont="1" applyFill="1"/>
    <xf numFmtId="0" fontId="9" fillId="5" borderId="1" xfId="0" applyFont="1" applyFill="1" applyBorder="1"/>
    <xf numFmtId="0" fontId="7" fillId="5" borderId="10" xfId="0" applyFont="1" applyFill="1" applyBorder="1" applyAlignment="1">
      <alignment horizontal="center" vertical="center" shrinkToFit="1"/>
    </xf>
    <xf numFmtId="191" fontId="39" fillId="5" borderId="5" xfId="1" applyNumberFormat="1" applyFont="1" applyFill="1" applyBorder="1" applyAlignment="1">
      <alignment horizontal="center" vertical="center"/>
    </xf>
    <xf numFmtId="192" fontId="9" fillId="5" borderId="6" xfId="0" applyNumberFormat="1" applyFont="1" applyFill="1" applyBorder="1"/>
    <xf numFmtId="213" fontId="9" fillId="5" borderId="6" xfId="0" applyNumberFormat="1" applyFont="1" applyFill="1" applyBorder="1"/>
    <xf numFmtId="0" fontId="12" fillId="5" borderId="5" xfId="0" applyFont="1" applyFill="1" applyBorder="1" applyAlignment="1">
      <alignment horizontal="left" vertical="center" wrapText="1" indent="1"/>
    </xf>
    <xf numFmtId="1" fontId="12" fillId="5" borderId="5" xfId="0" applyNumberFormat="1" applyFont="1" applyFill="1" applyBorder="1" applyAlignment="1">
      <alignment horizontal="left" vertical="center" indent="1"/>
    </xf>
    <xf numFmtId="3" fontId="12" fillId="5" borderId="5" xfId="0" applyNumberFormat="1" applyFont="1" applyFill="1" applyBorder="1" applyAlignment="1">
      <alignment horizontal="left" vertical="center" indent="1"/>
    </xf>
    <xf numFmtId="191" fontId="95" fillId="0" borderId="0" xfId="1" applyNumberFormat="1" applyFont="1" applyFill="1" applyAlignment="1"/>
    <xf numFmtId="197" fontId="26" fillId="0" borderId="4" xfId="1" applyNumberFormat="1" applyFont="1" applyFill="1" applyBorder="1" applyAlignment="1">
      <alignment horizontal="center" vertical="center" wrapText="1"/>
    </xf>
    <xf numFmtId="191" fontId="26" fillId="0" borderId="4" xfId="1" applyNumberFormat="1" applyFont="1" applyFill="1" applyBorder="1" applyAlignment="1">
      <alignment horizontal="right" vertical="center" shrinkToFit="1"/>
    </xf>
    <xf numFmtId="191" fontId="82" fillId="0" borderId="4" xfId="0" quotePrefix="1" applyNumberFormat="1" applyFont="1" applyBorder="1" applyAlignment="1">
      <alignment horizontal="left" vertical="center"/>
    </xf>
    <xf numFmtId="198" fontId="82" fillId="0" borderId="4" xfId="1" applyNumberFormat="1" applyFont="1" applyFill="1" applyBorder="1" applyAlignment="1">
      <alignment vertical="center" shrinkToFit="1"/>
    </xf>
    <xf numFmtId="191" fontId="82" fillId="0" borderId="4" xfId="1" applyNumberFormat="1" applyFont="1" applyFill="1" applyBorder="1" applyAlignment="1">
      <alignment vertical="center" shrinkToFit="1"/>
    </xf>
    <xf numFmtId="206" fontId="82" fillId="0" borderId="4" xfId="6" applyNumberFormat="1" applyFont="1" applyFill="1" applyBorder="1" applyAlignment="1">
      <alignment horizontal="left" vertical="center" wrapText="1"/>
    </xf>
    <xf numFmtId="0" fontId="26" fillId="0" borderId="4" xfId="0" applyFont="1" applyBorder="1" applyAlignment="1">
      <alignment horizontal="right"/>
    </xf>
    <xf numFmtId="197" fontId="26" fillId="0" borderId="4" xfId="0" applyNumberFormat="1" applyFont="1" applyBorder="1" applyAlignment="1">
      <alignment horizontal="right" vertical="center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right"/>
    </xf>
    <xf numFmtId="198" fontId="26" fillId="0" borderId="0" xfId="0" applyNumberFormat="1" applyFont="1" applyAlignment="1">
      <alignment horizontal="left"/>
    </xf>
    <xf numFmtId="198" fontId="26" fillId="0" borderId="0" xfId="0" applyNumberFormat="1" applyFont="1"/>
    <xf numFmtId="0" fontId="82" fillId="0" borderId="0" xfId="0" applyFont="1" applyAlignment="1">
      <alignment horizontal="right"/>
    </xf>
    <xf numFmtId="213" fontId="82" fillId="0" borderId="0" xfId="0" applyNumberFormat="1" applyFont="1"/>
    <xf numFmtId="191" fontId="82" fillId="0" borderId="0" xfId="0" applyNumberFormat="1" applyFont="1"/>
    <xf numFmtId="192" fontId="82" fillId="0" borderId="0" xfId="0" applyNumberFormat="1" applyFont="1"/>
    <xf numFmtId="197" fontId="82" fillId="0" borderId="0" xfId="1" applyNumberFormat="1" applyFont="1" applyFill="1" applyAlignment="1">
      <alignment horizontal="center"/>
    </xf>
    <xf numFmtId="197" fontId="82" fillId="0" borderId="0" xfId="1" applyNumberFormat="1" applyFont="1" applyFill="1" applyAlignment="1"/>
    <xf numFmtId="0" fontId="67" fillId="0" borderId="4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67" fillId="0" borderId="10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211" fontId="36" fillId="0" borderId="4" xfId="7" applyNumberFormat="1" applyFont="1" applyFill="1" applyBorder="1" applyAlignment="1">
      <alignment horizontal="center"/>
    </xf>
    <xf numFmtId="210" fontId="40" fillId="5" borderId="4" xfId="7" applyNumberFormat="1" applyFont="1" applyFill="1" applyBorder="1" applyAlignment="1">
      <alignment horizontal="center"/>
    </xf>
    <xf numFmtId="211" fontId="70" fillId="5" borderId="4" xfId="0" applyNumberFormat="1" applyFont="1" applyFill="1" applyBorder="1"/>
    <xf numFmtId="210" fontId="66" fillId="5" borderId="4" xfId="7" applyNumberFormat="1" applyFont="1" applyFill="1" applyBorder="1" applyAlignment="1">
      <alignment horizontal="center"/>
    </xf>
    <xf numFmtId="210" fontId="60" fillId="5" borderId="4" xfId="7" applyNumberFormat="1" applyFont="1" applyFill="1" applyBorder="1" applyAlignment="1">
      <alignment horizontal="center"/>
    </xf>
    <xf numFmtId="211" fontId="144" fillId="5" borderId="4" xfId="0" applyNumberFormat="1" applyFont="1" applyFill="1" applyBorder="1"/>
    <xf numFmtId="1" fontId="11" fillId="0" borderId="11" xfId="0" applyNumberFormat="1" applyFont="1" applyBorder="1" applyAlignment="1">
      <alignment horizontal="center" vertical="center"/>
    </xf>
    <xf numFmtId="2" fontId="158" fillId="0" borderId="4" xfId="1" applyNumberFormat="1" applyFont="1" applyFill="1" applyBorder="1" applyAlignment="1">
      <alignment horizontal="right" vertical="center"/>
    </xf>
    <xf numFmtId="0" fontId="82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92" fontId="8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97" fontId="26" fillId="0" borderId="0" xfId="1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97" fontId="9" fillId="0" borderId="0" xfId="1" applyNumberFormat="1" applyFont="1" applyFill="1" applyAlignment="1">
      <alignment horizontal="center"/>
    </xf>
    <xf numFmtId="213" fontId="9" fillId="0" borderId="0" xfId="0" applyNumberFormat="1" applyFont="1" applyAlignment="1">
      <alignment horizontal="center"/>
    </xf>
    <xf numFmtId="9" fontId="95" fillId="0" borderId="4" xfId="21" applyFont="1" applyFill="1" applyBorder="1" applyAlignment="1">
      <alignment horizontal="center"/>
    </xf>
    <xf numFmtId="4" fontId="11" fillId="0" borderId="4" xfId="21" applyNumberFormat="1" applyFont="1" applyFill="1" applyBorder="1" applyAlignment="1">
      <alignment horizontal="center"/>
    </xf>
    <xf numFmtId="0" fontId="83" fillId="4" borderId="0" xfId="0" applyFont="1" applyFill="1"/>
    <xf numFmtId="0" fontId="83" fillId="4" borderId="0" xfId="0" applyFont="1" applyFill="1" applyAlignment="1">
      <alignment horizontal="center"/>
    </xf>
    <xf numFmtId="198" fontId="26" fillId="4" borderId="0" xfId="1" applyNumberFormat="1" applyFont="1" applyFill="1" applyBorder="1" applyAlignment="1">
      <alignment horizontal="center" vertical="center"/>
    </xf>
    <xf numFmtId="198" fontId="29" fillId="4" borderId="0" xfId="1" applyNumberFormat="1" applyFont="1" applyFill="1" applyBorder="1" applyAlignment="1">
      <alignment vertical="center"/>
    </xf>
    <xf numFmtId="0" fontId="26" fillId="4" borderId="0" xfId="0" applyFont="1" applyFill="1" applyAlignment="1">
      <alignment horizontal="center" vertical="center"/>
    </xf>
    <xf numFmtId="0" fontId="26" fillId="4" borderId="3" xfId="0" applyFont="1" applyFill="1" applyBorder="1" applyAlignment="1">
      <alignment horizontal="center"/>
    </xf>
    <xf numFmtId="199" fontId="82" fillId="4" borderId="0" xfId="1" applyNumberFormat="1" applyFont="1" applyFill="1"/>
    <xf numFmtId="198" fontId="82" fillId="4" borderId="0" xfId="0" applyNumberFormat="1" applyFont="1" applyFill="1"/>
    <xf numFmtId="199" fontId="83" fillId="4" borderId="0" xfId="1" applyNumberFormat="1" applyFont="1" applyFill="1"/>
    <xf numFmtId="198" fontId="83" fillId="4" borderId="0" xfId="0" applyNumberFormat="1" applyFont="1" applyFill="1"/>
    <xf numFmtId="0" fontId="94" fillId="4" borderId="0" xfId="0" applyFont="1" applyFill="1" applyAlignment="1">
      <alignment horizontal="center"/>
    </xf>
    <xf numFmtId="0" fontId="94" fillId="4" borderId="0" xfId="0" applyFont="1" applyFill="1"/>
    <xf numFmtId="3" fontId="109" fillId="0" borderId="0" xfId="1" applyNumberFormat="1" applyFont="1" applyFill="1" applyAlignment="1">
      <alignment horizontal="center"/>
    </xf>
    <xf numFmtId="191" fontId="26" fillId="0" borderId="0" xfId="1" applyNumberFormat="1" applyFont="1" applyFill="1" applyAlignment="1">
      <alignment horizontal="center"/>
    </xf>
    <xf numFmtId="4" fontId="12" fillId="0" borderId="0" xfId="1" applyNumberFormat="1" applyFont="1" applyFill="1" applyAlignment="1">
      <alignment horizontal="center"/>
    </xf>
    <xf numFmtId="3" fontId="12" fillId="0" borderId="0" xfId="1" applyNumberFormat="1" applyFont="1" applyFill="1" applyAlignment="1">
      <alignment horizontal="center"/>
    </xf>
    <xf numFmtId="191" fontId="12" fillId="0" borderId="0" xfId="1" applyNumberFormat="1" applyFont="1" applyFill="1" applyAlignment="1">
      <alignment horizontal="center"/>
    </xf>
    <xf numFmtId="197" fontId="10" fillId="0" borderId="4" xfId="1" applyNumberFormat="1" applyFont="1" applyFill="1" applyBorder="1" applyAlignment="1">
      <alignment horizontal="right" vertical="center"/>
    </xf>
    <xf numFmtId="197" fontId="12" fillId="0" borderId="0" xfId="1" applyNumberFormat="1" applyFont="1" applyFill="1" applyAlignment="1">
      <alignment horizontal="right"/>
    </xf>
    <xf numFmtId="0" fontId="40" fillId="0" borderId="4" xfId="18" applyFont="1" applyBorder="1" applyAlignment="1">
      <alignment horizontal="center" vertical="center"/>
    </xf>
    <xf numFmtId="0" fontId="40" fillId="0" borderId="4" xfId="18" applyFont="1" applyBorder="1" applyAlignment="1">
      <alignment horizontal="left" vertical="center"/>
    </xf>
    <xf numFmtId="4" fontId="12" fillId="0" borderId="4" xfId="1" applyNumberFormat="1" applyFont="1" applyFill="1" applyBorder="1" applyAlignment="1">
      <alignment horizontal="center"/>
    </xf>
    <xf numFmtId="213" fontId="11" fillId="0" borderId="0" xfId="1" applyNumberFormat="1" applyFont="1" applyFill="1" applyBorder="1" applyAlignment="1">
      <alignment horizontal="right" vertical="center" shrinkToFit="1"/>
    </xf>
    <xf numFmtId="192" fontId="12" fillId="0" borderId="0" xfId="1" applyNumberFormat="1" applyFont="1" applyFill="1"/>
    <xf numFmtId="0" fontId="36" fillId="0" borderId="4" xfId="18" applyFont="1" applyBorder="1" applyAlignment="1">
      <alignment horizontal="center" vertical="center"/>
    </xf>
    <xf numFmtId="3" fontId="12" fillId="0" borderId="4" xfId="1" applyNumberFormat="1" applyFont="1" applyFill="1" applyBorder="1" applyAlignment="1">
      <alignment horizontal="center"/>
    </xf>
    <xf numFmtId="213" fontId="12" fillId="0" borderId="0" xfId="0" applyNumberFormat="1" applyFont="1"/>
    <xf numFmtId="0" fontId="12" fillId="0" borderId="4" xfId="18" applyFont="1" applyBorder="1" applyAlignment="1">
      <alignment horizontal="left" vertical="center"/>
    </xf>
    <xf numFmtId="3" fontId="12" fillId="0" borderId="4" xfId="0" applyNumberFormat="1" applyFont="1" applyBorder="1" applyAlignment="1">
      <alignment horizontal="center"/>
    </xf>
    <xf numFmtId="215" fontId="12" fillId="0" borderId="0" xfId="0" applyNumberFormat="1" applyFont="1"/>
    <xf numFmtId="217" fontId="12" fillId="0" borderId="0" xfId="1" applyNumberFormat="1" applyFont="1" applyFill="1"/>
    <xf numFmtId="215" fontId="12" fillId="0" borderId="4" xfId="0" applyNumberFormat="1" applyFont="1" applyBorder="1" applyAlignment="1">
      <alignment horizontal="center"/>
    </xf>
    <xf numFmtId="197" fontId="12" fillId="0" borderId="4" xfId="1" applyNumberFormat="1" applyFont="1" applyFill="1" applyBorder="1" applyAlignment="1"/>
    <xf numFmtId="220" fontId="12" fillId="0" borderId="4" xfId="1" applyNumberFormat="1" applyFont="1" applyFill="1" applyBorder="1" applyAlignment="1">
      <alignment horizontal="right"/>
    </xf>
    <xf numFmtId="196" fontId="12" fillId="0" borderId="4" xfId="1" applyFont="1" applyFill="1" applyBorder="1" applyAlignment="1"/>
    <xf numFmtId="4" fontId="12" fillId="0" borderId="0" xfId="0" applyNumberFormat="1" applyFont="1"/>
    <xf numFmtId="3" fontId="10" fillId="0" borderId="0" xfId="0" applyNumberFormat="1" applyFont="1"/>
    <xf numFmtId="0" fontId="10" fillId="0" borderId="4" xfId="18" applyFont="1" applyBorder="1" applyAlignment="1">
      <alignment horizontal="center" vertical="center"/>
    </xf>
    <xf numFmtId="0" fontId="10" fillId="0" borderId="4" xfId="18" applyFont="1" applyBorder="1" applyAlignment="1">
      <alignment horizontal="left" vertical="center"/>
    </xf>
    <xf numFmtId="197" fontId="144" fillId="0" borderId="4" xfId="1" applyNumberFormat="1" applyFont="1" applyFill="1" applyBorder="1" applyAlignment="1">
      <alignment horizontal="right"/>
    </xf>
    <xf numFmtId="3" fontId="10" fillId="0" borderId="0" xfId="0" applyNumberFormat="1" applyFont="1" applyAlignment="1">
      <alignment horizontal="center"/>
    </xf>
    <xf numFmtId="192" fontId="12" fillId="0" borderId="0" xfId="1" applyNumberFormat="1" applyFont="1" applyFill="1" applyAlignment="1">
      <alignment horizontal="right"/>
    </xf>
    <xf numFmtId="0" fontId="90" fillId="0" borderId="0" xfId="16" applyFont="1" applyAlignment="1">
      <alignment horizontal="center"/>
    </xf>
    <xf numFmtId="197" fontId="38" fillId="0" borderId="0" xfId="1" applyNumberFormat="1" applyFont="1" applyFill="1" applyAlignment="1">
      <alignment horizontal="center"/>
    </xf>
    <xf numFmtId="197" fontId="38" fillId="0" borderId="0" xfId="1" applyNumberFormat="1" applyFont="1" applyFill="1" applyAlignment="1">
      <alignment horizontal="right"/>
    </xf>
    <xf numFmtId="197" fontId="38" fillId="0" borderId="0" xfId="1" applyNumberFormat="1" applyFont="1" applyFill="1"/>
    <xf numFmtId="228" fontId="38" fillId="0" borderId="0" xfId="0" applyNumberFormat="1" applyFont="1"/>
    <xf numFmtId="235" fontId="12" fillId="0" borderId="0" xfId="1" applyNumberFormat="1" applyFont="1" applyFill="1" applyAlignment="1"/>
    <xf numFmtId="198" fontId="26" fillId="0" borderId="0" xfId="1" applyNumberFormat="1" applyFont="1" applyFill="1" applyBorder="1" applyAlignment="1">
      <alignment horizontal="center" vertical="center"/>
    </xf>
    <xf numFmtId="1" fontId="117" fillId="0" borderId="4" xfId="1" applyNumberFormat="1" applyFont="1" applyFill="1" applyBorder="1" applyAlignment="1">
      <alignment horizontal="center" vertical="center"/>
    </xf>
    <xf numFmtId="1" fontId="115" fillId="0" borderId="4" xfId="1" applyNumberFormat="1" applyFont="1" applyFill="1" applyBorder="1" applyAlignment="1">
      <alignment horizontal="center" vertical="center"/>
    </xf>
    <xf numFmtId="1" fontId="117" fillId="0" borderId="19" xfId="1" applyNumberFormat="1" applyFont="1" applyFill="1" applyBorder="1" applyAlignment="1">
      <alignment horizontal="center" vertical="center"/>
    </xf>
    <xf numFmtId="1" fontId="115" fillId="0" borderId="14" xfId="1" applyNumberFormat="1" applyFont="1" applyFill="1" applyBorder="1" applyAlignment="1">
      <alignment horizontal="center" vertical="center"/>
    </xf>
    <xf numFmtId="0" fontId="42" fillId="0" borderId="4" xfId="0" applyFont="1" applyBorder="1" applyAlignment="1">
      <alignment horizontal="center"/>
    </xf>
    <xf numFmtId="191" fontId="115" fillId="0" borderId="0" xfId="1" applyNumberFormat="1" applyFont="1" applyFill="1" applyAlignment="1">
      <alignment horizontal="center"/>
    </xf>
    <xf numFmtId="191" fontId="95" fillId="0" borderId="0" xfId="1" applyNumberFormat="1" applyFont="1" applyFill="1" applyAlignment="1">
      <alignment horizontal="center"/>
    </xf>
    <xf numFmtId="199" fontId="26" fillId="0" borderId="0" xfId="1" applyNumberFormat="1" applyFont="1" applyFill="1" applyAlignment="1">
      <alignment horizontal="center"/>
    </xf>
    <xf numFmtId="199" fontId="44" fillId="0" borderId="0" xfId="1" applyNumberFormat="1" applyFont="1" applyFill="1" applyAlignment="1">
      <alignment horizontal="center"/>
    </xf>
    <xf numFmtId="0" fontId="39" fillId="0" borderId="0" xfId="0" applyFont="1" applyAlignment="1">
      <alignment horizontal="left"/>
    </xf>
    <xf numFmtId="0" fontId="53" fillId="0" borderId="0" xfId="0" applyFont="1" applyAlignment="1">
      <alignment horizontal="center" vertical="center" shrinkToFit="1"/>
    </xf>
    <xf numFmtId="0" fontId="160" fillId="0" borderId="4" xfId="0" applyFont="1" applyBorder="1" applyAlignment="1">
      <alignment horizontal="center"/>
    </xf>
    <xf numFmtId="197" fontId="165" fillId="7" borderId="0" xfId="28" applyNumberFormat="1" applyAlignment="1">
      <alignment vertical="center"/>
    </xf>
    <xf numFmtId="191" fontId="167" fillId="0" borderId="0" xfId="1" applyNumberFormat="1" applyFont="1" applyFill="1" applyAlignment="1">
      <alignment horizontal="center"/>
    </xf>
    <xf numFmtId="191" fontId="167" fillId="0" borderId="0" xfId="1" applyNumberFormat="1" applyFont="1" applyFill="1" applyAlignment="1"/>
    <xf numFmtId="232" fontId="169" fillId="0" borderId="0" xfId="1" applyNumberFormat="1" applyFont="1" applyFill="1" applyAlignment="1"/>
    <xf numFmtId="0" fontId="146" fillId="0" borderId="0" xfId="0" applyFont="1"/>
    <xf numFmtId="3" fontId="119" fillId="0" borderId="4" xfId="5" applyNumberFormat="1" applyFont="1" applyFill="1" applyBorder="1" applyAlignment="1">
      <alignment horizontal="right" vertical="center"/>
    </xf>
    <xf numFmtId="197" fontId="61" fillId="0" borderId="4" xfId="0" applyNumberFormat="1" applyFont="1" applyBorder="1" applyAlignment="1">
      <alignment horizontal="center" vertical="center" wrapText="1"/>
    </xf>
    <xf numFmtId="3" fontId="26" fillId="0" borderId="4" xfId="0" applyNumberFormat="1" applyFont="1" applyBorder="1" applyAlignment="1">
      <alignment horizontal="right" vertical="center" wrapText="1"/>
    </xf>
    <xf numFmtId="0" fontId="63" fillId="0" borderId="15" xfId="0" applyFont="1" applyBorder="1"/>
    <xf numFmtId="0" fontId="4" fillId="0" borderId="0" xfId="0" applyFont="1"/>
    <xf numFmtId="197" fontId="4" fillId="0" borderId="0" xfId="1" applyNumberFormat="1" applyFont="1" applyFill="1" applyBorder="1"/>
    <xf numFmtId="0" fontId="82" fillId="0" borderId="4" xfId="0" applyFont="1" applyBorder="1"/>
    <xf numFmtId="0" fontId="26" fillId="0" borderId="4" xfId="0" applyFont="1" applyBorder="1" applyAlignment="1">
      <alignment horizontal="center"/>
    </xf>
    <xf numFmtId="0" fontId="26" fillId="0" borderId="4" xfId="0" applyFont="1" applyBorder="1" applyAlignment="1">
      <alignment horizontal="center" wrapText="1"/>
    </xf>
    <xf numFmtId="0" fontId="26" fillId="0" borderId="19" xfId="0" applyFont="1" applyBorder="1" applyAlignment="1">
      <alignment horizontal="center"/>
    </xf>
    <xf numFmtId="0" fontId="170" fillId="0" borderId="0" xfId="0" applyFont="1"/>
    <xf numFmtId="0" fontId="82" fillId="5" borderId="4" xfId="0" applyFont="1" applyFill="1" applyBorder="1"/>
    <xf numFmtId="0" fontId="26" fillId="5" borderId="4" xfId="0" applyFont="1" applyFill="1" applyBorder="1" applyAlignment="1">
      <alignment horizontal="center"/>
    </xf>
    <xf numFmtId="0" fontId="26" fillId="5" borderId="4" xfId="0" applyFont="1" applyFill="1" applyBorder="1" applyAlignment="1">
      <alignment horizontal="center" vertical="center"/>
    </xf>
    <xf numFmtId="0" fontId="160" fillId="5" borderId="4" xfId="0" applyFont="1" applyFill="1" applyBorder="1" applyAlignment="1">
      <alignment horizontal="center"/>
    </xf>
    <xf numFmtId="0" fontId="26" fillId="5" borderId="4" xfId="0" applyFont="1" applyFill="1" applyBorder="1" applyAlignment="1">
      <alignment horizontal="center" wrapText="1"/>
    </xf>
    <xf numFmtId="0" fontId="26" fillId="5" borderId="0" xfId="0" applyFont="1" applyFill="1" applyAlignment="1">
      <alignment horizontal="center"/>
    </xf>
    <xf numFmtId="0" fontId="170" fillId="5" borderId="0" xfId="0" applyFont="1" applyFill="1"/>
    <xf numFmtId="0" fontId="138" fillId="0" borderId="4" xfId="0" applyFont="1" applyBorder="1"/>
    <xf numFmtId="0" fontId="138" fillId="0" borderId="4" xfId="16" applyFont="1" applyBorder="1" applyAlignment="1">
      <alignment horizontal="left"/>
    </xf>
    <xf numFmtId="0" fontId="138" fillId="0" borderId="4" xfId="16" quotePrefix="1" applyFont="1" applyBorder="1" applyAlignment="1">
      <alignment horizontal="center" vertical="center"/>
    </xf>
    <xf numFmtId="0" fontId="138" fillId="0" borderId="4" xfId="16" applyFont="1" applyBorder="1" applyAlignment="1">
      <alignment horizontal="center"/>
    </xf>
    <xf numFmtId="0" fontId="138" fillId="0" borderId="4" xfId="0" quotePrefix="1" applyFont="1" applyBorder="1"/>
    <xf numFmtId="0" fontId="138" fillId="0" borderId="4" xfId="16" applyFont="1" applyBorder="1" applyAlignment="1">
      <alignment horizontal="center" vertical="center"/>
    </xf>
    <xf numFmtId="0" fontId="138" fillId="0" borderId="4" xfId="0" applyFont="1" applyBorder="1" applyAlignment="1">
      <alignment horizontal="center" vertical="center"/>
    </xf>
    <xf numFmtId="0" fontId="138" fillId="0" borderId="4" xfId="0" applyFont="1" applyBorder="1" applyAlignment="1">
      <alignment horizontal="left"/>
    </xf>
    <xf numFmtId="0" fontId="103" fillId="0" borderId="4" xfId="0" applyFont="1" applyBorder="1" applyAlignment="1">
      <alignment horizontal="left"/>
    </xf>
    <xf numFmtId="0" fontId="138" fillId="0" borderId="4" xfId="0" quotePrefix="1" applyFont="1" applyBorder="1" applyAlignment="1">
      <alignment horizontal="center"/>
    </xf>
    <xf numFmtId="0" fontId="103" fillId="0" borderId="4" xfId="0" applyFont="1" applyBorder="1" applyAlignment="1">
      <alignment horizontal="center"/>
    </xf>
    <xf numFmtId="3" fontId="101" fillId="0" borderId="4" xfId="0" quotePrefix="1" applyNumberFormat="1" applyFont="1" applyBorder="1" applyAlignment="1">
      <alignment horizontal="center"/>
    </xf>
    <xf numFmtId="0" fontId="138" fillId="0" borderId="4" xfId="0" applyFont="1" applyBorder="1" applyAlignment="1">
      <alignment horizontal="center"/>
    </xf>
    <xf numFmtId="3" fontId="12" fillId="0" borderId="4" xfId="0" quotePrefix="1" applyNumberFormat="1" applyFont="1" applyBorder="1" applyAlignment="1">
      <alignment horizontal="center"/>
    </xf>
    <xf numFmtId="0" fontId="138" fillId="4" borderId="4" xfId="0" applyFont="1" applyFill="1" applyBorder="1" applyAlignment="1">
      <alignment horizontal="center"/>
    </xf>
    <xf numFmtId="0" fontId="138" fillId="4" borderId="4" xfId="16" applyFont="1" applyFill="1" applyBorder="1" applyAlignment="1">
      <alignment horizontal="center"/>
    </xf>
    <xf numFmtId="0" fontId="138" fillId="5" borderId="4" xfId="0" applyFont="1" applyFill="1" applyBorder="1" applyAlignment="1">
      <alignment horizontal="center"/>
    </xf>
    <xf numFmtId="0" fontId="138" fillId="5" borderId="4" xfId="0" applyFont="1" applyFill="1" applyBorder="1"/>
    <xf numFmtId="0" fontId="138" fillId="5" borderId="4" xfId="0" applyFont="1" applyFill="1" applyBorder="1" applyAlignment="1">
      <alignment horizontal="left"/>
    </xf>
    <xf numFmtId="3" fontId="12" fillId="5" borderId="4" xfId="0" quotePrefix="1" applyNumberFormat="1" applyFont="1" applyFill="1" applyBorder="1" applyAlignment="1">
      <alignment horizontal="center"/>
    </xf>
    <xf numFmtId="0" fontId="0" fillId="5" borderId="0" xfId="0" applyFill="1"/>
    <xf numFmtId="3" fontId="172" fillId="0" borderId="4" xfId="0" quotePrefix="1" applyNumberFormat="1" applyFont="1" applyBorder="1" applyAlignment="1">
      <alignment horizontal="center"/>
    </xf>
    <xf numFmtId="0" fontId="58" fillId="0" borderId="0" xfId="14" applyAlignment="1">
      <alignment vertical="center"/>
    </xf>
    <xf numFmtId="0" fontId="0" fillId="0" borderId="0" xfId="0" applyAlignment="1">
      <alignment horizontal="center" vertical="center"/>
    </xf>
    <xf numFmtId="198" fontId="11" fillId="0" borderId="4" xfId="1" applyNumberFormat="1" applyFont="1" applyFill="1" applyBorder="1" applyAlignment="1">
      <alignment horizontal="center" vertical="center" shrinkToFit="1"/>
    </xf>
    <xf numFmtId="1" fontId="115" fillId="0" borderId="0" xfId="1" applyNumberFormat="1" applyFont="1" applyFill="1" applyBorder="1" applyAlignment="1">
      <alignment vertical="center"/>
    </xf>
    <xf numFmtId="0" fontId="166" fillId="0" borderId="0" xfId="0" applyFont="1" applyAlignment="1">
      <alignment vertical="center"/>
    </xf>
    <xf numFmtId="0" fontId="128" fillId="4" borderId="0" xfId="19" applyFont="1" applyFill="1" applyAlignment="1">
      <alignment horizontal="center" vertical="center"/>
    </xf>
    <xf numFmtId="0" fontId="128" fillId="4" borderId="0" xfId="19" applyFont="1" applyFill="1" applyAlignment="1">
      <alignment horizontal="center"/>
    </xf>
    <xf numFmtId="0" fontId="133" fillId="4" borderId="0" xfId="0" applyFont="1" applyFill="1"/>
    <xf numFmtId="0" fontId="133" fillId="4" borderId="0" xfId="19" applyFont="1" applyFill="1" applyAlignment="1">
      <alignment horizontal="center"/>
    </xf>
    <xf numFmtId="0" fontId="158" fillId="4" borderId="0" xfId="19" applyFont="1" applyFill="1" applyAlignment="1">
      <alignment horizontal="center" vertical="center"/>
    </xf>
    <xf numFmtId="0" fontId="159" fillId="4" borderId="0" xfId="19" applyFont="1" applyFill="1" applyAlignment="1">
      <alignment horizontal="center"/>
    </xf>
    <xf numFmtId="3" fontId="128" fillId="4" borderId="0" xfId="26" applyNumberFormat="1" applyFont="1" applyFill="1" applyBorder="1" applyAlignment="1">
      <alignment horizontal="right" wrapText="1"/>
    </xf>
    <xf numFmtId="215" fontId="128" fillId="4" borderId="0" xfId="26" applyNumberFormat="1" applyFont="1" applyFill="1" applyBorder="1" applyAlignment="1">
      <alignment horizontal="right" wrapText="1"/>
    </xf>
    <xf numFmtId="0" fontId="133" fillId="4" borderId="0" xfId="19" applyFont="1" applyFill="1"/>
    <xf numFmtId="0" fontId="133" fillId="0" borderId="0" xfId="19" applyFont="1"/>
    <xf numFmtId="0" fontId="133" fillId="4" borderId="0" xfId="19" applyFont="1" applyFill="1" applyAlignment="1">
      <alignment horizontal="left"/>
    </xf>
    <xf numFmtId="3" fontId="133" fillId="4" borderId="0" xfId="19" applyNumberFormat="1" applyFont="1" applyFill="1" applyAlignment="1">
      <alignment horizontal="center"/>
    </xf>
    <xf numFmtId="0" fontId="134" fillId="4" borderId="0" xfId="19" applyFont="1" applyFill="1"/>
    <xf numFmtId="0" fontId="128" fillId="4" borderId="0" xfId="0" applyFont="1" applyFill="1"/>
    <xf numFmtId="0" fontId="128" fillId="4" borderId="0" xfId="19" applyFont="1" applyFill="1"/>
    <xf numFmtId="0" fontId="173" fillId="4" borderId="4" xfId="0" applyFont="1" applyFill="1" applyBorder="1" applyAlignment="1">
      <alignment horizontal="center" vertical="center" wrapText="1"/>
    </xf>
    <xf numFmtId="10" fontId="119" fillId="0" borderId="4" xfId="21" applyNumberFormat="1" applyFont="1" applyFill="1" applyBorder="1" applyAlignment="1">
      <alignment vertical="center" wrapText="1"/>
    </xf>
    <xf numFmtId="0" fontId="133" fillId="4" borderId="4" xfId="19" applyFont="1" applyFill="1" applyBorder="1" applyAlignment="1">
      <alignment horizontal="center" vertical="center"/>
    </xf>
    <xf numFmtId="191" fontId="26" fillId="0" borderId="4" xfId="1" applyNumberFormat="1" applyFont="1" applyFill="1" applyBorder="1" applyAlignment="1">
      <alignment horizontal="center" vertical="center" wrapText="1"/>
    </xf>
    <xf numFmtId="1" fontId="176" fillId="0" borderId="0" xfId="1" applyNumberFormat="1" applyFont="1" applyFill="1" applyAlignment="1">
      <alignment vertical="center"/>
    </xf>
    <xf numFmtId="1" fontId="177" fillId="0" borderId="0" xfId="1" applyNumberFormat="1" applyFont="1" applyFill="1" applyBorder="1" applyAlignment="1">
      <alignment horizontal="center" vertical="center"/>
    </xf>
    <xf numFmtId="1" fontId="177" fillId="0" borderId="0" xfId="1" applyNumberFormat="1" applyFont="1" applyFill="1" applyBorder="1" applyAlignment="1">
      <alignment vertical="center"/>
    </xf>
    <xf numFmtId="1" fontId="156" fillId="0" borderId="0" xfId="1" applyNumberFormat="1" applyFont="1" applyFill="1" applyAlignment="1">
      <alignment vertical="center"/>
    </xf>
    <xf numFmtId="213" fontId="179" fillId="4" borderId="4" xfId="1" applyNumberFormat="1" applyFont="1" applyFill="1" applyBorder="1" applyAlignment="1" applyProtection="1">
      <alignment horizontal="center" vertical="center"/>
    </xf>
    <xf numFmtId="213" fontId="179" fillId="0" borderId="4" xfId="1" applyNumberFormat="1" applyFont="1" applyFill="1" applyBorder="1" applyAlignment="1" applyProtection="1">
      <alignment horizontal="center" vertical="center"/>
    </xf>
    <xf numFmtId="197" fontId="133" fillId="0" borderId="4" xfId="1" applyNumberFormat="1" applyFont="1" applyFill="1" applyBorder="1" applyAlignment="1">
      <alignment horizontal="center" vertical="center" wrapText="1"/>
    </xf>
    <xf numFmtId="1" fontId="180" fillId="0" borderId="4" xfId="0" applyNumberFormat="1" applyFont="1" applyBorder="1" applyAlignment="1">
      <alignment horizontal="center" vertical="center"/>
    </xf>
    <xf numFmtId="3" fontId="133" fillId="4" borderId="4" xfId="4" applyNumberFormat="1" applyFont="1" applyFill="1" applyBorder="1" applyAlignment="1">
      <alignment horizontal="center" vertical="center"/>
    </xf>
    <xf numFmtId="3" fontId="133" fillId="4" borderId="4" xfId="19" applyNumberFormat="1" applyFont="1" applyFill="1" applyBorder="1" applyAlignment="1">
      <alignment horizontal="center" vertical="center"/>
    </xf>
    <xf numFmtId="0" fontId="180" fillId="4" borderId="4" xfId="0" applyFont="1" applyFill="1" applyBorder="1" applyAlignment="1">
      <alignment horizontal="center"/>
    </xf>
    <xf numFmtId="0" fontId="180" fillId="4" borderId="4" xfId="0" applyFont="1" applyFill="1" applyBorder="1" applyAlignment="1">
      <alignment horizontal="right"/>
    </xf>
    <xf numFmtId="0" fontId="180" fillId="0" borderId="4" xfId="0" applyFont="1" applyBorder="1" applyAlignment="1">
      <alignment horizontal="right"/>
    </xf>
    <xf numFmtId="3" fontId="128" fillId="0" borderId="4" xfId="1" applyNumberFormat="1" applyFont="1" applyFill="1" applyBorder="1" applyAlignment="1">
      <alignment horizontal="center" vertical="center"/>
    </xf>
    <xf numFmtId="204" fontId="128" fillId="0" borderId="4" xfId="1" applyNumberFormat="1" applyFont="1" applyFill="1" applyBorder="1" applyAlignment="1">
      <alignment horizontal="center" vertical="center" wrapText="1"/>
    </xf>
    <xf numFmtId="211" fontId="26" fillId="0" borderId="4" xfId="1" applyNumberFormat="1" applyFont="1" applyFill="1" applyBorder="1" applyAlignment="1">
      <alignment vertical="center" wrapText="1"/>
    </xf>
    <xf numFmtId="191" fontId="26" fillId="0" borderId="4" xfId="1" applyNumberFormat="1" applyFont="1" applyFill="1" applyBorder="1" applyAlignment="1">
      <alignment horizontal="center" vertical="top" wrapText="1"/>
    </xf>
    <xf numFmtId="207" fontId="102" fillId="6" borderId="4" xfId="1" applyNumberFormat="1" applyFont="1" applyFill="1" applyBorder="1" applyAlignment="1">
      <alignment horizontal="center" vertical="center" wrapText="1"/>
    </xf>
    <xf numFmtId="214" fontId="7" fillId="0" borderId="0" xfId="1" applyNumberFormat="1" applyFont="1" applyFill="1" applyBorder="1" applyAlignment="1">
      <alignment horizontal="center" vertical="center" shrinkToFit="1"/>
    </xf>
    <xf numFmtId="236" fontId="9" fillId="0" borderId="0" xfId="0" applyNumberFormat="1" applyFont="1"/>
    <xf numFmtId="2" fontId="180" fillId="4" borderId="4" xfId="0" applyNumberFormat="1" applyFont="1" applyFill="1" applyBorder="1" applyAlignment="1">
      <alignment horizontal="center"/>
    </xf>
    <xf numFmtId="2" fontId="180" fillId="4" borderId="4" xfId="0" applyNumberFormat="1" applyFont="1" applyFill="1" applyBorder="1" applyAlignment="1">
      <alignment horizontal="center" vertical="center"/>
    </xf>
    <xf numFmtId="208" fontId="102" fillId="0" borderId="4" xfId="1" applyNumberFormat="1" applyFont="1" applyFill="1" applyBorder="1" applyAlignment="1">
      <alignment horizontal="center" vertical="center" wrapText="1"/>
    </xf>
    <xf numFmtId="4" fontId="26" fillId="0" borderId="4" xfId="1" applyNumberFormat="1" applyFont="1" applyFill="1" applyBorder="1" applyAlignment="1">
      <alignment horizontal="center" vertical="center" wrapText="1"/>
    </xf>
    <xf numFmtId="0" fontId="106" fillId="0" borderId="4" xfId="0" applyFont="1" applyBorder="1" applyAlignment="1">
      <alignment vertical="center"/>
    </xf>
    <xf numFmtId="197" fontId="182" fillId="0" borderId="0" xfId="0" applyNumberFormat="1" applyFont="1" applyAlignment="1">
      <alignment vertical="center"/>
    </xf>
    <xf numFmtId="198" fontId="182" fillId="0" borderId="0" xfId="0" applyNumberFormat="1" applyFont="1" applyAlignment="1">
      <alignment vertical="center"/>
    </xf>
    <xf numFmtId="0" fontId="182" fillId="0" borderId="0" xfId="0" applyFont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8" fillId="0" borderId="4" xfId="0" applyFont="1" applyBorder="1" applyAlignment="1">
      <alignment vertical="center"/>
    </xf>
    <xf numFmtId="0" fontId="63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vertical="center"/>
    </xf>
    <xf numFmtId="4" fontId="185" fillId="0" borderId="0" xfId="1" applyNumberFormat="1" applyFont="1" applyFill="1" applyBorder="1" applyAlignment="1"/>
    <xf numFmtId="191" fontId="185" fillId="0" borderId="0" xfId="1" applyNumberFormat="1" applyFont="1" applyFill="1" applyBorder="1" applyAlignment="1">
      <alignment horizontal="center"/>
    </xf>
    <xf numFmtId="191" fontId="185" fillId="0" borderId="0" xfId="1" applyNumberFormat="1" applyFont="1" applyFill="1" applyBorder="1" applyAlignment="1"/>
    <xf numFmtId="191" fontId="185" fillId="0" borderId="0" xfId="1" applyNumberFormat="1" applyFont="1" applyFill="1" applyBorder="1"/>
    <xf numFmtId="202" fontId="185" fillId="0" borderId="3" xfId="1" applyNumberFormat="1" applyFont="1" applyFill="1" applyBorder="1" applyAlignment="1">
      <alignment horizontal="center" vertical="center" wrapText="1"/>
    </xf>
    <xf numFmtId="191" fontId="184" fillId="0" borderId="4" xfId="1" applyNumberFormat="1" applyFont="1" applyFill="1" applyBorder="1" applyAlignment="1">
      <alignment horizontal="center" vertical="center" wrapText="1"/>
    </xf>
    <xf numFmtId="211" fontId="184" fillId="0" borderId="4" xfId="1" applyNumberFormat="1" applyFont="1" applyFill="1" applyBorder="1" applyAlignment="1">
      <alignment horizontal="center" vertical="center" wrapText="1"/>
    </xf>
    <xf numFmtId="192" fontId="184" fillId="0" borderId="4" xfId="5" applyNumberFormat="1" applyFont="1" applyFill="1" applyBorder="1" applyAlignment="1">
      <alignment horizontal="center" vertical="center" wrapText="1"/>
    </xf>
    <xf numFmtId="4" fontId="184" fillId="0" borderId="4" xfId="1" applyNumberFormat="1" applyFont="1" applyFill="1" applyBorder="1" applyAlignment="1">
      <alignment horizontal="center" vertical="center" wrapText="1"/>
    </xf>
    <xf numFmtId="191" fontId="184" fillId="0" borderId="10" xfId="1" applyNumberFormat="1" applyFont="1" applyFill="1" applyBorder="1" applyAlignment="1">
      <alignment horizontal="center" vertical="top" wrapText="1"/>
    </xf>
    <xf numFmtId="3" fontId="184" fillId="0" borderId="4" xfId="5" applyNumberFormat="1" applyFont="1" applyFill="1" applyBorder="1" applyAlignment="1">
      <alignment horizontal="center" vertical="top" wrapText="1"/>
    </xf>
    <xf numFmtId="211" fontId="185" fillId="0" borderId="4" xfId="5" applyNumberFormat="1" applyFont="1" applyFill="1" applyBorder="1" applyAlignment="1">
      <alignment vertical="center"/>
    </xf>
    <xf numFmtId="197" fontId="185" fillId="0" borderId="4" xfId="1" applyNumberFormat="1" applyFont="1" applyFill="1" applyBorder="1" applyAlignment="1">
      <alignment vertical="center" shrinkToFit="1"/>
    </xf>
    <xf numFmtId="191" fontId="185" fillId="0" borderId="4" xfId="1" applyNumberFormat="1" applyFont="1" applyFill="1" applyBorder="1" applyAlignment="1">
      <alignment horizontal="right" vertical="center" shrinkToFit="1"/>
    </xf>
    <xf numFmtId="211" fontId="186" fillId="0" borderId="4" xfId="5" applyNumberFormat="1" applyFont="1" applyFill="1" applyBorder="1" applyAlignment="1">
      <alignment vertical="center"/>
    </xf>
    <xf numFmtId="197" fontId="186" fillId="0" borderId="4" xfId="1" applyNumberFormat="1" applyFont="1" applyFill="1" applyBorder="1" applyAlignment="1">
      <alignment vertical="center" shrinkToFit="1"/>
    </xf>
    <xf numFmtId="191" fontId="186" fillId="0" borderId="4" xfId="1" applyNumberFormat="1" applyFont="1" applyFill="1" applyBorder="1" applyAlignment="1">
      <alignment horizontal="right" vertical="center" shrinkToFit="1"/>
    </xf>
    <xf numFmtId="191" fontId="185" fillId="0" borderId="4" xfId="5" applyNumberFormat="1" applyFont="1" applyFill="1" applyBorder="1" applyAlignment="1">
      <alignment vertical="center"/>
    </xf>
    <xf numFmtId="214" fontId="185" fillId="0" borderId="0" xfId="1" applyNumberFormat="1" applyFont="1" applyFill="1" applyAlignment="1"/>
    <xf numFmtId="211" fontId="185" fillId="0" borderId="0" xfId="1" applyNumberFormat="1" applyFont="1" applyFill="1" applyAlignment="1"/>
    <xf numFmtId="4" fontId="185" fillId="0" borderId="0" xfId="1" applyNumberFormat="1" applyFont="1" applyFill="1"/>
    <xf numFmtId="191" fontId="185" fillId="0" borderId="0" xfId="1" applyNumberFormat="1" applyFont="1" applyFill="1" applyAlignment="1">
      <alignment horizontal="center"/>
    </xf>
    <xf numFmtId="191" fontId="185" fillId="0" borderId="0" xfId="1" applyNumberFormat="1" applyFont="1" applyFill="1"/>
    <xf numFmtId="196" fontId="119" fillId="0" borderId="4" xfId="1" applyFont="1" applyFill="1" applyBorder="1" applyAlignment="1">
      <alignment vertical="center" wrapText="1"/>
    </xf>
    <xf numFmtId="10" fontId="61" fillId="0" borderId="4" xfId="21" applyNumberFormat="1" applyFont="1" applyFill="1" applyBorder="1" applyAlignment="1">
      <alignment vertical="center" wrapText="1"/>
    </xf>
    <xf numFmtId="0" fontId="119" fillId="0" borderId="4" xfId="0" applyFont="1" applyBorder="1" applyAlignment="1">
      <alignment horizontal="center" vertical="center"/>
    </xf>
    <xf numFmtId="0" fontId="119" fillId="0" borderId="4" xfId="0" applyFont="1" applyBorder="1" applyAlignment="1">
      <alignment vertical="center"/>
    </xf>
    <xf numFmtId="196" fontId="61" fillId="0" borderId="4" xfId="0" applyNumberFormat="1" applyFont="1" applyBorder="1" applyAlignment="1">
      <alignment horizontal="center" vertical="center" wrapText="1"/>
    </xf>
    <xf numFmtId="0" fontId="61" fillId="0" borderId="4" xfId="0" applyFont="1" applyBorder="1" applyAlignment="1">
      <alignment horizontal="right" vertical="center"/>
    </xf>
    <xf numFmtId="196" fontId="61" fillId="0" borderId="4" xfId="1" applyFont="1" applyFill="1" applyBorder="1" applyAlignment="1">
      <alignment horizontal="right" vertical="center"/>
    </xf>
    <xf numFmtId="0" fontId="61" fillId="0" borderId="4" xfId="0" applyFont="1" applyBorder="1" applyAlignment="1">
      <alignment vertical="center" wrapText="1"/>
    </xf>
    <xf numFmtId="196" fontId="119" fillId="0" borderId="4" xfId="1" applyFont="1" applyFill="1" applyBorder="1" applyAlignment="1">
      <alignment vertical="center"/>
    </xf>
    <xf numFmtId="197" fontId="119" fillId="0" borderId="4" xfId="1" applyNumberFormat="1" applyFont="1" applyFill="1" applyBorder="1" applyAlignment="1">
      <alignment horizontal="right" vertical="center" wrapText="1"/>
    </xf>
    <xf numFmtId="216" fontId="61" fillId="0" borderId="4" xfId="1" applyNumberFormat="1" applyFont="1" applyFill="1" applyBorder="1" applyAlignment="1">
      <alignment vertical="center"/>
    </xf>
    <xf numFmtId="197" fontId="10" fillId="0" borderId="0" xfId="0" applyNumberFormat="1" applyFont="1"/>
    <xf numFmtId="197" fontId="12" fillId="8" borderId="4" xfId="1" applyNumberFormat="1" applyFont="1" applyFill="1" applyBorder="1" applyAlignment="1">
      <alignment horizontal="right"/>
    </xf>
    <xf numFmtId="0" fontId="78" fillId="0" borderId="0" xfId="0" applyFont="1" applyAlignment="1">
      <alignment horizontal="left"/>
    </xf>
    <xf numFmtId="198" fontId="83" fillId="4" borderId="0" xfId="0" applyNumberFormat="1" applyFont="1" applyFill="1" applyAlignment="1">
      <alignment horizontal="center"/>
    </xf>
    <xf numFmtId="2" fontId="99" fillId="5" borderId="11" xfId="0" applyNumberFormat="1" applyFont="1" applyFill="1" applyBorder="1" applyAlignment="1">
      <alignment horizontal="center" vertical="center" shrinkToFit="1"/>
    </xf>
    <xf numFmtId="207" fontId="102" fillId="5" borderId="4" xfId="1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197" fontId="82" fillId="0" borderId="4" xfId="1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44" fillId="4" borderId="4" xfId="0" applyFont="1" applyFill="1" applyBorder="1" applyAlignment="1">
      <alignment horizontal="center" vertical="center" shrinkToFit="1"/>
    </xf>
    <xf numFmtId="0" fontId="51" fillId="4" borderId="4" xfId="0" applyFont="1" applyFill="1" applyBorder="1" applyAlignment="1">
      <alignment horizontal="center" vertical="center" shrinkToFit="1"/>
    </xf>
    <xf numFmtId="0" fontId="51" fillId="4" borderId="4" xfId="0" applyFont="1" applyFill="1" applyBorder="1" applyAlignment="1">
      <alignment vertical="center" wrapText="1"/>
    </xf>
    <xf numFmtId="0" fontId="51" fillId="4" borderId="4" xfId="0" applyFont="1" applyFill="1" applyBorder="1" applyAlignment="1">
      <alignment horizontal="left" vertical="center" wrapText="1"/>
    </xf>
    <xf numFmtId="0" fontId="51" fillId="4" borderId="4" xfId="0" applyFont="1" applyFill="1" applyBorder="1" applyAlignment="1">
      <alignment horizontal="center" vertical="center" wrapText="1"/>
    </xf>
    <xf numFmtId="198" fontId="51" fillId="4" borderId="4" xfId="1" applyNumberFormat="1" applyFont="1" applyFill="1" applyBorder="1" applyAlignment="1">
      <alignment vertical="center" wrapText="1"/>
    </xf>
    <xf numFmtId="191" fontId="44" fillId="4" borderId="4" xfId="19" applyNumberFormat="1" applyFont="1" applyFill="1" applyBorder="1" applyAlignment="1">
      <alignment horizontal="center" vertical="center"/>
    </xf>
    <xf numFmtId="191" fontId="44" fillId="4" borderId="4" xfId="19" applyNumberFormat="1" applyFont="1" applyFill="1" applyBorder="1" applyAlignment="1">
      <alignment vertical="center"/>
    </xf>
    <xf numFmtId="0" fontId="44" fillId="4" borderId="0" xfId="0" applyFont="1" applyFill="1" applyAlignment="1">
      <alignment horizontal="center" vertical="center"/>
    </xf>
    <xf numFmtId="191" fontId="44" fillId="4" borderId="0" xfId="19" applyNumberFormat="1" applyFont="1" applyFill="1" applyAlignment="1">
      <alignment horizontal="center" vertical="center"/>
    </xf>
    <xf numFmtId="191" fontId="44" fillId="4" borderId="15" xfId="19" applyNumberFormat="1" applyFont="1" applyFill="1" applyBorder="1" applyAlignment="1">
      <alignment horizontal="center" vertical="center"/>
    </xf>
    <xf numFmtId="191" fontId="44" fillId="4" borderId="15" xfId="19" applyNumberFormat="1" applyFont="1" applyFill="1" applyBorder="1" applyAlignment="1">
      <alignment vertical="center"/>
    </xf>
    <xf numFmtId="0" fontId="119" fillId="0" borderId="4" xfId="0" applyFont="1" applyBorder="1" applyAlignment="1">
      <alignment horizontal="left" vertical="center"/>
    </xf>
    <xf numFmtId="197" fontId="119" fillId="0" borderId="4" xfId="1" applyNumberFormat="1" applyFont="1" applyFill="1" applyBorder="1" applyAlignment="1">
      <alignment horizontal="center" vertical="center" wrapText="1"/>
    </xf>
    <xf numFmtId="197" fontId="191" fillId="0" borderId="4" xfId="0" applyNumberFormat="1" applyFont="1" applyBorder="1" applyAlignment="1">
      <alignment horizontal="center" vertical="center" wrapText="1"/>
    </xf>
    <xf numFmtId="197" fontId="191" fillId="0" borderId="4" xfId="1" applyNumberFormat="1" applyFont="1" applyFill="1" applyBorder="1" applyAlignment="1">
      <alignment horizontal="center" vertical="center" wrapText="1"/>
    </xf>
    <xf numFmtId="3" fontId="82" fillId="0" borderId="4" xfId="0" applyNumberFormat="1" applyFont="1" applyBorder="1" applyAlignment="1">
      <alignment horizontal="center" vertical="center"/>
    </xf>
    <xf numFmtId="10" fontId="191" fillId="0" borderId="4" xfId="21" applyNumberFormat="1" applyFont="1" applyFill="1" applyBorder="1" applyAlignment="1">
      <alignment vertical="center" wrapText="1"/>
    </xf>
    <xf numFmtId="191" fontId="172" fillId="0" borderId="4" xfId="1" applyNumberFormat="1" applyFont="1" applyFill="1" applyBorder="1" applyAlignment="1">
      <alignment horizontal="right" vertical="center"/>
    </xf>
    <xf numFmtId="192" fontId="172" fillId="0" borderId="4" xfId="5" applyNumberFormat="1" applyFont="1" applyFill="1" applyBorder="1" applyAlignment="1">
      <alignment vertical="center"/>
    </xf>
    <xf numFmtId="191" fontId="172" fillId="0" borderId="4" xfId="1" applyNumberFormat="1" applyFont="1" applyFill="1" applyBorder="1" applyAlignment="1">
      <alignment horizontal="center" vertical="center" shrinkToFit="1"/>
    </xf>
    <xf numFmtId="197" fontId="172" fillId="0" borderId="4" xfId="1" applyNumberFormat="1" applyFont="1" applyFill="1" applyBorder="1" applyAlignment="1">
      <alignment vertical="center" shrinkToFit="1"/>
    </xf>
    <xf numFmtId="191" fontId="172" fillId="0" borderId="4" xfId="1" applyNumberFormat="1" applyFont="1" applyFill="1" applyBorder="1" applyAlignment="1">
      <alignment horizontal="right" vertical="center" shrinkToFit="1"/>
    </xf>
    <xf numFmtId="191" fontId="172" fillId="0" borderId="4" xfId="1" applyNumberFormat="1" applyFont="1" applyFill="1" applyBorder="1" applyAlignment="1">
      <alignment horizontal="left" vertical="center"/>
    </xf>
    <xf numFmtId="191" fontId="172" fillId="0" borderId="4" xfId="0" applyNumberFormat="1" applyFont="1" applyBorder="1" applyAlignment="1">
      <alignment horizontal="right" vertical="center"/>
    </xf>
    <xf numFmtId="191" fontId="172" fillId="0" borderId="4" xfId="0" applyNumberFormat="1" applyFont="1" applyBorder="1" applyAlignment="1">
      <alignment horizontal="left" vertical="center"/>
    </xf>
    <xf numFmtId="191" fontId="186" fillId="0" borderId="4" xfId="5" applyNumberFormat="1" applyFont="1" applyFill="1" applyBorder="1" applyAlignment="1">
      <alignment vertical="center"/>
    </xf>
    <xf numFmtId="1" fontId="128" fillId="5" borderId="4" xfId="1" applyNumberFormat="1" applyFont="1" applyFill="1" applyBorder="1" applyAlignment="1">
      <alignment horizontal="center" vertical="center"/>
    </xf>
    <xf numFmtId="207" fontId="158" fillId="5" borderId="4" xfId="1" applyNumberFormat="1" applyFont="1" applyFill="1" applyBorder="1" applyAlignment="1">
      <alignment horizontal="left" vertical="center"/>
    </xf>
    <xf numFmtId="1" fontId="3" fillId="5" borderId="0" xfId="1" applyNumberFormat="1" applyFont="1" applyFill="1" applyAlignment="1">
      <alignment vertical="center"/>
    </xf>
    <xf numFmtId="1" fontId="127" fillId="5" borderId="0" xfId="1" applyNumberFormat="1" applyFont="1" applyFill="1" applyAlignment="1">
      <alignment vertical="center"/>
    </xf>
    <xf numFmtId="1" fontId="158" fillId="5" borderId="4" xfId="1" applyNumberFormat="1" applyFont="1" applyFill="1" applyBorder="1" applyAlignment="1">
      <alignment horizontal="center" vertical="center"/>
    </xf>
    <xf numFmtId="207" fontId="158" fillId="5" borderId="4" xfId="1" applyNumberFormat="1" applyFont="1" applyFill="1" applyBorder="1" applyAlignment="1">
      <alignment horizontal="center" vertical="center"/>
    </xf>
    <xf numFmtId="1" fontId="103" fillId="5" borderId="0" xfId="1" applyNumberFormat="1" applyFont="1" applyFill="1" applyAlignment="1">
      <alignment vertical="center"/>
    </xf>
    <xf numFmtId="191" fontId="172" fillId="0" borderId="4" xfId="0" quotePrefix="1" applyNumberFormat="1" applyFont="1" applyBorder="1" applyAlignment="1">
      <alignment horizontal="left" vertical="center"/>
    </xf>
    <xf numFmtId="191" fontId="172" fillId="0" borderId="4" xfId="0" applyNumberFormat="1" applyFont="1" applyBorder="1" applyAlignment="1">
      <alignment vertical="center"/>
    </xf>
    <xf numFmtId="0" fontId="172" fillId="0" borderId="4" xfId="0" applyFont="1" applyBorder="1" applyAlignment="1">
      <alignment vertical="center"/>
    </xf>
    <xf numFmtId="198" fontId="172" fillId="0" borderId="4" xfId="1" applyNumberFormat="1" applyFont="1" applyFill="1" applyBorder="1" applyAlignment="1">
      <alignment vertical="center" shrinkToFit="1"/>
    </xf>
    <xf numFmtId="0" fontId="103" fillId="0" borderId="0" xfId="0" applyFont="1" applyAlignment="1">
      <alignment vertical="center"/>
    </xf>
    <xf numFmtId="212" fontId="164" fillId="0" borderId="0" xfId="1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shrinkToFit="1"/>
    </xf>
    <xf numFmtId="0" fontId="3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83" fillId="0" borderId="0" xfId="0" applyFont="1"/>
    <xf numFmtId="0" fontId="137" fillId="0" borderId="0" xfId="0" applyFont="1"/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8" fillId="0" borderId="10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198" fontId="18" fillId="0" borderId="4" xfId="19" applyNumberFormat="1" applyFont="1" applyBorder="1" applyAlignment="1">
      <alignment horizontal="center" vertical="center"/>
    </xf>
    <xf numFmtId="0" fontId="83" fillId="0" borderId="0" xfId="0" applyFont="1" applyAlignment="1">
      <alignment vertical="center"/>
    </xf>
    <xf numFmtId="0" fontId="172" fillId="0" borderId="0" xfId="0" applyFont="1" applyAlignment="1">
      <alignment vertical="center"/>
    </xf>
    <xf numFmtId="0" fontId="12" fillId="0" borderId="4" xfId="19" applyFont="1" applyBorder="1" applyAlignment="1">
      <alignment horizontal="center" vertical="center"/>
    </xf>
    <xf numFmtId="191" fontId="7" fillId="0" borderId="4" xfId="19" applyNumberFormat="1" applyFont="1" applyBorder="1" applyAlignment="1">
      <alignment horizontal="center" vertical="center"/>
    </xf>
    <xf numFmtId="191" fontId="15" fillId="0" borderId="4" xfId="19" applyNumberFormat="1" applyFont="1" applyBorder="1" applyAlignment="1">
      <alignment horizontal="center" vertical="center"/>
    </xf>
    <xf numFmtId="198" fontId="7" fillId="0" borderId="4" xfId="0" applyNumberFormat="1" applyFont="1" applyBorder="1" applyAlignment="1">
      <alignment vertical="center"/>
    </xf>
    <xf numFmtId="3" fontId="83" fillId="0" borderId="0" xfId="0" applyNumberFormat="1" applyFont="1"/>
    <xf numFmtId="0" fontId="103" fillId="0" borderId="4" xfId="12" applyFont="1" applyBorder="1"/>
    <xf numFmtId="198" fontId="11" fillId="0" borderId="4" xfId="19" applyNumberFormat="1" applyFont="1" applyBorder="1" applyAlignment="1">
      <alignment horizontal="center" vertical="center"/>
    </xf>
    <xf numFmtId="191" fontId="102" fillId="0" borderId="4" xfId="19" applyNumberFormat="1" applyFont="1" applyBorder="1" applyAlignment="1">
      <alignment horizontal="center" vertical="center"/>
    </xf>
    <xf numFmtId="3" fontId="94" fillId="0" borderId="0" xfId="0" applyNumberFormat="1" applyFont="1" applyAlignment="1">
      <alignment vertical="center"/>
    </xf>
    <xf numFmtId="0" fontId="94" fillId="0" borderId="0" xfId="0" applyFont="1" applyAlignment="1">
      <alignment vertical="center"/>
    </xf>
    <xf numFmtId="0" fontId="151" fillId="0" borderId="0" xfId="0" applyFont="1" applyAlignment="1">
      <alignment vertical="center"/>
    </xf>
    <xf numFmtId="0" fontId="7" fillId="0" borderId="4" xfId="0" applyFont="1" applyBorder="1" applyAlignment="1">
      <alignment horizontal="center" vertical="center" shrinkToFit="1"/>
    </xf>
    <xf numFmtId="0" fontId="12" fillId="0" borderId="4" xfId="20" applyFont="1" applyBorder="1" applyAlignment="1">
      <alignment horizontal="center" vertical="center"/>
    </xf>
    <xf numFmtId="0" fontId="155" fillId="0" borderId="4" xfId="0" applyFont="1" applyBorder="1" applyAlignment="1">
      <alignment horizontal="center" vertical="center"/>
    </xf>
    <xf numFmtId="0" fontId="172" fillId="0" borderId="0" xfId="0" applyFont="1"/>
    <xf numFmtId="3" fontId="18" fillId="0" borderId="4" xfId="10" applyNumberFormat="1" applyFont="1" applyBorder="1" applyAlignment="1">
      <alignment horizontal="center" vertical="center"/>
    </xf>
    <xf numFmtId="3" fontId="32" fillId="0" borderId="4" xfId="19" applyNumberFormat="1" applyFont="1" applyBorder="1" applyAlignment="1">
      <alignment horizontal="center" vertical="center"/>
    </xf>
    <xf numFmtId="0" fontId="148" fillId="0" borderId="0" xfId="20" applyFont="1"/>
    <xf numFmtId="0" fontId="145" fillId="0" borderId="0" xfId="0" applyFont="1"/>
    <xf numFmtId="3" fontId="174" fillId="0" borderId="0" xfId="0" applyNumberFormat="1" applyFont="1"/>
    <xf numFmtId="198" fontId="83" fillId="0" borderId="0" xfId="0" applyNumberFormat="1" applyFont="1"/>
    <xf numFmtId="0" fontId="94" fillId="0" borderId="0" xfId="0" applyFont="1"/>
    <xf numFmtId="0" fontId="94" fillId="0" borderId="0" xfId="0" applyFont="1" applyAlignment="1">
      <alignment horizontal="center"/>
    </xf>
    <xf numFmtId="3" fontId="32" fillId="5" borderId="4" xfId="0" applyNumberFormat="1" applyFont="1" applyFill="1" applyBorder="1"/>
    <xf numFmtId="196" fontId="61" fillId="0" borderId="4" xfId="1" applyFont="1" applyFill="1" applyBorder="1" applyAlignment="1">
      <alignment horizontal="center" vertical="center" wrapText="1"/>
    </xf>
    <xf numFmtId="196" fontId="61" fillId="0" borderId="4" xfId="1" applyFont="1" applyFill="1" applyBorder="1" applyAlignment="1">
      <alignment vertical="center" wrapText="1"/>
    </xf>
    <xf numFmtId="0" fontId="82" fillId="0" borderId="4" xfId="0" applyFont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/>
    </xf>
    <xf numFmtId="0" fontId="103" fillId="5" borderId="4" xfId="12" applyFont="1" applyFill="1" applyBorder="1"/>
    <xf numFmtId="0" fontId="7" fillId="5" borderId="4" xfId="0" applyFont="1" applyFill="1" applyBorder="1"/>
    <xf numFmtId="0" fontId="12" fillId="5" borderId="4" xfId="19" applyFont="1" applyFill="1" applyBorder="1" applyAlignment="1">
      <alignment horizontal="center" vertical="center"/>
    </xf>
    <xf numFmtId="3" fontId="83" fillId="5" borderId="0" xfId="0" applyNumberFormat="1" applyFont="1" applyFill="1"/>
    <xf numFmtId="0" fontId="83" fillId="5" borderId="0" xfId="0" applyFont="1" applyFill="1"/>
    <xf numFmtId="0" fontId="137" fillId="5" borderId="0" xfId="0" applyFont="1" applyFill="1"/>
    <xf numFmtId="204" fontId="184" fillId="0" borderId="4" xfId="1" applyNumberFormat="1" applyFont="1" applyFill="1" applyBorder="1" applyAlignment="1">
      <alignment horizontal="right" vertical="center" wrapText="1"/>
    </xf>
    <xf numFmtId="191" fontId="184" fillId="0" borderId="4" xfId="1" applyNumberFormat="1" applyFont="1" applyFill="1" applyBorder="1" applyAlignment="1">
      <alignment horizontal="right" vertical="center" wrapText="1"/>
    </xf>
    <xf numFmtId="191" fontId="3" fillId="0" borderId="0" xfId="0" applyNumberFormat="1" applyFont="1" applyAlignment="1">
      <alignment vertical="center"/>
    </xf>
    <xf numFmtId="204" fontId="17" fillId="0" borderId="19" xfId="0" applyNumberFormat="1" applyFont="1" applyBorder="1" applyAlignment="1">
      <alignment vertical="center"/>
    </xf>
    <xf numFmtId="204" fontId="11" fillId="0" borderId="11" xfId="0" applyNumberFormat="1" applyFont="1" applyBorder="1" applyAlignment="1">
      <alignment horizontal="center" vertical="center"/>
    </xf>
    <xf numFmtId="204" fontId="11" fillId="0" borderId="19" xfId="0" applyNumberFormat="1" applyFont="1" applyBorder="1" applyAlignment="1">
      <alignment vertical="center"/>
    </xf>
    <xf numFmtId="0" fontId="99" fillId="0" borderId="0" xfId="0" applyFont="1" applyAlignment="1">
      <alignment vertical="center"/>
    </xf>
    <xf numFmtId="204" fontId="11" fillId="0" borderId="4" xfId="0" applyNumberFormat="1" applyFont="1" applyBorder="1" applyAlignment="1">
      <alignment horizontal="center" vertical="center"/>
    </xf>
    <xf numFmtId="205" fontId="11" fillId="0" borderId="9" xfId="0" applyNumberFormat="1" applyFont="1" applyBorder="1" applyAlignment="1">
      <alignment horizontal="center" vertical="center"/>
    </xf>
    <xf numFmtId="204" fontId="11" fillId="0" borderId="19" xfId="0" applyNumberFormat="1" applyFont="1" applyBorder="1" applyAlignment="1">
      <alignment horizontal="center" vertical="center"/>
    </xf>
    <xf numFmtId="204" fontId="11" fillId="0" borderId="11" xfId="0" applyNumberFormat="1" applyFont="1" applyBorder="1" applyAlignment="1">
      <alignment vertical="center"/>
    </xf>
    <xf numFmtId="204" fontId="7" fillId="0" borderId="4" xfId="0" applyNumberFormat="1" applyFont="1" applyBorder="1" applyAlignment="1">
      <alignment horizontal="left" vertical="center" wrapText="1"/>
    </xf>
    <xf numFmtId="204" fontId="161" fillId="0" borderId="11" xfId="0" applyNumberFormat="1" applyFont="1" applyBorder="1" applyAlignment="1">
      <alignment vertical="center"/>
    </xf>
    <xf numFmtId="205" fontId="11" fillId="0" borderId="4" xfId="0" applyNumberFormat="1" applyFont="1" applyBorder="1" applyAlignment="1">
      <alignment horizontal="center" vertical="center"/>
    </xf>
    <xf numFmtId="204" fontId="11" fillId="0" borderId="4" xfId="0" applyNumberFormat="1" applyFont="1" applyBorder="1" applyAlignment="1">
      <alignment horizontal="right" vertical="center"/>
    </xf>
    <xf numFmtId="204" fontId="161" fillId="0" borderId="9" xfId="0" applyNumberFormat="1" applyFont="1" applyBorder="1" applyAlignment="1">
      <alignment vertical="center" wrapText="1"/>
    </xf>
    <xf numFmtId="204" fontId="161" fillId="0" borderId="1" xfId="0" applyNumberFormat="1" applyFont="1" applyBorder="1" applyAlignment="1">
      <alignment vertical="center" wrapText="1"/>
    </xf>
    <xf numFmtId="204" fontId="7" fillId="0" borderId="4" xfId="0" applyNumberFormat="1" applyFont="1" applyBorder="1" applyAlignment="1">
      <alignment horizontal="center" vertical="center"/>
    </xf>
    <xf numFmtId="0" fontId="193" fillId="0" borderId="0" xfId="0" applyFont="1"/>
    <xf numFmtId="204" fontId="11" fillId="0" borderId="4" xfId="0" applyNumberFormat="1" applyFont="1" applyBorder="1" applyAlignment="1">
      <alignment horizontal="left" vertical="center"/>
    </xf>
    <xf numFmtId="204" fontId="162" fillId="0" borderId="1" xfId="0" applyNumberFormat="1" applyFont="1" applyBorder="1" applyAlignment="1">
      <alignment vertical="center"/>
    </xf>
    <xf numFmtId="204" fontId="7" fillId="0" borderId="4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204" fontId="7" fillId="0" borderId="4" xfId="0" applyNumberFormat="1" applyFont="1" applyBorder="1" applyAlignment="1">
      <alignment horizontal="left" vertical="center"/>
    </xf>
    <xf numFmtId="204" fontId="161" fillId="0" borderId="1" xfId="0" applyNumberFormat="1" applyFont="1" applyBorder="1" applyAlignment="1">
      <alignment horizontal="left" vertical="center"/>
    </xf>
    <xf numFmtId="204" fontId="161" fillId="0" borderId="1" xfId="0" applyNumberFormat="1" applyFont="1" applyBorder="1" applyAlignment="1">
      <alignment vertical="center"/>
    </xf>
    <xf numFmtId="204" fontId="7" fillId="0" borderId="0" xfId="0" applyNumberFormat="1" applyFont="1" applyAlignment="1">
      <alignment vertical="center"/>
    </xf>
    <xf numFmtId="204" fontId="102" fillId="0" borderId="4" xfId="0" applyNumberFormat="1" applyFont="1" applyBorder="1" applyAlignment="1">
      <alignment horizontal="left" vertical="center"/>
    </xf>
    <xf numFmtId="204" fontId="162" fillId="0" borderId="17" xfId="0" applyNumberFormat="1" applyFont="1" applyBorder="1" applyAlignment="1">
      <alignment vertical="center"/>
    </xf>
    <xf numFmtId="204" fontId="139" fillId="0" borderId="4" xfId="0" applyNumberFormat="1" applyFont="1" applyBorder="1" applyAlignment="1">
      <alignment horizontal="right" vertical="center"/>
    </xf>
    <xf numFmtId="204" fontId="28" fillId="0" borderId="11" xfId="0" applyNumberFormat="1" applyFont="1" applyBorder="1" applyAlignment="1">
      <alignment horizontal="right" vertical="center"/>
    </xf>
    <xf numFmtId="204" fontId="99" fillId="0" borderId="0" xfId="0" applyNumberFormat="1" applyFont="1" applyAlignment="1">
      <alignment vertical="center"/>
    </xf>
    <xf numFmtId="204" fontId="11" fillId="0" borderId="0" xfId="0" applyNumberFormat="1" applyFont="1" applyAlignment="1">
      <alignment horizontal="center" vertical="center"/>
    </xf>
    <xf numFmtId="0" fontId="154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204" fontId="7" fillId="0" borderId="4" xfId="0" applyNumberFormat="1" applyFont="1" applyBorder="1" applyAlignment="1">
      <alignment vertical="center"/>
    </xf>
    <xf numFmtId="204" fontId="11" fillId="0" borderId="0" xfId="0" applyNumberFormat="1" applyFont="1" applyAlignment="1">
      <alignment vertical="center"/>
    </xf>
    <xf numFmtId="204" fontId="141" fillId="0" borderId="0" xfId="0" applyNumberFormat="1" applyFont="1" applyAlignment="1">
      <alignment horizontal="center" vertical="center"/>
    </xf>
    <xf numFmtId="0" fontId="142" fillId="0" borderId="0" xfId="0" applyFont="1" applyAlignment="1">
      <alignment vertical="center"/>
    </xf>
    <xf numFmtId="204" fontId="7" fillId="0" borderId="0" xfId="0" applyNumberFormat="1" applyFont="1" applyAlignment="1">
      <alignment horizontal="center" vertical="center"/>
    </xf>
    <xf numFmtId="204" fontId="28" fillId="0" borderId="0" xfId="0" applyNumberFormat="1" applyFont="1" applyAlignment="1">
      <alignment horizontal="right" vertical="center"/>
    </xf>
    <xf numFmtId="204" fontId="23" fillId="0" borderId="0" xfId="0" applyNumberFormat="1" applyFont="1" applyAlignment="1">
      <alignment horizontal="center" vertical="center"/>
    </xf>
    <xf numFmtId="204" fontId="2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04" fontId="7" fillId="0" borderId="0" xfId="0" applyNumberFormat="1" applyFont="1" applyAlignment="1">
      <alignment horizontal="left" vertical="center"/>
    </xf>
    <xf numFmtId="204" fontId="45" fillId="0" borderId="0" xfId="0" applyNumberFormat="1" applyFont="1" applyAlignment="1">
      <alignment horizontal="center" vertical="center"/>
    </xf>
    <xf numFmtId="205" fontId="11" fillId="0" borderId="0" xfId="0" applyNumberFormat="1" applyFont="1" applyAlignment="1">
      <alignment horizontal="center" vertical="center"/>
    </xf>
    <xf numFmtId="204" fontId="143" fillId="0" borderId="0" xfId="0" applyNumberFormat="1" applyFont="1" applyAlignment="1">
      <alignment horizontal="center" vertical="center"/>
    </xf>
    <xf numFmtId="204" fontId="7" fillId="0" borderId="0" xfId="0" applyNumberFormat="1" applyFont="1" applyAlignment="1">
      <alignment vertical="center" wrapText="1"/>
    </xf>
    <xf numFmtId="204" fontId="11" fillId="0" borderId="0" xfId="0" applyNumberFormat="1" applyFont="1" applyAlignment="1">
      <alignment horizontal="left" vertical="center"/>
    </xf>
    <xf numFmtId="204" fontId="23" fillId="0" borderId="0" xfId="0" applyNumberFormat="1" applyFont="1" applyAlignment="1">
      <alignment horizontal="right" vertical="center"/>
    </xf>
    <xf numFmtId="204" fontId="28" fillId="0" borderId="25" xfId="0" applyNumberFormat="1" applyFont="1" applyBorder="1" applyAlignment="1">
      <alignment horizontal="right" vertical="center"/>
    </xf>
    <xf numFmtId="205" fontId="11" fillId="0" borderId="24" xfId="0" applyNumberFormat="1" applyFont="1" applyBorder="1" applyAlignment="1">
      <alignment horizontal="center" vertical="center"/>
    </xf>
    <xf numFmtId="204" fontId="143" fillId="0" borderId="19" xfId="0" applyNumberFormat="1" applyFont="1" applyBorder="1" applyAlignment="1">
      <alignment horizontal="center" vertical="center"/>
    </xf>
    <xf numFmtId="204" fontId="99" fillId="0" borderId="11" xfId="0" applyNumberFormat="1" applyFont="1" applyBorder="1" applyAlignment="1">
      <alignment vertical="center"/>
    </xf>
    <xf numFmtId="204" fontId="99" fillId="0" borderId="9" xfId="0" applyNumberFormat="1" applyFont="1" applyBorder="1" applyAlignment="1">
      <alignment vertical="center" wrapText="1"/>
    </xf>
    <xf numFmtId="204" fontId="99" fillId="0" borderId="1" xfId="0" applyNumberFormat="1" applyFont="1" applyBorder="1" applyAlignment="1">
      <alignment vertical="center" wrapText="1"/>
    </xf>
    <xf numFmtId="204" fontId="102" fillId="0" borderId="1" xfId="0" applyNumberFormat="1" applyFont="1" applyBorder="1" applyAlignment="1">
      <alignment vertical="center"/>
    </xf>
    <xf numFmtId="204" fontId="99" fillId="0" borderId="1" xfId="0" applyNumberFormat="1" applyFont="1" applyBorder="1" applyAlignment="1">
      <alignment horizontal="left" vertical="center"/>
    </xf>
    <xf numFmtId="204" fontId="99" fillId="0" borderId="1" xfId="0" applyNumberFormat="1" applyFont="1" applyBorder="1" applyAlignment="1">
      <alignment vertical="center"/>
    </xf>
    <xf numFmtId="204" fontId="102" fillId="0" borderId="17" xfId="0" applyNumberFormat="1" applyFont="1" applyBorder="1" applyAlignment="1">
      <alignment vertical="center"/>
    </xf>
    <xf numFmtId="204" fontId="102" fillId="0" borderId="0" xfId="0" applyNumberFormat="1" applyFont="1" applyAlignment="1">
      <alignment horizontal="left" vertical="center"/>
    </xf>
    <xf numFmtId="204" fontId="102" fillId="0" borderId="0" xfId="0" applyNumberFormat="1" applyFont="1" applyAlignment="1">
      <alignment vertical="center"/>
    </xf>
    <xf numFmtId="204" fontId="139" fillId="0" borderId="0" xfId="0" applyNumberFormat="1" applyFont="1" applyAlignment="1">
      <alignment horizontal="right" vertical="center"/>
    </xf>
    <xf numFmtId="204" fontId="139" fillId="0" borderId="25" xfId="0" applyNumberFormat="1" applyFont="1" applyBorder="1" applyAlignment="1">
      <alignment horizontal="right" vertical="center"/>
    </xf>
    <xf numFmtId="187" fontId="7" fillId="0" borderId="0" xfId="29" applyFont="1" applyFill="1" applyAlignment="1">
      <alignment vertical="center"/>
    </xf>
    <xf numFmtId="197" fontId="7" fillId="0" borderId="0" xfId="0" applyNumberFormat="1" applyFont="1" applyAlignment="1">
      <alignment vertical="center"/>
    </xf>
    <xf numFmtId="204" fontId="7" fillId="0" borderId="14" xfId="0" applyNumberFormat="1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197" fontId="99" fillId="0" borderId="0" xfId="0" applyNumberFormat="1" applyFont="1" applyAlignment="1">
      <alignment vertical="center"/>
    </xf>
    <xf numFmtId="204" fontId="11" fillId="0" borderId="4" xfId="0" applyNumberFormat="1" applyFont="1" applyBorder="1" applyAlignment="1">
      <alignment vertical="center"/>
    </xf>
    <xf numFmtId="204" fontId="11" fillId="0" borderId="22" xfId="0" applyNumberFormat="1" applyFont="1" applyBorder="1" applyAlignment="1">
      <alignment vertical="center"/>
    </xf>
    <xf numFmtId="204" fontId="11" fillId="0" borderId="14" xfId="0" applyNumberFormat="1" applyFont="1" applyBorder="1" applyAlignment="1">
      <alignment vertical="center"/>
    </xf>
    <xf numFmtId="204" fontId="28" fillId="0" borderId="4" xfId="0" applyNumberFormat="1" applyFont="1" applyBorder="1" applyAlignment="1">
      <alignment horizontal="right" vertical="center"/>
    </xf>
    <xf numFmtId="204" fontId="7" fillId="0" borderId="0" xfId="0" applyNumberFormat="1" applyFont="1"/>
    <xf numFmtId="197" fontId="7" fillId="0" borderId="0" xfId="0" applyNumberFormat="1" applyFont="1"/>
    <xf numFmtId="187" fontId="7" fillId="0" borderId="0" xfId="29" applyFont="1" applyFill="1"/>
    <xf numFmtId="187" fontId="7" fillId="0" borderId="0" xfId="0" applyNumberFormat="1" applyFont="1"/>
    <xf numFmtId="204" fontId="7" fillId="6" borderId="4" xfId="0" applyNumberFormat="1" applyFont="1" applyFill="1" applyBorder="1" applyAlignment="1">
      <alignment horizontal="left" vertical="center" wrapText="1"/>
    </xf>
    <xf numFmtId="204" fontId="161" fillId="6" borderId="1" xfId="0" applyNumberFormat="1" applyFont="1" applyFill="1" applyBorder="1" applyAlignment="1">
      <alignment vertical="center" wrapText="1"/>
    </xf>
    <xf numFmtId="204" fontId="7" fillId="6" borderId="4" xfId="0" applyNumberFormat="1" applyFont="1" applyFill="1" applyBorder="1" applyAlignment="1">
      <alignment horizontal="center" vertical="center"/>
    </xf>
    <xf numFmtId="197" fontId="7" fillId="6" borderId="4" xfId="1" applyNumberFormat="1" applyFont="1" applyFill="1" applyBorder="1" applyAlignment="1">
      <alignment horizontal="right" vertical="center" shrinkToFit="1"/>
    </xf>
    <xf numFmtId="204" fontId="11" fillId="6" borderId="4" xfId="0" applyNumberFormat="1" applyFont="1" applyFill="1" applyBorder="1" applyAlignment="1">
      <alignment horizontal="right" vertical="center"/>
    </xf>
    <xf numFmtId="191" fontId="7" fillId="6" borderId="0" xfId="0" applyNumberFormat="1" applyFont="1" applyFill="1"/>
    <xf numFmtId="191" fontId="11" fillId="6" borderId="0" xfId="0" applyNumberFormat="1" applyFont="1" applyFill="1"/>
    <xf numFmtId="0" fontId="42" fillId="0" borderId="4" xfId="0" applyFont="1" applyBorder="1" applyAlignment="1">
      <alignment horizontal="center" vertical="center"/>
    </xf>
    <xf numFmtId="0" fontId="42" fillId="8" borderId="4" xfId="0" applyFont="1" applyFill="1" applyBorder="1" applyAlignment="1">
      <alignment horizontal="center" vertical="center"/>
    </xf>
    <xf numFmtId="197" fontId="26" fillId="0" borderId="4" xfId="1" applyNumberFormat="1" applyFont="1" applyFill="1" applyBorder="1" applyAlignment="1">
      <alignment horizontal="right" vertical="center" wrapText="1"/>
    </xf>
    <xf numFmtId="0" fontId="180" fillId="0" borderId="4" xfId="0" applyFont="1" applyBorder="1" applyAlignment="1">
      <alignment horizontal="center" vertical="center"/>
    </xf>
    <xf numFmtId="1" fontId="159" fillId="0" borderId="4" xfId="1" applyNumberFormat="1" applyFont="1" applyFill="1" applyBorder="1" applyAlignment="1">
      <alignment vertical="center"/>
    </xf>
    <xf numFmtId="0" fontId="133" fillId="0" borderId="4" xfId="0" applyFont="1" applyBorder="1" applyAlignment="1">
      <alignment horizontal="center" vertical="center"/>
    </xf>
    <xf numFmtId="215" fontId="128" fillId="0" borderId="0" xfId="26" applyNumberFormat="1" applyFont="1" applyFill="1" applyBorder="1" applyAlignment="1">
      <alignment vertical="center" wrapText="1"/>
    </xf>
    <xf numFmtId="215" fontId="128" fillId="0" borderId="0" xfId="26" applyNumberFormat="1" applyFont="1" applyFill="1" applyBorder="1" applyAlignment="1">
      <alignment wrapText="1"/>
    </xf>
    <xf numFmtId="215" fontId="133" fillId="0" borderId="0" xfId="26" applyNumberFormat="1" applyFont="1" applyFill="1" applyBorder="1" applyAlignment="1">
      <alignment wrapText="1"/>
    </xf>
    <xf numFmtId="215" fontId="158" fillId="0" borderId="0" xfId="26" applyNumberFormat="1" applyFont="1" applyFill="1" applyBorder="1" applyAlignment="1">
      <alignment vertical="center" wrapText="1"/>
    </xf>
    <xf numFmtId="215" fontId="159" fillId="0" borderId="0" xfId="26" applyNumberFormat="1" applyFont="1" applyFill="1" applyBorder="1" applyAlignment="1">
      <alignment wrapText="1"/>
    </xf>
    <xf numFmtId="0" fontId="133" fillId="0" borderId="0" xfId="0" applyFont="1"/>
    <xf numFmtId="3" fontId="128" fillId="0" borderId="0" xfId="26" applyNumberFormat="1" applyFont="1" applyFill="1" applyBorder="1" applyAlignment="1">
      <alignment horizontal="right" wrapText="1"/>
    </xf>
    <xf numFmtId="198" fontId="102" fillId="0" borderId="4" xfId="0" applyNumberFormat="1" applyFont="1" applyBorder="1" applyAlignment="1">
      <alignment vertical="center"/>
    </xf>
    <xf numFmtId="10" fontId="95" fillId="0" borderId="4" xfId="21" applyNumberFormat="1" applyFont="1" applyFill="1" applyBorder="1" applyAlignment="1">
      <alignment horizontal="center"/>
    </xf>
    <xf numFmtId="197" fontId="109" fillId="0" borderId="4" xfId="1" applyNumberFormat="1" applyFont="1" applyFill="1" applyBorder="1" applyAlignment="1">
      <alignment vertical="center" shrinkToFit="1"/>
    </xf>
    <xf numFmtId="203" fontId="109" fillId="0" borderId="4" xfId="1" applyNumberFormat="1" applyFont="1" applyFill="1" applyBorder="1" applyAlignment="1">
      <alignment horizontal="right" vertical="center" wrapText="1"/>
    </xf>
    <xf numFmtId="213" fontId="82" fillId="0" borderId="4" xfId="5" applyNumberFormat="1" applyFont="1" applyFill="1" applyBorder="1" applyAlignment="1">
      <alignment vertical="center"/>
    </xf>
    <xf numFmtId="1" fontId="99" fillId="0" borderId="10" xfId="0" applyNumberFormat="1" applyFont="1" applyBorder="1" applyAlignment="1">
      <alignment horizontal="center" vertical="center"/>
    </xf>
    <xf numFmtId="198" fontId="99" fillId="0" borderId="11" xfId="1" applyNumberFormat="1" applyFont="1" applyFill="1" applyBorder="1" applyAlignment="1">
      <alignment horizontal="right" vertical="center" shrinkToFit="1"/>
    </xf>
    <xf numFmtId="191" fontId="99" fillId="0" borderId="11" xfId="1" applyNumberFormat="1" applyFont="1" applyFill="1" applyBorder="1" applyAlignment="1">
      <alignment horizontal="center" vertical="center"/>
    </xf>
    <xf numFmtId="237" fontId="12" fillId="0" borderId="0" xfId="1" applyNumberFormat="1" applyFont="1" applyFill="1" applyAlignment="1"/>
    <xf numFmtId="0" fontId="7" fillId="5" borderId="4" xfId="0" applyFont="1" applyFill="1" applyBorder="1" applyAlignment="1">
      <alignment vertical="center" wrapText="1"/>
    </xf>
    <xf numFmtId="191" fontId="7" fillId="5" borderId="4" xfId="0" applyNumberFormat="1" applyFont="1" applyFill="1" applyBorder="1" applyAlignment="1">
      <alignment horizontal="left" vertical="center"/>
    </xf>
    <xf numFmtId="3" fontId="7" fillId="5" borderId="4" xfId="0" applyNumberFormat="1" applyFont="1" applyFill="1" applyBorder="1" applyAlignment="1">
      <alignment vertical="center" wrapText="1"/>
    </xf>
    <xf numFmtId="0" fontId="7" fillId="5" borderId="4" xfId="0" applyFont="1" applyFill="1" applyBorder="1" applyAlignment="1">
      <alignment shrinkToFit="1"/>
    </xf>
    <xf numFmtId="0" fontId="99" fillId="5" borderId="4" xfId="0" applyFont="1" applyFill="1" applyBorder="1"/>
    <xf numFmtId="0" fontId="99" fillId="5" borderId="4" xfId="0" applyFont="1" applyFill="1" applyBorder="1" applyAlignment="1">
      <alignment shrinkToFit="1"/>
    </xf>
    <xf numFmtId="0" fontId="103" fillId="5" borderId="4" xfId="13" applyFont="1" applyFill="1" applyBorder="1" applyAlignment="1">
      <alignment vertical="center"/>
    </xf>
    <xf numFmtId="0" fontId="103" fillId="5" borderId="4" xfId="12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213" fontId="159" fillId="0" borderId="4" xfId="1" applyNumberFormat="1" applyFont="1" applyFill="1" applyBorder="1" applyAlignment="1" applyProtection="1">
      <alignment horizontal="center" vertical="center"/>
    </xf>
    <xf numFmtId="213" fontId="159" fillId="4" borderId="4" xfId="1" applyNumberFormat="1" applyFont="1" applyFill="1" applyBorder="1" applyAlignment="1" applyProtection="1">
      <alignment horizontal="center" vertical="center"/>
    </xf>
    <xf numFmtId="197" fontId="159" fillId="0" borderId="4" xfId="1" applyNumberFormat="1" applyFont="1" applyFill="1" applyBorder="1" applyAlignment="1">
      <alignment horizontal="center" vertical="center" wrapText="1"/>
    </xf>
    <xf numFmtId="2" fontId="159" fillId="4" borderId="4" xfId="0" applyNumberFormat="1" applyFont="1" applyFill="1" applyBorder="1" applyAlignment="1">
      <alignment horizontal="center" vertical="center"/>
    </xf>
    <xf numFmtId="1" fontId="159" fillId="0" borderId="4" xfId="0" applyNumberFormat="1" applyFont="1" applyBorder="1" applyAlignment="1">
      <alignment horizontal="center" vertical="center"/>
    </xf>
    <xf numFmtId="1" fontId="103" fillId="0" borderId="0" xfId="1" applyNumberFormat="1" applyFont="1" applyFill="1" applyAlignment="1">
      <alignment vertical="center"/>
    </xf>
    <xf numFmtId="0" fontId="103" fillId="0" borderId="4" xfId="12" applyFont="1" applyBorder="1" applyAlignment="1">
      <alignment vertical="center"/>
    </xf>
    <xf numFmtId="0" fontId="99" fillId="0" borderId="4" xfId="0" applyFont="1" applyBorder="1" applyAlignment="1">
      <alignment horizontal="center" vertical="center"/>
    </xf>
    <xf numFmtId="0" fontId="99" fillId="0" borderId="4" xfId="0" applyFont="1" applyBorder="1" applyAlignment="1">
      <alignment vertical="center"/>
    </xf>
    <xf numFmtId="0" fontId="101" fillId="0" borderId="4" xfId="19" applyFont="1" applyBorder="1" applyAlignment="1">
      <alignment horizontal="center" vertical="center"/>
    </xf>
    <xf numFmtId="191" fontId="99" fillId="0" borderId="4" xfId="19" applyNumberFormat="1" applyFont="1" applyBorder="1" applyAlignment="1">
      <alignment horizontal="center" vertical="center"/>
    </xf>
    <xf numFmtId="191" fontId="192" fillId="0" borderId="4" xfId="19" applyNumberFormat="1" applyFont="1" applyBorder="1" applyAlignment="1">
      <alignment horizontal="center" vertical="center"/>
    </xf>
    <xf numFmtId="198" fontId="99" fillId="0" borderId="4" xfId="0" applyNumberFormat="1" applyFont="1" applyBorder="1" applyAlignment="1">
      <alignment vertical="center"/>
    </xf>
    <xf numFmtId="3" fontId="137" fillId="0" borderId="0" xfId="0" applyNumberFormat="1" applyFont="1"/>
    <xf numFmtId="0" fontId="99" fillId="5" borderId="4" xfId="0" applyFont="1" applyFill="1" applyBorder="1" applyAlignment="1">
      <alignment vertical="center"/>
    </xf>
    <xf numFmtId="0" fontId="7" fillId="5" borderId="4" xfId="0" applyFont="1" applyFill="1" applyBorder="1" applyAlignment="1">
      <alignment horizontal="left" vertical="center" wrapText="1"/>
    </xf>
    <xf numFmtId="3" fontId="7" fillId="5" borderId="4" xfId="0" applyNumberFormat="1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3" fontId="99" fillId="5" borderId="4" xfId="0" applyNumberFormat="1" applyFont="1" applyFill="1" applyBorder="1" applyAlignment="1">
      <alignment horizontal="left" vertical="center"/>
    </xf>
    <xf numFmtId="0" fontId="99" fillId="5" borderId="4" xfId="0" applyFont="1" applyFill="1" applyBorder="1" applyAlignment="1">
      <alignment horizontal="left" vertical="center" wrapText="1"/>
    </xf>
    <xf numFmtId="0" fontId="194" fillId="5" borderId="4" xfId="0" applyFont="1" applyFill="1" applyBorder="1" applyAlignment="1">
      <alignment horizontal="left" vertical="center" wrapText="1"/>
    </xf>
    <xf numFmtId="0" fontId="103" fillId="5" borderId="4" xfId="10" applyFont="1" applyFill="1" applyBorder="1"/>
    <xf numFmtId="1" fontId="159" fillId="5" borderId="4" xfId="26" applyNumberFormat="1" applyFont="1" applyFill="1" applyBorder="1" applyAlignment="1" applyProtection="1">
      <alignment horizontal="center" vertical="center" wrapText="1"/>
    </xf>
    <xf numFmtId="200" fontId="159" fillId="5" borderId="4" xfId="0" applyNumberFormat="1" applyFont="1" applyFill="1" applyBorder="1" applyAlignment="1">
      <alignment horizontal="center"/>
    </xf>
    <xf numFmtId="191" fontId="196" fillId="0" borderId="4" xfId="1" applyNumberFormat="1" applyFont="1" applyFill="1" applyBorder="1" applyAlignment="1">
      <alignment horizontal="right" vertical="center" shrinkToFit="1"/>
    </xf>
    <xf numFmtId="191" fontId="197" fillId="0" borderId="4" xfId="1" applyNumberFormat="1" applyFont="1" applyFill="1" applyBorder="1" applyAlignment="1">
      <alignment horizontal="right" vertical="center" shrinkToFit="1"/>
    </xf>
    <xf numFmtId="1" fontId="82" fillId="0" borderId="14" xfId="0" applyNumberFormat="1" applyFont="1" applyBorder="1" applyAlignment="1">
      <alignment horizontal="center" vertical="center" wrapText="1"/>
    </xf>
    <xf numFmtId="1" fontId="82" fillId="0" borderId="22" xfId="0" applyNumberFormat="1" applyFont="1" applyBorder="1" applyAlignment="1">
      <alignment horizontal="center" vertical="center" wrapText="1"/>
    </xf>
    <xf numFmtId="1" fontId="82" fillId="0" borderId="19" xfId="0" applyNumberFormat="1" applyFont="1" applyBorder="1" applyAlignment="1">
      <alignment horizontal="center" vertical="center" wrapText="1"/>
    </xf>
    <xf numFmtId="191" fontId="12" fillId="0" borderId="0" xfId="0" applyNumberFormat="1" applyFont="1" applyFill="1"/>
    <xf numFmtId="191" fontId="12" fillId="0" borderId="0" xfId="0" applyNumberFormat="1" applyFont="1" applyFill="1" applyAlignment="1">
      <alignment vertical="center"/>
    </xf>
    <xf numFmtId="191" fontId="12" fillId="0" borderId="0" xfId="0" applyNumberFormat="1" applyFont="1" applyFill="1" applyAlignment="1">
      <alignment horizontal="center"/>
    </xf>
    <xf numFmtId="191" fontId="12" fillId="0" borderId="0" xfId="0" applyNumberFormat="1" applyFont="1" applyFill="1" applyAlignment="1">
      <alignment shrinkToFit="1"/>
    </xf>
    <xf numFmtId="191" fontId="7" fillId="0" borderId="0" xfId="0" applyNumberFormat="1" applyFont="1" applyFill="1"/>
    <xf numFmtId="0" fontId="11" fillId="0" borderId="4" xfId="0" applyFont="1" applyFill="1" applyBorder="1" applyAlignment="1">
      <alignment horizontal="left"/>
    </xf>
    <xf numFmtId="214" fontId="11" fillId="0" borderId="0" xfId="0" applyNumberFormat="1" applyFont="1" applyFill="1"/>
    <xf numFmtId="191" fontId="95" fillId="0" borderId="0" xfId="0" applyNumberFormat="1" applyFont="1" applyFill="1" applyAlignment="1">
      <alignment horizontal="center"/>
    </xf>
    <xf numFmtId="3" fontId="11" fillId="0" borderId="4" xfId="0" applyNumberFormat="1" applyFont="1" applyFill="1" applyBorder="1" applyAlignment="1">
      <alignment horizontal="left"/>
    </xf>
    <xf numFmtId="191" fontId="84" fillId="0" borderId="0" xfId="0" applyNumberFormat="1" applyFont="1" applyFill="1" applyAlignment="1">
      <alignment horizontal="center"/>
    </xf>
    <xf numFmtId="191" fontId="164" fillId="0" borderId="0" xfId="0" applyNumberFormat="1" applyFont="1" applyFill="1"/>
    <xf numFmtId="0" fontId="11" fillId="0" borderId="4" xfId="0" applyFont="1" applyFill="1" applyBorder="1"/>
    <xf numFmtId="3" fontId="95" fillId="0" borderId="4" xfId="0" applyNumberFormat="1" applyFont="1" applyFill="1" applyBorder="1"/>
    <xf numFmtId="214" fontId="168" fillId="0" borderId="0" xfId="0" applyNumberFormat="1" applyFont="1" applyFill="1"/>
    <xf numFmtId="191" fontId="10" fillId="0" borderId="0" xfId="0" applyNumberFormat="1" applyFont="1" applyFill="1"/>
    <xf numFmtId="191" fontId="111" fillId="0" borderId="0" xfId="0" applyNumberFormat="1" applyFont="1" applyFill="1" applyAlignment="1">
      <alignment horizontal="center"/>
    </xf>
    <xf numFmtId="3" fontId="11" fillId="0" borderId="4" xfId="0" applyNumberFormat="1" applyFont="1" applyFill="1" applyBorder="1" applyAlignment="1">
      <alignment horizontal="center"/>
    </xf>
    <xf numFmtId="191" fontId="3" fillId="0" borderId="0" xfId="0" applyNumberFormat="1" applyFont="1" applyFill="1" applyAlignment="1">
      <alignment vertical="center"/>
    </xf>
    <xf numFmtId="191" fontId="3" fillId="0" borderId="0" xfId="0" applyNumberFormat="1" applyFont="1" applyFill="1" applyAlignment="1">
      <alignment horizontal="center"/>
    </xf>
    <xf numFmtId="214" fontId="109" fillId="0" borderId="0" xfId="0" applyNumberFormat="1" applyFont="1" applyFill="1"/>
    <xf numFmtId="3" fontId="7" fillId="0" borderId="0" xfId="0" applyNumberFormat="1" applyFont="1" applyFill="1"/>
    <xf numFmtId="191" fontId="9" fillId="0" borderId="0" xfId="0" applyNumberFormat="1" applyFont="1" applyFill="1" applyAlignment="1">
      <alignment vertical="center"/>
    </xf>
    <xf numFmtId="191" fontId="9" fillId="0" borderId="0" xfId="0" applyNumberFormat="1" applyFont="1" applyFill="1" applyAlignment="1">
      <alignment horizontal="center"/>
    </xf>
    <xf numFmtId="211" fontId="82" fillId="0" borderId="0" xfId="0" applyNumberFormat="1" applyFont="1" applyFill="1" applyAlignment="1">
      <alignment horizontal="left"/>
    </xf>
    <xf numFmtId="203" fontId="7" fillId="0" borderId="0" xfId="0" applyNumberFormat="1" applyFont="1" applyFill="1"/>
    <xf numFmtId="217" fontId="164" fillId="0" borderId="0" xfId="0" applyNumberFormat="1" applyFont="1" applyFill="1" applyAlignment="1">
      <alignment horizontal="center" vertical="center"/>
    </xf>
    <xf numFmtId="211" fontId="164" fillId="0" borderId="0" xfId="0" applyNumberFormat="1" applyFont="1" applyFill="1" applyAlignment="1">
      <alignment vertical="center"/>
    </xf>
    <xf numFmtId="191" fontId="26" fillId="0" borderId="0" xfId="0" applyNumberFormat="1" applyFont="1" applyFill="1" applyAlignment="1">
      <alignment horizontal="center" vertical="center"/>
    </xf>
    <xf numFmtId="191" fontId="11" fillId="0" borderId="0" xfId="0" applyNumberFormat="1" applyFont="1" applyFill="1" applyAlignment="1">
      <alignment horizontal="center"/>
    </xf>
    <xf numFmtId="191" fontId="10" fillId="0" borderId="0" xfId="0" applyNumberFormat="1" applyFont="1" applyFill="1" applyAlignment="1">
      <alignment horizontal="center"/>
    </xf>
    <xf numFmtId="191" fontId="26" fillId="0" borderId="4" xfId="0" applyNumberFormat="1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top" wrapText="1"/>
    </xf>
    <xf numFmtId="191" fontId="11" fillId="0" borderId="0" xfId="0" applyNumberFormat="1" applyFont="1" applyFill="1" applyAlignment="1">
      <alignment horizontal="center" vertical="center"/>
    </xf>
    <xf numFmtId="191" fontId="10" fillId="0" borderId="0" xfId="0" applyNumberFormat="1" applyFont="1" applyFill="1" applyAlignment="1">
      <alignment horizontal="center" vertical="center"/>
    </xf>
    <xf numFmtId="191" fontId="26" fillId="0" borderId="4" xfId="0" applyNumberFormat="1" applyFont="1" applyFill="1" applyBorder="1" applyAlignment="1">
      <alignment horizontal="center"/>
    </xf>
    <xf numFmtId="191" fontId="26" fillId="0" borderId="0" xfId="0" applyNumberFormat="1" applyFont="1" applyFill="1" applyAlignment="1">
      <alignment horizontal="center"/>
    </xf>
    <xf numFmtId="191" fontId="82" fillId="0" borderId="4" xfId="0" applyNumberFormat="1" applyFont="1" applyFill="1" applyBorder="1" applyAlignment="1">
      <alignment vertical="center" shrinkToFit="1"/>
    </xf>
    <xf numFmtId="211" fontId="82" fillId="0" borderId="4" xfId="0" applyNumberFormat="1" applyFont="1" applyFill="1" applyBorder="1" applyAlignment="1">
      <alignment vertical="center" shrinkToFit="1"/>
    </xf>
    <xf numFmtId="191" fontId="82" fillId="0" borderId="4" xfId="0" applyNumberFormat="1" applyFont="1" applyFill="1" applyBorder="1" applyAlignment="1">
      <alignment horizontal="left" vertical="center"/>
    </xf>
    <xf numFmtId="191" fontId="82" fillId="0" borderId="0" xfId="0" applyNumberFormat="1" applyFont="1" applyFill="1" applyAlignment="1">
      <alignment horizontal="left" vertical="center"/>
    </xf>
    <xf numFmtId="191" fontId="164" fillId="0" borderId="0" xfId="0" applyNumberFormat="1" applyFont="1" applyFill="1" applyAlignment="1">
      <alignment horizontal="center" vertical="center"/>
    </xf>
    <xf numFmtId="191" fontId="82" fillId="0" borderId="4" xfId="0" applyNumberFormat="1" applyFont="1" applyFill="1" applyBorder="1" applyAlignment="1">
      <alignment horizontal="right" vertical="center"/>
    </xf>
    <xf numFmtId="211" fontId="172" fillId="0" borderId="4" xfId="0" applyNumberFormat="1" applyFont="1" applyFill="1" applyBorder="1" applyAlignment="1">
      <alignment vertical="center" shrinkToFit="1"/>
    </xf>
    <xf numFmtId="191" fontId="172" fillId="0" borderId="4" xfId="0" applyNumberFormat="1" applyFont="1" applyFill="1" applyBorder="1" applyAlignment="1">
      <alignment horizontal="right" vertical="center"/>
    </xf>
    <xf numFmtId="191" fontId="172" fillId="0" borderId="4" xfId="0" applyNumberFormat="1" applyFont="1" applyFill="1" applyBorder="1" applyAlignment="1">
      <alignment horizontal="left" vertical="center"/>
    </xf>
    <xf numFmtId="191" fontId="172" fillId="0" borderId="0" xfId="0" applyNumberFormat="1" applyFont="1" applyFill="1" applyAlignment="1">
      <alignment horizontal="left" vertical="center"/>
    </xf>
    <xf numFmtId="191" fontId="99" fillId="0" borderId="0" xfId="0" applyNumberFormat="1" applyFont="1" applyFill="1" applyAlignment="1">
      <alignment vertical="center"/>
    </xf>
    <xf numFmtId="191" fontId="192" fillId="0" borderId="0" xfId="0" applyNumberFormat="1" applyFont="1" applyFill="1" applyAlignment="1">
      <alignment vertical="center"/>
    </xf>
    <xf numFmtId="191" fontId="7" fillId="0" borderId="0" xfId="0" applyNumberFormat="1" applyFont="1" applyFill="1" applyAlignment="1">
      <alignment vertical="center"/>
    </xf>
    <xf numFmtId="191" fontId="15" fillId="0" borderId="0" xfId="0" applyNumberFormat="1" applyFont="1" applyFill="1" applyAlignment="1">
      <alignment vertical="center"/>
    </xf>
    <xf numFmtId="191" fontId="12" fillId="0" borderId="4" xfId="0" applyNumberFormat="1" applyFont="1" applyFill="1" applyBorder="1" applyAlignment="1">
      <alignment vertical="center"/>
    </xf>
    <xf numFmtId="191" fontId="12" fillId="0" borderId="4" xfId="0" applyNumberFormat="1" applyFont="1" applyFill="1" applyBorder="1" applyAlignment="1">
      <alignment horizontal="left" vertical="center" shrinkToFit="1"/>
    </xf>
    <xf numFmtId="191" fontId="82" fillId="0" borderId="4" xfId="0" applyNumberFormat="1" applyFont="1" applyFill="1" applyBorder="1" applyAlignment="1">
      <alignment horizontal="left" vertical="center" shrinkToFit="1"/>
    </xf>
    <xf numFmtId="211" fontId="82" fillId="0" borderId="4" xfId="0" applyNumberFormat="1" applyFont="1" applyFill="1" applyBorder="1" applyAlignment="1">
      <alignment horizontal="left" vertical="center" wrapText="1"/>
    </xf>
    <xf numFmtId="191" fontId="189" fillId="0" borderId="4" xfId="0" applyNumberFormat="1" applyFont="1" applyFill="1" applyBorder="1" applyAlignment="1">
      <alignment horizontal="left" vertical="center"/>
    </xf>
    <xf numFmtId="191" fontId="172" fillId="0" borderId="4" xfId="0" applyNumberFormat="1" applyFont="1" applyFill="1" applyBorder="1" applyAlignment="1">
      <alignment horizontal="left" vertical="center" shrinkToFit="1"/>
    </xf>
    <xf numFmtId="211" fontId="172" fillId="0" borderId="4" xfId="0" applyNumberFormat="1" applyFont="1" applyFill="1" applyBorder="1" applyAlignment="1">
      <alignment horizontal="left" vertical="center" wrapText="1"/>
    </xf>
    <xf numFmtId="191" fontId="82" fillId="0" borderId="4" xfId="0" applyNumberFormat="1" applyFont="1" applyFill="1" applyBorder="1" applyAlignment="1">
      <alignment vertical="center"/>
    </xf>
    <xf numFmtId="191" fontId="82" fillId="0" borderId="0" xfId="0" applyNumberFormat="1" applyFont="1" applyFill="1" applyAlignment="1">
      <alignment vertical="center"/>
    </xf>
    <xf numFmtId="191" fontId="109" fillId="0" borderId="0" xfId="0" applyNumberFormat="1" applyFont="1" applyFill="1" applyAlignment="1">
      <alignment vertical="center"/>
    </xf>
    <xf numFmtId="191" fontId="15" fillId="0" borderId="0" xfId="0" applyNumberFormat="1" applyFont="1" applyFill="1"/>
    <xf numFmtId="191" fontId="15" fillId="0" borderId="0" xfId="0" applyNumberFormat="1" applyFont="1" applyFill="1" applyAlignment="1">
      <alignment horizontal="center"/>
    </xf>
    <xf numFmtId="191" fontId="11" fillId="0" borderId="0" xfId="0" applyNumberFormat="1" applyFont="1" applyFill="1" applyAlignment="1">
      <alignment vertical="center" shrinkToFit="1"/>
    </xf>
    <xf numFmtId="191" fontId="11" fillId="0" borderId="0" xfId="0" applyNumberFormat="1" applyFont="1" applyFill="1" applyAlignment="1">
      <alignment horizontal="center" shrinkToFit="1"/>
    </xf>
    <xf numFmtId="191" fontId="125" fillId="0" borderId="0" xfId="0" applyNumberFormat="1" applyFont="1" applyFill="1" applyAlignment="1">
      <alignment horizontal="center"/>
    </xf>
    <xf numFmtId="191" fontId="117" fillId="0" borderId="0" xfId="0" applyNumberFormat="1" applyFont="1" applyFill="1"/>
    <xf numFmtId="211" fontId="12" fillId="0" borderId="0" xfId="0" applyNumberFormat="1" applyFont="1" applyFill="1"/>
    <xf numFmtId="191" fontId="9" fillId="0" borderId="0" xfId="0" applyNumberFormat="1" applyFont="1" applyFill="1"/>
    <xf numFmtId="191" fontId="11" fillId="0" borderId="0" xfId="0" applyNumberFormat="1" applyFont="1" applyFill="1"/>
    <xf numFmtId="191" fontId="26" fillId="0" borderId="0" xfId="0" applyNumberFormat="1" applyFont="1" applyFill="1" applyAlignment="1">
      <alignment vertical="center"/>
    </xf>
    <xf numFmtId="4" fontId="26" fillId="0" borderId="0" xfId="0" applyNumberFormat="1" applyFont="1" applyFill="1"/>
    <xf numFmtId="191" fontId="26" fillId="0" borderId="0" xfId="0" applyNumberFormat="1" applyFont="1" applyFill="1"/>
    <xf numFmtId="211" fontId="26" fillId="0" borderId="0" xfId="0" applyNumberFormat="1" applyFont="1" applyFill="1"/>
    <xf numFmtId="0" fontId="26" fillId="0" borderId="0" xfId="0" applyFont="1" applyFill="1"/>
    <xf numFmtId="211" fontId="84" fillId="0" borderId="0" xfId="0" applyNumberFormat="1" applyFont="1" applyFill="1"/>
    <xf numFmtId="191" fontId="10" fillId="0" borderId="0" xfId="0" applyNumberFormat="1" applyFont="1" applyFill="1" applyAlignment="1">
      <alignment vertical="center"/>
    </xf>
    <xf numFmtId="4" fontId="10" fillId="0" borderId="0" xfId="0" applyNumberFormat="1" applyFont="1" applyFill="1"/>
    <xf numFmtId="211" fontId="10" fillId="0" borderId="0" xfId="0" applyNumberFormat="1" applyFont="1" applyFill="1"/>
    <xf numFmtId="211" fontId="3" fillId="0" borderId="0" xfId="0" applyNumberFormat="1" applyFont="1" applyFill="1" applyAlignment="1">
      <alignment horizontal="center"/>
    </xf>
    <xf numFmtId="211" fontId="10" fillId="0" borderId="0" xfId="0" applyNumberFormat="1" applyFont="1" applyFill="1" applyAlignment="1">
      <alignment horizontal="center"/>
    </xf>
    <xf numFmtId="191" fontId="18" fillId="0" borderId="0" xfId="0" applyNumberFormat="1" applyFont="1" applyFill="1" applyAlignment="1">
      <alignment horizontal="center" vertical="center"/>
    </xf>
    <xf numFmtId="191" fontId="82" fillId="0" borderId="0" xfId="0" applyNumberFormat="1" applyFont="1" applyFill="1" applyAlignment="1">
      <alignment horizontal="center" vertical="center"/>
    </xf>
    <xf numFmtId="223" fontId="10" fillId="0" borderId="0" xfId="0" applyNumberFormat="1" applyFont="1" applyFill="1" applyAlignment="1">
      <alignment horizontal="center"/>
    </xf>
    <xf numFmtId="211" fontId="8" fillId="0" borderId="0" xfId="0" applyNumberFormat="1" applyFont="1" applyFill="1"/>
    <xf numFmtId="213" fontId="8" fillId="0" borderId="0" xfId="0" applyNumberFormat="1" applyFont="1" applyFill="1"/>
    <xf numFmtId="214" fontId="12" fillId="0" borderId="0" xfId="0" applyNumberFormat="1" applyFont="1" applyFill="1"/>
    <xf numFmtId="214" fontId="12" fillId="0" borderId="0" xfId="0" applyNumberFormat="1" applyFont="1" applyFill="1" applyAlignment="1">
      <alignment horizontal="center"/>
    </xf>
    <xf numFmtId="191" fontId="12" fillId="0" borderId="0" xfId="0" applyNumberFormat="1" applyFont="1" applyFill="1" applyAlignment="1">
      <alignment horizontal="left"/>
    </xf>
    <xf numFmtId="191" fontId="12" fillId="0" borderId="0" xfId="0" applyNumberFormat="1" applyFont="1" applyFill="1" applyAlignment="1">
      <alignment horizontal="right"/>
    </xf>
    <xf numFmtId="191" fontId="109" fillId="0" borderId="0" xfId="0" applyNumberFormat="1" applyFont="1" applyFill="1"/>
    <xf numFmtId="214" fontId="113" fillId="0" borderId="0" xfId="0" applyNumberFormat="1" applyFont="1" applyFill="1"/>
    <xf numFmtId="0" fontId="95" fillId="0" borderId="4" xfId="0" applyFont="1" applyFill="1" applyBorder="1"/>
    <xf numFmtId="191" fontId="95" fillId="0" borderId="0" xfId="0" applyNumberFormat="1" applyFont="1" applyFill="1"/>
    <xf numFmtId="191" fontId="95" fillId="0" borderId="0" xfId="0" applyNumberFormat="1" applyFont="1" applyFill="1" applyAlignment="1">
      <alignment vertical="center"/>
    </xf>
    <xf numFmtId="3" fontId="109" fillId="0" borderId="0" xfId="0" applyNumberFormat="1" applyFont="1" applyFill="1"/>
    <xf numFmtId="4" fontId="95" fillId="0" borderId="0" xfId="0" applyNumberFormat="1" applyFont="1" applyFill="1" applyAlignment="1">
      <alignment horizontal="center"/>
    </xf>
    <xf numFmtId="3" fontId="95" fillId="0" borderId="4" xfId="0" applyNumberFormat="1" applyFont="1" applyFill="1" applyBorder="1" applyAlignment="1">
      <alignment horizontal="center"/>
    </xf>
    <xf numFmtId="191" fontId="109" fillId="0" borderId="0" xfId="0" applyNumberFormat="1" applyFont="1" applyFill="1" applyAlignment="1">
      <alignment horizontal="center"/>
    </xf>
    <xf numFmtId="211" fontId="109" fillId="0" borderId="0" xfId="0" applyNumberFormat="1" applyFont="1" applyFill="1" applyAlignment="1">
      <alignment horizontal="left"/>
    </xf>
    <xf numFmtId="203" fontId="109" fillId="0" borderId="0" xfId="0" applyNumberFormat="1" applyFont="1" applyFill="1"/>
    <xf numFmtId="191" fontId="184" fillId="0" borderId="4" xfId="0" applyNumberFormat="1" applyFont="1" applyFill="1" applyBorder="1" applyAlignment="1">
      <alignment horizontal="center" vertical="center" wrapText="1"/>
    </xf>
    <xf numFmtId="0" fontId="184" fillId="0" borderId="10" xfId="0" applyFont="1" applyFill="1" applyBorder="1" applyAlignment="1">
      <alignment horizontal="center" vertical="top" wrapText="1"/>
    </xf>
    <xf numFmtId="191" fontId="95" fillId="0" borderId="0" xfId="0" applyNumberFormat="1" applyFont="1" applyFill="1" applyAlignment="1">
      <alignment horizontal="center" vertical="center"/>
    </xf>
    <xf numFmtId="191" fontId="185" fillId="0" borderId="4" xfId="0" applyNumberFormat="1" applyFont="1" applyFill="1" applyBorder="1" applyAlignment="1">
      <alignment horizontal="center" vertical="center" shrinkToFit="1"/>
    </xf>
    <xf numFmtId="191" fontId="185" fillId="0" borderId="4" xfId="0" applyNumberFormat="1" applyFont="1" applyFill="1" applyBorder="1" applyAlignment="1">
      <alignment horizontal="left" vertical="center" shrinkToFit="1"/>
    </xf>
    <xf numFmtId="211" fontId="185" fillId="0" borderId="4" xfId="0" applyNumberFormat="1" applyFont="1" applyFill="1" applyBorder="1" applyAlignment="1">
      <alignment horizontal="left" vertical="center" shrinkToFit="1"/>
    </xf>
    <xf numFmtId="191" fontId="185" fillId="0" borderId="4" xfId="0" applyNumberFormat="1" applyFont="1" applyFill="1" applyBorder="1" applyAlignment="1">
      <alignment vertical="center" shrinkToFit="1"/>
    </xf>
    <xf numFmtId="211" fontId="185" fillId="0" borderId="4" xfId="0" applyNumberFormat="1" applyFont="1" applyFill="1" applyBorder="1" applyAlignment="1">
      <alignment vertical="center" shrinkToFit="1"/>
    </xf>
    <xf numFmtId="191" fontId="185" fillId="0" borderId="19" xfId="0" applyNumberFormat="1" applyFont="1" applyFill="1" applyBorder="1" applyAlignment="1">
      <alignment horizontal="left" vertical="center" shrinkToFit="1"/>
    </xf>
    <xf numFmtId="191" fontId="186" fillId="0" borderId="22" xfId="0" applyNumberFormat="1" applyFont="1" applyFill="1" applyBorder="1" applyAlignment="1">
      <alignment horizontal="left" vertical="center" shrinkToFit="1"/>
    </xf>
    <xf numFmtId="191" fontId="186" fillId="0" borderId="4" xfId="0" applyNumberFormat="1" applyFont="1" applyFill="1" applyBorder="1" applyAlignment="1">
      <alignment horizontal="left" vertical="center" shrinkToFit="1"/>
    </xf>
    <xf numFmtId="191" fontId="186" fillId="0" borderId="19" xfId="0" applyNumberFormat="1" applyFont="1" applyFill="1" applyBorder="1" applyAlignment="1">
      <alignment horizontal="left" vertical="center" shrinkToFit="1"/>
    </xf>
    <xf numFmtId="211" fontId="186" fillId="0" borderId="4" xfId="0" applyNumberFormat="1" applyFont="1" applyFill="1" applyBorder="1" applyAlignment="1">
      <alignment horizontal="left" vertical="center" shrinkToFit="1"/>
    </xf>
    <xf numFmtId="191" fontId="186" fillId="0" borderId="4" xfId="0" applyNumberFormat="1" applyFont="1" applyFill="1" applyBorder="1" applyAlignment="1">
      <alignment horizontal="center" vertical="center" shrinkToFit="1"/>
    </xf>
    <xf numFmtId="211" fontId="186" fillId="0" borderId="4" xfId="0" applyNumberFormat="1" applyFont="1" applyFill="1" applyBorder="1" applyAlignment="1">
      <alignment vertical="center" shrinkToFit="1"/>
    </xf>
    <xf numFmtId="191" fontId="181" fillId="0" borderId="0" xfId="0" applyNumberFormat="1" applyFont="1" applyFill="1" applyAlignment="1">
      <alignment vertical="center"/>
    </xf>
    <xf numFmtId="191" fontId="187" fillId="0" borderId="0" xfId="0" applyNumberFormat="1" applyFont="1" applyFill="1" applyAlignment="1">
      <alignment horizontal="center" vertical="center" shrinkToFit="1"/>
    </xf>
    <xf numFmtId="191" fontId="185" fillId="0" borderId="0" xfId="0" applyNumberFormat="1" applyFont="1" applyFill="1" applyAlignment="1">
      <alignment vertical="center"/>
    </xf>
    <xf numFmtId="191" fontId="185" fillId="0" borderId="0" xfId="0" applyNumberFormat="1" applyFont="1" applyFill="1" applyAlignment="1">
      <alignment horizontal="center"/>
    </xf>
    <xf numFmtId="191" fontId="185" fillId="0" borderId="0" xfId="0" applyNumberFormat="1" applyFont="1" applyFill="1" applyAlignment="1">
      <alignment shrinkToFit="1"/>
    </xf>
    <xf numFmtId="191" fontId="185" fillId="0" borderId="0" xfId="0" applyNumberFormat="1" applyFont="1" applyFill="1"/>
    <xf numFmtId="211" fontId="185" fillId="0" borderId="0" xfId="0" applyNumberFormat="1" applyFont="1" applyFill="1"/>
    <xf numFmtId="4" fontId="95" fillId="0" borderId="0" xfId="0" applyNumberFormat="1" applyFont="1" applyFill="1"/>
    <xf numFmtId="211" fontId="95" fillId="0" borderId="0" xfId="0" applyNumberFormat="1" applyFont="1" applyFill="1"/>
    <xf numFmtId="211" fontId="95" fillId="0" borderId="0" xfId="0" applyNumberFormat="1" applyFont="1" applyFill="1" applyAlignment="1">
      <alignment horizontal="center"/>
    </xf>
    <xf numFmtId="223" fontId="95" fillId="0" borderId="0" xfId="0" applyNumberFormat="1" applyFont="1" applyFill="1" applyAlignment="1">
      <alignment horizontal="center"/>
    </xf>
    <xf numFmtId="211" fontId="109" fillId="0" borderId="0" xfId="0" applyNumberFormat="1" applyFont="1" applyFill="1"/>
    <xf numFmtId="214" fontId="109" fillId="0" borderId="0" xfId="0" applyNumberFormat="1" applyFont="1" applyFill="1" applyAlignment="1">
      <alignment horizontal="center"/>
    </xf>
    <xf numFmtId="212" fontId="109" fillId="0" borderId="0" xfId="0" applyNumberFormat="1" applyFont="1" applyFill="1"/>
    <xf numFmtId="213" fontId="109" fillId="0" borderId="0" xfId="0" applyNumberFormat="1" applyFont="1" applyFill="1"/>
    <xf numFmtId="191" fontId="109" fillId="0" borderId="0" xfId="0" applyNumberFormat="1" applyFont="1" applyFill="1" applyAlignment="1">
      <alignment shrinkToFit="1"/>
    </xf>
    <xf numFmtId="191" fontId="109" fillId="0" borderId="0" xfId="0" applyNumberFormat="1" applyFont="1" applyFill="1" applyAlignment="1">
      <alignment horizontal="left"/>
    </xf>
    <xf numFmtId="191" fontId="109" fillId="0" borderId="0" xfId="0" applyNumberFormat="1" applyFont="1" applyFill="1" applyAlignment="1">
      <alignment horizontal="right"/>
    </xf>
    <xf numFmtId="191" fontId="115" fillId="0" borderId="0" xfId="0" applyNumberFormat="1" applyFont="1" applyFill="1" applyAlignment="1">
      <alignment horizontal="center"/>
    </xf>
    <xf numFmtId="191" fontId="184" fillId="0" borderId="0" xfId="0" applyNumberFormat="1" applyFont="1" applyFill="1" applyAlignment="1">
      <alignment vertical="center"/>
    </xf>
    <xf numFmtId="214" fontId="185" fillId="0" borderId="0" xfId="0" applyNumberFormat="1" applyFont="1" applyFill="1"/>
    <xf numFmtId="3" fontId="185" fillId="0" borderId="0" xfId="0" applyNumberFormat="1" applyFont="1" applyFill="1"/>
    <xf numFmtId="4" fontId="184" fillId="0" borderId="0" xfId="0" applyNumberFormat="1" applyFont="1" applyFill="1" applyAlignment="1">
      <alignment horizontal="center"/>
    </xf>
    <xf numFmtId="191" fontId="184" fillId="0" borderId="0" xfId="0" applyNumberFormat="1" applyFont="1" applyFill="1" applyAlignment="1">
      <alignment horizontal="center"/>
    </xf>
    <xf numFmtId="211" fontId="185" fillId="0" borderId="0" xfId="0" applyNumberFormat="1" applyFont="1" applyFill="1" applyAlignment="1">
      <alignment horizontal="left"/>
    </xf>
    <xf numFmtId="203" fontId="185" fillId="0" borderId="0" xfId="0" applyNumberFormat="1" applyFont="1" applyFill="1"/>
    <xf numFmtId="191" fontId="184" fillId="0" borderId="4" xfId="0" applyNumberFormat="1" applyFont="1" applyFill="1" applyBorder="1" applyAlignment="1">
      <alignment horizontal="center" vertical="center"/>
    </xf>
    <xf numFmtId="191" fontId="185" fillId="0" borderId="19" xfId="0" applyNumberFormat="1" applyFont="1" applyFill="1" applyBorder="1" applyAlignment="1">
      <alignment vertical="center" shrinkToFit="1"/>
    </xf>
    <xf numFmtId="191" fontId="186" fillId="0" borderId="22" xfId="0" applyNumberFormat="1" applyFont="1" applyFill="1" applyBorder="1" applyAlignment="1">
      <alignment horizontal="center" vertical="center" shrinkToFit="1"/>
    </xf>
    <xf numFmtId="191" fontId="186" fillId="0" borderId="4" xfId="0" applyNumberFormat="1" applyFont="1" applyFill="1" applyBorder="1" applyAlignment="1">
      <alignment vertical="center" shrinkToFit="1"/>
    </xf>
    <xf numFmtId="191" fontId="186" fillId="0" borderId="19" xfId="0" applyNumberFormat="1" applyFont="1" applyFill="1" applyBorder="1" applyAlignment="1">
      <alignment vertical="center" shrinkToFit="1"/>
    </xf>
    <xf numFmtId="191" fontId="108" fillId="0" borderId="0" xfId="0" applyNumberFormat="1" applyFont="1" applyFill="1" applyAlignment="1">
      <alignment horizontal="center" vertical="center"/>
    </xf>
    <xf numFmtId="232" fontId="109" fillId="0" borderId="0" xfId="0" applyNumberFormat="1" applyFont="1" applyFill="1"/>
    <xf numFmtId="191" fontId="184" fillId="0" borderId="0" xfId="0" applyNumberFormat="1" applyFont="1" applyFill="1" applyAlignment="1">
      <alignment horizontal="center" vertical="center" shrinkToFit="1"/>
    </xf>
    <xf numFmtId="191" fontId="117" fillId="0" borderId="0" xfId="0" applyNumberFormat="1" applyFont="1" applyFill="1" applyAlignment="1">
      <alignment vertical="center"/>
    </xf>
    <xf numFmtId="191" fontId="12" fillId="8" borderId="4" xfId="0" applyNumberFormat="1" applyFont="1" applyFill="1" applyBorder="1" applyAlignment="1">
      <alignment horizontal="center" vertical="center"/>
    </xf>
    <xf numFmtId="191" fontId="82" fillId="8" borderId="4" xfId="0" applyNumberFormat="1" applyFont="1" applyFill="1" applyBorder="1" applyAlignment="1">
      <alignment horizontal="center" vertical="center" shrinkToFit="1"/>
    </xf>
    <xf numFmtId="191" fontId="82" fillId="8" borderId="4" xfId="0" applyNumberFormat="1" applyFont="1" applyFill="1" applyBorder="1" applyAlignment="1">
      <alignment vertical="center" shrinkToFit="1"/>
    </xf>
    <xf numFmtId="211" fontId="82" fillId="8" borderId="4" xfId="0" applyNumberFormat="1" applyFont="1" applyFill="1" applyBorder="1" applyAlignment="1">
      <alignment horizontal="right" vertical="center" wrapText="1"/>
    </xf>
    <xf numFmtId="191" fontId="82" fillId="8" borderId="4" xfId="1" applyNumberFormat="1" applyFont="1" applyFill="1" applyBorder="1" applyAlignment="1">
      <alignment horizontal="right" vertical="center"/>
    </xf>
    <xf numFmtId="192" fontId="82" fillId="8" borderId="4" xfId="5" applyNumberFormat="1" applyFont="1" applyFill="1" applyBorder="1" applyAlignment="1">
      <alignment vertical="center"/>
    </xf>
    <xf numFmtId="191" fontId="82" fillId="8" borderId="4" xfId="1" applyNumberFormat="1" applyFont="1" applyFill="1" applyBorder="1" applyAlignment="1">
      <alignment horizontal="center" vertical="center" shrinkToFit="1"/>
    </xf>
    <xf numFmtId="197" fontId="82" fillId="8" borderId="4" xfId="1" applyNumberFormat="1" applyFont="1" applyFill="1" applyBorder="1" applyAlignment="1">
      <alignment vertical="center" shrinkToFit="1"/>
    </xf>
    <xf numFmtId="191" fontId="82" fillId="8" borderId="4" xfId="1" applyNumberFormat="1" applyFont="1" applyFill="1" applyBorder="1" applyAlignment="1">
      <alignment horizontal="right" vertical="center" shrinkToFit="1"/>
    </xf>
    <xf numFmtId="211" fontId="82" fillId="8" borderId="4" xfId="0" applyNumberFormat="1" applyFont="1" applyFill="1" applyBorder="1" applyAlignment="1">
      <alignment vertical="center" shrinkToFit="1"/>
    </xf>
    <xf numFmtId="191" fontId="82" fillId="8" borderId="4" xfId="0" applyNumberFormat="1" applyFont="1" applyFill="1" applyBorder="1" applyAlignment="1">
      <alignment horizontal="left" vertical="center"/>
    </xf>
    <xf numFmtId="191" fontId="82" fillId="8" borderId="0" xfId="0" applyNumberFormat="1" applyFont="1" applyFill="1" applyAlignment="1">
      <alignment horizontal="left" vertical="center"/>
    </xf>
    <xf numFmtId="191" fontId="164" fillId="8" borderId="0" xfId="0" applyNumberFormat="1" applyFont="1" applyFill="1" applyAlignment="1">
      <alignment horizontal="center" vertical="center"/>
    </xf>
    <xf numFmtId="191" fontId="11" fillId="8" borderId="0" xfId="0" applyNumberFormat="1" applyFont="1" applyFill="1" applyAlignment="1">
      <alignment horizontal="center" vertical="center"/>
    </xf>
    <xf numFmtId="191" fontId="10" fillId="8" borderId="0" xfId="0" applyNumberFormat="1" applyFont="1" applyFill="1" applyAlignment="1">
      <alignment horizontal="center" vertical="center"/>
    </xf>
    <xf numFmtId="191" fontId="82" fillId="8" borderId="4" xfId="0" applyNumberFormat="1" applyFont="1" applyFill="1" applyBorder="1" applyAlignment="1">
      <alignment horizontal="right" vertical="center"/>
    </xf>
    <xf numFmtId="197" fontId="109" fillId="8" borderId="4" xfId="1" applyNumberFormat="1" applyFont="1" applyFill="1" applyBorder="1" applyAlignment="1">
      <alignment vertical="center" shrinkToFit="1"/>
    </xf>
    <xf numFmtId="191" fontId="172" fillId="8" borderId="4" xfId="0" applyNumberFormat="1" applyFont="1" applyFill="1" applyBorder="1" applyAlignment="1">
      <alignment horizontal="center" vertical="center" shrinkToFit="1"/>
    </xf>
    <xf numFmtId="191" fontId="172" fillId="8" borderId="4" xfId="0" applyNumberFormat="1" applyFont="1" applyFill="1" applyBorder="1" applyAlignment="1">
      <alignment vertical="center" shrinkToFit="1"/>
    </xf>
    <xf numFmtId="211" fontId="172" fillId="8" borderId="4" xfId="0" applyNumberFormat="1" applyFont="1" applyFill="1" applyBorder="1" applyAlignment="1">
      <alignment horizontal="right" vertical="center" wrapText="1"/>
    </xf>
    <xf numFmtId="191" fontId="172" fillId="8" borderId="4" xfId="1" applyNumberFormat="1" applyFont="1" applyFill="1" applyBorder="1" applyAlignment="1">
      <alignment horizontal="right" vertical="center"/>
    </xf>
    <xf numFmtId="192" fontId="172" fillId="8" borderId="4" xfId="5" applyNumberFormat="1" applyFont="1" applyFill="1" applyBorder="1" applyAlignment="1">
      <alignment vertical="center"/>
    </xf>
    <xf numFmtId="191" fontId="172" fillId="8" borderId="4" xfId="1" applyNumberFormat="1" applyFont="1" applyFill="1" applyBorder="1" applyAlignment="1">
      <alignment horizontal="center" vertical="center" shrinkToFit="1"/>
    </xf>
    <xf numFmtId="197" fontId="172" fillId="8" borderId="4" xfId="1" applyNumberFormat="1" applyFont="1" applyFill="1" applyBorder="1" applyAlignment="1">
      <alignment vertical="center" shrinkToFit="1"/>
    </xf>
    <xf numFmtId="191" fontId="172" fillId="8" borderId="4" xfId="1" applyNumberFormat="1" applyFont="1" applyFill="1" applyBorder="1" applyAlignment="1">
      <alignment horizontal="right" vertical="center" shrinkToFit="1"/>
    </xf>
    <xf numFmtId="211" fontId="172" fillId="8" borderId="4" xfId="0" applyNumberFormat="1" applyFont="1" applyFill="1" applyBorder="1" applyAlignment="1">
      <alignment vertical="center" shrinkToFit="1"/>
    </xf>
    <xf numFmtId="191" fontId="172" fillId="8" borderId="4" xfId="0" applyNumberFormat="1" applyFont="1" applyFill="1" applyBorder="1" applyAlignment="1">
      <alignment horizontal="right" vertical="center"/>
    </xf>
    <xf numFmtId="191" fontId="172" fillId="8" borderId="4" xfId="0" applyNumberFormat="1" applyFont="1" applyFill="1" applyBorder="1" applyAlignment="1">
      <alignment horizontal="left" vertical="center"/>
    </xf>
    <xf numFmtId="191" fontId="172" fillId="8" borderId="0" xfId="0" applyNumberFormat="1" applyFont="1" applyFill="1" applyAlignment="1">
      <alignment horizontal="left" vertical="center"/>
    </xf>
    <xf numFmtId="191" fontId="102" fillId="8" borderId="0" xfId="0" applyNumberFormat="1" applyFont="1" applyFill="1" applyAlignment="1">
      <alignment horizontal="center" vertical="center"/>
    </xf>
    <xf numFmtId="191" fontId="144" fillId="8" borderId="0" xfId="0" applyNumberFormat="1" applyFont="1" applyFill="1" applyAlignment="1">
      <alignment horizontal="center" vertical="center"/>
    </xf>
    <xf numFmtId="191" fontId="99" fillId="8" borderId="0" xfId="0" applyNumberFormat="1" applyFont="1" applyFill="1" applyAlignment="1">
      <alignment vertical="center"/>
    </xf>
    <xf numFmtId="191" fontId="192" fillId="8" borderId="0" xfId="0" applyNumberFormat="1" applyFont="1" applyFill="1" applyAlignment="1">
      <alignment vertical="center"/>
    </xf>
    <xf numFmtId="191" fontId="61" fillId="0" borderId="0" xfId="0" applyNumberFormat="1" applyFont="1" applyFill="1"/>
    <xf numFmtId="0" fontId="11" fillId="0" borderId="4" xfId="0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top" wrapText="1"/>
    </xf>
    <xf numFmtId="0" fontId="82" fillId="0" borderId="0" xfId="0" applyFont="1" applyAlignment="1">
      <alignment horizontal="left"/>
    </xf>
    <xf numFmtId="0" fontId="34" fillId="0" borderId="0" xfId="0" applyFont="1" applyAlignment="1">
      <alignment horizontal="center" vertical="center"/>
    </xf>
    <xf numFmtId="0" fontId="13" fillId="0" borderId="0" xfId="20" applyFont="1" applyAlignment="1">
      <alignment horizontal="left"/>
    </xf>
    <xf numFmtId="0" fontId="44" fillId="0" borderId="0" xfId="0" applyFont="1" applyAlignment="1">
      <alignment horizontal="center"/>
    </xf>
    <xf numFmtId="2" fontId="124" fillId="0" borderId="4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4" fillId="0" borderId="0" xfId="19" applyFont="1" applyAlignment="1">
      <alignment horizontal="center" vertical="center"/>
    </xf>
    <xf numFmtId="198" fontId="26" fillId="0" borderId="0" xfId="1" applyNumberFormat="1" applyFont="1" applyFill="1" applyBorder="1" applyAlignment="1">
      <alignment horizontal="center" vertical="center"/>
    </xf>
    <xf numFmtId="198" fontId="26" fillId="0" borderId="0" xfId="1" quotePrefix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28" fillId="4" borderId="0" xfId="19" applyFont="1" applyFill="1" applyAlignment="1">
      <alignment horizontal="center"/>
    </xf>
    <xf numFmtId="0" fontId="128" fillId="4" borderId="0" xfId="0" applyFont="1" applyFill="1" applyAlignment="1">
      <alignment horizontal="center"/>
    </xf>
    <xf numFmtId="0" fontId="158" fillId="4" borderId="4" xfId="19" applyFont="1" applyFill="1" applyBorder="1" applyAlignment="1">
      <alignment horizontal="center" vertical="center"/>
    </xf>
    <xf numFmtId="3" fontId="158" fillId="4" borderId="4" xfId="26" applyNumberFormat="1" applyFont="1" applyFill="1" applyBorder="1" applyAlignment="1">
      <alignment horizontal="center" vertical="center" wrapText="1"/>
    </xf>
    <xf numFmtId="3" fontId="158" fillId="4" borderId="14" xfId="26" applyNumberFormat="1" applyFont="1" applyFill="1" applyBorder="1" applyAlignment="1">
      <alignment horizontal="center" vertical="center" wrapText="1"/>
    </xf>
    <xf numFmtId="3" fontId="158" fillId="4" borderId="22" xfId="26" applyNumberFormat="1" applyFont="1" applyFill="1" applyBorder="1" applyAlignment="1">
      <alignment horizontal="center" vertical="center" wrapText="1"/>
    </xf>
    <xf numFmtId="3" fontId="158" fillId="4" borderId="19" xfId="26" applyNumberFormat="1" applyFont="1" applyFill="1" applyBorder="1" applyAlignment="1">
      <alignment horizontal="center" vertical="center" wrapText="1"/>
    </xf>
    <xf numFmtId="216" fontId="158" fillId="4" borderId="4" xfId="1" applyNumberFormat="1" applyFont="1" applyFill="1" applyBorder="1" applyAlignment="1">
      <alignment horizontal="center" vertical="center" wrapText="1"/>
    </xf>
    <xf numFmtId="215" fontId="158" fillId="4" borderId="14" xfId="26" applyNumberFormat="1" applyFont="1" applyFill="1" applyBorder="1" applyAlignment="1">
      <alignment horizontal="center" vertical="center" wrapText="1"/>
    </xf>
    <xf numFmtId="215" fontId="158" fillId="4" borderId="22" xfId="26" applyNumberFormat="1" applyFont="1" applyFill="1" applyBorder="1" applyAlignment="1">
      <alignment horizontal="center" vertical="center" wrapText="1"/>
    </xf>
    <xf numFmtId="215" fontId="158" fillId="4" borderId="19" xfId="26" applyNumberFormat="1" applyFont="1" applyFill="1" applyBorder="1" applyAlignment="1">
      <alignment horizontal="center" vertical="center" wrapText="1"/>
    </xf>
    <xf numFmtId="0" fontId="134" fillId="4" borderId="0" xfId="19" applyFont="1" applyFill="1" applyAlignment="1">
      <alignment horizontal="center" vertical="center"/>
    </xf>
    <xf numFmtId="0" fontId="133" fillId="4" borderId="4" xfId="19" applyFont="1" applyFill="1" applyBorder="1" applyAlignment="1">
      <alignment horizontal="center" vertical="center"/>
    </xf>
    <xf numFmtId="3" fontId="133" fillId="4" borderId="4" xfId="26" applyNumberFormat="1" applyFont="1" applyFill="1" applyBorder="1" applyAlignment="1">
      <alignment horizontal="center" vertical="center" wrapText="1"/>
    </xf>
    <xf numFmtId="196" fontId="133" fillId="4" borderId="4" xfId="1" applyFont="1" applyFill="1" applyBorder="1" applyAlignment="1">
      <alignment horizontal="center" vertical="center" wrapText="1"/>
    </xf>
    <xf numFmtId="197" fontId="133" fillId="4" borderId="4" xfId="1" applyNumberFormat="1" applyFont="1" applyFill="1" applyBorder="1" applyAlignment="1">
      <alignment horizontal="center" vertical="center" wrapText="1"/>
    </xf>
    <xf numFmtId="215" fontId="133" fillId="4" borderId="4" xfId="26" applyNumberFormat="1" applyFont="1" applyFill="1" applyBorder="1" applyAlignment="1">
      <alignment horizontal="center" vertical="center" wrapText="1"/>
    </xf>
    <xf numFmtId="0" fontId="128" fillId="4" borderId="4" xfId="19" applyFont="1" applyFill="1" applyBorder="1" applyAlignment="1">
      <alignment horizontal="center" vertical="center"/>
    </xf>
    <xf numFmtId="216" fontId="133" fillId="4" borderId="4" xfId="1" applyNumberFormat="1" applyFont="1" applyFill="1" applyBorder="1" applyAlignment="1">
      <alignment horizontal="center" vertical="center" wrapText="1"/>
    </xf>
    <xf numFmtId="3" fontId="128" fillId="4" borderId="4" xfId="26" applyNumberFormat="1" applyFont="1" applyFill="1" applyBorder="1" applyAlignment="1">
      <alignment horizontal="center" vertical="center" wrapText="1"/>
    </xf>
    <xf numFmtId="197" fontId="128" fillId="4" borderId="4" xfId="1" applyNumberFormat="1" applyFont="1" applyFill="1" applyBorder="1" applyAlignment="1">
      <alignment horizontal="center" vertical="center" wrapText="1"/>
    </xf>
    <xf numFmtId="215" fontId="128" fillId="4" borderId="4" xfId="26" applyNumberFormat="1" applyFont="1" applyFill="1" applyBorder="1" applyAlignment="1">
      <alignment horizontal="center" vertical="center" wrapText="1"/>
    </xf>
    <xf numFmtId="196" fontId="158" fillId="4" borderId="14" xfId="1" applyFont="1" applyFill="1" applyBorder="1" applyAlignment="1">
      <alignment horizontal="center" vertical="center" wrapText="1"/>
    </xf>
    <xf numFmtId="196" fontId="158" fillId="4" borderId="22" xfId="1" applyFont="1" applyFill="1" applyBorder="1" applyAlignment="1">
      <alignment horizontal="center" vertical="center" wrapText="1"/>
    </xf>
    <xf numFmtId="196" fontId="158" fillId="4" borderId="19" xfId="1" applyFont="1" applyFill="1" applyBorder="1" applyAlignment="1">
      <alignment horizontal="center" vertical="center" wrapText="1"/>
    </xf>
    <xf numFmtId="196" fontId="128" fillId="4" borderId="4" xfId="1" applyFont="1" applyFill="1" applyBorder="1" applyAlignment="1">
      <alignment horizontal="center" vertical="center" wrapText="1"/>
    </xf>
    <xf numFmtId="216" fontId="128" fillId="4" borderId="4" xfId="1" applyNumberFormat="1" applyFont="1" applyFill="1" applyBorder="1" applyAlignment="1">
      <alignment horizontal="center" vertical="center" wrapText="1"/>
    </xf>
    <xf numFmtId="0" fontId="128" fillId="4" borderId="14" xfId="19" applyFont="1" applyFill="1" applyBorder="1" applyAlignment="1">
      <alignment horizontal="center" vertical="center"/>
    </xf>
    <xf numFmtId="0" fontId="128" fillId="4" borderId="19" xfId="19" applyFont="1" applyFill="1" applyBorder="1" applyAlignment="1">
      <alignment horizontal="center" vertical="center"/>
    </xf>
    <xf numFmtId="3" fontId="128" fillId="4" borderId="14" xfId="26" applyNumberFormat="1" applyFont="1" applyFill="1" applyBorder="1" applyAlignment="1">
      <alignment horizontal="center" vertical="center" wrapText="1"/>
    </xf>
    <xf numFmtId="3" fontId="128" fillId="4" borderId="22" xfId="26" applyNumberFormat="1" applyFont="1" applyFill="1" applyBorder="1" applyAlignment="1">
      <alignment horizontal="center" vertical="center" wrapText="1"/>
    </xf>
    <xf numFmtId="3" fontId="128" fillId="4" borderId="19" xfId="26" applyNumberFormat="1" applyFont="1" applyFill="1" applyBorder="1" applyAlignment="1">
      <alignment horizontal="center" vertical="center" wrapText="1"/>
    </xf>
    <xf numFmtId="215" fontId="128" fillId="4" borderId="14" xfId="26" applyNumberFormat="1" applyFont="1" applyFill="1" applyBorder="1" applyAlignment="1">
      <alignment horizontal="center" vertical="center" wrapText="1"/>
    </xf>
    <xf numFmtId="215" fontId="128" fillId="4" borderId="22" xfId="26" applyNumberFormat="1" applyFont="1" applyFill="1" applyBorder="1" applyAlignment="1">
      <alignment horizontal="center" vertical="center" wrapText="1"/>
    </xf>
    <xf numFmtId="215" fontId="128" fillId="4" borderId="19" xfId="26" applyNumberFormat="1" applyFont="1" applyFill="1" applyBorder="1" applyAlignment="1">
      <alignment horizontal="center" vertical="center" wrapText="1"/>
    </xf>
    <xf numFmtId="1" fontId="115" fillId="0" borderId="14" xfId="1" applyNumberFormat="1" applyFont="1" applyFill="1" applyBorder="1" applyAlignment="1">
      <alignment horizontal="center" vertical="center"/>
    </xf>
    <xf numFmtId="1" fontId="115" fillId="0" borderId="22" xfId="1" applyNumberFormat="1" applyFont="1" applyFill="1" applyBorder="1" applyAlignment="1">
      <alignment horizontal="center" vertical="center"/>
    </xf>
    <xf numFmtId="1" fontId="115" fillId="0" borderId="19" xfId="1" applyNumberFormat="1" applyFont="1" applyFill="1" applyBorder="1" applyAlignment="1">
      <alignment horizontal="center" vertical="center"/>
    </xf>
    <xf numFmtId="197" fontId="117" fillId="0" borderId="4" xfId="1" applyNumberFormat="1" applyFont="1" applyFill="1" applyBorder="1" applyAlignment="1">
      <alignment horizontal="center" vertical="center"/>
    </xf>
    <xf numFmtId="1" fontId="95" fillId="0" borderId="4" xfId="1" applyNumberFormat="1" applyFont="1" applyFill="1" applyBorder="1" applyAlignment="1">
      <alignment horizontal="center" vertical="center" wrapText="1"/>
    </xf>
    <xf numFmtId="0" fontId="153" fillId="0" borderId="14" xfId="0" applyFont="1" applyBorder="1" applyAlignment="1">
      <alignment horizontal="center"/>
    </xf>
    <xf numFmtId="0" fontId="153" fillId="0" borderId="22" xfId="0" applyFont="1" applyBorder="1" applyAlignment="1">
      <alignment horizontal="center"/>
    </xf>
    <xf numFmtId="0" fontId="153" fillId="0" borderId="19" xfId="0" applyFont="1" applyBorder="1" applyAlignment="1">
      <alignment horizontal="center"/>
    </xf>
    <xf numFmtId="192" fontId="152" fillId="0" borderId="14" xfId="1" applyNumberFormat="1" applyFont="1" applyFill="1" applyBorder="1" applyAlignment="1">
      <alignment horizontal="center"/>
    </xf>
    <xf numFmtId="192" fontId="152" fillId="0" borderId="22" xfId="1" applyNumberFormat="1" applyFont="1" applyFill="1" applyBorder="1" applyAlignment="1">
      <alignment horizontal="center"/>
    </xf>
    <xf numFmtId="192" fontId="152" fillId="0" borderId="19" xfId="1" applyNumberFormat="1" applyFont="1" applyFill="1" applyBorder="1" applyAlignment="1">
      <alignment horizontal="center"/>
    </xf>
    <xf numFmtId="1" fontId="156" fillId="0" borderId="0" xfId="1" quotePrefix="1" applyNumberFormat="1" applyFont="1" applyFill="1" applyBorder="1" applyAlignment="1">
      <alignment horizontal="center" vertical="center"/>
    </xf>
    <xf numFmtId="1" fontId="156" fillId="0" borderId="0" xfId="1" applyNumberFormat="1" applyFont="1" applyFill="1" applyBorder="1" applyAlignment="1">
      <alignment horizontal="center" vertical="center"/>
    </xf>
    <xf numFmtId="1" fontId="175" fillId="0" borderId="0" xfId="1" applyNumberFormat="1" applyFont="1" applyFill="1" applyBorder="1" applyAlignment="1">
      <alignment horizontal="center" vertical="center"/>
    </xf>
    <xf numFmtId="0" fontId="178" fillId="4" borderId="0" xfId="19" applyFont="1" applyFill="1" applyAlignment="1">
      <alignment horizontal="center" vertical="center"/>
    </xf>
    <xf numFmtId="1" fontId="128" fillId="0" borderId="4" xfId="1" applyNumberFormat="1" applyFont="1" applyFill="1" applyBorder="1" applyAlignment="1">
      <alignment horizontal="center" vertical="center"/>
    </xf>
    <xf numFmtId="1" fontId="95" fillId="0" borderId="3" xfId="1" applyNumberFormat="1" applyFont="1" applyFill="1" applyBorder="1" applyAlignment="1">
      <alignment horizontal="left" vertical="center"/>
    </xf>
    <xf numFmtId="1" fontId="128" fillId="0" borderId="4" xfId="1" applyNumberFormat="1" applyFont="1" applyFill="1" applyBorder="1" applyAlignment="1">
      <alignment horizontal="center" vertical="center" wrapText="1"/>
    </xf>
    <xf numFmtId="0" fontId="152" fillId="0" borderId="14" xfId="0" applyFont="1" applyBorder="1" applyAlignment="1">
      <alignment horizontal="center" vertical="center"/>
    </xf>
    <xf numFmtId="0" fontId="152" fillId="0" borderId="22" xfId="0" applyFont="1" applyBorder="1" applyAlignment="1">
      <alignment horizontal="center" vertical="center"/>
    </xf>
    <xf numFmtId="0" fontId="152" fillId="0" borderId="19" xfId="0" applyFont="1" applyBorder="1" applyAlignment="1">
      <alignment horizontal="center" vertical="center"/>
    </xf>
    <xf numFmtId="192" fontId="152" fillId="0" borderId="4" xfId="0" applyNumberFormat="1" applyFont="1" applyBorder="1" applyAlignment="1">
      <alignment horizontal="center"/>
    </xf>
    <xf numFmtId="0" fontId="152" fillId="0" borderId="4" xfId="0" applyFont="1" applyBorder="1" applyAlignment="1">
      <alignment horizontal="center"/>
    </xf>
    <xf numFmtId="1" fontId="117" fillId="0" borderId="4" xfId="1" applyNumberFormat="1" applyFont="1" applyFill="1" applyBorder="1" applyAlignment="1">
      <alignment horizontal="center" vertical="center"/>
    </xf>
    <xf numFmtId="197" fontId="117" fillId="0" borderId="14" xfId="1" applyNumberFormat="1" applyFont="1" applyFill="1" applyBorder="1" applyAlignment="1">
      <alignment vertical="center"/>
    </xf>
    <xf numFmtId="197" fontId="117" fillId="0" borderId="22" xfId="1" applyNumberFormat="1" applyFont="1" applyFill="1" applyBorder="1" applyAlignment="1">
      <alignment vertical="center"/>
    </xf>
    <xf numFmtId="197" fontId="117" fillId="0" borderId="19" xfId="1" applyNumberFormat="1" applyFont="1" applyFill="1" applyBorder="1" applyAlignment="1">
      <alignment vertical="center"/>
    </xf>
    <xf numFmtId="1" fontId="117" fillId="0" borderId="14" xfId="1" applyNumberFormat="1" applyFont="1" applyFill="1" applyBorder="1" applyAlignment="1">
      <alignment horizontal="center" vertical="center"/>
    </xf>
    <xf numFmtId="1" fontId="117" fillId="0" borderId="22" xfId="1" applyNumberFormat="1" applyFont="1" applyFill="1" applyBorder="1" applyAlignment="1">
      <alignment horizontal="center" vertical="center"/>
    </xf>
    <xf numFmtId="1" fontId="117" fillId="0" borderId="19" xfId="1" applyNumberFormat="1" applyFont="1" applyFill="1" applyBorder="1" applyAlignment="1">
      <alignment horizontal="center" vertical="center"/>
    </xf>
    <xf numFmtId="197" fontId="115" fillId="0" borderId="14" xfId="1" applyNumberFormat="1" applyFont="1" applyFill="1" applyBorder="1" applyAlignment="1">
      <alignment horizontal="center" vertical="center" wrapText="1"/>
    </xf>
    <xf numFmtId="197" fontId="115" fillId="0" borderId="22" xfId="1" applyNumberFormat="1" applyFont="1" applyFill="1" applyBorder="1" applyAlignment="1">
      <alignment horizontal="center" vertical="center" wrapText="1"/>
    </xf>
    <xf numFmtId="197" fontId="115" fillId="0" borderId="19" xfId="1" applyNumberFormat="1" applyFont="1" applyFill="1" applyBorder="1" applyAlignment="1">
      <alignment horizontal="center" vertical="center" wrapText="1"/>
    </xf>
    <xf numFmtId="197" fontId="115" fillId="0" borderId="14" xfId="1" applyNumberFormat="1" applyFont="1" applyFill="1" applyBorder="1" applyAlignment="1">
      <alignment horizontal="center" vertical="center"/>
    </xf>
    <xf numFmtId="197" fontId="115" fillId="0" borderId="22" xfId="1" applyNumberFormat="1" applyFont="1" applyFill="1" applyBorder="1" applyAlignment="1">
      <alignment horizontal="center" vertical="center"/>
    </xf>
    <xf numFmtId="197" fontId="115" fillId="0" borderId="19" xfId="1" applyNumberFormat="1" applyFont="1" applyFill="1" applyBorder="1" applyAlignment="1">
      <alignment horizontal="center" vertical="center"/>
    </xf>
    <xf numFmtId="1" fontId="134" fillId="0" borderId="0" xfId="1" applyNumberFormat="1" applyFont="1" applyFill="1" applyBorder="1" applyAlignment="1">
      <alignment horizontal="center" vertical="center"/>
    </xf>
    <xf numFmtId="1" fontId="115" fillId="0" borderId="4" xfId="1" applyNumberFormat="1" applyFont="1" applyFill="1" applyBorder="1" applyAlignment="1">
      <alignment horizontal="center" vertical="center"/>
    </xf>
    <xf numFmtId="3" fontId="128" fillId="0" borderId="4" xfId="1" applyNumberFormat="1" applyFont="1" applyFill="1" applyBorder="1" applyAlignment="1">
      <alignment horizontal="center" vertical="center"/>
    </xf>
    <xf numFmtId="1" fontId="158" fillId="5" borderId="4" xfId="1" applyNumberFormat="1" applyFont="1" applyFill="1" applyBorder="1" applyAlignment="1">
      <alignment horizontal="center" vertical="center"/>
    </xf>
    <xf numFmtId="192" fontId="153" fillId="0" borderId="4" xfId="1" applyNumberFormat="1" applyFont="1" applyFill="1" applyBorder="1" applyAlignment="1">
      <alignment horizontal="center"/>
    </xf>
    <xf numFmtId="1" fontId="82" fillId="0" borderId="0" xfId="1" applyNumberFormat="1" applyFont="1" applyFill="1" applyAlignment="1">
      <alignment horizontal="center" vertical="center"/>
    </xf>
    <xf numFmtId="1" fontId="9" fillId="0" borderId="0" xfId="1" applyNumberFormat="1" applyFont="1" applyFill="1" applyAlignment="1">
      <alignment horizontal="left" vertical="center"/>
    </xf>
    <xf numFmtId="1" fontId="9" fillId="0" borderId="0" xfId="1" applyNumberFormat="1" applyFont="1" applyFill="1" applyBorder="1" applyAlignment="1">
      <alignment horizontal="left" vertical="center"/>
    </xf>
    <xf numFmtId="213" fontId="116" fillId="0" borderId="4" xfId="1" applyNumberFormat="1" applyFont="1" applyFill="1" applyBorder="1" applyAlignment="1">
      <alignment horizontal="center"/>
    </xf>
    <xf numFmtId="0" fontId="152" fillId="0" borderId="14" xfId="0" applyFont="1" applyBorder="1" applyAlignment="1">
      <alignment horizontal="center"/>
    </xf>
    <xf numFmtId="0" fontId="152" fillId="0" borderId="22" xfId="0" applyFont="1" applyBorder="1" applyAlignment="1">
      <alignment horizontal="center"/>
    </xf>
    <xf numFmtId="0" fontId="152" fillId="0" borderId="19" xfId="0" applyFont="1" applyBorder="1" applyAlignment="1">
      <alignment horizontal="center"/>
    </xf>
    <xf numFmtId="1" fontId="133" fillId="0" borderId="4" xfId="1" applyNumberFormat="1" applyFont="1" applyFill="1" applyBorder="1" applyAlignment="1">
      <alignment horizontal="center" vertical="center"/>
    </xf>
    <xf numFmtId="1" fontId="133" fillId="0" borderId="0" xfId="1" applyNumberFormat="1" applyFont="1" applyFill="1" applyAlignment="1">
      <alignment horizontal="center" vertical="center"/>
    </xf>
    <xf numFmtId="196" fontId="125" fillId="0" borderId="0" xfId="1" applyFont="1" applyFill="1" applyBorder="1" applyAlignment="1">
      <alignment horizontal="center" vertical="center"/>
    </xf>
    <xf numFmtId="1" fontId="128" fillId="5" borderId="4" xfId="1" applyNumberFormat="1" applyFont="1" applyFill="1" applyBorder="1" applyAlignment="1">
      <alignment horizontal="center" vertical="center"/>
    </xf>
    <xf numFmtId="1" fontId="128" fillId="0" borderId="0" xfId="1" applyNumberFormat="1" applyFont="1" applyFill="1" applyBorder="1" applyAlignment="1">
      <alignment horizontal="center" vertical="center"/>
    </xf>
    <xf numFmtId="1" fontId="128" fillId="0" borderId="0" xfId="1" quotePrefix="1" applyNumberFormat="1" applyFont="1" applyFill="1" applyBorder="1" applyAlignment="1">
      <alignment horizontal="center" vertical="center"/>
    </xf>
    <xf numFmtId="0" fontId="166" fillId="0" borderId="0" xfId="0" applyFont="1" applyAlignment="1">
      <alignment horizontal="center" vertical="center"/>
    </xf>
    <xf numFmtId="1" fontId="158" fillId="0" borderId="4" xfId="1" applyNumberFormat="1" applyFont="1" applyFill="1" applyBorder="1" applyAlignment="1">
      <alignment horizontal="center" vertical="center"/>
    </xf>
    <xf numFmtId="4" fontId="9" fillId="0" borderId="0" xfId="0" applyNumberFormat="1" applyFont="1" applyAlignment="1">
      <alignment horizontal="center"/>
    </xf>
    <xf numFmtId="196" fontId="10" fillId="0" borderId="0" xfId="1" applyFont="1" applyFill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99" fontId="11" fillId="0" borderId="4" xfId="1" applyNumberFormat="1" applyFont="1" applyFill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199" fontId="10" fillId="0" borderId="0" xfId="1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99" fontId="28" fillId="0" borderId="0" xfId="1" applyNumberFormat="1" applyFont="1" applyFill="1" applyAlignment="1">
      <alignment horizontal="center"/>
    </xf>
    <xf numFmtId="0" fontId="17" fillId="0" borderId="3" xfId="0" applyFont="1" applyBorder="1" applyAlignment="1">
      <alignment horizontal="center"/>
    </xf>
    <xf numFmtId="0" fontId="49" fillId="0" borderId="4" xfId="0" applyFont="1" applyBorder="1" applyAlignment="1">
      <alignment wrapText="1"/>
    </xf>
    <xf numFmtId="208" fontId="11" fillId="0" borderId="4" xfId="1" applyNumberFormat="1" applyFont="1" applyFill="1" applyBorder="1" applyAlignment="1">
      <alignment horizontal="center" vertical="center" wrapText="1"/>
    </xf>
    <xf numFmtId="208" fontId="49" fillId="0" borderId="4" xfId="0" applyNumberFormat="1" applyFont="1" applyBorder="1"/>
    <xf numFmtId="0" fontId="3" fillId="0" borderId="0" xfId="0" applyFont="1" applyAlignment="1">
      <alignment horizontal="center"/>
    </xf>
    <xf numFmtId="0" fontId="11" fillId="0" borderId="4" xfId="1" applyNumberFormat="1" applyFont="1" applyFill="1" applyBorder="1" applyAlignment="1">
      <alignment horizontal="center" vertical="center" wrapText="1"/>
    </xf>
    <xf numFmtId="0" fontId="49" fillId="0" borderId="4" xfId="0" applyFont="1" applyBorder="1"/>
    <xf numFmtId="0" fontId="32" fillId="0" borderId="4" xfId="0" applyFont="1" applyBorder="1" applyAlignment="1">
      <alignment horizontal="center"/>
    </xf>
    <xf numFmtId="0" fontId="11" fillId="5" borderId="10" xfId="0" applyFont="1" applyFill="1" applyBorder="1" applyAlignment="1">
      <alignment horizontal="center" vertical="center" shrinkToFit="1"/>
    </xf>
    <xf numFmtId="0" fontId="11" fillId="5" borderId="4" xfId="0" applyFont="1" applyFill="1" applyBorder="1" applyAlignment="1">
      <alignment horizontal="center" vertical="center"/>
    </xf>
    <xf numFmtId="191" fontId="184" fillId="0" borderId="4" xfId="1" applyNumberFormat="1" applyFont="1" applyFill="1" applyBorder="1" applyAlignment="1">
      <alignment horizontal="center" vertical="center" wrapText="1"/>
    </xf>
    <xf numFmtId="191" fontId="115" fillId="0" borderId="0" xfId="1" applyNumberFormat="1" applyFont="1" applyFill="1" applyAlignment="1">
      <alignment horizontal="center"/>
    </xf>
    <xf numFmtId="191" fontId="117" fillId="0" borderId="0" xfId="0" applyNumberFormat="1" applyFont="1" applyFill="1" applyAlignment="1">
      <alignment horizontal="center"/>
    </xf>
    <xf numFmtId="191" fontId="183" fillId="0" borderId="0" xfId="0" applyNumberFormat="1" applyFont="1" applyFill="1" applyAlignment="1">
      <alignment horizontal="center"/>
    </xf>
    <xf numFmtId="191" fontId="184" fillId="0" borderId="14" xfId="0" applyNumberFormat="1" applyFont="1" applyFill="1" applyBorder="1" applyAlignment="1">
      <alignment horizontal="center" vertical="center" shrinkToFit="1"/>
    </xf>
    <xf numFmtId="191" fontId="184" fillId="0" borderId="22" xfId="0" applyNumberFormat="1" applyFont="1" applyFill="1" applyBorder="1" applyAlignment="1">
      <alignment horizontal="center" vertical="center" shrinkToFit="1"/>
    </xf>
    <xf numFmtId="191" fontId="184" fillId="0" borderId="19" xfId="0" applyNumberFormat="1" applyFont="1" applyFill="1" applyBorder="1" applyAlignment="1">
      <alignment horizontal="center" vertical="center" shrinkToFit="1"/>
    </xf>
    <xf numFmtId="191" fontId="184" fillId="0" borderId="4" xfId="1" applyNumberFormat="1" applyFont="1" applyFill="1" applyBorder="1" applyAlignment="1">
      <alignment horizontal="center"/>
    </xf>
    <xf numFmtId="191" fontId="115" fillId="0" borderId="0" xfId="1" quotePrefix="1" applyNumberFormat="1" applyFont="1" applyFill="1" applyAlignment="1">
      <alignment horizontal="center"/>
    </xf>
    <xf numFmtId="0" fontId="163" fillId="0" borderId="0" xfId="0" applyFont="1" applyFill="1"/>
    <xf numFmtId="191" fontId="111" fillId="0" borderId="0" xfId="0" applyNumberFormat="1" applyFont="1" applyFill="1" applyAlignment="1">
      <alignment horizontal="center"/>
    </xf>
    <xf numFmtId="191" fontId="95" fillId="0" borderId="0" xfId="0" applyNumberFormat="1" applyFont="1" applyFill="1" applyAlignment="1">
      <alignment horizontal="center"/>
    </xf>
    <xf numFmtId="191" fontId="115" fillId="0" borderId="0" xfId="0" applyNumberFormat="1" applyFont="1" applyFill="1" applyAlignment="1">
      <alignment horizontal="center"/>
    </xf>
    <xf numFmtId="191" fontId="185" fillId="0" borderId="0" xfId="0" applyNumberFormat="1" applyFont="1" applyFill="1" applyAlignment="1">
      <alignment horizontal="right"/>
    </xf>
    <xf numFmtId="211" fontId="185" fillId="0" borderId="3" xfId="0" applyNumberFormat="1" applyFont="1" applyFill="1" applyBorder="1" applyAlignment="1">
      <alignment horizontal="center" vertical="center"/>
    </xf>
    <xf numFmtId="191" fontId="184" fillId="0" borderId="4" xfId="0" applyNumberFormat="1" applyFont="1" applyFill="1" applyBorder="1" applyAlignment="1">
      <alignment horizontal="center" vertical="center" wrapText="1"/>
    </xf>
    <xf numFmtId="191" fontId="184" fillId="0" borderId="4" xfId="0" applyNumberFormat="1" applyFont="1" applyFill="1" applyBorder="1" applyAlignment="1">
      <alignment horizontal="center" vertical="center" shrinkToFit="1"/>
    </xf>
    <xf numFmtId="191" fontId="184" fillId="0" borderId="14" xfId="0" applyNumberFormat="1" applyFont="1" applyFill="1" applyBorder="1" applyAlignment="1">
      <alignment horizontal="center" vertical="center" wrapText="1"/>
    </xf>
    <xf numFmtId="191" fontId="184" fillId="0" borderId="19" xfId="0" applyNumberFormat="1" applyFont="1" applyFill="1" applyBorder="1" applyAlignment="1">
      <alignment horizontal="center" vertical="center" wrapText="1"/>
    </xf>
    <xf numFmtId="4" fontId="109" fillId="0" borderId="0" xfId="1" applyNumberFormat="1" applyFont="1" applyFill="1" applyAlignment="1">
      <alignment horizontal="center"/>
    </xf>
    <xf numFmtId="191" fontId="187" fillId="0" borderId="4" xfId="0" applyNumberFormat="1" applyFont="1" applyFill="1" applyBorder="1" applyAlignment="1">
      <alignment horizontal="center" vertical="center" shrinkToFit="1"/>
    </xf>
    <xf numFmtId="214" fontId="109" fillId="0" borderId="0" xfId="0" applyNumberFormat="1" applyFont="1" applyFill="1" applyAlignment="1">
      <alignment horizontal="center"/>
    </xf>
    <xf numFmtId="211" fontId="109" fillId="0" borderId="0" xfId="0" applyNumberFormat="1" applyFont="1" applyFill="1" applyAlignment="1">
      <alignment horizontal="center"/>
    </xf>
    <xf numFmtId="191" fontId="109" fillId="0" borderId="0" xfId="0" applyNumberFormat="1" applyFont="1" applyFill="1" applyAlignment="1">
      <alignment horizontal="center"/>
    </xf>
    <xf numFmtId="3" fontId="109" fillId="0" borderId="0" xfId="1" applyNumberFormat="1" applyFont="1" applyFill="1" applyAlignment="1">
      <alignment horizontal="center"/>
    </xf>
    <xf numFmtId="191" fontId="184" fillId="0" borderId="0" xfId="0" applyNumberFormat="1" applyFont="1" applyFill="1" applyAlignment="1">
      <alignment horizontal="center" vertical="center"/>
    </xf>
    <xf numFmtId="191" fontId="185" fillId="0" borderId="0" xfId="0" applyNumberFormat="1" applyFont="1" applyFill="1" applyAlignment="1">
      <alignment horizontal="center" vertical="center"/>
    </xf>
    <xf numFmtId="191" fontId="95" fillId="0" borderId="0" xfId="1" applyNumberFormat="1" applyFont="1" applyFill="1" applyAlignment="1">
      <alignment horizontal="center"/>
    </xf>
    <xf numFmtId="191" fontId="185" fillId="0" borderId="15" xfId="0" applyNumberFormat="1" applyFont="1" applyFill="1" applyBorder="1" applyAlignment="1">
      <alignment horizontal="center" vertical="center"/>
    </xf>
    <xf numFmtId="191" fontId="109" fillId="0" borderId="0" xfId="0" applyNumberFormat="1" applyFont="1" applyFill="1" applyAlignment="1">
      <alignment horizontal="center" vertical="center"/>
    </xf>
    <xf numFmtId="191" fontId="109" fillId="0" borderId="0" xfId="0" applyNumberFormat="1" applyFont="1" applyFill="1" applyAlignment="1">
      <alignment horizontal="right"/>
    </xf>
    <xf numFmtId="191" fontId="95" fillId="0" borderId="0" xfId="1" quotePrefix="1" applyNumberFormat="1" applyFont="1" applyFill="1" applyAlignment="1">
      <alignment horizontal="center"/>
    </xf>
    <xf numFmtId="191" fontId="109" fillId="0" borderId="3" xfId="0" applyNumberFormat="1" applyFont="1" applyFill="1" applyBorder="1" applyAlignment="1">
      <alignment horizontal="center" vertical="center"/>
    </xf>
    <xf numFmtId="191" fontId="184" fillId="0" borderId="14" xfId="1" applyNumberFormat="1" applyFont="1" applyFill="1" applyBorder="1" applyAlignment="1">
      <alignment horizontal="center" vertical="center" wrapText="1"/>
    </xf>
    <xf numFmtId="191" fontId="184" fillId="0" borderId="22" xfId="1" applyNumberFormat="1" applyFont="1" applyFill="1" applyBorder="1" applyAlignment="1">
      <alignment horizontal="center" vertical="center" wrapText="1"/>
    </xf>
    <xf numFmtId="191" fontId="184" fillId="0" borderId="19" xfId="1" applyNumberFormat="1" applyFont="1" applyFill="1" applyBorder="1" applyAlignment="1">
      <alignment horizontal="center" vertical="center" wrapText="1"/>
    </xf>
    <xf numFmtId="191" fontId="185" fillId="0" borderId="0" xfId="0" applyNumberFormat="1" applyFont="1" applyFill="1" applyAlignment="1">
      <alignment horizontal="center"/>
    </xf>
    <xf numFmtId="191" fontId="95" fillId="0" borderId="0" xfId="0" applyNumberFormat="1" applyFont="1" applyFill="1" applyAlignment="1">
      <alignment horizontal="center" vertical="center"/>
    </xf>
    <xf numFmtId="191" fontId="184" fillId="0" borderId="10" xfId="1" applyNumberFormat="1" applyFont="1" applyFill="1" applyBorder="1" applyAlignment="1">
      <alignment horizontal="center" vertical="center" wrapText="1"/>
    </xf>
    <xf numFmtId="191" fontId="184" fillId="0" borderId="11" xfId="1" applyNumberFormat="1" applyFont="1" applyFill="1" applyBorder="1" applyAlignment="1">
      <alignment horizontal="center" vertical="center" wrapText="1"/>
    </xf>
    <xf numFmtId="191" fontId="184" fillId="0" borderId="16" xfId="1" applyNumberFormat="1" applyFont="1" applyFill="1" applyBorder="1" applyAlignment="1">
      <alignment horizontal="center" vertical="center" wrapText="1"/>
    </xf>
    <xf numFmtId="191" fontId="12" fillId="0" borderId="0" xfId="0" applyNumberFormat="1" applyFont="1" applyFill="1" applyAlignment="1">
      <alignment horizontal="center"/>
    </xf>
    <xf numFmtId="191" fontId="7" fillId="0" borderId="0" xfId="0" applyNumberFormat="1" applyFont="1" applyFill="1" applyAlignment="1">
      <alignment horizontal="center"/>
    </xf>
    <xf numFmtId="191" fontId="84" fillId="0" borderId="0" xfId="1" applyNumberFormat="1" applyFont="1" applyFill="1" applyAlignment="1">
      <alignment horizontal="center"/>
    </xf>
    <xf numFmtId="191" fontId="84" fillId="0" borderId="0" xfId="0" applyNumberFormat="1" applyFont="1" applyFill="1" applyAlignment="1">
      <alignment horizontal="center"/>
    </xf>
    <xf numFmtId="191" fontId="164" fillId="0" borderId="0" xfId="0" applyNumberFormat="1" applyFont="1" applyFill="1" applyAlignment="1">
      <alignment horizontal="center"/>
    </xf>
    <xf numFmtId="191" fontId="7" fillId="0" borderId="3" xfId="0" applyNumberFormat="1" applyFont="1" applyFill="1" applyBorder="1" applyAlignment="1">
      <alignment horizontal="center"/>
    </xf>
    <xf numFmtId="0" fontId="11" fillId="0" borderId="6" xfId="0" applyFont="1" applyFill="1" applyBorder="1" applyAlignment="1">
      <alignment horizontal="left" vertical="top" wrapText="1"/>
    </xf>
    <xf numFmtId="0" fontId="11" fillId="0" borderId="0" xfId="0" applyFont="1" applyFill="1" applyAlignment="1">
      <alignment horizontal="left" vertical="top" wrapText="1"/>
    </xf>
    <xf numFmtId="191" fontId="26" fillId="0" borderId="4" xfId="1" applyNumberFormat="1" applyFont="1" applyFill="1" applyBorder="1" applyAlignment="1">
      <alignment horizontal="center"/>
    </xf>
    <xf numFmtId="191" fontId="26" fillId="0" borderId="4" xfId="1" applyNumberFormat="1" applyFont="1" applyFill="1" applyBorder="1" applyAlignment="1">
      <alignment horizontal="center" vertical="center" wrapText="1"/>
    </xf>
    <xf numFmtId="191" fontId="26" fillId="0" borderId="4" xfId="0" applyNumberFormat="1" applyFont="1" applyFill="1" applyBorder="1" applyAlignment="1">
      <alignment horizontal="center" vertical="center"/>
    </xf>
    <xf numFmtId="191" fontId="26" fillId="0" borderId="4" xfId="0" applyNumberFormat="1" applyFont="1" applyFill="1" applyBorder="1" applyAlignment="1">
      <alignment horizontal="center" vertical="center" wrapText="1"/>
    </xf>
    <xf numFmtId="191" fontId="82" fillId="0" borderId="0" xfId="0" applyNumberFormat="1" applyFont="1" applyFill="1" applyAlignment="1">
      <alignment horizontal="right"/>
    </xf>
    <xf numFmtId="211" fontId="164" fillId="0" borderId="0" xfId="0" applyNumberFormat="1" applyFont="1" applyFill="1" applyAlignment="1">
      <alignment horizontal="center" vertical="center"/>
    </xf>
    <xf numFmtId="191" fontId="181" fillId="0" borderId="4" xfId="0" applyNumberFormat="1" applyFont="1" applyFill="1" applyBorder="1" applyAlignment="1">
      <alignment horizontal="center" vertical="center"/>
    </xf>
    <xf numFmtId="191" fontId="26" fillId="0" borderId="4" xfId="0" applyNumberFormat="1" applyFont="1" applyFill="1" applyBorder="1" applyAlignment="1">
      <alignment horizontal="center" vertical="center" shrinkToFit="1"/>
    </xf>
    <xf numFmtId="211" fontId="12" fillId="0" borderId="0" xfId="0" applyNumberFormat="1" applyFont="1" applyFill="1" applyAlignment="1">
      <alignment horizontal="center"/>
    </xf>
    <xf numFmtId="4" fontId="12" fillId="0" borderId="0" xfId="1" applyNumberFormat="1" applyFont="1" applyFill="1" applyAlignment="1">
      <alignment horizontal="center" vertical="center"/>
    </xf>
    <xf numFmtId="191" fontId="9" fillId="0" borderId="0" xfId="0" applyNumberFormat="1" applyFont="1" applyFill="1" applyAlignment="1">
      <alignment horizontal="center"/>
    </xf>
    <xf numFmtId="3" fontId="12" fillId="0" borderId="0" xfId="1" applyNumberFormat="1" applyFont="1" applyFill="1" applyAlignment="1">
      <alignment horizontal="center"/>
    </xf>
    <xf numFmtId="191" fontId="12" fillId="0" borderId="0" xfId="1" applyNumberFormat="1" applyFont="1" applyFill="1" applyAlignment="1">
      <alignment horizontal="center"/>
    </xf>
    <xf numFmtId="191" fontId="125" fillId="0" borderId="0" xfId="0" applyNumberFormat="1" applyFont="1" applyFill="1" applyAlignment="1">
      <alignment horizontal="center"/>
    </xf>
    <xf numFmtId="191" fontId="84" fillId="0" borderId="0" xfId="0" applyNumberFormat="1" applyFont="1" applyFill="1" applyAlignment="1">
      <alignment horizontal="left" vertical="center"/>
    </xf>
    <xf numFmtId="199" fontId="26" fillId="0" borderId="0" xfId="1" applyNumberFormat="1" applyFont="1" applyFill="1" applyAlignment="1">
      <alignment horizontal="center"/>
    </xf>
    <xf numFmtId="0" fontId="82" fillId="0" borderId="0" xfId="0" applyFont="1" applyAlignment="1">
      <alignment horizontal="center"/>
    </xf>
    <xf numFmtId="0" fontId="84" fillId="0" borderId="0" xfId="0" applyFont="1" applyAlignment="1">
      <alignment horizontal="center" vertical="center" wrapText="1"/>
    </xf>
    <xf numFmtId="0" fontId="84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199" fontId="26" fillId="0" borderId="0" xfId="1" quotePrefix="1" applyNumberFormat="1" applyFont="1" applyFill="1" applyAlignment="1">
      <alignment horizontal="center"/>
    </xf>
    <xf numFmtId="0" fontId="26" fillId="0" borderId="0" xfId="0" applyFont="1" applyAlignment="1">
      <alignment horizontal="center"/>
    </xf>
    <xf numFmtId="0" fontId="26" fillId="0" borderId="4" xfId="0" applyFont="1" applyBorder="1" applyAlignment="1">
      <alignment horizontal="left" vertical="center"/>
    </xf>
    <xf numFmtId="0" fontId="26" fillId="0" borderId="4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92" fillId="0" borderId="0" xfId="0" applyFont="1" applyAlignment="1">
      <alignment horizontal="center"/>
    </xf>
    <xf numFmtId="0" fontId="114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justify" wrapText="1"/>
    </xf>
    <xf numFmtId="0" fontId="63" fillId="0" borderId="15" xfId="0" applyFont="1" applyBorder="1" applyAlignment="1">
      <alignment horizontal="center"/>
    </xf>
    <xf numFmtId="0" fontId="44" fillId="0" borderId="4" xfId="0" applyFont="1" applyBorder="1" applyAlignment="1">
      <alignment horizontal="left" vertical="center"/>
    </xf>
    <xf numFmtId="0" fontId="195" fillId="0" borderId="14" xfId="0" applyFont="1" applyBorder="1" applyAlignment="1">
      <alignment horizontal="left" vertical="center" wrapText="1"/>
    </xf>
    <xf numFmtId="0" fontId="195" fillId="0" borderId="22" xfId="0" applyFont="1" applyBorder="1" applyAlignment="1">
      <alignment horizontal="left" vertical="center" wrapText="1"/>
    </xf>
    <xf numFmtId="0" fontId="195" fillId="0" borderId="19" xfId="0" applyFont="1" applyBorder="1" applyAlignment="1">
      <alignment horizontal="left" vertical="center" wrapText="1"/>
    </xf>
    <xf numFmtId="0" fontId="195" fillId="0" borderId="14" xfId="0" applyFont="1" applyBorder="1" applyAlignment="1">
      <alignment horizontal="center" vertical="center"/>
    </xf>
    <xf numFmtId="0" fontId="195" fillId="0" borderId="22" xfId="0" applyFont="1" applyBorder="1" applyAlignment="1">
      <alignment horizontal="center" vertical="center"/>
    </xf>
    <xf numFmtId="0" fontId="195" fillId="0" borderId="19" xfId="0" applyFont="1" applyBorder="1" applyAlignment="1">
      <alignment horizontal="center" vertical="center"/>
    </xf>
    <xf numFmtId="0" fontId="106" fillId="4" borderId="14" xfId="0" applyFont="1" applyFill="1" applyBorder="1" applyAlignment="1">
      <alignment horizontal="center" vertical="center"/>
    </xf>
    <xf numFmtId="0" fontId="106" fillId="4" borderId="22" xfId="0" applyFont="1" applyFill="1" applyBorder="1" applyAlignment="1">
      <alignment horizontal="center" vertical="center"/>
    </xf>
    <xf numFmtId="0" fontId="106" fillId="4" borderId="19" xfId="0" applyFont="1" applyFill="1" applyBorder="1" applyAlignment="1">
      <alignment horizontal="center" vertical="center"/>
    </xf>
    <xf numFmtId="197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98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97" fontId="82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197" fontId="26" fillId="0" borderId="0" xfId="1" applyNumberFormat="1" applyFont="1" applyFill="1" applyAlignment="1">
      <alignment horizontal="center"/>
    </xf>
    <xf numFmtId="0" fontId="34" fillId="0" borderId="0" xfId="0" applyFont="1" applyAlignment="1">
      <alignment horizontal="center"/>
    </xf>
    <xf numFmtId="0" fontId="26" fillId="4" borderId="0" xfId="0" applyFont="1" applyFill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2" fillId="0" borderId="14" xfId="0" applyFont="1" applyBorder="1" applyAlignment="1">
      <alignment horizontal="center" vertical="center"/>
    </xf>
    <xf numFmtId="0" fontId="82" fillId="0" borderId="22" xfId="0" applyFont="1" applyBorder="1" applyAlignment="1">
      <alignment horizontal="center" vertical="center"/>
    </xf>
    <xf numFmtId="0" fontId="82" fillId="0" borderId="19" xfId="0" applyFont="1" applyBorder="1" applyAlignment="1">
      <alignment horizontal="center" vertical="center"/>
    </xf>
    <xf numFmtId="1" fontId="82" fillId="0" borderId="14" xfId="0" applyNumberFormat="1" applyFont="1" applyBorder="1" applyAlignment="1">
      <alignment horizontal="center" vertical="center" wrapText="1"/>
    </xf>
    <xf numFmtId="1" fontId="82" fillId="0" borderId="22" xfId="0" applyNumberFormat="1" applyFont="1" applyBorder="1" applyAlignment="1">
      <alignment horizontal="center" vertical="center" wrapText="1"/>
    </xf>
    <xf numFmtId="1" fontId="82" fillId="0" borderId="19" xfId="0" applyNumberFormat="1" applyFont="1" applyBorder="1" applyAlignment="1">
      <alignment horizontal="center" vertical="center" wrapText="1"/>
    </xf>
    <xf numFmtId="191" fontId="26" fillId="0" borderId="0" xfId="1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191" fontId="26" fillId="0" borderId="0" xfId="1" quotePrefix="1" applyNumberFormat="1" applyFont="1" applyFill="1" applyAlignment="1">
      <alignment horizontal="center"/>
    </xf>
    <xf numFmtId="0" fontId="84" fillId="0" borderId="0" xfId="0" applyFont="1" applyAlignment="1">
      <alignment horizontal="center"/>
    </xf>
    <xf numFmtId="0" fontId="82" fillId="4" borderId="4" xfId="0" applyFont="1" applyFill="1" applyBorder="1" applyAlignment="1">
      <alignment horizontal="center" vertical="center"/>
    </xf>
    <xf numFmtId="0" fontId="195" fillId="0" borderId="4" xfId="0" applyFont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" fontId="82" fillId="0" borderId="4" xfId="0" applyNumberFormat="1" applyFont="1" applyBorder="1" applyAlignment="1">
      <alignment horizontal="center" vertical="center" wrapText="1"/>
    </xf>
    <xf numFmtId="0" fontId="105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0" fontId="79" fillId="0" borderId="0" xfId="0" quotePrefix="1" applyFont="1" applyAlignment="1">
      <alignment horizontal="center"/>
    </xf>
    <xf numFmtId="0" fontId="76" fillId="0" borderId="0" xfId="0" applyFont="1" applyAlignment="1">
      <alignment horizontal="center"/>
    </xf>
    <xf numFmtId="0" fontId="118" fillId="0" borderId="0" xfId="0" applyFont="1" applyAlignment="1">
      <alignment horizontal="center"/>
    </xf>
    <xf numFmtId="0" fontId="81" fillId="0" borderId="0" xfId="0" applyFont="1" applyAlignment="1">
      <alignment horizontal="center" vertical="center"/>
    </xf>
    <xf numFmtId="0" fontId="120" fillId="0" borderId="15" xfId="0" applyFont="1" applyBorder="1" applyAlignment="1">
      <alignment horizontal="right" vertical="center"/>
    </xf>
    <xf numFmtId="0" fontId="118" fillId="0" borderId="0" xfId="0" applyFont="1" applyAlignment="1">
      <alignment horizontal="left"/>
    </xf>
    <xf numFmtId="0" fontId="10" fillId="0" borderId="0" xfId="0" quotePrefix="1" applyFont="1" applyAlignment="1">
      <alignment horizontal="center"/>
    </xf>
    <xf numFmtId="0" fontId="24" fillId="0" borderId="0" xfId="16" applyFont="1" applyAlignment="1">
      <alignment horizontal="center"/>
    </xf>
    <xf numFmtId="0" fontId="71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197" fontId="12" fillId="0" borderId="3" xfId="1" applyNumberFormat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7" fillId="0" borderId="14" xfId="0" applyFont="1" applyBorder="1" applyAlignment="1">
      <alignment horizontal="center" vertical="center"/>
    </xf>
    <xf numFmtId="0" fontId="107" fillId="0" borderId="22" xfId="0" applyFont="1" applyBorder="1" applyAlignment="1">
      <alignment horizontal="center" vertical="center"/>
    </xf>
    <xf numFmtId="0" fontId="107" fillId="0" borderId="19" xfId="0" applyFont="1" applyBorder="1" applyAlignment="1">
      <alignment horizontal="center" vertical="center"/>
    </xf>
    <xf numFmtId="0" fontId="86" fillId="0" borderId="0" xfId="16" applyFont="1" applyAlignment="1">
      <alignment horizontal="center"/>
    </xf>
    <xf numFmtId="3" fontId="17" fillId="0" borderId="0" xfId="0" applyNumberFormat="1" applyFont="1"/>
    <xf numFmtId="3" fontId="17" fillId="0" borderId="0" xfId="0" applyNumberFormat="1" applyFont="1" applyAlignment="1">
      <alignment horizontal="center"/>
    </xf>
    <xf numFmtId="0" fontId="78" fillId="0" borderId="0" xfId="0" applyFont="1" applyAlignment="1">
      <alignment horizontal="left"/>
    </xf>
    <xf numFmtId="0" fontId="78" fillId="0" borderId="0" xfId="0" applyFont="1" applyAlignment="1">
      <alignment horizontal="center"/>
    </xf>
    <xf numFmtId="0" fontId="114" fillId="0" borderId="14" xfId="0" applyFont="1" applyBorder="1" applyAlignment="1">
      <alignment horizontal="center" vertical="center"/>
    </xf>
    <xf numFmtId="0" fontId="106" fillId="0" borderId="22" xfId="0" applyFont="1" applyBorder="1" applyAlignment="1">
      <alignment horizontal="center" vertical="center"/>
    </xf>
    <xf numFmtId="0" fontId="106" fillId="0" borderId="19" xfId="0" applyFont="1" applyBorder="1" applyAlignment="1">
      <alignment horizontal="center" vertical="center"/>
    </xf>
    <xf numFmtId="0" fontId="63" fillId="0" borderId="0" xfId="0" applyFont="1" applyAlignment="1">
      <alignment horizontal="right"/>
    </xf>
    <xf numFmtId="204" fontId="11" fillId="0" borderId="14" xfId="0" applyNumberFormat="1" applyFont="1" applyBorder="1" applyAlignment="1">
      <alignment horizontal="center" vertical="center"/>
    </xf>
    <xf numFmtId="204" fontId="11" fillId="0" borderId="22" xfId="0" applyNumberFormat="1" applyFont="1" applyBorder="1" applyAlignment="1">
      <alignment horizontal="center" vertical="center"/>
    </xf>
    <xf numFmtId="204" fontId="11" fillId="0" borderId="19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204" fontId="11" fillId="0" borderId="0" xfId="0" applyNumberFormat="1" applyFont="1" applyAlignment="1">
      <alignment horizontal="center" vertical="center"/>
    </xf>
    <xf numFmtId="0" fontId="140" fillId="0" borderId="22" xfId="0" applyFont="1" applyBorder="1" applyAlignment="1">
      <alignment vertical="center"/>
    </xf>
    <xf numFmtId="0" fontId="140" fillId="0" borderId="19" xfId="0" applyFont="1" applyBorder="1" applyAlignment="1">
      <alignment vertical="center"/>
    </xf>
    <xf numFmtId="219" fontId="34" fillId="4" borderId="0" xfId="5" applyNumberFormat="1" applyFont="1" applyFill="1" applyAlignment="1">
      <alignment horizontal="right" vertical="center"/>
    </xf>
    <xf numFmtId="0" fontId="26" fillId="4" borderId="0" xfId="0" applyFont="1" applyFill="1" applyAlignment="1">
      <alignment horizontal="center"/>
    </xf>
    <xf numFmtId="0" fontId="26" fillId="4" borderId="0" xfId="0" quotePrefix="1" applyFont="1" applyFill="1" applyAlignment="1">
      <alignment horizontal="center"/>
    </xf>
    <xf numFmtId="0" fontId="84" fillId="4" borderId="0" xfId="0" applyFont="1" applyFill="1" applyAlignment="1">
      <alignment horizontal="center"/>
    </xf>
    <xf numFmtId="0" fontId="26" fillId="4" borderId="23" xfId="0" applyFont="1" applyFill="1" applyBorder="1" applyAlignment="1">
      <alignment horizontal="center" vertical="center"/>
    </xf>
    <xf numFmtId="0" fontId="26" fillId="4" borderId="24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114" fillId="4" borderId="14" xfId="0" applyFont="1" applyFill="1" applyBorder="1" applyAlignment="1">
      <alignment horizontal="center" vertical="center"/>
    </xf>
    <xf numFmtId="0" fontId="114" fillId="4" borderId="22" xfId="0" applyFont="1" applyFill="1" applyBorder="1" applyAlignment="1">
      <alignment horizontal="center" vertical="center"/>
    </xf>
    <xf numFmtId="0" fontId="114" fillId="4" borderId="19" xfId="0" applyFont="1" applyFill="1" applyBorder="1" applyAlignment="1">
      <alignment horizontal="center" vertical="center"/>
    </xf>
    <xf numFmtId="199" fontId="2" fillId="2" borderId="4" xfId="1" applyNumberFormat="1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6" fillId="0" borderId="22" xfId="0" applyFont="1" applyBorder="1" applyAlignment="1">
      <alignment horizontal="center" vertical="center"/>
    </xf>
    <xf numFmtId="0" fontId="46" fillId="0" borderId="19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 shrinkToFit="1"/>
    </xf>
    <xf numFmtId="0" fontId="27" fillId="0" borderId="0" xfId="0" applyFont="1" applyAlignment="1">
      <alignment horizontal="center"/>
    </xf>
    <xf numFmtId="0" fontId="17" fillId="0" borderId="3" xfId="0" applyFont="1" applyBorder="1" applyAlignment="1">
      <alignment horizontal="center" vertical="center" wrapText="1" shrinkToFit="1"/>
    </xf>
    <xf numFmtId="0" fontId="20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199" fontId="29" fillId="0" borderId="0" xfId="1" applyNumberFormat="1" applyFont="1" applyFill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right"/>
    </xf>
    <xf numFmtId="0" fontId="33" fillId="0" borderId="0" xfId="0" applyFont="1" applyAlignment="1">
      <alignment horizontal="center"/>
    </xf>
    <xf numFmtId="0" fontId="44" fillId="0" borderId="0" xfId="0" applyFont="1" applyAlignment="1">
      <alignment horizontal="left" vertical="center"/>
    </xf>
    <xf numFmtId="0" fontId="136" fillId="0" borderId="0" xfId="0" applyFont="1"/>
    <xf numFmtId="0" fontId="26" fillId="0" borderId="1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06" fillId="0" borderId="4" xfId="0" applyFont="1" applyBorder="1" applyAlignment="1">
      <alignment horizontal="center" vertical="center"/>
    </xf>
    <xf numFmtId="199" fontId="26" fillId="0" borderId="0" xfId="1" applyNumberFormat="1" applyFont="1" applyFill="1" applyBorder="1" applyAlignment="1">
      <alignment horizontal="center"/>
    </xf>
    <xf numFmtId="199" fontId="26" fillId="0" borderId="0" xfId="1" quotePrefix="1" applyNumberFormat="1" applyFont="1" applyFill="1" applyBorder="1" applyAlignment="1">
      <alignment horizontal="center"/>
    </xf>
    <xf numFmtId="0" fontId="44" fillId="4" borderId="10" xfId="0" applyFont="1" applyFill="1" applyBorder="1" applyAlignment="1">
      <alignment horizontal="center" vertical="center" shrinkToFit="1"/>
    </xf>
    <xf numFmtId="0" fontId="44" fillId="4" borderId="16" xfId="0" applyFont="1" applyFill="1" applyBorder="1" applyAlignment="1">
      <alignment horizontal="center" vertical="center" shrinkToFit="1"/>
    </xf>
    <xf numFmtId="0" fontId="190" fillId="4" borderId="16" xfId="0" applyFont="1" applyFill="1" applyBorder="1"/>
    <xf numFmtId="198" fontId="44" fillId="4" borderId="10" xfId="1" applyNumberFormat="1" applyFont="1" applyFill="1" applyBorder="1" applyAlignment="1">
      <alignment horizontal="center" vertical="center" shrinkToFit="1"/>
    </xf>
    <xf numFmtId="0" fontId="44" fillId="4" borderId="14" xfId="0" applyFont="1" applyFill="1" applyBorder="1" applyAlignment="1">
      <alignment horizontal="center" vertical="center"/>
    </xf>
    <xf numFmtId="0" fontId="44" fillId="4" borderId="22" xfId="0" applyFont="1" applyFill="1" applyBorder="1" applyAlignment="1">
      <alignment horizontal="center" vertical="center"/>
    </xf>
    <xf numFmtId="0" fontId="44" fillId="4" borderId="19" xfId="0" applyFont="1" applyFill="1" applyBorder="1" applyAlignment="1">
      <alignment horizontal="center" vertical="center"/>
    </xf>
    <xf numFmtId="198" fontId="83" fillId="4" borderId="0" xfId="0" applyNumberFormat="1" applyFont="1" applyFill="1" applyAlignment="1">
      <alignment horizontal="center"/>
    </xf>
    <xf numFmtId="0" fontId="82" fillId="4" borderId="0" xfId="0" applyFont="1" applyFill="1" applyAlignment="1">
      <alignment horizontal="left"/>
    </xf>
    <xf numFmtId="0" fontId="82" fillId="4" borderId="0" xfId="0" applyFont="1" applyFill="1" applyAlignment="1">
      <alignment horizontal="center"/>
    </xf>
    <xf numFmtId="0" fontId="82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35" fillId="4" borderId="0" xfId="0" applyFont="1" applyFill="1" applyAlignment="1">
      <alignment horizontal="center"/>
    </xf>
    <xf numFmtId="0" fontId="44" fillId="4" borderId="4" xfId="0" applyFont="1" applyFill="1" applyBorder="1" applyAlignment="1">
      <alignment horizontal="center" vertical="center" shrinkToFit="1"/>
    </xf>
    <xf numFmtId="0" fontId="44" fillId="4" borderId="4" xfId="0" applyFont="1" applyFill="1" applyBorder="1" applyAlignment="1">
      <alignment horizontal="center" vertical="center" wrapText="1"/>
    </xf>
    <xf numFmtId="0" fontId="121" fillId="0" borderId="4" xfId="0" applyFont="1" applyBorder="1" applyAlignment="1">
      <alignment horizontal="center"/>
    </xf>
    <xf numFmtId="0" fontId="67" fillId="0" borderId="4" xfId="0" applyFont="1" applyBorder="1" applyAlignment="1">
      <alignment horizontal="center"/>
    </xf>
    <xf numFmtId="0" fontId="66" fillId="0" borderId="4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67" fillId="0" borderId="10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0" fillId="0" borderId="4" xfId="0" applyFont="1" applyBorder="1" applyAlignment="1">
      <alignment horizontal="center"/>
    </xf>
    <xf numFmtId="196" fontId="74" fillId="0" borderId="0" xfId="1" applyFont="1" applyFill="1" applyAlignment="1">
      <alignment horizontal="center"/>
    </xf>
    <xf numFmtId="197" fontId="1" fillId="0" borderId="0" xfId="1" applyNumberFormat="1" applyFont="1" applyFill="1" applyAlignment="1">
      <alignment horizontal="center"/>
    </xf>
    <xf numFmtId="197" fontId="74" fillId="0" borderId="0" xfId="1" applyNumberFormat="1" applyFont="1" applyFill="1" applyAlignment="1">
      <alignment horizontal="center"/>
    </xf>
    <xf numFmtId="213" fontId="0" fillId="0" borderId="0" xfId="0" applyNumberFormat="1" applyAlignment="1">
      <alignment horizontal="center"/>
    </xf>
    <xf numFmtId="0" fontId="92" fillId="0" borderId="0" xfId="16" applyFont="1" applyAlignment="1">
      <alignment horizontal="center"/>
    </xf>
    <xf numFmtId="0" fontId="76" fillId="0" borderId="0" xfId="16" applyFont="1" applyAlignment="1">
      <alignment horizontal="right"/>
    </xf>
    <xf numFmtId="0" fontId="10" fillId="0" borderId="14" xfId="18" applyFont="1" applyBorder="1" applyAlignment="1">
      <alignment horizontal="left" vertical="center"/>
    </xf>
    <xf numFmtId="0" fontId="10" fillId="0" borderId="19" xfId="18" applyFont="1" applyBorder="1" applyAlignment="1">
      <alignment horizontal="left" vertical="center"/>
    </xf>
    <xf numFmtId="0" fontId="57" fillId="0" borderId="0" xfId="0" applyFont="1" applyAlignment="1">
      <alignment horizontal="center"/>
    </xf>
    <xf numFmtId="199" fontId="44" fillId="0" borderId="0" xfId="1" applyNumberFormat="1" applyFont="1" applyFill="1" applyAlignment="1">
      <alignment horizontal="center"/>
    </xf>
    <xf numFmtId="0" fontId="44" fillId="0" borderId="0" xfId="0" quotePrefix="1" applyFont="1" applyAlignment="1">
      <alignment horizontal="center"/>
    </xf>
    <xf numFmtId="0" fontId="39" fillId="0" borderId="0" xfId="0" applyFont="1" applyAlignment="1">
      <alignment horizontal="left" vertical="center" shrinkToFit="1"/>
    </xf>
    <xf numFmtId="0" fontId="52" fillId="0" borderId="3" xfId="0" applyFont="1" applyBorder="1" applyAlignment="1">
      <alignment horizontal="center"/>
    </xf>
    <xf numFmtId="0" fontId="53" fillId="0" borderId="0" xfId="0" applyFont="1" applyAlignment="1">
      <alignment horizontal="center" vertical="center" shrinkToFit="1"/>
    </xf>
    <xf numFmtId="0" fontId="42" fillId="0" borderId="4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39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0" fontId="52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26" fillId="5" borderId="4" xfId="0" applyFont="1" applyFill="1" applyBorder="1" applyAlignment="1">
      <alignment horizontal="center"/>
    </xf>
    <xf numFmtId="0" fontId="171" fillId="5" borderId="4" xfId="0" applyFont="1" applyFill="1" applyBorder="1" applyAlignment="1">
      <alignment horizontal="center"/>
    </xf>
  </cellXfs>
  <cellStyles count="30">
    <cellStyle name="Accent6" xfId="28" builtinId="49"/>
    <cellStyle name="Comma" xfId="1" builtinId="3"/>
    <cellStyle name="Comma [0]" xfId="29" builtinId="6"/>
    <cellStyle name="Comma [0] 2" xfId="2"/>
    <cellStyle name="Comma 19" xfId="3"/>
    <cellStyle name="Comma 2" xfId="4"/>
    <cellStyle name="Comma 2 2" xfId="5"/>
    <cellStyle name="Comma 3" xfId="6"/>
    <cellStyle name="Comma 5" xfId="24"/>
    <cellStyle name="Comma_Sheet1" xfId="26"/>
    <cellStyle name="Currency" xfId="7" builtinId="4"/>
    <cellStyle name="Normal" xfId="0" builtinId="0"/>
    <cellStyle name="Normal 10" xfId="8"/>
    <cellStyle name="Normal 16" xfId="9"/>
    <cellStyle name="Normal 2" xfId="10"/>
    <cellStyle name="Normal 2 2" xfId="11"/>
    <cellStyle name="Normal 2 2 2" xfId="12"/>
    <cellStyle name="Normal 2 2 2 2" xfId="13"/>
    <cellStyle name="Normal 2 2 2 2 2 2" xfId="23"/>
    <cellStyle name="Normal 21" xfId="25"/>
    <cellStyle name="Normal 24" xfId="27"/>
    <cellStyle name="Normal 3" xfId="14"/>
    <cellStyle name="Normal 3 6" xfId="15"/>
    <cellStyle name="Normal 4" xfId="16"/>
    <cellStyle name="Normal 5" xfId="17"/>
    <cellStyle name="Normal_KE HOACH SAN XUAT HANG THANG NAM 2016" xfId="18"/>
    <cellStyle name="Normal_Sheet1" xfId="19"/>
    <cellStyle name="Normal_Sheet1 2" xfId="20"/>
    <cellStyle name="Percent" xfId="21" builtinId="5"/>
    <cellStyle name="Percent 2" xfId="22"/>
  </cellStyles>
  <dxfs count="192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Châm Công Phụ Cấp -style" pivot="0" count="2">
      <tableStyleElement type="firstRowStripe" dxfId="191"/>
      <tableStyleElement type="secondRowStripe" dxfId="19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249891</xdr:colOff>
      <xdr:row>5</xdr:row>
      <xdr:rowOff>203200</xdr:rowOff>
    </xdr:from>
    <xdr:to>
      <xdr:col>9</xdr:col>
      <xdr:colOff>259416</xdr:colOff>
      <xdr:row>5</xdr:row>
      <xdr:rowOff>204788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>
          <a:off x="3389331" y="1170940"/>
          <a:ext cx="119824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984685</xdr:colOff>
      <xdr:row>7</xdr:row>
      <xdr:rowOff>102052</xdr:rowOff>
    </xdr:from>
    <xdr:to>
      <xdr:col>11</xdr:col>
      <xdr:colOff>724913</xdr:colOff>
      <xdr:row>7</xdr:row>
      <xdr:rowOff>103640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CxnSpPr/>
      </xdr:nvCxnSpPr>
      <xdr:spPr>
        <a:xfrm>
          <a:off x="7118785" y="3988252"/>
          <a:ext cx="310826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298885</xdr:colOff>
      <xdr:row>6</xdr:row>
      <xdr:rowOff>102052</xdr:rowOff>
    </xdr:from>
    <xdr:to>
      <xdr:col>9</xdr:col>
      <xdr:colOff>39113</xdr:colOff>
      <xdr:row>6</xdr:row>
      <xdr:rowOff>103640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CxnSpPr/>
      </xdr:nvCxnSpPr>
      <xdr:spPr>
        <a:xfrm>
          <a:off x="7248325" y="3043372"/>
          <a:ext cx="268916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23813</xdr:rowOff>
    </xdr:from>
    <xdr:to>
      <xdr:col>5</xdr:col>
      <xdr:colOff>23813</xdr:colOff>
      <xdr:row>7</xdr:row>
      <xdr:rowOff>25401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CxnSpPr/>
      </xdr:nvCxnSpPr>
      <xdr:spPr>
        <a:xfrm>
          <a:off x="3929063" y="1881188"/>
          <a:ext cx="25241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23813</xdr:rowOff>
    </xdr:from>
    <xdr:to>
      <xdr:col>5</xdr:col>
      <xdr:colOff>23813</xdr:colOff>
      <xdr:row>6</xdr:row>
      <xdr:rowOff>25401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CxnSpPr/>
      </xdr:nvCxnSpPr>
      <xdr:spPr>
        <a:xfrm>
          <a:off x="6431280" y="2203133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744703</xdr:colOff>
      <xdr:row>6</xdr:row>
      <xdr:rowOff>86590</xdr:rowOff>
    </xdr:from>
    <xdr:to>
      <xdr:col>5</xdr:col>
      <xdr:colOff>51976</xdr:colOff>
      <xdr:row>6</xdr:row>
      <xdr:rowOff>86590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CxnSpPr/>
      </xdr:nvCxnSpPr>
      <xdr:spPr>
        <a:xfrm>
          <a:off x="3983203" y="2265910"/>
          <a:ext cx="250005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1350820</xdr:colOff>
      <xdr:row>6</xdr:row>
      <xdr:rowOff>69272</xdr:rowOff>
    </xdr:from>
    <xdr:to>
      <xdr:col>5</xdr:col>
      <xdr:colOff>346365</xdr:colOff>
      <xdr:row>6</xdr:row>
      <xdr:rowOff>69272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CxnSpPr/>
      </xdr:nvCxnSpPr>
      <xdr:spPr>
        <a:xfrm>
          <a:off x="3408220" y="2157152"/>
          <a:ext cx="22188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109225</xdr:colOff>
      <xdr:row>7</xdr:row>
      <xdr:rowOff>51955</xdr:rowOff>
    </xdr:from>
    <xdr:to>
      <xdr:col>6</xdr:col>
      <xdr:colOff>207815</xdr:colOff>
      <xdr:row>7</xdr:row>
      <xdr:rowOff>51955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CxnSpPr/>
      </xdr:nvCxnSpPr>
      <xdr:spPr>
        <a:xfrm>
          <a:off x="2319025" y="1995055"/>
          <a:ext cx="1797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1152525</xdr:colOff>
      <xdr:row>6</xdr:row>
      <xdr:rowOff>9525</xdr:rowOff>
    </xdr:from>
    <xdr:to>
      <xdr:col>3</xdr:col>
      <xdr:colOff>209550</xdr:colOff>
      <xdr:row>6</xdr:row>
      <xdr:rowOff>11113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CxnSpPr/>
      </xdr:nvCxnSpPr>
      <xdr:spPr>
        <a:xfrm>
          <a:off x="1495425" y="1411605"/>
          <a:ext cx="186880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154642</xdr:colOff>
      <xdr:row>6</xdr:row>
      <xdr:rowOff>58834</xdr:rowOff>
    </xdr:from>
    <xdr:to>
      <xdr:col>6</xdr:col>
      <xdr:colOff>759760</xdr:colOff>
      <xdr:row>6</xdr:row>
      <xdr:rowOff>60422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CxnSpPr/>
      </xdr:nvCxnSpPr>
      <xdr:spPr>
        <a:xfrm>
          <a:off x="2509222" y="1529494"/>
          <a:ext cx="248725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154642</xdr:colOff>
      <xdr:row>6</xdr:row>
      <xdr:rowOff>58834</xdr:rowOff>
    </xdr:from>
    <xdr:to>
      <xdr:col>6</xdr:col>
      <xdr:colOff>759760</xdr:colOff>
      <xdr:row>6</xdr:row>
      <xdr:rowOff>60422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19C25E95-AC3A-4D4B-9734-49CF271DDE95}"/>
            </a:ext>
          </a:extLst>
        </xdr:cNvPr>
        <xdr:cNvCxnSpPr/>
      </xdr:nvCxnSpPr>
      <xdr:spPr>
        <a:xfrm>
          <a:off x="2097742" y="1529494"/>
          <a:ext cx="259393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1187824</xdr:colOff>
      <xdr:row>5</xdr:row>
      <xdr:rowOff>22411</xdr:rowOff>
    </xdr:from>
    <xdr:to>
      <xdr:col>4</xdr:col>
      <xdr:colOff>67236</xdr:colOff>
      <xdr:row>5</xdr:row>
      <xdr:rowOff>23999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CxnSpPr/>
      </xdr:nvCxnSpPr>
      <xdr:spPr>
        <a:xfrm>
          <a:off x="1540249" y="1213036"/>
          <a:ext cx="2165537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639227</xdr:colOff>
      <xdr:row>7</xdr:row>
      <xdr:rowOff>28575</xdr:rowOff>
    </xdr:from>
    <xdr:to>
      <xdr:col>1</xdr:col>
      <xdr:colOff>2398586</xdr:colOff>
      <xdr:row>7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CxnSpPr/>
      </xdr:nvCxnSpPr>
      <xdr:spPr>
        <a:xfrm>
          <a:off x="1030810" y="1425575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639227</xdr:colOff>
      <xdr:row>7</xdr:row>
      <xdr:rowOff>28575</xdr:rowOff>
    </xdr:from>
    <xdr:to>
      <xdr:col>1</xdr:col>
      <xdr:colOff>2398586</xdr:colOff>
      <xdr:row>7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CxnSpPr/>
      </xdr:nvCxnSpPr>
      <xdr:spPr>
        <a:xfrm>
          <a:off x="1043087" y="1407795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1028700</xdr:colOff>
      <xdr:row>7</xdr:row>
      <xdr:rowOff>22860</xdr:rowOff>
    </xdr:from>
    <xdr:to>
      <xdr:col>2</xdr:col>
      <xdr:colOff>1447800</xdr:colOff>
      <xdr:row>7</xdr:row>
      <xdr:rowOff>22860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14181989-F7B0-4140-6031-EBC08D6F70C3}"/>
            </a:ext>
          </a:extLst>
        </xdr:cNvPr>
        <xdr:cNvCxnSpPr/>
      </xdr:nvCxnSpPr>
      <xdr:spPr>
        <a:xfrm>
          <a:off x="1516380" y="1348740"/>
          <a:ext cx="15163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1552575</xdr:colOff>
      <xdr:row>5</xdr:row>
      <xdr:rowOff>28575</xdr:rowOff>
    </xdr:from>
    <xdr:to>
      <xdr:col>4</xdr:col>
      <xdr:colOff>1009650</xdr:colOff>
      <xdr:row>5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F00-000003000000}"/>
            </a:ext>
          </a:extLst>
        </xdr:cNvPr>
        <xdr:cNvCxnSpPr/>
      </xdr:nvCxnSpPr>
      <xdr:spPr>
        <a:xfrm>
          <a:off x="1964055" y="1095375"/>
          <a:ext cx="148399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603885</xdr:colOff>
      <xdr:row>6</xdr:row>
      <xdr:rowOff>19050</xdr:rowOff>
    </xdr:from>
    <xdr:to>
      <xdr:col>2</xdr:col>
      <xdr:colOff>346757</xdr:colOff>
      <xdr:row>6</xdr:row>
      <xdr:rowOff>19844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927735" y="1276350"/>
          <a:ext cx="1114472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1403985</xdr:colOff>
      <xdr:row>6</xdr:row>
      <xdr:rowOff>19050</xdr:rowOff>
    </xdr:from>
    <xdr:to>
      <xdr:col>3</xdr:col>
      <xdr:colOff>278177</xdr:colOff>
      <xdr:row>6</xdr:row>
      <xdr:rowOff>19844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000-000003000000}"/>
            </a:ext>
          </a:extLst>
        </xdr:cNvPr>
        <xdr:cNvCxnSpPr/>
      </xdr:nvCxnSpPr>
      <xdr:spPr>
        <a:xfrm>
          <a:off x="1739265" y="1299210"/>
          <a:ext cx="1152572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8</xdr:row>
      <xdr:rowOff>38100</xdr:rowOff>
    </xdr:from>
    <xdr:to>
      <xdr:col>2</xdr:col>
      <xdr:colOff>523875</xdr:colOff>
      <xdr:row>8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1190625" y="1381125"/>
          <a:ext cx="10382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356906</xdr:colOff>
      <xdr:row>8</xdr:row>
      <xdr:rowOff>9525</xdr:rowOff>
    </xdr:from>
    <xdr:to>
      <xdr:col>3</xdr:col>
      <xdr:colOff>23531</xdr:colOff>
      <xdr:row>8</xdr:row>
      <xdr:rowOff>11113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200-000004000000}"/>
            </a:ext>
          </a:extLst>
        </xdr:cNvPr>
        <xdr:cNvCxnSpPr/>
      </xdr:nvCxnSpPr>
      <xdr:spPr>
        <a:xfrm>
          <a:off x="2833406" y="1548765"/>
          <a:ext cx="9239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242047</xdr:rowOff>
    </xdr:from>
    <xdr:to>
      <xdr:col>5</xdr:col>
      <xdr:colOff>152400</xdr:colOff>
      <xdr:row>6</xdr:row>
      <xdr:rowOff>242047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83E08473-E0D7-1D01-E1BE-6C3B3DF30931}"/>
            </a:ext>
          </a:extLst>
        </xdr:cNvPr>
        <xdr:cNvCxnSpPr/>
      </xdr:nvCxnSpPr>
      <xdr:spPr>
        <a:xfrm>
          <a:off x="1694329" y="1595718"/>
          <a:ext cx="14253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1390650</xdr:colOff>
      <xdr:row>7</xdr:row>
      <xdr:rowOff>28575</xdr:rowOff>
    </xdr:from>
    <xdr:to>
      <xdr:col>2</xdr:col>
      <xdr:colOff>400050</xdr:colOff>
      <xdr:row>7</xdr:row>
      <xdr:rowOff>30163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500-000004000000}"/>
            </a:ext>
          </a:extLst>
        </xdr:cNvPr>
        <xdr:cNvCxnSpPr/>
      </xdr:nvCxnSpPr>
      <xdr:spPr>
        <a:xfrm>
          <a:off x="1781175" y="1419225"/>
          <a:ext cx="12477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1390650</xdr:colOff>
      <xdr:row>7</xdr:row>
      <xdr:rowOff>28575</xdr:rowOff>
    </xdr:from>
    <xdr:to>
      <xdr:col>2</xdr:col>
      <xdr:colOff>400050</xdr:colOff>
      <xdr:row>7</xdr:row>
      <xdr:rowOff>30163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1500-000005000000}"/>
            </a:ext>
          </a:extLst>
        </xdr:cNvPr>
        <xdr:cNvCxnSpPr/>
      </xdr:nvCxnSpPr>
      <xdr:spPr>
        <a:xfrm>
          <a:off x="1794510" y="1407795"/>
          <a:ext cx="141732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1165860" y="1255395"/>
          <a:ext cx="143446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CxnSpPr/>
      </xdr:nvCxnSpPr>
      <xdr:spPr>
        <a:xfrm>
          <a:off x="1120140" y="1255395"/>
          <a:ext cx="131254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n/Documents/Zalo%20Received%20Files/&#272;&#7896;I%201%20TH&#193;NG%208%20N&#258;M%202024%20(5)%20(3)%20(3)%20(4)%20(3)%20(1)%20(2)%20(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  <sheetName val="BẢNG CHẤM CÔNG"/>
      <sheetName val="LÁT A"/>
      <sheetName val="Trang_tính1"/>
      <sheetName val="LÁT B"/>
      <sheetName val="LÁT C"/>
      <sheetName val="LÁT D"/>
      <sheetName val="MỦ DÂY"/>
      <sheetName val="TH MỦ CN"/>
      <sheetName val="LŨY KẾ MỦ"/>
      <sheetName val="bôi thuốc"/>
      <sheetName val="kỷ thuật"/>
      <sheetName val="phụ cấp gạo nếp"/>
      <sheetName val="CHẤM CÔNG BV"/>
      <sheetName val="LƯƠNG K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</sheetPr>
  <dimension ref="A1:AZ190"/>
  <sheetViews>
    <sheetView topLeftCell="A10" zoomScale="85" zoomScaleNormal="85" workbookViewId="0">
      <pane ySplit="3" topLeftCell="A149" activePane="bottomLeft" state="frozen"/>
      <selection activeCell="A10" sqref="A10"/>
      <selection pane="bottomLeft" activeCell="AM160" sqref="AM160"/>
    </sheetView>
  </sheetViews>
  <sheetFormatPr defaultColWidth="5.28515625" defaultRowHeight="12.75"/>
  <cols>
    <col min="1" max="2" width="3.85546875" style="966" customWidth="1"/>
    <col min="3" max="3" width="11.5703125" style="966" customWidth="1"/>
    <col min="4" max="4" width="14.140625" style="966" customWidth="1"/>
    <col min="5" max="5" width="10.7109375" style="12" customWidth="1"/>
    <col min="6" max="34" width="4.28515625" style="966" customWidth="1"/>
    <col min="35" max="35" width="5" style="966" customWidth="1"/>
    <col min="36" max="36" width="4.28515625" style="966" hidden="1" customWidth="1"/>
    <col min="37" max="38" width="6.7109375" style="966" customWidth="1"/>
    <col min="39" max="39" width="6.42578125" style="966" customWidth="1"/>
    <col min="40" max="40" width="7.28515625" style="966" customWidth="1"/>
    <col min="41" max="41" width="5.5703125" style="966" hidden="1" customWidth="1"/>
    <col min="42" max="42" width="4.42578125" style="966" hidden="1" customWidth="1"/>
    <col min="43" max="43" width="8.7109375" style="966" customWidth="1"/>
    <col min="44" max="44" width="5.28515625" style="966"/>
    <col min="45" max="45" width="9.7109375" style="966" customWidth="1"/>
    <col min="46" max="46" width="9" style="967" customWidth="1"/>
    <col min="47" max="16384" width="5.28515625" style="966"/>
  </cols>
  <sheetData>
    <row r="1" spans="1:52" ht="16.5">
      <c r="B1" s="1351" t="s">
        <v>51</v>
      </c>
      <c r="C1" s="1351"/>
      <c r="D1" s="1351"/>
      <c r="E1" s="1351"/>
      <c r="F1" s="1351"/>
      <c r="G1" s="1351"/>
      <c r="H1" s="1351"/>
      <c r="I1" s="1351"/>
      <c r="J1" s="1351"/>
      <c r="K1" s="1351"/>
      <c r="L1" s="1351"/>
      <c r="M1" s="1351"/>
      <c r="N1" s="1351"/>
      <c r="O1" s="1351"/>
      <c r="P1" s="1351"/>
      <c r="Q1" s="1351"/>
      <c r="R1" s="1351"/>
      <c r="S1" s="1351"/>
      <c r="T1" s="1351"/>
      <c r="U1" s="1351"/>
      <c r="V1" s="1351"/>
      <c r="W1" s="1351"/>
      <c r="X1" s="1351"/>
      <c r="Y1" s="1351"/>
      <c r="Z1" s="1351"/>
      <c r="AA1" s="1351"/>
      <c r="AB1" s="1351"/>
      <c r="AC1" s="1351"/>
      <c r="AD1" s="1351"/>
      <c r="AE1" s="1351"/>
      <c r="AF1" s="1351"/>
      <c r="AG1" s="1351"/>
      <c r="AH1" s="1351"/>
      <c r="AI1" s="1351"/>
      <c r="AJ1" s="1351"/>
      <c r="AK1" s="1351"/>
      <c r="AL1" s="1351"/>
      <c r="AM1" s="1351"/>
      <c r="AN1" s="1351"/>
      <c r="AO1" s="1351"/>
      <c r="AP1" s="1351"/>
      <c r="AQ1" s="1351"/>
    </row>
    <row r="2" spans="1:52" ht="16.5">
      <c r="B2" s="1351" t="s">
        <v>52</v>
      </c>
      <c r="C2" s="1351"/>
      <c r="D2" s="1351"/>
      <c r="E2" s="1351"/>
      <c r="F2" s="1351"/>
      <c r="G2" s="1351"/>
      <c r="H2" s="1351"/>
      <c r="I2" s="1351"/>
      <c r="J2" s="1351"/>
      <c r="K2" s="1351"/>
      <c r="L2" s="1351"/>
      <c r="M2" s="1351"/>
      <c r="N2" s="1351"/>
      <c r="O2" s="1351"/>
      <c r="P2" s="1351"/>
      <c r="Q2" s="1351"/>
      <c r="R2" s="1351"/>
      <c r="S2" s="1351"/>
      <c r="T2" s="1351"/>
      <c r="U2" s="1351"/>
      <c r="V2" s="1351"/>
      <c r="W2" s="1351"/>
      <c r="X2" s="1351"/>
      <c r="Y2" s="1351"/>
      <c r="Z2" s="1351"/>
      <c r="AA2" s="1351"/>
      <c r="AB2" s="1351"/>
      <c r="AC2" s="1351"/>
      <c r="AD2" s="1351"/>
      <c r="AE2" s="1351"/>
      <c r="AF2" s="1351"/>
      <c r="AG2" s="1351"/>
      <c r="AH2" s="1351"/>
      <c r="AI2" s="1351"/>
      <c r="AJ2" s="1351"/>
      <c r="AK2" s="1351"/>
      <c r="AL2" s="1351"/>
      <c r="AM2" s="1351"/>
      <c r="AN2" s="1351"/>
      <c r="AO2" s="1351"/>
      <c r="AP2" s="1351"/>
      <c r="AQ2" s="1351"/>
    </row>
    <row r="3" spans="1:52" ht="16.5">
      <c r="B3" s="1352" t="s">
        <v>277</v>
      </c>
      <c r="C3" s="1352"/>
      <c r="D3" s="1351"/>
      <c r="E3" s="1351"/>
      <c r="F3" s="1351"/>
      <c r="G3" s="1351"/>
      <c r="H3" s="1351"/>
      <c r="I3" s="1351"/>
      <c r="J3" s="1351"/>
      <c r="K3" s="1351"/>
      <c r="L3" s="1351"/>
      <c r="M3" s="1351"/>
      <c r="N3" s="1351"/>
      <c r="O3" s="1351"/>
      <c r="P3" s="1351"/>
      <c r="Q3" s="1351"/>
      <c r="R3" s="1351"/>
      <c r="S3" s="1351"/>
      <c r="T3" s="1351"/>
      <c r="U3" s="1351"/>
      <c r="V3" s="1351"/>
      <c r="W3" s="1351"/>
      <c r="X3" s="1351"/>
      <c r="Y3" s="1351"/>
      <c r="Z3" s="1351"/>
      <c r="AA3" s="1351"/>
      <c r="AB3" s="1351"/>
      <c r="AC3" s="1351"/>
      <c r="AD3" s="1351"/>
      <c r="AE3" s="1351"/>
      <c r="AF3" s="1351"/>
      <c r="AG3" s="1351"/>
      <c r="AH3" s="1351"/>
      <c r="AI3" s="1351"/>
      <c r="AJ3" s="1351"/>
      <c r="AK3" s="1351"/>
      <c r="AL3" s="1351"/>
      <c r="AM3" s="1351"/>
      <c r="AN3" s="1351"/>
      <c r="AO3" s="1351"/>
      <c r="AP3" s="1351"/>
      <c r="AQ3" s="1351"/>
    </row>
    <row r="4" spans="1:52" ht="9" customHeight="1">
      <c r="B4" s="968"/>
      <c r="C4" s="968"/>
      <c r="D4" s="968"/>
      <c r="E4" s="969"/>
      <c r="F4" s="968"/>
      <c r="G4" s="968"/>
      <c r="H4" s="968"/>
      <c r="I4" s="968"/>
      <c r="J4" s="968"/>
      <c r="K4" s="968"/>
      <c r="L4" s="968"/>
      <c r="M4" s="968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280"/>
      <c r="AD4" s="280"/>
      <c r="AE4" s="280"/>
      <c r="AF4" s="280"/>
      <c r="AG4" s="280"/>
      <c r="AH4" s="280"/>
      <c r="AI4" s="280"/>
      <c r="AJ4" s="280"/>
      <c r="AK4" s="229"/>
      <c r="AL4" s="229"/>
      <c r="AM4" s="229"/>
      <c r="AN4" s="229"/>
      <c r="AO4" s="229"/>
      <c r="AP4" s="229"/>
      <c r="AQ4" s="229"/>
    </row>
    <row r="5" spans="1:52" ht="16.5">
      <c r="B5" s="1353" t="s">
        <v>550</v>
      </c>
      <c r="C5" s="1353"/>
      <c r="D5" s="1353"/>
      <c r="E5" s="1353"/>
      <c r="F5" s="1353"/>
      <c r="G5" s="1353"/>
      <c r="H5" s="1353"/>
      <c r="I5" s="1353"/>
      <c r="J5" s="1353"/>
      <c r="K5" s="1353"/>
      <c r="L5" s="1353"/>
      <c r="M5" s="1353"/>
      <c r="N5" s="1353"/>
      <c r="O5" s="1353"/>
      <c r="P5" s="1353"/>
      <c r="Q5" s="280"/>
      <c r="R5" s="280"/>
      <c r="S5" s="280"/>
      <c r="T5" s="280"/>
      <c r="U5" s="280"/>
      <c r="V5" s="280"/>
      <c r="W5" s="280"/>
      <c r="X5" s="280"/>
      <c r="Y5" s="280"/>
      <c r="Z5" s="280"/>
      <c r="AA5" s="280"/>
      <c r="AB5" s="280"/>
      <c r="AC5" s="280"/>
      <c r="AD5" s="280"/>
      <c r="AE5" s="280"/>
      <c r="AF5" s="280"/>
      <c r="AG5" s="280"/>
      <c r="AH5" s="280"/>
      <c r="AI5" s="280"/>
      <c r="AJ5" s="280"/>
      <c r="AK5" s="229"/>
      <c r="AL5" s="229"/>
      <c r="AM5" s="229"/>
      <c r="AN5" s="229"/>
      <c r="AO5" s="229"/>
      <c r="AP5" s="229"/>
      <c r="AQ5" s="229"/>
    </row>
    <row r="6" spans="1:52" ht="16.5">
      <c r="B6" s="1353" t="s">
        <v>537</v>
      </c>
      <c r="C6" s="1353"/>
      <c r="D6" s="1353"/>
      <c r="E6" s="1353"/>
      <c r="F6" s="1353"/>
      <c r="G6" s="1353"/>
      <c r="H6" s="1353"/>
      <c r="I6" s="1353"/>
      <c r="J6" s="1353"/>
      <c r="K6" s="1353"/>
      <c r="L6" s="1353"/>
      <c r="M6" s="1353"/>
      <c r="N6" s="1353"/>
      <c r="O6" s="1353"/>
      <c r="P6" s="1353"/>
      <c r="Q6" s="280"/>
      <c r="R6" s="280"/>
      <c r="S6" s="280"/>
      <c r="T6" s="280"/>
      <c r="U6" s="280"/>
      <c r="V6" s="280"/>
      <c r="W6" s="280"/>
      <c r="X6" s="280"/>
      <c r="Y6" s="280"/>
      <c r="Z6" s="280"/>
      <c r="AA6" s="280"/>
      <c r="AB6" s="280"/>
      <c r="AC6" s="280"/>
      <c r="AD6" s="280"/>
      <c r="AE6" s="280"/>
      <c r="AF6" s="280"/>
      <c r="AG6" s="280"/>
      <c r="AH6" s="280"/>
      <c r="AI6" s="280"/>
      <c r="AJ6" s="280"/>
      <c r="AK6" s="229"/>
      <c r="AL6" s="229"/>
      <c r="AM6" s="229"/>
      <c r="AN6" s="229"/>
      <c r="AO6" s="229"/>
      <c r="AP6" s="229"/>
      <c r="AQ6" s="229"/>
    </row>
    <row r="7" spans="1:52" ht="18.75">
      <c r="B7" s="1349" t="s">
        <v>803</v>
      </c>
      <c r="C7" s="1349"/>
      <c r="D7" s="1349"/>
      <c r="E7" s="1349"/>
      <c r="F7" s="1349"/>
      <c r="G7" s="1349"/>
      <c r="H7" s="1349"/>
      <c r="I7" s="1349"/>
      <c r="J7" s="1349"/>
      <c r="K7" s="1349"/>
      <c r="L7" s="1349"/>
      <c r="M7" s="1349"/>
      <c r="N7" s="1349"/>
      <c r="O7" s="1349"/>
      <c r="P7" s="1349"/>
      <c r="Q7" s="1349"/>
      <c r="R7" s="1349"/>
      <c r="S7" s="1349"/>
      <c r="T7" s="1349"/>
      <c r="U7" s="1349"/>
      <c r="V7" s="1349"/>
      <c r="W7" s="1349"/>
      <c r="X7" s="1349"/>
      <c r="Y7" s="1349"/>
      <c r="Z7" s="1349"/>
      <c r="AA7" s="1349"/>
      <c r="AB7" s="1349"/>
      <c r="AC7" s="1349"/>
      <c r="AD7" s="1349"/>
      <c r="AE7" s="1349"/>
      <c r="AF7" s="1349"/>
      <c r="AG7" s="1349"/>
      <c r="AH7" s="1349"/>
      <c r="AI7" s="1349"/>
      <c r="AJ7" s="1349"/>
      <c r="AK7" s="1349"/>
      <c r="AL7" s="1349"/>
      <c r="AM7" s="1349"/>
      <c r="AN7" s="1349"/>
      <c r="AO7" s="1349"/>
      <c r="AP7" s="1349"/>
      <c r="AQ7" s="1349"/>
    </row>
    <row r="8" spans="1:52" ht="16.5">
      <c r="A8" s="1350" t="s">
        <v>804</v>
      </c>
      <c r="B8" s="1350"/>
      <c r="C8" s="1350"/>
      <c r="D8" s="1350"/>
      <c r="E8" s="1350"/>
      <c r="F8" s="1350"/>
      <c r="G8" s="1350"/>
      <c r="H8" s="1350"/>
      <c r="I8" s="1350"/>
      <c r="J8" s="1350"/>
      <c r="K8" s="1350"/>
      <c r="L8" s="1350"/>
      <c r="M8" s="1350"/>
      <c r="N8" s="1350"/>
      <c r="O8" s="1350"/>
      <c r="P8" s="1350"/>
      <c r="Q8" s="1350"/>
      <c r="R8" s="1350"/>
      <c r="S8" s="1350"/>
      <c r="T8" s="1350"/>
      <c r="U8" s="1350"/>
      <c r="V8" s="1350"/>
      <c r="W8" s="1350"/>
      <c r="X8" s="1350"/>
      <c r="Y8" s="1350"/>
      <c r="Z8" s="1350"/>
      <c r="AA8" s="1350"/>
      <c r="AB8" s="1350"/>
      <c r="AC8" s="1350"/>
      <c r="AD8" s="1350"/>
      <c r="AE8" s="1350"/>
      <c r="AF8" s="1350"/>
      <c r="AG8" s="1350"/>
      <c r="AH8" s="1350"/>
      <c r="AI8" s="1350"/>
      <c r="AJ8" s="1350"/>
      <c r="AK8" s="1350"/>
      <c r="AL8" s="1350"/>
      <c r="AM8" s="1350"/>
      <c r="AN8" s="1350"/>
      <c r="AO8" s="1350"/>
      <c r="AP8" s="1350"/>
      <c r="AQ8" s="1350"/>
    </row>
    <row r="9" spans="1:52" ht="16.5">
      <c r="B9" s="965"/>
      <c r="C9" s="965"/>
      <c r="D9" s="965"/>
      <c r="E9" s="965"/>
      <c r="F9" s="965"/>
      <c r="G9" s="965"/>
      <c r="H9" s="965"/>
      <c r="I9" s="965"/>
      <c r="J9" s="965"/>
      <c r="K9" s="965"/>
      <c r="L9" s="965"/>
      <c r="M9" s="965"/>
      <c r="N9" s="965"/>
      <c r="O9" s="965"/>
      <c r="P9" s="965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  <c r="AH9" s="280"/>
      <c r="AI9" s="280"/>
      <c r="AJ9" s="280"/>
      <c r="AK9" s="229"/>
      <c r="AL9" s="229"/>
      <c r="AM9" s="229"/>
      <c r="AN9" s="229"/>
      <c r="AO9" s="229"/>
      <c r="AP9" s="229"/>
      <c r="AQ9" s="229"/>
    </row>
    <row r="10" spans="1:52" ht="15.75" customHeight="1">
      <c r="A10" s="1356" t="s">
        <v>4</v>
      </c>
      <c r="B10" s="1356"/>
      <c r="C10" s="1356" t="s">
        <v>380</v>
      </c>
      <c r="D10" s="1340" t="s">
        <v>54</v>
      </c>
      <c r="E10" s="1340" t="s">
        <v>375</v>
      </c>
      <c r="F10" s="1355" t="s">
        <v>56</v>
      </c>
      <c r="G10" s="1355"/>
      <c r="H10" s="1355"/>
      <c r="I10" s="1355"/>
      <c r="J10" s="1355"/>
      <c r="K10" s="1355"/>
      <c r="L10" s="1355"/>
      <c r="M10" s="1355"/>
      <c r="N10" s="1355"/>
      <c r="O10" s="1355"/>
      <c r="P10" s="1355"/>
      <c r="Q10" s="1355"/>
      <c r="R10" s="1355"/>
      <c r="S10" s="1355"/>
      <c r="T10" s="1355"/>
      <c r="U10" s="1355"/>
      <c r="V10" s="1355"/>
      <c r="W10" s="1355"/>
      <c r="X10" s="1355"/>
      <c r="Y10" s="1355"/>
      <c r="Z10" s="1355"/>
      <c r="AA10" s="1355"/>
      <c r="AB10" s="1355"/>
      <c r="AC10" s="1355"/>
      <c r="AD10" s="1355"/>
      <c r="AE10" s="1355"/>
      <c r="AF10" s="1355"/>
      <c r="AG10" s="1355"/>
      <c r="AH10" s="1355"/>
      <c r="AI10" s="1355"/>
      <c r="AJ10" s="1355"/>
      <c r="AK10" s="1342" t="s">
        <v>756</v>
      </c>
      <c r="AL10" s="1342" t="s">
        <v>757</v>
      </c>
      <c r="AM10" s="1341" t="s">
        <v>433</v>
      </c>
      <c r="AN10" s="1341" t="s">
        <v>438</v>
      </c>
      <c r="AO10" s="1343" t="s">
        <v>431</v>
      </c>
      <c r="AP10" s="1343" t="s">
        <v>432</v>
      </c>
      <c r="AQ10" s="1342" t="s">
        <v>31</v>
      </c>
      <c r="AU10" s="970" t="s">
        <v>244</v>
      </c>
      <c r="AV10" s="970" t="s">
        <v>245</v>
      </c>
      <c r="AW10" s="970" t="s">
        <v>433</v>
      </c>
      <c r="AX10" s="970" t="s">
        <v>438</v>
      </c>
      <c r="AY10" s="970" t="s">
        <v>431</v>
      </c>
      <c r="AZ10" s="970" t="s">
        <v>432</v>
      </c>
    </row>
    <row r="11" spans="1:52" ht="73.5" customHeight="1">
      <c r="A11" s="1356"/>
      <c r="B11" s="1356"/>
      <c r="C11" s="1356"/>
      <c r="D11" s="1340"/>
      <c r="E11" s="1340"/>
      <c r="F11" s="963">
        <v>1</v>
      </c>
      <c r="G11" s="820">
        <v>2</v>
      </c>
      <c r="H11" s="963">
        <v>3</v>
      </c>
      <c r="I11" s="820">
        <v>4</v>
      </c>
      <c r="J11" s="963">
        <v>5</v>
      </c>
      <c r="K11" s="820">
        <v>6</v>
      </c>
      <c r="L11" s="963">
        <v>7</v>
      </c>
      <c r="M11" s="820">
        <v>8</v>
      </c>
      <c r="N11" s="963">
        <v>9</v>
      </c>
      <c r="O11" s="820">
        <v>10</v>
      </c>
      <c r="P11" s="963">
        <v>11</v>
      </c>
      <c r="Q11" s="820">
        <v>12</v>
      </c>
      <c r="R11" s="963">
        <v>13</v>
      </c>
      <c r="S11" s="820">
        <v>14</v>
      </c>
      <c r="T11" s="963">
        <v>15</v>
      </c>
      <c r="U11" s="820">
        <v>16</v>
      </c>
      <c r="V11" s="963">
        <v>17</v>
      </c>
      <c r="W11" s="820">
        <v>18</v>
      </c>
      <c r="X11" s="963">
        <v>19</v>
      </c>
      <c r="Y11" s="820">
        <v>20</v>
      </c>
      <c r="Z11" s="963">
        <v>21</v>
      </c>
      <c r="AA11" s="820">
        <v>22</v>
      </c>
      <c r="AB11" s="963">
        <v>23</v>
      </c>
      <c r="AC11" s="820">
        <v>24</v>
      </c>
      <c r="AD11" s="963">
        <v>25</v>
      </c>
      <c r="AE11" s="820">
        <v>26</v>
      </c>
      <c r="AF11" s="963">
        <v>27</v>
      </c>
      <c r="AG11" s="820">
        <v>28</v>
      </c>
      <c r="AH11" s="963">
        <v>29</v>
      </c>
      <c r="AI11" s="820">
        <v>30</v>
      </c>
      <c r="AJ11" s="963">
        <v>31</v>
      </c>
      <c r="AK11" s="1342"/>
      <c r="AL11" s="1342"/>
      <c r="AM11" s="1341"/>
      <c r="AN11" s="1341"/>
      <c r="AO11" s="1343"/>
      <c r="AP11" s="1343"/>
      <c r="AQ11" s="1342"/>
      <c r="AU11" s="971"/>
      <c r="AV11" s="971"/>
      <c r="AW11" s="971"/>
      <c r="AX11" s="971"/>
      <c r="AY11" s="971"/>
      <c r="AZ11" s="971"/>
    </row>
    <row r="12" spans="1:52" s="973" customFormat="1" ht="15.75" customHeight="1">
      <c r="A12" s="1354" t="s">
        <v>538</v>
      </c>
      <c r="B12" s="1354"/>
      <c r="C12" s="1354"/>
      <c r="D12" s="1354"/>
      <c r="E12" s="1354"/>
      <c r="F12" s="972">
        <f t="shared" ref="F12:R12" si="0">SUM(COUNTIF(F13:F93,"x"))+(COUNTIF(F13:F93,"cn"))+(COUNTIF(F13:F93,"gt"))+(COUNTIF(F13:F93,"ct"))+(COUNTIF(F13:F93,"đ"))+(COUNTIF(F13:F93,"đc"))</f>
        <v>73</v>
      </c>
      <c r="G12" s="972">
        <f t="shared" si="0"/>
        <v>73</v>
      </c>
      <c r="H12" s="972">
        <f t="shared" si="0"/>
        <v>73</v>
      </c>
      <c r="I12" s="972">
        <f t="shared" si="0"/>
        <v>73</v>
      </c>
      <c r="J12" s="972">
        <f t="shared" si="0"/>
        <v>73</v>
      </c>
      <c r="K12" s="972">
        <f t="shared" si="0"/>
        <v>73</v>
      </c>
      <c r="L12" s="972">
        <f t="shared" si="0"/>
        <v>73</v>
      </c>
      <c r="M12" s="972">
        <f t="shared" si="0"/>
        <v>73</v>
      </c>
      <c r="N12" s="972">
        <f t="shared" si="0"/>
        <v>73</v>
      </c>
      <c r="O12" s="972">
        <f t="shared" si="0"/>
        <v>73</v>
      </c>
      <c r="P12" s="972">
        <f t="shared" si="0"/>
        <v>73</v>
      </c>
      <c r="Q12" s="972">
        <f t="shared" si="0"/>
        <v>73</v>
      </c>
      <c r="R12" s="972">
        <f t="shared" si="0"/>
        <v>73</v>
      </c>
      <c r="S12" s="972">
        <f>SUM(COUNTIF(S13:S93,"x"))+(COUNTIF(S13:S93,"cn"))+(COUNTIF(S13:S93,"gt"))+(COUNTIF(S13:S93,"ct"))+(COUNTIF(S13:S93,"đ"))+(COUNTIF(S13:S93,"đc"))</f>
        <v>73</v>
      </c>
      <c r="T12" s="972">
        <f t="shared" ref="T12:AJ12" si="1">SUM(COUNTIF(T13:T93,"x"))+(COUNTIF(T13:T93,"cn"))+(COUNTIF(T13:T93,"gt"))+(COUNTIF(T13:T93,"ct"))+(COUNTIF(T13:T93,"đ"))+(COUNTIF(T13:T93,"đc"))</f>
        <v>73</v>
      </c>
      <c r="U12" s="972">
        <f t="shared" si="1"/>
        <v>73</v>
      </c>
      <c r="V12" s="972">
        <f t="shared" si="1"/>
        <v>73</v>
      </c>
      <c r="W12" s="972">
        <f t="shared" si="1"/>
        <v>74</v>
      </c>
      <c r="X12" s="972">
        <f t="shared" si="1"/>
        <v>74</v>
      </c>
      <c r="Y12" s="972">
        <f t="shared" si="1"/>
        <v>73</v>
      </c>
      <c r="Z12" s="972">
        <f t="shared" si="1"/>
        <v>73</v>
      </c>
      <c r="AA12" s="972">
        <f t="shared" si="1"/>
        <v>73</v>
      </c>
      <c r="AB12" s="972">
        <f t="shared" si="1"/>
        <v>73</v>
      </c>
      <c r="AC12" s="972">
        <f t="shared" si="1"/>
        <v>73</v>
      </c>
      <c r="AD12" s="972">
        <f t="shared" si="1"/>
        <v>70</v>
      </c>
      <c r="AE12" s="972">
        <f t="shared" si="1"/>
        <v>60</v>
      </c>
      <c r="AF12" s="972">
        <f t="shared" si="1"/>
        <v>56</v>
      </c>
      <c r="AG12" s="972">
        <f t="shared" si="1"/>
        <v>70</v>
      </c>
      <c r="AH12" s="972">
        <f t="shared" si="1"/>
        <v>72</v>
      </c>
      <c r="AI12" s="972">
        <f t="shared" si="1"/>
        <v>72</v>
      </c>
      <c r="AJ12" s="972">
        <f t="shared" si="1"/>
        <v>0</v>
      </c>
      <c r="AK12" s="1109">
        <f>SUM(AK13:AK93)</f>
        <v>1865</v>
      </c>
      <c r="AL12" s="1109">
        <f t="shared" ref="AL12:AQ12" si="2">SUM(AL13:AL93)</f>
        <v>143</v>
      </c>
      <c r="AM12" s="1109">
        <f t="shared" si="2"/>
        <v>0</v>
      </c>
      <c r="AN12" s="1109">
        <f t="shared" si="2"/>
        <v>146</v>
      </c>
      <c r="AO12" s="1109">
        <f t="shared" si="2"/>
        <v>0</v>
      </c>
      <c r="AP12" s="1109">
        <f t="shared" si="2"/>
        <v>0</v>
      </c>
      <c r="AQ12" s="1109">
        <f t="shared" si="2"/>
        <v>2154</v>
      </c>
      <c r="AS12" s="324" t="str">
        <f>'Mã số nhân viên'!I3</f>
        <v>03456</v>
      </c>
      <c r="AT12" s="974">
        <f t="shared" ref="AT12:AT43" si="3">C13-AS12</f>
        <v>-3456</v>
      </c>
    </row>
    <row r="13" spans="1:52" ht="24.75" customHeight="1">
      <c r="A13" s="636">
        <v>1</v>
      </c>
      <c r="B13" s="636">
        <v>1</v>
      </c>
      <c r="C13" s="636"/>
      <c r="D13" s="1141" t="s">
        <v>782</v>
      </c>
      <c r="E13" s="636"/>
      <c r="F13" s="975" t="s">
        <v>50</v>
      </c>
      <c r="G13" s="975" t="s">
        <v>50</v>
      </c>
      <c r="H13" s="975" t="s">
        <v>50</v>
      </c>
      <c r="I13" s="975" t="s">
        <v>50</v>
      </c>
      <c r="J13" s="975" t="s">
        <v>50</v>
      </c>
      <c r="K13" s="975" t="s">
        <v>50</v>
      </c>
      <c r="L13" s="975" t="s">
        <v>110</v>
      </c>
      <c r="M13" s="975" t="s">
        <v>50</v>
      </c>
      <c r="N13" s="975" t="s">
        <v>50</v>
      </c>
      <c r="O13" s="975" t="s">
        <v>50</v>
      </c>
      <c r="P13" s="975" t="s">
        <v>50</v>
      </c>
      <c r="Q13" s="975" t="s">
        <v>50</v>
      </c>
      <c r="R13" s="975" t="s">
        <v>50</v>
      </c>
      <c r="S13" s="975" t="s">
        <v>811</v>
      </c>
      <c r="T13" s="975" t="s">
        <v>50</v>
      </c>
      <c r="U13" s="975" t="s">
        <v>50</v>
      </c>
      <c r="V13" s="975" t="s">
        <v>50</v>
      </c>
      <c r="W13" s="975" t="s">
        <v>50</v>
      </c>
      <c r="X13" s="975" t="s">
        <v>50</v>
      </c>
      <c r="Y13" s="975" t="s">
        <v>50</v>
      </c>
      <c r="Z13" s="975" t="s">
        <v>811</v>
      </c>
      <c r="AA13" s="975" t="s">
        <v>50</v>
      </c>
      <c r="AB13" s="975" t="s">
        <v>50</v>
      </c>
      <c r="AC13" s="975" t="s">
        <v>50</v>
      </c>
      <c r="AD13" s="975" t="s">
        <v>50</v>
      </c>
      <c r="AE13" s="975" t="s">
        <v>50</v>
      </c>
      <c r="AF13" s="975"/>
      <c r="AG13" s="975"/>
      <c r="AH13" s="975"/>
      <c r="AI13" s="975" t="s">
        <v>50</v>
      </c>
      <c r="AJ13" s="975"/>
      <c r="AK13" s="976">
        <f>SUM(COUNTIF(F13:AJ13,"x"))</f>
        <v>24</v>
      </c>
      <c r="AL13" s="977">
        <f>SUM(COUNTIF(F13:AJ13,"cn"))</f>
        <v>1</v>
      </c>
      <c r="AM13" s="976">
        <f>SUM(COUNTIF(F13:AJ13,"đ"))</f>
        <v>0</v>
      </c>
      <c r="AN13" s="976">
        <f>SUM(COUNTIF(F13:AJ13,"đc"))</f>
        <v>2</v>
      </c>
      <c r="AO13" s="976">
        <f>SUM(COUNTIF(F13:AJ13,"gt"))</f>
        <v>0</v>
      </c>
      <c r="AP13" s="977">
        <f>SUM(COUNTIF(F13:AJ13,"ct"))</f>
        <v>0</v>
      </c>
      <c r="AQ13" s="978">
        <f>AK13+AL13+AM13+AN13+AO13+AP13</f>
        <v>27</v>
      </c>
      <c r="AR13" s="979"/>
      <c r="AS13" s="324" t="str">
        <f>'Mã số nhân viên'!I4</f>
        <v>04052</v>
      </c>
      <c r="AT13" s="974">
        <f t="shared" si="3"/>
        <v>0</v>
      </c>
    </row>
    <row r="14" spans="1:52" ht="24.75" customHeight="1">
      <c r="A14" s="636">
        <v>2</v>
      </c>
      <c r="B14" s="636">
        <v>2</v>
      </c>
      <c r="C14" s="636" t="str">
        <f>VLOOKUP(D14,'Mã số nhân viên'!B4:I135,8,0)</f>
        <v>04052</v>
      </c>
      <c r="D14" s="1142" t="s">
        <v>383</v>
      </c>
      <c r="E14" s="636"/>
      <c r="F14" s="975" t="s">
        <v>50</v>
      </c>
      <c r="G14" s="975" t="s">
        <v>50</v>
      </c>
      <c r="H14" s="975" t="s">
        <v>50</v>
      </c>
      <c r="I14" s="975" t="s">
        <v>50</v>
      </c>
      <c r="J14" s="975" t="s">
        <v>50</v>
      </c>
      <c r="K14" s="975" t="s">
        <v>50</v>
      </c>
      <c r="L14" s="975" t="s">
        <v>110</v>
      </c>
      <c r="M14" s="975" t="s">
        <v>50</v>
      </c>
      <c r="N14" s="975" t="s">
        <v>50</v>
      </c>
      <c r="O14" s="975" t="s">
        <v>50</v>
      </c>
      <c r="P14" s="975" t="s">
        <v>50</v>
      </c>
      <c r="Q14" s="975" t="s">
        <v>50</v>
      </c>
      <c r="R14" s="975" t="s">
        <v>50</v>
      </c>
      <c r="S14" s="975" t="s">
        <v>811</v>
      </c>
      <c r="T14" s="975" t="s">
        <v>778</v>
      </c>
      <c r="U14" s="975" t="s">
        <v>50</v>
      </c>
      <c r="V14" s="975" t="s">
        <v>50</v>
      </c>
      <c r="W14" s="975" t="s">
        <v>50</v>
      </c>
      <c r="X14" s="975" t="s">
        <v>50</v>
      </c>
      <c r="Y14" s="975" t="s">
        <v>50</v>
      </c>
      <c r="Z14" s="975" t="s">
        <v>811</v>
      </c>
      <c r="AA14" s="975" t="s">
        <v>50</v>
      </c>
      <c r="AB14" s="975" t="s">
        <v>50</v>
      </c>
      <c r="AC14" s="975" t="s">
        <v>50</v>
      </c>
      <c r="AD14" s="975" t="s">
        <v>50</v>
      </c>
      <c r="AE14" s="975"/>
      <c r="AF14" s="975" t="s">
        <v>50</v>
      </c>
      <c r="AG14" s="975"/>
      <c r="AH14" s="975" t="s">
        <v>50</v>
      </c>
      <c r="AI14" s="975" t="s">
        <v>50</v>
      </c>
      <c r="AJ14" s="975"/>
      <c r="AK14" s="976">
        <f t="shared" ref="AK14:AK77" si="4">SUM(COUNTIF(F14:AJ14,"x"))</f>
        <v>24</v>
      </c>
      <c r="AL14" s="977">
        <f t="shared" ref="AL14:AL77" si="5">SUM(COUNTIF(F14:AJ14,"cn"))</f>
        <v>1</v>
      </c>
      <c r="AM14" s="976">
        <f t="shared" ref="AM14:AM77" si="6">SUM(COUNTIF(F14:AJ14,"đ"))</f>
        <v>0</v>
      </c>
      <c r="AN14" s="976">
        <f t="shared" ref="AN14:AN77" si="7">SUM(COUNTIF(F14:AJ14,"đc"))</f>
        <v>2</v>
      </c>
      <c r="AO14" s="976">
        <f t="shared" ref="AO14:AO77" si="8">SUM(COUNTIF(F14:AJ14,"gt"))</f>
        <v>0</v>
      </c>
      <c r="AP14" s="977">
        <f t="shared" ref="AP14:AP77" si="9">SUM(COUNTIF(F14:AJ14,"ct"))</f>
        <v>0</v>
      </c>
      <c r="AQ14" s="978">
        <f t="shared" ref="AQ14:AQ77" si="10">AK14+AL14+AM14+AN14+AO14+AP14</f>
        <v>27</v>
      </c>
      <c r="AR14" s="979"/>
      <c r="AS14" s="324" t="str">
        <f>'Mã số nhân viên'!I5</f>
        <v>02725</v>
      </c>
      <c r="AT14" s="974">
        <f t="shared" si="3"/>
        <v>0</v>
      </c>
    </row>
    <row r="15" spans="1:52" ht="24.75" customHeight="1">
      <c r="A15" s="636">
        <v>3</v>
      </c>
      <c r="B15" s="636">
        <v>3</v>
      </c>
      <c r="C15" s="636" t="str">
        <f>VLOOKUP(D15,'Mã số nhân viên'!B5:I136,8,0)</f>
        <v>02725</v>
      </c>
      <c r="D15" s="1142" t="s">
        <v>201</v>
      </c>
      <c r="E15" s="636"/>
      <c r="F15" s="975" t="s">
        <v>50</v>
      </c>
      <c r="G15" s="975" t="s">
        <v>50</v>
      </c>
      <c r="H15" s="975" t="s">
        <v>50</v>
      </c>
      <c r="I15" s="975" t="s">
        <v>50</v>
      </c>
      <c r="J15" s="975" t="s">
        <v>50</v>
      </c>
      <c r="K15" s="975" t="s">
        <v>50</v>
      </c>
      <c r="L15" s="975" t="s">
        <v>110</v>
      </c>
      <c r="M15" s="975" t="s">
        <v>50</v>
      </c>
      <c r="N15" s="975" t="s">
        <v>50</v>
      </c>
      <c r="O15" s="975" t="s">
        <v>50</v>
      </c>
      <c r="P15" s="975" t="s">
        <v>50</v>
      </c>
      <c r="Q15" s="975" t="s">
        <v>50</v>
      </c>
      <c r="R15" s="975" t="s">
        <v>50</v>
      </c>
      <c r="S15" s="975" t="s">
        <v>811</v>
      </c>
      <c r="T15" s="975" t="s">
        <v>50</v>
      </c>
      <c r="U15" s="975" t="s">
        <v>50</v>
      </c>
      <c r="V15" s="975" t="s">
        <v>50</v>
      </c>
      <c r="W15" s="975" t="s">
        <v>50</v>
      </c>
      <c r="X15" s="975" t="s">
        <v>50</v>
      </c>
      <c r="Y15" s="975" t="s">
        <v>50</v>
      </c>
      <c r="Z15" s="975" t="s">
        <v>811</v>
      </c>
      <c r="AA15" s="975" t="s">
        <v>50</v>
      </c>
      <c r="AB15" s="975" t="s">
        <v>50</v>
      </c>
      <c r="AC15" s="975" t="s">
        <v>50</v>
      </c>
      <c r="AD15" s="975"/>
      <c r="AE15" s="975" t="s">
        <v>50</v>
      </c>
      <c r="AF15" s="975"/>
      <c r="AG15" s="975" t="s">
        <v>110</v>
      </c>
      <c r="AH15" s="975" t="s">
        <v>50</v>
      </c>
      <c r="AI15" s="975" t="s">
        <v>50</v>
      </c>
      <c r="AJ15" s="975"/>
      <c r="AK15" s="976">
        <f t="shared" si="4"/>
        <v>24</v>
      </c>
      <c r="AL15" s="977">
        <f t="shared" si="5"/>
        <v>2</v>
      </c>
      <c r="AM15" s="976">
        <f t="shared" si="6"/>
        <v>0</v>
      </c>
      <c r="AN15" s="976">
        <f t="shared" si="7"/>
        <v>2</v>
      </c>
      <c r="AO15" s="976">
        <f t="shared" si="8"/>
        <v>0</v>
      </c>
      <c r="AP15" s="977">
        <f t="shared" si="9"/>
        <v>0</v>
      </c>
      <c r="AQ15" s="978">
        <f t="shared" si="10"/>
        <v>28</v>
      </c>
      <c r="AR15" s="979"/>
      <c r="AS15" s="324" t="str">
        <f>'Mã số nhân viên'!I6</f>
        <v>04053</v>
      </c>
      <c r="AT15" s="974">
        <f t="shared" si="3"/>
        <v>0</v>
      </c>
    </row>
    <row r="16" spans="1:52" ht="24.75" customHeight="1">
      <c r="A16" s="636">
        <v>4</v>
      </c>
      <c r="B16" s="636">
        <v>4</v>
      </c>
      <c r="C16" s="636" t="str">
        <f>VLOOKUP(D16,'Mã số nhân viên'!B6:I137,8,0)</f>
        <v>04053</v>
      </c>
      <c r="D16" s="1126" t="s">
        <v>512</v>
      </c>
      <c r="E16" s="636"/>
      <c r="F16" s="975" t="s">
        <v>50</v>
      </c>
      <c r="G16" s="975" t="s">
        <v>50</v>
      </c>
      <c r="H16" s="975" t="s">
        <v>50</v>
      </c>
      <c r="I16" s="975" t="s">
        <v>50</v>
      </c>
      <c r="J16" s="975" t="s">
        <v>50</v>
      </c>
      <c r="K16" s="975" t="s">
        <v>50</v>
      </c>
      <c r="L16" s="975" t="s">
        <v>110</v>
      </c>
      <c r="M16" s="975" t="s">
        <v>50</v>
      </c>
      <c r="N16" s="975" t="s">
        <v>50</v>
      </c>
      <c r="O16" s="975" t="s">
        <v>50</v>
      </c>
      <c r="P16" s="975" t="s">
        <v>50</v>
      </c>
      <c r="Q16" s="975" t="s">
        <v>50</v>
      </c>
      <c r="R16" s="975" t="s">
        <v>50</v>
      </c>
      <c r="S16" s="975" t="s">
        <v>811</v>
      </c>
      <c r="T16" s="975" t="s">
        <v>50</v>
      </c>
      <c r="U16" s="975" t="s">
        <v>50</v>
      </c>
      <c r="V16" s="975" t="s">
        <v>50</v>
      </c>
      <c r="W16" s="975" t="s">
        <v>50</v>
      </c>
      <c r="X16" s="975" t="s">
        <v>50</v>
      </c>
      <c r="Y16" s="975" t="s">
        <v>50</v>
      </c>
      <c r="Z16" s="975" t="s">
        <v>811</v>
      </c>
      <c r="AA16" s="975" t="s">
        <v>50</v>
      </c>
      <c r="AB16" s="975" t="s">
        <v>50</v>
      </c>
      <c r="AC16" s="975" t="s">
        <v>50</v>
      </c>
      <c r="AD16" s="975" t="s">
        <v>50</v>
      </c>
      <c r="AE16" s="975" t="s">
        <v>50</v>
      </c>
      <c r="AF16" s="975" t="s">
        <v>50</v>
      </c>
      <c r="AG16" s="975" t="s">
        <v>110</v>
      </c>
      <c r="AH16" s="975" t="s">
        <v>50</v>
      </c>
      <c r="AI16" s="975" t="s">
        <v>50</v>
      </c>
      <c r="AJ16" s="975"/>
      <c r="AK16" s="976">
        <f t="shared" si="4"/>
        <v>26</v>
      </c>
      <c r="AL16" s="977">
        <f t="shared" si="5"/>
        <v>2</v>
      </c>
      <c r="AM16" s="976">
        <f t="shared" si="6"/>
        <v>0</v>
      </c>
      <c r="AN16" s="976">
        <f t="shared" si="7"/>
        <v>2</v>
      </c>
      <c r="AO16" s="976">
        <f t="shared" si="8"/>
        <v>0</v>
      </c>
      <c r="AP16" s="977">
        <f t="shared" si="9"/>
        <v>0</v>
      </c>
      <c r="AQ16" s="978">
        <f t="shared" si="10"/>
        <v>30</v>
      </c>
      <c r="AR16" s="979"/>
      <c r="AS16" s="324" t="str">
        <f>'Mã số nhân viên'!I7</f>
        <v>03459</v>
      </c>
      <c r="AT16" s="974">
        <f t="shared" si="3"/>
        <v>0</v>
      </c>
    </row>
    <row r="17" spans="1:46" ht="24.75" customHeight="1">
      <c r="A17" s="636">
        <v>5</v>
      </c>
      <c r="B17" s="636">
        <v>5</v>
      </c>
      <c r="C17" s="636" t="str">
        <f>VLOOKUP(D17,'Mã số nhân viên'!B7:I138,8,0)</f>
        <v>03459</v>
      </c>
      <c r="D17" s="1118" t="s">
        <v>225</v>
      </c>
      <c r="E17" s="636"/>
      <c r="F17" s="975" t="s">
        <v>50</v>
      </c>
      <c r="G17" s="975" t="s">
        <v>50</v>
      </c>
      <c r="H17" s="975" t="s">
        <v>50</v>
      </c>
      <c r="I17" s="975" t="s">
        <v>50</v>
      </c>
      <c r="J17" s="975" t="s">
        <v>50</v>
      </c>
      <c r="K17" s="975" t="s">
        <v>50</v>
      </c>
      <c r="L17" s="975" t="s">
        <v>110</v>
      </c>
      <c r="M17" s="975" t="s">
        <v>50</v>
      </c>
      <c r="N17" s="975" t="s">
        <v>50</v>
      </c>
      <c r="O17" s="975" t="s">
        <v>50</v>
      </c>
      <c r="P17" s="975" t="s">
        <v>50</v>
      </c>
      <c r="Q17" s="975" t="s">
        <v>50</v>
      </c>
      <c r="R17" s="975" t="s">
        <v>50</v>
      </c>
      <c r="S17" s="975" t="s">
        <v>811</v>
      </c>
      <c r="T17" s="975" t="s">
        <v>50</v>
      </c>
      <c r="U17" s="975" t="s">
        <v>50</v>
      </c>
      <c r="V17" s="975" t="s">
        <v>50</v>
      </c>
      <c r="W17" s="975" t="s">
        <v>778</v>
      </c>
      <c r="X17" s="975" t="s">
        <v>50</v>
      </c>
      <c r="Y17" s="975" t="s">
        <v>50</v>
      </c>
      <c r="Z17" s="975" t="s">
        <v>811</v>
      </c>
      <c r="AA17" s="975" t="s">
        <v>50</v>
      </c>
      <c r="AB17" s="975" t="s">
        <v>50</v>
      </c>
      <c r="AC17" s="975" t="s">
        <v>50</v>
      </c>
      <c r="AD17" s="975" t="s">
        <v>50</v>
      </c>
      <c r="AE17" s="975" t="s">
        <v>50</v>
      </c>
      <c r="AF17" s="975"/>
      <c r="AG17" s="975" t="s">
        <v>110</v>
      </c>
      <c r="AH17" s="975" t="s">
        <v>50</v>
      </c>
      <c r="AI17" s="975" t="s">
        <v>50</v>
      </c>
      <c r="AJ17" s="975"/>
      <c r="AK17" s="976">
        <f t="shared" si="4"/>
        <v>24</v>
      </c>
      <c r="AL17" s="977">
        <f t="shared" si="5"/>
        <v>2</v>
      </c>
      <c r="AM17" s="976">
        <f t="shared" si="6"/>
        <v>0</v>
      </c>
      <c r="AN17" s="976">
        <f t="shared" si="7"/>
        <v>2</v>
      </c>
      <c r="AO17" s="976">
        <f t="shared" si="8"/>
        <v>0</v>
      </c>
      <c r="AP17" s="977">
        <f t="shared" si="9"/>
        <v>0</v>
      </c>
      <c r="AQ17" s="978">
        <f t="shared" si="10"/>
        <v>28</v>
      </c>
      <c r="AR17" s="979"/>
      <c r="AS17" s="324" t="str">
        <f>'Mã số nhân viên'!I8</f>
        <v>04054</v>
      </c>
      <c r="AT17" s="974">
        <f t="shared" si="3"/>
        <v>0</v>
      </c>
    </row>
    <row r="18" spans="1:46" ht="24.75" customHeight="1">
      <c r="A18" s="636">
        <v>6</v>
      </c>
      <c r="B18" s="636">
        <v>6</v>
      </c>
      <c r="C18" s="636" t="str">
        <f>VLOOKUP(D18,'Mã số nhân viên'!B8:I139,8,0)</f>
        <v>04054</v>
      </c>
      <c r="D18" s="1142" t="s">
        <v>513</v>
      </c>
      <c r="E18" s="636"/>
      <c r="F18" s="975" t="s">
        <v>50</v>
      </c>
      <c r="G18" s="975" t="s">
        <v>50</v>
      </c>
      <c r="H18" s="975" t="s">
        <v>50</v>
      </c>
      <c r="I18" s="975" t="s">
        <v>50</v>
      </c>
      <c r="J18" s="975" t="s">
        <v>50</v>
      </c>
      <c r="K18" s="975" t="s">
        <v>50</v>
      </c>
      <c r="L18" s="975" t="s">
        <v>110</v>
      </c>
      <c r="M18" s="975" t="s">
        <v>50</v>
      </c>
      <c r="N18" s="975" t="s">
        <v>50</v>
      </c>
      <c r="O18" s="975" t="s">
        <v>50</v>
      </c>
      <c r="P18" s="975" t="s">
        <v>50</v>
      </c>
      <c r="Q18" s="975" t="s">
        <v>50</v>
      </c>
      <c r="R18" s="975" t="s">
        <v>50</v>
      </c>
      <c r="S18" s="975" t="s">
        <v>811</v>
      </c>
      <c r="T18" s="975" t="s">
        <v>50</v>
      </c>
      <c r="U18" s="975" t="s">
        <v>50</v>
      </c>
      <c r="V18" s="975" t="s">
        <v>50</v>
      </c>
      <c r="W18" s="975" t="s">
        <v>50</v>
      </c>
      <c r="X18" s="975" t="s">
        <v>50</v>
      </c>
      <c r="Y18" s="975" t="s">
        <v>50</v>
      </c>
      <c r="Z18" s="975" t="s">
        <v>811</v>
      </c>
      <c r="AA18" s="975" t="s">
        <v>50</v>
      </c>
      <c r="AB18" s="975" t="s">
        <v>50</v>
      </c>
      <c r="AC18" s="975" t="s">
        <v>50</v>
      </c>
      <c r="AD18" s="975" t="s">
        <v>50</v>
      </c>
      <c r="AE18" s="975" t="s">
        <v>50</v>
      </c>
      <c r="AF18" s="975" t="s">
        <v>50</v>
      </c>
      <c r="AG18" s="975" t="s">
        <v>110</v>
      </c>
      <c r="AH18" s="975" t="s">
        <v>50</v>
      </c>
      <c r="AI18" s="975"/>
      <c r="AJ18" s="975"/>
      <c r="AK18" s="976">
        <f t="shared" si="4"/>
        <v>25</v>
      </c>
      <c r="AL18" s="977">
        <f t="shared" si="5"/>
        <v>2</v>
      </c>
      <c r="AM18" s="976">
        <f t="shared" si="6"/>
        <v>0</v>
      </c>
      <c r="AN18" s="976">
        <f t="shared" si="7"/>
        <v>2</v>
      </c>
      <c r="AO18" s="976">
        <f t="shared" si="8"/>
        <v>0</v>
      </c>
      <c r="AP18" s="977">
        <f t="shared" si="9"/>
        <v>0</v>
      </c>
      <c r="AQ18" s="978">
        <f t="shared" si="10"/>
        <v>29</v>
      </c>
      <c r="AR18" s="979"/>
      <c r="AS18" s="324" t="str">
        <f>'Mã số nhân viên'!I9</f>
        <v>04055</v>
      </c>
      <c r="AT18" s="974">
        <f t="shared" si="3"/>
        <v>0</v>
      </c>
    </row>
    <row r="19" spans="1:46" ht="24.75" customHeight="1">
      <c r="A19" s="636">
        <v>7</v>
      </c>
      <c r="B19" s="636">
        <v>7</v>
      </c>
      <c r="C19" s="636" t="str">
        <f>VLOOKUP(D19,'Mã số nhân viên'!B9:I140,8,0)</f>
        <v>04055</v>
      </c>
      <c r="D19" s="1143" t="s">
        <v>514</v>
      </c>
      <c r="E19" s="636"/>
      <c r="F19" s="975" t="s">
        <v>50</v>
      </c>
      <c r="G19" s="975" t="s">
        <v>50</v>
      </c>
      <c r="H19" s="975" t="s">
        <v>50</v>
      </c>
      <c r="I19" s="975" t="s">
        <v>50</v>
      </c>
      <c r="J19" s="975" t="s">
        <v>50</v>
      </c>
      <c r="K19" s="975" t="s">
        <v>50</v>
      </c>
      <c r="L19" s="975" t="s">
        <v>110</v>
      </c>
      <c r="M19" s="975" t="s">
        <v>50</v>
      </c>
      <c r="N19" s="975" t="s">
        <v>50</v>
      </c>
      <c r="O19" s="975" t="s">
        <v>50</v>
      </c>
      <c r="P19" s="975" t="s">
        <v>50</v>
      </c>
      <c r="Q19" s="975" t="s">
        <v>50</v>
      </c>
      <c r="R19" s="975" t="s">
        <v>50</v>
      </c>
      <c r="S19" s="975" t="s">
        <v>811</v>
      </c>
      <c r="T19" s="975" t="s">
        <v>50</v>
      </c>
      <c r="U19" s="975" t="s">
        <v>50</v>
      </c>
      <c r="V19" s="975" t="s">
        <v>50</v>
      </c>
      <c r="W19" s="975" t="s">
        <v>50</v>
      </c>
      <c r="X19" s="975" t="s">
        <v>50</v>
      </c>
      <c r="Y19" s="975" t="s">
        <v>50</v>
      </c>
      <c r="Z19" s="975" t="s">
        <v>811</v>
      </c>
      <c r="AA19" s="975" t="s">
        <v>50</v>
      </c>
      <c r="AB19" s="975" t="s">
        <v>50</v>
      </c>
      <c r="AC19" s="975" t="s">
        <v>50</v>
      </c>
      <c r="AD19" s="975" t="s">
        <v>50</v>
      </c>
      <c r="AE19" s="975" t="s">
        <v>50</v>
      </c>
      <c r="AF19" s="975" t="s">
        <v>50</v>
      </c>
      <c r="AG19" s="975" t="s">
        <v>110</v>
      </c>
      <c r="AH19" s="975" t="s">
        <v>50</v>
      </c>
      <c r="AI19" s="975" t="s">
        <v>50</v>
      </c>
      <c r="AJ19" s="975"/>
      <c r="AK19" s="976">
        <f t="shared" si="4"/>
        <v>26</v>
      </c>
      <c r="AL19" s="977">
        <f t="shared" si="5"/>
        <v>2</v>
      </c>
      <c r="AM19" s="976">
        <f t="shared" si="6"/>
        <v>0</v>
      </c>
      <c r="AN19" s="976">
        <f t="shared" si="7"/>
        <v>2</v>
      </c>
      <c r="AO19" s="976">
        <f t="shared" si="8"/>
        <v>0</v>
      </c>
      <c r="AP19" s="977">
        <f t="shared" si="9"/>
        <v>0</v>
      </c>
      <c r="AQ19" s="978">
        <f t="shared" si="10"/>
        <v>30</v>
      </c>
      <c r="AR19" s="979"/>
      <c r="AS19" s="324" t="str">
        <f>'Mã số nhân viên'!I10</f>
        <v>03462</v>
      </c>
      <c r="AT19" s="974">
        <f t="shared" si="3"/>
        <v>0</v>
      </c>
    </row>
    <row r="20" spans="1:46" ht="24.75" customHeight="1">
      <c r="A20" s="636">
        <v>8</v>
      </c>
      <c r="B20" s="636">
        <v>8</v>
      </c>
      <c r="C20" s="636" t="str">
        <f>VLOOKUP(D20,'Mã số nhân viên'!B10:I141,8,0)</f>
        <v>03462</v>
      </c>
      <c r="D20" s="1118" t="s">
        <v>308</v>
      </c>
      <c r="E20" s="636"/>
      <c r="F20" s="975" t="s">
        <v>50</v>
      </c>
      <c r="G20" s="975" t="s">
        <v>50</v>
      </c>
      <c r="H20" s="975" t="s">
        <v>50</v>
      </c>
      <c r="I20" s="975" t="s">
        <v>50</v>
      </c>
      <c r="J20" s="975" t="s">
        <v>50</v>
      </c>
      <c r="K20" s="975" t="s">
        <v>50</v>
      </c>
      <c r="L20" s="975" t="s">
        <v>110</v>
      </c>
      <c r="M20" s="975" t="s">
        <v>50</v>
      </c>
      <c r="N20" s="975" t="s">
        <v>50</v>
      </c>
      <c r="O20" s="975" t="s">
        <v>50</v>
      </c>
      <c r="P20" s="975" t="s">
        <v>50</v>
      </c>
      <c r="Q20" s="975" t="s">
        <v>50</v>
      </c>
      <c r="R20" s="975" t="s">
        <v>50</v>
      </c>
      <c r="S20" s="975" t="s">
        <v>811</v>
      </c>
      <c r="T20" s="975" t="s">
        <v>50</v>
      </c>
      <c r="U20" s="975" t="s">
        <v>50</v>
      </c>
      <c r="V20" s="975" t="s">
        <v>50</v>
      </c>
      <c r="W20" s="975" t="s">
        <v>50</v>
      </c>
      <c r="X20" s="975" t="s">
        <v>50</v>
      </c>
      <c r="Y20" s="975" t="s">
        <v>50</v>
      </c>
      <c r="Z20" s="975" t="s">
        <v>811</v>
      </c>
      <c r="AA20" s="975" t="s">
        <v>50</v>
      </c>
      <c r="AB20" s="975" t="s">
        <v>50</v>
      </c>
      <c r="AC20" s="975" t="s">
        <v>50</v>
      </c>
      <c r="AD20" s="975" t="s">
        <v>50</v>
      </c>
      <c r="AE20" s="975" t="s">
        <v>50</v>
      </c>
      <c r="AF20" s="975"/>
      <c r="AG20" s="975" t="s">
        <v>110</v>
      </c>
      <c r="AH20" s="975" t="s">
        <v>50</v>
      </c>
      <c r="AI20" s="975" t="s">
        <v>50</v>
      </c>
      <c r="AJ20" s="975"/>
      <c r="AK20" s="976">
        <f t="shared" si="4"/>
        <v>25</v>
      </c>
      <c r="AL20" s="977">
        <f t="shared" si="5"/>
        <v>2</v>
      </c>
      <c r="AM20" s="976">
        <f t="shared" si="6"/>
        <v>0</v>
      </c>
      <c r="AN20" s="976">
        <f t="shared" si="7"/>
        <v>2</v>
      </c>
      <c r="AO20" s="976">
        <f t="shared" si="8"/>
        <v>0</v>
      </c>
      <c r="AP20" s="977">
        <f t="shared" si="9"/>
        <v>0</v>
      </c>
      <c r="AQ20" s="978">
        <f t="shared" si="10"/>
        <v>29</v>
      </c>
      <c r="AR20" s="979"/>
      <c r="AS20" s="324" t="str">
        <f>'Mã số nhân viên'!I11</f>
        <v>03463</v>
      </c>
      <c r="AT20" s="974">
        <f t="shared" si="3"/>
        <v>0</v>
      </c>
    </row>
    <row r="21" spans="1:46" ht="24.75" customHeight="1">
      <c r="A21" s="636">
        <v>9</v>
      </c>
      <c r="B21" s="636">
        <v>9</v>
      </c>
      <c r="C21" s="636" t="str">
        <f>VLOOKUP(D21,'Mã số nhân viên'!B11:I142,8,0)</f>
        <v>03463</v>
      </c>
      <c r="D21" s="1142" t="s">
        <v>227</v>
      </c>
      <c r="E21" s="636"/>
      <c r="F21" s="975" t="s">
        <v>50</v>
      </c>
      <c r="G21" s="975" t="s">
        <v>50</v>
      </c>
      <c r="H21" s="975" t="s">
        <v>50</v>
      </c>
      <c r="I21" s="975" t="s">
        <v>50</v>
      </c>
      <c r="J21" s="975" t="s">
        <v>50</v>
      </c>
      <c r="K21" s="975" t="s">
        <v>50</v>
      </c>
      <c r="L21" s="975" t="s">
        <v>110</v>
      </c>
      <c r="M21" s="975" t="s">
        <v>50</v>
      </c>
      <c r="N21" s="975" t="s">
        <v>50</v>
      </c>
      <c r="O21" s="975" t="s">
        <v>50</v>
      </c>
      <c r="P21" s="975" t="s">
        <v>50</v>
      </c>
      <c r="Q21" s="975" t="s">
        <v>50</v>
      </c>
      <c r="R21" s="975" t="s">
        <v>50</v>
      </c>
      <c r="S21" s="975" t="s">
        <v>811</v>
      </c>
      <c r="T21" s="975" t="s">
        <v>50</v>
      </c>
      <c r="U21" s="975" t="s">
        <v>50</v>
      </c>
      <c r="V21" s="975" t="s">
        <v>50</v>
      </c>
      <c r="W21" s="975" t="s">
        <v>50</v>
      </c>
      <c r="X21" s="975" t="s">
        <v>50</v>
      </c>
      <c r="Y21" s="975" t="s">
        <v>50</v>
      </c>
      <c r="Z21" s="975" t="s">
        <v>811</v>
      </c>
      <c r="AA21" s="975" t="s">
        <v>50</v>
      </c>
      <c r="AB21" s="975" t="s">
        <v>50</v>
      </c>
      <c r="AC21" s="975" t="s">
        <v>50</v>
      </c>
      <c r="AD21" s="975" t="s">
        <v>50</v>
      </c>
      <c r="AE21" s="975" t="s">
        <v>50</v>
      </c>
      <c r="AF21" s="975"/>
      <c r="AG21" s="975" t="s">
        <v>110</v>
      </c>
      <c r="AH21" s="975" t="s">
        <v>50</v>
      </c>
      <c r="AI21" s="975" t="s">
        <v>50</v>
      </c>
      <c r="AJ21" s="975"/>
      <c r="AK21" s="976">
        <f t="shared" si="4"/>
        <v>25</v>
      </c>
      <c r="AL21" s="977">
        <f t="shared" si="5"/>
        <v>2</v>
      </c>
      <c r="AM21" s="976">
        <f t="shared" si="6"/>
        <v>0</v>
      </c>
      <c r="AN21" s="976">
        <f t="shared" si="7"/>
        <v>2</v>
      </c>
      <c r="AO21" s="976">
        <f t="shared" si="8"/>
        <v>0</v>
      </c>
      <c r="AP21" s="977">
        <f t="shared" si="9"/>
        <v>0</v>
      </c>
      <c r="AQ21" s="978">
        <f t="shared" si="10"/>
        <v>29</v>
      </c>
      <c r="AR21" s="979"/>
      <c r="AS21" s="324" t="str">
        <f>'Mã số nhân viên'!I12</f>
        <v>03464</v>
      </c>
      <c r="AT21" s="974">
        <f t="shared" si="3"/>
        <v>0</v>
      </c>
    </row>
    <row r="22" spans="1:46" ht="24.75" customHeight="1">
      <c r="A22" s="636">
        <v>10</v>
      </c>
      <c r="B22" s="636">
        <v>10</v>
      </c>
      <c r="C22" s="636" t="str">
        <f>VLOOKUP(D22,'Mã số nhân viên'!B12:I143,8,0)</f>
        <v>03464</v>
      </c>
      <c r="D22" s="1142" t="s">
        <v>226</v>
      </c>
      <c r="E22" s="636"/>
      <c r="F22" s="975" t="s">
        <v>50</v>
      </c>
      <c r="G22" s="975" t="s">
        <v>50</v>
      </c>
      <c r="H22" s="975" t="s">
        <v>50</v>
      </c>
      <c r="I22" s="975" t="s">
        <v>50</v>
      </c>
      <c r="J22" s="975" t="s">
        <v>50</v>
      </c>
      <c r="K22" s="975" t="s">
        <v>50</v>
      </c>
      <c r="L22" s="975" t="s">
        <v>110</v>
      </c>
      <c r="M22" s="975" t="s">
        <v>50</v>
      </c>
      <c r="N22" s="975" t="s">
        <v>50</v>
      </c>
      <c r="O22" s="975" t="s">
        <v>50</v>
      </c>
      <c r="P22" s="975" t="s">
        <v>50</v>
      </c>
      <c r="Q22" s="975" t="s">
        <v>50</v>
      </c>
      <c r="R22" s="975" t="s">
        <v>50</v>
      </c>
      <c r="S22" s="975" t="s">
        <v>811</v>
      </c>
      <c r="T22" s="975" t="s">
        <v>50</v>
      </c>
      <c r="U22" s="975" t="s">
        <v>50</v>
      </c>
      <c r="V22" s="975" t="s">
        <v>50</v>
      </c>
      <c r="W22" s="975" t="s">
        <v>50</v>
      </c>
      <c r="X22" s="975" t="s">
        <v>50</v>
      </c>
      <c r="Y22" s="975" t="s">
        <v>50</v>
      </c>
      <c r="Z22" s="975" t="s">
        <v>811</v>
      </c>
      <c r="AA22" s="975" t="s">
        <v>50</v>
      </c>
      <c r="AB22" s="975" t="s">
        <v>50</v>
      </c>
      <c r="AC22" s="975" t="s">
        <v>50</v>
      </c>
      <c r="AD22" s="975" t="s">
        <v>50</v>
      </c>
      <c r="AE22" s="975" t="s">
        <v>50</v>
      </c>
      <c r="AF22" s="975"/>
      <c r="AG22" s="975" t="s">
        <v>110</v>
      </c>
      <c r="AH22" s="975" t="s">
        <v>50</v>
      </c>
      <c r="AI22" s="975" t="s">
        <v>50</v>
      </c>
      <c r="AJ22" s="975"/>
      <c r="AK22" s="976">
        <f t="shared" si="4"/>
        <v>25</v>
      </c>
      <c r="AL22" s="977">
        <f t="shared" si="5"/>
        <v>2</v>
      </c>
      <c r="AM22" s="976">
        <f t="shared" si="6"/>
        <v>0</v>
      </c>
      <c r="AN22" s="976">
        <f t="shared" si="7"/>
        <v>2</v>
      </c>
      <c r="AO22" s="976">
        <f t="shared" si="8"/>
        <v>0</v>
      </c>
      <c r="AP22" s="977">
        <f t="shared" si="9"/>
        <v>0</v>
      </c>
      <c r="AQ22" s="978">
        <f t="shared" si="10"/>
        <v>29</v>
      </c>
      <c r="AR22" s="979"/>
      <c r="AS22" s="324" t="str">
        <f>'Mã số nhân viên'!I13</f>
        <v>03465</v>
      </c>
      <c r="AT22" s="974">
        <f t="shared" si="3"/>
        <v>0</v>
      </c>
    </row>
    <row r="23" spans="1:46" ht="24.75" customHeight="1">
      <c r="A23" s="636">
        <v>11</v>
      </c>
      <c r="B23" s="636">
        <v>11</v>
      </c>
      <c r="C23" s="636" t="str">
        <f>VLOOKUP(D23,'Mã số nhân viên'!B13:I144,8,0)</f>
        <v>03465</v>
      </c>
      <c r="D23" s="1142" t="s">
        <v>228</v>
      </c>
      <c r="E23" s="636"/>
      <c r="F23" s="975" t="s">
        <v>50</v>
      </c>
      <c r="G23" s="975" t="s">
        <v>50</v>
      </c>
      <c r="H23" s="975" t="s">
        <v>50</v>
      </c>
      <c r="I23" s="975" t="s">
        <v>50</v>
      </c>
      <c r="J23" s="975" t="s">
        <v>50</v>
      </c>
      <c r="K23" s="975" t="s">
        <v>50</v>
      </c>
      <c r="L23" s="975" t="s">
        <v>110</v>
      </c>
      <c r="M23" s="975" t="s">
        <v>50</v>
      </c>
      <c r="N23" s="975" t="s">
        <v>50</v>
      </c>
      <c r="O23" s="975" t="s">
        <v>50</v>
      </c>
      <c r="P23" s="975" t="s">
        <v>50</v>
      </c>
      <c r="Q23" s="975" t="s">
        <v>50</v>
      </c>
      <c r="R23" s="975" t="s">
        <v>50</v>
      </c>
      <c r="S23" s="975" t="s">
        <v>811</v>
      </c>
      <c r="T23" s="975" t="s">
        <v>50</v>
      </c>
      <c r="U23" s="975" t="s">
        <v>50</v>
      </c>
      <c r="V23" s="975" t="s">
        <v>50</v>
      </c>
      <c r="W23" s="975" t="s">
        <v>50</v>
      </c>
      <c r="X23" s="975" t="s">
        <v>50</v>
      </c>
      <c r="Y23" s="975" t="s">
        <v>50</v>
      </c>
      <c r="Z23" s="975" t="s">
        <v>811</v>
      </c>
      <c r="AA23" s="975" t="s">
        <v>50</v>
      </c>
      <c r="AB23" s="975" t="s">
        <v>50</v>
      </c>
      <c r="AC23" s="975" t="s">
        <v>50</v>
      </c>
      <c r="AD23" s="975" t="s">
        <v>50</v>
      </c>
      <c r="AE23" s="975"/>
      <c r="AF23" s="975" t="s">
        <v>50</v>
      </c>
      <c r="AG23" s="975" t="s">
        <v>110</v>
      </c>
      <c r="AH23" s="975" t="s">
        <v>50</v>
      </c>
      <c r="AI23" s="975" t="s">
        <v>50</v>
      </c>
      <c r="AJ23" s="975"/>
      <c r="AK23" s="976">
        <f t="shared" si="4"/>
        <v>25</v>
      </c>
      <c r="AL23" s="977">
        <f t="shared" si="5"/>
        <v>2</v>
      </c>
      <c r="AM23" s="976">
        <f t="shared" si="6"/>
        <v>0</v>
      </c>
      <c r="AN23" s="976">
        <f t="shared" si="7"/>
        <v>2</v>
      </c>
      <c r="AO23" s="976">
        <f t="shared" si="8"/>
        <v>0</v>
      </c>
      <c r="AP23" s="977">
        <f t="shared" si="9"/>
        <v>0</v>
      </c>
      <c r="AQ23" s="978">
        <f t="shared" si="10"/>
        <v>29</v>
      </c>
      <c r="AR23" s="979"/>
      <c r="AS23" s="324" t="str">
        <f>'Mã số nhân viên'!I14</f>
        <v>03466</v>
      </c>
      <c r="AT23" s="974">
        <f t="shared" si="3"/>
        <v>0</v>
      </c>
    </row>
    <row r="24" spans="1:46" ht="24.75" customHeight="1">
      <c r="A24" s="636">
        <v>12</v>
      </c>
      <c r="B24" s="636">
        <v>12</v>
      </c>
      <c r="C24" s="636" t="str">
        <f>VLOOKUP(D24,'Mã số nhân viên'!B14:I145,8,0)</f>
        <v>03466</v>
      </c>
      <c r="D24" s="1118" t="s">
        <v>235</v>
      </c>
      <c r="E24" s="636"/>
      <c r="F24" s="975" t="s">
        <v>50</v>
      </c>
      <c r="G24" s="975" t="s">
        <v>50</v>
      </c>
      <c r="H24" s="975" t="s">
        <v>50</v>
      </c>
      <c r="I24" s="975" t="s">
        <v>50</v>
      </c>
      <c r="J24" s="975" t="s">
        <v>50</v>
      </c>
      <c r="K24" s="975" t="s">
        <v>50</v>
      </c>
      <c r="L24" s="975" t="s">
        <v>110</v>
      </c>
      <c r="M24" s="975" t="s">
        <v>50</v>
      </c>
      <c r="N24" s="975" t="s">
        <v>50</v>
      </c>
      <c r="O24" s="975" t="s">
        <v>50</v>
      </c>
      <c r="P24" s="975" t="s">
        <v>50</v>
      </c>
      <c r="Q24" s="975" t="s">
        <v>50</v>
      </c>
      <c r="R24" s="975" t="s">
        <v>50</v>
      </c>
      <c r="S24" s="975" t="s">
        <v>811</v>
      </c>
      <c r="T24" s="975" t="s">
        <v>50</v>
      </c>
      <c r="U24" s="975" t="s">
        <v>50</v>
      </c>
      <c r="V24" s="975" t="s">
        <v>50</v>
      </c>
      <c r="W24" s="975" t="s">
        <v>50</v>
      </c>
      <c r="X24" s="975" t="s">
        <v>50</v>
      </c>
      <c r="Y24" s="975" t="s">
        <v>50</v>
      </c>
      <c r="Z24" s="975" t="s">
        <v>811</v>
      </c>
      <c r="AA24" s="975" t="s">
        <v>50</v>
      </c>
      <c r="AB24" s="975" t="s">
        <v>50</v>
      </c>
      <c r="AC24" s="975" t="s">
        <v>50</v>
      </c>
      <c r="AD24" s="975" t="s">
        <v>50</v>
      </c>
      <c r="AE24" s="975" t="s">
        <v>50</v>
      </c>
      <c r="AF24" s="975" t="s">
        <v>50</v>
      </c>
      <c r="AG24" s="975" t="s">
        <v>110</v>
      </c>
      <c r="AH24" s="975" t="s">
        <v>50</v>
      </c>
      <c r="AI24" s="975" t="s">
        <v>50</v>
      </c>
      <c r="AJ24" s="975"/>
      <c r="AK24" s="976">
        <f t="shared" si="4"/>
        <v>26</v>
      </c>
      <c r="AL24" s="977">
        <f t="shared" si="5"/>
        <v>2</v>
      </c>
      <c r="AM24" s="976">
        <f t="shared" si="6"/>
        <v>0</v>
      </c>
      <c r="AN24" s="976">
        <f t="shared" si="7"/>
        <v>2</v>
      </c>
      <c r="AO24" s="976">
        <f t="shared" si="8"/>
        <v>0</v>
      </c>
      <c r="AP24" s="977">
        <f t="shared" si="9"/>
        <v>0</v>
      </c>
      <c r="AQ24" s="978">
        <f t="shared" si="10"/>
        <v>30</v>
      </c>
      <c r="AR24" s="979"/>
      <c r="AS24" s="324" t="str">
        <f>'Mã số nhân viên'!I15</f>
        <v>02727</v>
      </c>
      <c r="AT24" s="974">
        <f t="shared" si="3"/>
        <v>0</v>
      </c>
    </row>
    <row r="25" spans="1:46" ht="24.75" customHeight="1">
      <c r="A25" s="636">
        <v>13</v>
      </c>
      <c r="B25" s="636">
        <v>13</v>
      </c>
      <c r="C25" s="636" t="str">
        <f>VLOOKUP(D25,'Mã số nhân viên'!B15:I146,8,0)</f>
        <v>02727</v>
      </c>
      <c r="D25" s="1143" t="s">
        <v>217</v>
      </c>
      <c r="E25" s="636"/>
      <c r="F25" s="975" t="s">
        <v>50</v>
      </c>
      <c r="G25" s="975" t="s">
        <v>50</v>
      </c>
      <c r="H25" s="975" t="s">
        <v>50</v>
      </c>
      <c r="I25" s="975" t="s">
        <v>50</v>
      </c>
      <c r="J25" s="975" t="s">
        <v>50</v>
      </c>
      <c r="K25" s="975" t="s">
        <v>50</v>
      </c>
      <c r="L25" s="975" t="s">
        <v>110</v>
      </c>
      <c r="M25" s="975" t="s">
        <v>50</v>
      </c>
      <c r="N25" s="975" t="s">
        <v>50</v>
      </c>
      <c r="O25" s="975" t="s">
        <v>50</v>
      </c>
      <c r="P25" s="975" t="s">
        <v>50</v>
      </c>
      <c r="Q25" s="975" t="s">
        <v>50</v>
      </c>
      <c r="R25" s="975" t="s">
        <v>50</v>
      </c>
      <c r="S25" s="975" t="s">
        <v>811</v>
      </c>
      <c r="T25" s="975" t="s">
        <v>50</v>
      </c>
      <c r="U25" s="975" t="s">
        <v>50</v>
      </c>
      <c r="V25" s="975" t="s">
        <v>50</v>
      </c>
      <c r="W25" s="975" t="s">
        <v>50</v>
      </c>
      <c r="X25" s="975" t="s">
        <v>50</v>
      </c>
      <c r="Y25" s="975" t="s">
        <v>50</v>
      </c>
      <c r="Z25" s="975" t="s">
        <v>811</v>
      </c>
      <c r="AA25" s="975" t="s">
        <v>50</v>
      </c>
      <c r="AB25" s="975" t="s">
        <v>50</v>
      </c>
      <c r="AC25" s="975" t="s">
        <v>50</v>
      </c>
      <c r="AD25" s="975" t="s">
        <v>50</v>
      </c>
      <c r="AE25" s="975"/>
      <c r="AF25" s="975" t="s">
        <v>50</v>
      </c>
      <c r="AG25" s="975" t="s">
        <v>110</v>
      </c>
      <c r="AH25" s="975" t="s">
        <v>50</v>
      </c>
      <c r="AI25" s="975" t="s">
        <v>50</v>
      </c>
      <c r="AJ25" s="975"/>
      <c r="AK25" s="976">
        <f t="shared" si="4"/>
        <v>25</v>
      </c>
      <c r="AL25" s="977">
        <f t="shared" si="5"/>
        <v>2</v>
      </c>
      <c r="AM25" s="976">
        <f t="shared" si="6"/>
        <v>0</v>
      </c>
      <c r="AN25" s="976">
        <f t="shared" si="7"/>
        <v>2</v>
      </c>
      <c r="AO25" s="976">
        <f t="shared" si="8"/>
        <v>0</v>
      </c>
      <c r="AP25" s="977">
        <f t="shared" si="9"/>
        <v>0</v>
      </c>
      <c r="AQ25" s="978">
        <f t="shared" si="10"/>
        <v>29</v>
      </c>
      <c r="AR25" s="979"/>
      <c r="AS25" s="324" t="str">
        <f>'Mã số nhân viên'!I16</f>
        <v>03467</v>
      </c>
      <c r="AT25" s="974">
        <f t="shared" si="3"/>
        <v>0</v>
      </c>
    </row>
    <row r="26" spans="1:46" ht="24.75" customHeight="1">
      <c r="A26" s="636">
        <v>14</v>
      </c>
      <c r="B26" s="636">
        <v>14</v>
      </c>
      <c r="C26" s="636" t="str">
        <f>VLOOKUP(D26,'Mã số nhân viên'!B16:I147,8,0)</f>
        <v>03467</v>
      </c>
      <c r="D26" s="1126" t="s">
        <v>206</v>
      </c>
      <c r="E26" s="636"/>
      <c r="F26" s="975" t="s">
        <v>50</v>
      </c>
      <c r="G26" s="975" t="s">
        <v>50</v>
      </c>
      <c r="H26" s="975" t="s">
        <v>50</v>
      </c>
      <c r="I26" s="975" t="s">
        <v>50</v>
      </c>
      <c r="J26" s="975" t="s">
        <v>50</v>
      </c>
      <c r="K26" s="975" t="s">
        <v>50</v>
      </c>
      <c r="L26" s="975" t="s">
        <v>110</v>
      </c>
      <c r="M26" s="975" t="s">
        <v>50</v>
      </c>
      <c r="N26" s="975" t="s">
        <v>50</v>
      </c>
      <c r="O26" s="975" t="s">
        <v>50</v>
      </c>
      <c r="P26" s="975" t="s">
        <v>50</v>
      </c>
      <c r="Q26" s="975" t="s">
        <v>50</v>
      </c>
      <c r="R26" s="975" t="s">
        <v>50</v>
      </c>
      <c r="S26" s="975" t="s">
        <v>811</v>
      </c>
      <c r="T26" s="975" t="s">
        <v>50</v>
      </c>
      <c r="U26" s="975" t="s">
        <v>50</v>
      </c>
      <c r="V26" s="975" t="s">
        <v>50</v>
      </c>
      <c r="W26" s="975" t="s">
        <v>50</v>
      </c>
      <c r="X26" s="975" t="s">
        <v>50</v>
      </c>
      <c r="Y26" s="975" t="s">
        <v>50</v>
      </c>
      <c r="Z26" s="975" t="s">
        <v>811</v>
      </c>
      <c r="AA26" s="975" t="s">
        <v>50</v>
      </c>
      <c r="AB26" s="975" t="s">
        <v>50</v>
      </c>
      <c r="AC26" s="975" t="s">
        <v>50</v>
      </c>
      <c r="AD26" s="975" t="s">
        <v>50</v>
      </c>
      <c r="AE26" s="975" t="s">
        <v>50</v>
      </c>
      <c r="AF26" s="975" t="s">
        <v>50</v>
      </c>
      <c r="AG26" s="975" t="s">
        <v>110</v>
      </c>
      <c r="AH26" s="975" t="s">
        <v>50</v>
      </c>
      <c r="AI26" s="975" t="s">
        <v>50</v>
      </c>
      <c r="AJ26" s="975"/>
      <c r="AK26" s="976">
        <f t="shared" si="4"/>
        <v>26</v>
      </c>
      <c r="AL26" s="977">
        <f t="shared" si="5"/>
        <v>2</v>
      </c>
      <c r="AM26" s="976">
        <f t="shared" si="6"/>
        <v>0</v>
      </c>
      <c r="AN26" s="976">
        <f t="shared" si="7"/>
        <v>2</v>
      </c>
      <c r="AO26" s="976">
        <f t="shared" si="8"/>
        <v>0</v>
      </c>
      <c r="AP26" s="977">
        <f t="shared" si="9"/>
        <v>0</v>
      </c>
      <c r="AQ26" s="978">
        <f t="shared" si="10"/>
        <v>30</v>
      </c>
      <c r="AR26" s="979"/>
      <c r="AS26" s="324" t="str">
        <f>'Mã số nhân viên'!I17</f>
        <v>04056</v>
      </c>
      <c r="AT26" s="974">
        <f t="shared" si="3"/>
        <v>0</v>
      </c>
    </row>
    <row r="27" spans="1:46" ht="24.75" customHeight="1">
      <c r="A27" s="636">
        <v>15</v>
      </c>
      <c r="B27" s="636">
        <v>15</v>
      </c>
      <c r="C27" s="636" t="str">
        <f>VLOOKUP(D27,'Mã số nhân viên'!B17:I148,8,0)</f>
        <v>04056</v>
      </c>
      <c r="D27" s="1142" t="s">
        <v>515</v>
      </c>
      <c r="E27" s="636"/>
      <c r="F27" s="975" t="s">
        <v>50</v>
      </c>
      <c r="G27" s="975" t="s">
        <v>50</v>
      </c>
      <c r="H27" s="975" t="s">
        <v>50</v>
      </c>
      <c r="I27" s="975" t="s">
        <v>50</v>
      </c>
      <c r="J27" s="975" t="s">
        <v>50</v>
      </c>
      <c r="K27" s="975" t="s">
        <v>50</v>
      </c>
      <c r="L27" s="975" t="s">
        <v>110</v>
      </c>
      <c r="M27" s="975" t="s">
        <v>50</v>
      </c>
      <c r="N27" s="975" t="s">
        <v>50</v>
      </c>
      <c r="O27" s="975" t="s">
        <v>50</v>
      </c>
      <c r="P27" s="975" t="s">
        <v>50</v>
      </c>
      <c r="Q27" s="975" t="s">
        <v>50</v>
      </c>
      <c r="R27" s="975" t="s">
        <v>50</v>
      </c>
      <c r="S27" s="975" t="s">
        <v>811</v>
      </c>
      <c r="T27" s="975" t="s">
        <v>50</v>
      </c>
      <c r="U27" s="975" t="s">
        <v>50</v>
      </c>
      <c r="V27" s="975" t="s">
        <v>50</v>
      </c>
      <c r="W27" s="975" t="s">
        <v>50</v>
      </c>
      <c r="X27" s="975" t="s">
        <v>50</v>
      </c>
      <c r="Y27" s="975" t="s">
        <v>50</v>
      </c>
      <c r="Z27" s="975" t="s">
        <v>811</v>
      </c>
      <c r="AA27" s="975" t="s">
        <v>50</v>
      </c>
      <c r="AB27" s="975" t="s">
        <v>50</v>
      </c>
      <c r="AC27" s="975" t="s">
        <v>50</v>
      </c>
      <c r="AD27" s="975" t="s">
        <v>50</v>
      </c>
      <c r="AE27" s="975" t="s">
        <v>50</v>
      </c>
      <c r="AF27" s="975" t="s">
        <v>50</v>
      </c>
      <c r="AG27" s="975" t="s">
        <v>110</v>
      </c>
      <c r="AH27" s="975" t="s">
        <v>50</v>
      </c>
      <c r="AI27" s="975" t="s">
        <v>50</v>
      </c>
      <c r="AJ27" s="975"/>
      <c r="AK27" s="976">
        <f t="shared" si="4"/>
        <v>26</v>
      </c>
      <c r="AL27" s="977">
        <f t="shared" si="5"/>
        <v>2</v>
      </c>
      <c r="AM27" s="976">
        <f t="shared" si="6"/>
        <v>0</v>
      </c>
      <c r="AN27" s="976">
        <f t="shared" si="7"/>
        <v>2</v>
      </c>
      <c r="AO27" s="976">
        <f t="shared" si="8"/>
        <v>0</v>
      </c>
      <c r="AP27" s="977">
        <f t="shared" si="9"/>
        <v>0</v>
      </c>
      <c r="AQ27" s="978">
        <f t="shared" si="10"/>
        <v>30</v>
      </c>
      <c r="AR27" s="979"/>
      <c r="AS27" s="324" t="str">
        <f>'Mã số nhân viên'!I18</f>
        <v>03469</v>
      </c>
      <c r="AT27" s="974">
        <f t="shared" si="3"/>
        <v>0</v>
      </c>
    </row>
    <row r="28" spans="1:46" ht="24.75" customHeight="1">
      <c r="A28" s="636">
        <v>16</v>
      </c>
      <c r="B28" s="636">
        <v>16</v>
      </c>
      <c r="C28" s="636" t="str">
        <f>VLOOKUP(D28,'Mã số nhân viên'!B18:I149,8,0)</f>
        <v>03469</v>
      </c>
      <c r="D28" s="1142" t="s">
        <v>207</v>
      </c>
      <c r="E28" s="636"/>
      <c r="F28" s="975" t="s">
        <v>50</v>
      </c>
      <c r="G28" s="975" t="s">
        <v>50</v>
      </c>
      <c r="H28" s="975" t="s">
        <v>50</v>
      </c>
      <c r="I28" s="975" t="s">
        <v>50</v>
      </c>
      <c r="J28" s="975" t="s">
        <v>50</v>
      </c>
      <c r="K28" s="975" t="s">
        <v>50</v>
      </c>
      <c r="L28" s="975" t="s">
        <v>110</v>
      </c>
      <c r="M28" s="975" t="s">
        <v>50</v>
      </c>
      <c r="N28" s="975" t="s">
        <v>50</v>
      </c>
      <c r="O28" s="975" t="s">
        <v>50</v>
      </c>
      <c r="P28" s="975" t="s">
        <v>50</v>
      </c>
      <c r="Q28" s="975" t="s">
        <v>50</v>
      </c>
      <c r="R28" s="975" t="s">
        <v>50</v>
      </c>
      <c r="S28" s="975" t="s">
        <v>811</v>
      </c>
      <c r="T28" s="975" t="s">
        <v>50</v>
      </c>
      <c r="U28" s="975" t="s">
        <v>50</v>
      </c>
      <c r="V28" s="975" t="s">
        <v>50</v>
      </c>
      <c r="W28" s="975" t="s">
        <v>50</v>
      </c>
      <c r="X28" s="975" t="s">
        <v>50</v>
      </c>
      <c r="Y28" s="975" t="s">
        <v>50</v>
      </c>
      <c r="Z28" s="975" t="s">
        <v>811</v>
      </c>
      <c r="AA28" s="975" t="s">
        <v>50</v>
      </c>
      <c r="AB28" s="975" t="s">
        <v>50</v>
      </c>
      <c r="AC28" s="975" t="s">
        <v>50</v>
      </c>
      <c r="AD28" s="975" t="s">
        <v>50</v>
      </c>
      <c r="AE28" s="975" t="s">
        <v>50</v>
      </c>
      <c r="AF28" s="975"/>
      <c r="AG28" s="975" t="s">
        <v>110</v>
      </c>
      <c r="AH28" s="975" t="s">
        <v>50</v>
      </c>
      <c r="AI28" s="975" t="s">
        <v>50</v>
      </c>
      <c r="AJ28" s="975"/>
      <c r="AK28" s="976">
        <f t="shared" si="4"/>
        <v>25</v>
      </c>
      <c r="AL28" s="977">
        <f t="shared" si="5"/>
        <v>2</v>
      </c>
      <c r="AM28" s="976">
        <f t="shared" si="6"/>
        <v>0</v>
      </c>
      <c r="AN28" s="976">
        <f t="shared" si="7"/>
        <v>2</v>
      </c>
      <c r="AO28" s="976">
        <f t="shared" si="8"/>
        <v>0</v>
      </c>
      <c r="AP28" s="977">
        <f t="shared" si="9"/>
        <v>0</v>
      </c>
      <c r="AQ28" s="978">
        <f t="shared" si="10"/>
        <v>29</v>
      </c>
      <c r="AR28" s="979"/>
      <c r="AS28" s="324" t="str">
        <f>'Mã số nhân viên'!I19</f>
        <v>03470</v>
      </c>
      <c r="AT28" s="974">
        <f t="shared" si="3"/>
        <v>0</v>
      </c>
    </row>
    <row r="29" spans="1:46" ht="24.75" customHeight="1">
      <c r="A29" s="636">
        <v>17</v>
      </c>
      <c r="B29" s="636">
        <v>17</v>
      </c>
      <c r="C29" s="636" t="str">
        <f>VLOOKUP(D29,'Mã số nhân viên'!B19:I150,8,0)</f>
        <v>03470</v>
      </c>
      <c r="D29" s="1144" t="s">
        <v>208</v>
      </c>
      <c r="E29" s="636"/>
      <c r="F29" s="975" t="s">
        <v>50</v>
      </c>
      <c r="G29" s="975" t="s">
        <v>50</v>
      </c>
      <c r="H29" s="975" t="s">
        <v>50</v>
      </c>
      <c r="I29" s="975" t="s">
        <v>50</v>
      </c>
      <c r="J29" s="975" t="s">
        <v>50</v>
      </c>
      <c r="K29" s="975" t="s">
        <v>50</v>
      </c>
      <c r="L29" s="975" t="s">
        <v>110</v>
      </c>
      <c r="M29" s="975" t="s">
        <v>50</v>
      </c>
      <c r="N29" s="975" t="s">
        <v>50</v>
      </c>
      <c r="O29" s="975" t="s">
        <v>50</v>
      </c>
      <c r="P29" s="975" t="s">
        <v>50</v>
      </c>
      <c r="Q29" s="975" t="s">
        <v>50</v>
      </c>
      <c r="R29" s="975" t="s">
        <v>50</v>
      </c>
      <c r="S29" s="975" t="s">
        <v>811</v>
      </c>
      <c r="T29" s="975" t="s">
        <v>50</v>
      </c>
      <c r="U29" s="975" t="s">
        <v>50</v>
      </c>
      <c r="V29" s="975" t="s">
        <v>50</v>
      </c>
      <c r="W29" s="975" t="s">
        <v>778</v>
      </c>
      <c r="X29" s="975" t="s">
        <v>50</v>
      </c>
      <c r="Y29" s="975" t="s">
        <v>50</v>
      </c>
      <c r="Z29" s="975" t="s">
        <v>811</v>
      </c>
      <c r="AA29" s="975" t="s">
        <v>50</v>
      </c>
      <c r="AB29" s="975" t="s">
        <v>50</v>
      </c>
      <c r="AC29" s="975" t="s">
        <v>50</v>
      </c>
      <c r="AD29" s="975" t="s">
        <v>50</v>
      </c>
      <c r="AE29" s="975" t="s">
        <v>50</v>
      </c>
      <c r="AF29" s="975" t="s">
        <v>50</v>
      </c>
      <c r="AG29" s="975" t="s">
        <v>110</v>
      </c>
      <c r="AH29" s="975" t="s">
        <v>50</v>
      </c>
      <c r="AI29" s="975" t="s">
        <v>50</v>
      </c>
      <c r="AJ29" s="975"/>
      <c r="AK29" s="976">
        <f t="shared" si="4"/>
        <v>25</v>
      </c>
      <c r="AL29" s="977">
        <f t="shared" si="5"/>
        <v>2</v>
      </c>
      <c r="AM29" s="976">
        <f t="shared" si="6"/>
        <v>0</v>
      </c>
      <c r="AN29" s="976">
        <f t="shared" si="7"/>
        <v>2</v>
      </c>
      <c r="AO29" s="976">
        <f t="shared" si="8"/>
        <v>0</v>
      </c>
      <c r="AP29" s="977">
        <f t="shared" si="9"/>
        <v>0</v>
      </c>
      <c r="AQ29" s="978">
        <f t="shared" si="10"/>
        <v>29</v>
      </c>
      <c r="AR29" s="979"/>
      <c r="AS29" s="324" t="str">
        <f>'Mã số nhân viên'!I20</f>
        <v>03471</v>
      </c>
      <c r="AT29" s="974">
        <f t="shared" si="3"/>
        <v>0</v>
      </c>
    </row>
    <row r="30" spans="1:46" ht="24.75" customHeight="1">
      <c r="A30" s="636">
        <v>18</v>
      </c>
      <c r="B30" s="636">
        <v>18</v>
      </c>
      <c r="C30" s="636" t="str">
        <f>VLOOKUP(D30,'Mã số nhân viên'!B20:I151,8,0)</f>
        <v>03471</v>
      </c>
      <c r="D30" s="1143" t="s">
        <v>188</v>
      </c>
      <c r="E30" s="636"/>
      <c r="F30" s="975" t="s">
        <v>50</v>
      </c>
      <c r="G30" s="975" t="s">
        <v>50</v>
      </c>
      <c r="H30" s="975" t="s">
        <v>50</v>
      </c>
      <c r="I30" s="975" t="s">
        <v>50</v>
      </c>
      <c r="J30" s="975" t="s">
        <v>50</v>
      </c>
      <c r="K30" s="975" t="s">
        <v>50</v>
      </c>
      <c r="L30" s="975" t="s">
        <v>110</v>
      </c>
      <c r="M30" s="975" t="s">
        <v>50</v>
      </c>
      <c r="N30" s="975" t="s">
        <v>50</v>
      </c>
      <c r="O30" s="975" t="s">
        <v>50</v>
      </c>
      <c r="P30" s="975" t="s">
        <v>50</v>
      </c>
      <c r="Q30" s="975" t="s">
        <v>50</v>
      </c>
      <c r="R30" s="975" t="s">
        <v>50</v>
      </c>
      <c r="S30" s="975" t="s">
        <v>811</v>
      </c>
      <c r="T30" s="975" t="s">
        <v>50</v>
      </c>
      <c r="U30" s="975" t="s">
        <v>50</v>
      </c>
      <c r="V30" s="975" t="s">
        <v>50</v>
      </c>
      <c r="W30" s="975" t="s">
        <v>50</v>
      </c>
      <c r="X30" s="975" t="s">
        <v>50</v>
      </c>
      <c r="Y30" s="975" t="s">
        <v>50</v>
      </c>
      <c r="Z30" s="975" t="s">
        <v>811</v>
      </c>
      <c r="AA30" s="975" t="s">
        <v>50</v>
      </c>
      <c r="AB30" s="975" t="s">
        <v>50</v>
      </c>
      <c r="AC30" s="975" t="s">
        <v>50</v>
      </c>
      <c r="AD30" s="975" t="s">
        <v>50</v>
      </c>
      <c r="AE30" s="975" t="s">
        <v>50</v>
      </c>
      <c r="AF30" s="975" t="s">
        <v>50</v>
      </c>
      <c r="AG30" s="975" t="s">
        <v>110</v>
      </c>
      <c r="AH30" s="975" t="s">
        <v>50</v>
      </c>
      <c r="AI30" s="975" t="s">
        <v>50</v>
      </c>
      <c r="AJ30" s="975"/>
      <c r="AK30" s="976">
        <f t="shared" si="4"/>
        <v>26</v>
      </c>
      <c r="AL30" s="977">
        <f t="shared" si="5"/>
        <v>2</v>
      </c>
      <c r="AM30" s="976">
        <f t="shared" si="6"/>
        <v>0</v>
      </c>
      <c r="AN30" s="976">
        <f t="shared" si="7"/>
        <v>2</v>
      </c>
      <c r="AO30" s="976">
        <f t="shared" si="8"/>
        <v>0</v>
      </c>
      <c r="AP30" s="977">
        <f t="shared" si="9"/>
        <v>0</v>
      </c>
      <c r="AQ30" s="978">
        <f t="shared" si="10"/>
        <v>30</v>
      </c>
      <c r="AR30" s="979"/>
      <c r="AS30" s="324" t="str">
        <f>'Mã số nhân viên'!I21</f>
        <v>03472</v>
      </c>
      <c r="AT30" s="974">
        <f t="shared" si="3"/>
        <v>0</v>
      </c>
    </row>
    <row r="31" spans="1:46" ht="24.75" customHeight="1">
      <c r="A31" s="636">
        <v>19</v>
      </c>
      <c r="B31" s="636">
        <v>19</v>
      </c>
      <c r="C31" s="636" t="str">
        <f>VLOOKUP(D31,'Mã số nhân viên'!B21:I152,8,0)</f>
        <v>03472</v>
      </c>
      <c r="D31" s="1126" t="s">
        <v>222</v>
      </c>
      <c r="E31" s="636"/>
      <c r="F31" s="975" t="s">
        <v>50</v>
      </c>
      <c r="G31" s="975" t="s">
        <v>50</v>
      </c>
      <c r="H31" s="975" t="s">
        <v>50</v>
      </c>
      <c r="I31" s="975" t="s">
        <v>50</v>
      </c>
      <c r="J31" s="975" t="s">
        <v>50</v>
      </c>
      <c r="K31" s="975" t="s">
        <v>50</v>
      </c>
      <c r="L31" s="975" t="s">
        <v>110</v>
      </c>
      <c r="M31" s="975" t="s">
        <v>50</v>
      </c>
      <c r="N31" s="975" t="s">
        <v>50</v>
      </c>
      <c r="O31" s="975" t="s">
        <v>50</v>
      </c>
      <c r="P31" s="975" t="s">
        <v>50</v>
      </c>
      <c r="Q31" s="975" t="s">
        <v>50</v>
      </c>
      <c r="R31" s="975" t="s">
        <v>50</v>
      </c>
      <c r="S31" s="975" t="s">
        <v>811</v>
      </c>
      <c r="T31" s="975" t="s">
        <v>50</v>
      </c>
      <c r="U31" s="975" t="s">
        <v>50</v>
      </c>
      <c r="V31" s="975" t="s">
        <v>50</v>
      </c>
      <c r="W31" s="975" t="s">
        <v>50</v>
      </c>
      <c r="X31" s="975" t="s">
        <v>50</v>
      </c>
      <c r="Y31" s="975" t="s">
        <v>50</v>
      </c>
      <c r="Z31" s="975" t="s">
        <v>811</v>
      </c>
      <c r="AA31" s="975" t="s">
        <v>50</v>
      </c>
      <c r="AB31" s="975" t="s">
        <v>50</v>
      </c>
      <c r="AC31" s="975" t="s">
        <v>50</v>
      </c>
      <c r="AD31" s="975" t="s">
        <v>50</v>
      </c>
      <c r="AE31" s="975"/>
      <c r="AF31" s="975" t="s">
        <v>50</v>
      </c>
      <c r="AG31" s="975" t="s">
        <v>110</v>
      </c>
      <c r="AH31" s="975"/>
      <c r="AI31" s="975" t="s">
        <v>50</v>
      </c>
      <c r="AJ31" s="975"/>
      <c r="AK31" s="976">
        <f t="shared" si="4"/>
        <v>24</v>
      </c>
      <c r="AL31" s="977">
        <f t="shared" si="5"/>
        <v>2</v>
      </c>
      <c r="AM31" s="976">
        <f t="shared" si="6"/>
        <v>0</v>
      </c>
      <c r="AN31" s="976">
        <f t="shared" si="7"/>
        <v>2</v>
      </c>
      <c r="AO31" s="976">
        <f t="shared" si="8"/>
        <v>0</v>
      </c>
      <c r="AP31" s="977">
        <f t="shared" si="9"/>
        <v>0</v>
      </c>
      <c r="AQ31" s="978">
        <f t="shared" si="10"/>
        <v>28</v>
      </c>
      <c r="AR31" s="979"/>
      <c r="AS31" s="324" t="str">
        <f>'Mã số nhân viên'!I22</f>
        <v>03473</v>
      </c>
      <c r="AT31" s="974">
        <f t="shared" si="3"/>
        <v>0</v>
      </c>
    </row>
    <row r="32" spans="1:46" ht="24.75" customHeight="1">
      <c r="A32" s="636">
        <v>20</v>
      </c>
      <c r="B32" s="636">
        <v>20</v>
      </c>
      <c r="C32" s="636" t="str">
        <f>VLOOKUP(D32,'Mã số nhân viên'!B22:I153,8,0)</f>
        <v>03473</v>
      </c>
      <c r="D32" s="1142" t="s">
        <v>229</v>
      </c>
      <c r="E32" s="636"/>
      <c r="F32" s="975" t="s">
        <v>50</v>
      </c>
      <c r="G32" s="975" t="s">
        <v>50</v>
      </c>
      <c r="H32" s="975" t="s">
        <v>50</v>
      </c>
      <c r="I32" s="975" t="s">
        <v>50</v>
      </c>
      <c r="J32" s="975" t="s">
        <v>50</v>
      </c>
      <c r="K32" s="975" t="s">
        <v>50</v>
      </c>
      <c r="L32" s="975" t="s">
        <v>110</v>
      </c>
      <c r="M32" s="975" t="s">
        <v>50</v>
      </c>
      <c r="N32" s="975" t="s">
        <v>50</v>
      </c>
      <c r="O32" s="975" t="s">
        <v>50</v>
      </c>
      <c r="P32" s="975" t="s">
        <v>50</v>
      </c>
      <c r="Q32" s="975" t="s">
        <v>50</v>
      </c>
      <c r="R32" s="975" t="s">
        <v>50</v>
      </c>
      <c r="S32" s="975" t="s">
        <v>811</v>
      </c>
      <c r="T32" s="975" t="s">
        <v>50</v>
      </c>
      <c r="U32" s="975" t="s">
        <v>50</v>
      </c>
      <c r="V32" s="975" t="s">
        <v>50</v>
      </c>
      <c r="W32" s="975" t="s">
        <v>50</v>
      </c>
      <c r="X32" s="975" t="s">
        <v>50</v>
      </c>
      <c r="Y32" s="975" t="s">
        <v>50</v>
      </c>
      <c r="Z32" s="975" t="s">
        <v>811</v>
      </c>
      <c r="AA32" s="975" t="s">
        <v>50</v>
      </c>
      <c r="AB32" s="975" t="s">
        <v>50</v>
      </c>
      <c r="AC32" s="975" t="s">
        <v>50</v>
      </c>
      <c r="AD32" s="975" t="s">
        <v>50</v>
      </c>
      <c r="AE32" s="975" t="s">
        <v>50</v>
      </c>
      <c r="AF32" s="975"/>
      <c r="AG32" s="975" t="s">
        <v>110</v>
      </c>
      <c r="AH32" s="975" t="s">
        <v>50</v>
      </c>
      <c r="AI32" s="975" t="s">
        <v>50</v>
      </c>
      <c r="AJ32" s="975"/>
      <c r="AK32" s="976">
        <f t="shared" si="4"/>
        <v>25</v>
      </c>
      <c r="AL32" s="977">
        <f t="shared" si="5"/>
        <v>2</v>
      </c>
      <c r="AM32" s="976">
        <f t="shared" si="6"/>
        <v>0</v>
      </c>
      <c r="AN32" s="976">
        <f t="shared" si="7"/>
        <v>2</v>
      </c>
      <c r="AO32" s="976">
        <f t="shared" si="8"/>
        <v>0</v>
      </c>
      <c r="AP32" s="977">
        <f t="shared" si="9"/>
        <v>0</v>
      </c>
      <c r="AQ32" s="978">
        <f t="shared" si="10"/>
        <v>29</v>
      </c>
      <c r="AR32" s="979"/>
      <c r="AS32" s="324" t="str">
        <f>'Mã số nhân viên'!I23</f>
        <v>03474</v>
      </c>
      <c r="AT32" s="974">
        <f t="shared" si="3"/>
        <v>0</v>
      </c>
    </row>
    <row r="33" spans="1:46" ht="24.75" customHeight="1">
      <c r="A33" s="636">
        <v>21</v>
      </c>
      <c r="B33" s="636">
        <v>21</v>
      </c>
      <c r="C33" s="636" t="str">
        <f>VLOOKUP(D33,'Mã số nhân viên'!B23:I154,8,0)</f>
        <v>03474</v>
      </c>
      <c r="D33" s="1118" t="s">
        <v>205</v>
      </c>
      <c r="E33" s="636"/>
      <c r="F33" s="975" t="s">
        <v>50</v>
      </c>
      <c r="G33" s="975" t="s">
        <v>50</v>
      </c>
      <c r="H33" s="975" t="s">
        <v>50</v>
      </c>
      <c r="I33" s="975" t="s">
        <v>50</v>
      </c>
      <c r="J33" s="975" t="s">
        <v>50</v>
      </c>
      <c r="K33" s="975" t="s">
        <v>50</v>
      </c>
      <c r="L33" s="975" t="s">
        <v>110</v>
      </c>
      <c r="M33" s="975" t="s">
        <v>50</v>
      </c>
      <c r="N33" s="975" t="s">
        <v>50</v>
      </c>
      <c r="O33" s="975" t="s">
        <v>50</v>
      </c>
      <c r="P33" s="975" t="s">
        <v>50</v>
      </c>
      <c r="Q33" s="975" t="s">
        <v>50</v>
      </c>
      <c r="R33" s="975" t="s">
        <v>50</v>
      </c>
      <c r="S33" s="975" t="s">
        <v>811</v>
      </c>
      <c r="T33" s="975" t="s">
        <v>50</v>
      </c>
      <c r="U33" s="975" t="s">
        <v>50</v>
      </c>
      <c r="V33" s="975" t="s">
        <v>50</v>
      </c>
      <c r="W33" s="975" t="s">
        <v>50</v>
      </c>
      <c r="X33" s="975" t="s">
        <v>50</v>
      </c>
      <c r="Y33" s="975" t="s">
        <v>50</v>
      </c>
      <c r="Z33" s="975" t="s">
        <v>811</v>
      </c>
      <c r="AA33" s="975" t="s">
        <v>50</v>
      </c>
      <c r="AB33" s="975" t="s">
        <v>50</v>
      </c>
      <c r="AC33" s="975" t="s">
        <v>50</v>
      </c>
      <c r="AD33" s="975" t="s">
        <v>50</v>
      </c>
      <c r="AE33" s="975"/>
      <c r="AF33" s="975"/>
      <c r="AG33" s="975" t="s">
        <v>110</v>
      </c>
      <c r="AH33" s="975" t="s">
        <v>50</v>
      </c>
      <c r="AI33" s="975" t="s">
        <v>50</v>
      </c>
      <c r="AJ33" s="975"/>
      <c r="AK33" s="976">
        <f t="shared" si="4"/>
        <v>24</v>
      </c>
      <c r="AL33" s="977">
        <f t="shared" si="5"/>
        <v>2</v>
      </c>
      <c r="AM33" s="976">
        <f t="shared" si="6"/>
        <v>0</v>
      </c>
      <c r="AN33" s="976">
        <f t="shared" si="7"/>
        <v>2</v>
      </c>
      <c r="AO33" s="976">
        <f t="shared" si="8"/>
        <v>0</v>
      </c>
      <c r="AP33" s="977">
        <f t="shared" si="9"/>
        <v>0</v>
      </c>
      <c r="AQ33" s="978">
        <f t="shared" si="10"/>
        <v>28</v>
      </c>
      <c r="AR33" s="979"/>
      <c r="AS33" s="324" t="str">
        <f>'Mã số nhân viên'!I24</f>
        <v>04057</v>
      </c>
      <c r="AT33" s="974">
        <f t="shared" si="3"/>
        <v>-4057</v>
      </c>
    </row>
    <row r="34" spans="1:46" ht="24.75" customHeight="1">
      <c r="A34" s="636">
        <v>22</v>
      </c>
      <c r="B34" s="636">
        <v>22</v>
      </c>
      <c r="C34" s="636"/>
      <c r="D34" s="1145" t="s">
        <v>789</v>
      </c>
      <c r="E34" s="636"/>
      <c r="F34" s="975" t="s">
        <v>50</v>
      </c>
      <c r="G34" s="975" t="s">
        <v>50</v>
      </c>
      <c r="H34" s="975" t="s">
        <v>50</v>
      </c>
      <c r="I34" s="975" t="s">
        <v>50</v>
      </c>
      <c r="J34" s="975" t="s">
        <v>50</v>
      </c>
      <c r="K34" s="975" t="s">
        <v>50</v>
      </c>
      <c r="L34" s="975" t="s">
        <v>110</v>
      </c>
      <c r="M34" s="975" t="s">
        <v>50</v>
      </c>
      <c r="N34" s="975" t="s">
        <v>50</v>
      </c>
      <c r="O34" s="975" t="s">
        <v>50</v>
      </c>
      <c r="P34" s="975" t="s">
        <v>50</v>
      </c>
      <c r="Q34" s="975" t="s">
        <v>50</v>
      </c>
      <c r="R34" s="975" t="s">
        <v>50</v>
      </c>
      <c r="S34" s="975" t="s">
        <v>811</v>
      </c>
      <c r="T34" s="975" t="s">
        <v>50</v>
      </c>
      <c r="U34" s="975" t="s">
        <v>50</v>
      </c>
      <c r="V34" s="975" t="s">
        <v>50</v>
      </c>
      <c r="W34" s="975" t="s">
        <v>50</v>
      </c>
      <c r="X34" s="975" t="s">
        <v>50</v>
      </c>
      <c r="Y34" s="975" t="s">
        <v>50</v>
      </c>
      <c r="Z34" s="975" t="s">
        <v>811</v>
      </c>
      <c r="AA34" s="975" t="s">
        <v>50</v>
      </c>
      <c r="AB34" s="975" t="s">
        <v>50</v>
      </c>
      <c r="AC34" s="975" t="s">
        <v>50</v>
      </c>
      <c r="AD34" s="975" t="s">
        <v>50</v>
      </c>
      <c r="AE34" s="975" t="s">
        <v>50</v>
      </c>
      <c r="AF34" s="975" t="s">
        <v>50</v>
      </c>
      <c r="AG34" s="975" t="s">
        <v>110</v>
      </c>
      <c r="AH34" s="975" t="s">
        <v>50</v>
      </c>
      <c r="AI34" s="975" t="s">
        <v>50</v>
      </c>
      <c r="AJ34" s="975"/>
      <c r="AK34" s="976">
        <f t="shared" si="4"/>
        <v>26</v>
      </c>
      <c r="AL34" s="977">
        <f t="shared" si="5"/>
        <v>2</v>
      </c>
      <c r="AM34" s="976">
        <f t="shared" si="6"/>
        <v>0</v>
      </c>
      <c r="AN34" s="976">
        <f t="shared" si="7"/>
        <v>2</v>
      </c>
      <c r="AO34" s="976">
        <f t="shared" si="8"/>
        <v>0</v>
      </c>
      <c r="AP34" s="977">
        <f t="shared" si="9"/>
        <v>0</v>
      </c>
      <c r="AQ34" s="978">
        <f t="shared" si="10"/>
        <v>30</v>
      </c>
      <c r="AR34" s="979"/>
      <c r="AS34" s="324" t="str">
        <f>'Mã số nhân viên'!I25</f>
        <v>03476</v>
      </c>
      <c r="AT34" s="974">
        <f t="shared" si="3"/>
        <v>0</v>
      </c>
    </row>
    <row r="35" spans="1:46" ht="24.75" customHeight="1">
      <c r="A35" s="636">
        <v>23</v>
      </c>
      <c r="B35" s="636">
        <v>23</v>
      </c>
      <c r="C35" s="636" t="str">
        <f>VLOOKUP(D35,'Mã số nhân viên'!B25:I156,8,0)</f>
        <v>03476</v>
      </c>
      <c r="D35" s="1143" t="s">
        <v>230</v>
      </c>
      <c r="E35" s="636"/>
      <c r="F35" s="975" t="s">
        <v>50</v>
      </c>
      <c r="G35" s="975" t="s">
        <v>50</v>
      </c>
      <c r="H35" s="975" t="s">
        <v>50</v>
      </c>
      <c r="I35" s="975" t="s">
        <v>50</v>
      </c>
      <c r="J35" s="975" t="s">
        <v>50</v>
      </c>
      <c r="K35" s="975" t="s">
        <v>50</v>
      </c>
      <c r="L35" s="975" t="s">
        <v>110</v>
      </c>
      <c r="M35" s="975" t="s">
        <v>50</v>
      </c>
      <c r="N35" s="975" t="s">
        <v>50</v>
      </c>
      <c r="O35" s="975" t="s">
        <v>50</v>
      </c>
      <c r="P35" s="975" t="s">
        <v>50</v>
      </c>
      <c r="Q35" s="975" t="s">
        <v>50</v>
      </c>
      <c r="R35" s="975" t="s">
        <v>50</v>
      </c>
      <c r="S35" s="975" t="s">
        <v>811</v>
      </c>
      <c r="T35" s="975" t="s">
        <v>50</v>
      </c>
      <c r="U35" s="975" t="s">
        <v>50</v>
      </c>
      <c r="V35" s="975" t="s">
        <v>50</v>
      </c>
      <c r="W35" s="975" t="s">
        <v>50</v>
      </c>
      <c r="X35" s="975" t="s">
        <v>50</v>
      </c>
      <c r="Y35" s="975" t="s">
        <v>50</v>
      </c>
      <c r="Z35" s="975" t="s">
        <v>811</v>
      </c>
      <c r="AA35" s="975" t="s">
        <v>50</v>
      </c>
      <c r="AB35" s="975" t="s">
        <v>50</v>
      </c>
      <c r="AC35" s="975" t="s">
        <v>50</v>
      </c>
      <c r="AD35" s="975" t="s">
        <v>50</v>
      </c>
      <c r="AE35" s="975" t="s">
        <v>50</v>
      </c>
      <c r="AF35" s="975" t="s">
        <v>50</v>
      </c>
      <c r="AG35" s="975" t="s">
        <v>110</v>
      </c>
      <c r="AH35" s="975" t="s">
        <v>50</v>
      </c>
      <c r="AI35" s="975" t="s">
        <v>50</v>
      </c>
      <c r="AJ35" s="975"/>
      <c r="AK35" s="976">
        <f t="shared" si="4"/>
        <v>26</v>
      </c>
      <c r="AL35" s="977">
        <f t="shared" si="5"/>
        <v>2</v>
      </c>
      <c r="AM35" s="976">
        <f t="shared" si="6"/>
        <v>0</v>
      </c>
      <c r="AN35" s="976">
        <f t="shared" si="7"/>
        <v>2</v>
      </c>
      <c r="AO35" s="976">
        <f t="shared" si="8"/>
        <v>0</v>
      </c>
      <c r="AP35" s="977">
        <f t="shared" si="9"/>
        <v>0</v>
      </c>
      <c r="AQ35" s="978">
        <f t="shared" si="10"/>
        <v>30</v>
      </c>
      <c r="AR35" s="979"/>
      <c r="AS35" s="324" t="str">
        <f>'Mã số nhân viên'!I26</f>
        <v>03477</v>
      </c>
      <c r="AT35" s="974">
        <f t="shared" si="3"/>
        <v>-3477</v>
      </c>
    </row>
    <row r="36" spans="1:46" ht="24.75" customHeight="1">
      <c r="A36" s="636">
        <v>24</v>
      </c>
      <c r="B36" s="636">
        <v>24</v>
      </c>
      <c r="C36" s="636"/>
      <c r="D36" s="1146" t="s">
        <v>546</v>
      </c>
      <c r="E36" s="636"/>
      <c r="F36" s="975" t="s">
        <v>50</v>
      </c>
      <c r="G36" s="975" t="s">
        <v>50</v>
      </c>
      <c r="H36" s="975" t="s">
        <v>50</v>
      </c>
      <c r="I36" s="975" t="s">
        <v>50</v>
      </c>
      <c r="J36" s="975" t="s">
        <v>50</v>
      </c>
      <c r="K36" s="975" t="s">
        <v>50</v>
      </c>
      <c r="L36" s="975" t="s">
        <v>110</v>
      </c>
      <c r="M36" s="975" t="s">
        <v>50</v>
      </c>
      <c r="N36" s="975" t="s">
        <v>50</v>
      </c>
      <c r="O36" s="975" t="s">
        <v>50</v>
      </c>
      <c r="P36" s="975" t="s">
        <v>50</v>
      </c>
      <c r="Q36" s="975" t="s">
        <v>50</v>
      </c>
      <c r="R36" s="975" t="s">
        <v>50</v>
      </c>
      <c r="S36" s="975" t="s">
        <v>811</v>
      </c>
      <c r="T36" s="975" t="s">
        <v>50</v>
      </c>
      <c r="U36" s="975" t="s">
        <v>50</v>
      </c>
      <c r="V36" s="975" t="s">
        <v>50</v>
      </c>
      <c r="W36" s="975" t="s">
        <v>50</v>
      </c>
      <c r="X36" s="975" t="s">
        <v>50</v>
      </c>
      <c r="Y36" s="975" t="s">
        <v>50</v>
      </c>
      <c r="Z36" s="975" t="s">
        <v>811</v>
      </c>
      <c r="AA36" s="975" t="s">
        <v>50</v>
      </c>
      <c r="AB36" s="975" t="s">
        <v>50</v>
      </c>
      <c r="AC36" s="975" t="s">
        <v>50</v>
      </c>
      <c r="AD36" s="975" t="s">
        <v>50</v>
      </c>
      <c r="AE36" s="975" t="s">
        <v>50</v>
      </c>
      <c r="AF36" s="975" t="s">
        <v>50</v>
      </c>
      <c r="AG36" s="975" t="s">
        <v>110</v>
      </c>
      <c r="AH36" s="975" t="s">
        <v>50</v>
      </c>
      <c r="AI36" s="975" t="s">
        <v>50</v>
      </c>
      <c r="AJ36" s="975"/>
      <c r="AK36" s="976">
        <f t="shared" si="4"/>
        <v>26</v>
      </c>
      <c r="AL36" s="977">
        <f t="shared" si="5"/>
        <v>2</v>
      </c>
      <c r="AM36" s="976">
        <f t="shared" si="6"/>
        <v>0</v>
      </c>
      <c r="AN36" s="976">
        <f t="shared" si="7"/>
        <v>2</v>
      </c>
      <c r="AO36" s="976">
        <f t="shared" si="8"/>
        <v>0</v>
      </c>
      <c r="AP36" s="977">
        <f t="shared" si="9"/>
        <v>0</v>
      </c>
      <c r="AQ36" s="978">
        <f t="shared" si="10"/>
        <v>30</v>
      </c>
      <c r="AR36" s="979"/>
      <c r="AS36" s="324" t="str">
        <f>'Mã số nhân viên'!I27</f>
        <v>03478</v>
      </c>
      <c r="AT36" s="974">
        <f t="shared" si="3"/>
        <v>0</v>
      </c>
    </row>
    <row r="37" spans="1:46" ht="24.75" customHeight="1">
      <c r="A37" s="636">
        <v>25</v>
      </c>
      <c r="B37" s="636">
        <v>25</v>
      </c>
      <c r="C37" s="636" t="str">
        <f>VLOOKUP(D37,'Mã số nhân viên'!B27:I158,8,0)</f>
        <v>03478</v>
      </c>
      <c r="D37" s="1126" t="s">
        <v>309</v>
      </c>
      <c r="E37" s="636"/>
      <c r="F37" s="975" t="s">
        <v>50</v>
      </c>
      <c r="G37" s="975" t="s">
        <v>50</v>
      </c>
      <c r="H37" s="975" t="s">
        <v>50</v>
      </c>
      <c r="I37" s="975" t="s">
        <v>50</v>
      </c>
      <c r="J37" s="975" t="s">
        <v>50</v>
      </c>
      <c r="K37" s="975" t="s">
        <v>50</v>
      </c>
      <c r="L37" s="975" t="s">
        <v>110</v>
      </c>
      <c r="M37" s="975" t="s">
        <v>50</v>
      </c>
      <c r="N37" s="975" t="s">
        <v>50</v>
      </c>
      <c r="O37" s="975" t="s">
        <v>50</v>
      </c>
      <c r="P37" s="975" t="s">
        <v>50</v>
      </c>
      <c r="Q37" s="975" t="s">
        <v>50</v>
      </c>
      <c r="R37" s="975" t="s">
        <v>50</v>
      </c>
      <c r="S37" s="975" t="s">
        <v>811</v>
      </c>
      <c r="T37" s="975" t="s">
        <v>50</v>
      </c>
      <c r="U37" s="975" t="s">
        <v>50</v>
      </c>
      <c r="V37" s="975" t="s">
        <v>50</v>
      </c>
      <c r="W37" s="975" t="s">
        <v>50</v>
      </c>
      <c r="X37" s="975" t="s">
        <v>50</v>
      </c>
      <c r="Y37" s="975" t="s">
        <v>50</v>
      </c>
      <c r="Z37" s="975" t="s">
        <v>811</v>
      </c>
      <c r="AA37" s="975" t="s">
        <v>50</v>
      </c>
      <c r="AB37" s="975" t="s">
        <v>50</v>
      </c>
      <c r="AC37" s="975" t="s">
        <v>50</v>
      </c>
      <c r="AD37" s="975" t="s">
        <v>50</v>
      </c>
      <c r="AE37" s="975" t="s">
        <v>50</v>
      </c>
      <c r="AF37" s="975" t="s">
        <v>50</v>
      </c>
      <c r="AG37" s="975" t="s">
        <v>110</v>
      </c>
      <c r="AH37" s="975" t="s">
        <v>50</v>
      </c>
      <c r="AI37" s="975" t="s">
        <v>50</v>
      </c>
      <c r="AJ37" s="975"/>
      <c r="AK37" s="976">
        <f t="shared" si="4"/>
        <v>26</v>
      </c>
      <c r="AL37" s="977">
        <f t="shared" si="5"/>
        <v>2</v>
      </c>
      <c r="AM37" s="976">
        <f t="shared" si="6"/>
        <v>0</v>
      </c>
      <c r="AN37" s="976">
        <f t="shared" si="7"/>
        <v>2</v>
      </c>
      <c r="AO37" s="976">
        <f t="shared" si="8"/>
        <v>0</v>
      </c>
      <c r="AP37" s="977">
        <f t="shared" si="9"/>
        <v>0</v>
      </c>
      <c r="AQ37" s="978">
        <f t="shared" si="10"/>
        <v>30</v>
      </c>
      <c r="AR37" s="979"/>
      <c r="AS37" s="324" t="str">
        <f>'Mã số nhân viên'!I28</f>
        <v>03479</v>
      </c>
      <c r="AT37" s="974">
        <f t="shared" si="3"/>
        <v>0</v>
      </c>
    </row>
    <row r="38" spans="1:46" ht="24.75" customHeight="1">
      <c r="A38" s="636">
        <v>26</v>
      </c>
      <c r="B38" s="636">
        <v>26</v>
      </c>
      <c r="C38" s="636" t="str">
        <f>VLOOKUP(D38,'Mã số nhân viên'!B28:I159,8,0)</f>
        <v>03479</v>
      </c>
      <c r="D38" s="1142" t="s">
        <v>181</v>
      </c>
      <c r="E38" s="636"/>
      <c r="F38" s="975" t="s">
        <v>50</v>
      </c>
      <c r="G38" s="975" t="s">
        <v>50</v>
      </c>
      <c r="H38" s="975" t="s">
        <v>50</v>
      </c>
      <c r="I38" s="975" t="s">
        <v>50</v>
      </c>
      <c r="J38" s="975" t="s">
        <v>50</v>
      </c>
      <c r="K38" s="975" t="s">
        <v>50</v>
      </c>
      <c r="L38" s="975" t="s">
        <v>110</v>
      </c>
      <c r="M38" s="975" t="s">
        <v>50</v>
      </c>
      <c r="N38" s="975" t="s">
        <v>50</v>
      </c>
      <c r="O38" s="975" t="s">
        <v>50</v>
      </c>
      <c r="P38" s="975" t="s">
        <v>50</v>
      </c>
      <c r="Q38" s="975" t="s">
        <v>50</v>
      </c>
      <c r="R38" s="975" t="s">
        <v>50</v>
      </c>
      <c r="S38" s="975" t="s">
        <v>811</v>
      </c>
      <c r="T38" s="975" t="s">
        <v>50</v>
      </c>
      <c r="U38" s="975" t="s">
        <v>50</v>
      </c>
      <c r="V38" s="975" t="s">
        <v>50</v>
      </c>
      <c r="W38" s="975" t="s">
        <v>50</v>
      </c>
      <c r="X38" s="975" t="s">
        <v>50</v>
      </c>
      <c r="Y38" s="975" t="s">
        <v>50</v>
      </c>
      <c r="Z38" s="975" t="s">
        <v>811</v>
      </c>
      <c r="AA38" s="975" t="s">
        <v>50</v>
      </c>
      <c r="AB38" s="975" t="s">
        <v>50</v>
      </c>
      <c r="AC38" s="975" t="s">
        <v>50</v>
      </c>
      <c r="AD38" s="975" t="s">
        <v>50</v>
      </c>
      <c r="AE38" s="975" t="s">
        <v>50</v>
      </c>
      <c r="AF38" s="975" t="s">
        <v>50</v>
      </c>
      <c r="AG38" s="975" t="s">
        <v>110</v>
      </c>
      <c r="AH38" s="975" t="s">
        <v>50</v>
      </c>
      <c r="AI38" s="975" t="s">
        <v>50</v>
      </c>
      <c r="AJ38" s="975"/>
      <c r="AK38" s="976">
        <f t="shared" si="4"/>
        <v>26</v>
      </c>
      <c r="AL38" s="977">
        <f t="shared" si="5"/>
        <v>2</v>
      </c>
      <c r="AM38" s="976">
        <f t="shared" si="6"/>
        <v>0</v>
      </c>
      <c r="AN38" s="976">
        <f t="shared" si="7"/>
        <v>2</v>
      </c>
      <c r="AO38" s="976">
        <f t="shared" si="8"/>
        <v>0</v>
      </c>
      <c r="AP38" s="977">
        <f t="shared" si="9"/>
        <v>0</v>
      </c>
      <c r="AQ38" s="978">
        <f t="shared" si="10"/>
        <v>30</v>
      </c>
      <c r="AR38" s="979"/>
      <c r="AS38" s="324" t="str">
        <f>'Mã số nhân viên'!I29</f>
        <v>03480</v>
      </c>
      <c r="AT38" s="974">
        <f t="shared" si="3"/>
        <v>0</v>
      </c>
    </row>
    <row r="39" spans="1:46" ht="24.75" customHeight="1">
      <c r="A39" s="636">
        <v>27</v>
      </c>
      <c r="B39" s="636">
        <v>27</v>
      </c>
      <c r="C39" s="636" t="str">
        <f>VLOOKUP(D39,'Mã số nhân viên'!B29:I160,8,0)</f>
        <v>03480</v>
      </c>
      <c r="D39" s="1142" t="s">
        <v>179</v>
      </c>
      <c r="E39" s="636"/>
      <c r="F39" s="975" t="s">
        <v>50</v>
      </c>
      <c r="G39" s="975" t="s">
        <v>50</v>
      </c>
      <c r="H39" s="975" t="s">
        <v>50</v>
      </c>
      <c r="I39" s="975" t="s">
        <v>50</v>
      </c>
      <c r="J39" s="975" t="s">
        <v>50</v>
      </c>
      <c r="K39" s="975" t="s">
        <v>50</v>
      </c>
      <c r="L39" s="975" t="s">
        <v>110</v>
      </c>
      <c r="M39" s="975" t="s">
        <v>50</v>
      </c>
      <c r="N39" s="975" t="s">
        <v>50</v>
      </c>
      <c r="O39" s="975" t="s">
        <v>50</v>
      </c>
      <c r="P39" s="975" t="s">
        <v>50</v>
      </c>
      <c r="Q39" s="975" t="s">
        <v>50</v>
      </c>
      <c r="R39" s="975" t="s">
        <v>50</v>
      </c>
      <c r="S39" s="975" t="s">
        <v>811</v>
      </c>
      <c r="T39" s="975" t="s">
        <v>50</v>
      </c>
      <c r="U39" s="975" t="s">
        <v>50</v>
      </c>
      <c r="V39" s="975" t="s">
        <v>50</v>
      </c>
      <c r="W39" s="975" t="s">
        <v>50</v>
      </c>
      <c r="X39" s="975" t="s">
        <v>50</v>
      </c>
      <c r="Y39" s="975" t="s">
        <v>50</v>
      </c>
      <c r="Z39" s="975" t="s">
        <v>811</v>
      </c>
      <c r="AA39" s="975" t="s">
        <v>50</v>
      </c>
      <c r="AB39" s="975" t="s">
        <v>50</v>
      </c>
      <c r="AC39" s="975" t="s">
        <v>50</v>
      </c>
      <c r="AD39" s="975" t="s">
        <v>50</v>
      </c>
      <c r="AE39" s="975" t="s">
        <v>50</v>
      </c>
      <c r="AF39" s="975" t="s">
        <v>50</v>
      </c>
      <c r="AG39" s="975" t="s">
        <v>110</v>
      </c>
      <c r="AH39" s="975" t="s">
        <v>50</v>
      </c>
      <c r="AI39" s="975" t="s">
        <v>50</v>
      </c>
      <c r="AJ39" s="975"/>
      <c r="AK39" s="976">
        <f t="shared" si="4"/>
        <v>26</v>
      </c>
      <c r="AL39" s="977">
        <f t="shared" si="5"/>
        <v>2</v>
      </c>
      <c r="AM39" s="976">
        <f t="shared" si="6"/>
        <v>0</v>
      </c>
      <c r="AN39" s="976">
        <f t="shared" si="7"/>
        <v>2</v>
      </c>
      <c r="AO39" s="976">
        <f t="shared" si="8"/>
        <v>0</v>
      </c>
      <c r="AP39" s="977">
        <f t="shared" si="9"/>
        <v>0</v>
      </c>
      <c r="AQ39" s="978">
        <f t="shared" si="10"/>
        <v>30</v>
      </c>
      <c r="AR39" s="979"/>
      <c r="AS39" s="324" t="str">
        <f>'Mã số nhân viên'!I30</f>
        <v>03481</v>
      </c>
      <c r="AT39" s="974">
        <f t="shared" si="3"/>
        <v>0</v>
      </c>
    </row>
    <row r="40" spans="1:46" ht="24.75" customHeight="1">
      <c r="A40" s="636">
        <v>28</v>
      </c>
      <c r="B40" s="636">
        <v>28</v>
      </c>
      <c r="C40" s="636" t="str">
        <f>VLOOKUP(D40,'Mã số nhân viên'!B30:I161,8,0)</f>
        <v>03481</v>
      </c>
      <c r="D40" s="1118" t="s">
        <v>159</v>
      </c>
      <c r="E40" s="636"/>
      <c r="F40" s="975" t="s">
        <v>50</v>
      </c>
      <c r="G40" s="975" t="s">
        <v>50</v>
      </c>
      <c r="H40" s="975" t="s">
        <v>50</v>
      </c>
      <c r="I40" s="975" t="s">
        <v>50</v>
      </c>
      <c r="J40" s="975" t="s">
        <v>50</v>
      </c>
      <c r="K40" s="975" t="s">
        <v>50</v>
      </c>
      <c r="L40" s="975" t="s">
        <v>110</v>
      </c>
      <c r="M40" s="975" t="s">
        <v>50</v>
      </c>
      <c r="N40" s="975" t="s">
        <v>50</v>
      </c>
      <c r="O40" s="975" t="s">
        <v>50</v>
      </c>
      <c r="P40" s="975" t="s">
        <v>50</v>
      </c>
      <c r="Q40" s="975" t="s">
        <v>50</v>
      </c>
      <c r="R40" s="975" t="s">
        <v>50</v>
      </c>
      <c r="S40" s="975" t="s">
        <v>811</v>
      </c>
      <c r="T40" s="975" t="s">
        <v>50</v>
      </c>
      <c r="U40" s="975" t="s">
        <v>50</v>
      </c>
      <c r="V40" s="975" t="s">
        <v>50</v>
      </c>
      <c r="W40" s="975" t="s">
        <v>50</v>
      </c>
      <c r="X40" s="975" t="s">
        <v>778</v>
      </c>
      <c r="Y40" s="975" t="s">
        <v>50</v>
      </c>
      <c r="Z40" s="975" t="s">
        <v>811</v>
      </c>
      <c r="AA40" s="975" t="s">
        <v>50</v>
      </c>
      <c r="AB40" s="975" t="s">
        <v>50</v>
      </c>
      <c r="AC40" s="975" t="s">
        <v>50</v>
      </c>
      <c r="AD40" s="975" t="s">
        <v>50</v>
      </c>
      <c r="AE40" s="975" t="s">
        <v>50</v>
      </c>
      <c r="AF40" s="975"/>
      <c r="AG40" s="975" t="s">
        <v>110</v>
      </c>
      <c r="AH40" s="975" t="s">
        <v>50</v>
      </c>
      <c r="AI40" s="975" t="s">
        <v>50</v>
      </c>
      <c r="AJ40" s="975"/>
      <c r="AK40" s="976">
        <f t="shared" si="4"/>
        <v>24</v>
      </c>
      <c r="AL40" s="977">
        <f t="shared" si="5"/>
        <v>2</v>
      </c>
      <c r="AM40" s="976">
        <f t="shared" si="6"/>
        <v>0</v>
      </c>
      <c r="AN40" s="976">
        <f t="shared" si="7"/>
        <v>2</v>
      </c>
      <c r="AO40" s="976">
        <f t="shared" si="8"/>
        <v>0</v>
      </c>
      <c r="AP40" s="977">
        <f t="shared" si="9"/>
        <v>0</v>
      </c>
      <c r="AQ40" s="978">
        <f t="shared" si="10"/>
        <v>28</v>
      </c>
      <c r="AR40" s="979"/>
      <c r="AS40" s="324" t="str">
        <f>'Mã số nhân viên'!I31</f>
        <v>03482</v>
      </c>
      <c r="AT40" s="974">
        <f t="shared" si="3"/>
        <v>0</v>
      </c>
    </row>
    <row r="41" spans="1:46" ht="24.75" customHeight="1">
      <c r="A41" s="636">
        <v>29</v>
      </c>
      <c r="B41" s="636">
        <v>29</v>
      </c>
      <c r="C41" s="636" t="str">
        <f>VLOOKUP(D41,'Mã số nhân viên'!B31:I162,8,0)</f>
        <v>03482</v>
      </c>
      <c r="D41" s="1142" t="s">
        <v>158</v>
      </c>
      <c r="E41" s="636"/>
      <c r="F41" s="975" t="s">
        <v>50</v>
      </c>
      <c r="G41" s="975" t="s">
        <v>50</v>
      </c>
      <c r="H41" s="975" t="s">
        <v>50</v>
      </c>
      <c r="I41" s="975" t="s">
        <v>50</v>
      </c>
      <c r="J41" s="975" t="s">
        <v>50</v>
      </c>
      <c r="K41" s="975" t="s">
        <v>50</v>
      </c>
      <c r="L41" s="975" t="s">
        <v>110</v>
      </c>
      <c r="M41" s="975" t="s">
        <v>50</v>
      </c>
      <c r="N41" s="975" t="s">
        <v>50</v>
      </c>
      <c r="O41" s="975" t="s">
        <v>50</v>
      </c>
      <c r="P41" s="975" t="s">
        <v>50</v>
      </c>
      <c r="Q41" s="975" t="s">
        <v>50</v>
      </c>
      <c r="R41" s="975" t="s">
        <v>50</v>
      </c>
      <c r="S41" s="975" t="s">
        <v>811</v>
      </c>
      <c r="T41" s="975" t="s">
        <v>50</v>
      </c>
      <c r="U41" s="975" t="s">
        <v>50</v>
      </c>
      <c r="V41" s="975" t="s">
        <v>50</v>
      </c>
      <c r="W41" s="975" t="s">
        <v>50</v>
      </c>
      <c r="X41" s="975" t="s">
        <v>778</v>
      </c>
      <c r="Y41" s="975" t="s">
        <v>50</v>
      </c>
      <c r="Z41" s="975" t="s">
        <v>811</v>
      </c>
      <c r="AA41" s="975" t="s">
        <v>50</v>
      </c>
      <c r="AB41" s="975" t="s">
        <v>50</v>
      </c>
      <c r="AC41" s="975" t="s">
        <v>50</v>
      </c>
      <c r="AD41" s="975" t="s">
        <v>50</v>
      </c>
      <c r="AE41" s="975" t="s">
        <v>50</v>
      </c>
      <c r="AF41" s="975"/>
      <c r="AG41" s="975" t="s">
        <v>110</v>
      </c>
      <c r="AH41" s="975" t="s">
        <v>50</v>
      </c>
      <c r="AI41" s="975" t="s">
        <v>50</v>
      </c>
      <c r="AJ41" s="975"/>
      <c r="AK41" s="976">
        <f t="shared" si="4"/>
        <v>24</v>
      </c>
      <c r="AL41" s="977">
        <f t="shared" si="5"/>
        <v>2</v>
      </c>
      <c r="AM41" s="976">
        <f t="shared" si="6"/>
        <v>0</v>
      </c>
      <c r="AN41" s="976">
        <f t="shared" si="7"/>
        <v>2</v>
      </c>
      <c r="AO41" s="976">
        <f t="shared" si="8"/>
        <v>0</v>
      </c>
      <c r="AP41" s="977">
        <f t="shared" si="9"/>
        <v>0</v>
      </c>
      <c r="AQ41" s="978">
        <f t="shared" si="10"/>
        <v>28</v>
      </c>
      <c r="AR41" s="979"/>
      <c r="AS41" s="324" t="str">
        <f>'Mã số nhân viên'!I32</f>
        <v>03483</v>
      </c>
      <c r="AT41" s="974">
        <f t="shared" si="3"/>
        <v>0</v>
      </c>
    </row>
    <row r="42" spans="1:46" ht="24.75" customHeight="1">
      <c r="A42" s="636">
        <v>30</v>
      </c>
      <c r="B42" s="636">
        <v>30</v>
      </c>
      <c r="C42" s="636" t="str">
        <f>VLOOKUP(D42,'Mã số nhân viên'!B32:I163,8,0)</f>
        <v>03483</v>
      </c>
      <c r="D42" s="1144" t="s">
        <v>218</v>
      </c>
      <c r="E42" s="636"/>
      <c r="F42" s="975" t="s">
        <v>50</v>
      </c>
      <c r="G42" s="975" t="s">
        <v>50</v>
      </c>
      <c r="H42" s="975" t="s">
        <v>50</v>
      </c>
      <c r="I42" s="975" t="s">
        <v>50</v>
      </c>
      <c r="J42" s="975" t="s">
        <v>50</v>
      </c>
      <c r="K42" s="975" t="s">
        <v>50</v>
      </c>
      <c r="L42" s="975" t="s">
        <v>110</v>
      </c>
      <c r="M42" s="975" t="s">
        <v>50</v>
      </c>
      <c r="N42" s="975" t="s">
        <v>50</v>
      </c>
      <c r="O42" s="975" t="s">
        <v>50</v>
      </c>
      <c r="P42" s="975" t="s">
        <v>50</v>
      </c>
      <c r="Q42" s="975" t="s">
        <v>50</v>
      </c>
      <c r="R42" s="975" t="s">
        <v>50</v>
      </c>
      <c r="S42" s="975" t="s">
        <v>811</v>
      </c>
      <c r="T42" s="975" t="s">
        <v>50</v>
      </c>
      <c r="U42" s="975" t="s">
        <v>50</v>
      </c>
      <c r="V42" s="975" t="s">
        <v>50</v>
      </c>
      <c r="W42" s="975" t="s">
        <v>50</v>
      </c>
      <c r="X42" s="975" t="s">
        <v>50</v>
      </c>
      <c r="Y42" s="975" t="s">
        <v>50</v>
      </c>
      <c r="Z42" s="975" t="s">
        <v>811</v>
      </c>
      <c r="AA42" s="975" t="s">
        <v>50</v>
      </c>
      <c r="AB42" s="975" t="s">
        <v>50</v>
      </c>
      <c r="AC42" s="975" t="s">
        <v>50</v>
      </c>
      <c r="AD42" s="975" t="s">
        <v>50</v>
      </c>
      <c r="AE42" s="975" t="s">
        <v>50</v>
      </c>
      <c r="AF42" s="975"/>
      <c r="AG42" s="975" t="s">
        <v>110</v>
      </c>
      <c r="AH42" s="975" t="s">
        <v>50</v>
      </c>
      <c r="AI42" s="975" t="s">
        <v>50</v>
      </c>
      <c r="AJ42" s="975"/>
      <c r="AK42" s="976">
        <f t="shared" si="4"/>
        <v>25</v>
      </c>
      <c r="AL42" s="977">
        <f t="shared" si="5"/>
        <v>2</v>
      </c>
      <c r="AM42" s="976">
        <f t="shared" si="6"/>
        <v>0</v>
      </c>
      <c r="AN42" s="976">
        <f t="shared" si="7"/>
        <v>2</v>
      </c>
      <c r="AO42" s="976">
        <f t="shared" si="8"/>
        <v>0</v>
      </c>
      <c r="AP42" s="977">
        <f t="shared" si="9"/>
        <v>0</v>
      </c>
      <c r="AQ42" s="978">
        <f t="shared" si="10"/>
        <v>29</v>
      </c>
      <c r="AR42" s="979"/>
      <c r="AS42" s="324" t="str">
        <f>'Mã số nhân viên'!I33</f>
        <v>03484</v>
      </c>
      <c r="AT42" s="974">
        <f t="shared" si="3"/>
        <v>0</v>
      </c>
    </row>
    <row r="43" spans="1:46" ht="24.75" customHeight="1">
      <c r="A43" s="636">
        <v>31</v>
      </c>
      <c r="B43" s="636">
        <v>31</v>
      </c>
      <c r="C43" s="636" t="str">
        <f>VLOOKUP(D43,'Mã số nhân viên'!B33:I164,8,0)</f>
        <v>03484</v>
      </c>
      <c r="D43" s="1143" t="s">
        <v>209</v>
      </c>
      <c r="E43" s="636"/>
      <c r="F43" s="975" t="s">
        <v>50</v>
      </c>
      <c r="G43" s="975" t="s">
        <v>50</v>
      </c>
      <c r="H43" s="975" t="s">
        <v>50</v>
      </c>
      <c r="I43" s="975" t="s">
        <v>50</v>
      </c>
      <c r="J43" s="975" t="s">
        <v>50</v>
      </c>
      <c r="K43" s="975" t="s">
        <v>50</v>
      </c>
      <c r="L43" s="975" t="s">
        <v>110</v>
      </c>
      <c r="M43" s="975" t="s">
        <v>50</v>
      </c>
      <c r="N43" s="975" t="s">
        <v>50</v>
      </c>
      <c r="O43" s="975" t="s">
        <v>50</v>
      </c>
      <c r="P43" s="975" t="s">
        <v>50</v>
      </c>
      <c r="Q43" s="975" t="s">
        <v>50</v>
      </c>
      <c r="R43" s="975" t="s">
        <v>50</v>
      </c>
      <c r="S43" s="975" t="s">
        <v>811</v>
      </c>
      <c r="T43" s="975" t="s">
        <v>50</v>
      </c>
      <c r="U43" s="975" t="s">
        <v>50</v>
      </c>
      <c r="V43" s="975" t="s">
        <v>50</v>
      </c>
      <c r="W43" s="975" t="s">
        <v>50</v>
      </c>
      <c r="X43" s="975" t="s">
        <v>50</v>
      </c>
      <c r="Y43" s="975" t="s">
        <v>50</v>
      </c>
      <c r="Z43" s="975" t="s">
        <v>811</v>
      </c>
      <c r="AA43" s="975" t="s">
        <v>50</v>
      </c>
      <c r="AB43" s="975" t="s">
        <v>50</v>
      </c>
      <c r="AC43" s="975" t="s">
        <v>50</v>
      </c>
      <c r="AD43" s="975" t="s">
        <v>50</v>
      </c>
      <c r="AE43" s="975" t="s">
        <v>50</v>
      </c>
      <c r="AF43" s="975" t="s">
        <v>50</v>
      </c>
      <c r="AG43" s="975" t="s">
        <v>110</v>
      </c>
      <c r="AH43" s="975" t="s">
        <v>50</v>
      </c>
      <c r="AI43" s="975" t="s">
        <v>50</v>
      </c>
      <c r="AJ43" s="975"/>
      <c r="AK43" s="976">
        <f t="shared" si="4"/>
        <v>26</v>
      </c>
      <c r="AL43" s="977">
        <f t="shared" si="5"/>
        <v>2</v>
      </c>
      <c r="AM43" s="976">
        <f t="shared" si="6"/>
        <v>0</v>
      </c>
      <c r="AN43" s="976">
        <f t="shared" si="7"/>
        <v>2</v>
      </c>
      <c r="AO43" s="976">
        <f t="shared" si="8"/>
        <v>0</v>
      </c>
      <c r="AP43" s="977">
        <f t="shared" si="9"/>
        <v>0</v>
      </c>
      <c r="AQ43" s="978">
        <f t="shared" si="10"/>
        <v>30</v>
      </c>
      <c r="AR43" s="979"/>
      <c r="AS43" s="324" t="str">
        <f>'Mã số nhân viên'!I34</f>
        <v>03485</v>
      </c>
      <c r="AT43" s="974">
        <f t="shared" si="3"/>
        <v>0</v>
      </c>
    </row>
    <row r="44" spans="1:46" ht="24.75" customHeight="1">
      <c r="A44" s="636">
        <v>32</v>
      </c>
      <c r="B44" s="636">
        <v>32</v>
      </c>
      <c r="C44" s="636" t="str">
        <f>VLOOKUP(D44,'Mã số nhân viên'!B34:I165,8,0)</f>
        <v>03485</v>
      </c>
      <c r="D44" s="1143" t="s">
        <v>210</v>
      </c>
      <c r="E44" s="636"/>
      <c r="F44" s="975" t="s">
        <v>50</v>
      </c>
      <c r="G44" s="975" t="s">
        <v>50</v>
      </c>
      <c r="H44" s="975" t="s">
        <v>50</v>
      </c>
      <c r="I44" s="975" t="s">
        <v>50</v>
      </c>
      <c r="J44" s="975" t="s">
        <v>50</v>
      </c>
      <c r="K44" s="975" t="s">
        <v>50</v>
      </c>
      <c r="L44" s="975" t="s">
        <v>110</v>
      </c>
      <c r="M44" s="975" t="s">
        <v>50</v>
      </c>
      <c r="N44" s="975" t="s">
        <v>50</v>
      </c>
      <c r="O44" s="975" t="s">
        <v>50</v>
      </c>
      <c r="P44" s="975" t="s">
        <v>50</v>
      </c>
      <c r="Q44" s="975" t="s">
        <v>50</v>
      </c>
      <c r="R44" s="975" t="s">
        <v>50</v>
      </c>
      <c r="S44" s="975" t="s">
        <v>811</v>
      </c>
      <c r="T44" s="975" t="s">
        <v>50</v>
      </c>
      <c r="U44" s="975" t="s">
        <v>50</v>
      </c>
      <c r="V44" s="975" t="s">
        <v>50</v>
      </c>
      <c r="W44" s="975" t="s">
        <v>50</v>
      </c>
      <c r="X44" s="975" t="s">
        <v>50</v>
      </c>
      <c r="Y44" s="975" t="s">
        <v>50</v>
      </c>
      <c r="Z44" s="975" t="s">
        <v>811</v>
      </c>
      <c r="AA44" s="975" t="s">
        <v>50</v>
      </c>
      <c r="AB44" s="975" t="s">
        <v>50</v>
      </c>
      <c r="AC44" s="975" t="s">
        <v>50</v>
      </c>
      <c r="AD44" s="975" t="s">
        <v>50</v>
      </c>
      <c r="AE44" s="975" t="s">
        <v>50</v>
      </c>
      <c r="AF44" s="975" t="s">
        <v>50</v>
      </c>
      <c r="AG44" s="975" t="s">
        <v>110</v>
      </c>
      <c r="AH44" s="975" t="s">
        <v>50</v>
      </c>
      <c r="AI44" s="975" t="s">
        <v>50</v>
      </c>
      <c r="AJ44" s="975"/>
      <c r="AK44" s="976">
        <f t="shared" si="4"/>
        <v>26</v>
      </c>
      <c r="AL44" s="977">
        <f t="shared" si="5"/>
        <v>2</v>
      </c>
      <c r="AM44" s="976">
        <f t="shared" si="6"/>
        <v>0</v>
      </c>
      <c r="AN44" s="976">
        <f t="shared" si="7"/>
        <v>2</v>
      </c>
      <c r="AO44" s="976">
        <f t="shared" si="8"/>
        <v>0</v>
      </c>
      <c r="AP44" s="977">
        <f t="shared" si="9"/>
        <v>0</v>
      </c>
      <c r="AQ44" s="978">
        <f t="shared" si="10"/>
        <v>30</v>
      </c>
      <c r="AR44" s="979"/>
      <c r="AS44" s="324" t="str">
        <f>'Mã số nhân viên'!I35</f>
        <v>02712</v>
      </c>
      <c r="AT44" s="974">
        <f t="shared" ref="AT44:AT75" si="11">C45-AS44</f>
        <v>0</v>
      </c>
    </row>
    <row r="45" spans="1:46" ht="24.75" customHeight="1">
      <c r="A45" s="636">
        <v>33</v>
      </c>
      <c r="B45" s="636">
        <v>33</v>
      </c>
      <c r="C45" s="636" t="str">
        <f>VLOOKUP(D45,'Mã số nhân viên'!B35:I166,8,0)</f>
        <v>02712</v>
      </c>
      <c r="D45" s="1119" t="s">
        <v>189</v>
      </c>
      <c r="E45" s="636"/>
      <c r="F45" s="975" t="s">
        <v>50</v>
      </c>
      <c r="G45" s="975" t="s">
        <v>50</v>
      </c>
      <c r="H45" s="975" t="s">
        <v>50</v>
      </c>
      <c r="I45" s="975" t="s">
        <v>50</v>
      </c>
      <c r="J45" s="975" t="s">
        <v>50</v>
      </c>
      <c r="K45" s="975" t="s">
        <v>50</v>
      </c>
      <c r="L45" s="975" t="s">
        <v>110</v>
      </c>
      <c r="M45" s="975" t="s">
        <v>50</v>
      </c>
      <c r="N45" s="975" t="s">
        <v>50</v>
      </c>
      <c r="O45" s="975" t="s">
        <v>50</v>
      </c>
      <c r="P45" s="975" t="s">
        <v>50</v>
      </c>
      <c r="Q45" s="975" t="s">
        <v>50</v>
      </c>
      <c r="R45" s="975" t="s">
        <v>50</v>
      </c>
      <c r="S45" s="975" t="s">
        <v>811</v>
      </c>
      <c r="T45" s="975" t="s">
        <v>50</v>
      </c>
      <c r="U45" s="975" t="s">
        <v>50</v>
      </c>
      <c r="V45" s="975" t="s">
        <v>50</v>
      </c>
      <c r="W45" s="975" t="s">
        <v>50</v>
      </c>
      <c r="X45" s="975" t="s">
        <v>50</v>
      </c>
      <c r="Y45" s="975" t="s">
        <v>50</v>
      </c>
      <c r="Z45" s="975" t="s">
        <v>811</v>
      </c>
      <c r="AA45" s="975" t="s">
        <v>50</v>
      </c>
      <c r="AB45" s="975" t="s">
        <v>50</v>
      </c>
      <c r="AC45" s="975" t="s">
        <v>50</v>
      </c>
      <c r="AD45" s="975" t="s">
        <v>50</v>
      </c>
      <c r="AE45" s="975" t="s">
        <v>50</v>
      </c>
      <c r="AF45" s="975" t="s">
        <v>50</v>
      </c>
      <c r="AG45" s="975" t="s">
        <v>110</v>
      </c>
      <c r="AH45" s="975" t="s">
        <v>50</v>
      </c>
      <c r="AI45" s="975" t="s">
        <v>50</v>
      </c>
      <c r="AJ45" s="975"/>
      <c r="AK45" s="976">
        <f t="shared" si="4"/>
        <v>26</v>
      </c>
      <c r="AL45" s="977">
        <f t="shared" si="5"/>
        <v>2</v>
      </c>
      <c r="AM45" s="976">
        <f t="shared" si="6"/>
        <v>0</v>
      </c>
      <c r="AN45" s="976">
        <f t="shared" si="7"/>
        <v>2</v>
      </c>
      <c r="AO45" s="976">
        <f t="shared" si="8"/>
        <v>0</v>
      </c>
      <c r="AP45" s="977">
        <f t="shared" si="9"/>
        <v>0</v>
      </c>
      <c r="AQ45" s="978">
        <f t="shared" si="10"/>
        <v>30</v>
      </c>
      <c r="AR45" s="979"/>
      <c r="AS45" s="324" t="str">
        <f>'Mã số nhân viên'!I36</f>
        <v>02722</v>
      </c>
      <c r="AT45" s="974">
        <f t="shared" si="11"/>
        <v>-2722</v>
      </c>
    </row>
    <row r="46" spans="1:46" ht="24.75" customHeight="1">
      <c r="A46" s="636">
        <v>34</v>
      </c>
      <c r="B46" s="636">
        <v>34</v>
      </c>
      <c r="C46" s="636"/>
      <c r="D46" s="1146" t="s">
        <v>790</v>
      </c>
      <c r="E46" s="636"/>
      <c r="F46" s="975" t="s">
        <v>50</v>
      </c>
      <c r="G46" s="975" t="s">
        <v>50</v>
      </c>
      <c r="H46" s="975" t="s">
        <v>50</v>
      </c>
      <c r="I46" s="975" t="s">
        <v>50</v>
      </c>
      <c r="J46" s="975" t="s">
        <v>50</v>
      </c>
      <c r="K46" s="975" t="s">
        <v>50</v>
      </c>
      <c r="L46" s="975" t="s">
        <v>110</v>
      </c>
      <c r="M46" s="975" t="s">
        <v>50</v>
      </c>
      <c r="N46" s="975" t="s">
        <v>50</v>
      </c>
      <c r="O46" s="975" t="s">
        <v>50</v>
      </c>
      <c r="P46" s="975" t="s">
        <v>50</v>
      </c>
      <c r="Q46" s="975" t="s">
        <v>50</v>
      </c>
      <c r="R46" s="975" t="s">
        <v>50</v>
      </c>
      <c r="S46" s="975" t="s">
        <v>811</v>
      </c>
      <c r="T46" s="975" t="s">
        <v>50</v>
      </c>
      <c r="U46" s="975" t="s">
        <v>50</v>
      </c>
      <c r="V46" s="975" t="s">
        <v>50</v>
      </c>
      <c r="W46" s="975" t="s">
        <v>50</v>
      </c>
      <c r="X46" s="975" t="s">
        <v>50</v>
      </c>
      <c r="Y46" s="975" t="s">
        <v>50</v>
      </c>
      <c r="Z46" s="975" t="s">
        <v>811</v>
      </c>
      <c r="AA46" s="975" t="s">
        <v>50</v>
      </c>
      <c r="AB46" s="975" t="s">
        <v>50</v>
      </c>
      <c r="AC46" s="975" t="s">
        <v>50</v>
      </c>
      <c r="AD46" s="975" t="s">
        <v>50</v>
      </c>
      <c r="AE46" s="975" t="s">
        <v>50</v>
      </c>
      <c r="AF46" s="975" t="s">
        <v>50</v>
      </c>
      <c r="AG46" s="975" t="s">
        <v>110</v>
      </c>
      <c r="AH46" s="975" t="s">
        <v>50</v>
      </c>
      <c r="AI46" s="975" t="s">
        <v>50</v>
      </c>
      <c r="AJ46" s="975"/>
      <c r="AK46" s="976">
        <f t="shared" si="4"/>
        <v>26</v>
      </c>
      <c r="AL46" s="977">
        <f t="shared" si="5"/>
        <v>2</v>
      </c>
      <c r="AM46" s="976">
        <f t="shared" si="6"/>
        <v>0</v>
      </c>
      <c r="AN46" s="976">
        <f t="shared" si="7"/>
        <v>2</v>
      </c>
      <c r="AO46" s="976">
        <f t="shared" si="8"/>
        <v>0</v>
      </c>
      <c r="AP46" s="977">
        <f t="shared" si="9"/>
        <v>0</v>
      </c>
      <c r="AQ46" s="978">
        <f t="shared" si="10"/>
        <v>30</v>
      </c>
      <c r="AR46" s="979"/>
      <c r="AS46" s="324" t="str">
        <f>'Mã số nhân viên'!I37</f>
        <v>02714</v>
      </c>
      <c r="AT46" s="974">
        <f t="shared" si="11"/>
        <v>0</v>
      </c>
    </row>
    <row r="47" spans="1:46" ht="24.75" customHeight="1">
      <c r="A47" s="636">
        <v>35</v>
      </c>
      <c r="B47" s="636">
        <v>35</v>
      </c>
      <c r="C47" s="636" t="str">
        <f>VLOOKUP(D47,'Mã số nhân viên'!B37:I168,8,0)</f>
        <v>02714</v>
      </c>
      <c r="D47" s="1142" t="s">
        <v>190</v>
      </c>
      <c r="E47" s="636"/>
      <c r="F47" s="975" t="s">
        <v>50</v>
      </c>
      <c r="G47" s="975" t="s">
        <v>50</v>
      </c>
      <c r="H47" s="975" t="s">
        <v>50</v>
      </c>
      <c r="I47" s="975" t="s">
        <v>50</v>
      </c>
      <c r="J47" s="975" t="s">
        <v>50</v>
      </c>
      <c r="K47" s="975" t="s">
        <v>50</v>
      </c>
      <c r="L47" s="975" t="s">
        <v>110</v>
      </c>
      <c r="M47" s="975" t="s">
        <v>50</v>
      </c>
      <c r="N47" s="975" t="s">
        <v>50</v>
      </c>
      <c r="O47" s="975" t="s">
        <v>50</v>
      </c>
      <c r="P47" s="975" t="s">
        <v>50</v>
      </c>
      <c r="Q47" s="975" t="s">
        <v>50</v>
      </c>
      <c r="R47" s="975" t="s">
        <v>50</v>
      </c>
      <c r="S47" s="975" t="s">
        <v>811</v>
      </c>
      <c r="T47" s="975" t="s">
        <v>50</v>
      </c>
      <c r="U47" s="975" t="s">
        <v>50</v>
      </c>
      <c r="V47" s="975" t="s">
        <v>50</v>
      </c>
      <c r="W47" s="975" t="s">
        <v>50</v>
      </c>
      <c r="X47" s="975" t="s">
        <v>50</v>
      </c>
      <c r="Y47" s="975" t="s">
        <v>50</v>
      </c>
      <c r="Z47" s="975" t="s">
        <v>811</v>
      </c>
      <c r="AA47" s="975" t="s">
        <v>50</v>
      </c>
      <c r="AB47" s="975" t="s">
        <v>50</v>
      </c>
      <c r="AC47" s="975" t="s">
        <v>50</v>
      </c>
      <c r="AD47" s="975" t="s">
        <v>50</v>
      </c>
      <c r="AE47" s="975"/>
      <c r="AF47" s="975" t="s">
        <v>50</v>
      </c>
      <c r="AG47" s="975" t="s">
        <v>110</v>
      </c>
      <c r="AH47" s="975" t="s">
        <v>50</v>
      </c>
      <c r="AI47" s="975" t="s">
        <v>50</v>
      </c>
      <c r="AJ47" s="975"/>
      <c r="AK47" s="976">
        <f t="shared" si="4"/>
        <v>25</v>
      </c>
      <c r="AL47" s="977">
        <f t="shared" si="5"/>
        <v>2</v>
      </c>
      <c r="AM47" s="976">
        <f t="shared" si="6"/>
        <v>0</v>
      </c>
      <c r="AN47" s="976">
        <f t="shared" si="7"/>
        <v>2</v>
      </c>
      <c r="AO47" s="976">
        <f t="shared" si="8"/>
        <v>0</v>
      </c>
      <c r="AP47" s="977">
        <f t="shared" si="9"/>
        <v>0</v>
      </c>
      <c r="AQ47" s="978">
        <f t="shared" si="10"/>
        <v>29</v>
      </c>
      <c r="AR47" s="979"/>
      <c r="AS47" s="324" t="str">
        <f>'Mã số nhân viên'!I38</f>
        <v>02713</v>
      </c>
      <c r="AT47" s="974">
        <f t="shared" si="11"/>
        <v>0</v>
      </c>
    </row>
    <row r="48" spans="1:46" ht="24.75" customHeight="1">
      <c r="A48" s="636">
        <v>36</v>
      </c>
      <c r="B48" s="636">
        <v>36</v>
      </c>
      <c r="C48" s="636" t="str">
        <f>VLOOKUP(D48,'Mã số nhân viên'!B38:I169,8,0)</f>
        <v>02713</v>
      </c>
      <c r="D48" s="1143" t="s">
        <v>191</v>
      </c>
      <c r="E48" s="636"/>
      <c r="F48" s="975" t="s">
        <v>50</v>
      </c>
      <c r="G48" s="975" t="s">
        <v>50</v>
      </c>
      <c r="H48" s="975" t="s">
        <v>50</v>
      </c>
      <c r="I48" s="975" t="s">
        <v>50</v>
      </c>
      <c r="J48" s="975" t="s">
        <v>50</v>
      </c>
      <c r="K48" s="975" t="s">
        <v>50</v>
      </c>
      <c r="L48" s="975" t="s">
        <v>110</v>
      </c>
      <c r="M48" s="975" t="s">
        <v>50</v>
      </c>
      <c r="N48" s="975" t="s">
        <v>50</v>
      </c>
      <c r="O48" s="975" t="s">
        <v>50</v>
      </c>
      <c r="P48" s="975" t="s">
        <v>50</v>
      </c>
      <c r="Q48" s="975" t="s">
        <v>50</v>
      </c>
      <c r="R48" s="975" t="s">
        <v>50</v>
      </c>
      <c r="S48" s="975" t="s">
        <v>811</v>
      </c>
      <c r="T48" s="975" t="s">
        <v>50</v>
      </c>
      <c r="U48" s="975" t="s">
        <v>50</v>
      </c>
      <c r="V48" s="975" t="s">
        <v>50</v>
      </c>
      <c r="W48" s="975" t="s">
        <v>50</v>
      </c>
      <c r="X48" s="975" t="s">
        <v>50</v>
      </c>
      <c r="Y48" s="975" t="s">
        <v>50</v>
      </c>
      <c r="Z48" s="975" t="s">
        <v>811</v>
      </c>
      <c r="AA48" s="975" t="s">
        <v>50</v>
      </c>
      <c r="AB48" s="975" t="s">
        <v>50</v>
      </c>
      <c r="AC48" s="975" t="s">
        <v>50</v>
      </c>
      <c r="AD48" s="975" t="s">
        <v>50</v>
      </c>
      <c r="AE48" s="975"/>
      <c r="AF48" s="975" t="s">
        <v>50</v>
      </c>
      <c r="AG48" s="975" t="s">
        <v>110</v>
      </c>
      <c r="AH48" s="975" t="s">
        <v>50</v>
      </c>
      <c r="AI48" s="975" t="s">
        <v>50</v>
      </c>
      <c r="AJ48" s="975"/>
      <c r="AK48" s="976">
        <f t="shared" si="4"/>
        <v>25</v>
      </c>
      <c r="AL48" s="977">
        <f t="shared" si="5"/>
        <v>2</v>
      </c>
      <c r="AM48" s="976">
        <f t="shared" si="6"/>
        <v>0</v>
      </c>
      <c r="AN48" s="976">
        <f t="shared" si="7"/>
        <v>2</v>
      </c>
      <c r="AO48" s="976">
        <f t="shared" si="8"/>
        <v>0</v>
      </c>
      <c r="AP48" s="977">
        <f t="shared" si="9"/>
        <v>0</v>
      </c>
      <c r="AQ48" s="978">
        <f t="shared" si="10"/>
        <v>29</v>
      </c>
      <c r="AR48" s="979"/>
      <c r="AS48" s="324" t="str">
        <f>'Mã số nhân viên'!I39</f>
        <v>04058</v>
      </c>
      <c r="AT48" s="974">
        <f t="shared" si="11"/>
        <v>0</v>
      </c>
    </row>
    <row r="49" spans="1:46" ht="24.75" customHeight="1">
      <c r="A49" s="636">
        <v>37</v>
      </c>
      <c r="B49" s="636">
        <v>37</v>
      </c>
      <c r="C49" s="636" t="str">
        <f>VLOOKUP(D49,'Mã số nhân viên'!B39:I170,8,0)</f>
        <v>04058</v>
      </c>
      <c r="D49" s="1142" t="s">
        <v>536</v>
      </c>
      <c r="E49" s="636"/>
      <c r="F49" s="975" t="s">
        <v>50</v>
      </c>
      <c r="G49" s="975" t="s">
        <v>50</v>
      </c>
      <c r="H49" s="975" t="s">
        <v>50</v>
      </c>
      <c r="I49" s="975" t="s">
        <v>50</v>
      </c>
      <c r="J49" s="975" t="s">
        <v>50</v>
      </c>
      <c r="K49" s="975" t="s">
        <v>50</v>
      </c>
      <c r="L49" s="975" t="s">
        <v>110</v>
      </c>
      <c r="M49" s="975" t="s">
        <v>50</v>
      </c>
      <c r="N49" s="975" t="s">
        <v>50</v>
      </c>
      <c r="O49" s="975" t="s">
        <v>50</v>
      </c>
      <c r="P49" s="975" t="s">
        <v>50</v>
      </c>
      <c r="Q49" s="975" t="s">
        <v>50</v>
      </c>
      <c r="R49" s="975" t="s">
        <v>50</v>
      </c>
      <c r="S49" s="975" t="s">
        <v>811</v>
      </c>
      <c r="T49" s="975" t="s">
        <v>50</v>
      </c>
      <c r="U49" s="975" t="s">
        <v>50</v>
      </c>
      <c r="V49" s="975" t="s">
        <v>50</v>
      </c>
      <c r="W49" s="975" t="s">
        <v>50</v>
      </c>
      <c r="X49" s="975" t="s">
        <v>50</v>
      </c>
      <c r="Y49" s="975" t="s">
        <v>50</v>
      </c>
      <c r="Z49" s="975" t="s">
        <v>811</v>
      </c>
      <c r="AA49" s="975" t="s">
        <v>50</v>
      </c>
      <c r="AB49" s="975" t="s">
        <v>50</v>
      </c>
      <c r="AC49" s="975" t="s">
        <v>50</v>
      </c>
      <c r="AD49" s="975" t="s">
        <v>50</v>
      </c>
      <c r="AE49" s="975" t="s">
        <v>50</v>
      </c>
      <c r="AF49" s="975" t="s">
        <v>50</v>
      </c>
      <c r="AG49" s="975" t="s">
        <v>110</v>
      </c>
      <c r="AH49" s="975" t="s">
        <v>50</v>
      </c>
      <c r="AI49" s="975" t="s">
        <v>50</v>
      </c>
      <c r="AJ49" s="975"/>
      <c r="AK49" s="976">
        <f t="shared" si="4"/>
        <v>26</v>
      </c>
      <c r="AL49" s="977">
        <f t="shared" si="5"/>
        <v>2</v>
      </c>
      <c r="AM49" s="976">
        <f t="shared" si="6"/>
        <v>0</v>
      </c>
      <c r="AN49" s="976">
        <f t="shared" si="7"/>
        <v>2</v>
      </c>
      <c r="AO49" s="976">
        <f t="shared" si="8"/>
        <v>0</v>
      </c>
      <c r="AP49" s="977">
        <f t="shared" si="9"/>
        <v>0</v>
      </c>
      <c r="AQ49" s="978">
        <f t="shared" si="10"/>
        <v>30</v>
      </c>
      <c r="AR49" s="979"/>
      <c r="AS49" s="324" t="str">
        <f>'Mã số nhân viên'!I40</f>
        <v>03487</v>
      </c>
      <c r="AT49" s="974">
        <f t="shared" si="11"/>
        <v>0</v>
      </c>
    </row>
    <row r="50" spans="1:46" ht="24.75" customHeight="1">
      <c r="A50" s="636">
        <v>38</v>
      </c>
      <c r="B50" s="636">
        <v>38</v>
      </c>
      <c r="C50" s="636" t="str">
        <f>VLOOKUP(D50,'Mã số nhân viên'!B40:I171,8,0)</f>
        <v>03487</v>
      </c>
      <c r="D50" s="1144" t="s">
        <v>233</v>
      </c>
      <c r="E50" s="636"/>
      <c r="F50" s="975" t="s">
        <v>50</v>
      </c>
      <c r="G50" s="975" t="s">
        <v>50</v>
      </c>
      <c r="H50" s="975" t="s">
        <v>50</v>
      </c>
      <c r="I50" s="975" t="s">
        <v>50</v>
      </c>
      <c r="J50" s="975" t="s">
        <v>50</v>
      </c>
      <c r="K50" s="975" t="s">
        <v>50</v>
      </c>
      <c r="L50" s="975" t="s">
        <v>110</v>
      </c>
      <c r="M50" s="975" t="s">
        <v>50</v>
      </c>
      <c r="N50" s="975" t="s">
        <v>50</v>
      </c>
      <c r="O50" s="975" t="s">
        <v>50</v>
      </c>
      <c r="P50" s="975" t="s">
        <v>50</v>
      </c>
      <c r="Q50" s="975" t="s">
        <v>50</v>
      </c>
      <c r="R50" s="975" t="s">
        <v>50</v>
      </c>
      <c r="S50" s="975" t="s">
        <v>811</v>
      </c>
      <c r="T50" s="975" t="s">
        <v>50</v>
      </c>
      <c r="U50" s="975" t="s">
        <v>50</v>
      </c>
      <c r="V50" s="975" t="s">
        <v>50</v>
      </c>
      <c r="W50" s="975" t="s">
        <v>50</v>
      </c>
      <c r="X50" s="975" t="s">
        <v>50</v>
      </c>
      <c r="Y50" s="975" t="s">
        <v>50</v>
      </c>
      <c r="Z50" s="975" t="s">
        <v>811</v>
      </c>
      <c r="AA50" s="975" t="s">
        <v>50</v>
      </c>
      <c r="AB50" s="975" t="s">
        <v>50</v>
      </c>
      <c r="AC50" s="975" t="s">
        <v>50</v>
      </c>
      <c r="AD50" s="975"/>
      <c r="AE50" s="975" t="s">
        <v>50</v>
      </c>
      <c r="AF50" s="975"/>
      <c r="AG50" s="975" t="s">
        <v>110</v>
      </c>
      <c r="AH50" s="975" t="s">
        <v>50</v>
      </c>
      <c r="AI50" s="975" t="s">
        <v>50</v>
      </c>
      <c r="AJ50" s="975"/>
      <c r="AK50" s="976">
        <f t="shared" si="4"/>
        <v>24</v>
      </c>
      <c r="AL50" s="977">
        <f t="shared" si="5"/>
        <v>2</v>
      </c>
      <c r="AM50" s="976">
        <f t="shared" si="6"/>
        <v>0</v>
      </c>
      <c r="AN50" s="976">
        <f t="shared" si="7"/>
        <v>2</v>
      </c>
      <c r="AO50" s="976">
        <f t="shared" si="8"/>
        <v>0</v>
      </c>
      <c r="AP50" s="977">
        <f t="shared" si="9"/>
        <v>0</v>
      </c>
      <c r="AQ50" s="978">
        <f t="shared" si="10"/>
        <v>28</v>
      </c>
      <c r="AR50" s="979"/>
      <c r="AS50" s="324" t="str">
        <f>'Mã số nhân viên'!I41</f>
        <v>03488</v>
      </c>
      <c r="AT50" s="974">
        <f t="shared" si="11"/>
        <v>0</v>
      </c>
    </row>
    <row r="51" spans="1:46" ht="24.75" customHeight="1">
      <c r="A51" s="636">
        <v>39</v>
      </c>
      <c r="B51" s="636">
        <v>39</v>
      </c>
      <c r="C51" s="636" t="str">
        <f>VLOOKUP(D51,'Mã số nhân viên'!B41:I172,8,0)</f>
        <v>03488</v>
      </c>
      <c r="D51" s="1142" t="s">
        <v>211</v>
      </c>
      <c r="E51" s="636"/>
      <c r="F51" s="975" t="s">
        <v>50</v>
      </c>
      <c r="G51" s="975" t="s">
        <v>50</v>
      </c>
      <c r="H51" s="975" t="s">
        <v>50</v>
      </c>
      <c r="I51" s="975" t="s">
        <v>50</v>
      </c>
      <c r="J51" s="975" t="s">
        <v>50</v>
      </c>
      <c r="K51" s="975" t="s">
        <v>50</v>
      </c>
      <c r="L51" s="975" t="s">
        <v>110</v>
      </c>
      <c r="M51" s="975" t="s">
        <v>50</v>
      </c>
      <c r="N51" s="975" t="s">
        <v>50</v>
      </c>
      <c r="O51" s="975" t="s">
        <v>50</v>
      </c>
      <c r="P51" s="975" t="s">
        <v>50</v>
      </c>
      <c r="Q51" s="975" t="s">
        <v>50</v>
      </c>
      <c r="R51" s="975" t="s">
        <v>50</v>
      </c>
      <c r="S51" s="975" t="s">
        <v>811</v>
      </c>
      <c r="T51" s="975" t="s">
        <v>778</v>
      </c>
      <c r="U51" s="975" t="s">
        <v>50</v>
      </c>
      <c r="V51" s="975" t="s">
        <v>50</v>
      </c>
      <c r="W51" s="975" t="s">
        <v>50</v>
      </c>
      <c r="X51" s="975" t="s">
        <v>50</v>
      </c>
      <c r="Y51" s="975" t="s">
        <v>50</v>
      </c>
      <c r="Z51" s="975" t="s">
        <v>811</v>
      </c>
      <c r="AA51" s="975" t="s">
        <v>50</v>
      </c>
      <c r="AB51" s="975" t="s">
        <v>50</v>
      </c>
      <c r="AC51" s="975" t="s">
        <v>50</v>
      </c>
      <c r="AD51" s="975" t="s">
        <v>50</v>
      </c>
      <c r="AE51" s="975" t="s">
        <v>50</v>
      </c>
      <c r="AF51" s="975" t="s">
        <v>50</v>
      </c>
      <c r="AG51" s="975" t="s">
        <v>110</v>
      </c>
      <c r="AH51" s="975" t="s">
        <v>50</v>
      </c>
      <c r="AI51" s="975" t="s">
        <v>50</v>
      </c>
      <c r="AJ51" s="975"/>
      <c r="AK51" s="976">
        <f t="shared" si="4"/>
        <v>25</v>
      </c>
      <c r="AL51" s="977">
        <f t="shared" si="5"/>
        <v>2</v>
      </c>
      <c r="AM51" s="976">
        <f t="shared" si="6"/>
        <v>0</v>
      </c>
      <c r="AN51" s="976">
        <f t="shared" si="7"/>
        <v>2</v>
      </c>
      <c r="AO51" s="976">
        <f t="shared" si="8"/>
        <v>0</v>
      </c>
      <c r="AP51" s="977">
        <f t="shared" si="9"/>
        <v>0</v>
      </c>
      <c r="AQ51" s="978">
        <f t="shared" si="10"/>
        <v>29</v>
      </c>
      <c r="AR51" s="979"/>
      <c r="AS51" s="324" t="str">
        <f>'Mã số nhân viên'!I42</f>
        <v>03489</v>
      </c>
      <c r="AT51" s="974">
        <f t="shared" si="11"/>
        <v>0</v>
      </c>
    </row>
    <row r="52" spans="1:46" ht="24.75" customHeight="1">
      <c r="A52" s="636">
        <v>40</v>
      </c>
      <c r="B52" s="636">
        <v>40</v>
      </c>
      <c r="C52" s="636" t="str">
        <f>VLOOKUP(D52,'Mã số nhân viên'!B42:I173,8,0)</f>
        <v>03489</v>
      </c>
      <c r="D52" s="1143" t="s">
        <v>219</v>
      </c>
      <c r="E52" s="636"/>
      <c r="F52" s="975" t="s">
        <v>50</v>
      </c>
      <c r="G52" s="975" t="s">
        <v>50</v>
      </c>
      <c r="H52" s="975" t="s">
        <v>50</v>
      </c>
      <c r="I52" s="975" t="s">
        <v>50</v>
      </c>
      <c r="J52" s="975" t="s">
        <v>50</v>
      </c>
      <c r="K52" s="975" t="s">
        <v>50</v>
      </c>
      <c r="L52" s="975" t="s">
        <v>110</v>
      </c>
      <c r="M52" s="975" t="s">
        <v>50</v>
      </c>
      <c r="N52" s="975" t="s">
        <v>50</v>
      </c>
      <c r="O52" s="975" t="s">
        <v>50</v>
      </c>
      <c r="P52" s="975" t="s">
        <v>50</v>
      </c>
      <c r="Q52" s="975" t="s">
        <v>50</v>
      </c>
      <c r="R52" s="975" t="s">
        <v>50</v>
      </c>
      <c r="S52" s="975" t="s">
        <v>811</v>
      </c>
      <c r="T52" s="975" t="s">
        <v>50</v>
      </c>
      <c r="U52" s="975" t="s">
        <v>50</v>
      </c>
      <c r="V52" s="975" t="s">
        <v>50</v>
      </c>
      <c r="W52" s="975" t="s">
        <v>50</v>
      </c>
      <c r="X52" s="975" t="s">
        <v>50</v>
      </c>
      <c r="Y52" s="975" t="s">
        <v>50</v>
      </c>
      <c r="Z52" s="975" t="s">
        <v>811</v>
      </c>
      <c r="AA52" s="975" t="s">
        <v>50</v>
      </c>
      <c r="AB52" s="975" t="s">
        <v>50</v>
      </c>
      <c r="AC52" s="975" t="s">
        <v>50</v>
      </c>
      <c r="AD52" s="975"/>
      <c r="AE52" s="975" t="s">
        <v>50</v>
      </c>
      <c r="AF52" s="975"/>
      <c r="AG52" s="975" t="s">
        <v>110</v>
      </c>
      <c r="AH52" s="975" t="s">
        <v>50</v>
      </c>
      <c r="AI52" s="975" t="s">
        <v>50</v>
      </c>
      <c r="AJ52" s="975"/>
      <c r="AK52" s="976">
        <f t="shared" si="4"/>
        <v>24</v>
      </c>
      <c r="AL52" s="977">
        <f t="shared" si="5"/>
        <v>2</v>
      </c>
      <c r="AM52" s="976">
        <f t="shared" si="6"/>
        <v>0</v>
      </c>
      <c r="AN52" s="976">
        <f t="shared" si="7"/>
        <v>2</v>
      </c>
      <c r="AO52" s="976">
        <f t="shared" si="8"/>
        <v>0</v>
      </c>
      <c r="AP52" s="977">
        <f t="shared" si="9"/>
        <v>0</v>
      </c>
      <c r="AQ52" s="978">
        <f t="shared" si="10"/>
        <v>28</v>
      </c>
      <c r="AR52" s="979"/>
      <c r="AS52" s="324" t="str">
        <f>'Mã số nhân viên'!I43</f>
        <v>04059</v>
      </c>
      <c r="AT52" s="974">
        <f t="shared" si="11"/>
        <v>0</v>
      </c>
    </row>
    <row r="53" spans="1:46" ht="24.75" customHeight="1">
      <c r="A53" s="636">
        <v>41</v>
      </c>
      <c r="B53" s="636">
        <v>41</v>
      </c>
      <c r="C53" s="636" t="str">
        <f>VLOOKUP(D53,'Mã số nhân viên'!B43:I174,8,0)</f>
        <v>04059</v>
      </c>
      <c r="D53" s="1143" t="s">
        <v>446</v>
      </c>
      <c r="E53" s="636"/>
      <c r="F53" s="975" t="s">
        <v>50</v>
      </c>
      <c r="G53" s="975" t="s">
        <v>50</v>
      </c>
      <c r="H53" s="975" t="s">
        <v>50</v>
      </c>
      <c r="I53" s="975" t="s">
        <v>50</v>
      </c>
      <c r="J53" s="975" t="s">
        <v>50</v>
      </c>
      <c r="K53" s="975" t="s">
        <v>50</v>
      </c>
      <c r="L53" s="975" t="s">
        <v>110</v>
      </c>
      <c r="M53" s="975" t="s">
        <v>50</v>
      </c>
      <c r="N53" s="975" t="s">
        <v>50</v>
      </c>
      <c r="O53" s="975" t="s">
        <v>50</v>
      </c>
      <c r="P53" s="975" t="s">
        <v>50</v>
      </c>
      <c r="Q53" s="975" t="s">
        <v>50</v>
      </c>
      <c r="R53" s="975" t="s">
        <v>50</v>
      </c>
      <c r="S53" s="975" t="s">
        <v>811</v>
      </c>
      <c r="T53" s="975" t="s">
        <v>50</v>
      </c>
      <c r="U53" s="975" t="s">
        <v>50</v>
      </c>
      <c r="V53" s="975" t="s">
        <v>50</v>
      </c>
      <c r="W53" s="975" t="s">
        <v>50</v>
      </c>
      <c r="X53" s="975" t="s">
        <v>50</v>
      </c>
      <c r="Y53" s="975" t="s">
        <v>50</v>
      </c>
      <c r="Z53" s="975" t="s">
        <v>811</v>
      </c>
      <c r="AA53" s="975" t="s">
        <v>50</v>
      </c>
      <c r="AB53" s="975" t="s">
        <v>50</v>
      </c>
      <c r="AC53" s="975" t="s">
        <v>50</v>
      </c>
      <c r="AD53" s="975" t="s">
        <v>50</v>
      </c>
      <c r="AE53" s="975" t="s">
        <v>50</v>
      </c>
      <c r="AF53" s="975" t="s">
        <v>50</v>
      </c>
      <c r="AG53" s="975" t="s">
        <v>110</v>
      </c>
      <c r="AH53" s="975" t="s">
        <v>50</v>
      </c>
      <c r="AI53" s="975" t="s">
        <v>50</v>
      </c>
      <c r="AJ53" s="975"/>
      <c r="AK53" s="976">
        <f t="shared" si="4"/>
        <v>26</v>
      </c>
      <c r="AL53" s="977">
        <f t="shared" si="5"/>
        <v>2</v>
      </c>
      <c r="AM53" s="976">
        <f t="shared" si="6"/>
        <v>0</v>
      </c>
      <c r="AN53" s="976">
        <f t="shared" si="7"/>
        <v>2</v>
      </c>
      <c r="AO53" s="976">
        <f t="shared" si="8"/>
        <v>0</v>
      </c>
      <c r="AP53" s="977">
        <f t="shared" si="9"/>
        <v>0</v>
      </c>
      <c r="AQ53" s="978">
        <f t="shared" si="10"/>
        <v>30</v>
      </c>
      <c r="AR53" s="979"/>
      <c r="AS53" s="324" t="str">
        <f>'Mã số nhân viên'!I44</f>
        <v>03491</v>
      </c>
      <c r="AT53" s="974">
        <f t="shared" si="11"/>
        <v>0</v>
      </c>
    </row>
    <row r="54" spans="1:46" ht="24.75" customHeight="1">
      <c r="A54" s="636">
        <v>42</v>
      </c>
      <c r="B54" s="636">
        <v>42</v>
      </c>
      <c r="C54" s="636" t="str">
        <f>VLOOKUP(D54,'Mã số nhân viên'!B44:I175,8,0)</f>
        <v>03491</v>
      </c>
      <c r="D54" s="1118" t="s">
        <v>202</v>
      </c>
      <c r="E54" s="636"/>
      <c r="F54" s="975" t="s">
        <v>50</v>
      </c>
      <c r="G54" s="975" t="s">
        <v>50</v>
      </c>
      <c r="H54" s="975" t="s">
        <v>50</v>
      </c>
      <c r="I54" s="975" t="s">
        <v>50</v>
      </c>
      <c r="J54" s="975" t="s">
        <v>50</v>
      </c>
      <c r="K54" s="975" t="s">
        <v>50</v>
      </c>
      <c r="L54" s="975" t="s">
        <v>110</v>
      </c>
      <c r="M54" s="975" t="s">
        <v>50</v>
      </c>
      <c r="N54" s="975" t="s">
        <v>50</v>
      </c>
      <c r="O54" s="975" t="s">
        <v>50</v>
      </c>
      <c r="P54" s="975" t="s">
        <v>50</v>
      </c>
      <c r="Q54" s="975" t="s">
        <v>50</v>
      </c>
      <c r="R54" s="975" t="s">
        <v>50</v>
      </c>
      <c r="S54" s="975" t="s">
        <v>811</v>
      </c>
      <c r="T54" s="975" t="s">
        <v>778</v>
      </c>
      <c r="U54" s="975" t="s">
        <v>50</v>
      </c>
      <c r="V54" s="975" t="s">
        <v>50</v>
      </c>
      <c r="W54" s="975" t="s">
        <v>50</v>
      </c>
      <c r="X54" s="975" t="s">
        <v>50</v>
      </c>
      <c r="Y54" s="975" t="s">
        <v>50</v>
      </c>
      <c r="Z54" s="975" t="s">
        <v>811</v>
      </c>
      <c r="AA54" s="975" t="s">
        <v>50</v>
      </c>
      <c r="AB54" s="975" t="s">
        <v>50</v>
      </c>
      <c r="AC54" s="975" t="s">
        <v>50</v>
      </c>
      <c r="AD54" s="975" t="s">
        <v>50</v>
      </c>
      <c r="AE54" s="975" t="s">
        <v>50</v>
      </c>
      <c r="AF54" s="975" t="s">
        <v>50</v>
      </c>
      <c r="AG54" s="975" t="s">
        <v>110</v>
      </c>
      <c r="AH54" s="975" t="s">
        <v>50</v>
      </c>
      <c r="AI54" s="975" t="s">
        <v>50</v>
      </c>
      <c r="AJ54" s="975"/>
      <c r="AK54" s="976">
        <f t="shared" si="4"/>
        <v>25</v>
      </c>
      <c r="AL54" s="977">
        <f t="shared" si="5"/>
        <v>2</v>
      </c>
      <c r="AM54" s="976">
        <f t="shared" si="6"/>
        <v>0</v>
      </c>
      <c r="AN54" s="976">
        <f t="shared" si="7"/>
        <v>2</v>
      </c>
      <c r="AO54" s="976">
        <f t="shared" si="8"/>
        <v>0</v>
      </c>
      <c r="AP54" s="977">
        <f t="shared" si="9"/>
        <v>0</v>
      </c>
      <c r="AQ54" s="978">
        <f t="shared" si="10"/>
        <v>29</v>
      </c>
      <c r="AR54" s="979"/>
      <c r="AS54" s="324" t="str">
        <f>'Mã số nhân viên'!I45</f>
        <v>04060</v>
      </c>
      <c r="AT54" s="974">
        <f t="shared" si="11"/>
        <v>0</v>
      </c>
    </row>
    <row r="55" spans="1:46" ht="24.75" customHeight="1">
      <c r="A55" s="636">
        <v>43</v>
      </c>
      <c r="B55" s="636">
        <v>43</v>
      </c>
      <c r="C55" s="636" t="str">
        <f>VLOOKUP(D55,'Mã số nhân viên'!B45:I176,8,0)</f>
        <v>04060</v>
      </c>
      <c r="D55" s="1143" t="s">
        <v>517</v>
      </c>
      <c r="E55" s="636"/>
      <c r="F55" s="975" t="s">
        <v>50</v>
      </c>
      <c r="G55" s="975" t="s">
        <v>50</v>
      </c>
      <c r="H55" s="975" t="s">
        <v>50</v>
      </c>
      <c r="I55" s="975" t="s">
        <v>50</v>
      </c>
      <c r="J55" s="975" t="s">
        <v>50</v>
      </c>
      <c r="K55" s="975" t="s">
        <v>50</v>
      </c>
      <c r="L55" s="975" t="s">
        <v>110</v>
      </c>
      <c r="M55" s="975" t="s">
        <v>50</v>
      </c>
      <c r="N55" s="975" t="s">
        <v>50</v>
      </c>
      <c r="O55" s="975" t="s">
        <v>50</v>
      </c>
      <c r="P55" s="975" t="s">
        <v>50</v>
      </c>
      <c r="Q55" s="975" t="s">
        <v>50</v>
      </c>
      <c r="R55" s="975" t="s">
        <v>50</v>
      </c>
      <c r="S55" s="975" t="s">
        <v>811</v>
      </c>
      <c r="T55" s="975" t="s">
        <v>50</v>
      </c>
      <c r="U55" s="975" t="s">
        <v>50</v>
      </c>
      <c r="V55" s="975" t="s">
        <v>50</v>
      </c>
      <c r="W55" s="975" t="s">
        <v>50</v>
      </c>
      <c r="X55" s="975" t="s">
        <v>50</v>
      </c>
      <c r="Y55" s="975" t="s">
        <v>50</v>
      </c>
      <c r="Z55" s="975" t="s">
        <v>811</v>
      </c>
      <c r="AA55" s="975" t="s">
        <v>50</v>
      </c>
      <c r="AB55" s="975" t="s">
        <v>50</v>
      </c>
      <c r="AC55" s="975" t="s">
        <v>50</v>
      </c>
      <c r="AD55" s="975" t="s">
        <v>50</v>
      </c>
      <c r="AE55" s="975" t="s">
        <v>50</v>
      </c>
      <c r="AF55" s="975" t="s">
        <v>50</v>
      </c>
      <c r="AG55" s="975" t="s">
        <v>110</v>
      </c>
      <c r="AH55" s="975" t="s">
        <v>50</v>
      </c>
      <c r="AI55" s="975" t="s">
        <v>50</v>
      </c>
      <c r="AJ55" s="975"/>
      <c r="AK55" s="976">
        <f t="shared" si="4"/>
        <v>26</v>
      </c>
      <c r="AL55" s="977">
        <f t="shared" si="5"/>
        <v>2</v>
      </c>
      <c r="AM55" s="976">
        <f t="shared" si="6"/>
        <v>0</v>
      </c>
      <c r="AN55" s="976">
        <f t="shared" si="7"/>
        <v>2</v>
      </c>
      <c r="AO55" s="976">
        <f t="shared" si="8"/>
        <v>0</v>
      </c>
      <c r="AP55" s="977">
        <f t="shared" si="9"/>
        <v>0</v>
      </c>
      <c r="AQ55" s="978">
        <f t="shared" si="10"/>
        <v>30</v>
      </c>
      <c r="AR55" s="979"/>
      <c r="AS55" s="324" t="str">
        <f>'Mã số nhân viên'!I46</f>
        <v>03492</v>
      </c>
      <c r="AT55" s="974">
        <f t="shared" si="11"/>
        <v>0</v>
      </c>
    </row>
    <row r="56" spans="1:46" ht="24.75" customHeight="1">
      <c r="A56" s="636">
        <v>44</v>
      </c>
      <c r="B56" s="636">
        <v>44</v>
      </c>
      <c r="C56" s="636" t="str">
        <f>VLOOKUP(D56,'Mã số nhân viên'!B46:I177,8,0)</f>
        <v>03492</v>
      </c>
      <c r="D56" s="1143" t="s">
        <v>241</v>
      </c>
      <c r="E56" s="636"/>
      <c r="F56" s="975" t="s">
        <v>50</v>
      </c>
      <c r="G56" s="975" t="s">
        <v>50</v>
      </c>
      <c r="H56" s="975" t="s">
        <v>50</v>
      </c>
      <c r="I56" s="975" t="s">
        <v>50</v>
      </c>
      <c r="J56" s="975" t="s">
        <v>50</v>
      </c>
      <c r="K56" s="975" t="s">
        <v>50</v>
      </c>
      <c r="L56" s="975" t="s">
        <v>110</v>
      </c>
      <c r="M56" s="975" t="s">
        <v>50</v>
      </c>
      <c r="N56" s="975" t="s">
        <v>50</v>
      </c>
      <c r="O56" s="975" t="s">
        <v>50</v>
      </c>
      <c r="P56" s="975" t="s">
        <v>50</v>
      </c>
      <c r="Q56" s="975" t="s">
        <v>50</v>
      </c>
      <c r="R56" s="975" t="s">
        <v>50</v>
      </c>
      <c r="S56" s="975" t="s">
        <v>811</v>
      </c>
      <c r="T56" s="975" t="s">
        <v>50</v>
      </c>
      <c r="U56" s="975" t="s">
        <v>50</v>
      </c>
      <c r="V56" s="975" t="s">
        <v>50</v>
      </c>
      <c r="W56" s="975" t="s">
        <v>50</v>
      </c>
      <c r="X56" s="975" t="s">
        <v>50</v>
      </c>
      <c r="Y56" s="975" t="s">
        <v>50</v>
      </c>
      <c r="Z56" s="975" t="s">
        <v>811</v>
      </c>
      <c r="AA56" s="975" t="s">
        <v>50</v>
      </c>
      <c r="AB56" s="975" t="s">
        <v>50</v>
      </c>
      <c r="AC56" s="975" t="s">
        <v>50</v>
      </c>
      <c r="AD56" s="975" t="s">
        <v>50</v>
      </c>
      <c r="AE56" s="975" t="s">
        <v>50</v>
      </c>
      <c r="AF56" s="975" t="s">
        <v>50</v>
      </c>
      <c r="AG56" s="975" t="s">
        <v>110</v>
      </c>
      <c r="AH56" s="975" t="s">
        <v>50</v>
      </c>
      <c r="AI56" s="975" t="s">
        <v>50</v>
      </c>
      <c r="AJ56" s="975"/>
      <c r="AK56" s="976">
        <f t="shared" si="4"/>
        <v>26</v>
      </c>
      <c r="AL56" s="977">
        <f t="shared" si="5"/>
        <v>2</v>
      </c>
      <c r="AM56" s="976">
        <f t="shared" si="6"/>
        <v>0</v>
      </c>
      <c r="AN56" s="976">
        <f t="shared" si="7"/>
        <v>2</v>
      </c>
      <c r="AO56" s="976">
        <f t="shared" si="8"/>
        <v>0</v>
      </c>
      <c r="AP56" s="977">
        <f t="shared" si="9"/>
        <v>0</v>
      </c>
      <c r="AQ56" s="978">
        <f t="shared" si="10"/>
        <v>30</v>
      </c>
      <c r="AR56" s="979"/>
      <c r="AS56" s="324" t="str">
        <f>'Mã số nhân viên'!I47</f>
        <v>03493</v>
      </c>
      <c r="AT56" s="974">
        <f t="shared" si="11"/>
        <v>0</v>
      </c>
    </row>
    <row r="57" spans="1:46" ht="24.75" customHeight="1">
      <c r="A57" s="636">
        <v>45</v>
      </c>
      <c r="B57" s="636">
        <v>45</v>
      </c>
      <c r="C57" s="636" t="str">
        <f>VLOOKUP(D57,'Mã số nhân viên'!B47:I178,8,0)</f>
        <v>03493</v>
      </c>
      <c r="D57" s="1142" t="s">
        <v>212</v>
      </c>
      <c r="E57" s="636"/>
      <c r="F57" s="975" t="s">
        <v>50</v>
      </c>
      <c r="G57" s="975" t="s">
        <v>50</v>
      </c>
      <c r="H57" s="975" t="s">
        <v>50</v>
      </c>
      <c r="I57" s="975" t="s">
        <v>50</v>
      </c>
      <c r="J57" s="975" t="s">
        <v>50</v>
      </c>
      <c r="K57" s="975" t="s">
        <v>50</v>
      </c>
      <c r="L57" s="975" t="s">
        <v>110</v>
      </c>
      <c r="M57" s="975" t="s">
        <v>50</v>
      </c>
      <c r="N57" s="975" t="s">
        <v>50</v>
      </c>
      <c r="O57" s="975" t="s">
        <v>50</v>
      </c>
      <c r="P57" s="975" t="s">
        <v>50</v>
      </c>
      <c r="Q57" s="975" t="s">
        <v>50</v>
      </c>
      <c r="R57" s="975" t="s">
        <v>50</v>
      </c>
      <c r="S57" s="975" t="s">
        <v>811</v>
      </c>
      <c r="T57" s="975" t="s">
        <v>50</v>
      </c>
      <c r="U57" s="975" t="s">
        <v>50</v>
      </c>
      <c r="V57" s="975" t="s">
        <v>50</v>
      </c>
      <c r="W57" s="975" t="s">
        <v>50</v>
      </c>
      <c r="X57" s="975" t="s">
        <v>50</v>
      </c>
      <c r="Y57" s="975" t="s">
        <v>50</v>
      </c>
      <c r="Z57" s="975" t="s">
        <v>811</v>
      </c>
      <c r="AA57" s="975" t="s">
        <v>50</v>
      </c>
      <c r="AB57" s="975" t="s">
        <v>50</v>
      </c>
      <c r="AC57" s="975" t="s">
        <v>50</v>
      </c>
      <c r="AD57" s="975" t="s">
        <v>50</v>
      </c>
      <c r="AE57" s="975" t="s">
        <v>50</v>
      </c>
      <c r="AF57" s="975" t="s">
        <v>50</v>
      </c>
      <c r="AG57" s="975" t="s">
        <v>110</v>
      </c>
      <c r="AH57" s="975" t="s">
        <v>50</v>
      </c>
      <c r="AI57" s="975" t="s">
        <v>50</v>
      </c>
      <c r="AJ57" s="975"/>
      <c r="AK57" s="976">
        <f t="shared" si="4"/>
        <v>26</v>
      </c>
      <c r="AL57" s="977">
        <f t="shared" si="5"/>
        <v>2</v>
      </c>
      <c r="AM57" s="976">
        <f t="shared" si="6"/>
        <v>0</v>
      </c>
      <c r="AN57" s="976">
        <f t="shared" si="7"/>
        <v>2</v>
      </c>
      <c r="AO57" s="976">
        <f t="shared" si="8"/>
        <v>0</v>
      </c>
      <c r="AP57" s="977">
        <f t="shared" si="9"/>
        <v>0</v>
      </c>
      <c r="AQ57" s="978">
        <f t="shared" si="10"/>
        <v>30</v>
      </c>
      <c r="AR57" s="979"/>
      <c r="AS57" s="324" t="str">
        <f>'Mã số nhân viên'!I48</f>
        <v>03496</v>
      </c>
      <c r="AT57" s="974">
        <f t="shared" si="11"/>
        <v>0</v>
      </c>
    </row>
    <row r="58" spans="1:46" ht="24.75" customHeight="1">
      <c r="A58" s="636">
        <v>46</v>
      </c>
      <c r="B58" s="636">
        <v>46</v>
      </c>
      <c r="C58" s="636" t="str">
        <f>VLOOKUP(D58,'Mã số nhân viên'!B48:I179,8,0)</f>
        <v>03496</v>
      </c>
      <c r="D58" s="1142" t="s">
        <v>311</v>
      </c>
      <c r="E58" s="636"/>
      <c r="F58" s="975" t="s">
        <v>50</v>
      </c>
      <c r="G58" s="975" t="s">
        <v>50</v>
      </c>
      <c r="H58" s="975" t="s">
        <v>50</v>
      </c>
      <c r="I58" s="975" t="s">
        <v>50</v>
      </c>
      <c r="J58" s="975" t="s">
        <v>50</v>
      </c>
      <c r="K58" s="975" t="s">
        <v>50</v>
      </c>
      <c r="L58" s="975" t="s">
        <v>110</v>
      </c>
      <c r="M58" s="975" t="s">
        <v>50</v>
      </c>
      <c r="N58" s="975" t="s">
        <v>50</v>
      </c>
      <c r="O58" s="975" t="s">
        <v>50</v>
      </c>
      <c r="P58" s="975" t="s">
        <v>50</v>
      </c>
      <c r="Q58" s="975" t="s">
        <v>50</v>
      </c>
      <c r="R58" s="975" t="s">
        <v>50</v>
      </c>
      <c r="S58" s="975" t="s">
        <v>811</v>
      </c>
      <c r="T58" s="975" t="s">
        <v>50</v>
      </c>
      <c r="U58" s="975" t="s">
        <v>50</v>
      </c>
      <c r="V58" s="975" t="s">
        <v>50</v>
      </c>
      <c r="W58" s="975" t="s">
        <v>50</v>
      </c>
      <c r="X58" s="975" t="s">
        <v>50</v>
      </c>
      <c r="Y58" s="975" t="s">
        <v>50</v>
      </c>
      <c r="Z58" s="975" t="s">
        <v>811</v>
      </c>
      <c r="AA58" s="975" t="s">
        <v>50</v>
      </c>
      <c r="AB58" s="975" t="s">
        <v>50</v>
      </c>
      <c r="AC58" s="975" t="s">
        <v>50</v>
      </c>
      <c r="AD58" s="975" t="s">
        <v>50</v>
      </c>
      <c r="AE58" s="975" t="s">
        <v>50</v>
      </c>
      <c r="AF58" s="975" t="s">
        <v>50</v>
      </c>
      <c r="AG58" s="975" t="s">
        <v>110</v>
      </c>
      <c r="AH58" s="975" t="s">
        <v>50</v>
      </c>
      <c r="AI58" s="975" t="s">
        <v>50</v>
      </c>
      <c r="AJ58" s="975"/>
      <c r="AK58" s="976">
        <f t="shared" si="4"/>
        <v>26</v>
      </c>
      <c r="AL58" s="977">
        <f t="shared" si="5"/>
        <v>2</v>
      </c>
      <c r="AM58" s="976">
        <f t="shared" si="6"/>
        <v>0</v>
      </c>
      <c r="AN58" s="976">
        <f t="shared" si="7"/>
        <v>2</v>
      </c>
      <c r="AO58" s="976">
        <f t="shared" si="8"/>
        <v>0</v>
      </c>
      <c r="AP58" s="977">
        <f t="shared" si="9"/>
        <v>0</v>
      </c>
      <c r="AQ58" s="978">
        <f t="shared" si="10"/>
        <v>30</v>
      </c>
      <c r="AR58" s="979"/>
      <c r="AS58" s="324" t="str">
        <f>'Mã số nhân viên'!I49</f>
        <v>04061</v>
      </c>
      <c r="AT58" s="974">
        <f t="shared" si="11"/>
        <v>0</v>
      </c>
    </row>
    <row r="59" spans="1:46" ht="24.75" customHeight="1">
      <c r="A59" s="636">
        <v>47</v>
      </c>
      <c r="B59" s="636">
        <v>47</v>
      </c>
      <c r="C59" s="636" t="str">
        <f>VLOOKUP(D59,'Mã số nhân viên'!B49:I180,8,0)</f>
        <v>04061</v>
      </c>
      <c r="D59" s="1143" t="s">
        <v>518</v>
      </c>
      <c r="E59" s="636"/>
      <c r="F59" s="975" t="s">
        <v>50</v>
      </c>
      <c r="G59" s="975" t="s">
        <v>50</v>
      </c>
      <c r="H59" s="975" t="s">
        <v>50</v>
      </c>
      <c r="I59" s="975" t="s">
        <v>50</v>
      </c>
      <c r="J59" s="975" t="s">
        <v>50</v>
      </c>
      <c r="K59" s="975" t="s">
        <v>50</v>
      </c>
      <c r="L59" s="975" t="s">
        <v>110</v>
      </c>
      <c r="M59" s="975" t="s">
        <v>50</v>
      </c>
      <c r="N59" s="975" t="s">
        <v>50</v>
      </c>
      <c r="O59" s="975" t="s">
        <v>50</v>
      </c>
      <c r="P59" s="975" t="s">
        <v>50</v>
      </c>
      <c r="Q59" s="975" t="s">
        <v>50</v>
      </c>
      <c r="R59" s="975" t="s">
        <v>50</v>
      </c>
      <c r="S59" s="975" t="s">
        <v>811</v>
      </c>
      <c r="T59" s="975" t="s">
        <v>50</v>
      </c>
      <c r="U59" s="975" t="s">
        <v>50</v>
      </c>
      <c r="V59" s="975" t="s">
        <v>50</v>
      </c>
      <c r="W59" s="975" t="s">
        <v>50</v>
      </c>
      <c r="X59" s="975" t="s">
        <v>50</v>
      </c>
      <c r="Y59" s="975" t="s">
        <v>50</v>
      </c>
      <c r="Z59" s="975" t="s">
        <v>811</v>
      </c>
      <c r="AA59" s="975" t="s">
        <v>50</v>
      </c>
      <c r="AB59" s="975" t="s">
        <v>50</v>
      </c>
      <c r="AC59" s="975" t="s">
        <v>50</v>
      </c>
      <c r="AD59" s="975" t="s">
        <v>50</v>
      </c>
      <c r="AE59" s="975" t="s">
        <v>50</v>
      </c>
      <c r="AF59" s="975" t="s">
        <v>50</v>
      </c>
      <c r="AG59" s="975" t="s">
        <v>110</v>
      </c>
      <c r="AH59" s="975" t="s">
        <v>50</v>
      </c>
      <c r="AI59" s="975" t="s">
        <v>50</v>
      </c>
      <c r="AJ59" s="975"/>
      <c r="AK59" s="976">
        <f t="shared" si="4"/>
        <v>26</v>
      </c>
      <c r="AL59" s="977">
        <f t="shared" si="5"/>
        <v>2</v>
      </c>
      <c r="AM59" s="976">
        <f t="shared" si="6"/>
        <v>0</v>
      </c>
      <c r="AN59" s="976">
        <f t="shared" si="7"/>
        <v>2</v>
      </c>
      <c r="AO59" s="976">
        <f t="shared" si="8"/>
        <v>0</v>
      </c>
      <c r="AP59" s="977">
        <f t="shared" si="9"/>
        <v>0</v>
      </c>
      <c r="AQ59" s="978">
        <f t="shared" si="10"/>
        <v>30</v>
      </c>
      <c r="AR59" s="979"/>
      <c r="AS59" s="324" t="str">
        <f>'Mã số nhân viên'!I50</f>
        <v>03494</v>
      </c>
      <c r="AT59" s="974">
        <f t="shared" si="11"/>
        <v>0</v>
      </c>
    </row>
    <row r="60" spans="1:46" ht="24.75" customHeight="1">
      <c r="A60" s="636">
        <v>48</v>
      </c>
      <c r="B60" s="636">
        <v>48</v>
      </c>
      <c r="C60" s="636" t="str">
        <f>VLOOKUP(D60,'Mã số nhân viên'!B50:I181,8,0)</f>
        <v>03494</v>
      </c>
      <c r="D60" s="1142" t="s">
        <v>138</v>
      </c>
      <c r="E60" s="636"/>
      <c r="F60" s="975" t="s">
        <v>50</v>
      </c>
      <c r="G60" s="975" t="s">
        <v>50</v>
      </c>
      <c r="H60" s="975" t="s">
        <v>50</v>
      </c>
      <c r="I60" s="975" t="s">
        <v>50</v>
      </c>
      <c r="J60" s="975" t="s">
        <v>50</v>
      </c>
      <c r="K60" s="975" t="s">
        <v>50</v>
      </c>
      <c r="L60" s="975" t="s">
        <v>110</v>
      </c>
      <c r="M60" s="975" t="s">
        <v>50</v>
      </c>
      <c r="N60" s="975" t="s">
        <v>50</v>
      </c>
      <c r="O60" s="975" t="s">
        <v>50</v>
      </c>
      <c r="P60" s="975" t="s">
        <v>50</v>
      </c>
      <c r="Q60" s="975" t="s">
        <v>50</v>
      </c>
      <c r="R60" s="975" t="s">
        <v>50</v>
      </c>
      <c r="S60" s="975" t="s">
        <v>811</v>
      </c>
      <c r="T60" s="975" t="s">
        <v>50</v>
      </c>
      <c r="U60" s="975" t="s">
        <v>50</v>
      </c>
      <c r="V60" s="975" t="s">
        <v>50</v>
      </c>
      <c r="W60" s="975" t="s">
        <v>50</v>
      </c>
      <c r="X60" s="975" t="s">
        <v>50</v>
      </c>
      <c r="Y60" s="975" t="s">
        <v>50</v>
      </c>
      <c r="Z60" s="975" t="s">
        <v>811</v>
      </c>
      <c r="AA60" s="975" t="s">
        <v>50</v>
      </c>
      <c r="AB60" s="975" t="s">
        <v>50</v>
      </c>
      <c r="AC60" s="975" t="s">
        <v>50</v>
      </c>
      <c r="AD60" s="975" t="s">
        <v>50</v>
      </c>
      <c r="AE60" s="975" t="s">
        <v>50</v>
      </c>
      <c r="AF60" s="975" t="s">
        <v>50</v>
      </c>
      <c r="AG60" s="975" t="s">
        <v>110</v>
      </c>
      <c r="AH60" s="975" t="s">
        <v>50</v>
      </c>
      <c r="AI60" s="975" t="s">
        <v>50</v>
      </c>
      <c r="AJ60" s="975"/>
      <c r="AK60" s="976">
        <f t="shared" si="4"/>
        <v>26</v>
      </c>
      <c r="AL60" s="977">
        <f t="shared" si="5"/>
        <v>2</v>
      </c>
      <c r="AM60" s="976">
        <f t="shared" si="6"/>
        <v>0</v>
      </c>
      <c r="AN60" s="976">
        <f t="shared" si="7"/>
        <v>2</v>
      </c>
      <c r="AO60" s="976">
        <f t="shared" si="8"/>
        <v>0</v>
      </c>
      <c r="AP60" s="977">
        <f t="shared" si="9"/>
        <v>0</v>
      </c>
      <c r="AQ60" s="978">
        <f t="shared" si="10"/>
        <v>30</v>
      </c>
      <c r="AR60" s="979"/>
      <c r="AS60" s="324" t="str">
        <f>'Mã số nhân viên'!I51</f>
        <v>03495</v>
      </c>
      <c r="AT60" s="974">
        <f t="shared" si="11"/>
        <v>0</v>
      </c>
    </row>
    <row r="61" spans="1:46" ht="24.75" customHeight="1">
      <c r="A61" s="636">
        <v>49</v>
      </c>
      <c r="B61" s="636">
        <v>49</v>
      </c>
      <c r="C61" s="636" t="str">
        <f>VLOOKUP(D61,'Mã số nhân viên'!B51:I182,8,0)</f>
        <v>03495</v>
      </c>
      <c r="D61" s="1142" t="s">
        <v>310</v>
      </c>
      <c r="E61" s="636"/>
      <c r="F61" s="975" t="s">
        <v>50</v>
      </c>
      <c r="G61" s="975" t="s">
        <v>50</v>
      </c>
      <c r="H61" s="975" t="s">
        <v>50</v>
      </c>
      <c r="I61" s="975" t="s">
        <v>50</v>
      </c>
      <c r="J61" s="975" t="s">
        <v>50</v>
      </c>
      <c r="K61" s="975" t="s">
        <v>50</v>
      </c>
      <c r="L61" s="975" t="s">
        <v>110</v>
      </c>
      <c r="M61" s="975" t="s">
        <v>50</v>
      </c>
      <c r="N61" s="975" t="s">
        <v>50</v>
      </c>
      <c r="O61" s="975" t="s">
        <v>50</v>
      </c>
      <c r="P61" s="975" t="s">
        <v>50</v>
      </c>
      <c r="Q61" s="975" t="s">
        <v>50</v>
      </c>
      <c r="R61" s="975" t="s">
        <v>50</v>
      </c>
      <c r="S61" s="975" t="s">
        <v>811</v>
      </c>
      <c r="T61" s="975" t="s">
        <v>50</v>
      </c>
      <c r="U61" s="975" t="s">
        <v>50</v>
      </c>
      <c r="V61" s="975" t="s">
        <v>50</v>
      </c>
      <c r="W61" s="975" t="s">
        <v>50</v>
      </c>
      <c r="X61" s="975" t="s">
        <v>50</v>
      </c>
      <c r="Y61" s="975" t="s">
        <v>50</v>
      </c>
      <c r="Z61" s="975" t="s">
        <v>811</v>
      </c>
      <c r="AA61" s="975" t="s">
        <v>50</v>
      </c>
      <c r="AB61" s="975" t="s">
        <v>50</v>
      </c>
      <c r="AC61" s="975" t="s">
        <v>50</v>
      </c>
      <c r="AD61" s="975" t="s">
        <v>50</v>
      </c>
      <c r="AE61" s="975"/>
      <c r="AF61" s="975" t="s">
        <v>50</v>
      </c>
      <c r="AG61" s="975"/>
      <c r="AH61" s="975" t="s">
        <v>50</v>
      </c>
      <c r="AI61" s="975" t="s">
        <v>50</v>
      </c>
      <c r="AJ61" s="975"/>
      <c r="AK61" s="976">
        <f t="shared" si="4"/>
        <v>25</v>
      </c>
      <c r="AL61" s="977">
        <f t="shared" si="5"/>
        <v>1</v>
      </c>
      <c r="AM61" s="976">
        <f t="shared" si="6"/>
        <v>0</v>
      </c>
      <c r="AN61" s="976">
        <f t="shared" si="7"/>
        <v>2</v>
      </c>
      <c r="AO61" s="976">
        <f t="shared" si="8"/>
        <v>0</v>
      </c>
      <c r="AP61" s="977">
        <f t="shared" si="9"/>
        <v>0</v>
      </c>
      <c r="AQ61" s="978">
        <f t="shared" si="10"/>
        <v>28</v>
      </c>
      <c r="AR61" s="979"/>
      <c r="AS61" s="324" t="str">
        <f>'Mã số nhân viên'!I52</f>
        <v>04062</v>
      </c>
      <c r="AT61" s="974">
        <f t="shared" si="11"/>
        <v>0</v>
      </c>
    </row>
    <row r="62" spans="1:46" ht="24.75" customHeight="1">
      <c r="A62" s="636">
        <v>50</v>
      </c>
      <c r="B62" s="636">
        <v>50</v>
      </c>
      <c r="C62" s="636" t="str">
        <f>VLOOKUP(D62,'Mã số nhân viên'!B52:I183,8,0)</f>
        <v>04062</v>
      </c>
      <c r="D62" s="1142" t="s">
        <v>519</v>
      </c>
      <c r="E62" s="636"/>
      <c r="F62" s="975" t="s">
        <v>50</v>
      </c>
      <c r="G62" s="975" t="s">
        <v>50</v>
      </c>
      <c r="H62" s="975" t="s">
        <v>50</v>
      </c>
      <c r="I62" s="975" t="s">
        <v>50</v>
      </c>
      <c r="J62" s="975" t="s">
        <v>50</v>
      </c>
      <c r="K62" s="975" t="s">
        <v>50</v>
      </c>
      <c r="L62" s="975" t="s">
        <v>110</v>
      </c>
      <c r="M62" s="975" t="s">
        <v>50</v>
      </c>
      <c r="N62" s="975" t="s">
        <v>50</v>
      </c>
      <c r="O62" s="975" t="s">
        <v>50</v>
      </c>
      <c r="P62" s="975" t="s">
        <v>50</v>
      </c>
      <c r="Q62" s="975" t="s">
        <v>50</v>
      </c>
      <c r="R62" s="975" t="s">
        <v>50</v>
      </c>
      <c r="S62" s="975" t="s">
        <v>811</v>
      </c>
      <c r="T62" s="975" t="s">
        <v>50</v>
      </c>
      <c r="U62" s="975" t="s">
        <v>50</v>
      </c>
      <c r="V62" s="975" t="s">
        <v>50</v>
      </c>
      <c r="W62" s="975" t="s">
        <v>50</v>
      </c>
      <c r="X62" s="975" t="s">
        <v>50</v>
      </c>
      <c r="Y62" s="975" t="s">
        <v>50</v>
      </c>
      <c r="Z62" s="975" t="s">
        <v>811</v>
      </c>
      <c r="AA62" s="975" t="s">
        <v>50</v>
      </c>
      <c r="AB62" s="975" t="s">
        <v>50</v>
      </c>
      <c r="AC62" s="975" t="s">
        <v>50</v>
      </c>
      <c r="AD62" s="975" t="s">
        <v>50</v>
      </c>
      <c r="AE62" s="975" t="s">
        <v>50</v>
      </c>
      <c r="AF62" s="975" t="s">
        <v>50</v>
      </c>
      <c r="AG62" s="975" t="s">
        <v>110</v>
      </c>
      <c r="AH62" s="975" t="s">
        <v>50</v>
      </c>
      <c r="AI62" s="975" t="s">
        <v>50</v>
      </c>
      <c r="AJ62" s="975"/>
      <c r="AK62" s="976">
        <f t="shared" si="4"/>
        <v>26</v>
      </c>
      <c r="AL62" s="977">
        <f t="shared" si="5"/>
        <v>2</v>
      </c>
      <c r="AM62" s="976">
        <f t="shared" si="6"/>
        <v>0</v>
      </c>
      <c r="AN62" s="976">
        <f t="shared" si="7"/>
        <v>2</v>
      </c>
      <c r="AO62" s="976">
        <f t="shared" si="8"/>
        <v>0</v>
      </c>
      <c r="AP62" s="977">
        <f t="shared" si="9"/>
        <v>0</v>
      </c>
      <c r="AQ62" s="978">
        <f t="shared" si="10"/>
        <v>30</v>
      </c>
      <c r="AR62" s="979"/>
      <c r="AS62" s="324" t="str">
        <f>'Mã số nhân viên'!I53</f>
        <v>03497</v>
      </c>
      <c r="AT62" s="974">
        <f t="shared" si="11"/>
        <v>0</v>
      </c>
    </row>
    <row r="63" spans="1:46" ht="24.75" customHeight="1">
      <c r="A63" s="636">
        <v>51</v>
      </c>
      <c r="B63" s="636">
        <v>51</v>
      </c>
      <c r="C63" s="636" t="str">
        <f>VLOOKUP(D63,'Mã số nhân viên'!B53:I184,8,0)</f>
        <v>03497</v>
      </c>
      <c r="D63" s="1142" t="s">
        <v>204</v>
      </c>
      <c r="E63" s="636"/>
      <c r="F63" s="975" t="s">
        <v>50</v>
      </c>
      <c r="G63" s="975" t="s">
        <v>50</v>
      </c>
      <c r="H63" s="975" t="s">
        <v>50</v>
      </c>
      <c r="I63" s="975" t="s">
        <v>50</v>
      </c>
      <c r="J63" s="975" t="s">
        <v>50</v>
      </c>
      <c r="K63" s="975" t="s">
        <v>50</v>
      </c>
      <c r="L63" s="975" t="s">
        <v>110</v>
      </c>
      <c r="M63" s="975" t="s">
        <v>50</v>
      </c>
      <c r="N63" s="975" t="s">
        <v>50</v>
      </c>
      <c r="O63" s="975" t="s">
        <v>50</v>
      </c>
      <c r="P63" s="975" t="s">
        <v>50</v>
      </c>
      <c r="Q63" s="975" t="s">
        <v>50</v>
      </c>
      <c r="R63" s="975" t="s">
        <v>50</v>
      </c>
      <c r="S63" s="975" t="s">
        <v>811</v>
      </c>
      <c r="T63" s="975" t="s">
        <v>50</v>
      </c>
      <c r="U63" s="975" t="s">
        <v>50</v>
      </c>
      <c r="V63" s="975" t="s">
        <v>50</v>
      </c>
      <c r="W63" s="975" t="s">
        <v>50</v>
      </c>
      <c r="X63" s="975" t="s">
        <v>50</v>
      </c>
      <c r="Y63" s="975" t="s">
        <v>50</v>
      </c>
      <c r="Z63" s="975" t="s">
        <v>811</v>
      </c>
      <c r="AA63" s="975" t="s">
        <v>50</v>
      </c>
      <c r="AB63" s="975" t="s">
        <v>50</v>
      </c>
      <c r="AC63" s="975" t="s">
        <v>50</v>
      </c>
      <c r="AD63" s="975" t="s">
        <v>50</v>
      </c>
      <c r="AE63" s="975"/>
      <c r="AF63" s="975"/>
      <c r="AG63" s="975" t="s">
        <v>110</v>
      </c>
      <c r="AH63" s="975" t="s">
        <v>50</v>
      </c>
      <c r="AI63" s="975" t="s">
        <v>50</v>
      </c>
      <c r="AJ63" s="975"/>
      <c r="AK63" s="976">
        <f t="shared" si="4"/>
        <v>24</v>
      </c>
      <c r="AL63" s="977">
        <f t="shared" si="5"/>
        <v>2</v>
      </c>
      <c r="AM63" s="976">
        <f t="shared" si="6"/>
        <v>0</v>
      </c>
      <c r="AN63" s="976">
        <f t="shared" si="7"/>
        <v>2</v>
      </c>
      <c r="AO63" s="976">
        <f t="shared" si="8"/>
        <v>0</v>
      </c>
      <c r="AP63" s="977">
        <f t="shared" si="9"/>
        <v>0</v>
      </c>
      <c r="AQ63" s="978">
        <f t="shared" si="10"/>
        <v>28</v>
      </c>
      <c r="AR63" s="979"/>
      <c r="AS63" s="324" t="str">
        <f>'Mã số nhân viên'!I54</f>
        <v>03498</v>
      </c>
      <c r="AT63" s="974">
        <f t="shared" si="11"/>
        <v>0</v>
      </c>
    </row>
    <row r="64" spans="1:46" ht="24.75" customHeight="1">
      <c r="A64" s="636">
        <v>52</v>
      </c>
      <c r="B64" s="636">
        <v>52</v>
      </c>
      <c r="C64" s="636" t="str">
        <f>VLOOKUP(D64,'Mã số nhân viên'!B54:I185,8,0)</f>
        <v>03498</v>
      </c>
      <c r="D64" s="1143" t="s">
        <v>312</v>
      </c>
      <c r="E64" s="636"/>
      <c r="F64" s="975" t="s">
        <v>50</v>
      </c>
      <c r="G64" s="975" t="s">
        <v>50</v>
      </c>
      <c r="H64" s="975" t="s">
        <v>50</v>
      </c>
      <c r="I64" s="975" t="s">
        <v>50</v>
      </c>
      <c r="J64" s="975" t="s">
        <v>50</v>
      </c>
      <c r="K64" s="975" t="s">
        <v>50</v>
      </c>
      <c r="L64" s="975" t="s">
        <v>110</v>
      </c>
      <c r="M64" s="975" t="s">
        <v>50</v>
      </c>
      <c r="N64" s="975" t="s">
        <v>50</v>
      </c>
      <c r="O64" s="975" t="s">
        <v>50</v>
      </c>
      <c r="P64" s="975" t="s">
        <v>50</v>
      </c>
      <c r="Q64" s="975" t="s">
        <v>50</v>
      </c>
      <c r="R64" s="975" t="s">
        <v>50</v>
      </c>
      <c r="S64" s="975" t="s">
        <v>811</v>
      </c>
      <c r="T64" s="975" t="s">
        <v>50</v>
      </c>
      <c r="U64" s="975" t="s">
        <v>50</v>
      </c>
      <c r="V64" s="975" t="s">
        <v>50</v>
      </c>
      <c r="W64" s="975" t="s">
        <v>50</v>
      </c>
      <c r="X64" s="975" t="s">
        <v>50</v>
      </c>
      <c r="Y64" s="975" t="s">
        <v>50</v>
      </c>
      <c r="Z64" s="975" t="s">
        <v>811</v>
      </c>
      <c r="AA64" s="975" t="s">
        <v>50</v>
      </c>
      <c r="AB64" s="975" t="s">
        <v>50</v>
      </c>
      <c r="AC64" s="975" t="s">
        <v>50</v>
      </c>
      <c r="AD64" s="975" t="s">
        <v>50</v>
      </c>
      <c r="AE64" s="975"/>
      <c r="AF64" s="975" t="s">
        <v>50</v>
      </c>
      <c r="AG64" s="975" t="s">
        <v>110</v>
      </c>
      <c r="AH64" s="975" t="s">
        <v>50</v>
      </c>
      <c r="AI64" s="975" t="s">
        <v>50</v>
      </c>
      <c r="AJ64" s="975"/>
      <c r="AK64" s="976">
        <f t="shared" si="4"/>
        <v>25</v>
      </c>
      <c r="AL64" s="977">
        <f t="shared" si="5"/>
        <v>2</v>
      </c>
      <c r="AM64" s="976">
        <f t="shared" si="6"/>
        <v>0</v>
      </c>
      <c r="AN64" s="976">
        <f t="shared" si="7"/>
        <v>2</v>
      </c>
      <c r="AO64" s="976">
        <f t="shared" si="8"/>
        <v>0</v>
      </c>
      <c r="AP64" s="977">
        <f t="shared" si="9"/>
        <v>0</v>
      </c>
      <c r="AQ64" s="978">
        <f t="shared" si="10"/>
        <v>29</v>
      </c>
      <c r="AR64" s="979"/>
      <c r="AS64" s="324" t="str">
        <f>'Mã số nhân viên'!I55</f>
        <v>02706</v>
      </c>
      <c r="AT64" s="974">
        <f t="shared" si="11"/>
        <v>0</v>
      </c>
    </row>
    <row r="65" spans="1:46" ht="24.75" customHeight="1">
      <c r="A65" s="636">
        <v>53</v>
      </c>
      <c r="B65" s="636">
        <v>53</v>
      </c>
      <c r="C65" s="636" t="str">
        <f>VLOOKUP(D65,'Mã số nhân viên'!B55:I186,8,0)</f>
        <v>02706</v>
      </c>
      <c r="D65" s="1143" t="s">
        <v>139</v>
      </c>
      <c r="E65" s="636"/>
      <c r="F65" s="975" t="s">
        <v>50</v>
      </c>
      <c r="G65" s="975" t="s">
        <v>50</v>
      </c>
      <c r="H65" s="975" t="s">
        <v>50</v>
      </c>
      <c r="I65" s="975" t="s">
        <v>50</v>
      </c>
      <c r="J65" s="975" t="s">
        <v>50</v>
      </c>
      <c r="K65" s="975" t="s">
        <v>50</v>
      </c>
      <c r="L65" s="975" t="s">
        <v>110</v>
      </c>
      <c r="M65" s="975" t="s">
        <v>50</v>
      </c>
      <c r="N65" s="975" t="s">
        <v>50</v>
      </c>
      <c r="O65" s="975" t="s">
        <v>50</v>
      </c>
      <c r="P65" s="975" t="s">
        <v>50</v>
      </c>
      <c r="Q65" s="975" t="s">
        <v>50</v>
      </c>
      <c r="R65" s="975" t="s">
        <v>50</v>
      </c>
      <c r="S65" s="975" t="s">
        <v>811</v>
      </c>
      <c r="T65" s="975" t="s">
        <v>50</v>
      </c>
      <c r="U65" s="975" t="s">
        <v>50</v>
      </c>
      <c r="V65" s="975" t="s">
        <v>50</v>
      </c>
      <c r="W65" s="975" t="s">
        <v>50</v>
      </c>
      <c r="X65" s="975" t="s">
        <v>50</v>
      </c>
      <c r="Y65" s="975" t="s">
        <v>50</v>
      </c>
      <c r="Z65" s="975" t="s">
        <v>811</v>
      </c>
      <c r="AA65" s="975" t="s">
        <v>50</v>
      </c>
      <c r="AB65" s="975" t="s">
        <v>50</v>
      </c>
      <c r="AC65" s="975" t="s">
        <v>50</v>
      </c>
      <c r="AD65" s="975" t="s">
        <v>50</v>
      </c>
      <c r="AE65" s="975" t="s">
        <v>50</v>
      </c>
      <c r="AF65" s="975" t="s">
        <v>50</v>
      </c>
      <c r="AG65" s="975" t="s">
        <v>110</v>
      </c>
      <c r="AH65" s="975" t="s">
        <v>50</v>
      </c>
      <c r="AI65" s="975" t="s">
        <v>50</v>
      </c>
      <c r="AJ65" s="975"/>
      <c r="AK65" s="976">
        <f t="shared" si="4"/>
        <v>26</v>
      </c>
      <c r="AL65" s="977">
        <f t="shared" si="5"/>
        <v>2</v>
      </c>
      <c r="AM65" s="976">
        <f t="shared" si="6"/>
        <v>0</v>
      </c>
      <c r="AN65" s="976">
        <f t="shared" si="7"/>
        <v>2</v>
      </c>
      <c r="AO65" s="976">
        <f t="shared" si="8"/>
        <v>0</v>
      </c>
      <c r="AP65" s="977">
        <f t="shared" si="9"/>
        <v>0</v>
      </c>
      <c r="AQ65" s="978">
        <f t="shared" si="10"/>
        <v>30</v>
      </c>
      <c r="AR65" s="979"/>
      <c r="AS65" s="324" t="str">
        <f>'Mã số nhân viên'!I56</f>
        <v>04063</v>
      </c>
      <c r="AT65" s="974">
        <f t="shared" si="11"/>
        <v>-4063</v>
      </c>
    </row>
    <row r="66" spans="1:46" ht="24.75" customHeight="1">
      <c r="A66" s="636">
        <v>54</v>
      </c>
      <c r="B66" s="636">
        <v>54</v>
      </c>
      <c r="C66" s="636"/>
      <c r="D66" s="1147" t="s">
        <v>791</v>
      </c>
      <c r="E66" s="636"/>
      <c r="F66" s="975" t="s">
        <v>50</v>
      </c>
      <c r="G66" s="975" t="s">
        <v>50</v>
      </c>
      <c r="H66" s="975" t="s">
        <v>50</v>
      </c>
      <c r="I66" s="975" t="s">
        <v>50</v>
      </c>
      <c r="J66" s="975" t="s">
        <v>50</v>
      </c>
      <c r="K66" s="975" t="s">
        <v>50</v>
      </c>
      <c r="L66" s="975" t="s">
        <v>110</v>
      </c>
      <c r="M66" s="975" t="s">
        <v>50</v>
      </c>
      <c r="N66" s="975" t="s">
        <v>50</v>
      </c>
      <c r="O66" s="975" t="s">
        <v>50</v>
      </c>
      <c r="P66" s="975" t="s">
        <v>50</v>
      </c>
      <c r="Q66" s="975" t="s">
        <v>50</v>
      </c>
      <c r="R66" s="975" t="s">
        <v>50</v>
      </c>
      <c r="S66" s="975" t="s">
        <v>811</v>
      </c>
      <c r="T66" s="975" t="s">
        <v>50</v>
      </c>
      <c r="U66" s="975" t="s">
        <v>50</v>
      </c>
      <c r="V66" s="975" t="s">
        <v>50</v>
      </c>
      <c r="W66" s="975" t="s">
        <v>50</v>
      </c>
      <c r="X66" s="975" t="s">
        <v>50</v>
      </c>
      <c r="Y66" s="975" t="s">
        <v>50</v>
      </c>
      <c r="Z66" s="975" t="s">
        <v>811</v>
      </c>
      <c r="AA66" s="975" t="s">
        <v>50</v>
      </c>
      <c r="AB66" s="975" t="s">
        <v>50</v>
      </c>
      <c r="AC66" s="975" t="s">
        <v>50</v>
      </c>
      <c r="AD66" s="975" t="s">
        <v>50</v>
      </c>
      <c r="AE66" s="975" t="s">
        <v>50</v>
      </c>
      <c r="AF66" s="975" t="s">
        <v>50</v>
      </c>
      <c r="AG66" s="975" t="s">
        <v>110</v>
      </c>
      <c r="AH66" s="975" t="s">
        <v>50</v>
      </c>
      <c r="AI66" s="975" t="s">
        <v>50</v>
      </c>
      <c r="AJ66" s="975"/>
      <c r="AK66" s="976">
        <f t="shared" si="4"/>
        <v>26</v>
      </c>
      <c r="AL66" s="977">
        <f t="shared" si="5"/>
        <v>2</v>
      </c>
      <c r="AM66" s="976">
        <f t="shared" si="6"/>
        <v>0</v>
      </c>
      <c r="AN66" s="976">
        <f t="shared" si="7"/>
        <v>2</v>
      </c>
      <c r="AO66" s="976">
        <f t="shared" si="8"/>
        <v>0</v>
      </c>
      <c r="AP66" s="977">
        <f t="shared" si="9"/>
        <v>0</v>
      </c>
      <c r="AQ66" s="978">
        <f t="shared" si="10"/>
        <v>30</v>
      </c>
      <c r="AR66" s="979"/>
      <c r="AS66" s="324" t="str">
        <f>'Mã số nhân viên'!I57</f>
        <v>04064</v>
      </c>
      <c r="AT66" s="974">
        <f t="shared" si="11"/>
        <v>0</v>
      </c>
    </row>
    <row r="67" spans="1:46" ht="24.75" customHeight="1">
      <c r="A67" s="636">
        <v>55</v>
      </c>
      <c r="B67" s="636">
        <v>55</v>
      </c>
      <c r="C67" s="636" t="str">
        <f>VLOOKUP(D67,'Mã số nhân viên'!B57:I188,8,0)</f>
        <v>04064</v>
      </c>
      <c r="D67" s="1142" t="s">
        <v>337</v>
      </c>
      <c r="E67" s="636"/>
      <c r="F67" s="975" t="s">
        <v>50</v>
      </c>
      <c r="G67" s="975" t="s">
        <v>50</v>
      </c>
      <c r="H67" s="975" t="s">
        <v>50</v>
      </c>
      <c r="I67" s="975" t="s">
        <v>50</v>
      </c>
      <c r="J67" s="975" t="s">
        <v>50</v>
      </c>
      <c r="K67" s="975" t="s">
        <v>50</v>
      </c>
      <c r="L67" s="975" t="s">
        <v>110</v>
      </c>
      <c r="M67" s="975" t="s">
        <v>50</v>
      </c>
      <c r="N67" s="975" t="s">
        <v>50</v>
      </c>
      <c r="O67" s="975" t="s">
        <v>50</v>
      </c>
      <c r="P67" s="975" t="s">
        <v>50</v>
      </c>
      <c r="Q67" s="975" t="s">
        <v>50</v>
      </c>
      <c r="R67" s="975" t="s">
        <v>50</v>
      </c>
      <c r="S67" s="975" t="s">
        <v>811</v>
      </c>
      <c r="T67" s="975" t="s">
        <v>50</v>
      </c>
      <c r="U67" s="975" t="s">
        <v>50</v>
      </c>
      <c r="V67" s="975" t="s">
        <v>50</v>
      </c>
      <c r="W67" s="975" t="s">
        <v>50</v>
      </c>
      <c r="X67" s="975" t="s">
        <v>50</v>
      </c>
      <c r="Y67" s="975" t="s">
        <v>50</v>
      </c>
      <c r="Z67" s="975" t="s">
        <v>811</v>
      </c>
      <c r="AA67" s="975" t="s">
        <v>50</v>
      </c>
      <c r="AB67" s="975" t="s">
        <v>50</v>
      </c>
      <c r="AC67" s="975" t="s">
        <v>50</v>
      </c>
      <c r="AD67" s="975" t="s">
        <v>50</v>
      </c>
      <c r="AE67" s="975" t="s">
        <v>50</v>
      </c>
      <c r="AF67" s="975" t="s">
        <v>50</v>
      </c>
      <c r="AG67" s="975" t="s">
        <v>110</v>
      </c>
      <c r="AH67" s="975" t="s">
        <v>50</v>
      </c>
      <c r="AI67" s="975" t="s">
        <v>50</v>
      </c>
      <c r="AJ67" s="975"/>
      <c r="AK67" s="976">
        <f t="shared" si="4"/>
        <v>26</v>
      </c>
      <c r="AL67" s="977">
        <f t="shared" si="5"/>
        <v>2</v>
      </c>
      <c r="AM67" s="976">
        <f t="shared" si="6"/>
        <v>0</v>
      </c>
      <c r="AN67" s="976">
        <f t="shared" si="7"/>
        <v>2</v>
      </c>
      <c r="AO67" s="976">
        <f t="shared" si="8"/>
        <v>0</v>
      </c>
      <c r="AP67" s="977">
        <f t="shared" si="9"/>
        <v>0</v>
      </c>
      <c r="AQ67" s="978">
        <f t="shared" si="10"/>
        <v>30</v>
      </c>
      <c r="AR67" s="979"/>
      <c r="AS67" s="324" t="str">
        <f>'Mã số nhân viên'!I58</f>
        <v>03501</v>
      </c>
      <c r="AT67" s="974">
        <f t="shared" si="11"/>
        <v>0</v>
      </c>
    </row>
    <row r="68" spans="1:46" ht="24.75" customHeight="1">
      <c r="A68" s="636">
        <v>56</v>
      </c>
      <c r="B68" s="636">
        <v>56</v>
      </c>
      <c r="C68" s="636" t="str">
        <f>VLOOKUP(D68,'Mã số nhân viên'!B58:I189,8,0)</f>
        <v>03501</v>
      </c>
      <c r="D68" s="1142" t="s">
        <v>313</v>
      </c>
      <c r="E68" s="636"/>
      <c r="F68" s="975" t="s">
        <v>50</v>
      </c>
      <c r="G68" s="975" t="s">
        <v>50</v>
      </c>
      <c r="H68" s="975" t="s">
        <v>50</v>
      </c>
      <c r="I68" s="975" t="s">
        <v>50</v>
      </c>
      <c r="J68" s="975" t="s">
        <v>50</v>
      </c>
      <c r="K68" s="975" t="s">
        <v>50</v>
      </c>
      <c r="L68" s="975" t="s">
        <v>110</v>
      </c>
      <c r="M68" s="975" t="s">
        <v>50</v>
      </c>
      <c r="N68" s="975" t="s">
        <v>50</v>
      </c>
      <c r="O68" s="975" t="s">
        <v>50</v>
      </c>
      <c r="P68" s="975" t="s">
        <v>50</v>
      </c>
      <c r="Q68" s="975" t="s">
        <v>50</v>
      </c>
      <c r="R68" s="975" t="s">
        <v>50</v>
      </c>
      <c r="S68" s="975" t="s">
        <v>811</v>
      </c>
      <c r="T68" s="975" t="s">
        <v>50</v>
      </c>
      <c r="U68" s="975" t="s">
        <v>50</v>
      </c>
      <c r="V68" s="975" t="s">
        <v>50</v>
      </c>
      <c r="W68" s="975" t="s">
        <v>50</v>
      </c>
      <c r="X68" s="975" t="s">
        <v>50</v>
      </c>
      <c r="Y68" s="975" t="s">
        <v>50</v>
      </c>
      <c r="Z68" s="975" t="s">
        <v>811</v>
      </c>
      <c r="AA68" s="975" t="s">
        <v>50</v>
      </c>
      <c r="AB68" s="975" t="s">
        <v>50</v>
      </c>
      <c r="AC68" s="975" t="s">
        <v>50</v>
      </c>
      <c r="AD68" s="975" t="s">
        <v>50</v>
      </c>
      <c r="AE68" s="975"/>
      <c r="AF68" s="975" t="s">
        <v>50</v>
      </c>
      <c r="AG68" s="975" t="s">
        <v>110</v>
      </c>
      <c r="AH68" s="975" t="s">
        <v>50</v>
      </c>
      <c r="AI68" s="975" t="s">
        <v>50</v>
      </c>
      <c r="AJ68" s="975"/>
      <c r="AK68" s="976">
        <f t="shared" si="4"/>
        <v>25</v>
      </c>
      <c r="AL68" s="977">
        <f t="shared" si="5"/>
        <v>2</v>
      </c>
      <c r="AM68" s="976">
        <f t="shared" si="6"/>
        <v>0</v>
      </c>
      <c r="AN68" s="976">
        <f t="shared" si="7"/>
        <v>2</v>
      </c>
      <c r="AO68" s="976">
        <f t="shared" si="8"/>
        <v>0</v>
      </c>
      <c r="AP68" s="977">
        <f t="shared" si="9"/>
        <v>0</v>
      </c>
      <c r="AQ68" s="978">
        <f t="shared" si="10"/>
        <v>29</v>
      </c>
      <c r="AR68" s="979"/>
      <c r="AS68" s="324" t="str">
        <f>'Mã số nhân viên'!I59</f>
        <v>03502</v>
      </c>
      <c r="AT68" s="974">
        <f t="shared" si="11"/>
        <v>0</v>
      </c>
    </row>
    <row r="69" spans="1:46" ht="24.75" customHeight="1">
      <c r="A69" s="636">
        <v>57</v>
      </c>
      <c r="B69" s="636">
        <v>57</v>
      </c>
      <c r="C69" s="636" t="str">
        <f>VLOOKUP(D69,'Mã số nhân viên'!B59:I190,8,0)</f>
        <v>03502</v>
      </c>
      <c r="D69" s="1143" t="s">
        <v>314</v>
      </c>
      <c r="E69" s="636"/>
      <c r="F69" s="975" t="s">
        <v>50</v>
      </c>
      <c r="G69" s="975" t="s">
        <v>50</v>
      </c>
      <c r="H69" s="975" t="s">
        <v>50</v>
      </c>
      <c r="I69" s="975" t="s">
        <v>50</v>
      </c>
      <c r="J69" s="975" t="s">
        <v>50</v>
      </c>
      <c r="K69" s="975" t="s">
        <v>50</v>
      </c>
      <c r="L69" s="975" t="s">
        <v>110</v>
      </c>
      <c r="M69" s="975" t="s">
        <v>50</v>
      </c>
      <c r="N69" s="975" t="s">
        <v>50</v>
      </c>
      <c r="O69" s="975" t="s">
        <v>50</v>
      </c>
      <c r="P69" s="975" t="s">
        <v>50</v>
      </c>
      <c r="Q69" s="975" t="s">
        <v>50</v>
      </c>
      <c r="R69" s="975" t="s">
        <v>50</v>
      </c>
      <c r="S69" s="975" t="s">
        <v>811</v>
      </c>
      <c r="T69" s="975" t="s">
        <v>50</v>
      </c>
      <c r="U69" s="975" t="s">
        <v>50</v>
      </c>
      <c r="V69" s="975" t="s">
        <v>50</v>
      </c>
      <c r="W69" s="975" t="s">
        <v>50</v>
      </c>
      <c r="X69" s="975" t="s">
        <v>50</v>
      </c>
      <c r="Y69" s="975" t="s">
        <v>50</v>
      </c>
      <c r="Z69" s="975" t="s">
        <v>811</v>
      </c>
      <c r="AA69" s="975" t="s">
        <v>50</v>
      </c>
      <c r="AB69" s="975" t="s">
        <v>50</v>
      </c>
      <c r="AC69" s="975" t="s">
        <v>50</v>
      </c>
      <c r="AD69" s="975" t="s">
        <v>50</v>
      </c>
      <c r="AE69" s="975" t="s">
        <v>50</v>
      </c>
      <c r="AF69" s="975" t="s">
        <v>50</v>
      </c>
      <c r="AG69" s="975" t="s">
        <v>110</v>
      </c>
      <c r="AH69" s="975" t="s">
        <v>50</v>
      </c>
      <c r="AI69" s="975" t="s">
        <v>50</v>
      </c>
      <c r="AJ69" s="975"/>
      <c r="AK69" s="976">
        <f t="shared" si="4"/>
        <v>26</v>
      </c>
      <c r="AL69" s="977">
        <f t="shared" si="5"/>
        <v>2</v>
      </c>
      <c r="AM69" s="976">
        <f t="shared" si="6"/>
        <v>0</v>
      </c>
      <c r="AN69" s="976">
        <f t="shared" si="7"/>
        <v>2</v>
      </c>
      <c r="AO69" s="976">
        <f t="shared" si="8"/>
        <v>0</v>
      </c>
      <c r="AP69" s="977">
        <f t="shared" si="9"/>
        <v>0</v>
      </c>
      <c r="AQ69" s="978">
        <f t="shared" si="10"/>
        <v>30</v>
      </c>
      <c r="AR69" s="979"/>
      <c r="AS69" s="324" t="str">
        <f>'Mã số nhân viên'!I60</f>
        <v>04065</v>
      </c>
      <c r="AT69" s="974">
        <f t="shared" si="11"/>
        <v>0</v>
      </c>
    </row>
    <row r="70" spans="1:46" ht="24.75" customHeight="1">
      <c r="A70" s="636">
        <v>58</v>
      </c>
      <c r="B70" s="636">
        <v>58</v>
      </c>
      <c r="C70" s="636" t="str">
        <f>VLOOKUP(D70,'Mã số nhân viên'!B60:I191,8,0)</f>
        <v>04065</v>
      </c>
      <c r="D70" s="1144" t="s">
        <v>478</v>
      </c>
      <c r="E70" s="636"/>
      <c r="F70" s="975" t="s">
        <v>50</v>
      </c>
      <c r="G70" s="975" t="s">
        <v>50</v>
      </c>
      <c r="H70" s="975" t="s">
        <v>50</v>
      </c>
      <c r="I70" s="975" t="s">
        <v>50</v>
      </c>
      <c r="J70" s="975" t="s">
        <v>50</v>
      </c>
      <c r="K70" s="975" t="s">
        <v>50</v>
      </c>
      <c r="L70" s="975" t="s">
        <v>110</v>
      </c>
      <c r="M70" s="975" t="s">
        <v>50</v>
      </c>
      <c r="N70" s="975" t="s">
        <v>50</v>
      </c>
      <c r="O70" s="975" t="s">
        <v>50</v>
      </c>
      <c r="P70" s="975" t="s">
        <v>50</v>
      </c>
      <c r="Q70" s="975" t="s">
        <v>50</v>
      </c>
      <c r="R70" s="975" t="s">
        <v>50</v>
      </c>
      <c r="S70" s="975" t="s">
        <v>811</v>
      </c>
      <c r="T70" s="975" t="s">
        <v>50</v>
      </c>
      <c r="U70" s="975" t="s">
        <v>50</v>
      </c>
      <c r="V70" s="975" t="s">
        <v>50</v>
      </c>
      <c r="W70" s="975" t="s">
        <v>50</v>
      </c>
      <c r="X70" s="975" t="s">
        <v>50</v>
      </c>
      <c r="Y70" s="975" t="s">
        <v>50</v>
      </c>
      <c r="Z70" s="975" t="s">
        <v>811</v>
      </c>
      <c r="AA70" s="975" t="s">
        <v>50</v>
      </c>
      <c r="AB70" s="975" t="s">
        <v>50</v>
      </c>
      <c r="AC70" s="975" t="s">
        <v>50</v>
      </c>
      <c r="AD70" s="975" t="s">
        <v>50</v>
      </c>
      <c r="AE70" s="975" t="s">
        <v>50</v>
      </c>
      <c r="AF70" s="975" t="s">
        <v>50</v>
      </c>
      <c r="AG70" s="975" t="s">
        <v>110</v>
      </c>
      <c r="AH70" s="975" t="s">
        <v>50</v>
      </c>
      <c r="AI70" s="975" t="s">
        <v>50</v>
      </c>
      <c r="AJ70" s="975"/>
      <c r="AK70" s="976">
        <f t="shared" si="4"/>
        <v>26</v>
      </c>
      <c r="AL70" s="977">
        <f t="shared" si="5"/>
        <v>2</v>
      </c>
      <c r="AM70" s="976">
        <f t="shared" si="6"/>
        <v>0</v>
      </c>
      <c r="AN70" s="976">
        <f t="shared" si="7"/>
        <v>2</v>
      </c>
      <c r="AO70" s="976">
        <f t="shared" si="8"/>
        <v>0</v>
      </c>
      <c r="AP70" s="977">
        <f t="shared" si="9"/>
        <v>0</v>
      </c>
      <c r="AQ70" s="978">
        <f t="shared" si="10"/>
        <v>30</v>
      </c>
      <c r="AR70" s="979"/>
      <c r="AS70" s="324" t="str">
        <f>'Mã số nhân viên'!I61</f>
        <v>03504</v>
      </c>
      <c r="AT70" s="974">
        <f t="shared" si="11"/>
        <v>0</v>
      </c>
    </row>
    <row r="71" spans="1:46" ht="24.75" customHeight="1">
      <c r="A71" s="636">
        <v>59</v>
      </c>
      <c r="B71" s="636">
        <v>59</v>
      </c>
      <c r="C71" s="636" t="str">
        <f>VLOOKUP(D71,'Mã số nhân viên'!B61:I192,8,0)</f>
        <v>03504</v>
      </c>
      <c r="D71" s="1142" t="s">
        <v>221</v>
      </c>
      <c r="E71" s="636"/>
      <c r="F71" s="975" t="s">
        <v>50</v>
      </c>
      <c r="G71" s="975" t="s">
        <v>50</v>
      </c>
      <c r="H71" s="975" t="s">
        <v>50</v>
      </c>
      <c r="I71" s="975" t="s">
        <v>50</v>
      </c>
      <c r="J71" s="975" t="s">
        <v>50</v>
      </c>
      <c r="K71" s="975" t="s">
        <v>50</v>
      </c>
      <c r="L71" s="975" t="s">
        <v>110</v>
      </c>
      <c r="M71" s="975" t="s">
        <v>50</v>
      </c>
      <c r="N71" s="975" t="s">
        <v>50</v>
      </c>
      <c r="O71" s="975" t="s">
        <v>50</v>
      </c>
      <c r="P71" s="975" t="s">
        <v>50</v>
      </c>
      <c r="Q71" s="975" t="s">
        <v>50</v>
      </c>
      <c r="R71" s="975" t="s">
        <v>50</v>
      </c>
      <c r="S71" s="975" t="s">
        <v>811</v>
      </c>
      <c r="T71" s="975" t="s">
        <v>50</v>
      </c>
      <c r="U71" s="975" t="s">
        <v>50</v>
      </c>
      <c r="V71" s="975" t="s">
        <v>50</v>
      </c>
      <c r="W71" s="975" t="s">
        <v>50</v>
      </c>
      <c r="X71" s="975" t="s">
        <v>50</v>
      </c>
      <c r="Y71" s="975" t="s">
        <v>50</v>
      </c>
      <c r="Z71" s="975" t="s">
        <v>811</v>
      </c>
      <c r="AA71" s="975" t="s">
        <v>50</v>
      </c>
      <c r="AB71" s="975" t="s">
        <v>50</v>
      </c>
      <c r="AC71" s="975" t="s">
        <v>50</v>
      </c>
      <c r="AD71" s="975" t="s">
        <v>50</v>
      </c>
      <c r="AE71" s="975"/>
      <c r="AF71" s="975" t="s">
        <v>50</v>
      </c>
      <c r="AG71" s="975" t="s">
        <v>110</v>
      </c>
      <c r="AH71" s="975" t="s">
        <v>50</v>
      </c>
      <c r="AI71" s="975" t="s">
        <v>50</v>
      </c>
      <c r="AJ71" s="975"/>
      <c r="AK71" s="976">
        <f t="shared" si="4"/>
        <v>25</v>
      </c>
      <c r="AL71" s="977">
        <f t="shared" si="5"/>
        <v>2</v>
      </c>
      <c r="AM71" s="976">
        <f t="shared" si="6"/>
        <v>0</v>
      </c>
      <c r="AN71" s="976">
        <f t="shared" si="7"/>
        <v>2</v>
      </c>
      <c r="AO71" s="976">
        <f t="shared" si="8"/>
        <v>0</v>
      </c>
      <c r="AP71" s="977">
        <f t="shared" si="9"/>
        <v>0</v>
      </c>
      <c r="AQ71" s="978">
        <f t="shared" si="10"/>
        <v>29</v>
      </c>
      <c r="AR71" s="979"/>
      <c r="AS71" s="324" t="str">
        <f>'Mã số nhân viên'!I62</f>
        <v>04066</v>
      </c>
      <c r="AT71" s="974">
        <f t="shared" si="11"/>
        <v>-4066</v>
      </c>
    </row>
    <row r="72" spans="1:46" ht="24.75" customHeight="1">
      <c r="A72" s="636">
        <v>60</v>
      </c>
      <c r="B72" s="636">
        <v>60</v>
      </c>
      <c r="C72" s="636"/>
      <c r="D72" s="1146" t="s">
        <v>839</v>
      </c>
      <c r="E72" s="636"/>
      <c r="F72" s="975" t="s">
        <v>50</v>
      </c>
      <c r="G72" s="975" t="s">
        <v>50</v>
      </c>
      <c r="H72" s="975" t="s">
        <v>50</v>
      </c>
      <c r="I72" s="975" t="s">
        <v>50</v>
      </c>
      <c r="J72" s="975" t="s">
        <v>50</v>
      </c>
      <c r="K72" s="975" t="s">
        <v>50</v>
      </c>
      <c r="L72" s="975" t="s">
        <v>110</v>
      </c>
      <c r="M72" s="975" t="s">
        <v>50</v>
      </c>
      <c r="N72" s="975" t="s">
        <v>50</v>
      </c>
      <c r="O72" s="975" t="s">
        <v>50</v>
      </c>
      <c r="P72" s="975" t="s">
        <v>50</v>
      </c>
      <c r="Q72" s="975" t="s">
        <v>50</v>
      </c>
      <c r="R72" s="975" t="s">
        <v>50</v>
      </c>
      <c r="S72" s="975" t="s">
        <v>811</v>
      </c>
      <c r="T72" s="975" t="s">
        <v>50</v>
      </c>
      <c r="U72" s="975" t="s">
        <v>50</v>
      </c>
      <c r="V72" s="975" t="s">
        <v>50</v>
      </c>
      <c r="W72" s="975" t="s">
        <v>50</v>
      </c>
      <c r="X72" s="975" t="s">
        <v>50</v>
      </c>
      <c r="Y72" s="975" t="s">
        <v>50</v>
      </c>
      <c r="Z72" s="975" t="s">
        <v>811</v>
      </c>
      <c r="AA72" s="975" t="s">
        <v>50</v>
      </c>
      <c r="AB72" s="975" t="s">
        <v>50</v>
      </c>
      <c r="AC72" s="975" t="s">
        <v>50</v>
      </c>
      <c r="AD72" s="975" t="s">
        <v>50</v>
      </c>
      <c r="AE72" s="975"/>
      <c r="AF72" s="975" t="s">
        <v>50</v>
      </c>
      <c r="AG72" s="975" t="s">
        <v>110</v>
      </c>
      <c r="AH72" s="975" t="s">
        <v>50</v>
      </c>
      <c r="AI72" s="975" t="s">
        <v>50</v>
      </c>
      <c r="AJ72" s="975"/>
      <c r="AK72" s="976">
        <f t="shared" si="4"/>
        <v>25</v>
      </c>
      <c r="AL72" s="977">
        <f t="shared" si="5"/>
        <v>2</v>
      </c>
      <c r="AM72" s="976">
        <f t="shared" si="6"/>
        <v>0</v>
      </c>
      <c r="AN72" s="976">
        <f t="shared" si="7"/>
        <v>2</v>
      </c>
      <c r="AO72" s="976">
        <f t="shared" si="8"/>
        <v>0</v>
      </c>
      <c r="AP72" s="977">
        <f t="shared" si="9"/>
        <v>0</v>
      </c>
      <c r="AQ72" s="978">
        <f t="shared" si="10"/>
        <v>29</v>
      </c>
      <c r="AR72" s="979"/>
      <c r="AS72" s="324" t="str">
        <f>'Mã số nhân viên'!I63</f>
        <v>03506</v>
      </c>
      <c r="AT72" s="974">
        <f t="shared" si="11"/>
        <v>0</v>
      </c>
    </row>
    <row r="73" spans="1:46" ht="24.75" customHeight="1">
      <c r="A73" s="636">
        <v>61</v>
      </c>
      <c r="B73" s="636">
        <v>61</v>
      </c>
      <c r="C73" s="636" t="str">
        <f>VLOOKUP(D73,'Mã số nhân viên'!B63:I194,8,0)</f>
        <v>03506</v>
      </c>
      <c r="D73" s="1118" t="s">
        <v>242</v>
      </c>
      <c r="E73" s="636"/>
      <c r="F73" s="975" t="s">
        <v>50</v>
      </c>
      <c r="G73" s="975" t="s">
        <v>50</v>
      </c>
      <c r="H73" s="975" t="s">
        <v>50</v>
      </c>
      <c r="I73" s="975" t="s">
        <v>50</v>
      </c>
      <c r="J73" s="975" t="s">
        <v>50</v>
      </c>
      <c r="K73" s="975" t="s">
        <v>50</v>
      </c>
      <c r="L73" s="975" t="s">
        <v>110</v>
      </c>
      <c r="M73" s="975" t="s">
        <v>50</v>
      </c>
      <c r="N73" s="975" t="s">
        <v>50</v>
      </c>
      <c r="O73" s="975" t="s">
        <v>50</v>
      </c>
      <c r="P73" s="975" t="s">
        <v>50</v>
      </c>
      <c r="Q73" s="975" t="s">
        <v>50</v>
      </c>
      <c r="R73" s="975" t="s">
        <v>50</v>
      </c>
      <c r="S73" s="975" t="s">
        <v>811</v>
      </c>
      <c r="T73" s="975" t="s">
        <v>50</v>
      </c>
      <c r="U73" s="975" t="s">
        <v>50</v>
      </c>
      <c r="V73" s="975" t="s">
        <v>50</v>
      </c>
      <c r="W73" s="975" t="s">
        <v>50</v>
      </c>
      <c r="X73" s="975" t="s">
        <v>50</v>
      </c>
      <c r="Y73" s="975" t="s">
        <v>50</v>
      </c>
      <c r="Z73" s="975" t="s">
        <v>811</v>
      </c>
      <c r="AA73" s="975" t="s">
        <v>50</v>
      </c>
      <c r="AB73" s="975" t="s">
        <v>50</v>
      </c>
      <c r="AC73" s="975" t="s">
        <v>50</v>
      </c>
      <c r="AD73" s="975" t="s">
        <v>50</v>
      </c>
      <c r="AE73" s="975" t="s">
        <v>50</v>
      </c>
      <c r="AF73" s="975"/>
      <c r="AG73" s="975" t="s">
        <v>110</v>
      </c>
      <c r="AH73" s="975" t="s">
        <v>50</v>
      </c>
      <c r="AI73" s="975" t="s">
        <v>50</v>
      </c>
      <c r="AJ73" s="975"/>
      <c r="AK73" s="976">
        <f t="shared" si="4"/>
        <v>25</v>
      </c>
      <c r="AL73" s="977">
        <f t="shared" si="5"/>
        <v>2</v>
      </c>
      <c r="AM73" s="976">
        <f t="shared" si="6"/>
        <v>0</v>
      </c>
      <c r="AN73" s="976">
        <f t="shared" si="7"/>
        <v>2</v>
      </c>
      <c r="AO73" s="976">
        <f t="shared" si="8"/>
        <v>0</v>
      </c>
      <c r="AP73" s="977">
        <f t="shared" si="9"/>
        <v>0</v>
      </c>
      <c r="AQ73" s="978">
        <f t="shared" si="10"/>
        <v>29</v>
      </c>
      <c r="AR73" s="979"/>
      <c r="AS73" s="324" t="str">
        <f>'Mã số nhân viên'!I64</f>
        <v>04067</v>
      </c>
      <c r="AT73" s="974">
        <f t="shared" si="11"/>
        <v>0</v>
      </c>
    </row>
    <row r="74" spans="1:46" ht="24.75" customHeight="1">
      <c r="A74" s="636">
        <v>62</v>
      </c>
      <c r="B74" s="636">
        <v>62</v>
      </c>
      <c r="C74" s="636" t="str">
        <f>VLOOKUP(D74,'Mã số nhân viên'!B64:I195,8,0)</f>
        <v>04067</v>
      </c>
      <c r="D74" s="1118" t="s">
        <v>522</v>
      </c>
      <c r="E74" s="636"/>
      <c r="F74" s="975" t="s">
        <v>50</v>
      </c>
      <c r="G74" s="975" t="s">
        <v>50</v>
      </c>
      <c r="H74" s="975" t="s">
        <v>50</v>
      </c>
      <c r="I74" s="975" t="s">
        <v>50</v>
      </c>
      <c r="J74" s="975" t="s">
        <v>50</v>
      </c>
      <c r="K74" s="975" t="s">
        <v>50</v>
      </c>
      <c r="L74" s="975" t="s">
        <v>110</v>
      </c>
      <c r="M74" s="975" t="s">
        <v>50</v>
      </c>
      <c r="N74" s="975" t="s">
        <v>50</v>
      </c>
      <c r="O74" s="975" t="s">
        <v>50</v>
      </c>
      <c r="P74" s="975" t="s">
        <v>50</v>
      </c>
      <c r="Q74" s="975" t="s">
        <v>50</v>
      </c>
      <c r="R74" s="975" t="s">
        <v>50</v>
      </c>
      <c r="S74" s="975" t="s">
        <v>811</v>
      </c>
      <c r="T74" s="975" t="s">
        <v>50</v>
      </c>
      <c r="U74" s="975" t="s">
        <v>50</v>
      </c>
      <c r="V74" s="975" t="s">
        <v>50</v>
      </c>
      <c r="W74" s="975" t="s">
        <v>50</v>
      </c>
      <c r="X74" s="975" t="s">
        <v>50</v>
      </c>
      <c r="Y74" s="975" t="s">
        <v>50</v>
      </c>
      <c r="Z74" s="975" t="s">
        <v>811</v>
      </c>
      <c r="AA74" s="975" t="s">
        <v>50</v>
      </c>
      <c r="AB74" s="975" t="s">
        <v>50</v>
      </c>
      <c r="AC74" s="975" t="s">
        <v>50</v>
      </c>
      <c r="AD74" s="975" t="s">
        <v>50</v>
      </c>
      <c r="AE74" s="975" t="s">
        <v>50</v>
      </c>
      <c r="AF74" s="975" t="s">
        <v>50</v>
      </c>
      <c r="AG74" s="975" t="s">
        <v>110</v>
      </c>
      <c r="AH74" s="975" t="s">
        <v>50</v>
      </c>
      <c r="AI74" s="975" t="s">
        <v>50</v>
      </c>
      <c r="AJ74" s="975"/>
      <c r="AK74" s="976">
        <f t="shared" si="4"/>
        <v>26</v>
      </c>
      <c r="AL74" s="977">
        <f t="shared" si="5"/>
        <v>2</v>
      </c>
      <c r="AM74" s="976">
        <f t="shared" si="6"/>
        <v>0</v>
      </c>
      <c r="AN74" s="976">
        <f t="shared" si="7"/>
        <v>2</v>
      </c>
      <c r="AO74" s="976">
        <f t="shared" si="8"/>
        <v>0</v>
      </c>
      <c r="AP74" s="977">
        <f t="shared" si="9"/>
        <v>0</v>
      </c>
      <c r="AQ74" s="978">
        <f t="shared" si="10"/>
        <v>30</v>
      </c>
      <c r="AR74" s="979"/>
      <c r="AS74" s="324" t="str">
        <f>'Mã số nhân viên'!I65</f>
        <v>03508</v>
      </c>
      <c r="AT74" s="974">
        <f t="shared" si="11"/>
        <v>0</v>
      </c>
    </row>
    <row r="75" spans="1:46" ht="24.75" customHeight="1">
      <c r="A75" s="636">
        <v>63</v>
      </c>
      <c r="B75" s="636">
        <v>63</v>
      </c>
      <c r="C75" s="636" t="str">
        <f>VLOOKUP(D75,'Mã số nhân viên'!B65:I196,8,0)</f>
        <v>03508</v>
      </c>
      <c r="D75" s="1144" t="s">
        <v>315</v>
      </c>
      <c r="E75" s="636"/>
      <c r="F75" s="975" t="s">
        <v>50</v>
      </c>
      <c r="G75" s="975" t="s">
        <v>50</v>
      </c>
      <c r="H75" s="975" t="s">
        <v>50</v>
      </c>
      <c r="I75" s="975" t="s">
        <v>50</v>
      </c>
      <c r="J75" s="975" t="s">
        <v>50</v>
      </c>
      <c r="K75" s="975" t="s">
        <v>50</v>
      </c>
      <c r="L75" s="975" t="s">
        <v>110</v>
      </c>
      <c r="M75" s="975" t="s">
        <v>50</v>
      </c>
      <c r="N75" s="975" t="s">
        <v>50</v>
      </c>
      <c r="O75" s="975" t="s">
        <v>50</v>
      </c>
      <c r="P75" s="975" t="s">
        <v>50</v>
      </c>
      <c r="Q75" s="975" t="s">
        <v>50</v>
      </c>
      <c r="R75" s="975" t="s">
        <v>50</v>
      </c>
      <c r="S75" s="975" t="s">
        <v>811</v>
      </c>
      <c r="T75" s="975" t="s">
        <v>50</v>
      </c>
      <c r="U75" s="975" t="s">
        <v>50</v>
      </c>
      <c r="V75" s="975" t="s">
        <v>50</v>
      </c>
      <c r="W75" s="975" t="s">
        <v>50</v>
      </c>
      <c r="X75" s="975" t="s">
        <v>50</v>
      </c>
      <c r="Y75" s="975" t="s">
        <v>50</v>
      </c>
      <c r="Z75" s="975" t="s">
        <v>811</v>
      </c>
      <c r="AA75" s="975" t="s">
        <v>50</v>
      </c>
      <c r="AB75" s="975" t="s">
        <v>50</v>
      </c>
      <c r="AC75" s="975" t="s">
        <v>50</v>
      </c>
      <c r="AD75" s="975" t="s">
        <v>50</v>
      </c>
      <c r="AE75" s="975" t="s">
        <v>50</v>
      </c>
      <c r="AF75" s="975" t="s">
        <v>50</v>
      </c>
      <c r="AG75" s="975" t="s">
        <v>110</v>
      </c>
      <c r="AH75" s="975" t="s">
        <v>50</v>
      </c>
      <c r="AI75" s="975" t="s">
        <v>50</v>
      </c>
      <c r="AJ75" s="975"/>
      <c r="AK75" s="976">
        <f t="shared" si="4"/>
        <v>26</v>
      </c>
      <c r="AL75" s="977">
        <f t="shared" si="5"/>
        <v>2</v>
      </c>
      <c r="AM75" s="976">
        <f t="shared" si="6"/>
        <v>0</v>
      </c>
      <c r="AN75" s="976">
        <f t="shared" si="7"/>
        <v>2</v>
      </c>
      <c r="AO75" s="976">
        <f t="shared" si="8"/>
        <v>0</v>
      </c>
      <c r="AP75" s="977">
        <f t="shared" si="9"/>
        <v>0</v>
      </c>
      <c r="AQ75" s="978">
        <f t="shared" si="10"/>
        <v>30</v>
      </c>
      <c r="AR75" s="979"/>
      <c r="AS75" s="324" t="str">
        <f>'Mã số nhân viên'!I66</f>
        <v>03512</v>
      </c>
      <c r="AT75" s="974">
        <f t="shared" si="11"/>
        <v>0</v>
      </c>
    </row>
    <row r="76" spans="1:46" ht="24.75" customHeight="1">
      <c r="A76" s="636">
        <v>64</v>
      </c>
      <c r="B76" s="636">
        <v>64</v>
      </c>
      <c r="C76" s="636" t="str">
        <f>VLOOKUP(D76,'Mã số nhân viên'!B66:I197,8,0)</f>
        <v>03512</v>
      </c>
      <c r="D76" s="1142" t="s">
        <v>316</v>
      </c>
      <c r="E76" s="636"/>
      <c r="F76" s="975" t="s">
        <v>50</v>
      </c>
      <c r="G76" s="975" t="s">
        <v>50</v>
      </c>
      <c r="H76" s="975" t="s">
        <v>50</v>
      </c>
      <c r="I76" s="975" t="s">
        <v>50</v>
      </c>
      <c r="J76" s="975" t="s">
        <v>50</v>
      </c>
      <c r="K76" s="975" t="s">
        <v>50</v>
      </c>
      <c r="L76" s="975" t="s">
        <v>110</v>
      </c>
      <c r="M76" s="975" t="s">
        <v>50</v>
      </c>
      <c r="N76" s="975" t="s">
        <v>50</v>
      </c>
      <c r="O76" s="975" t="s">
        <v>50</v>
      </c>
      <c r="P76" s="975" t="s">
        <v>50</v>
      </c>
      <c r="Q76" s="975" t="s">
        <v>50</v>
      </c>
      <c r="R76" s="975" t="s">
        <v>50</v>
      </c>
      <c r="S76" s="975" t="s">
        <v>811</v>
      </c>
      <c r="T76" s="975" t="s">
        <v>50</v>
      </c>
      <c r="U76" s="975" t="s">
        <v>50</v>
      </c>
      <c r="V76" s="975" t="s">
        <v>50</v>
      </c>
      <c r="W76" s="975" t="s">
        <v>50</v>
      </c>
      <c r="X76" s="975" t="s">
        <v>50</v>
      </c>
      <c r="Y76" s="975" t="s">
        <v>50</v>
      </c>
      <c r="Z76" s="975" t="s">
        <v>811</v>
      </c>
      <c r="AA76" s="975" t="s">
        <v>50</v>
      </c>
      <c r="AB76" s="975" t="s">
        <v>50</v>
      </c>
      <c r="AC76" s="975" t="s">
        <v>50</v>
      </c>
      <c r="AD76" s="975" t="s">
        <v>50</v>
      </c>
      <c r="AE76" s="975"/>
      <c r="AF76" s="975" t="s">
        <v>50</v>
      </c>
      <c r="AG76" s="975" t="s">
        <v>110</v>
      </c>
      <c r="AH76" s="975" t="s">
        <v>50</v>
      </c>
      <c r="AI76" s="975" t="s">
        <v>50</v>
      </c>
      <c r="AJ76" s="975"/>
      <c r="AK76" s="976">
        <f t="shared" si="4"/>
        <v>25</v>
      </c>
      <c r="AL76" s="977">
        <f t="shared" si="5"/>
        <v>2</v>
      </c>
      <c r="AM76" s="976">
        <f t="shared" si="6"/>
        <v>0</v>
      </c>
      <c r="AN76" s="976">
        <f t="shared" si="7"/>
        <v>2</v>
      </c>
      <c r="AO76" s="976">
        <f t="shared" si="8"/>
        <v>0</v>
      </c>
      <c r="AP76" s="977">
        <f t="shared" si="9"/>
        <v>0</v>
      </c>
      <c r="AQ76" s="978">
        <f t="shared" si="10"/>
        <v>29</v>
      </c>
      <c r="AR76" s="979"/>
      <c r="AS76" s="324" t="str">
        <f>'Mã số nhân viên'!I67</f>
        <v>04068</v>
      </c>
      <c r="AT76" s="974">
        <f t="shared" ref="AT76:AT84" si="12">C77-AS76</f>
        <v>0</v>
      </c>
    </row>
    <row r="77" spans="1:46" ht="24.75" customHeight="1">
      <c r="A77" s="636">
        <v>65</v>
      </c>
      <c r="B77" s="636">
        <v>65</v>
      </c>
      <c r="C77" s="636" t="str">
        <f>VLOOKUP(D77,'Mã số nhân viên'!B67:I198,8,0)</f>
        <v>04068</v>
      </c>
      <c r="D77" s="1142" t="s">
        <v>384</v>
      </c>
      <c r="E77" s="636"/>
      <c r="F77" s="975" t="s">
        <v>50</v>
      </c>
      <c r="G77" s="975" t="s">
        <v>50</v>
      </c>
      <c r="H77" s="975" t="s">
        <v>50</v>
      </c>
      <c r="I77" s="975" t="s">
        <v>50</v>
      </c>
      <c r="J77" s="975" t="s">
        <v>50</v>
      </c>
      <c r="K77" s="975" t="s">
        <v>50</v>
      </c>
      <c r="L77" s="975" t="s">
        <v>110</v>
      </c>
      <c r="M77" s="975" t="s">
        <v>50</v>
      </c>
      <c r="N77" s="975" t="s">
        <v>50</v>
      </c>
      <c r="O77" s="975" t="s">
        <v>50</v>
      </c>
      <c r="P77" s="975" t="s">
        <v>50</v>
      </c>
      <c r="Q77" s="975" t="s">
        <v>50</v>
      </c>
      <c r="R77" s="975" t="s">
        <v>50</v>
      </c>
      <c r="S77" s="975" t="s">
        <v>811</v>
      </c>
      <c r="T77" s="975" t="s">
        <v>50</v>
      </c>
      <c r="U77" s="975" t="s">
        <v>50</v>
      </c>
      <c r="V77" s="975" t="s">
        <v>50</v>
      </c>
      <c r="W77" s="975" t="s">
        <v>50</v>
      </c>
      <c r="X77" s="975" t="s">
        <v>50</v>
      </c>
      <c r="Y77" s="975" t="s">
        <v>50</v>
      </c>
      <c r="Z77" s="975" t="s">
        <v>811</v>
      </c>
      <c r="AA77" s="975" t="s">
        <v>50</v>
      </c>
      <c r="AB77" s="975" t="s">
        <v>50</v>
      </c>
      <c r="AC77" s="975" t="s">
        <v>50</v>
      </c>
      <c r="AD77" s="975"/>
      <c r="AE77" s="975" t="s">
        <v>50</v>
      </c>
      <c r="AF77" s="975" t="s">
        <v>50</v>
      </c>
      <c r="AG77" s="975" t="s">
        <v>110</v>
      </c>
      <c r="AH77" s="975" t="s">
        <v>50</v>
      </c>
      <c r="AI77" s="975" t="s">
        <v>50</v>
      </c>
      <c r="AJ77" s="975"/>
      <c r="AK77" s="976">
        <f t="shared" si="4"/>
        <v>25</v>
      </c>
      <c r="AL77" s="977">
        <f t="shared" si="5"/>
        <v>2</v>
      </c>
      <c r="AM77" s="976">
        <f t="shared" si="6"/>
        <v>0</v>
      </c>
      <c r="AN77" s="976">
        <f t="shared" si="7"/>
        <v>2</v>
      </c>
      <c r="AO77" s="976">
        <f t="shared" si="8"/>
        <v>0</v>
      </c>
      <c r="AP77" s="977">
        <f t="shared" si="9"/>
        <v>0</v>
      </c>
      <c r="AQ77" s="978">
        <f t="shared" si="10"/>
        <v>29</v>
      </c>
      <c r="AR77" s="979"/>
      <c r="AS77" s="324" t="str">
        <f>'Mã số nhân viên'!I68</f>
        <v>04069</v>
      </c>
      <c r="AT77" s="974">
        <f t="shared" si="12"/>
        <v>0</v>
      </c>
    </row>
    <row r="78" spans="1:46" ht="24.75" customHeight="1">
      <c r="A78" s="636">
        <v>66</v>
      </c>
      <c r="B78" s="636">
        <v>66</v>
      </c>
      <c r="C78" s="636" t="str">
        <f>VLOOKUP(D78,'Mã số nhân viên'!B68:I199,8,0)</f>
        <v>04069</v>
      </c>
      <c r="D78" s="1142" t="s">
        <v>417</v>
      </c>
      <c r="E78" s="636"/>
      <c r="F78" s="975" t="s">
        <v>50</v>
      </c>
      <c r="G78" s="975" t="s">
        <v>50</v>
      </c>
      <c r="H78" s="975" t="s">
        <v>50</v>
      </c>
      <c r="I78" s="975" t="s">
        <v>50</v>
      </c>
      <c r="J78" s="975" t="s">
        <v>50</v>
      </c>
      <c r="K78" s="975" t="s">
        <v>50</v>
      </c>
      <c r="L78" s="975" t="s">
        <v>110</v>
      </c>
      <c r="M78" s="975" t="s">
        <v>50</v>
      </c>
      <c r="N78" s="975" t="s">
        <v>50</v>
      </c>
      <c r="O78" s="975" t="s">
        <v>50</v>
      </c>
      <c r="P78" s="975" t="s">
        <v>50</v>
      </c>
      <c r="Q78" s="975" t="s">
        <v>50</v>
      </c>
      <c r="R78" s="975" t="s">
        <v>50</v>
      </c>
      <c r="S78" s="975" t="s">
        <v>811</v>
      </c>
      <c r="T78" s="975" t="s">
        <v>50</v>
      </c>
      <c r="U78" s="975" t="s">
        <v>50</v>
      </c>
      <c r="V78" s="975" t="s">
        <v>50</v>
      </c>
      <c r="W78" s="975" t="s">
        <v>50</v>
      </c>
      <c r="X78" s="975" t="s">
        <v>778</v>
      </c>
      <c r="Y78" s="975" t="s">
        <v>50</v>
      </c>
      <c r="Z78" s="975" t="s">
        <v>811</v>
      </c>
      <c r="AA78" s="975" t="s">
        <v>50</v>
      </c>
      <c r="AB78" s="975" t="s">
        <v>50</v>
      </c>
      <c r="AC78" s="975" t="s">
        <v>50</v>
      </c>
      <c r="AD78" s="975" t="s">
        <v>50</v>
      </c>
      <c r="AE78" s="975" t="s">
        <v>50</v>
      </c>
      <c r="AF78" s="975" t="s">
        <v>50</v>
      </c>
      <c r="AG78" s="975" t="s">
        <v>110</v>
      </c>
      <c r="AH78" s="975" t="s">
        <v>50</v>
      </c>
      <c r="AI78" s="975"/>
      <c r="AJ78" s="975"/>
      <c r="AK78" s="976">
        <f t="shared" ref="AK78:AK92" si="13">SUM(COUNTIF(F78:AJ78,"x"))</f>
        <v>24</v>
      </c>
      <c r="AL78" s="977">
        <f t="shared" ref="AL78:AL92" si="14">SUM(COUNTIF(F78:AJ78,"cn"))</f>
        <v>2</v>
      </c>
      <c r="AM78" s="976">
        <f t="shared" ref="AM78:AM92" si="15">SUM(COUNTIF(F78:AJ78,"đ"))</f>
        <v>0</v>
      </c>
      <c r="AN78" s="976">
        <f t="shared" ref="AN78:AN92" si="16">SUM(COUNTIF(F78:AJ78,"đc"))</f>
        <v>2</v>
      </c>
      <c r="AO78" s="976">
        <f t="shared" ref="AO78:AO92" si="17">SUM(COUNTIF(F78:AJ78,"gt"))</f>
        <v>0</v>
      </c>
      <c r="AP78" s="977">
        <f t="shared" ref="AP78:AP92" si="18">SUM(COUNTIF(F78:AJ78,"ct"))</f>
        <v>0</v>
      </c>
      <c r="AQ78" s="978">
        <f t="shared" ref="AQ78:AQ92" si="19">AK78+AL78+AM78+AN78+AO78+AP78</f>
        <v>28</v>
      </c>
      <c r="AR78" s="979"/>
      <c r="AS78" s="324" t="str">
        <f>'Mã số nhân viên'!I69</f>
        <v>03546</v>
      </c>
      <c r="AT78" s="974">
        <f t="shared" si="12"/>
        <v>0</v>
      </c>
    </row>
    <row r="79" spans="1:46" ht="24.75" customHeight="1">
      <c r="A79" s="636">
        <v>67</v>
      </c>
      <c r="B79" s="636">
        <v>67</v>
      </c>
      <c r="C79" s="636" t="str">
        <f>VLOOKUP(D79,'Mã số nhân viên'!B69:I200,8,0)</f>
        <v>03546</v>
      </c>
      <c r="D79" s="1142" t="s">
        <v>200</v>
      </c>
      <c r="E79" s="636"/>
      <c r="F79" s="975" t="s">
        <v>50</v>
      </c>
      <c r="G79" s="975" t="s">
        <v>50</v>
      </c>
      <c r="H79" s="975" t="s">
        <v>50</v>
      </c>
      <c r="I79" s="975" t="s">
        <v>50</v>
      </c>
      <c r="J79" s="975" t="s">
        <v>50</v>
      </c>
      <c r="K79" s="975" t="s">
        <v>50</v>
      </c>
      <c r="L79" s="975" t="s">
        <v>110</v>
      </c>
      <c r="M79" s="975" t="s">
        <v>50</v>
      </c>
      <c r="N79" s="975" t="s">
        <v>50</v>
      </c>
      <c r="O79" s="975" t="s">
        <v>50</v>
      </c>
      <c r="P79" s="975" t="s">
        <v>50</v>
      </c>
      <c r="Q79" s="975" t="s">
        <v>50</v>
      </c>
      <c r="R79" s="975" t="s">
        <v>50</v>
      </c>
      <c r="S79" s="975" t="s">
        <v>811</v>
      </c>
      <c r="T79" s="975" t="s">
        <v>50</v>
      </c>
      <c r="U79" s="975" t="s">
        <v>50</v>
      </c>
      <c r="V79" s="975" t="s">
        <v>50</v>
      </c>
      <c r="W79" s="975" t="s">
        <v>50</v>
      </c>
      <c r="X79" s="975" t="s">
        <v>50</v>
      </c>
      <c r="Y79" s="975" t="s">
        <v>50</v>
      </c>
      <c r="Z79" s="975" t="s">
        <v>811</v>
      </c>
      <c r="AA79" s="975" t="s">
        <v>50</v>
      </c>
      <c r="AB79" s="975" t="s">
        <v>50</v>
      </c>
      <c r="AC79" s="975" t="s">
        <v>50</v>
      </c>
      <c r="AD79" s="975" t="s">
        <v>50</v>
      </c>
      <c r="AE79" s="975" t="s">
        <v>50</v>
      </c>
      <c r="AF79" s="975" t="s">
        <v>50</v>
      </c>
      <c r="AG79" s="975" t="s">
        <v>110</v>
      </c>
      <c r="AH79" s="975" t="s">
        <v>50</v>
      </c>
      <c r="AI79" s="975" t="s">
        <v>50</v>
      </c>
      <c r="AJ79" s="975"/>
      <c r="AK79" s="976">
        <f t="shared" si="13"/>
        <v>26</v>
      </c>
      <c r="AL79" s="977">
        <f t="shared" si="14"/>
        <v>2</v>
      </c>
      <c r="AM79" s="976">
        <f t="shared" si="15"/>
        <v>0</v>
      </c>
      <c r="AN79" s="976">
        <f t="shared" si="16"/>
        <v>2</v>
      </c>
      <c r="AO79" s="976">
        <f t="shared" si="17"/>
        <v>0</v>
      </c>
      <c r="AP79" s="977">
        <f t="shared" si="18"/>
        <v>0</v>
      </c>
      <c r="AQ79" s="978">
        <f t="shared" si="19"/>
        <v>30</v>
      </c>
      <c r="AR79" s="979"/>
      <c r="AS79" s="324" t="str">
        <f>'Mã số nhân viên'!I70</f>
        <v>03571</v>
      </c>
      <c r="AT79" s="974">
        <f t="shared" si="12"/>
        <v>0</v>
      </c>
    </row>
    <row r="80" spans="1:46" ht="24.75" customHeight="1">
      <c r="A80" s="636">
        <v>68</v>
      </c>
      <c r="B80" s="636">
        <v>68</v>
      </c>
      <c r="C80" s="636" t="str">
        <f>VLOOKUP(D80,'Mã số nhân viên'!B70:I201,8,0)</f>
        <v>03571</v>
      </c>
      <c r="D80" s="1142" t="s">
        <v>298</v>
      </c>
      <c r="E80" s="636"/>
      <c r="F80" s="975" t="s">
        <v>50</v>
      </c>
      <c r="G80" s="975" t="s">
        <v>50</v>
      </c>
      <c r="H80" s="975" t="s">
        <v>50</v>
      </c>
      <c r="I80" s="975" t="s">
        <v>50</v>
      </c>
      <c r="J80" s="975" t="s">
        <v>50</v>
      </c>
      <c r="K80" s="975" t="s">
        <v>50</v>
      </c>
      <c r="L80" s="975" t="s">
        <v>110</v>
      </c>
      <c r="M80" s="975" t="s">
        <v>50</v>
      </c>
      <c r="N80" s="975" t="s">
        <v>50</v>
      </c>
      <c r="O80" s="975" t="s">
        <v>50</v>
      </c>
      <c r="P80" s="975" t="s">
        <v>50</v>
      </c>
      <c r="Q80" s="975" t="s">
        <v>50</v>
      </c>
      <c r="R80" s="975" t="s">
        <v>50</v>
      </c>
      <c r="S80" s="975" t="s">
        <v>811</v>
      </c>
      <c r="T80" s="975" t="s">
        <v>50</v>
      </c>
      <c r="U80" s="975" t="s">
        <v>50</v>
      </c>
      <c r="V80" s="975" t="s">
        <v>50</v>
      </c>
      <c r="W80" s="975" t="s">
        <v>50</v>
      </c>
      <c r="X80" s="975" t="s">
        <v>50</v>
      </c>
      <c r="Y80" s="975" t="s">
        <v>50</v>
      </c>
      <c r="Z80" s="975" t="s">
        <v>811</v>
      </c>
      <c r="AA80" s="975" t="s">
        <v>50</v>
      </c>
      <c r="AB80" s="975" t="s">
        <v>50</v>
      </c>
      <c r="AC80" s="975" t="s">
        <v>50</v>
      </c>
      <c r="AD80" s="975" t="s">
        <v>50</v>
      </c>
      <c r="AE80" s="975" t="s">
        <v>50</v>
      </c>
      <c r="AF80" s="975" t="s">
        <v>50</v>
      </c>
      <c r="AG80" s="975" t="s">
        <v>110</v>
      </c>
      <c r="AH80" s="975" t="s">
        <v>50</v>
      </c>
      <c r="AI80" s="975" t="s">
        <v>50</v>
      </c>
      <c r="AJ80" s="975"/>
      <c r="AK80" s="976">
        <f t="shared" si="13"/>
        <v>26</v>
      </c>
      <c r="AL80" s="977">
        <f t="shared" si="14"/>
        <v>2</v>
      </c>
      <c r="AM80" s="976">
        <f t="shared" si="15"/>
        <v>0</v>
      </c>
      <c r="AN80" s="976">
        <f t="shared" si="16"/>
        <v>2</v>
      </c>
      <c r="AO80" s="976">
        <f t="shared" si="17"/>
        <v>0</v>
      </c>
      <c r="AP80" s="977">
        <f t="shared" si="18"/>
        <v>0</v>
      </c>
      <c r="AQ80" s="978">
        <f t="shared" si="19"/>
        <v>30</v>
      </c>
      <c r="AR80" s="979"/>
      <c r="AS80" s="324" t="str">
        <f>'Mã số nhân viên'!I71</f>
        <v>04070</v>
      </c>
      <c r="AT80" s="974">
        <f t="shared" si="12"/>
        <v>-4070</v>
      </c>
    </row>
    <row r="81" spans="1:47" s="967" customFormat="1" ht="24.75" customHeight="1">
      <c r="A81" s="636">
        <v>69</v>
      </c>
      <c r="B81" s="636">
        <v>69</v>
      </c>
      <c r="C81" s="1134"/>
      <c r="D81" s="1125" t="s">
        <v>750</v>
      </c>
      <c r="E81" s="1135"/>
      <c r="F81" s="1136" t="s">
        <v>50</v>
      </c>
      <c r="G81" s="1136" t="s">
        <v>50</v>
      </c>
      <c r="H81" s="1136" t="s">
        <v>50</v>
      </c>
      <c r="I81" s="1136" t="s">
        <v>50</v>
      </c>
      <c r="J81" s="1136" t="s">
        <v>50</v>
      </c>
      <c r="K81" s="1136" t="s">
        <v>50</v>
      </c>
      <c r="L81" s="1136" t="s">
        <v>110</v>
      </c>
      <c r="M81" s="1136" t="s">
        <v>50</v>
      </c>
      <c r="N81" s="1136" t="s">
        <v>50</v>
      </c>
      <c r="O81" s="1136" t="s">
        <v>50</v>
      </c>
      <c r="P81" s="1136" t="s">
        <v>50</v>
      </c>
      <c r="Q81" s="1136" t="s">
        <v>50</v>
      </c>
      <c r="R81" s="1136" t="s">
        <v>50</v>
      </c>
      <c r="S81" s="1136" t="s">
        <v>811</v>
      </c>
      <c r="T81" s="1136" t="s">
        <v>50</v>
      </c>
      <c r="U81" s="1136" t="s">
        <v>50</v>
      </c>
      <c r="V81" s="1136" t="s">
        <v>50</v>
      </c>
      <c r="W81" s="1136" t="s">
        <v>50</v>
      </c>
      <c r="X81" s="1136" t="s">
        <v>50</v>
      </c>
      <c r="Y81" s="1136" t="s">
        <v>50</v>
      </c>
      <c r="Z81" s="1136" t="s">
        <v>811</v>
      </c>
      <c r="AA81" s="1136" t="s">
        <v>50</v>
      </c>
      <c r="AB81" s="1136" t="s">
        <v>50</v>
      </c>
      <c r="AC81" s="1136" t="s">
        <v>50</v>
      </c>
      <c r="AD81" s="1136" t="s">
        <v>50</v>
      </c>
      <c r="AE81" s="1136" t="s">
        <v>50</v>
      </c>
      <c r="AF81" s="1136"/>
      <c r="AG81" s="1136" t="s">
        <v>110</v>
      </c>
      <c r="AH81" s="1136" t="s">
        <v>50</v>
      </c>
      <c r="AI81" s="1136" t="s">
        <v>50</v>
      </c>
      <c r="AJ81" s="1136"/>
      <c r="AK81" s="1137">
        <f t="shared" si="13"/>
        <v>25</v>
      </c>
      <c r="AL81" s="1138">
        <f t="shared" si="14"/>
        <v>2</v>
      </c>
      <c r="AM81" s="1137">
        <f t="shared" si="15"/>
        <v>0</v>
      </c>
      <c r="AN81" s="1137">
        <f t="shared" si="16"/>
        <v>2</v>
      </c>
      <c r="AO81" s="1137">
        <f t="shared" si="17"/>
        <v>0</v>
      </c>
      <c r="AP81" s="1138">
        <f t="shared" si="18"/>
        <v>0</v>
      </c>
      <c r="AQ81" s="1139">
        <f t="shared" si="19"/>
        <v>29</v>
      </c>
      <c r="AR81" s="1140"/>
      <c r="AS81" s="974" t="str">
        <f>'Mã số nhân viên'!I72</f>
        <v>03515</v>
      </c>
      <c r="AT81" s="974">
        <f t="shared" si="12"/>
        <v>0</v>
      </c>
    </row>
    <row r="82" spans="1:47" ht="24.75" customHeight="1">
      <c r="A82" s="636">
        <v>70</v>
      </c>
      <c r="B82" s="636">
        <v>70</v>
      </c>
      <c r="C82" s="636" t="str">
        <f>VLOOKUP(D82,'Mã số nhân viên'!B72:I203,8,0)</f>
        <v>03515</v>
      </c>
      <c r="D82" s="1142" t="s">
        <v>317</v>
      </c>
      <c r="E82" s="636"/>
      <c r="F82" s="975" t="s">
        <v>50</v>
      </c>
      <c r="G82" s="975" t="s">
        <v>50</v>
      </c>
      <c r="H82" s="975" t="s">
        <v>50</v>
      </c>
      <c r="I82" s="975" t="s">
        <v>50</v>
      </c>
      <c r="J82" s="975" t="s">
        <v>50</v>
      </c>
      <c r="K82" s="975" t="s">
        <v>50</v>
      </c>
      <c r="L82" s="975" t="s">
        <v>110</v>
      </c>
      <c r="M82" s="975" t="s">
        <v>50</v>
      </c>
      <c r="N82" s="975" t="s">
        <v>50</v>
      </c>
      <c r="O82" s="975" t="s">
        <v>50</v>
      </c>
      <c r="P82" s="975" t="s">
        <v>50</v>
      </c>
      <c r="Q82" s="975" t="s">
        <v>50</v>
      </c>
      <c r="R82" s="975" t="s">
        <v>50</v>
      </c>
      <c r="S82" s="975" t="s">
        <v>811</v>
      </c>
      <c r="T82" s="975" t="s">
        <v>50</v>
      </c>
      <c r="U82" s="975" t="s">
        <v>50</v>
      </c>
      <c r="V82" s="975" t="s">
        <v>50</v>
      </c>
      <c r="W82" s="975" t="s">
        <v>50</v>
      </c>
      <c r="X82" s="975" t="s">
        <v>50</v>
      </c>
      <c r="Y82" s="975" t="s">
        <v>50</v>
      </c>
      <c r="Z82" s="975" t="s">
        <v>811</v>
      </c>
      <c r="AA82" s="975" t="s">
        <v>50</v>
      </c>
      <c r="AB82" s="975" t="s">
        <v>50</v>
      </c>
      <c r="AC82" s="975" t="s">
        <v>50</v>
      </c>
      <c r="AD82" s="975" t="s">
        <v>50</v>
      </c>
      <c r="AE82" s="975" t="s">
        <v>50</v>
      </c>
      <c r="AF82" s="975" t="s">
        <v>50</v>
      </c>
      <c r="AG82" s="975" t="s">
        <v>110</v>
      </c>
      <c r="AH82" s="975" t="s">
        <v>50</v>
      </c>
      <c r="AI82" s="975" t="s">
        <v>50</v>
      </c>
      <c r="AJ82" s="975"/>
      <c r="AK82" s="976">
        <f t="shared" si="13"/>
        <v>26</v>
      </c>
      <c r="AL82" s="977">
        <f t="shared" si="14"/>
        <v>2</v>
      </c>
      <c r="AM82" s="976">
        <f t="shared" si="15"/>
        <v>0</v>
      </c>
      <c r="AN82" s="976">
        <f t="shared" si="16"/>
        <v>2</v>
      </c>
      <c r="AO82" s="976">
        <f t="shared" si="17"/>
        <v>0</v>
      </c>
      <c r="AP82" s="977">
        <f t="shared" si="18"/>
        <v>0</v>
      </c>
      <c r="AQ82" s="978">
        <f t="shared" si="19"/>
        <v>30</v>
      </c>
      <c r="AR82" s="979"/>
      <c r="AS82" s="324" t="str">
        <f>'Mã số nhân viên'!I73</f>
        <v>03516</v>
      </c>
      <c r="AT82" s="974">
        <f t="shared" si="12"/>
        <v>0</v>
      </c>
    </row>
    <row r="83" spans="1:47" ht="24.75" customHeight="1">
      <c r="A83" s="636">
        <v>71</v>
      </c>
      <c r="B83" s="636">
        <v>71</v>
      </c>
      <c r="C83" s="636" t="str">
        <f>VLOOKUP(D83,'Mã số nhân viên'!B73:I204,8,0)</f>
        <v>03516</v>
      </c>
      <c r="D83" s="1142" t="s">
        <v>220</v>
      </c>
      <c r="E83" s="636"/>
      <c r="F83" s="975" t="s">
        <v>50</v>
      </c>
      <c r="G83" s="975" t="s">
        <v>50</v>
      </c>
      <c r="H83" s="975" t="s">
        <v>50</v>
      </c>
      <c r="I83" s="975" t="s">
        <v>50</v>
      </c>
      <c r="J83" s="975" t="s">
        <v>50</v>
      </c>
      <c r="K83" s="975" t="s">
        <v>50</v>
      </c>
      <c r="L83" s="975" t="s">
        <v>110</v>
      </c>
      <c r="M83" s="975" t="s">
        <v>50</v>
      </c>
      <c r="N83" s="975" t="s">
        <v>50</v>
      </c>
      <c r="O83" s="975" t="s">
        <v>50</v>
      </c>
      <c r="P83" s="975" t="s">
        <v>50</v>
      </c>
      <c r="Q83" s="975" t="s">
        <v>50</v>
      </c>
      <c r="R83" s="975" t="s">
        <v>50</v>
      </c>
      <c r="S83" s="975" t="s">
        <v>811</v>
      </c>
      <c r="T83" s="975" t="s">
        <v>50</v>
      </c>
      <c r="U83" s="975" t="s">
        <v>50</v>
      </c>
      <c r="V83" s="975" t="s">
        <v>50</v>
      </c>
      <c r="W83" s="975" t="s">
        <v>50</v>
      </c>
      <c r="X83" s="975" t="s">
        <v>50</v>
      </c>
      <c r="Y83" s="975" t="s">
        <v>50</v>
      </c>
      <c r="Z83" s="975" t="s">
        <v>811</v>
      </c>
      <c r="AA83" s="975" t="s">
        <v>50</v>
      </c>
      <c r="AB83" s="975" t="s">
        <v>50</v>
      </c>
      <c r="AC83" s="975" t="s">
        <v>50</v>
      </c>
      <c r="AD83" s="975" t="s">
        <v>50</v>
      </c>
      <c r="AE83" s="975" t="s">
        <v>50</v>
      </c>
      <c r="AF83" s="975" t="s">
        <v>50</v>
      </c>
      <c r="AG83" s="975" t="s">
        <v>110</v>
      </c>
      <c r="AH83" s="975" t="s">
        <v>50</v>
      </c>
      <c r="AI83" s="975" t="s">
        <v>50</v>
      </c>
      <c r="AJ83" s="975"/>
      <c r="AK83" s="976">
        <f t="shared" si="13"/>
        <v>26</v>
      </c>
      <c r="AL83" s="977">
        <f t="shared" si="14"/>
        <v>2</v>
      </c>
      <c r="AM83" s="976">
        <f t="shared" si="15"/>
        <v>0</v>
      </c>
      <c r="AN83" s="976">
        <f t="shared" si="16"/>
        <v>2</v>
      </c>
      <c r="AO83" s="976">
        <f t="shared" si="17"/>
        <v>0</v>
      </c>
      <c r="AP83" s="977">
        <f t="shared" si="18"/>
        <v>0</v>
      </c>
      <c r="AQ83" s="978">
        <f t="shared" si="19"/>
        <v>30</v>
      </c>
      <c r="AR83" s="979"/>
      <c r="AS83" s="324" t="str">
        <f>'Mã số nhân viên'!I74</f>
        <v>03544</v>
      </c>
      <c r="AT83" s="974">
        <f t="shared" si="12"/>
        <v>0</v>
      </c>
    </row>
    <row r="84" spans="1:47" ht="24.75" customHeight="1">
      <c r="A84" s="636">
        <v>72</v>
      </c>
      <c r="B84" s="636">
        <v>72</v>
      </c>
      <c r="C84" s="636" t="str">
        <f>VLOOKUP(D84,'Mã số nhân viên'!B74:I205,8,0)</f>
        <v>03544</v>
      </c>
      <c r="D84" s="1142" t="s">
        <v>259</v>
      </c>
      <c r="E84" s="636"/>
      <c r="F84" s="975" t="s">
        <v>50</v>
      </c>
      <c r="G84" s="975" t="s">
        <v>50</v>
      </c>
      <c r="H84" s="975" t="s">
        <v>50</v>
      </c>
      <c r="I84" s="975" t="s">
        <v>50</v>
      </c>
      <c r="J84" s="975" t="s">
        <v>50</v>
      </c>
      <c r="K84" s="975" t="s">
        <v>50</v>
      </c>
      <c r="L84" s="975" t="s">
        <v>110</v>
      </c>
      <c r="M84" s="975" t="s">
        <v>50</v>
      </c>
      <c r="N84" s="975" t="s">
        <v>50</v>
      </c>
      <c r="O84" s="975" t="s">
        <v>50</v>
      </c>
      <c r="P84" s="975" t="s">
        <v>50</v>
      </c>
      <c r="Q84" s="975" t="s">
        <v>50</v>
      </c>
      <c r="R84" s="975" t="s">
        <v>50</v>
      </c>
      <c r="S84" s="975" t="s">
        <v>811</v>
      </c>
      <c r="T84" s="975" t="s">
        <v>50</v>
      </c>
      <c r="U84" s="975" t="s">
        <v>50</v>
      </c>
      <c r="V84" s="975" t="s">
        <v>50</v>
      </c>
      <c r="W84" s="975" t="s">
        <v>50</v>
      </c>
      <c r="X84" s="975" t="s">
        <v>50</v>
      </c>
      <c r="Y84" s="975" t="s">
        <v>50</v>
      </c>
      <c r="Z84" s="975" t="s">
        <v>811</v>
      </c>
      <c r="AA84" s="975" t="s">
        <v>50</v>
      </c>
      <c r="AB84" s="975" t="s">
        <v>50</v>
      </c>
      <c r="AC84" s="975" t="s">
        <v>50</v>
      </c>
      <c r="AD84" s="975" t="s">
        <v>50</v>
      </c>
      <c r="AE84" s="975" t="s">
        <v>50</v>
      </c>
      <c r="AF84" s="975" t="s">
        <v>50</v>
      </c>
      <c r="AG84" s="975" t="s">
        <v>110</v>
      </c>
      <c r="AH84" s="975" t="s">
        <v>50</v>
      </c>
      <c r="AI84" s="975" t="s">
        <v>50</v>
      </c>
      <c r="AJ84" s="975"/>
      <c r="AK84" s="976">
        <f t="shared" si="13"/>
        <v>26</v>
      </c>
      <c r="AL84" s="977">
        <f t="shared" si="14"/>
        <v>2</v>
      </c>
      <c r="AM84" s="976">
        <f t="shared" si="15"/>
        <v>0</v>
      </c>
      <c r="AN84" s="976">
        <f t="shared" si="16"/>
        <v>2</v>
      </c>
      <c r="AO84" s="976">
        <f t="shared" si="17"/>
        <v>0</v>
      </c>
      <c r="AP84" s="977">
        <f t="shared" si="18"/>
        <v>0</v>
      </c>
      <c r="AQ84" s="978">
        <f t="shared" si="19"/>
        <v>30</v>
      </c>
      <c r="AR84" s="979"/>
      <c r="AS84" s="324" t="str">
        <f>'Mã số nhân viên'!I75</f>
        <v>04071</v>
      </c>
      <c r="AT84" s="974">
        <f t="shared" si="12"/>
        <v>0</v>
      </c>
    </row>
    <row r="85" spans="1:47" ht="24.75" customHeight="1">
      <c r="A85" s="636">
        <v>73</v>
      </c>
      <c r="B85" s="636">
        <v>73</v>
      </c>
      <c r="C85" s="636" t="str">
        <f>VLOOKUP(D85,'Mã số nhân viên'!B75:I206,8,0)</f>
        <v>04071</v>
      </c>
      <c r="D85" s="1142" t="s">
        <v>523</v>
      </c>
      <c r="E85" s="636"/>
      <c r="F85" s="975" t="s">
        <v>50</v>
      </c>
      <c r="G85" s="975" t="s">
        <v>50</v>
      </c>
      <c r="H85" s="975" t="s">
        <v>50</v>
      </c>
      <c r="I85" s="975" t="s">
        <v>50</v>
      </c>
      <c r="J85" s="975" t="s">
        <v>50</v>
      </c>
      <c r="K85" s="975" t="s">
        <v>50</v>
      </c>
      <c r="L85" s="975" t="s">
        <v>110</v>
      </c>
      <c r="M85" s="975" t="s">
        <v>50</v>
      </c>
      <c r="N85" s="975" t="s">
        <v>50</v>
      </c>
      <c r="O85" s="975" t="s">
        <v>50</v>
      </c>
      <c r="P85" s="975" t="s">
        <v>50</v>
      </c>
      <c r="Q85" s="975" t="s">
        <v>50</v>
      </c>
      <c r="R85" s="975" t="s">
        <v>50</v>
      </c>
      <c r="S85" s="975" t="s">
        <v>811</v>
      </c>
      <c r="T85" s="975" t="s">
        <v>50</v>
      </c>
      <c r="U85" s="975" t="s">
        <v>50</v>
      </c>
      <c r="V85" s="975" t="s">
        <v>50</v>
      </c>
      <c r="W85" s="975" t="s">
        <v>50</v>
      </c>
      <c r="X85" s="975" t="s">
        <v>50</v>
      </c>
      <c r="Y85" s="975" t="s">
        <v>50</v>
      </c>
      <c r="Z85" s="975" t="s">
        <v>811</v>
      </c>
      <c r="AA85" s="975" t="s">
        <v>50</v>
      </c>
      <c r="AB85" s="975" t="s">
        <v>50</v>
      </c>
      <c r="AC85" s="975" t="s">
        <v>50</v>
      </c>
      <c r="AD85" s="975" t="s">
        <v>50</v>
      </c>
      <c r="AE85" s="975" t="s">
        <v>50</v>
      </c>
      <c r="AF85" s="975" t="s">
        <v>50</v>
      </c>
      <c r="AG85" s="975" t="s">
        <v>110</v>
      </c>
      <c r="AH85" s="975" t="s">
        <v>50</v>
      </c>
      <c r="AI85" s="975" t="s">
        <v>50</v>
      </c>
      <c r="AJ85" s="975"/>
      <c r="AK85" s="976">
        <f t="shared" si="13"/>
        <v>26</v>
      </c>
      <c r="AL85" s="977">
        <f t="shared" si="14"/>
        <v>2</v>
      </c>
      <c r="AM85" s="976">
        <f t="shared" si="15"/>
        <v>0</v>
      </c>
      <c r="AN85" s="976">
        <f t="shared" si="16"/>
        <v>2</v>
      </c>
      <c r="AO85" s="976">
        <f t="shared" si="17"/>
        <v>0</v>
      </c>
      <c r="AP85" s="977">
        <f t="shared" si="18"/>
        <v>0</v>
      </c>
      <c r="AQ85" s="978">
        <f t="shared" si="19"/>
        <v>30</v>
      </c>
      <c r="AR85" s="979"/>
      <c r="AS85" s="973">
        <f>'Mã số nhân viên'!I76</f>
        <v>0</v>
      </c>
      <c r="AT85" s="967">
        <f>E86-AS85</f>
        <v>0</v>
      </c>
    </row>
    <row r="86" spans="1:47" ht="24.75" customHeight="1">
      <c r="A86" s="636">
        <v>74</v>
      </c>
      <c r="B86" s="636">
        <v>74</v>
      </c>
      <c r="C86" s="636"/>
      <c r="D86" s="1148" t="s">
        <v>485</v>
      </c>
      <c r="E86" s="123"/>
      <c r="F86" s="975"/>
      <c r="G86" s="975"/>
      <c r="H86" s="975"/>
      <c r="I86" s="975"/>
      <c r="J86" s="975"/>
      <c r="K86" s="975"/>
      <c r="L86" s="975"/>
      <c r="M86" s="975"/>
      <c r="N86" s="975"/>
      <c r="O86" s="975"/>
      <c r="P86" s="975"/>
      <c r="Q86" s="975"/>
      <c r="R86" s="975"/>
      <c r="S86" s="975"/>
      <c r="T86" s="975" t="s">
        <v>50</v>
      </c>
      <c r="U86" s="975"/>
      <c r="V86" s="975"/>
      <c r="W86" s="975" t="s">
        <v>50</v>
      </c>
      <c r="X86" s="975" t="s">
        <v>50</v>
      </c>
      <c r="Y86" s="975"/>
      <c r="Z86" s="975"/>
      <c r="AA86" s="975"/>
      <c r="AB86" s="975"/>
      <c r="AC86" s="975"/>
      <c r="AD86" s="975" t="s">
        <v>50</v>
      </c>
      <c r="AE86" s="975" t="s">
        <v>50</v>
      </c>
      <c r="AF86" s="975"/>
      <c r="AG86" s="975"/>
      <c r="AH86" s="975" t="s">
        <v>50</v>
      </c>
      <c r="AI86" s="975" t="s">
        <v>50</v>
      </c>
      <c r="AJ86" s="975"/>
      <c r="AK86" s="976">
        <f t="shared" si="13"/>
        <v>7</v>
      </c>
      <c r="AL86" s="977">
        <f t="shared" si="14"/>
        <v>0</v>
      </c>
      <c r="AM86" s="976">
        <f t="shared" si="15"/>
        <v>0</v>
      </c>
      <c r="AN86" s="976">
        <f t="shared" si="16"/>
        <v>0</v>
      </c>
      <c r="AO86" s="976">
        <f t="shared" si="17"/>
        <v>0</v>
      </c>
      <c r="AP86" s="977">
        <f t="shared" si="18"/>
        <v>0</v>
      </c>
      <c r="AQ86" s="978">
        <f t="shared" si="19"/>
        <v>7</v>
      </c>
      <c r="AR86" s="979"/>
    </row>
    <row r="87" spans="1:47" ht="24.75" customHeight="1">
      <c r="A87" s="636">
        <v>75</v>
      </c>
      <c r="B87" s="636">
        <v>75</v>
      </c>
      <c r="C87" s="636"/>
      <c r="D87" s="1148" t="s">
        <v>746</v>
      </c>
      <c r="E87" s="123"/>
      <c r="F87" s="975"/>
      <c r="G87" s="975"/>
      <c r="H87" s="975"/>
      <c r="I87" s="975"/>
      <c r="J87" s="975"/>
      <c r="K87" s="975"/>
      <c r="L87" s="975"/>
      <c r="M87" s="975"/>
      <c r="N87" s="975"/>
      <c r="O87" s="975"/>
      <c r="P87" s="975"/>
      <c r="Q87" s="975"/>
      <c r="R87" s="975"/>
      <c r="S87" s="975"/>
      <c r="T87" s="975" t="s">
        <v>50</v>
      </c>
      <c r="U87" s="975"/>
      <c r="V87" s="975"/>
      <c r="W87" s="975" t="s">
        <v>50</v>
      </c>
      <c r="X87" s="975" t="s">
        <v>50</v>
      </c>
      <c r="Y87" s="975"/>
      <c r="Z87" s="975"/>
      <c r="AA87" s="975"/>
      <c r="AB87" s="975"/>
      <c r="AC87" s="975"/>
      <c r="AD87" s="975"/>
      <c r="AE87" s="975"/>
      <c r="AF87" s="975"/>
      <c r="AG87" s="975"/>
      <c r="AH87" s="975"/>
      <c r="AI87" s="975"/>
      <c r="AJ87" s="975"/>
      <c r="AK87" s="976">
        <f t="shared" si="13"/>
        <v>3</v>
      </c>
      <c r="AL87" s="977">
        <f t="shared" si="14"/>
        <v>0</v>
      </c>
      <c r="AM87" s="976">
        <f t="shared" si="15"/>
        <v>0</v>
      </c>
      <c r="AN87" s="976">
        <f t="shared" si="16"/>
        <v>0</v>
      </c>
      <c r="AO87" s="976">
        <f t="shared" si="17"/>
        <v>0</v>
      </c>
      <c r="AP87" s="977">
        <f t="shared" si="18"/>
        <v>0</v>
      </c>
      <c r="AQ87" s="978">
        <f t="shared" si="19"/>
        <v>3</v>
      </c>
      <c r="AR87" s="979"/>
    </row>
    <row r="88" spans="1:47" ht="24.75" customHeight="1">
      <c r="A88" s="636">
        <v>76</v>
      </c>
      <c r="B88" s="636">
        <v>76</v>
      </c>
      <c r="C88" s="636"/>
      <c r="D88" s="1148" t="s">
        <v>747</v>
      </c>
      <c r="E88" s="123"/>
      <c r="F88" s="975"/>
      <c r="G88" s="975"/>
      <c r="H88" s="975"/>
      <c r="I88" s="975"/>
      <c r="J88" s="975"/>
      <c r="K88" s="975"/>
      <c r="L88" s="975"/>
      <c r="M88" s="975"/>
      <c r="N88" s="975"/>
      <c r="O88" s="975"/>
      <c r="P88" s="975"/>
      <c r="Q88" s="975"/>
      <c r="R88" s="975"/>
      <c r="S88" s="975"/>
      <c r="T88" s="975"/>
      <c r="U88" s="975"/>
      <c r="V88" s="975"/>
      <c r="W88" s="975" t="s">
        <v>50</v>
      </c>
      <c r="X88" s="975" t="s">
        <v>50</v>
      </c>
      <c r="Y88" s="975"/>
      <c r="Z88" s="975"/>
      <c r="AA88" s="975"/>
      <c r="AB88" s="975"/>
      <c r="AC88" s="975"/>
      <c r="AD88" s="975"/>
      <c r="AE88" s="975"/>
      <c r="AF88" s="975"/>
      <c r="AG88" s="975"/>
      <c r="AH88" s="975"/>
      <c r="AI88" s="975"/>
      <c r="AJ88" s="975"/>
      <c r="AK88" s="976">
        <f t="shared" si="13"/>
        <v>2</v>
      </c>
      <c r="AL88" s="977">
        <f t="shared" si="14"/>
        <v>0</v>
      </c>
      <c r="AM88" s="976">
        <f t="shared" si="15"/>
        <v>0</v>
      </c>
      <c r="AN88" s="976">
        <f t="shared" si="16"/>
        <v>0</v>
      </c>
      <c r="AO88" s="976">
        <f t="shared" si="17"/>
        <v>0</v>
      </c>
      <c r="AP88" s="977">
        <f t="shared" si="18"/>
        <v>0</v>
      </c>
      <c r="AQ88" s="978">
        <f t="shared" si="19"/>
        <v>2</v>
      </c>
      <c r="AR88" s="979"/>
    </row>
    <row r="89" spans="1:47" ht="24.75" customHeight="1">
      <c r="A89" s="636">
        <v>77</v>
      </c>
      <c r="B89" s="636">
        <v>77</v>
      </c>
      <c r="C89" s="636"/>
      <c r="D89" s="1148" t="s">
        <v>748</v>
      </c>
      <c r="E89" s="123"/>
      <c r="F89" s="975"/>
      <c r="G89" s="975"/>
      <c r="H89" s="975"/>
      <c r="I89" s="975"/>
      <c r="J89" s="975"/>
      <c r="K89" s="975"/>
      <c r="L89" s="975"/>
      <c r="M89" s="975"/>
      <c r="N89" s="975"/>
      <c r="O89" s="975"/>
      <c r="P89" s="975"/>
      <c r="Q89" s="975"/>
      <c r="R89" s="975"/>
      <c r="S89" s="975"/>
      <c r="T89" s="975" t="s">
        <v>50</v>
      </c>
      <c r="U89" s="975"/>
      <c r="V89" s="975"/>
      <c r="W89" s="975"/>
      <c r="X89" s="975" t="s">
        <v>50</v>
      </c>
      <c r="Y89" s="975"/>
      <c r="Z89" s="975"/>
      <c r="AA89" s="975"/>
      <c r="AB89" s="975"/>
      <c r="AC89" s="975"/>
      <c r="AD89" s="975"/>
      <c r="AE89" s="975"/>
      <c r="AF89" s="975"/>
      <c r="AG89" s="975"/>
      <c r="AH89" s="975"/>
      <c r="AI89" s="975"/>
      <c r="AJ89" s="975"/>
      <c r="AK89" s="976">
        <f t="shared" si="13"/>
        <v>2</v>
      </c>
      <c r="AL89" s="977">
        <f t="shared" si="14"/>
        <v>0</v>
      </c>
      <c r="AM89" s="976">
        <f t="shared" si="15"/>
        <v>0</v>
      </c>
      <c r="AN89" s="976">
        <f t="shared" si="16"/>
        <v>0</v>
      </c>
      <c r="AO89" s="976">
        <f t="shared" si="17"/>
        <v>0</v>
      </c>
      <c r="AP89" s="977">
        <f t="shared" si="18"/>
        <v>0</v>
      </c>
      <c r="AQ89" s="978">
        <f t="shared" si="19"/>
        <v>2</v>
      </c>
      <c r="AR89" s="979"/>
    </row>
    <row r="90" spans="1:47" ht="24.75" hidden="1" customHeight="1">
      <c r="A90" s="636">
        <v>78</v>
      </c>
      <c r="B90" s="636">
        <v>78</v>
      </c>
      <c r="C90" s="636"/>
      <c r="D90" s="980" t="s">
        <v>753</v>
      </c>
      <c r="E90" s="123"/>
      <c r="F90" s="975"/>
      <c r="G90" s="975"/>
      <c r="H90" s="975"/>
      <c r="I90" s="975"/>
      <c r="J90" s="975"/>
      <c r="K90" s="975"/>
      <c r="L90" s="975"/>
      <c r="M90" s="975"/>
      <c r="N90" s="975"/>
      <c r="O90" s="975"/>
      <c r="P90" s="975"/>
      <c r="Q90" s="975"/>
      <c r="R90" s="975"/>
      <c r="S90" s="975"/>
      <c r="T90" s="975"/>
      <c r="U90" s="975"/>
      <c r="V90" s="975"/>
      <c r="W90" s="975"/>
      <c r="X90" s="975"/>
      <c r="Y90" s="975"/>
      <c r="Z90" s="975"/>
      <c r="AA90" s="975"/>
      <c r="AB90" s="975"/>
      <c r="AC90" s="975"/>
      <c r="AD90" s="975"/>
      <c r="AE90" s="975"/>
      <c r="AF90" s="975"/>
      <c r="AG90" s="975"/>
      <c r="AH90" s="975"/>
      <c r="AI90" s="975"/>
      <c r="AJ90" s="975"/>
      <c r="AK90" s="976">
        <f t="shared" si="13"/>
        <v>0</v>
      </c>
      <c r="AL90" s="977">
        <f t="shared" si="14"/>
        <v>0</v>
      </c>
      <c r="AM90" s="976">
        <f t="shared" si="15"/>
        <v>0</v>
      </c>
      <c r="AN90" s="976">
        <f t="shared" si="16"/>
        <v>0</v>
      </c>
      <c r="AO90" s="976">
        <f t="shared" si="17"/>
        <v>0</v>
      </c>
      <c r="AP90" s="977">
        <f t="shared" si="18"/>
        <v>0</v>
      </c>
      <c r="AQ90" s="978">
        <f t="shared" si="19"/>
        <v>0</v>
      </c>
      <c r="AR90" s="979"/>
    </row>
    <row r="91" spans="1:47" s="1007" customFormat="1" ht="24.75" hidden="1" customHeight="1">
      <c r="A91" s="636">
        <v>79</v>
      </c>
      <c r="B91" s="636">
        <v>79</v>
      </c>
      <c r="C91" s="1002"/>
      <c r="D91" s="1003" t="s">
        <v>749</v>
      </c>
      <c r="E91" s="1004"/>
      <c r="F91" s="1005"/>
      <c r="G91" s="1005"/>
      <c r="H91" s="1005"/>
      <c r="I91" s="1005"/>
      <c r="J91" s="1005"/>
      <c r="K91" s="1005"/>
      <c r="L91" s="1005"/>
      <c r="M91" s="1005"/>
      <c r="N91" s="1005"/>
      <c r="O91" s="1005"/>
      <c r="P91" s="1005"/>
      <c r="Q91" s="1005"/>
      <c r="R91" s="1005"/>
      <c r="S91" s="1005"/>
      <c r="T91" s="1005"/>
      <c r="U91" s="1005"/>
      <c r="V91" s="1005"/>
      <c r="W91" s="1005"/>
      <c r="X91" s="1005"/>
      <c r="Y91" s="1005"/>
      <c r="Z91" s="1005"/>
      <c r="AA91" s="1005"/>
      <c r="AB91" s="1005"/>
      <c r="AC91" s="1005"/>
      <c r="AD91" s="1005"/>
      <c r="AE91" s="1005"/>
      <c r="AF91" s="1005"/>
      <c r="AG91" s="1005"/>
      <c r="AH91" s="1005"/>
      <c r="AI91" s="1005"/>
      <c r="AJ91" s="1005"/>
      <c r="AK91" s="976">
        <f t="shared" si="13"/>
        <v>0</v>
      </c>
      <c r="AL91" s="977">
        <f t="shared" si="14"/>
        <v>0</v>
      </c>
      <c r="AM91" s="976">
        <f t="shared" si="15"/>
        <v>0</v>
      </c>
      <c r="AN91" s="976">
        <f t="shared" si="16"/>
        <v>0</v>
      </c>
      <c r="AO91" s="976">
        <f t="shared" si="17"/>
        <v>0</v>
      </c>
      <c r="AP91" s="977">
        <f t="shared" si="18"/>
        <v>0</v>
      </c>
      <c r="AQ91" s="978">
        <f t="shared" si="19"/>
        <v>0</v>
      </c>
      <c r="AR91" s="1006"/>
      <c r="AT91" s="1008"/>
    </row>
    <row r="92" spans="1:47" s="1007" customFormat="1" ht="24.75" hidden="1" customHeight="1">
      <c r="A92" s="636">
        <v>80</v>
      </c>
      <c r="B92" s="636">
        <v>80</v>
      </c>
      <c r="C92" s="1002"/>
      <c r="D92" s="1003" t="s">
        <v>476</v>
      </c>
      <c r="E92" s="1004"/>
      <c r="F92" s="1005"/>
      <c r="G92" s="1005"/>
      <c r="H92" s="1005"/>
      <c r="I92" s="1005"/>
      <c r="J92" s="1005"/>
      <c r="K92" s="1005"/>
      <c r="L92" s="1005"/>
      <c r="M92" s="1005"/>
      <c r="N92" s="1005"/>
      <c r="O92" s="1005"/>
      <c r="P92" s="1005"/>
      <c r="Q92" s="1005"/>
      <c r="R92" s="1005"/>
      <c r="S92" s="1005"/>
      <c r="T92" s="1005"/>
      <c r="U92" s="1005"/>
      <c r="V92" s="1005"/>
      <c r="W92" s="1005"/>
      <c r="X92" s="1005"/>
      <c r="Y92" s="1005"/>
      <c r="Z92" s="1005"/>
      <c r="AA92" s="1005"/>
      <c r="AB92" s="1005"/>
      <c r="AC92" s="1005"/>
      <c r="AD92" s="1005"/>
      <c r="AE92" s="1005"/>
      <c r="AF92" s="1005"/>
      <c r="AG92" s="1005"/>
      <c r="AH92" s="1005"/>
      <c r="AI92" s="1005"/>
      <c r="AJ92" s="1005"/>
      <c r="AK92" s="976">
        <f t="shared" si="13"/>
        <v>0</v>
      </c>
      <c r="AL92" s="977">
        <f t="shared" si="14"/>
        <v>0</v>
      </c>
      <c r="AM92" s="976">
        <f t="shared" si="15"/>
        <v>0</v>
      </c>
      <c r="AN92" s="976">
        <f t="shared" si="16"/>
        <v>0</v>
      </c>
      <c r="AO92" s="976">
        <f t="shared" si="17"/>
        <v>0</v>
      </c>
      <c r="AP92" s="977">
        <f t="shared" si="18"/>
        <v>0</v>
      </c>
      <c r="AQ92" s="978">
        <f t="shared" si="19"/>
        <v>0</v>
      </c>
      <c r="AR92" s="1006"/>
      <c r="AT92" s="1008"/>
    </row>
    <row r="93" spans="1:47" ht="24.75" hidden="1" customHeight="1">
      <c r="A93" s="636">
        <v>81</v>
      </c>
      <c r="B93" s="636">
        <v>81</v>
      </c>
      <c r="C93" s="636"/>
      <c r="D93" s="1133"/>
      <c r="E93" s="628"/>
      <c r="F93" s="975"/>
      <c r="G93" s="975"/>
      <c r="H93" s="975"/>
      <c r="I93" s="975"/>
      <c r="J93" s="975"/>
      <c r="K93" s="975"/>
      <c r="L93" s="975"/>
      <c r="M93" s="975"/>
      <c r="N93" s="975"/>
      <c r="O93" s="975"/>
      <c r="P93" s="975"/>
      <c r="Q93" s="975"/>
      <c r="R93" s="975"/>
      <c r="S93" s="975"/>
      <c r="T93" s="975"/>
      <c r="U93" s="975"/>
      <c r="V93" s="975"/>
      <c r="W93" s="975"/>
      <c r="X93" s="975"/>
      <c r="Y93" s="975"/>
      <c r="Z93" s="975"/>
      <c r="AA93" s="975"/>
      <c r="AB93" s="975"/>
      <c r="AC93" s="975"/>
      <c r="AD93" s="975"/>
      <c r="AE93" s="975"/>
      <c r="AF93" s="975"/>
      <c r="AG93" s="975"/>
      <c r="AH93" s="975"/>
      <c r="AI93" s="975"/>
      <c r="AJ93" s="975"/>
      <c r="AK93" s="976"/>
      <c r="AL93" s="977"/>
      <c r="AM93" s="976"/>
      <c r="AN93" s="976"/>
      <c r="AO93" s="976"/>
      <c r="AP93" s="977"/>
      <c r="AQ93" s="978"/>
      <c r="AR93" s="979"/>
    </row>
    <row r="94" spans="1:47" s="984" customFormat="1" ht="24.75" customHeight="1">
      <c r="A94" s="1355" t="s">
        <v>539</v>
      </c>
      <c r="B94" s="1355"/>
      <c r="C94" s="1355"/>
      <c r="D94" s="1355"/>
      <c r="E94" s="1355"/>
      <c r="F94" s="981">
        <f>SUM(COUNTIF(F95:F156,"x"))+(COUNTIF(F95:F156,"cn"))+(COUNTIF(F95:F156,"cnđ"))+(COUNTIF(F95:F156,"đ"))</f>
        <v>58</v>
      </c>
      <c r="G94" s="981">
        <f t="shared" ref="G94:AJ94" si="20">SUM(COUNTIF(G95:G156,"x"))+(COUNTIF(G95:G156,"cn"))+(COUNTIF(G95:G156,"cnđ"))+(COUNTIF(G95:G156,"đ"))</f>
        <v>58</v>
      </c>
      <c r="H94" s="981">
        <f t="shared" si="20"/>
        <v>58</v>
      </c>
      <c r="I94" s="981">
        <f t="shared" si="20"/>
        <v>57</v>
      </c>
      <c r="J94" s="981">
        <f t="shared" si="20"/>
        <v>58</v>
      </c>
      <c r="K94" s="981">
        <f t="shared" si="20"/>
        <v>58</v>
      </c>
      <c r="L94" s="981">
        <f t="shared" si="20"/>
        <v>58</v>
      </c>
      <c r="M94" s="981">
        <f t="shared" si="20"/>
        <v>58</v>
      </c>
      <c r="N94" s="981">
        <f t="shared" si="20"/>
        <v>58</v>
      </c>
      <c r="O94" s="981">
        <f t="shared" si="20"/>
        <v>58</v>
      </c>
      <c r="P94" s="981">
        <f t="shared" si="20"/>
        <v>58</v>
      </c>
      <c r="Q94" s="981">
        <f t="shared" si="20"/>
        <v>58</v>
      </c>
      <c r="R94" s="981">
        <f t="shared" si="20"/>
        <v>58</v>
      </c>
      <c r="S94" s="981">
        <f t="shared" si="20"/>
        <v>58</v>
      </c>
      <c r="T94" s="981">
        <f t="shared" si="20"/>
        <v>58</v>
      </c>
      <c r="U94" s="981">
        <f t="shared" si="20"/>
        <v>58</v>
      </c>
      <c r="V94" s="981">
        <f t="shared" si="20"/>
        <v>58</v>
      </c>
      <c r="W94" s="981">
        <f t="shared" si="20"/>
        <v>58</v>
      </c>
      <c r="X94" s="981">
        <f t="shared" si="20"/>
        <v>58</v>
      </c>
      <c r="Y94" s="981">
        <f t="shared" si="20"/>
        <v>58</v>
      </c>
      <c r="Z94" s="981">
        <f t="shared" si="20"/>
        <v>58</v>
      </c>
      <c r="AA94" s="981">
        <f t="shared" si="20"/>
        <v>58</v>
      </c>
      <c r="AB94" s="981">
        <f t="shared" si="20"/>
        <v>58</v>
      </c>
      <c r="AC94" s="981">
        <f t="shared" si="20"/>
        <v>58</v>
      </c>
      <c r="AD94" s="981">
        <f t="shared" si="20"/>
        <v>57</v>
      </c>
      <c r="AE94" s="981">
        <f t="shared" si="20"/>
        <v>58</v>
      </c>
      <c r="AF94" s="981">
        <f t="shared" si="20"/>
        <v>58</v>
      </c>
      <c r="AG94" s="981">
        <f t="shared" si="20"/>
        <v>56</v>
      </c>
      <c r="AH94" s="981">
        <f t="shared" si="20"/>
        <v>58</v>
      </c>
      <c r="AI94" s="981">
        <f t="shared" si="20"/>
        <v>58</v>
      </c>
      <c r="AJ94" s="981">
        <f t="shared" si="20"/>
        <v>0</v>
      </c>
      <c r="AK94" s="982">
        <f>SUM(AK95:AK156)</f>
        <v>1390</v>
      </c>
      <c r="AL94" s="982">
        <f t="shared" ref="AL94:AP94" si="21">SUM(AL95:AL156)</f>
        <v>230</v>
      </c>
      <c r="AM94" s="982">
        <f t="shared" si="21"/>
        <v>116</v>
      </c>
      <c r="AN94" s="982">
        <f t="shared" si="21"/>
        <v>0</v>
      </c>
      <c r="AO94" s="982">
        <f t="shared" si="21"/>
        <v>0</v>
      </c>
      <c r="AP94" s="982">
        <f t="shared" si="21"/>
        <v>0</v>
      </c>
      <c r="AQ94" s="982">
        <f>SUM(AQ95:AQ156)</f>
        <v>1736</v>
      </c>
      <c r="AR94" s="983"/>
      <c r="AT94" s="985"/>
    </row>
    <row r="95" spans="1:47" ht="24.75" customHeight="1">
      <c r="A95" s="636">
        <v>78</v>
      </c>
      <c r="B95" s="986">
        <v>1</v>
      </c>
      <c r="C95" s="636" t="str">
        <f>VLOOKUP(D95,'Mã số nhân viên'!B77:I134,8,0)</f>
        <v>04072</v>
      </c>
      <c r="D95" s="1118" t="s">
        <v>524</v>
      </c>
      <c r="E95" s="123"/>
      <c r="F95" s="987" t="s">
        <v>50</v>
      </c>
      <c r="G95" s="987" t="s">
        <v>50</v>
      </c>
      <c r="H95" s="987" t="s">
        <v>50</v>
      </c>
      <c r="I95" s="987" t="s">
        <v>50</v>
      </c>
      <c r="J95" s="987" t="s">
        <v>50</v>
      </c>
      <c r="K95" s="987" t="s">
        <v>50</v>
      </c>
      <c r="L95" s="987" t="s">
        <v>110</v>
      </c>
      <c r="M95" s="987" t="s">
        <v>50</v>
      </c>
      <c r="N95" s="987" t="s">
        <v>50</v>
      </c>
      <c r="O95" s="987" t="s">
        <v>50</v>
      </c>
      <c r="P95" s="987" t="s">
        <v>50</v>
      </c>
      <c r="Q95" s="987" t="s">
        <v>785</v>
      </c>
      <c r="R95" s="987" t="s">
        <v>50</v>
      </c>
      <c r="S95" s="987" t="s">
        <v>110</v>
      </c>
      <c r="T95" s="987" t="s">
        <v>50</v>
      </c>
      <c r="U95" s="987" t="s">
        <v>50</v>
      </c>
      <c r="V95" s="987" t="s">
        <v>50</v>
      </c>
      <c r="W95" s="987" t="s">
        <v>50</v>
      </c>
      <c r="X95" s="987" t="s">
        <v>50</v>
      </c>
      <c r="Y95" s="987" t="s">
        <v>785</v>
      </c>
      <c r="Z95" s="987" t="s">
        <v>110</v>
      </c>
      <c r="AA95" s="987" t="s">
        <v>50</v>
      </c>
      <c r="AB95" s="987" t="s">
        <v>50</v>
      </c>
      <c r="AC95" s="987" t="s">
        <v>50</v>
      </c>
      <c r="AD95" s="987" t="s">
        <v>50</v>
      </c>
      <c r="AE95" s="987" t="s">
        <v>50</v>
      </c>
      <c r="AF95" s="987" t="s">
        <v>50</v>
      </c>
      <c r="AG95" s="987" t="s">
        <v>110</v>
      </c>
      <c r="AH95" s="987" t="s">
        <v>50</v>
      </c>
      <c r="AI95" s="987" t="s">
        <v>50</v>
      </c>
      <c r="AJ95" s="988"/>
      <c r="AK95" s="976">
        <f>SUM(COUNTIF(F95:AJ95,"x"))</f>
        <v>24</v>
      </c>
      <c r="AL95" s="977">
        <f>SUM(COUNTIF(F95:AJ95,"cn"))</f>
        <v>4</v>
      </c>
      <c r="AM95" s="976">
        <f>SUM(COUNTIF(F95:AJ95,"đ"))</f>
        <v>2</v>
      </c>
      <c r="AN95" s="976">
        <f>SUM(COUNTIF(F95:AJ95,"đc"))</f>
        <v>0</v>
      </c>
      <c r="AO95" s="976">
        <f t="shared" ref="AO95" si="22">SUM(COUNTIF(F95:AJ95,"gt"))</f>
        <v>0</v>
      </c>
      <c r="AP95" s="977">
        <f>SUM(COUNTIF(F95:AJ95,"ct"))</f>
        <v>0</v>
      </c>
      <c r="AQ95" s="978">
        <f>AK95+AL95+AM95+AN95+AO95+AP95</f>
        <v>30</v>
      </c>
      <c r="AR95" s="979"/>
      <c r="AS95" s="150" t="str">
        <f>'Mã số nhân viên'!I77</f>
        <v>04072</v>
      </c>
      <c r="AT95" s="989">
        <f t="shared" ref="AT95:AT126" si="23">C95-AS95</f>
        <v>0</v>
      </c>
      <c r="AU95" s="966">
        <v>129</v>
      </c>
    </row>
    <row r="96" spans="1:47" ht="24.75" customHeight="1">
      <c r="A96" s="636">
        <v>79</v>
      </c>
      <c r="B96" s="986">
        <v>2</v>
      </c>
      <c r="C96" s="636" t="str">
        <f>VLOOKUP(D96,'Mã số nhân viên'!B78:I135,8,0)</f>
        <v>03466</v>
      </c>
      <c r="D96" s="1118" t="s">
        <v>235</v>
      </c>
      <c r="E96" s="123"/>
      <c r="F96" s="987" t="s">
        <v>50</v>
      </c>
      <c r="G96" s="987" t="s">
        <v>50</v>
      </c>
      <c r="H96" s="987" t="s">
        <v>50</v>
      </c>
      <c r="I96" s="987" t="s">
        <v>50</v>
      </c>
      <c r="J96" s="987" t="s">
        <v>50</v>
      </c>
      <c r="K96" s="987" t="s">
        <v>50</v>
      </c>
      <c r="L96" s="987" t="s">
        <v>110</v>
      </c>
      <c r="M96" s="987" t="s">
        <v>50</v>
      </c>
      <c r="N96" s="987" t="s">
        <v>50</v>
      </c>
      <c r="O96" s="987" t="s">
        <v>50</v>
      </c>
      <c r="P96" s="987" t="s">
        <v>50</v>
      </c>
      <c r="Q96" s="987" t="s">
        <v>785</v>
      </c>
      <c r="R96" s="987" t="s">
        <v>50</v>
      </c>
      <c r="S96" s="987" t="s">
        <v>110</v>
      </c>
      <c r="T96" s="987" t="s">
        <v>50</v>
      </c>
      <c r="U96" s="987" t="s">
        <v>50</v>
      </c>
      <c r="V96" s="987" t="s">
        <v>50</v>
      </c>
      <c r="W96" s="987" t="s">
        <v>50</v>
      </c>
      <c r="X96" s="987" t="s">
        <v>50</v>
      </c>
      <c r="Y96" s="987" t="s">
        <v>785</v>
      </c>
      <c r="Z96" s="987" t="s">
        <v>110</v>
      </c>
      <c r="AA96" s="987" t="s">
        <v>50</v>
      </c>
      <c r="AB96" s="987" t="s">
        <v>50</v>
      </c>
      <c r="AC96" s="987" t="s">
        <v>50</v>
      </c>
      <c r="AD96" s="987" t="s">
        <v>50</v>
      </c>
      <c r="AE96" s="987" t="s">
        <v>778</v>
      </c>
      <c r="AF96" s="987" t="s">
        <v>50</v>
      </c>
      <c r="AG96" s="987" t="s">
        <v>110</v>
      </c>
      <c r="AH96" s="987" t="s">
        <v>50</v>
      </c>
      <c r="AI96" s="987" t="s">
        <v>50</v>
      </c>
      <c r="AJ96" s="988"/>
      <c r="AK96" s="976">
        <f t="shared" ref="AK96:AK156" si="24">SUM(COUNTIF(F96:AJ96,"x"))</f>
        <v>23</v>
      </c>
      <c r="AL96" s="977">
        <f t="shared" ref="AL96:AL156" si="25">SUM(COUNTIF(F96:AJ96,"cn"))</f>
        <v>4</v>
      </c>
      <c r="AM96" s="976">
        <f t="shared" ref="AM96:AM156" si="26">SUM(COUNTIF(F96:AJ96,"đ"))</f>
        <v>2</v>
      </c>
      <c r="AN96" s="976">
        <f t="shared" ref="AN96:AN156" si="27">SUM(COUNTIF(F96:AJ96,"đc"))</f>
        <v>0</v>
      </c>
      <c r="AO96" s="976">
        <f t="shared" ref="AO96:AO156" si="28">SUM(COUNTIF(F96:AJ96,"gt"))</f>
        <v>0</v>
      </c>
      <c r="AP96" s="977">
        <f t="shared" ref="AP96:AP156" si="29">SUM(COUNTIF(F96:AJ96,"ct"))</f>
        <v>0</v>
      </c>
      <c r="AQ96" s="978">
        <f t="shared" ref="AQ96:AQ156" si="30">AK96+AL96+AM96+AN96+AO96+AP96</f>
        <v>29</v>
      </c>
      <c r="AR96" s="979"/>
      <c r="AS96" s="150" t="str">
        <f>'Mã số nhân viên'!I78</f>
        <v>03466</v>
      </c>
      <c r="AT96" s="989">
        <f t="shared" si="23"/>
        <v>0</v>
      </c>
    </row>
    <row r="97" spans="1:46" ht="24.75" customHeight="1">
      <c r="A97" s="636">
        <v>80</v>
      </c>
      <c r="B97" s="986">
        <v>3</v>
      </c>
      <c r="C97" s="636" t="str">
        <f>VLOOKUP(D97,'Mã số nhân viên'!B79:I136,8,0)</f>
        <v>03590</v>
      </c>
      <c r="D97" s="1119" t="s">
        <v>157</v>
      </c>
      <c r="E97" s="123"/>
      <c r="F97" s="987" t="s">
        <v>50</v>
      </c>
      <c r="G97" s="987" t="s">
        <v>50</v>
      </c>
      <c r="H97" s="987" t="s">
        <v>50</v>
      </c>
      <c r="I97" s="987" t="s">
        <v>50</v>
      </c>
      <c r="J97" s="987" t="s">
        <v>50</v>
      </c>
      <c r="K97" s="987" t="s">
        <v>50</v>
      </c>
      <c r="L97" s="987" t="s">
        <v>110</v>
      </c>
      <c r="M97" s="987" t="s">
        <v>50</v>
      </c>
      <c r="N97" s="987" t="s">
        <v>50</v>
      </c>
      <c r="O97" s="987" t="s">
        <v>50</v>
      </c>
      <c r="P97" s="987" t="s">
        <v>50</v>
      </c>
      <c r="Q97" s="987" t="s">
        <v>785</v>
      </c>
      <c r="R97" s="987" t="s">
        <v>50</v>
      </c>
      <c r="S97" s="987" t="s">
        <v>110</v>
      </c>
      <c r="T97" s="987" t="s">
        <v>50</v>
      </c>
      <c r="U97" s="987" t="s">
        <v>50</v>
      </c>
      <c r="V97" s="987" t="s">
        <v>50</v>
      </c>
      <c r="W97" s="987" t="s">
        <v>50</v>
      </c>
      <c r="X97" s="987" t="s">
        <v>50</v>
      </c>
      <c r="Y97" s="987" t="s">
        <v>785</v>
      </c>
      <c r="Z97" s="987" t="s">
        <v>110</v>
      </c>
      <c r="AA97" s="987" t="s">
        <v>50</v>
      </c>
      <c r="AB97" s="987" t="s">
        <v>50</v>
      </c>
      <c r="AC97" s="987" t="s">
        <v>50</v>
      </c>
      <c r="AD97" s="987" t="s">
        <v>50</v>
      </c>
      <c r="AE97" s="987" t="s">
        <v>50</v>
      </c>
      <c r="AF97" s="987" t="s">
        <v>50</v>
      </c>
      <c r="AG97" s="987" t="s">
        <v>110</v>
      </c>
      <c r="AH97" s="987" t="s">
        <v>50</v>
      </c>
      <c r="AI97" s="987" t="s">
        <v>50</v>
      </c>
      <c r="AJ97" s="988"/>
      <c r="AK97" s="976">
        <f t="shared" si="24"/>
        <v>24</v>
      </c>
      <c r="AL97" s="977">
        <f t="shared" si="25"/>
        <v>4</v>
      </c>
      <c r="AM97" s="976">
        <f t="shared" si="26"/>
        <v>2</v>
      </c>
      <c r="AN97" s="976">
        <f t="shared" si="27"/>
        <v>0</v>
      </c>
      <c r="AO97" s="976">
        <f t="shared" si="28"/>
        <v>0</v>
      </c>
      <c r="AP97" s="977">
        <f t="shared" si="29"/>
        <v>0</v>
      </c>
      <c r="AQ97" s="978">
        <f t="shared" si="30"/>
        <v>30</v>
      </c>
      <c r="AR97" s="979"/>
      <c r="AS97" s="150" t="str">
        <f>'Mã số nhân viên'!I79</f>
        <v>03590</v>
      </c>
      <c r="AT97" s="989">
        <f t="shared" si="23"/>
        <v>0</v>
      </c>
    </row>
    <row r="98" spans="1:46" ht="24.75" customHeight="1">
      <c r="A98" s="636">
        <v>81</v>
      </c>
      <c r="B98" s="986">
        <v>4</v>
      </c>
      <c r="C98" s="636" t="str">
        <f>VLOOKUP(D98,'Mã số nhân viên'!B80:I137,8,0)</f>
        <v>03591</v>
      </c>
      <c r="D98" s="1120" t="s">
        <v>236</v>
      </c>
      <c r="E98" s="123"/>
      <c r="F98" s="987" t="s">
        <v>50</v>
      </c>
      <c r="G98" s="987" t="s">
        <v>50</v>
      </c>
      <c r="H98" s="987" t="s">
        <v>50</v>
      </c>
      <c r="I98" s="987" t="s">
        <v>50</v>
      </c>
      <c r="J98" s="987" t="s">
        <v>50</v>
      </c>
      <c r="K98" s="987" t="s">
        <v>50</v>
      </c>
      <c r="L98" s="987" t="s">
        <v>110</v>
      </c>
      <c r="M98" s="987" t="s">
        <v>50</v>
      </c>
      <c r="N98" s="987" t="s">
        <v>50</v>
      </c>
      <c r="O98" s="987" t="s">
        <v>50</v>
      </c>
      <c r="P98" s="987" t="s">
        <v>50</v>
      </c>
      <c r="Q98" s="987" t="s">
        <v>785</v>
      </c>
      <c r="R98" s="987" t="s">
        <v>50</v>
      </c>
      <c r="S98" s="987" t="s">
        <v>110</v>
      </c>
      <c r="T98" s="987" t="s">
        <v>50</v>
      </c>
      <c r="U98" s="987" t="s">
        <v>50</v>
      </c>
      <c r="V98" s="987" t="s">
        <v>50</v>
      </c>
      <c r="W98" s="987" t="s">
        <v>50</v>
      </c>
      <c r="X98" s="987" t="s">
        <v>50</v>
      </c>
      <c r="Y98" s="987" t="s">
        <v>785</v>
      </c>
      <c r="Z98" s="987" t="s">
        <v>110</v>
      </c>
      <c r="AA98" s="987" t="s">
        <v>50</v>
      </c>
      <c r="AB98" s="987" t="s">
        <v>50</v>
      </c>
      <c r="AC98" s="987" t="s">
        <v>50</v>
      </c>
      <c r="AD98" s="987" t="s">
        <v>50</v>
      </c>
      <c r="AE98" s="987" t="s">
        <v>50</v>
      </c>
      <c r="AF98" s="987" t="s">
        <v>50</v>
      </c>
      <c r="AG98" s="987" t="s">
        <v>110</v>
      </c>
      <c r="AH98" s="987" t="s">
        <v>50</v>
      </c>
      <c r="AI98" s="987" t="s">
        <v>50</v>
      </c>
      <c r="AJ98" s="988"/>
      <c r="AK98" s="976">
        <f t="shared" si="24"/>
        <v>24</v>
      </c>
      <c r="AL98" s="977">
        <f t="shared" si="25"/>
        <v>4</v>
      </c>
      <c r="AM98" s="976">
        <f t="shared" si="26"/>
        <v>2</v>
      </c>
      <c r="AN98" s="976">
        <f t="shared" si="27"/>
        <v>0</v>
      </c>
      <c r="AO98" s="976">
        <f t="shared" si="28"/>
        <v>0</v>
      </c>
      <c r="AP98" s="977">
        <f t="shared" si="29"/>
        <v>0</v>
      </c>
      <c r="AQ98" s="978">
        <f t="shared" si="30"/>
        <v>30</v>
      </c>
      <c r="AR98" s="979"/>
      <c r="AS98" s="150" t="str">
        <f>'Mã số nhân viên'!I80</f>
        <v>03591</v>
      </c>
      <c r="AT98" s="989">
        <f t="shared" si="23"/>
        <v>0</v>
      </c>
    </row>
    <row r="99" spans="1:46" ht="24.75" customHeight="1">
      <c r="A99" s="636">
        <v>82</v>
      </c>
      <c r="B99" s="986">
        <v>5</v>
      </c>
      <c r="C99" s="636" t="str">
        <f>VLOOKUP(D99,'Mã số nhân viên'!B81:I138,8,0)</f>
        <v>03592</v>
      </c>
      <c r="D99" s="1118" t="s">
        <v>193</v>
      </c>
      <c r="E99" s="123"/>
      <c r="F99" s="987" t="s">
        <v>50</v>
      </c>
      <c r="G99" s="987" t="s">
        <v>50</v>
      </c>
      <c r="H99" s="987" t="s">
        <v>50</v>
      </c>
      <c r="I99" s="987" t="s">
        <v>50</v>
      </c>
      <c r="J99" s="987" t="s">
        <v>50</v>
      </c>
      <c r="K99" s="987" t="s">
        <v>50</v>
      </c>
      <c r="L99" s="987" t="s">
        <v>110</v>
      </c>
      <c r="M99" s="987" t="s">
        <v>50</v>
      </c>
      <c r="N99" s="987" t="s">
        <v>50</v>
      </c>
      <c r="O99" s="987" t="s">
        <v>50</v>
      </c>
      <c r="P99" s="987" t="s">
        <v>50</v>
      </c>
      <c r="Q99" s="987" t="s">
        <v>785</v>
      </c>
      <c r="R99" s="987" t="s">
        <v>50</v>
      </c>
      <c r="S99" s="987" t="s">
        <v>110</v>
      </c>
      <c r="T99" s="987" t="s">
        <v>50</v>
      </c>
      <c r="U99" s="987" t="s">
        <v>50</v>
      </c>
      <c r="V99" s="987" t="s">
        <v>50</v>
      </c>
      <c r="W99" s="987" t="s">
        <v>50</v>
      </c>
      <c r="X99" s="987" t="s">
        <v>50</v>
      </c>
      <c r="Y99" s="987" t="s">
        <v>785</v>
      </c>
      <c r="Z99" s="987" t="s">
        <v>110</v>
      </c>
      <c r="AA99" s="987" t="s">
        <v>50</v>
      </c>
      <c r="AB99" s="987" t="s">
        <v>50</v>
      </c>
      <c r="AC99" s="987" t="s">
        <v>50</v>
      </c>
      <c r="AD99" s="987" t="s">
        <v>50</v>
      </c>
      <c r="AE99" s="987" t="s">
        <v>50</v>
      </c>
      <c r="AF99" s="987" t="s">
        <v>50</v>
      </c>
      <c r="AG99" s="987" t="s">
        <v>110</v>
      </c>
      <c r="AH99" s="987" t="s">
        <v>50</v>
      </c>
      <c r="AI99" s="987" t="s">
        <v>50</v>
      </c>
      <c r="AJ99" s="988"/>
      <c r="AK99" s="976">
        <f t="shared" si="24"/>
        <v>24</v>
      </c>
      <c r="AL99" s="977">
        <f t="shared" si="25"/>
        <v>4</v>
      </c>
      <c r="AM99" s="976">
        <f t="shared" si="26"/>
        <v>2</v>
      </c>
      <c r="AN99" s="976">
        <f t="shared" si="27"/>
        <v>0</v>
      </c>
      <c r="AO99" s="976">
        <f t="shared" si="28"/>
        <v>0</v>
      </c>
      <c r="AP99" s="977">
        <f t="shared" si="29"/>
        <v>0</v>
      </c>
      <c r="AQ99" s="978">
        <f t="shared" si="30"/>
        <v>30</v>
      </c>
      <c r="AR99" s="979"/>
      <c r="AS99" s="150" t="str">
        <f>'Mã số nhân viên'!I81</f>
        <v>03592</v>
      </c>
      <c r="AT99" s="989">
        <f t="shared" si="23"/>
        <v>0</v>
      </c>
    </row>
    <row r="100" spans="1:46" ht="24.75" customHeight="1">
      <c r="A100" s="636">
        <v>83</v>
      </c>
      <c r="B100" s="986">
        <v>6</v>
      </c>
      <c r="C100" s="636" t="str">
        <f>VLOOKUP(D100,'Mã số nhân viên'!B82:I139,8,0)</f>
        <v>03593</v>
      </c>
      <c r="D100" s="1118" t="s">
        <v>330</v>
      </c>
      <c r="E100" s="123"/>
      <c r="F100" s="987" t="s">
        <v>50</v>
      </c>
      <c r="G100" s="987" t="s">
        <v>50</v>
      </c>
      <c r="H100" s="987" t="s">
        <v>50</v>
      </c>
      <c r="I100" s="987" t="s">
        <v>50</v>
      </c>
      <c r="J100" s="987" t="s">
        <v>50</v>
      </c>
      <c r="K100" s="987" t="s">
        <v>50</v>
      </c>
      <c r="L100" s="987" t="s">
        <v>110</v>
      </c>
      <c r="M100" s="987" t="s">
        <v>50</v>
      </c>
      <c r="N100" s="987" t="s">
        <v>50</v>
      </c>
      <c r="O100" s="987" t="s">
        <v>50</v>
      </c>
      <c r="P100" s="987" t="s">
        <v>50</v>
      </c>
      <c r="Q100" s="987" t="s">
        <v>785</v>
      </c>
      <c r="R100" s="987" t="s">
        <v>50</v>
      </c>
      <c r="S100" s="987" t="s">
        <v>110</v>
      </c>
      <c r="T100" s="987" t="s">
        <v>50</v>
      </c>
      <c r="U100" s="987" t="s">
        <v>50</v>
      </c>
      <c r="V100" s="987" t="s">
        <v>50</v>
      </c>
      <c r="W100" s="987" t="s">
        <v>50</v>
      </c>
      <c r="X100" s="987" t="s">
        <v>50</v>
      </c>
      <c r="Y100" s="987" t="s">
        <v>785</v>
      </c>
      <c r="Z100" s="987" t="s">
        <v>110</v>
      </c>
      <c r="AA100" s="987" t="s">
        <v>50</v>
      </c>
      <c r="AB100" s="987" t="s">
        <v>50</v>
      </c>
      <c r="AC100" s="987" t="s">
        <v>50</v>
      </c>
      <c r="AD100" s="987" t="s">
        <v>50</v>
      </c>
      <c r="AE100" s="987" t="s">
        <v>50</v>
      </c>
      <c r="AF100" s="987" t="s">
        <v>50</v>
      </c>
      <c r="AG100" s="987" t="s">
        <v>110</v>
      </c>
      <c r="AH100" s="987" t="s">
        <v>778</v>
      </c>
      <c r="AI100" s="987" t="s">
        <v>778</v>
      </c>
      <c r="AJ100" s="988"/>
      <c r="AK100" s="976">
        <f t="shared" si="24"/>
        <v>22</v>
      </c>
      <c r="AL100" s="977">
        <f t="shared" si="25"/>
        <v>4</v>
      </c>
      <c r="AM100" s="976">
        <f t="shared" si="26"/>
        <v>2</v>
      </c>
      <c r="AN100" s="976">
        <f t="shared" si="27"/>
        <v>0</v>
      </c>
      <c r="AO100" s="976">
        <f t="shared" si="28"/>
        <v>0</v>
      </c>
      <c r="AP100" s="977">
        <f t="shared" si="29"/>
        <v>0</v>
      </c>
      <c r="AQ100" s="978">
        <f t="shared" si="30"/>
        <v>28</v>
      </c>
      <c r="AR100" s="979"/>
      <c r="AS100" s="150" t="str">
        <f>'Mã số nhân viên'!I82</f>
        <v>03593</v>
      </c>
      <c r="AT100" s="989">
        <f t="shared" si="23"/>
        <v>0</v>
      </c>
    </row>
    <row r="101" spans="1:46" ht="24.75" customHeight="1">
      <c r="A101" s="636">
        <v>84</v>
      </c>
      <c r="B101" s="986">
        <v>7</v>
      </c>
      <c r="C101" s="636" t="str">
        <f>VLOOKUP(D101,'Mã số nhân viên'!B83:I140,8,0)</f>
        <v>03594</v>
      </c>
      <c r="D101" s="1118" t="s">
        <v>194</v>
      </c>
      <c r="E101" s="123"/>
      <c r="F101" s="987" t="s">
        <v>50</v>
      </c>
      <c r="G101" s="987" t="s">
        <v>50</v>
      </c>
      <c r="H101" s="987" t="s">
        <v>50</v>
      </c>
      <c r="I101" s="987" t="s">
        <v>50</v>
      </c>
      <c r="J101" s="987" t="s">
        <v>50</v>
      </c>
      <c r="K101" s="987" t="s">
        <v>50</v>
      </c>
      <c r="L101" s="987" t="s">
        <v>110</v>
      </c>
      <c r="M101" s="987" t="s">
        <v>50</v>
      </c>
      <c r="N101" s="987" t="s">
        <v>50</v>
      </c>
      <c r="O101" s="987" t="s">
        <v>50</v>
      </c>
      <c r="P101" s="987" t="s">
        <v>50</v>
      </c>
      <c r="Q101" s="987" t="s">
        <v>785</v>
      </c>
      <c r="R101" s="987" t="s">
        <v>50</v>
      </c>
      <c r="S101" s="987" t="s">
        <v>110</v>
      </c>
      <c r="T101" s="987" t="s">
        <v>50</v>
      </c>
      <c r="U101" s="987" t="s">
        <v>50</v>
      </c>
      <c r="V101" s="987" t="s">
        <v>50</v>
      </c>
      <c r="W101" s="987" t="s">
        <v>50</v>
      </c>
      <c r="X101" s="987" t="s">
        <v>50</v>
      </c>
      <c r="Y101" s="987" t="s">
        <v>785</v>
      </c>
      <c r="Z101" s="987" t="s">
        <v>110</v>
      </c>
      <c r="AA101" s="987" t="s">
        <v>50</v>
      </c>
      <c r="AB101" s="987" t="s">
        <v>50</v>
      </c>
      <c r="AC101" s="987" t="s">
        <v>50</v>
      </c>
      <c r="AD101" s="987" t="s">
        <v>50</v>
      </c>
      <c r="AE101" s="987" t="s">
        <v>50</v>
      </c>
      <c r="AF101" s="987" t="s">
        <v>50</v>
      </c>
      <c r="AG101" s="987" t="s">
        <v>110</v>
      </c>
      <c r="AH101" s="987" t="s">
        <v>50</v>
      </c>
      <c r="AI101" s="987" t="s">
        <v>50</v>
      </c>
      <c r="AJ101" s="988"/>
      <c r="AK101" s="976">
        <f t="shared" si="24"/>
        <v>24</v>
      </c>
      <c r="AL101" s="977">
        <f t="shared" si="25"/>
        <v>4</v>
      </c>
      <c r="AM101" s="976">
        <f t="shared" si="26"/>
        <v>2</v>
      </c>
      <c r="AN101" s="976">
        <f t="shared" si="27"/>
        <v>0</v>
      </c>
      <c r="AO101" s="976">
        <f t="shared" si="28"/>
        <v>0</v>
      </c>
      <c r="AP101" s="977">
        <f t="shared" si="29"/>
        <v>0</v>
      </c>
      <c r="AQ101" s="978">
        <f t="shared" si="30"/>
        <v>30</v>
      </c>
      <c r="AR101" s="979"/>
      <c r="AS101" s="150" t="str">
        <f>'Mã số nhân viên'!I83</f>
        <v>03594</v>
      </c>
      <c r="AT101" s="989">
        <f t="shared" si="23"/>
        <v>0</v>
      </c>
    </row>
    <row r="102" spans="1:46" ht="24.75" customHeight="1">
      <c r="A102" s="636">
        <v>85</v>
      </c>
      <c r="B102" s="986">
        <v>8</v>
      </c>
      <c r="C102" s="636" t="str">
        <f>VLOOKUP(D102,'Mã số nhân viên'!B84:I141,8,0)</f>
        <v>04073</v>
      </c>
      <c r="D102" s="1118" t="s">
        <v>525</v>
      </c>
      <c r="E102" s="123"/>
      <c r="F102" s="987" t="s">
        <v>50</v>
      </c>
      <c r="G102" s="987" t="s">
        <v>50</v>
      </c>
      <c r="H102" s="987" t="s">
        <v>50</v>
      </c>
      <c r="I102" s="987" t="s">
        <v>50</v>
      </c>
      <c r="J102" s="987" t="s">
        <v>50</v>
      </c>
      <c r="K102" s="987" t="s">
        <v>50</v>
      </c>
      <c r="L102" s="987" t="s">
        <v>110</v>
      </c>
      <c r="M102" s="987" t="s">
        <v>50</v>
      </c>
      <c r="N102" s="987" t="s">
        <v>50</v>
      </c>
      <c r="O102" s="987" t="s">
        <v>50</v>
      </c>
      <c r="P102" s="987" t="s">
        <v>50</v>
      </c>
      <c r="Q102" s="987" t="s">
        <v>785</v>
      </c>
      <c r="R102" s="987" t="s">
        <v>50</v>
      </c>
      <c r="S102" s="987" t="s">
        <v>110</v>
      </c>
      <c r="T102" s="987" t="s">
        <v>808</v>
      </c>
      <c r="U102" s="987" t="s">
        <v>50</v>
      </c>
      <c r="V102" s="987" t="s">
        <v>50</v>
      </c>
      <c r="W102" s="987" t="s">
        <v>50</v>
      </c>
      <c r="X102" s="987" t="s">
        <v>50</v>
      </c>
      <c r="Y102" s="987" t="s">
        <v>785</v>
      </c>
      <c r="Z102" s="987" t="s">
        <v>110</v>
      </c>
      <c r="AA102" s="987" t="s">
        <v>50</v>
      </c>
      <c r="AB102" s="987" t="s">
        <v>50</v>
      </c>
      <c r="AC102" s="987" t="s">
        <v>50</v>
      </c>
      <c r="AD102" s="987" t="s">
        <v>778</v>
      </c>
      <c r="AE102" s="987" t="s">
        <v>50</v>
      </c>
      <c r="AF102" s="987" t="s">
        <v>50</v>
      </c>
      <c r="AG102" s="987" t="s">
        <v>110</v>
      </c>
      <c r="AH102" s="987" t="s">
        <v>50</v>
      </c>
      <c r="AI102" s="987" t="s">
        <v>50</v>
      </c>
      <c r="AJ102" s="988"/>
      <c r="AK102" s="976">
        <f t="shared" si="24"/>
        <v>22</v>
      </c>
      <c r="AL102" s="977">
        <f t="shared" si="25"/>
        <v>4</v>
      </c>
      <c r="AM102" s="976">
        <f t="shared" si="26"/>
        <v>2</v>
      </c>
      <c r="AN102" s="976">
        <f t="shared" si="27"/>
        <v>0</v>
      </c>
      <c r="AO102" s="976">
        <f t="shared" si="28"/>
        <v>0</v>
      </c>
      <c r="AP102" s="977">
        <f t="shared" si="29"/>
        <v>0</v>
      </c>
      <c r="AQ102" s="978">
        <f t="shared" si="30"/>
        <v>28</v>
      </c>
      <c r="AR102" s="979"/>
      <c r="AS102" s="150" t="str">
        <f>'Mã số nhân viên'!I84</f>
        <v>04073</v>
      </c>
      <c r="AT102" s="989">
        <f t="shared" si="23"/>
        <v>0</v>
      </c>
    </row>
    <row r="103" spans="1:46" ht="24.75" customHeight="1">
      <c r="A103" s="636">
        <v>86</v>
      </c>
      <c r="B103" s="986">
        <v>9</v>
      </c>
      <c r="C103" s="636" t="str">
        <f>VLOOKUP(D103,'Mã số nhân viên'!B85:I142,8,0)</f>
        <v>03596</v>
      </c>
      <c r="D103" s="1118" t="s">
        <v>331</v>
      </c>
      <c r="E103" s="123"/>
      <c r="F103" s="987" t="s">
        <v>50</v>
      </c>
      <c r="G103" s="987" t="s">
        <v>50</v>
      </c>
      <c r="H103" s="987" t="s">
        <v>50</v>
      </c>
      <c r="I103" s="987" t="s">
        <v>778</v>
      </c>
      <c r="J103" s="987" t="s">
        <v>50</v>
      </c>
      <c r="K103" s="987" t="s">
        <v>50</v>
      </c>
      <c r="L103" s="987" t="s">
        <v>110</v>
      </c>
      <c r="M103" s="987" t="s">
        <v>50</v>
      </c>
      <c r="N103" s="987" t="s">
        <v>50</v>
      </c>
      <c r="O103" s="987" t="s">
        <v>50</v>
      </c>
      <c r="P103" s="987" t="s">
        <v>50</v>
      </c>
      <c r="Q103" s="987" t="s">
        <v>785</v>
      </c>
      <c r="R103" s="987" t="s">
        <v>50</v>
      </c>
      <c r="S103" s="987" t="s">
        <v>110</v>
      </c>
      <c r="T103" s="987" t="s">
        <v>50</v>
      </c>
      <c r="U103" s="987" t="s">
        <v>50</v>
      </c>
      <c r="V103" s="987" t="s">
        <v>50</v>
      </c>
      <c r="W103" s="987" t="s">
        <v>50</v>
      </c>
      <c r="X103" s="987" t="s">
        <v>50</v>
      </c>
      <c r="Y103" s="987" t="s">
        <v>785</v>
      </c>
      <c r="Z103" s="987" t="s">
        <v>808</v>
      </c>
      <c r="AA103" s="987" t="s">
        <v>50</v>
      </c>
      <c r="AB103" s="987" t="s">
        <v>50</v>
      </c>
      <c r="AC103" s="987" t="s">
        <v>50</v>
      </c>
      <c r="AD103" s="987" t="s">
        <v>50</v>
      </c>
      <c r="AE103" s="987" t="s">
        <v>50</v>
      </c>
      <c r="AF103" s="987" t="s">
        <v>50</v>
      </c>
      <c r="AG103" s="987" t="s">
        <v>110</v>
      </c>
      <c r="AH103" s="987" t="s">
        <v>50</v>
      </c>
      <c r="AI103" s="987" t="s">
        <v>50</v>
      </c>
      <c r="AJ103" s="988"/>
      <c r="AK103" s="976">
        <f t="shared" si="24"/>
        <v>23</v>
      </c>
      <c r="AL103" s="977">
        <f t="shared" si="25"/>
        <v>3</v>
      </c>
      <c r="AM103" s="976">
        <f t="shared" si="26"/>
        <v>2</v>
      </c>
      <c r="AN103" s="976">
        <f t="shared" si="27"/>
        <v>0</v>
      </c>
      <c r="AO103" s="976">
        <f t="shared" si="28"/>
        <v>0</v>
      </c>
      <c r="AP103" s="977">
        <f t="shared" si="29"/>
        <v>0</v>
      </c>
      <c r="AQ103" s="978">
        <f t="shared" si="30"/>
        <v>28</v>
      </c>
      <c r="AR103" s="979"/>
      <c r="AS103" s="150" t="str">
        <f>'Mã số nhân viên'!I85</f>
        <v>03596</v>
      </c>
      <c r="AT103" s="989">
        <f t="shared" si="23"/>
        <v>0</v>
      </c>
    </row>
    <row r="104" spans="1:46" ht="24.75" customHeight="1">
      <c r="A104" s="636">
        <v>87</v>
      </c>
      <c r="B104" s="986">
        <v>10</v>
      </c>
      <c r="C104" s="636" t="str">
        <f>VLOOKUP(D104,'Mã số nhân viên'!B86:I143,8,0)</f>
        <v>03597</v>
      </c>
      <c r="D104" s="1118" t="s">
        <v>213</v>
      </c>
      <c r="E104" s="123"/>
      <c r="F104" s="987" t="s">
        <v>50</v>
      </c>
      <c r="G104" s="987" t="s">
        <v>50</v>
      </c>
      <c r="H104" s="987" t="s">
        <v>50</v>
      </c>
      <c r="I104" s="987" t="s">
        <v>50</v>
      </c>
      <c r="J104" s="987" t="s">
        <v>50</v>
      </c>
      <c r="K104" s="987" t="s">
        <v>50</v>
      </c>
      <c r="L104" s="987" t="s">
        <v>110</v>
      </c>
      <c r="M104" s="987" t="s">
        <v>50</v>
      </c>
      <c r="N104" s="987" t="s">
        <v>50</v>
      </c>
      <c r="O104" s="987" t="s">
        <v>50</v>
      </c>
      <c r="P104" s="987" t="s">
        <v>50</v>
      </c>
      <c r="Q104" s="987" t="s">
        <v>785</v>
      </c>
      <c r="R104" s="987" t="s">
        <v>50</v>
      </c>
      <c r="S104" s="987" t="s">
        <v>110</v>
      </c>
      <c r="T104" s="987" t="s">
        <v>50</v>
      </c>
      <c r="U104" s="987" t="s">
        <v>50</v>
      </c>
      <c r="V104" s="987" t="s">
        <v>50</v>
      </c>
      <c r="W104" s="987" t="s">
        <v>50</v>
      </c>
      <c r="X104" s="987" t="s">
        <v>50</v>
      </c>
      <c r="Y104" s="987" t="s">
        <v>785</v>
      </c>
      <c r="Z104" s="987" t="s">
        <v>110</v>
      </c>
      <c r="AA104" s="987" t="s">
        <v>50</v>
      </c>
      <c r="AB104" s="987" t="s">
        <v>50</v>
      </c>
      <c r="AC104" s="987" t="s">
        <v>50</v>
      </c>
      <c r="AD104" s="987" t="s">
        <v>50</v>
      </c>
      <c r="AE104" s="987" t="s">
        <v>50</v>
      </c>
      <c r="AF104" s="987" t="s">
        <v>50</v>
      </c>
      <c r="AG104" s="987" t="s">
        <v>110</v>
      </c>
      <c r="AH104" s="987" t="s">
        <v>50</v>
      </c>
      <c r="AI104" s="987" t="s">
        <v>50</v>
      </c>
      <c r="AJ104" s="988"/>
      <c r="AK104" s="976">
        <f t="shared" si="24"/>
        <v>24</v>
      </c>
      <c r="AL104" s="977">
        <f t="shared" si="25"/>
        <v>4</v>
      </c>
      <c r="AM104" s="976">
        <f t="shared" si="26"/>
        <v>2</v>
      </c>
      <c r="AN104" s="976">
        <f t="shared" si="27"/>
        <v>0</v>
      </c>
      <c r="AO104" s="976">
        <f t="shared" si="28"/>
        <v>0</v>
      </c>
      <c r="AP104" s="977">
        <f t="shared" si="29"/>
        <v>0</v>
      </c>
      <c r="AQ104" s="978">
        <f t="shared" si="30"/>
        <v>30</v>
      </c>
      <c r="AR104" s="979"/>
      <c r="AS104" s="150" t="str">
        <f>'Mã số nhân viên'!I86</f>
        <v>03597</v>
      </c>
      <c r="AT104" s="989">
        <f t="shared" si="23"/>
        <v>0</v>
      </c>
    </row>
    <row r="105" spans="1:46" ht="24.75" customHeight="1">
      <c r="A105" s="636">
        <v>88</v>
      </c>
      <c r="B105" s="986">
        <v>11</v>
      </c>
      <c r="C105" s="636" t="str">
        <f>VLOOKUP(D105,'Mã số nhân viên'!B87:I144,8,0)</f>
        <v>03598</v>
      </c>
      <c r="D105" s="1118" t="s">
        <v>195</v>
      </c>
      <c r="E105" s="123"/>
      <c r="F105" s="987" t="s">
        <v>50</v>
      </c>
      <c r="G105" s="987" t="s">
        <v>50</v>
      </c>
      <c r="H105" s="987" t="s">
        <v>50</v>
      </c>
      <c r="I105" s="987" t="s">
        <v>50</v>
      </c>
      <c r="J105" s="987" t="s">
        <v>50</v>
      </c>
      <c r="K105" s="987" t="s">
        <v>50</v>
      </c>
      <c r="L105" s="987" t="s">
        <v>110</v>
      </c>
      <c r="M105" s="987" t="s">
        <v>50</v>
      </c>
      <c r="N105" s="987" t="s">
        <v>50</v>
      </c>
      <c r="O105" s="987" t="s">
        <v>50</v>
      </c>
      <c r="P105" s="987" t="s">
        <v>50</v>
      </c>
      <c r="Q105" s="987" t="s">
        <v>785</v>
      </c>
      <c r="R105" s="987" t="s">
        <v>50</v>
      </c>
      <c r="S105" s="987" t="s">
        <v>110</v>
      </c>
      <c r="T105" s="987" t="s">
        <v>50</v>
      </c>
      <c r="U105" s="987" t="s">
        <v>50</v>
      </c>
      <c r="V105" s="987" t="s">
        <v>50</v>
      </c>
      <c r="W105" s="987" t="s">
        <v>50</v>
      </c>
      <c r="X105" s="987" t="s">
        <v>50</v>
      </c>
      <c r="Y105" s="987" t="s">
        <v>785</v>
      </c>
      <c r="Z105" s="987" t="s">
        <v>110</v>
      </c>
      <c r="AA105" s="987" t="s">
        <v>50</v>
      </c>
      <c r="AB105" s="987" t="s">
        <v>50</v>
      </c>
      <c r="AC105" s="987" t="s">
        <v>50</v>
      </c>
      <c r="AD105" s="987" t="s">
        <v>50</v>
      </c>
      <c r="AE105" s="987" t="s">
        <v>50</v>
      </c>
      <c r="AF105" s="987" t="s">
        <v>50</v>
      </c>
      <c r="AG105" s="987" t="s">
        <v>110</v>
      </c>
      <c r="AH105" s="987" t="s">
        <v>50</v>
      </c>
      <c r="AI105" s="987" t="s">
        <v>50</v>
      </c>
      <c r="AJ105" s="988"/>
      <c r="AK105" s="976">
        <f t="shared" si="24"/>
        <v>24</v>
      </c>
      <c r="AL105" s="977">
        <f t="shared" si="25"/>
        <v>4</v>
      </c>
      <c r="AM105" s="976">
        <f t="shared" si="26"/>
        <v>2</v>
      </c>
      <c r="AN105" s="976">
        <f t="shared" si="27"/>
        <v>0</v>
      </c>
      <c r="AO105" s="976">
        <f t="shared" si="28"/>
        <v>0</v>
      </c>
      <c r="AP105" s="977">
        <f t="shared" si="29"/>
        <v>0</v>
      </c>
      <c r="AQ105" s="978">
        <f t="shared" si="30"/>
        <v>30</v>
      </c>
      <c r="AR105" s="979"/>
      <c r="AS105" s="150" t="str">
        <f>'Mã số nhân viên'!I87</f>
        <v>03598</v>
      </c>
      <c r="AT105" s="989">
        <f t="shared" si="23"/>
        <v>0</v>
      </c>
    </row>
    <row r="106" spans="1:46" ht="24.75" customHeight="1">
      <c r="A106" s="636">
        <v>89</v>
      </c>
      <c r="B106" s="986">
        <v>12</v>
      </c>
      <c r="C106" s="636" t="str">
        <f>VLOOKUP(D106,'Mã số nhân viên'!B88:I145,8,0)</f>
        <v>03599</v>
      </c>
      <c r="D106" s="1118" t="s">
        <v>196</v>
      </c>
      <c r="E106" s="123"/>
      <c r="F106" s="987" t="s">
        <v>50</v>
      </c>
      <c r="G106" s="987" t="s">
        <v>50</v>
      </c>
      <c r="H106" s="987" t="s">
        <v>50</v>
      </c>
      <c r="I106" s="987" t="s">
        <v>50</v>
      </c>
      <c r="J106" s="987" t="s">
        <v>50</v>
      </c>
      <c r="K106" s="987" t="s">
        <v>50</v>
      </c>
      <c r="L106" s="987" t="s">
        <v>110</v>
      </c>
      <c r="M106" s="987" t="s">
        <v>50</v>
      </c>
      <c r="N106" s="987" t="s">
        <v>50</v>
      </c>
      <c r="O106" s="987" t="s">
        <v>50</v>
      </c>
      <c r="P106" s="987" t="s">
        <v>50</v>
      </c>
      <c r="Q106" s="987" t="s">
        <v>785</v>
      </c>
      <c r="R106" s="987" t="s">
        <v>50</v>
      </c>
      <c r="S106" s="987" t="s">
        <v>110</v>
      </c>
      <c r="T106" s="987" t="s">
        <v>50</v>
      </c>
      <c r="U106" s="987" t="s">
        <v>50</v>
      </c>
      <c r="V106" s="987" t="s">
        <v>50</v>
      </c>
      <c r="W106" s="987" t="s">
        <v>50</v>
      </c>
      <c r="X106" s="987" t="s">
        <v>50</v>
      </c>
      <c r="Y106" s="987" t="s">
        <v>785</v>
      </c>
      <c r="Z106" s="987" t="s">
        <v>110</v>
      </c>
      <c r="AA106" s="987" t="s">
        <v>50</v>
      </c>
      <c r="AB106" s="987" t="s">
        <v>50</v>
      </c>
      <c r="AC106" s="987" t="s">
        <v>50</v>
      </c>
      <c r="AD106" s="987" t="s">
        <v>50</v>
      </c>
      <c r="AE106" s="987" t="s">
        <v>50</v>
      </c>
      <c r="AF106" s="987" t="s">
        <v>50</v>
      </c>
      <c r="AG106" s="987" t="s">
        <v>110</v>
      </c>
      <c r="AH106" s="987" t="s">
        <v>50</v>
      </c>
      <c r="AI106" s="987" t="s">
        <v>50</v>
      </c>
      <c r="AJ106" s="988"/>
      <c r="AK106" s="976">
        <f t="shared" si="24"/>
        <v>24</v>
      </c>
      <c r="AL106" s="977">
        <f t="shared" si="25"/>
        <v>4</v>
      </c>
      <c r="AM106" s="976">
        <f t="shared" si="26"/>
        <v>2</v>
      </c>
      <c r="AN106" s="976">
        <f t="shared" si="27"/>
        <v>0</v>
      </c>
      <c r="AO106" s="976">
        <f t="shared" si="28"/>
        <v>0</v>
      </c>
      <c r="AP106" s="977">
        <f t="shared" si="29"/>
        <v>0</v>
      </c>
      <c r="AQ106" s="978">
        <f t="shared" si="30"/>
        <v>30</v>
      </c>
      <c r="AR106" s="979"/>
      <c r="AS106" s="150" t="str">
        <f>'Mã số nhân viên'!I88</f>
        <v>03599</v>
      </c>
      <c r="AT106" s="989">
        <f t="shared" si="23"/>
        <v>0</v>
      </c>
    </row>
    <row r="107" spans="1:46" ht="24.75" customHeight="1">
      <c r="A107" s="636">
        <v>90</v>
      </c>
      <c r="B107" s="986">
        <v>13</v>
      </c>
      <c r="C107" s="636" t="str">
        <f>VLOOKUP(D107,'Mã số nhân viên'!B89:I146,8,0)</f>
        <v>04074</v>
      </c>
      <c r="D107" s="1118" t="s">
        <v>526</v>
      </c>
      <c r="E107" s="123"/>
      <c r="F107" s="987" t="s">
        <v>50</v>
      </c>
      <c r="G107" s="987" t="s">
        <v>50</v>
      </c>
      <c r="H107" s="987" t="s">
        <v>50</v>
      </c>
      <c r="I107" s="987" t="s">
        <v>50</v>
      </c>
      <c r="J107" s="987" t="s">
        <v>50</v>
      </c>
      <c r="K107" s="987" t="s">
        <v>50</v>
      </c>
      <c r="L107" s="987" t="s">
        <v>110</v>
      </c>
      <c r="M107" s="987" t="s">
        <v>50</v>
      </c>
      <c r="N107" s="987" t="s">
        <v>50</v>
      </c>
      <c r="O107" s="987" t="s">
        <v>50</v>
      </c>
      <c r="P107" s="987" t="s">
        <v>50</v>
      </c>
      <c r="Q107" s="987" t="s">
        <v>785</v>
      </c>
      <c r="R107" s="987" t="s">
        <v>50</v>
      </c>
      <c r="S107" s="987" t="s">
        <v>110</v>
      </c>
      <c r="T107" s="987" t="s">
        <v>808</v>
      </c>
      <c r="U107" s="987" t="s">
        <v>50</v>
      </c>
      <c r="V107" s="987" t="s">
        <v>50</v>
      </c>
      <c r="W107" s="987" t="s">
        <v>50</v>
      </c>
      <c r="X107" s="987" t="s">
        <v>50</v>
      </c>
      <c r="Y107" s="987" t="s">
        <v>785</v>
      </c>
      <c r="Z107" s="987" t="s">
        <v>110</v>
      </c>
      <c r="AA107" s="987" t="s">
        <v>50</v>
      </c>
      <c r="AB107" s="987" t="s">
        <v>50</v>
      </c>
      <c r="AC107" s="987" t="s">
        <v>50</v>
      </c>
      <c r="AD107" s="987"/>
      <c r="AE107" s="987" t="s">
        <v>50</v>
      </c>
      <c r="AF107" s="987" t="s">
        <v>50</v>
      </c>
      <c r="AG107" s="987" t="s">
        <v>110</v>
      </c>
      <c r="AH107" s="987" t="s">
        <v>50</v>
      </c>
      <c r="AI107" s="987" t="s">
        <v>50</v>
      </c>
      <c r="AJ107" s="988"/>
      <c r="AK107" s="976">
        <f t="shared" si="24"/>
        <v>22</v>
      </c>
      <c r="AL107" s="977">
        <f t="shared" si="25"/>
        <v>4</v>
      </c>
      <c r="AM107" s="976">
        <f t="shared" si="26"/>
        <v>2</v>
      </c>
      <c r="AN107" s="976">
        <f t="shared" si="27"/>
        <v>0</v>
      </c>
      <c r="AO107" s="976">
        <f t="shared" si="28"/>
        <v>0</v>
      </c>
      <c r="AP107" s="977">
        <f t="shared" si="29"/>
        <v>0</v>
      </c>
      <c r="AQ107" s="978">
        <f t="shared" si="30"/>
        <v>28</v>
      </c>
      <c r="AR107" s="979"/>
      <c r="AS107" s="150" t="str">
        <f>'Mã số nhân viên'!I89</f>
        <v>04074</v>
      </c>
      <c r="AT107" s="989">
        <f t="shared" si="23"/>
        <v>0</v>
      </c>
    </row>
    <row r="108" spans="1:46" ht="24.75" customHeight="1">
      <c r="A108" s="636">
        <v>91</v>
      </c>
      <c r="B108" s="986">
        <v>14</v>
      </c>
      <c r="C108" s="636" t="str">
        <f>VLOOKUP(D108,'Mã số nhân viên'!B90:I147,8,0)</f>
        <v>03601</v>
      </c>
      <c r="D108" s="1004" t="s">
        <v>237</v>
      </c>
      <c r="E108" s="123"/>
      <c r="F108" s="987" t="s">
        <v>50</v>
      </c>
      <c r="G108" s="987" t="s">
        <v>50</v>
      </c>
      <c r="H108" s="987" t="s">
        <v>50</v>
      </c>
      <c r="I108" s="987" t="s">
        <v>50</v>
      </c>
      <c r="J108" s="987" t="s">
        <v>50</v>
      </c>
      <c r="K108" s="987" t="s">
        <v>50</v>
      </c>
      <c r="L108" s="987" t="s">
        <v>110</v>
      </c>
      <c r="M108" s="987" t="s">
        <v>50</v>
      </c>
      <c r="N108" s="987" t="s">
        <v>50</v>
      </c>
      <c r="O108" s="987" t="s">
        <v>50</v>
      </c>
      <c r="P108" s="987" t="s">
        <v>50</v>
      </c>
      <c r="Q108" s="987" t="s">
        <v>785</v>
      </c>
      <c r="R108" s="987" t="s">
        <v>50</v>
      </c>
      <c r="S108" s="987" t="s">
        <v>110</v>
      </c>
      <c r="T108" s="987" t="s">
        <v>50</v>
      </c>
      <c r="U108" s="987" t="s">
        <v>50</v>
      </c>
      <c r="V108" s="987" t="s">
        <v>50</v>
      </c>
      <c r="W108" s="987" t="s">
        <v>50</v>
      </c>
      <c r="X108" s="987" t="s">
        <v>50</v>
      </c>
      <c r="Y108" s="987" t="s">
        <v>785</v>
      </c>
      <c r="Z108" s="987" t="s">
        <v>110</v>
      </c>
      <c r="AA108" s="987" t="s">
        <v>50</v>
      </c>
      <c r="AB108" s="987" t="s">
        <v>50</v>
      </c>
      <c r="AC108" s="987" t="s">
        <v>50</v>
      </c>
      <c r="AD108" s="987" t="s">
        <v>50</v>
      </c>
      <c r="AE108" s="987" t="s">
        <v>50</v>
      </c>
      <c r="AF108" s="987" t="s">
        <v>50</v>
      </c>
      <c r="AG108" s="987" t="s">
        <v>110</v>
      </c>
      <c r="AH108" s="987" t="s">
        <v>50</v>
      </c>
      <c r="AI108" s="987" t="s">
        <v>50</v>
      </c>
      <c r="AJ108" s="988"/>
      <c r="AK108" s="976">
        <f t="shared" si="24"/>
        <v>24</v>
      </c>
      <c r="AL108" s="977">
        <f t="shared" si="25"/>
        <v>4</v>
      </c>
      <c r="AM108" s="976">
        <f t="shared" si="26"/>
        <v>2</v>
      </c>
      <c r="AN108" s="976">
        <f t="shared" si="27"/>
        <v>0</v>
      </c>
      <c r="AO108" s="976">
        <f t="shared" si="28"/>
        <v>0</v>
      </c>
      <c r="AP108" s="977">
        <f t="shared" si="29"/>
        <v>0</v>
      </c>
      <c r="AQ108" s="978">
        <f t="shared" si="30"/>
        <v>30</v>
      </c>
      <c r="AR108" s="979"/>
      <c r="AS108" s="150" t="str">
        <f>'Mã số nhân viên'!I90</f>
        <v>03601</v>
      </c>
      <c r="AT108" s="989">
        <f t="shared" si="23"/>
        <v>0</v>
      </c>
    </row>
    <row r="109" spans="1:46" ht="24.75" customHeight="1">
      <c r="A109" s="636">
        <v>92</v>
      </c>
      <c r="B109" s="986">
        <v>15</v>
      </c>
      <c r="C109" s="636" t="str">
        <f>VLOOKUP(D109,'Mã số nhân viên'!B91:I148,8,0)</f>
        <v>03602</v>
      </c>
      <c r="D109" s="1118" t="s">
        <v>197</v>
      </c>
      <c r="E109" s="123"/>
      <c r="F109" s="987" t="s">
        <v>50</v>
      </c>
      <c r="G109" s="987" t="s">
        <v>50</v>
      </c>
      <c r="H109" s="987" t="s">
        <v>50</v>
      </c>
      <c r="I109" s="987" t="s">
        <v>50</v>
      </c>
      <c r="J109" s="987" t="s">
        <v>50</v>
      </c>
      <c r="K109" s="987" t="s">
        <v>50</v>
      </c>
      <c r="L109" s="987" t="s">
        <v>110</v>
      </c>
      <c r="M109" s="987" t="s">
        <v>50</v>
      </c>
      <c r="N109" s="987" t="s">
        <v>50</v>
      </c>
      <c r="O109" s="987" t="s">
        <v>50</v>
      </c>
      <c r="P109" s="987" t="s">
        <v>50</v>
      </c>
      <c r="Q109" s="987" t="s">
        <v>785</v>
      </c>
      <c r="R109" s="987" t="s">
        <v>50</v>
      </c>
      <c r="S109" s="987" t="s">
        <v>110</v>
      </c>
      <c r="T109" s="987" t="s">
        <v>50</v>
      </c>
      <c r="U109" s="987" t="s">
        <v>50</v>
      </c>
      <c r="V109" s="987" t="s">
        <v>50</v>
      </c>
      <c r="W109" s="987" t="s">
        <v>50</v>
      </c>
      <c r="X109" s="987" t="s">
        <v>50</v>
      </c>
      <c r="Y109" s="987" t="s">
        <v>785</v>
      </c>
      <c r="Z109" s="987" t="s">
        <v>110</v>
      </c>
      <c r="AA109" s="987" t="s">
        <v>50</v>
      </c>
      <c r="AB109" s="987" t="s">
        <v>50</v>
      </c>
      <c r="AC109" s="987" t="s">
        <v>50</v>
      </c>
      <c r="AD109" s="987" t="s">
        <v>50</v>
      </c>
      <c r="AE109" s="987" t="s">
        <v>50</v>
      </c>
      <c r="AF109" s="987" t="s">
        <v>50</v>
      </c>
      <c r="AG109" s="987" t="s">
        <v>110</v>
      </c>
      <c r="AH109" s="987" t="s">
        <v>50</v>
      </c>
      <c r="AI109" s="987" t="s">
        <v>50</v>
      </c>
      <c r="AJ109" s="988"/>
      <c r="AK109" s="976">
        <f t="shared" si="24"/>
        <v>24</v>
      </c>
      <c r="AL109" s="977">
        <f t="shared" si="25"/>
        <v>4</v>
      </c>
      <c r="AM109" s="976">
        <f t="shared" si="26"/>
        <v>2</v>
      </c>
      <c r="AN109" s="976">
        <f t="shared" si="27"/>
        <v>0</v>
      </c>
      <c r="AO109" s="976">
        <f t="shared" si="28"/>
        <v>0</v>
      </c>
      <c r="AP109" s="977">
        <f t="shared" si="29"/>
        <v>0</v>
      </c>
      <c r="AQ109" s="978">
        <f t="shared" si="30"/>
        <v>30</v>
      </c>
      <c r="AR109" s="979"/>
      <c r="AS109" s="150" t="str">
        <f>'Mã số nhân viên'!I91</f>
        <v>03602</v>
      </c>
      <c r="AT109" s="989">
        <f t="shared" si="23"/>
        <v>0</v>
      </c>
    </row>
    <row r="110" spans="1:46" ht="24.75" customHeight="1">
      <c r="A110" s="636">
        <v>93</v>
      </c>
      <c r="B110" s="986">
        <v>16</v>
      </c>
      <c r="C110" s="636" t="str">
        <f>VLOOKUP(D110,'Mã số nhân viên'!B92:I149,8,0)</f>
        <v>03496</v>
      </c>
      <c r="D110" s="1118" t="s">
        <v>311</v>
      </c>
      <c r="E110" s="123"/>
      <c r="F110" s="987" t="s">
        <v>50</v>
      </c>
      <c r="G110" s="987" t="s">
        <v>50</v>
      </c>
      <c r="H110" s="987" t="s">
        <v>50</v>
      </c>
      <c r="I110" s="987" t="s">
        <v>50</v>
      </c>
      <c r="J110" s="987" t="s">
        <v>50</v>
      </c>
      <c r="K110" s="987" t="s">
        <v>50</v>
      </c>
      <c r="L110" s="987" t="s">
        <v>110</v>
      </c>
      <c r="M110" s="987" t="s">
        <v>50</v>
      </c>
      <c r="N110" s="987" t="s">
        <v>50</v>
      </c>
      <c r="O110" s="987" t="s">
        <v>50</v>
      </c>
      <c r="P110" s="987" t="s">
        <v>50</v>
      </c>
      <c r="Q110" s="987" t="s">
        <v>785</v>
      </c>
      <c r="R110" s="987" t="s">
        <v>50</v>
      </c>
      <c r="S110" s="987" t="s">
        <v>110</v>
      </c>
      <c r="T110" s="987" t="s">
        <v>50</v>
      </c>
      <c r="U110" s="987" t="s">
        <v>50</v>
      </c>
      <c r="V110" s="987" t="s">
        <v>50</v>
      </c>
      <c r="W110" s="987" t="s">
        <v>50</v>
      </c>
      <c r="X110" s="987" t="s">
        <v>50</v>
      </c>
      <c r="Y110" s="987" t="s">
        <v>785</v>
      </c>
      <c r="Z110" s="987" t="s">
        <v>110</v>
      </c>
      <c r="AA110" s="987" t="s">
        <v>50</v>
      </c>
      <c r="AB110" s="987" t="s">
        <v>50</v>
      </c>
      <c r="AC110" s="987" t="s">
        <v>50</v>
      </c>
      <c r="AD110" s="987" t="s">
        <v>50</v>
      </c>
      <c r="AE110" s="987" t="s">
        <v>50</v>
      </c>
      <c r="AF110" s="987" t="s">
        <v>50</v>
      </c>
      <c r="AG110" s="987" t="s">
        <v>110</v>
      </c>
      <c r="AH110" s="987" t="s">
        <v>50</v>
      </c>
      <c r="AI110" s="987" t="s">
        <v>50</v>
      </c>
      <c r="AJ110" s="988"/>
      <c r="AK110" s="976">
        <f t="shared" si="24"/>
        <v>24</v>
      </c>
      <c r="AL110" s="977">
        <f t="shared" si="25"/>
        <v>4</v>
      </c>
      <c r="AM110" s="976">
        <f t="shared" si="26"/>
        <v>2</v>
      </c>
      <c r="AN110" s="976">
        <f t="shared" si="27"/>
        <v>0</v>
      </c>
      <c r="AO110" s="976">
        <f t="shared" si="28"/>
        <v>0</v>
      </c>
      <c r="AP110" s="977">
        <f t="shared" si="29"/>
        <v>0</v>
      </c>
      <c r="AQ110" s="978">
        <f t="shared" si="30"/>
        <v>30</v>
      </c>
      <c r="AR110" s="979"/>
      <c r="AS110" s="150" t="str">
        <f>'Mã số nhân viên'!I92</f>
        <v>03496</v>
      </c>
      <c r="AT110" s="989">
        <f t="shared" si="23"/>
        <v>0</v>
      </c>
    </row>
    <row r="111" spans="1:46" ht="24.75" customHeight="1">
      <c r="A111" s="636">
        <v>94</v>
      </c>
      <c r="B111" s="986">
        <v>17</v>
      </c>
      <c r="C111" s="636" t="str">
        <f>VLOOKUP(D111,'Mã số nhân viên'!B93:I150,8,0)</f>
        <v>03604</v>
      </c>
      <c r="D111" s="1118" t="s">
        <v>332</v>
      </c>
      <c r="E111" s="123"/>
      <c r="F111" s="987" t="s">
        <v>50</v>
      </c>
      <c r="G111" s="987" t="s">
        <v>50</v>
      </c>
      <c r="H111" s="987" t="s">
        <v>50</v>
      </c>
      <c r="I111" s="987" t="s">
        <v>50</v>
      </c>
      <c r="J111" s="987" t="s">
        <v>50</v>
      </c>
      <c r="K111" s="987" t="s">
        <v>50</v>
      </c>
      <c r="L111" s="987" t="s">
        <v>110</v>
      </c>
      <c r="M111" s="987" t="s">
        <v>50</v>
      </c>
      <c r="N111" s="987" t="s">
        <v>50</v>
      </c>
      <c r="O111" s="987" t="s">
        <v>50</v>
      </c>
      <c r="P111" s="987" t="s">
        <v>50</v>
      </c>
      <c r="Q111" s="987" t="s">
        <v>785</v>
      </c>
      <c r="R111" s="987" t="s">
        <v>50</v>
      </c>
      <c r="S111" s="987" t="s">
        <v>110</v>
      </c>
      <c r="T111" s="987" t="s">
        <v>50</v>
      </c>
      <c r="U111" s="987" t="s">
        <v>50</v>
      </c>
      <c r="V111" s="987" t="s">
        <v>50</v>
      </c>
      <c r="W111" s="987" t="s">
        <v>50</v>
      </c>
      <c r="X111" s="987" t="s">
        <v>50</v>
      </c>
      <c r="Y111" s="987" t="s">
        <v>785</v>
      </c>
      <c r="Z111" s="987" t="s">
        <v>110</v>
      </c>
      <c r="AA111" s="987" t="s">
        <v>50</v>
      </c>
      <c r="AB111" s="987" t="s">
        <v>50</v>
      </c>
      <c r="AC111" s="987" t="s">
        <v>50</v>
      </c>
      <c r="AD111" s="987" t="s">
        <v>50</v>
      </c>
      <c r="AE111" s="987" t="s">
        <v>50</v>
      </c>
      <c r="AF111" s="987" t="s">
        <v>50</v>
      </c>
      <c r="AG111" s="987" t="s">
        <v>110</v>
      </c>
      <c r="AH111" s="987" t="s">
        <v>50</v>
      </c>
      <c r="AI111" s="987" t="s">
        <v>50</v>
      </c>
      <c r="AJ111" s="988"/>
      <c r="AK111" s="976">
        <f t="shared" si="24"/>
        <v>24</v>
      </c>
      <c r="AL111" s="977">
        <f t="shared" si="25"/>
        <v>4</v>
      </c>
      <c r="AM111" s="976">
        <f t="shared" si="26"/>
        <v>2</v>
      </c>
      <c r="AN111" s="976">
        <f t="shared" si="27"/>
        <v>0</v>
      </c>
      <c r="AO111" s="976">
        <f t="shared" si="28"/>
        <v>0</v>
      </c>
      <c r="AP111" s="977">
        <f t="shared" si="29"/>
        <v>0</v>
      </c>
      <c r="AQ111" s="978">
        <f t="shared" si="30"/>
        <v>30</v>
      </c>
      <c r="AR111" s="979"/>
      <c r="AS111" s="150" t="str">
        <f>'Mã số nhân viên'!I93</f>
        <v>03604</v>
      </c>
      <c r="AT111" s="989">
        <f t="shared" si="23"/>
        <v>0</v>
      </c>
    </row>
    <row r="112" spans="1:46" ht="24.75" customHeight="1">
      <c r="A112" s="636">
        <v>95</v>
      </c>
      <c r="B112" s="986">
        <v>18</v>
      </c>
      <c r="C112" s="636" t="str">
        <f>VLOOKUP(D112,'Mã số nhân viên'!B94:I151,8,0)</f>
        <v>04075</v>
      </c>
      <c r="D112" s="1118" t="s">
        <v>262</v>
      </c>
      <c r="E112" s="123"/>
      <c r="F112" s="987" t="s">
        <v>50</v>
      </c>
      <c r="G112" s="987" t="s">
        <v>50</v>
      </c>
      <c r="H112" s="987" t="s">
        <v>50</v>
      </c>
      <c r="I112" s="987" t="s">
        <v>50</v>
      </c>
      <c r="J112" s="987" t="s">
        <v>50</v>
      </c>
      <c r="K112" s="987" t="s">
        <v>50</v>
      </c>
      <c r="L112" s="987" t="s">
        <v>110</v>
      </c>
      <c r="M112" s="987" t="s">
        <v>50</v>
      </c>
      <c r="N112" s="987" t="s">
        <v>50</v>
      </c>
      <c r="O112" s="987" t="s">
        <v>50</v>
      </c>
      <c r="P112" s="987" t="s">
        <v>50</v>
      </c>
      <c r="Q112" s="987" t="s">
        <v>785</v>
      </c>
      <c r="R112" s="987" t="s">
        <v>50</v>
      </c>
      <c r="S112" s="987" t="s">
        <v>110</v>
      </c>
      <c r="T112" s="987" t="s">
        <v>50</v>
      </c>
      <c r="U112" s="987" t="s">
        <v>50</v>
      </c>
      <c r="V112" s="987" t="s">
        <v>50</v>
      </c>
      <c r="W112" s="987" t="s">
        <v>50</v>
      </c>
      <c r="X112" s="987" t="s">
        <v>50</v>
      </c>
      <c r="Y112" s="987" t="s">
        <v>785</v>
      </c>
      <c r="Z112" s="987" t="s">
        <v>110</v>
      </c>
      <c r="AA112" s="987" t="s">
        <v>50</v>
      </c>
      <c r="AB112" s="987" t="s">
        <v>50</v>
      </c>
      <c r="AC112" s="987" t="s">
        <v>50</v>
      </c>
      <c r="AD112" s="987" t="s">
        <v>50</v>
      </c>
      <c r="AE112" s="987" t="s">
        <v>50</v>
      </c>
      <c r="AF112" s="987" t="s">
        <v>50</v>
      </c>
      <c r="AG112" s="987" t="s">
        <v>110</v>
      </c>
      <c r="AH112" s="987" t="s">
        <v>50</v>
      </c>
      <c r="AI112" s="987" t="s">
        <v>50</v>
      </c>
      <c r="AJ112" s="988"/>
      <c r="AK112" s="976">
        <f t="shared" si="24"/>
        <v>24</v>
      </c>
      <c r="AL112" s="977">
        <f t="shared" si="25"/>
        <v>4</v>
      </c>
      <c r="AM112" s="976">
        <f t="shared" si="26"/>
        <v>2</v>
      </c>
      <c r="AN112" s="976">
        <f t="shared" si="27"/>
        <v>0</v>
      </c>
      <c r="AO112" s="976">
        <f t="shared" si="28"/>
        <v>0</v>
      </c>
      <c r="AP112" s="977">
        <f t="shared" si="29"/>
        <v>0</v>
      </c>
      <c r="AQ112" s="978">
        <f t="shared" si="30"/>
        <v>30</v>
      </c>
      <c r="AR112" s="979"/>
      <c r="AS112" s="150" t="str">
        <f>'Mã số nhân viên'!I94</f>
        <v>04075</v>
      </c>
      <c r="AT112" s="989">
        <f t="shared" si="23"/>
        <v>0</v>
      </c>
    </row>
    <row r="113" spans="1:46" ht="24.75" customHeight="1">
      <c r="A113" s="636">
        <v>96</v>
      </c>
      <c r="B113" s="986">
        <v>19</v>
      </c>
      <c r="C113" s="636" t="str">
        <f>VLOOKUP(D113,'Mã số nhân viên'!B95:I152,8,0)</f>
        <v>03509</v>
      </c>
      <c r="D113" s="1118" t="s">
        <v>234</v>
      </c>
      <c r="E113" s="123"/>
      <c r="F113" s="987" t="s">
        <v>50</v>
      </c>
      <c r="G113" s="987" t="s">
        <v>50</v>
      </c>
      <c r="H113" s="987" t="s">
        <v>50</v>
      </c>
      <c r="I113" s="987" t="s">
        <v>50</v>
      </c>
      <c r="J113" s="987" t="s">
        <v>50</v>
      </c>
      <c r="K113" s="987" t="s">
        <v>50</v>
      </c>
      <c r="L113" s="987" t="s">
        <v>110</v>
      </c>
      <c r="M113" s="987" t="s">
        <v>50</v>
      </c>
      <c r="N113" s="987" t="s">
        <v>50</v>
      </c>
      <c r="O113" s="987" t="s">
        <v>50</v>
      </c>
      <c r="P113" s="987" t="s">
        <v>50</v>
      </c>
      <c r="Q113" s="987" t="s">
        <v>785</v>
      </c>
      <c r="R113" s="987" t="s">
        <v>50</v>
      </c>
      <c r="S113" s="987" t="s">
        <v>808</v>
      </c>
      <c r="T113" s="987" t="s">
        <v>50</v>
      </c>
      <c r="U113" s="987" t="s">
        <v>50</v>
      </c>
      <c r="V113" s="987" t="s">
        <v>50</v>
      </c>
      <c r="W113" s="987" t="s">
        <v>50</v>
      </c>
      <c r="X113" s="987" t="s">
        <v>50</v>
      </c>
      <c r="Y113" s="987" t="s">
        <v>785</v>
      </c>
      <c r="Z113" s="987" t="s">
        <v>110</v>
      </c>
      <c r="AA113" s="987" t="s">
        <v>50</v>
      </c>
      <c r="AB113" s="987" t="s">
        <v>50</v>
      </c>
      <c r="AC113" s="987" t="s">
        <v>50</v>
      </c>
      <c r="AD113" s="987" t="s">
        <v>50</v>
      </c>
      <c r="AE113" s="987" t="s">
        <v>50</v>
      </c>
      <c r="AF113" s="987" t="s">
        <v>50</v>
      </c>
      <c r="AG113" s="987" t="s">
        <v>110</v>
      </c>
      <c r="AH113" s="987" t="s">
        <v>50</v>
      </c>
      <c r="AI113" s="987" t="s">
        <v>50</v>
      </c>
      <c r="AJ113" s="988"/>
      <c r="AK113" s="976">
        <f t="shared" si="24"/>
        <v>24</v>
      </c>
      <c r="AL113" s="977">
        <f t="shared" si="25"/>
        <v>3</v>
      </c>
      <c r="AM113" s="976">
        <f t="shared" si="26"/>
        <v>2</v>
      </c>
      <c r="AN113" s="976">
        <f t="shared" si="27"/>
        <v>0</v>
      </c>
      <c r="AO113" s="976">
        <f t="shared" si="28"/>
        <v>0</v>
      </c>
      <c r="AP113" s="977">
        <f t="shared" si="29"/>
        <v>0</v>
      </c>
      <c r="AQ113" s="978">
        <f t="shared" si="30"/>
        <v>29</v>
      </c>
      <c r="AR113" s="979"/>
      <c r="AS113" s="150" t="str">
        <f>'Mã số nhân viên'!I95</f>
        <v>03509</v>
      </c>
      <c r="AT113" s="989">
        <f t="shared" si="23"/>
        <v>0</v>
      </c>
    </row>
    <row r="114" spans="1:46" ht="24.75" customHeight="1">
      <c r="A114" s="636">
        <v>97</v>
      </c>
      <c r="B114" s="986">
        <v>20</v>
      </c>
      <c r="C114" s="636" t="str">
        <f>VLOOKUP(D114,'Mã số nhân viên'!B96:I153,8,0)</f>
        <v>03607</v>
      </c>
      <c r="D114" s="1118" t="s">
        <v>251</v>
      </c>
      <c r="E114" s="123"/>
      <c r="F114" s="987" t="s">
        <v>50</v>
      </c>
      <c r="G114" s="987" t="s">
        <v>50</v>
      </c>
      <c r="H114" s="987" t="s">
        <v>50</v>
      </c>
      <c r="I114" s="987" t="s">
        <v>50</v>
      </c>
      <c r="J114" s="987" t="s">
        <v>50</v>
      </c>
      <c r="K114" s="987" t="s">
        <v>50</v>
      </c>
      <c r="L114" s="987" t="s">
        <v>110</v>
      </c>
      <c r="M114" s="987" t="s">
        <v>50</v>
      </c>
      <c r="N114" s="987" t="s">
        <v>50</v>
      </c>
      <c r="O114" s="987" t="s">
        <v>50</v>
      </c>
      <c r="P114" s="987" t="s">
        <v>808</v>
      </c>
      <c r="Q114" s="987" t="s">
        <v>785</v>
      </c>
      <c r="R114" s="987" t="s">
        <v>50</v>
      </c>
      <c r="S114" s="987" t="s">
        <v>808</v>
      </c>
      <c r="T114" s="987" t="s">
        <v>50</v>
      </c>
      <c r="U114" s="987" t="s">
        <v>50</v>
      </c>
      <c r="V114" s="987" t="s">
        <v>50</v>
      </c>
      <c r="W114" s="987" t="s">
        <v>50</v>
      </c>
      <c r="X114" s="987" t="s">
        <v>50</v>
      </c>
      <c r="Y114" s="987" t="s">
        <v>785</v>
      </c>
      <c r="Z114" s="987" t="s">
        <v>110</v>
      </c>
      <c r="AA114" s="987" t="s">
        <v>50</v>
      </c>
      <c r="AB114" s="987" t="s">
        <v>50</v>
      </c>
      <c r="AC114" s="987" t="s">
        <v>50</v>
      </c>
      <c r="AD114" s="987" t="s">
        <v>50</v>
      </c>
      <c r="AE114" s="987" t="s">
        <v>50</v>
      </c>
      <c r="AF114" s="987" t="s">
        <v>50</v>
      </c>
      <c r="AG114" s="987" t="s">
        <v>110</v>
      </c>
      <c r="AH114" s="987" t="s">
        <v>50</v>
      </c>
      <c r="AI114" s="987" t="s">
        <v>50</v>
      </c>
      <c r="AJ114" s="988"/>
      <c r="AK114" s="976">
        <f t="shared" si="24"/>
        <v>23</v>
      </c>
      <c r="AL114" s="977">
        <f t="shared" si="25"/>
        <v>3</v>
      </c>
      <c r="AM114" s="976">
        <f t="shared" si="26"/>
        <v>2</v>
      </c>
      <c r="AN114" s="976">
        <f t="shared" si="27"/>
        <v>0</v>
      </c>
      <c r="AO114" s="976">
        <f t="shared" si="28"/>
        <v>0</v>
      </c>
      <c r="AP114" s="977">
        <f t="shared" si="29"/>
        <v>0</v>
      </c>
      <c r="AQ114" s="978">
        <f t="shared" si="30"/>
        <v>28</v>
      </c>
      <c r="AR114" s="979"/>
      <c r="AS114" s="150" t="str">
        <f>'Mã số nhân viên'!I96</f>
        <v>03607</v>
      </c>
      <c r="AT114" s="989">
        <f t="shared" si="23"/>
        <v>0</v>
      </c>
    </row>
    <row r="115" spans="1:46" ht="24.75" customHeight="1">
      <c r="A115" s="636">
        <v>98</v>
      </c>
      <c r="B115" s="986">
        <v>21</v>
      </c>
      <c r="C115" s="636" t="str">
        <f>VLOOKUP(D115,'Mã số nhân viên'!B97:I154,8,0)</f>
        <v>02729</v>
      </c>
      <c r="D115" s="1118" t="s">
        <v>214</v>
      </c>
      <c r="E115" s="123"/>
      <c r="F115" s="987" t="s">
        <v>50</v>
      </c>
      <c r="G115" s="987" t="s">
        <v>50</v>
      </c>
      <c r="H115" s="987" t="s">
        <v>50</v>
      </c>
      <c r="I115" s="987" t="s">
        <v>50</v>
      </c>
      <c r="J115" s="987" t="s">
        <v>50</v>
      </c>
      <c r="K115" s="987" t="s">
        <v>50</v>
      </c>
      <c r="L115" s="987" t="s">
        <v>110</v>
      </c>
      <c r="M115" s="987" t="s">
        <v>50</v>
      </c>
      <c r="N115" s="987" t="s">
        <v>50</v>
      </c>
      <c r="O115" s="987" t="s">
        <v>50</v>
      </c>
      <c r="P115" s="987" t="s">
        <v>808</v>
      </c>
      <c r="Q115" s="987" t="s">
        <v>785</v>
      </c>
      <c r="R115" s="987" t="s">
        <v>50</v>
      </c>
      <c r="S115" s="987" t="s">
        <v>808</v>
      </c>
      <c r="T115" s="987" t="s">
        <v>50</v>
      </c>
      <c r="U115" s="987" t="s">
        <v>50</v>
      </c>
      <c r="V115" s="987" t="s">
        <v>50</v>
      </c>
      <c r="W115" s="987" t="s">
        <v>50</v>
      </c>
      <c r="X115" s="987" t="s">
        <v>50</v>
      </c>
      <c r="Y115" s="987" t="s">
        <v>785</v>
      </c>
      <c r="Z115" s="987" t="s">
        <v>110</v>
      </c>
      <c r="AA115" s="987" t="s">
        <v>50</v>
      </c>
      <c r="AB115" s="987" t="s">
        <v>50</v>
      </c>
      <c r="AC115" s="987" t="s">
        <v>50</v>
      </c>
      <c r="AD115" s="987" t="s">
        <v>50</v>
      </c>
      <c r="AE115" s="987" t="s">
        <v>778</v>
      </c>
      <c r="AF115" s="987" t="s">
        <v>50</v>
      </c>
      <c r="AG115" s="987" t="s">
        <v>110</v>
      </c>
      <c r="AH115" s="987" t="s">
        <v>50</v>
      </c>
      <c r="AI115" s="987" t="s">
        <v>50</v>
      </c>
      <c r="AJ115" s="988"/>
      <c r="AK115" s="976">
        <f t="shared" si="24"/>
        <v>22</v>
      </c>
      <c r="AL115" s="977">
        <f t="shared" si="25"/>
        <v>3</v>
      </c>
      <c r="AM115" s="976">
        <f t="shared" si="26"/>
        <v>2</v>
      </c>
      <c r="AN115" s="976">
        <f t="shared" si="27"/>
        <v>0</v>
      </c>
      <c r="AO115" s="976">
        <f t="shared" si="28"/>
        <v>0</v>
      </c>
      <c r="AP115" s="977">
        <f t="shared" si="29"/>
        <v>0</v>
      </c>
      <c r="AQ115" s="978">
        <f t="shared" si="30"/>
        <v>27</v>
      </c>
      <c r="AR115" s="979"/>
      <c r="AS115" s="150" t="str">
        <f>'Mã số nhân viên'!I97</f>
        <v>02729</v>
      </c>
      <c r="AT115" s="989">
        <f t="shared" si="23"/>
        <v>0</v>
      </c>
    </row>
    <row r="116" spans="1:46" ht="24.75" customHeight="1">
      <c r="A116" s="636">
        <v>99</v>
      </c>
      <c r="B116" s="986">
        <v>22</v>
      </c>
      <c r="C116" s="636" t="str">
        <f>VLOOKUP(D116,'Mã số nhân viên'!B98:I155,8,0)</f>
        <v>03608</v>
      </c>
      <c r="D116" s="1118" t="s">
        <v>257</v>
      </c>
      <c r="E116" s="123"/>
      <c r="F116" s="987" t="s">
        <v>50</v>
      </c>
      <c r="G116" s="987" t="s">
        <v>50</v>
      </c>
      <c r="H116" s="987" t="s">
        <v>50</v>
      </c>
      <c r="I116" s="987" t="s">
        <v>50</v>
      </c>
      <c r="J116" s="987" t="s">
        <v>50</v>
      </c>
      <c r="K116" s="987" t="s">
        <v>50</v>
      </c>
      <c r="L116" s="987" t="s">
        <v>110</v>
      </c>
      <c r="M116" s="987" t="s">
        <v>50</v>
      </c>
      <c r="N116" s="987" t="s">
        <v>50</v>
      </c>
      <c r="O116" s="987" t="s">
        <v>50</v>
      </c>
      <c r="P116" s="987" t="s">
        <v>50</v>
      </c>
      <c r="Q116" s="987" t="s">
        <v>785</v>
      </c>
      <c r="R116" s="987" t="s">
        <v>50</v>
      </c>
      <c r="S116" s="987" t="s">
        <v>110</v>
      </c>
      <c r="T116" s="987" t="s">
        <v>50</v>
      </c>
      <c r="U116" s="987" t="s">
        <v>50</v>
      </c>
      <c r="V116" s="987" t="s">
        <v>50</v>
      </c>
      <c r="W116" s="987" t="s">
        <v>50</v>
      </c>
      <c r="X116" s="987" t="s">
        <v>50</v>
      </c>
      <c r="Y116" s="987" t="s">
        <v>785</v>
      </c>
      <c r="Z116" s="987" t="s">
        <v>110</v>
      </c>
      <c r="AA116" s="987" t="s">
        <v>50</v>
      </c>
      <c r="AB116" s="987" t="s">
        <v>50</v>
      </c>
      <c r="AC116" s="987" t="s">
        <v>50</v>
      </c>
      <c r="AD116" s="987" t="s">
        <v>50</v>
      </c>
      <c r="AE116" s="987" t="s">
        <v>50</v>
      </c>
      <c r="AF116" s="987" t="s">
        <v>50</v>
      </c>
      <c r="AG116" s="987" t="s">
        <v>110</v>
      </c>
      <c r="AH116" s="987" t="s">
        <v>50</v>
      </c>
      <c r="AI116" s="987" t="s">
        <v>50</v>
      </c>
      <c r="AJ116" s="988"/>
      <c r="AK116" s="976">
        <f t="shared" si="24"/>
        <v>24</v>
      </c>
      <c r="AL116" s="977">
        <f t="shared" si="25"/>
        <v>4</v>
      </c>
      <c r="AM116" s="976">
        <f t="shared" si="26"/>
        <v>2</v>
      </c>
      <c r="AN116" s="976">
        <f t="shared" si="27"/>
        <v>0</v>
      </c>
      <c r="AO116" s="976">
        <f t="shared" si="28"/>
        <v>0</v>
      </c>
      <c r="AP116" s="977">
        <f t="shared" si="29"/>
        <v>0</v>
      </c>
      <c r="AQ116" s="978">
        <f t="shared" si="30"/>
        <v>30</v>
      </c>
      <c r="AR116" s="979"/>
      <c r="AS116" s="150" t="str">
        <f>'Mã số nhân viên'!I98</f>
        <v>03608</v>
      </c>
      <c r="AT116" s="989">
        <f t="shared" si="23"/>
        <v>0</v>
      </c>
    </row>
    <row r="117" spans="1:46" ht="24.75" customHeight="1">
      <c r="A117" s="636">
        <v>100</v>
      </c>
      <c r="B117" s="986">
        <v>23</v>
      </c>
      <c r="C117" s="636" t="str">
        <f>VLOOKUP(D117,'Mã số nhân viên'!B99:I156,8,0)</f>
        <v>03609</v>
      </c>
      <c r="D117" s="1118" t="s">
        <v>238</v>
      </c>
      <c r="E117" s="123"/>
      <c r="F117" s="987" t="s">
        <v>50</v>
      </c>
      <c r="G117" s="987" t="s">
        <v>50</v>
      </c>
      <c r="H117" s="987" t="s">
        <v>50</v>
      </c>
      <c r="I117" s="987" t="s">
        <v>50</v>
      </c>
      <c r="J117" s="987" t="s">
        <v>50</v>
      </c>
      <c r="K117" s="987" t="s">
        <v>50</v>
      </c>
      <c r="L117" s="987" t="s">
        <v>110</v>
      </c>
      <c r="M117" s="987" t="s">
        <v>50</v>
      </c>
      <c r="N117" s="987" t="s">
        <v>50</v>
      </c>
      <c r="O117" s="987" t="s">
        <v>50</v>
      </c>
      <c r="P117" s="987" t="s">
        <v>50</v>
      </c>
      <c r="Q117" s="987" t="s">
        <v>785</v>
      </c>
      <c r="R117" s="987" t="s">
        <v>50</v>
      </c>
      <c r="S117" s="987" t="s">
        <v>110</v>
      </c>
      <c r="T117" s="987" t="s">
        <v>50</v>
      </c>
      <c r="U117" s="987" t="s">
        <v>50</v>
      </c>
      <c r="V117" s="987" t="s">
        <v>50</v>
      </c>
      <c r="W117" s="987" t="s">
        <v>50</v>
      </c>
      <c r="X117" s="987" t="s">
        <v>50</v>
      </c>
      <c r="Y117" s="987" t="s">
        <v>785</v>
      </c>
      <c r="Z117" s="987" t="s">
        <v>110</v>
      </c>
      <c r="AA117" s="987" t="s">
        <v>50</v>
      </c>
      <c r="AB117" s="987" t="s">
        <v>50</v>
      </c>
      <c r="AC117" s="987" t="s">
        <v>50</v>
      </c>
      <c r="AD117" s="987" t="s">
        <v>50</v>
      </c>
      <c r="AE117" s="987" t="s">
        <v>50</v>
      </c>
      <c r="AF117" s="987" t="s">
        <v>50</v>
      </c>
      <c r="AG117" s="987" t="s">
        <v>110</v>
      </c>
      <c r="AH117" s="987" t="s">
        <v>50</v>
      </c>
      <c r="AI117" s="987" t="s">
        <v>50</v>
      </c>
      <c r="AJ117" s="988"/>
      <c r="AK117" s="976">
        <f t="shared" si="24"/>
        <v>24</v>
      </c>
      <c r="AL117" s="977">
        <f t="shared" si="25"/>
        <v>4</v>
      </c>
      <c r="AM117" s="976">
        <f t="shared" si="26"/>
        <v>2</v>
      </c>
      <c r="AN117" s="976">
        <f t="shared" si="27"/>
        <v>0</v>
      </c>
      <c r="AO117" s="976">
        <f t="shared" si="28"/>
        <v>0</v>
      </c>
      <c r="AP117" s="977">
        <f t="shared" si="29"/>
        <v>0</v>
      </c>
      <c r="AQ117" s="978">
        <f t="shared" si="30"/>
        <v>30</v>
      </c>
      <c r="AR117" s="979"/>
      <c r="AS117" s="150" t="str">
        <f>'Mã số nhân viên'!I99</f>
        <v>03609</v>
      </c>
      <c r="AT117" s="989">
        <f t="shared" si="23"/>
        <v>0</v>
      </c>
    </row>
    <row r="118" spans="1:46" ht="24.75" customHeight="1">
      <c r="A118" s="636">
        <v>101</v>
      </c>
      <c r="B118" s="986">
        <v>24</v>
      </c>
      <c r="C118" s="636" t="str">
        <f>VLOOKUP(D118,'Mã số nhân viên'!B100:I157,8,0)</f>
        <v>03610</v>
      </c>
      <c r="D118" s="1121" t="s">
        <v>239</v>
      </c>
      <c r="E118" s="123"/>
      <c r="F118" s="987" t="s">
        <v>50</v>
      </c>
      <c r="G118" s="987" t="s">
        <v>50</v>
      </c>
      <c r="H118" s="987" t="s">
        <v>50</v>
      </c>
      <c r="I118" s="987" t="s">
        <v>50</v>
      </c>
      <c r="J118" s="987" t="s">
        <v>50</v>
      </c>
      <c r="K118" s="987" t="s">
        <v>50</v>
      </c>
      <c r="L118" s="987" t="s">
        <v>110</v>
      </c>
      <c r="M118" s="987" t="s">
        <v>50</v>
      </c>
      <c r="N118" s="987" t="s">
        <v>50</v>
      </c>
      <c r="O118" s="987" t="s">
        <v>50</v>
      </c>
      <c r="P118" s="987" t="s">
        <v>50</v>
      </c>
      <c r="Q118" s="987" t="s">
        <v>785</v>
      </c>
      <c r="R118" s="987" t="s">
        <v>50</v>
      </c>
      <c r="S118" s="987" t="s">
        <v>110</v>
      </c>
      <c r="T118" s="987" t="s">
        <v>50</v>
      </c>
      <c r="U118" s="987" t="s">
        <v>50</v>
      </c>
      <c r="V118" s="987" t="s">
        <v>50</v>
      </c>
      <c r="W118" s="987" t="s">
        <v>50</v>
      </c>
      <c r="X118" s="987" t="s">
        <v>50</v>
      </c>
      <c r="Y118" s="987" t="s">
        <v>785</v>
      </c>
      <c r="Z118" s="987" t="s">
        <v>110</v>
      </c>
      <c r="AA118" s="987" t="s">
        <v>50</v>
      </c>
      <c r="AB118" s="987" t="s">
        <v>50</v>
      </c>
      <c r="AC118" s="987" t="s">
        <v>50</v>
      </c>
      <c r="AD118" s="987" t="s">
        <v>50</v>
      </c>
      <c r="AE118" s="987" t="s">
        <v>50</v>
      </c>
      <c r="AF118" s="987" t="s">
        <v>50</v>
      </c>
      <c r="AG118" s="987" t="s">
        <v>110</v>
      </c>
      <c r="AH118" s="987" t="s">
        <v>50</v>
      </c>
      <c r="AI118" s="987" t="s">
        <v>50</v>
      </c>
      <c r="AJ118" s="988"/>
      <c r="AK118" s="976">
        <f t="shared" si="24"/>
        <v>24</v>
      </c>
      <c r="AL118" s="977">
        <f t="shared" si="25"/>
        <v>4</v>
      </c>
      <c r="AM118" s="976">
        <f t="shared" si="26"/>
        <v>2</v>
      </c>
      <c r="AN118" s="976">
        <f t="shared" si="27"/>
        <v>0</v>
      </c>
      <c r="AO118" s="976">
        <f t="shared" si="28"/>
        <v>0</v>
      </c>
      <c r="AP118" s="977">
        <f t="shared" si="29"/>
        <v>0</v>
      </c>
      <c r="AQ118" s="978">
        <f t="shared" si="30"/>
        <v>30</v>
      </c>
      <c r="AR118" s="979"/>
      <c r="AS118" s="150" t="str">
        <f>'Mã số nhân viên'!I100</f>
        <v>03610</v>
      </c>
      <c r="AT118" s="989">
        <f t="shared" si="23"/>
        <v>0</v>
      </c>
    </row>
    <row r="119" spans="1:46" ht="24.75" customHeight="1">
      <c r="A119" s="636">
        <v>102</v>
      </c>
      <c r="B119" s="986">
        <v>25</v>
      </c>
      <c r="C119" s="636" t="str">
        <f>VLOOKUP(D119,'Mã số nhân viên'!B101:I158,8,0)</f>
        <v>04076</v>
      </c>
      <c r="D119" s="1121" t="s">
        <v>527</v>
      </c>
      <c r="E119" s="123"/>
      <c r="F119" s="987" t="s">
        <v>50</v>
      </c>
      <c r="G119" s="987" t="s">
        <v>50</v>
      </c>
      <c r="H119" s="987" t="s">
        <v>50</v>
      </c>
      <c r="I119" s="987" t="s">
        <v>50</v>
      </c>
      <c r="J119" s="987" t="s">
        <v>50</v>
      </c>
      <c r="K119" s="987" t="s">
        <v>50</v>
      </c>
      <c r="L119" s="987" t="s">
        <v>110</v>
      </c>
      <c r="M119" s="987" t="s">
        <v>50</v>
      </c>
      <c r="N119" s="987" t="s">
        <v>50</v>
      </c>
      <c r="O119" s="987" t="s">
        <v>50</v>
      </c>
      <c r="P119" s="987" t="s">
        <v>50</v>
      </c>
      <c r="Q119" s="987" t="s">
        <v>785</v>
      </c>
      <c r="R119" s="987" t="s">
        <v>50</v>
      </c>
      <c r="S119" s="987" t="s">
        <v>110</v>
      </c>
      <c r="T119" s="987" t="s">
        <v>50</v>
      </c>
      <c r="U119" s="987" t="s">
        <v>50</v>
      </c>
      <c r="V119" s="987" t="s">
        <v>50</v>
      </c>
      <c r="W119" s="987" t="s">
        <v>50</v>
      </c>
      <c r="X119" s="987" t="s">
        <v>50</v>
      </c>
      <c r="Y119" s="987" t="s">
        <v>785</v>
      </c>
      <c r="Z119" s="987" t="s">
        <v>110</v>
      </c>
      <c r="AA119" s="987" t="s">
        <v>50</v>
      </c>
      <c r="AB119" s="987" t="s">
        <v>50</v>
      </c>
      <c r="AC119" s="987" t="s">
        <v>50</v>
      </c>
      <c r="AD119" s="987" t="s">
        <v>50</v>
      </c>
      <c r="AE119" s="987" t="s">
        <v>50</v>
      </c>
      <c r="AF119" s="987" t="s">
        <v>50</v>
      </c>
      <c r="AG119" s="987" t="s">
        <v>110</v>
      </c>
      <c r="AH119" s="987" t="s">
        <v>50</v>
      </c>
      <c r="AI119" s="987" t="s">
        <v>50</v>
      </c>
      <c r="AJ119" s="988"/>
      <c r="AK119" s="976">
        <f t="shared" si="24"/>
        <v>24</v>
      </c>
      <c r="AL119" s="977">
        <f t="shared" si="25"/>
        <v>4</v>
      </c>
      <c r="AM119" s="976">
        <f t="shared" si="26"/>
        <v>2</v>
      </c>
      <c r="AN119" s="976">
        <f t="shared" si="27"/>
        <v>0</v>
      </c>
      <c r="AO119" s="976">
        <f t="shared" si="28"/>
        <v>0</v>
      </c>
      <c r="AP119" s="977">
        <f t="shared" si="29"/>
        <v>0</v>
      </c>
      <c r="AQ119" s="978">
        <f t="shared" si="30"/>
        <v>30</v>
      </c>
      <c r="AR119" s="979"/>
      <c r="AS119" s="150" t="str">
        <f>'Mã số nhân viên'!I101</f>
        <v>04076</v>
      </c>
      <c r="AT119" s="989">
        <f t="shared" si="23"/>
        <v>0</v>
      </c>
    </row>
    <row r="120" spans="1:46" ht="24.75" customHeight="1">
      <c r="A120" s="636">
        <v>103</v>
      </c>
      <c r="B120" s="986">
        <v>26</v>
      </c>
      <c r="C120" s="636" t="str">
        <f>VLOOKUP(D120,'Mã số nhân viên'!B102:I159,8,0)</f>
        <v>03612</v>
      </c>
      <c r="D120" s="1121" t="s">
        <v>282</v>
      </c>
      <c r="E120" s="123"/>
      <c r="F120" s="987" t="s">
        <v>50</v>
      </c>
      <c r="G120" s="987" t="s">
        <v>50</v>
      </c>
      <c r="H120" s="987" t="s">
        <v>50</v>
      </c>
      <c r="I120" s="987" t="s">
        <v>50</v>
      </c>
      <c r="J120" s="987" t="s">
        <v>50</v>
      </c>
      <c r="K120" s="987" t="s">
        <v>50</v>
      </c>
      <c r="L120" s="987" t="s">
        <v>110</v>
      </c>
      <c r="M120" s="987" t="s">
        <v>50</v>
      </c>
      <c r="N120" s="987" t="s">
        <v>50</v>
      </c>
      <c r="O120" s="987" t="s">
        <v>50</v>
      </c>
      <c r="P120" s="987" t="s">
        <v>50</v>
      </c>
      <c r="Q120" s="987" t="s">
        <v>785</v>
      </c>
      <c r="R120" s="987" t="s">
        <v>50</v>
      </c>
      <c r="S120" s="987" t="s">
        <v>110</v>
      </c>
      <c r="T120" s="987" t="s">
        <v>50</v>
      </c>
      <c r="U120" s="987" t="s">
        <v>50</v>
      </c>
      <c r="V120" s="987" t="s">
        <v>50</v>
      </c>
      <c r="W120" s="987" t="s">
        <v>50</v>
      </c>
      <c r="X120" s="987" t="s">
        <v>50</v>
      </c>
      <c r="Y120" s="987" t="s">
        <v>785</v>
      </c>
      <c r="Z120" s="987" t="s">
        <v>110</v>
      </c>
      <c r="AA120" s="987" t="s">
        <v>50</v>
      </c>
      <c r="AB120" s="987" t="s">
        <v>50</v>
      </c>
      <c r="AC120" s="987" t="s">
        <v>50</v>
      </c>
      <c r="AD120" s="987" t="s">
        <v>50</v>
      </c>
      <c r="AE120" s="987" t="s">
        <v>50</v>
      </c>
      <c r="AF120" s="987" t="s">
        <v>50</v>
      </c>
      <c r="AG120" s="987" t="s">
        <v>110</v>
      </c>
      <c r="AH120" s="987" t="s">
        <v>50</v>
      </c>
      <c r="AI120" s="987" t="s">
        <v>50</v>
      </c>
      <c r="AJ120" s="988"/>
      <c r="AK120" s="976">
        <f t="shared" si="24"/>
        <v>24</v>
      </c>
      <c r="AL120" s="977">
        <f t="shared" si="25"/>
        <v>4</v>
      </c>
      <c r="AM120" s="976">
        <f t="shared" si="26"/>
        <v>2</v>
      </c>
      <c r="AN120" s="976">
        <f t="shared" si="27"/>
        <v>0</v>
      </c>
      <c r="AO120" s="976">
        <f t="shared" si="28"/>
        <v>0</v>
      </c>
      <c r="AP120" s="977">
        <f t="shared" si="29"/>
        <v>0</v>
      </c>
      <c r="AQ120" s="978">
        <f t="shared" si="30"/>
        <v>30</v>
      </c>
      <c r="AR120" s="979"/>
      <c r="AS120" s="150" t="str">
        <f>'Mã số nhân viên'!I102</f>
        <v>03612</v>
      </c>
      <c r="AT120" s="989">
        <f t="shared" si="23"/>
        <v>0</v>
      </c>
    </row>
    <row r="121" spans="1:46" ht="24.75" customHeight="1">
      <c r="A121" s="636">
        <v>104</v>
      </c>
      <c r="B121" s="986">
        <v>27</v>
      </c>
      <c r="C121" s="636" t="str">
        <f>VLOOKUP(D121,'Mã số nhân viên'!B103:I160,8,0)</f>
        <v>03613</v>
      </c>
      <c r="D121" s="1121" t="s">
        <v>263</v>
      </c>
      <c r="E121" s="123"/>
      <c r="F121" s="987" t="s">
        <v>50</v>
      </c>
      <c r="G121" s="987" t="s">
        <v>50</v>
      </c>
      <c r="H121" s="987" t="s">
        <v>50</v>
      </c>
      <c r="I121" s="987" t="s">
        <v>50</v>
      </c>
      <c r="J121" s="987" t="s">
        <v>50</v>
      </c>
      <c r="K121" s="987" t="s">
        <v>50</v>
      </c>
      <c r="L121" s="987" t="s">
        <v>110</v>
      </c>
      <c r="M121" s="987" t="s">
        <v>50</v>
      </c>
      <c r="N121" s="987" t="s">
        <v>50</v>
      </c>
      <c r="O121" s="987" t="s">
        <v>50</v>
      </c>
      <c r="P121" s="987" t="s">
        <v>50</v>
      </c>
      <c r="Q121" s="987" t="s">
        <v>785</v>
      </c>
      <c r="R121" s="987" t="s">
        <v>50</v>
      </c>
      <c r="S121" s="987" t="s">
        <v>110</v>
      </c>
      <c r="T121" s="987" t="s">
        <v>50</v>
      </c>
      <c r="U121" s="987" t="s">
        <v>50</v>
      </c>
      <c r="V121" s="987" t="s">
        <v>50</v>
      </c>
      <c r="W121" s="987" t="s">
        <v>50</v>
      </c>
      <c r="X121" s="987" t="s">
        <v>50</v>
      </c>
      <c r="Y121" s="987" t="s">
        <v>785</v>
      </c>
      <c r="Z121" s="987" t="s">
        <v>110</v>
      </c>
      <c r="AA121" s="987" t="s">
        <v>50</v>
      </c>
      <c r="AB121" s="987" t="s">
        <v>50</v>
      </c>
      <c r="AC121" s="987" t="s">
        <v>50</v>
      </c>
      <c r="AD121" s="987" t="s">
        <v>50</v>
      </c>
      <c r="AE121" s="987" t="s">
        <v>50</v>
      </c>
      <c r="AF121" s="987" t="s">
        <v>50</v>
      </c>
      <c r="AG121" s="987" t="s">
        <v>110</v>
      </c>
      <c r="AH121" s="987" t="s">
        <v>50</v>
      </c>
      <c r="AI121" s="987" t="s">
        <v>50</v>
      </c>
      <c r="AJ121" s="988"/>
      <c r="AK121" s="976">
        <f t="shared" si="24"/>
        <v>24</v>
      </c>
      <c r="AL121" s="977">
        <f t="shared" si="25"/>
        <v>4</v>
      </c>
      <c r="AM121" s="976">
        <f t="shared" si="26"/>
        <v>2</v>
      </c>
      <c r="AN121" s="976">
        <f t="shared" si="27"/>
        <v>0</v>
      </c>
      <c r="AO121" s="976">
        <f t="shared" si="28"/>
        <v>0</v>
      </c>
      <c r="AP121" s="977">
        <f t="shared" si="29"/>
        <v>0</v>
      </c>
      <c r="AQ121" s="978">
        <f t="shared" si="30"/>
        <v>30</v>
      </c>
      <c r="AR121" s="979"/>
      <c r="AS121" s="150" t="str">
        <f>'Mã số nhân viên'!I103</f>
        <v>03613</v>
      </c>
      <c r="AT121" s="989">
        <f t="shared" si="23"/>
        <v>0</v>
      </c>
    </row>
    <row r="122" spans="1:46" ht="24.75" customHeight="1">
      <c r="A122" s="636">
        <v>105</v>
      </c>
      <c r="B122" s="986">
        <v>28</v>
      </c>
      <c r="C122" s="636" t="str">
        <f>VLOOKUP(D122,'Mã số nhân viên'!B104:I161,8,0)</f>
        <v>04077</v>
      </c>
      <c r="D122" s="1121" t="s">
        <v>528</v>
      </c>
      <c r="E122" s="123"/>
      <c r="F122" s="987" t="s">
        <v>50</v>
      </c>
      <c r="G122" s="987" t="s">
        <v>50</v>
      </c>
      <c r="H122" s="987" t="s">
        <v>50</v>
      </c>
      <c r="I122" s="987" t="s">
        <v>50</v>
      </c>
      <c r="J122" s="987" t="s">
        <v>50</v>
      </c>
      <c r="K122" s="987" t="s">
        <v>50</v>
      </c>
      <c r="L122" s="987" t="s">
        <v>110</v>
      </c>
      <c r="M122" s="987" t="s">
        <v>50</v>
      </c>
      <c r="N122" s="987" t="s">
        <v>50</v>
      </c>
      <c r="O122" s="987" t="s">
        <v>50</v>
      </c>
      <c r="P122" s="987" t="s">
        <v>50</v>
      </c>
      <c r="Q122" s="987" t="s">
        <v>785</v>
      </c>
      <c r="R122" s="987" t="s">
        <v>50</v>
      </c>
      <c r="S122" s="987" t="s">
        <v>110</v>
      </c>
      <c r="T122" s="987" t="s">
        <v>50</v>
      </c>
      <c r="U122" s="987" t="s">
        <v>50</v>
      </c>
      <c r="V122" s="987" t="s">
        <v>50</v>
      </c>
      <c r="W122" s="987" t="s">
        <v>50</v>
      </c>
      <c r="X122" s="987" t="s">
        <v>50</v>
      </c>
      <c r="Y122" s="987" t="s">
        <v>785</v>
      </c>
      <c r="Z122" s="987" t="s">
        <v>110</v>
      </c>
      <c r="AA122" s="987" t="s">
        <v>50</v>
      </c>
      <c r="AB122" s="987" t="s">
        <v>50</v>
      </c>
      <c r="AC122" s="987" t="s">
        <v>50</v>
      </c>
      <c r="AD122" s="987" t="s">
        <v>50</v>
      </c>
      <c r="AE122" s="987" t="s">
        <v>50</v>
      </c>
      <c r="AF122" s="987" t="s">
        <v>50</v>
      </c>
      <c r="AG122" s="987" t="s">
        <v>110</v>
      </c>
      <c r="AH122" s="987" t="s">
        <v>50</v>
      </c>
      <c r="AI122" s="987" t="s">
        <v>50</v>
      </c>
      <c r="AJ122" s="988"/>
      <c r="AK122" s="976">
        <f t="shared" si="24"/>
        <v>24</v>
      </c>
      <c r="AL122" s="977">
        <f t="shared" si="25"/>
        <v>4</v>
      </c>
      <c r="AM122" s="976">
        <f t="shared" si="26"/>
        <v>2</v>
      </c>
      <c r="AN122" s="976">
        <f t="shared" si="27"/>
        <v>0</v>
      </c>
      <c r="AO122" s="976">
        <f t="shared" si="28"/>
        <v>0</v>
      </c>
      <c r="AP122" s="977">
        <f t="shared" si="29"/>
        <v>0</v>
      </c>
      <c r="AQ122" s="978">
        <f t="shared" si="30"/>
        <v>30</v>
      </c>
      <c r="AR122" s="979"/>
      <c r="AS122" s="150" t="str">
        <f>'Mã số nhân viên'!I104</f>
        <v>04077</v>
      </c>
      <c r="AT122" s="989">
        <f t="shared" si="23"/>
        <v>0</v>
      </c>
    </row>
    <row r="123" spans="1:46" ht="24.75" customHeight="1">
      <c r="A123" s="636">
        <v>106</v>
      </c>
      <c r="B123" s="986">
        <v>29</v>
      </c>
      <c r="C123" s="636" t="str">
        <f>VLOOKUP(D123,'Mã số nhân viên'!B105:I162,8,0)</f>
        <v>03615</v>
      </c>
      <c r="D123" s="1119" t="s">
        <v>319</v>
      </c>
      <c r="E123" s="123"/>
      <c r="F123" s="987" t="s">
        <v>778</v>
      </c>
      <c r="G123" s="987" t="s">
        <v>50</v>
      </c>
      <c r="H123" s="987" t="s">
        <v>778</v>
      </c>
      <c r="I123" s="987" t="s">
        <v>50</v>
      </c>
      <c r="J123" s="987" t="s">
        <v>50</v>
      </c>
      <c r="K123" s="987" t="s">
        <v>50</v>
      </c>
      <c r="L123" s="987" t="s">
        <v>110</v>
      </c>
      <c r="M123" s="987" t="s">
        <v>50</v>
      </c>
      <c r="N123" s="987" t="s">
        <v>50</v>
      </c>
      <c r="O123" s="987" t="s">
        <v>50</v>
      </c>
      <c r="P123" s="987" t="s">
        <v>50</v>
      </c>
      <c r="Q123" s="987" t="s">
        <v>785</v>
      </c>
      <c r="R123" s="987" t="s">
        <v>50</v>
      </c>
      <c r="S123" s="987" t="s">
        <v>110</v>
      </c>
      <c r="T123" s="987" t="s">
        <v>50</v>
      </c>
      <c r="U123" s="987" t="s">
        <v>50</v>
      </c>
      <c r="V123" s="987" t="s">
        <v>50</v>
      </c>
      <c r="W123" s="987" t="s">
        <v>50</v>
      </c>
      <c r="X123" s="987" t="s">
        <v>50</v>
      </c>
      <c r="Y123" s="987" t="s">
        <v>785</v>
      </c>
      <c r="Z123" s="987" t="s">
        <v>110</v>
      </c>
      <c r="AA123" s="987" t="s">
        <v>50</v>
      </c>
      <c r="AB123" s="987" t="s">
        <v>50</v>
      </c>
      <c r="AC123" s="987" t="s">
        <v>50</v>
      </c>
      <c r="AD123" s="987" t="s">
        <v>50</v>
      </c>
      <c r="AE123" s="987" t="s">
        <v>50</v>
      </c>
      <c r="AF123" s="987" t="s">
        <v>50</v>
      </c>
      <c r="AG123" s="987" t="s">
        <v>110</v>
      </c>
      <c r="AH123" s="987" t="s">
        <v>50</v>
      </c>
      <c r="AI123" s="987" t="s">
        <v>50</v>
      </c>
      <c r="AJ123" s="988"/>
      <c r="AK123" s="976">
        <f t="shared" si="24"/>
        <v>22</v>
      </c>
      <c r="AL123" s="977">
        <f t="shared" si="25"/>
        <v>4</v>
      </c>
      <c r="AM123" s="976">
        <f t="shared" si="26"/>
        <v>2</v>
      </c>
      <c r="AN123" s="976">
        <f t="shared" si="27"/>
        <v>0</v>
      </c>
      <c r="AO123" s="976">
        <f t="shared" si="28"/>
        <v>0</v>
      </c>
      <c r="AP123" s="977">
        <f t="shared" si="29"/>
        <v>0</v>
      </c>
      <c r="AQ123" s="978">
        <f t="shared" si="30"/>
        <v>28</v>
      </c>
      <c r="AR123" s="979"/>
      <c r="AS123" s="150" t="str">
        <f>'Mã số nhân viên'!I105</f>
        <v>03615</v>
      </c>
      <c r="AT123" s="989">
        <f t="shared" si="23"/>
        <v>0</v>
      </c>
    </row>
    <row r="124" spans="1:46" ht="24.75" customHeight="1">
      <c r="A124" s="636">
        <v>107</v>
      </c>
      <c r="B124" s="986">
        <v>30</v>
      </c>
      <c r="C124" s="636" t="str">
        <f>VLOOKUP(D124,'Mã số nhân viên'!B106:I163,8,0)</f>
        <v>03616</v>
      </c>
      <c r="D124" s="1121" t="s">
        <v>240</v>
      </c>
      <c r="E124" s="123"/>
      <c r="F124" s="987" t="s">
        <v>50</v>
      </c>
      <c r="G124" s="987" t="s">
        <v>50</v>
      </c>
      <c r="H124" s="987" t="s">
        <v>50</v>
      </c>
      <c r="I124" s="987" t="s">
        <v>50</v>
      </c>
      <c r="J124" s="987" t="s">
        <v>50</v>
      </c>
      <c r="K124" s="987" t="s">
        <v>50</v>
      </c>
      <c r="L124" s="987" t="s">
        <v>110</v>
      </c>
      <c r="M124" s="987" t="s">
        <v>50</v>
      </c>
      <c r="N124" s="987" t="s">
        <v>50</v>
      </c>
      <c r="O124" s="987" t="s">
        <v>50</v>
      </c>
      <c r="P124" s="987" t="s">
        <v>50</v>
      </c>
      <c r="Q124" s="987" t="s">
        <v>785</v>
      </c>
      <c r="R124" s="987" t="s">
        <v>50</v>
      </c>
      <c r="S124" s="987" t="s">
        <v>110</v>
      </c>
      <c r="T124" s="987" t="s">
        <v>50</v>
      </c>
      <c r="U124" s="987" t="s">
        <v>50</v>
      </c>
      <c r="V124" s="987" t="s">
        <v>50</v>
      </c>
      <c r="W124" s="987" t="s">
        <v>50</v>
      </c>
      <c r="X124" s="987" t="s">
        <v>50</v>
      </c>
      <c r="Y124" s="987" t="s">
        <v>785</v>
      </c>
      <c r="Z124" s="987" t="s">
        <v>110</v>
      </c>
      <c r="AA124" s="987" t="s">
        <v>50</v>
      </c>
      <c r="AB124" s="987" t="s">
        <v>50</v>
      </c>
      <c r="AC124" s="987" t="s">
        <v>50</v>
      </c>
      <c r="AD124" s="987" t="s">
        <v>50</v>
      </c>
      <c r="AE124" s="987" t="s">
        <v>50</v>
      </c>
      <c r="AF124" s="987" t="s">
        <v>50</v>
      </c>
      <c r="AG124" s="987" t="s">
        <v>110</v>
      </c>
      <c r="AH124" s="987" t="s">
        <v>50</v>
      </c>
      <c r="AI124" s="987" t="s">
        <v>50</v>
      </c>
      <c r="AJ124" s="988"/>
      <c r="AK124" s="976">
        <f t="shared" si="24"/>
        <v>24</v>
      </c>
      <c r="AL124" s="977">
        <f t="shared" si="25"/>
        <v>4</v>
      </c>
      <c r="AM124" s="976">
        <f t="shared" si="26"/>
        <v>2</v>
      </c>
      <c r="AN124" s="976">
        <f t="shared" si="27"/>
        <v>0</v>
      </c>
      <c r="AO124" s="976">
        <f t="shared" si="28"/>
        <v>0</v>
      </c>
      <c r="AP124" s="977">
        <f t="shared" si="29"/>
        <v>0</v>
      </c>
      <c r="AQ124" s="978">
        <f t="shared" si="30"/>
        <v>30</v>
      </c>
      <c r="AR124" s="979"/>
      <c r="AS124" s="150" t="str">
        <f>'Mã số nhân viên'!I106</f>
        <v>03616</v>
      </c>
      <c r="AT124" s="989">
        <f t="shared" si="23"/>
        <v>0</v>
      </c>
    </row>
    <row r="125" spans="1:46" ht="24.75" customHeight="1">
      <c r="A125" s="636">
        <v>108</v>
      </c>
      <c r="B125" s="986">
        <v>31</v>
      </c>
      <c r="C125" s="636" t="str">
        <f>VLOOKUP(D125,'Mã số nhân viên'!B107:I164,8,0)</f>
        <v>03617</v>
      </c>
      <c r="D125" s="1121" t="s">
        <v>320</v>
      </c>
      <c r="E125" s="123"/>
      <c r="F125" s="987" t="s">
        <v>50</v>
      </c>
      <c r="G125" s="987" t="s">
        <v>50</v>
      </c>
      <c r="H125" s="987" t="s">
        <v>50</v>
      </c>
      <c r="I125" s="987" t="s">
        <v>50</v>
      </c>
      <c r="J125" s="987" t="s">
        <v>50</v>
      </c>
      <c r="K125" s="987" t="s">
        <v>50</v>
      </c>
      <c r="L125" s="987" t="s">
        <v>110</v>
      </c>
      <c r="M125" s="987" t="s">
        <v>50</v>
      </c>
      <c r="N125" s="987" t="s">
        <v>50</v>
      </c>
      <c r="O125" s="987" t="s">
        <v>50</v>
      </c>
      <c r="P125" s="987" t="s">
        <v>50</v>
      </c>
      <c r="Q125" s="987" t="s">
        <v>785</v>
      </c>
      <c r="R125" s="987" t="s">
        <v>50</v>
      </c>
      <c r="S125" s="987" t="s">
        <v>110</v>
      </c>
      <c r="T125" s="987" t="s">
        <v>50</v>
      </c>
      <c r="U125" s="987" t="s">
        <v>50</v>
      </c>
      <c r="V125" s="987" t="s">
        <v>50</v>
      </c>
      <c r="W125" s="987" t="s">
        <v>50</v>
      </c>
      <c r="X125" s="987" t="s">
        <v>50</v>
      </c>
      <c r="Y125" s="987" t="s">
        <v>785</v>
      </c>
      <c r="Z125" s="987" t="s">
        <v>110</v>
      </c>
      <c r="AA125" s="987" t="s">
        <v>50</v>
      </c>
      <c r="AB125" s="987" t="s">
        <v>50</v>
      </c>
      <c r="AC125" s="987" t="s">
        <v>50</v>
      </c>
      <c r="AD125" s="987" t="s">
        <v>50</v>
      </c>
      <c r="AE125" s="987" t="s">
        <v>50</v>
      </c>
      <c r="AF125" s="987" t="s">
        <v>50</v>
      </c>
      <c r="AG125" s="987" t="s">
        <v>110</v>
      </c>
      <c r="AH125" s="987" t="s">
        <v>50</v>
      </c>
      <c r="AI125" s="987" t="s">
        <v>50</v>
      </c>
      <c r="AJ125" s="988"/>
      <c r="AK125" s="976">
        <f t="shared" si="24"/>
        <v>24</v>
      </c>
      <c r="AL125" s="977">
        <f t="shared" si="25"/>
        <v>4</v>
      </c>
      <c r="AM125" s="976">
        <f t="shared" si="26"/>
        <v>2</v>
      </c>
      <c r="AN125" s="976">
        <f t="shared" si="27"/>
        <v>0</v>
      </c>
      <c r="AO125" s="976">
        <f t="shared" si="28"/>
        <v>0</v>
      </c>
      <c r="AP125" s="977">
        <f t="shared" si="29"/>
        <v>0</v>
      </c>
      <c r="AQ125" s="978">
        <f t="shared" si="30"/>
        <v>30</v>
      </c>
      <c r="AR125" s="979"/>
      <c r="AS125" s="150" t="str">
        <f>'Mã số nhân viên'!I107</f>
        <v>03617</v>
      </c>
      <c r="AT125" s="989">
        <f t="shared" si="23"/>
        <v>0</v>
      </c>
    </row>
    <row r="126" spans="1:46" ht="24.75" customHeight="1">
      <c r="A126" s="636">
        <v>109</v>
      </c>
      <c r="B126" s="986">
        <v>32</v>
      </c>
      <c r="C126" s="636" t="str">
        <f>VLOOKUP(D126,'Mã số nhân viên'!B108:I165,8,0)</f>
        <v>03618</v>
      </c>
      <c r="D126" s="1121" t="s">
        <v>246</v>
      </c>
      <c r="E126" s="123"/>
      <c r="F126" s="987" t="s">
        <v>50</v>
      </c>
      <c r="G126" s="987" t="s">
        <v>50</v>
      </c>
      <c r="H126" s="987" t="s">
        <v>50</v>
      </c>
      <c r="I126" s="987" t="s">
        <v>50</v>
      </c>
      <c r="J126" s="987" t="s">
        <v>50</v>
      </c>
      <c r="K126" s="987" t="s">
        <v>50</v>
      </c>
      <c r="L126" s="987" t="s">
        <v>110</v>
      </c>
      <c r="M126" s="987" t="s">
        <v>50</v>
      </c>
      <c r="N126" s="987" t="s">
        <v>50</v>
      </c>
      <c r="O126" s="987" t="s">
        <v>50</v>
      </c>
      <c r="P126" s="987" t="s">
        <v>50</v>
      </c>
      <c r="Q126" s="987" t="s">
        <v>785</v>
      </c>
      <c r="R126" s="987" t="s">
        <v>50</v>
      </c>
      <c r="S126" s="987" t="s">
        <v>110</v>
      </c>
      <c r="T126" s="987" t="s">
        <v>50</v>
      </c>
      <c r="U126" s="987" t="s">
        <v>50</v>
      </c>
      <c r="V126" s="987" t="s">
        <v>50</v>
      </c>
      <c r="W126" s="987" t="s">
        <v>50</v>
      </c>
      <c r="X126" s="987" t="s">
        <v>50</v>
      </c>
      <c r="Y126" s="987" t="s">
        <v>785</v>
      </c>
      <c r="Z126" s="987" t="s">
        <v>110</v>
      </c>
      <c r="AA126" s="987" t="s">
        <v>50</v>
      </c>
      <c r="AB126" s="987" t="s">
        <v>50</v>
      </c>
      <c r="AC126" s="987" t="s">
        <v>50</v>
      </c>
      <c r="AD126" s="987" t="s">
        <v>778</v>
      </c>
      <c r="AE126" s="987" t="s">
        <v>50</v>
      </c>
      <c r="AF126" s="987" t="s">
        <v>50</v>
      </c>
      <c r="AG126" s="987" t="s">
        <v>110</v>
      </c>
      <c r="AH126" s="987" t="s">
        <v>50</v>
      </c>
      <c r="AI126" s="987" t="s">
        <v>50</v>
      </c>
      <c r="AJ126" s="988"/>
      <c r="AK126" s="976">
        <f t="shared" si="24"/>
        <v>23</v>
      </c>
      <c r="AL126" s="977">
        <f t="shared" si="25"/>
        <v>4</v>
      </c>
      <c r="AM126" s="976">
        <f t="shared" si="26"/>
        <v>2</v>
      </c>
      <c r="AN126" s="976">
        <f t="shared" si="27"/>
        <v>0</v>
      </c>
      <c r="AO126" s="976">
        <f t="shared" si="28"/>
        <v>0</v>
      </c>
      <c r="AP126" s="977">
        <f t="shared" si="29"/>
        <v>0</v>
      </c>
      <c r="AQ126" s="978">
        <f t="shared" si="30"/>
        <v>29</v>
      </c>
      <c r="AR126" s="979"/>
      <c r="AS126" s="150" t="str">
        <f>'Mã số nhân viên'!I108</f>
        <v>03618</v>
      </c>
      <c r="AT126" s="989">
        <f t="shared" si="23"/>
        <v>0</v>
      </c>
    </row>
    <row r="127" spans="1:46" ht="24.75" customHeight="1">
      <c r="A127" s="636">
        <v>110</v>
      </c>
      <c r="B127" s="986">
        <v>33</v>
      </c>
      <c r="C127" s="636" t="str">
        <f>VLOOKUP(D127,'Mã số nhân viên'!B109:I166,8,0)</f>
        <v>03619</v>
      </c>
      <c r="D127" s="1121" t="s">
        <v>258</v>
      </c>
      <c r="E127" s="123"/>
      <c r="F127" s="987" t="s">
        <v>50</v>
      </c>
      <c r="G127" s="987" t="s">
        <v>50</v>
      </c>
      <c r="H127" s="987" t="s">
        <v>50</v>
      </c>
      <c r="I127" s="987" t="s">
        <v>50</v>
      </c>
      <c r="J127" s="987" t="s">
        <v>50</v>
      </c>
      <c r="K127" s="987" t="s">
        <v>50</v>
      </c>
      <c r="L127" s="987" t="s">
        <v>110</v>
      </c>
      <c r="M127" s="987" t="s">
        <v>808</v>
      </c>
      <c r="N127" s="987" t="s">
        <v>50</v>
      </c>
      <c r="O127" s="987" t="s">
        <v>50</v>
      </c>
      <c r="P127" s="987" t="s">
        <v>50</v>
      </c>
      <c r="Q127" s="987" t="s">
        <v>785</v>
      </c>
      <c r="R127" s="987" t="s">
        <v>50</v>
      </c>
      <c r="S127" s="987" t="s">
        <v>110</v>
      </c>
      <c r="T127" s="987" t="s">
        <v>50</v>
      </c>
      <c r="U127" s="987" t="s">
        <v>50</v>
      </c>
      <c r="V127" s="987" t="s">
        <v>50</v>
      </c>
      <c r="W127" s="987" t="s">
        <v>50</v>
      </c>
      <c r="X127" s="987" t="s">
        <v>50</v>
      </c>
      <c r="Y127" s="987" t="s">
        <v>785</v>
      </c>
      <c r="Z127" s="987" t="s">
        <v>110</v>
      </c>
      <c r="AA127" s="987" t="s">
        <v>50</v>
      </c>
      <c r="AB127" s="987" t="s">
        <v>50</v>
      </c>
      <c r="AC127" s="987" t="s">
        <v>50</v>
      </c>
      <c r="AD127" s="987" t="s">
        <v>50</v>
      </c>
      <c r="AE127" s="987" t="s">
        <v>50</v>
      </c>
      <c r="AF127" s="987" t="s">
        <v>50</v>
      </c>
      <c r="AG127" s="987" t="s">
        <v>110</v>
      </c>
      <c r="AH127" s="987" t="s">
        <v>778</v>
      </c>
      <c r="AI127" s="987" t="s">
        <v>778</v>
      </c>
      <c r="AJ127" s="988"/>
      <c r="AK127" s="976">
        <f t="shared" si="24"/>
        <v>21</v>
      </c>
      <c r="AL127" s="977">
        <f t="shared" si="25"/>
        <v>4</v>
      </c>
      <c r="AM127" s="976">
        <f t="shared" si="26"/>
        <v>2</v>
      </c>
      <c r="AN127" s="976">
        <f t="shared" si="27"/>
        <v>0</v>
      </c>
      <c r="AO127" s="976">
        <f t="shared" si="28"/>
        <v>0</v>
      </c>
      <c r="AP127" s="977">
        <f t="shared" si="29"/>
        <v>0</v>
      </c>
      <c r="AQ127" s="978">
        <f t="shared" si="30"/>
        <v>27</v>
      </c>
      <c r="AR127" s="979"/>
      <c r="AS127" s="150" t="str">
        <f>'Mã số nhân viên'!I109</f>
        <v>03619</v>
      </c>
      <c r="AT127" s="989">
        <f t="shared" ref="AT127:AT156" si="31">C127-AS127</f>
        <v>0</v>
      </c>
    </row>
    <row r="128" spans="1:46" ht="24.75" customHeight="1">
      <c r="A128" s="636">
        <v>111</v>
      </c>
      <c r="B128" s="986">
        <v>34</v>
      </c>
      <c r="C128" s="636" t="str">
        <f>VLOOKUP(D128,'Mã số nhân viên'!B110:I167,8,0)</f>
        <v>03620</v>
      </c>
      <c r="D128" s="1121" t="s">
        <v>321</v>
      </c>
      <c r="E128" s="123"/>
      <c r="F128" s="987" t="s">
        <v>50</v>
      </c>
      <c r="G128" s="987" t="s">
        <v>50</v>
      </c>
      <c r="H128" s="987" t="s">
        <v>50</v>
      </c>
      <c r="I128" s="987" t="s">
        <v>50</v>
      </c>
      <c r="J128" s="987" t="s">
        <v>50</v>
      </c>
      <c r="K128" s="987" t="s">
        <v>50</v>
      </c>
      <c r="L128" s="987" t="s">
        <v>110</v>
      </c>
      <c r="M128" s="987" t="s">
        <v>50</v>
      </c>
      <c r="N128" s="987" t="s">
        <v>50</v>
      </c>
      <c r="O128" s="987" t="s">
        <v>50</v>
      </c>
      <c r="P128" s="987" t="s">
        <v>50</v>
      </c>
      <c r="Q128" s="987" t="s">
        <v>785</v>
      </c>
      <c r="R128" s="987" t="s">
        <v>50</v>
      </c>
      <c r="S128" s="987" t="s">
        <v>110</v>
      </c>
      <c r="T128" s="987" t="s">
        <v>50</v>
      </c>
      <c r="U128" s="987" t="s">
        <v>50</v>
      </c>
      <c r="V128" s="987" t="s">
        <v>50</v>
      </c>
      <c r="W128" s="987" t="s">
        <v>50</v>
      </c>
      <c r="X128" s="987" t="s">
        <v>50</v>
      </c>
      <c r="Y128" s="987" t="s">
        <v>785</v>
      </c>
      <c r="Z128" s="987" t="s">
        <v>110</v>
      </c>
      <c r="AA128" s="987" t="s">
        <v>50</v>
      </c>
      <c r="AB128" s="987" t="s">
        <v>50</v>
      </c>
      <c r="AC128" s="987" t="s">
        <v>50</v>
      </c>
      <c r="AD128" s="987" t="s">
        <v>50</v>
      </c>
      <c r="AE128" s="987" t="s">
        <v>50</v>
      </c>
      <c r="AF128" s="987" t="s">
        <v>50</v>
      </c>
      <c r="AG128" s="987" t="s">
        <v>110</v>
      </c>
      <c r="AH128" s="987" t="s">
        <v>50</v>
      </c>
      <c r="AI128" s="987" t="s">
        <v>50</v>
      </c>
      <c r="AJ128" s="988"/>
      <c r="AK128" s="976">
        <f t="shared" si="24"/>
        <v>24</v>
      </c>
      <c r="AL128" s="977">
        <f t="shared" si="25"/>
        <v>4</v>
      </c>
      <c r="AM128" s="976">
        <f t="shared" si="26"/>
        <v>2</v>
      </c>
      <c r="AN128" s="976">
        <f t="shared" si="27"/>
        <v>0</v>
      </c>
      <c r="AO128" s="976">
        <f t="shared" si="28"/>
        <v>0</v>
      </c>
      <c r="AP128" s="977">
        <f t="shared" si="29"/>
        <v>0</v>
      </c>
      <c r="AQ128" s="978">
        <f t="shared" si="30"/>
        <v>30</v>
      </c>
      <c r="AR128" s="979"/>
      <c r="AS128" s="150" t="str">
        <f>'Mã số nhân viên'!I110</f>
        <v>03620</v>
      </c>
      <c r="AT128" s="989">
        <f t="shared" si="31"/>
        <v>0</v>
      </c>
    </row>
    <row r="129" spans="1:46" ht="24.75" customHeight="1">
      <c r="A129" s="636">
        <v>112</v>
      </c>
      <c r="B129" s="986">
        <v>35</v>
      </c>
      <c r="C129" s="636" t="str">
        <f>VLOOKUP(D129,'Mã số nhân viên'!B111:I168,8,0)</f>
        <v>04078</v>
      </c>
      <c r="D129" s="1121" t="s">
        <v>529</v>
      </c>
      <c r="E129" s="123"/>
      <c r="F129" s="987" t="s">
        <v>50</v>
      </c>
      <c r="G129" s="987" t="s">
        <v>50</v>
      </c>
      <c r="H129" s="987" t="s">
        <v>50</v>
      </c>
      <c r="I129" s="987" t="s">
        <v>778</v>
      </c>
      <c r="J129" s="987" t="s">
        <v>50</v>
      </c>
      <c r="K129" s="987" t="s">
        <v>50</v>
      </c>
      <c r="L129" s="987" t="s">
        <v>110</v>
      </c>
      <c r="M129" s="987" t="s">
        <v>50</v>
      </c>
      <c r="N129" s="987" t="s">
        <v>50</v>
      </c>
      <c r="O129" s="987" t="s">
        <v>50</v>
      </c>
      <c r="P129" s="987" t="s">
        <v>50</v>
      </c>
      <c r="Q129" s="987" t="s">
        <v>785</v>
      </c>
      <c r="R129" s="987" t="s">
        <v>50</v>
      </c>
      <c r="S129" s="987" t="s">
        <v>110</v>
      </c>
      <c r="T129" s="987" t="s">
        <v>50</v>
      </c>
      <c r="U129" s="987" t="s">
        <v>50</v>
      </c>
      <c r="V129" s="987" t="s">
        <v>50</v>
      </c>
      <c r="W129" s="987" t="s">
        <v>50</v>
      </c>
      <c r="X129" s="987" t="s">
        <v>50</v>
      </c>
      <c r="Y129" s="987" t="s">
        <v>785</v>
      </c>
      <c r="Z129" s="987" t="s">
        <v>808</v>
      </c>
      <c r="AA129" s="987" t="s">
        <v>50</v>
      </c>
      <c r="AB129" s="987" t="s">
        <v>50</v>
      </c>
      <c r="AC129" s="987" t="s">
        <v>50</v>
      </c>
      <c r="AD129" s="987" t="s">
        <v>50</v>
      </c>
      <c r="AE129" s="987" t="s">
        <v>50</v>
      </c>
      <c r="AF129" s="987" t="s">
        <v>50</v>
      </c>
      <c r="AG129" s="987" t="s">
        <v>110</v>
      </c>
      <c r="AH129" s="987" t="s">
        <v>50</v>
      </c>
      <c r="AI129" s="987" t="s">
        <v>50</v>
      </c>
      <c r="AJ129" s="988"/>
      <c r="AK129" s="976">
        <f t="shared" si="24"/>
        <v>23</v>
      </c>
      <c r="AL129" s="977">
        <f t="shared" si="25"/>
        <v>3</v>
      </c>
      <c r="AM129" s="976">
        <f t="shared" si="26"/>
        <v>2</v>
      </c>
      <c r="AN129" s="976">
        <f t="shared" si="27"/>
        <v>0</v>
      </c>
      <c r="AO129" s="976">
        <f t="shared" si="28"/>
        <v>0</v>
      </c>
      <c r="AP129" s="977">
        <f t="shared" si="29"/>
        <v>0</v>
      </c>
      <c r="AQ129" s="978">
        <f t="shared" si="30"/>
        <v>28</v>
      </c>
      <c r="AR129" s="979"/>
      <c r="AS129" s="150" t="str">
        <f>'Mã số nhân viên'!I111</f>
        <v>04078</v>
      </c>
      <c r="AT129" s="989">
        <f t="shared" si="31"/>
        <v>0</v>
      </c>
    </row>
    <row r="130" spans="1:46" ht="24.75" customHeight="1">
      <c r="A130" s="636">
        <v>113</v>
      </c>
      <c r="B130" s="986">
        <v>36</v>
      </c>
      <c r="C130" s="636" t="str">
        <f>VLOOKUP(D130,'Mã số nhân viên'!B112:I169,8,0)</f>
        <v>03622</v>
      </c>
      <c r="D130" s="1121" t="s">
        <v>322</v>
      </c>
      <c r="E130" s="123"/>
      <c r="F130" s="987" t="s">
        <v>50</v>
      </c>
      <c r="G130" s="987" t="s">
        <v>50</v>
      </c>
      <c r="H130" s="987" t="s">
        <v>50</v>
      </c>
      <c r="I130" s="987" t="s">
        <v>50</v>
      </c>
      <c r="J130" s="987" t="s">
        <v>50</v>
      </c>
      <c r="K130" s="987" t="s">
        <v>50</v>
      </c>
      <c r="L130" s="987" t="s">
        <v>110</v>
      </c>
      <c r="M130" s="987" t="s">
        <v>50</v>
      </c>
      <c r="N130" s="987" t="s">
        <v>50</v>
      </c>
      <c r="O130" s="987" t="s">
        <v>50</v>
      </c>
      <c r="P130" s="987" t="s">
        <v>50</v>
      </c>
      <c r="Q130" s="987" t="s">
        <v>785</v>
      </c>
      <c r="R130" s="987" t="s">
        <v>50</v>
      </c>
      <c r="S130" s="987" t="s">
        <v>110</v>
      </c>
      <c r="T130" s="987" t="s">
        <v>50</v>
      </c>
      <c r="U130" s="987" t="s">
        <v>50</v>
      </c>
      <c r="V130" s="987" t="s">
        <v>50</v>
      </c>
      <c r="W130" s="987" t="s">
        <v>50</v>
      </c>
      <c r="X130" s="987" t="s">
        <v>50</v>
      </c>
      <c r="Y130" s="987" t="s">
        <v>785</v>
      </c>
      <c r="Z130" s="987" t="s">
        <v>110</v>
      </c>
      <c r="AA130" s="987" t="s">
        <v>50</v>
      </c>
      <c r="AB130" s="987" t="s">
        <v>50</v>
      </c>
      <c r="AC130" s="987" t="s">
        <v>50</v>
      </c>
      <c r="AD130" s="987" t="s">
        <v>50</v>
      </c>
      <c r="AE130" s="987" t="s">
        <v>50</v>
      </c>
      <c r="AF130" s="987" t="s">
        <v>50</v>
      </c>
      <c r="AG130" s="987" t="s">
        <v>110</v>
      </c>
      <c r="AH130" s="987" t="s">
        <v>50</v>
      </c>
      <c r="AI130" s="987" t="s">
        <v>50</v>
      </c>
      <c r="AJ130" s="988"/>
      <c r="AK130" s="976">
        <f t="shared" si="24"/>
        <v>24</v>
      </c>
      <c r="AL130" s="977">
        <f t="shared" si="25"/>
        <v>4</v>
      </c>
      <c r="AM130" s="976">
        <f t="shared" si="26"/>
        <v>2</v>
      </c>
      <c r="AN130" s="976">
        <f t="shared" si="27"/>
        <v>0</v>
      </c>
      <c r="AO130" s="976">
        <f t="shared" si="28"/>
        <v>0</v>
      </c>
      <c r="AP130" s="977">
        <f t="shared" si="29"/>
        <v>0</v>
      </c>
      <c r="AQ130" s="978">
        <f t="shared" si="30"/>
        <v>30</v>
      </c>
      <c r="AR130" s="979"/>
      <c r="AS130" s="150" t="str">
        <f>'Mã số nhân viên'!I112</f>
        <v>03622</v>
      </c>
      <c r="AT130" s="989">
        <f t="shared" si="31"/>
        <v>0</v>
      </c>
    </row>
    <row r="131" spans="1:46" ht="24.75" customHeight="1">
      <c r="A131" s="636">
        <v>114</v>
      </c>
      <c r="B131" s="986">
        <v>37</v>
      </c>
      <c r="C131" s="636" t="str">
        <f>VLOOKUP(D131,'Mã số nhân viên'!B113:I170,8,0)</f>
        <v>03623</v>
      </c>
      <c r="D131" s="1121" t="s">
        <v>247</v>
      </c>
      <c r="E131" s="123"/>
      <c r="F131" s="987" t="s">
        <v>50</v>
      </c>
      <c r="G131" s="987" t="s">
        <v>50</v>
      </c>
      <c r="H131" s="987" t="s">
        <v>50</v>
      </c>
      <c r="I131" s="987" t="s">
        <v>50</v>
      </c>
      <c r="J131" s="987" t="s">
        <v>50</v>
      </c>
      <c r="K131" s="987" t="s">
        <v>50</v>
      </c>
      <c r="L131" s="987" t="s">
        <v>110</v>
      </c>
      <c r="M131" s="987" t="s">
        <v>50</v>
      </c>
      <c r="N131" s="987" t="s">
        <v>50</v>
      </c>
      <c r="O131" s="987" t="s">
        <v>50</v>
      </c>
      <c r="P131" s="987" t="s">
        <v>50</v>
      </c>
      <c r="Q131" s="987" t="s">
        <v>785</v>
      </c>
      <c r="R131" s="987" t="s">
        <v>50</v>
      </c>
      <c r="S131" s="987" t="s">
        <v>110</v>
      </c>
      <c r="T131" s="987" t="s">
        <v>50</v>
      </c>
      <c r="U131" s="987" t="s">
        <v>50</v>
      </c>
      <c r="V131" s="987" t="s">
        <v>50</v>
      </c>
      <c r="W131" s="987" t="s">
        <v>50</v>
      </c>
      <c r="X131" s="987" t="s">
        <v>50</v>
      </c>
      <c r="Y131" s="987" t="s">
        <v>785</v>
      </c>
      <c r="Z131" s="987" t="s">
        <v>110</v>
      </c>
      <c r="AA131" s="987" t="s">
        <v>50</v>
      </c>
      <c r="AB131" s="987" t="s">
        <v>50</v>
      </c>
      <c r="AC131" s="987" t="s">
        <v>50</v>
      </c>
      <c r="AD131" s="987" t="s">
        <v>50</v>
      </c>
      <c r="AE131" s="987" t="s">
        <v>50</v>
      </c>
      <c r="AF131" s="987" t="s">
        <v>50</v>
      </c>
      <c r="AG131" s="987" t="s">
        <v>110</v>
      </c>
      <c r="AH131" s="987" t="s">
        <v>50</v>
      </c>
      <c r="AI131" s="987" t="s">
        <v>50</v>
      </c>
      <c r="AJ131" s="988"/>
      <c r="AK131" s="976">
        <f t="shared" si="24"/>
        <v>24</v>
      </c>
      <c r="AL131" s="977">
        <f t="shared" si="25"/>
        <v>4</v>
      </c>
      <c r="AM131" s="976">
        <f t="shared" si="26"/>
        <v>2</v>
      </c>
      <c r="AN131" s="976">
        <f t="shared" si="27"/>
        <v>0</v>
      </c>
      <c r="AO131" s="976">
        <f t="shared" si="28"/>
        <v>0</v>
      </c>
      <c r="AP131" s="977">
        <f t="shared" si="29"/>
        <v>0</v>
      </c>
      <c r="AQ131" s="978">
        <f t="shared" si="30"/>
        <v>30</v>
      </c>
      <c r="AR131" s="979"/>
      <c r="AS131" s="150" t="str">
        <f>'Mã số nhân viên'!I113</f>
        <v>03623</v>
      </c>
      <c r="AT131" s="989">
        <f t="shared" si="31"/>
        <v>0</v>
      </c>
    </row>
    <row r="132" spans="1:46" ht="24.75" customHeight="1">
      <c r="A132" s="636">
        <v>115</v>
      </c>
      <c r="B132" s="986">
        <v>38</v>
      </c>
      <c r="C132" s="636" t="str">
        <f>VLOOKUP(D132,'Mã số nhân viên'!B114:I171,8,0)</f>
        <v>03532</v>
      </c>
      <c r="D132" s="1121" t="s">
        <v>318</v>
      </c>
      <c r="E132" s="123"/>
      <c r="F132" s="987" t="s">
        <v>50</v>
      </c>
      <c r="G132" s="987" t="s">
        <v>50</v>
      </c>
      <c r="H132" s="987" t="s">
        <v>50</v>
      </c>
      <c r="I132" s="987" t="s">
        <v>50</v>
      </c>
      <c r="J132" s="987" t="s">
        <v>50</v>
      </c>
      <c r="K132" s="987" t="s">
        <v>50</v>
      </c>
      <c r="L132" s="987" t="s">
        <v>110</v>
      </c>
      <c r="M132" s="987" t="s">
        <v>50</v>
      </c>
      <c r="N132" s="987" t="s">
        <v>50</v>
      </c>
      <c r="O132" s="987" t="s">
        <v>50</v>
      </c>
      <c r="P132" s="987" t="s">
        <v>50</v>
      </c>
      <c r="Q132" s="987" t="s">
        <v>785</v>
      </c>
      <c r="R132" s="987" t="s">
        <v>50</v>
      </c>
      <c r="S132" s="987" t="s">
        <v>110</v>
      </c>
      <c r="T132" s="987" t="s">
        <v>50</v>
      </c>
      <c r="U132" s="987" t="s">
        <v>50</v>
      </c>
      <c r="V132" s="987" t="s">
        <v>50</v>
      </c>
      <c r="W132" s="987" t="s">
        <v>50</v>
      </c>
      <c r="X132" s="987" t="s">
        <v>50</v>
      </c>
      <c r="Y132" s="987" t="s">
        <v>785</v>
      </c>
      <c r="Z132" s="987" t="s">
        <v>110</v>
      </c>
      <c r="AA132" s="987" t="s">
        <v>50</v>
      </c>
      <c r="AB132" s="987" t="s">
        <v>50</v>
      </c>
      <c r="AC132" s="987" t="s">
        <v>50</v>
      </c>
      <c r="AD132" s="987" t="s">
        <v>50</v>
      </c>
      <c r="AE132" s="987" t="s">
        <v>50</v>
      </c>
      <c r="AF132" s="987" t="s">
        <v>50</v>
      </c>
      <c r="AG132" s="987" t="s">
        <v>110</v>
      </c>
      <c r="AH132" s="987" t="s">
        <v>50</v>
      </c>
      <c r="AI132" s="987" t="s">
        <v>50</v>
      </c>
      <c r="AJ132" s="988"/>
      <c r="AK132" s="976">
        <f t="shared" si="24"/>
        <v>24</v>
      </c>
      <c r="AL132" s="977">
        <f t="shared" si="25"/>
        <v>4</v>
      </c>
      <c r="AM132" s="976">
        <f t="shared" si="26"/>
        <v>2</v>
      </c>
      <c r="AN132" s="976">
        <f t="shared" si="27"/>
        <v>0</v>
      </c>
      <c r="AO132" s="976">
        <f t="shared" si="28"/>
        <v>0</v>
      </c>
      <c r="AP132" s="977">
        <f t="shared" si="29"/>
        <v>0</v>
      </c>
      <c r="AQ132" s="978">
        <f t="shared" si="30"/>
        <v>30</v>
      </c>
      <c r="AR132" s="979"/>
      <c r="AS132" s="150" t="str">
        <f>'Mã số nhân viên'!I114</f>
        <v>03532</v>
      </c>
      <c r="AT132" s="989">
        <f t="shared" si="31"/>
        <v>0</v>
      </c>
    </row>
    <row r="133" spans="1:46" ht="24.75" customHeight="1">
      <c r="A133" s="636">
        <v>116</v>
      </c>
      <c r="B133" s="986">
        <v>39</v>
      </c>
      <c r="C133" s="636" t="str">
        <f>VLOOKUP(D133,'Mã số nhân viên'!B115:I172,8,0)</f>
        <v>03625</v>
      </c>
      <c r="D133" s="1121" t="s">
        <v>248</v>
      </c>
      <c r="E133" s="123"/>
      <c r="F133" s="987" t="s">
        <v>50</v>
      </c>
      <c r="G133" s="987" t="s">
        <v>50</v>
      </c>
      <c r="H133" s="987" t="s">
        <v>50</v>
      </c>
      <c r="I133" s="987" t="s">
        <v>50</v>
      </c>
      <c r="J133" s="987" t="s">
        <v>50</v>
      </c>
      <c r="K133" s="987" t="s">
        <v>50</v>
      </c>
      <c r="L133" s="987" t="s">
        <v>110</v>
      </c>
      <c r="M133" s="987" t="s">
        <v>50</v>
      </c>
      <c r="N133" s="987" t="s">
        <v>50</v>
      </c>
      <c r="O133" s="987" t="s">
        <v>50</v>
      </c>
      <c r="P133" s="987" t="s">
        <v>50</v>
      </c>
      <c r="Q133" s="987" t="s">
        <v>785</v>
      </c>
      <c r="R133" s="987" t="s">
        <v>50</v>
      </c>
      <c r="S133" s="987" t="s">
        <v>110</v>
      </c>
      <c r="T133" s="987" t="s">
        <v>50</v>
      </c>
      <c r="U133" s="987" t="s">
        <v>50</v>
      </c>
      <c r="V133" s="987" t="s">
        <v>50</v>
      </c>
      <c r="W133" s="987" t="s">
        <v>50</v>
      </c>
      <c r="X133" s="987" t="s">
        <v>50</v>
      </c>
      <c r="Y133" s="987" t="s">
        <v>785</v>
      </c>
      <c r="Z133" s="987" t="s">
        <v>110</v>
      </c>
      <c r="AA133" s="987" t="s">
        <v>50</v>
      </c>
      <c r="AB133" s="987" t="s">
        <v>50</v>
      </c>
      <c r="AC133" s="987" t="s">
        <v>50</v>
      </c>
      <c r="AD133" s="987" t="s">
        <v>50</v>
      </c>
      <c r="AE133" s="987" t="s">
        <v>50</v>
      </c>
      <c r="AF133" s="987" t="s">
        <v>50</v>
      </c>
      <c r="AG133" s="987" t="s">
        <v>110</v>
      </c>
      <c r="AH133" s="987" t="s">
        <v>50</v>
      </c>
      <c r="AI133" s="987" t="s">
        <v>50</v>
      </c>
      <c r="AJ133" s="988"/>
      <c r="AK133" s="976">
        <f t="shared" si="24"/>
        <v>24</v>
      </c>
      <c r="AL133" s="977">
        <f t="shared" si="25"/>
        <v>4</v>
      </c>
      <c r="AM133" s="976">
        <f t="shared" si="26"/>
        <v>2</v>
      </c>
      <c r="AN133" s="976">
        <f t="shared" si="27"/>
        <v>0</v>
      </c>
      <c r="AO133" s="976">
        <f t="shared" si="28"/>
        <v>0</v>
      </c>
      <c r="AP133" s="977">
        <f t="shared" si="29"/>
        <v>0</v>
      </c>
      <c r="AQ133" s="978">
        <f t="shared" si="30"/>
        <v>30</v>
      </c>
      <c r="AR133" s="979"/>
      <c r="AS133" s="150" t="str">
        <f>'Mã số nhân viên'!I115</f>
        <v>03625</v>
      </c>
      <c r="AT133" s="989">
        <f t="shared" si="31"/>
        <v>0</v>
      </c>
    </row>
    <row r="134" spans="1:46" ht="24.75" customHeight="1">
      <c r="A134" s="636">
        <v>117</v>
      </c>
      <c r="B134" s="986">
        <v>40</v>
      </c>
      <c r="C134" s="636" t="str">
        <f>VLOOKUP(D134,'Mã số nhân viên'!B116:I173,8,0)</f>
        <v>03587</v>
      </c>
      <c r="D134" s="1119" t="s">
        <v>192</v>
      </c>
      <c r="E134" s="123"/>
      <c r="F134" s="987" t="s">
        <v>50</v>
      </c>
      <c r="G134" s="987" t="s">
        <v>50</v>
      </c>
      <c r="H134" s="987" t="s">
        <v>50</v>
      </c>
      <c r="I134" s="987" t="s">
        <v>50</v>
      </c>
      <c r="J134" s="987" t="s">
        <v>50</v>
      </c>
      <c r="K134" s="987" t="s">
        <v>50</v>
      </c>
      <c r="L134" s="987" t="s">
        <v>110</v>
      </c>
      <c r="M134" s="987" t="s">
        <v>50</v>
      </c>
      <c r="N134" s="987" t="s">
        <v>50</v>
      </c>
      <c r="O134" s="987" t="s">
        <v>50</v>
      </c>
      <c r="P134" s="987" t="s">
        <v>50</v>
      </c>
      <c r="Q134" s="987" t="s">
        <v>785</v>
      </c>
      <c r="R134" s="987" t="s">
        <v>50</v>
      </c>
      <c r="S134" s="987" t="s">
        <v>110</v>
      </c>
      <c r="T134" s="987" t="s">
        <v>50</v>
      </c>
      <c r="U134" s="987" t="s">
        <v>50</v>
      </c>
      <c r="V134" s="987" t="s">
        <v>50</v>
      </c>
      <c r="W134" s="987" t="s">
        <v>50</v>
      </c>
      <c r="X134" s="987" t="s">
        <v>50</v>
      </c>
      <c r="Y134" s="987" t="s">
        <v>785</v>
      </c>
      <c r="Z134" s="987" t="s">
        <v>110</v>
      </c>
      <c r="AA134" s="987" t="s">
        <v>50</v>
      </c>
      <c r="AB134" s="987" t="s">
        <v>50</v>
      </c>
      <c r="AC134" s="987" t="s">
        <v>50</v>
      </c>
      <c r="AD134" s="987" t="s">
        <v>50</v>
      </c>
      <c r="AE134" s="987" t="s">
        <v>50</v>
      </c>
      <c r="AF134" s="987" t="s">
        <v>50</v>
      </c>
      <c r="AG134" s="987" t="s">
        <v>110</v>
      </c>
      <c r="AH134" s="987" t="s">
        <v>50</v>
      </c>
      <c r="AI134" s="987" t="s">
        <v>50</v>
      </c>
      <c r="AJ134" s="988"/>
      <c r="AK134" s="976">
        <f t="shared" si="24"/>
        <v>24</v>
      </c>
      <c r="AL134" s="977">
        <f t="shared" si="25"/>
        <v>4</v>
      </c>
      <c r="AM134" s="976">
        <f t="shared" si="26"/>
        <v>2</v>
      </c>
      <c r="AN134" s="976">
        <f t="shared" si="27"/>
        <v>0</v>
      </c>
      <c r="AO134" s="976">
        <f t="shared" si="28"/>
        <v>0</v>
      </c>
      <c r="AP134" s="977">
        <f t="shared" si="29"/>
        <v>0</v>
      </c>
      <c r="AQ134" s="978">
        <f t="shared" si="30"/>
        <v>30</v>
      </c>
      <c r="AR134" s="979"/>
      <c r="AS134" s="150" t="str">
        <f>'Mã số nhân viên'!I116</f>
        <v>03587</v>
      </c>
      <c r="AT134" s="989">
        <f t="shared" si="31"/>
        <v>0</v>
      </c>
    </row>
    <row r="135" spans="1:46" ht="24.75" customHeight="1">
      <c r="A135" s="636">
        <v>118</v>
      </c>
      <c r="B135" s="986">
        <v>41</v>
      </c>
      <c r="C135" s="636" t="str">
        <f>VLOOKUP(D135,'Mã số nhân viên'!B117:I174,8,0)</f>
        <v>04079</v>
      </c>
      <c r="D135" s="1004" t="s">
        <v>530</v>
      </c>
      <c r="E135" s="123"/>
      <c r="F135" s="987" t="s">
        <v>50</v>
      </c>
      <c r="G135" s="987" t="s">
        <v>50</v>
      </c>
      <c r="H135" s="987" t="s">
        <v>50</v>
      </c>
      <c r="I135" s="987" t="s">
        <v>50</v>
      </c>
      <c r="J135" s="987" t="s">
        <v>50</v>
      </c>
      <c r="K135" s="987" t="s">
        <v>50</v>
      </c>
      <c r="L135" s="987" t="s">
        <v>110</v>
      </c>
      <c r="M135" s="987" t="s">
        <v>50</v>
      </c>
      <c r="N135" s="987" t="s">
        <v>50</v>
      </c>
      <c r="O135" s="987" t="s">
        <v>50</v>
      </c>
      <c r="P135" s="987" t="s">
        <v>50</v>
      </c>
      <c r="Q135" s="987" t="s">
        <v>785</v>
      </c>
      <c r="R135" s="987" t="s">
        <v>50</v>
      </c>
      <c r="S135" s="987" t="s">
        <v>110</v>
      </c>
      <c r="T135" s="987" t="s">
        <v>50</v>
      </c>
      <c r="U135" s="987" t="s">
        <v>50</v>
      </c>
      <c r="V135" s="987" t="s">
        <v>50</v>
      </c>
      <c r="W135" s="987" t="s">
        <v>50</v>
      </c>
      <c r="X135" s="987" t="s">
        <v>50</v>
      </c>
      <c r="Y135" s="987" t="s">
        <v>785</v>
      </c>
      <c r="Z135" s="987" t="s">
        <v>110</v>
      </c>
      <c r="AA135" s="987" t="s">
        <v>50</v>
      </c>
      <c r="AB135" s="987" t="s">
        <v>50</v>
      </c>
      <c r="AC135" s="987" t="s">
        <v>50</v>
      </c>
      <c r="AD135" s="987" t="s">
        <v>50</v>
      </c>
      <c r="AE135" s="987" t="s">
        <v>50</v>
      </c>
      <c r="AF135" s="987" t="s">
        <v>50</v>
      </c>
      <c r="AG135" s="987" t="s">
        <v>110</v>
      </c>
      <c r="AH135" s="987" t="s">
        <v>50</v>
      </c>
      <c r="AI135" s="987" t="s">
        <v>50</v>
      </c>
      <c r="AJ135" s="988"/>
      <c r="AK135" s="976">
        <f t="shared" si="24"/>
        <v>24</v>
      </c>
      <c r="AL135" s="977">
        <f t="shared" si="25"/>
        <v>4</v>
      </c>
      <c r="AM135" s="976">
        <f t="shared" si="26"/>
        <v>2</v>
      </c>
      <c r="AN135" s="976">
        <f t="shared" si="27"/>
        <v>0</v>
      </c>
      <c r="AO135" s="976">
        <f t="shared" si="28"/>
        <v>0</v>
      </c>
      <c r="AP135" s="977">
        <f t="shared" si="29"/>
        <v>0</v>
      </c>
      <c r="AQ135" s="978">
        <f t="shared" si="30"/>
        <v>30</v>
      </c>
      <c r="AR135" s="979"/>
      <c r="AS135" s="150" t="str">
        <f>'Mã số nhân viên'!I117</f>
        <v>04079</v>
      </c>
      <c r="AT135" s="989">
        <f t="shared" si="31"/>
        <v>0</v>
      </c>
    </row>
    <row r="136" spans="1:46" ht="24.75" customHeight="1">
      <c r="A136" s="636">
        <v>119</v>
      </c>
      <c r="B136" s="986">
        <v>42</v>
      </c>
      <c r="C136" s="636" t="str">
        <f>VLOOKUP(D136,'Mã số nhân viên'!B118:I175,8,0)</f>
        <v>03628</v>
      </c>
      <c r="D136" s="1121" t="s">
        <v>95</v>
      </c>
      <c r="E136" s="123"/>
      <c r="F136" s="987" t="s">
        <v>778</v>
      </c>
      <c r="G136" s="987" t="s">
        <v>50</v>
      </c>
      <c r="H136" s="987" t="s">
        <v>50</v>
      </c>
      <c r="I136" s="987" t="s">
        <v>50</v>
      </c>
      <c r="J136" s="987" t="s">
        <v>50</v>
      </c>
      <c r="K136" s="987" t="s">
        <v>50</v>
      </c>
      <c r="L136" s="987" t="s">
        <v>778</v>
      </c>
      <c r="M136" s="987" t="s">
        <v>50</v>
      </c>
      <c r="N136" s="987" t="s">
        <v>50</v>
      </c>
      <c r="O136" s="987" t="s">
        <v>50</v>
      </c>
      <c r="P136" s="987" t="s">
        <v>50</v>
      </c>
      <c r="Q136" s="987" t="s">
        <v>785</v>
      </c>
      <c r="R136" s="987" t="s">
        <v>50</v>
      </c>
      <c r="S136" s="987" t="s">
        <v>110</v>
      </c>
      <c r="T136" s="987" t="s">
        <v>50</v>
      </c>
      <c r="U136" s="987" t="s">
        <v>50</v>
      </c>
      <c r="V136" s="987" t="s">
        <v>50</v>
      </c>
      <c r="W136" s="987" t="s">
        <v>50</v>
      </c>
      <c r="X136" s="987" t="s">
        <v>50</v>
      </c>
      <c r="Y136" s="987" t="s">
        <v>785</v>
      </c>
      <c r="Z136" s="987" t="s">
        <v>110</v>
      </c>
      <c r="AA136" s="987" t="s">
        <v>50</v>
      </c>
      <c r="AB136" s="987" t="s">
        <v>50</v>
      </c>
      <c r="AC136" s="987" t="s">
        <v>50</v>
      </c>
      <c r="AD136" s="987" t="s">
        <v>50</v>
      </c>
      <c r="AE136" s="987" t="s">
        <v>778</v>
      </c>
      <c r="AF136" s="987" t="s">
        <v>50</v>
      </c>
      <c r="AG136" s="987" t="s">
        <v>110</v>
      </c>
      <c r="AH136" s="987" t="s">
        <v>50</v>
      </c>
      <c r="AI136" s="987" t="s">
        <v>50</v>
      </c>
      <c r="AJ136" s="988"/>
      <c r="AK136" s="976">
        <f t="shared" si="24"/>
        <v>22</v>
      </c>
      <c r="AL136" s="977">
        <f t="shared" si="25"/>
        <v>3</v>
      </c>
      <c r="AM136" s="976">
        <f t="shared" si="26"/>
        <v>2</v>
      </c>
      <c r="AN136" s="976">
        <f t="shared" si="27"/>
        <v>0</v>
      </c>
      <c r="AO136" s="976">
        <f t="shared" si="28"/>
        <v>0</v>
      </c>
      <c r="AP136" s="977">
        <f t="shared" si="29"/>
        <v>0</v>
      </c>
      <c r="AQ136" s="978">
        <f t="shared" si="30"/>
        <v>27</v>
      </c>
      <c r="AR136" s="979"/>
      <c r="AS136" s="150" t="str">
        <f>'Mã số nhân viên'!I118</f>
        <v>03628</v>
      </c>
      <c r="AT136" s="989">
        <f t="shared" si="31"/>
        <v>0</v>
      </c>
    </row>
    <row r="137" spans="1:46" ht="24.75" customHeight="1">
      <c r="A137" s="636">
        <v>120</v>
      </c>
      <c r="B137" s="986">
        <v>43</v>
      </c>
      <c r="C137" s="636" t="str">
        <f>VLOOKUP(D137,'Mã số nhân viên'!B119:I176,8,0)</f>
        <v>03629</v>
      </c>
      <c r="D137" s="1121" t="s">
        <v>327</v>
      </c>
      <c r="E137" s="123"/>
      <c r="F137" s="987" t="s">
        <v>50</v>
      </c>
      <c r="G137" s="987" t="s">
        <v>50</v>
      </c>
      <c r="H137" s="987" t="s">
        <v>50</v>
      </c>
      <c r="I137" s="987" t="s">
        <v>50</v>
      </c>
      <c r="J137" s="987" t="s">
        <v>50</v>
      </c>
      <c r="K137" s="987" t="s">
        <v>50</v>
      </c>
      <c r="L137" s="987" t="s">
        <v>110</v>
      </c>
      <c r="M137" s="987" t="s">
        <v>50</v>
      </c>
      <c r="N137" s="987" t="s">
        <v>50</v>
      </c>
      <c r="O137" s="987" t="s">
        <v>50</v>
      </c>
      <c r="P137" s="987" t="s">
        <v>50</v>
      </c>
      <c r="Q137" s="987" t="s">
        <v>785</v>
      </c>
      <c r="R137" s="987" t="s">
        <v>50</v>
      </c>
      <c r="S137" s="987" t="s">
        <v>110</v>
      </c>
      <c r="T137" s="987" t="s">
        <v>50</v>
      </c>
      <c r="U137" s="987" t="s">
        <v>50</v>
      </c>
      <c r="V137" s="987" t="s">
        <v>50</v>
      </c>
      <c r="W137" s="987" t="s">
        <v>50</v>
      </c>
      <c r="X137" s="987" t="s">
        <v>50</v>
      </c>
      <c r="Y137" s="987" t="s">
        <v>785</v>
      </c>
      <c r="Z137" s="987" t="s">
        <v>110</v>
      </c>
      <c r="AA137" s="987" t="s">
        <v>50</v>
      </c>
      <c r="AB137" s="987" t="s">
        <v>50</v>
      </c>
      <c r="AC137" s="987" t="s">
        <v>50</v>
      </c>
      <c r="AD137" s="987" t="s">
        <v>50</v>
      </c>
      <c r="AE137" s="987" t="s">
        <v>50</v>
      </c>
      <c r="AF137" s="987" t="s">
        <v>50</v>
      </c>
      <c r="AG137" s="987" t="s">
        <v>110</v>
      </c>
      <c r="AH137" s="987" t="s">
        <v>50</v>
      </c>
      <c r="AI137" s="987" t="s">
        <v>50</v>
      </c>
      <c r="AJ137" s="988"/>
      <c r="AK137" s="976">
        <f t="shared" si="24"/>
        <v>24</v>
      </c>
      <c r="AL137" s="977">
        <f t="shared" si="25"/>
        <v>4</v>
      </c>
      <c r="AM137" s="976">
        <f t="shared" si="26"/>
        <v>2</v>
      </c>
      <c r="AN137" s="976">
        <f t="shared" si="27"/>
        <v>0</v>
      </c>
      <c r="AO137" s="976">
        <f t="shared" si="28"/>
        <v>0</v>
      </c>
      <c r="AP137" s="977">
        <f t="shared" si="29"/>
        <v>0</v>
      </c>
      <c r="AQ137" s="978">
        <f t="shared" si="30"/>
        <v>30</v>
      </c>
      <c r="AR137" s="979"/>
      <c r="AS137" s="150" t="str">
        <f>'Mã số nhân viên'!I119</f>
        <v>03629</v>
      </c>
      <c r="AT137" s="989">
        <f t="shared" si="31"/>
        <v>0</v>
      </c>
    </row>
    <row r="138" spans="1:46" ht="24.75" customHeight="1">
      <c r="A138" s="636">
        <v>121</v>
      </c>
      <c r="B138" s="986">
        <v>44</v>
      </c>
      <c r="C138" s="636" t="str">
        <f>VLOOKUP(D138,'Mã số nhân viên'!B120:I177,8,0)</f>
        <v>03630</v>
      </c>
      <c r="D138" s="1121" t="s">
        <v>198</v>
      </c>
      <c r="E138" s="123"/>
      <c r="F138" s="987" t="s">
        <v>778</v>
      </c>
      <c r="G138" s="987" t="s">
        <v>50</v>
      </c>
      <c r="H138" s="987" t="s">
        <v>50</v>
      </c>
      <c r="I138" s="987" t="s">
        <v>50</v>
      </c>
      <c r="J138" s="987" t="s">
        <v>50</v>
      </c>
      <c r="K138" s="987" t="s">
        <v>50</v>
      </c>
      <c r="L138" s="987" t="s">
        <v>778</v>
      </c>
      <c r="M138" s="987" t="s">
        <v>50</v>
      </c>
      <c r="N138" s="987" t="s">
        <v>50</v>
      </c>
      <c r="O138" s="987" t="s">
        <v>50</v>
      </c>
      <c r="P138" s="987" t="s">
        <v>50</v>
      </c>
      <c r="Q138" s="987" t="s">
        <v>785</v>
      </c>
      <c r="R138" s="987" t="s">
        <v>50</v>
      </c>
      <c r="S138" s="987" t="s">
        <v>110</v>
      </c>
      <c r="T138" s="987" t="s">
        <v>50</v>
      </c>
      <c r="U138" s="987" t="s">
        <v>50</v>
      </c>
      <c r="V138" s="987" t="s">
        <v>50</v>
      </c>
      <c r="W138" s="987" t="s">
        <v>50</v>
      </c>
      <c r="X138" s="987" t="s">
        <v>50</v>
      </c>
      <c r="Y138" s="987" t="s">
        <v>785</v>
      </c>
      <c r="Z138" s="987" t="s">
        <v>110</v>
      </c>
      <c r="AA138" s="987" t="s">
        <v>50</v>
      </c>
      <c r="AB138" s="987" t="s">
        <v>50</v>
      </c>
      <c r="AC138" s="987" t="s">
        <v>50</v>
      </c>
      <c r="AD138" s="987" t="s">
        <v>50</v>
      </c>
      <c r="AE138" s="987" t="s">
        <v>778</v>
      </c>
      <c r="AF138" s="987" t="s">
        <v>50</v>
      </c>
      <c r="AG138" s="987" t="s">
        <v>110</v>
      </c>
      <c r="AH138" s="987" t="s">
        <v>50</v>
      </c>
      <c r="AI138" s="987" t="s">
        <v>50</v>
      </c>
      <c r="AJ138" s="988"/>
      <c r="AK138" s="976">
        <f t="shared" si="24"/>
        <v>22</v>
      </c>
      <c r="AL138" s="977">
        <f t="shared" si="25"/>
        <v>3</v>
      </c>
      <c r="AM138" s="976">
        <f t="shared" si="26"/>
        <v>2</v>
      </c>
      <c r="AN138" s="976">
        <f t="shared" si="27"/>
        <v>0</v>
      </c>
      <c r="AO138" s="976">
        <f t="shared" si="28"/>
        <v>0</v>
      </c>
      <c r="AP138" s="977">
        <f t="shared" si="29"/>
        <v>0</v>
      </c>
      <c r="AQ138" s="978">
        <f t="shared" si="30"/>
        <v>27</v>
      </c>
      <c r="AR138" s="979"/>
      <c r="AS138" s="150" t="str">
        <f>'Mã số nhân viên'!I120</f>
        <v>03630</v>
      </c>
      <c r="AT138" s="989">
        <f t="shared" si="31"/>
        <v>0</v>
      </c>
    </row>
    <row r="139" spans="1:46" ht="24.75" customHeight="1">
      <c r="A139" s="636">
        <v>122</v>
      </c>
      <c r="B139" s="986">
        <v>45</v>
      </c>
      <c r="C139" s="636" t="str">
        <f>VLOOKUP(D139,'Mã số nhân viên'!B121:I178,8,0)</f>
        <v>03631</v>
      </c>
      <c r="D139" s="1121" t="s">
        <v>323</v>
      </c>
      <c r="E139" s="123"/>
      <c r="F139" s="987" t="s">
        <v>50</v>
      </c>
      <c r="G139" s="987" t="s">
        <v>50</v>
      </c>
      <c r="H139" s="987" t="s">
        <v>50</v>
      </c>
      <c r="I139" s="987" t="s">
        <v>50</v>
      </c>
      <c r="J139" s="987" t="s">
        <v>50</v>
      </c>
      <c r="K139" s="987" t="s">
        <v>50</v>
      </c>
      <c r="L139" s="987" t="s">
        <v>110</v>
      </c>
      <c r="M139" s="987" t="s">
        <v>50</v>
      </c>
      <c r="N139" s="987" t="s">
        <v>50</v>
      </c>
      <c r="O139" s="987" t="s">
        <v>50</v>
      </c>
      <c r="P139" s="987" t="s">
        <v>50</v>
      </c>
      <c r="Q139" s="987" t="s">
        <v>785</v>
      </c>
      <c r="R139" s="987" t="s">
        <v>50</v>
      </c>
      <c r="S139" s="987" t="s">
        <v>110</v>
      </c>
      <c r="T139" s="987" t="s">
        <v>50</v>
      </c>
      <c r="U139" s="987" t="s">
        <v>50</v>
      </c>
      <c r="V139" s="987" t="s">
        <v>50</v>
      </c>
      <c r="W139" s="987" t="s">
        <v>50</v>
      </c>
      <c r="X139" s="987" t="s">
        <v>50</v>
      </c>
      <c r="Y139" s="987" t="s">
        <v>785</v>
      </c>
      <c r="Z139" s="987" t="s">
        <v>110</v>
      </c>
      <c r="AA139" s="987" t="s">
        <v>50</v>
      </c>
      <c r="AB139" s="987" t="s">
        <v>50</v>
      </c>
      <c r="AC139" s="987" t="s">
        <v>50</v>
      </c>
      <c r="AD139" s="987" t="s">
        <v>50</v>
      </c>
      <c r="AE139" s="987" t="s">
        <v>50</v>
      </c>
      <c r="AF139" s="987" t="s">
        <v>50</v>
      </c>
      <c r="AG139" s="987" t="s">
        <v>110</v>
      </c>
      <c r="AH139" s="987" t="s">
        <v>50</v>
      </c>
      <c r="AI139" s="987" t="s">
        <v>50</v>
      </c>
      <c r="AJ139" s="988"/>
      <c r="AK139" s="976">
        <f t="shared" si="24"/>
        <v>24</v>
      </c>
      <c r="AL139" s="977">
        <f t="shared" si="25"/>
        <v>4</v>
      </c>
      <c r="AM139" s="976">
        <f t="shared" si="26"/>
        <v>2</v>
      </c>
      <c r="AN139" s="976">
        <f t="shared" si="27"/>
        <v>0</v>
      </c>
      <c r="AO139" s="976">
        <f t="shared" si="28"/>
        <v>0</v>
      </c>
      <c r="AP139" s="977">
        <f t="shared" si="29"/>
        <v>0</v>
      </c>
      <c r="AQ139" s="978">
        <f t="shared" si="30"/>
        <v>30</v>
      </c>
      <c r="AR139" s="979"/>
      <c r="AS139" s="150" t="str">
        <f>'Mã số nhân viên'!I121</f>
        <v>03631</v>
      </c>
      <c r="AT139" s="989">
        <f t="shared" si="31"/>
        <v>0</v>
      </c>
    </row>
    <row r="140" spans="1:46" ht="24.75" customHeight="1">
      <c r="A140" s="636">
        <v>123</v>
      </c>
      <c r="B140" s="986">
        <v>46</v>
      </c>
      <c r="C140" s="636" t="str">
        <f>VLOOKUP(D140,'Mã số nhân viên'!B122:I179,8,0)</f>
        <v>03632</v>
      </c>
      <c r="D140" s="1121" t="s">
        <v>249</v>
      </c>
      <c r="E140" s="123"/>
      <c r="F140" s="987" t="s">
        <v>50</v>
      </c>
      <c r="G140" s="987" t="s">
        <v>50</v>
      </c>
      <c r="H140" s="987" t="s">
        <v>50</v>
      </c>
      <c r="I140" s="987" t="s">
        <v>50</v>
      </c>
      <c r="J140" s="987" t="s">
        <v>50</v>
      </c>
      <c r="K140" s="987" t="s">
        <v>50</v>
      </c>
      <c r="L140" s="987" t="s">
        <v>110</v>
      </c>
      <c r="M140" s="987" t="s">
        <v>50</v>
      </c>
      <c r="N140" s="987" t="s">
        <v>50</v>
      </c>
      <c r="O140" s="987" t="s">
        <v>50</v>
      </c>
      <c r="P140" s="987" t="s">
        <v>50</v>
      </c>
      <c r="Q140" s="987" t="s">
        <v>785</v>
      </c>
      <c r="R140" s="987" t="s">
        <v>50</v>
      </c>
      <c r="S140" s="987" t="s">
        <v>110</v>
      </c>
      <c r="T140" s="987" t="s">
        <v>50</v>
      </c>
      <c r="U140" s="987" t="s">
        <v>50</v>
      </c>
      <c r="V140" s="987" t="s">
        <v>50</v>
      </c>
      <c r="W140" s="987" t="s">
        <v>50</v>
      </c>
      <c r="X140" s="987" t="s">
        <v>50</v>
      </c>
      <c r="Y140" s="987" t="s">
        <v>785</v>
      </c>
      <c r="Z140" s="987" t="s">
        <v>110</v>
      </c>
      <c r="AA140" s="987" t="s">
        <v>50</v>
      </c>
      <c r="AB140" s="987" t="s">
        <v>50</v>
      </c>
      <c r="AC140" s="987" t="s">
        <v>50</v>
      </c>
      <c r="AD140" s="987" t="s">
        <v>50</v>
      </c>
      <c r="AE140" s="987" t="s">
        <v>50</v>
      </c>
      <c r="AF140" s="987" t="s">
        <v>50</v>
      </c>
      <c r="AG140" s="987" t="s">
        <v>110</v>
      </c>
      <c r="AH140" s="987" t="s">
        <v>50</v>
      </c>
      <c r="AI140" s="987" t="s">
        <v>50</v>
      </c>
      <c r="AJ140" s="988"/>
      <c r="AK140" s="976">
        <f t="shared" si="24"/>
        <v>24</v>
      </c>
      <c r="AL140" s="977">
        <f t="shared" si="25"/>
        <v>4</v>
      </c>
      <c r="AM140" s="976">
        <f t="shared" si="26"/>
        <v>2</v>
      </c>
      <c r="AN140" s="976">
        <f t="shared" si="27"/>
        <v>0</v>
      </c>
      <c r="AO140" s="976">
        <f t="shared" si="28"/>
        <v>0</v>
      </c>
      <c r="AP140" s="977">
        <f t="shared" si="29"/>
        <v>0</v>
      </c>
      <c r="AQ140" s="978">
        <f t="shared" si="30"/>
        <v>30</v>
      </c>
      <c r="AR140" s="979"/>
      <c r="AS140" s="150" t="str">
        <f>'Mã số nhân viên'!I122</f>
        <v>03632</v>
      </c>
      <c r="AT140" s="989">
        <f t="shared" si="31"/>
        <v>0</v>
      </c>
    </row>
    <row r="141" spans="1:46" ht="24.75" customHeight="1">
      <c r="A141" s="636">
        <v>124</v>
      </c>
      <c r="B141" s="986">
        <v>47</v>
      </c>
      <c r="C141" s="636" t="str">
        <f>VLOOKUP(D141,'Mã số nhân viên'!B123:I180,8,0)</f>
        <v>04080</v>
      </c>
      <c r="D141" s="1121" t="s">
        <v>531</v>
      </c>
      <c r="E141" s="123"/>
      <c r="F141" s="987" t="s">
        <v>50</v>
      </c>
      <c r="G141" s="987" t="s">
        <v>50</v>
      </c>
      <c r="H141" s="987" t="s">
        <v>50</v>
      </c>
      <c r="I141" s="987" t="s">
        <v>50</v>
      </c>
      <c r="J141" s="987" t="s">
        <v>50</v>
      </c>
      <c r="K141" s="987" t="s">
        <v>50</v>
      </c>
      <c r="L141" s="987" t="s">
        <v>110</v>
      </c>
      <c r="M141" s="987" t="s">
        <v>50</v>
      </c>
      <c r="N141" s="987" t="s">
        <v>50</v>
      </c>
      <c r="O141" s="987" t="s">
        <v>50</v>
      </c>
      <c r="P141" s="987" t="s">
        <v>50</v>
      </c>
      <c r="Q141" s="987" t="s">
        <v>785</v>
      </c>
      <c r="R141" s="987" t="s">
        <v>50</v>
      </c>
      <c r="S141" s="987" t="s">
        <v>110</v>
      </c>
      <c r="T141" s="987" t="s">
        <v>50</v>
      </c>
      <c r="U141" s="987" t="s">
        <v>50</v>
      </c>
      <c r="V141" s="987" t="s">
        <v>50</v>
      </c>
      <c r="W141" s="987" t="s">
        <v>50</v>
      </c>
      <c r="X141" s="987" t="s">
        <v>50</v>
      </c>
      <c r="Y141" s="987" t="s">
        <v>785</v>
      </c>
      <c r="Z141" s="987" t="s">
        <v>110</v>
      </c>
      <c r="AA141" s="987" t="s">
        <v>50</v>
      </c>
      <c r="AB141" s="987" t="s">
        <v>50</v>
      </c>
      <c r="AC141" s="987" t="s">
        <v>50</v>
      </c>
      <c r="AD141" s="987" t="s">
        <v>50</v>
      </c>
      <c r="AE141" s="987" t="s">
        <v>50</v>
      </c>
      <c r="AF141" s="987" t="s">
        <v>50</v>
      </c>
      <c r="AG141" s="987" t="s">
        <v>110</v>
      </c>
      <c r="AH141" s="987" t="s">
        <v>50</v>
      </c>
      <c r="AI141" s="987" t="s">
        <v>50</v>
      </c>
      <c r="AJ141" s="988"/>
      <c r="AK141" s="976">
        <f t="shared" si="24"/>
        <v>24</v>
      </c>
      <c r="AL141" s="977">
        <f t="shared" si="25"/>
        <v>4</v>
      </c>
      <c r="AM141" s="976">
        <f t="shared" si="26"/>
        <v>2</v>
      </c>
      <c r="AN141" s="976">
        <f t="shared" si="27"/>
        <v>0</v>
      </c>
      <c r="AO141" s="976">
        <f t="shared" si="28"/>
        <v>0</v>
      </c>
      <c r="AP141" s="977">
        <f t="shared" si="29"/>
        <v>0</v>
      </c>
      <c r="AQ141" s="978">
        <f t="shared" si="30"/>
        <v>30</v>
      </c>
      <c r="AR141" s="979"/>
      <c r="AS141" s="150" t="str">
        <f>'Mã số nhân viên'!I123</f>
        <v>04080</v>
      </c>
      <c r="AT141" s="989">
        <f t="shared" si="31"/>
        <v>0</v>
      </c>
    </row>
    <row r="142" spans="1:46" ht="24.75" customHeight="1">
      <c r="A142" s="636">
        <v>125</v>
      </c>
      <c r="B142" s="986">
        <v>48</v>
      </c>
      <c r="C142" s="636" t="str">
        <f>VLOOKUP(D142,'Mã số nhân viên'!B124:I181,8,0)</f>
        <v>03634</v>
      </c>
      <c r="D142" s="1121" t="s">
        <v>199</v>
      </c>
      <c r="E142" s="123"/>
      <c r="F142" s="987" t="s">
        <v>50</v>
      </c>
      <c r="G142" s="987" t="s">
        <v>50</v>
      </c>
      <c r="H142" s="987" t="s">
        <v>50</v>
      </c>
      <c r="I142" s="987" t="s">
        <v>50</v>
      </c>
      <c r="J142" s="987" t="s">
        <v>50</v>
      </c>
      <c r="K142" s="987" t="s">
        <v>50</v>
      </c>
      <c r="L142" s="987" t="s">
        <v>110</v>
      </c>
      <c r="M142" s="987" t="s">
        <v>50</v>
      </c>
      <c r="N142" s="987" t="s">
        <v>50</v>
      </c>
      <c r="O142" s="987" t="s">
        <v>50</v>
      </c>
      <c r="P142" s="987" t="s">
        <v>808</v>
      </c>
      <c r="Q142" s="987" t="s">
        <v>785</v>
      </c>
      <c r="R142" s="987" t="s">
        <v>50</v>
      </c>
      <c r="S142" s="987" t="s">
        <v>110</v>
      </c>
      <c r="T142" s="987" t="s">
        <v>50</v>
      </c>
      <c r="U142" s="987" t="s">
        <v>50</v>
      </c>
      <c r="V142" s="987" t="s">
        <v>50</v>
      </c>
      <c r="W142" s="987" t="s">
        <v>50</v>
      </c>
      <c r="X142" s="987" t="s">
        <v>50</v>
      </c>
      <c r="Y142" s="987" t="s">
        <v>785</v>
      </c>
      <c r="Z142" s="987" t="s">
        <v>110</v>
      </c>
      <c r="AA142" s="987" t="s">
        <v>50</v>
      </c>
      <c r="AB142" s="987" t="s">
        <v>50</v>
      </c>
      <c r="AC142" s="987" t="s">
        <v>50</v>
      </c>
      <c r="AD142" s="987" t="s">
        <v>50</v>
      </c>
      <c r="AE142" s="987" t="s">
        <v>50</v>
      </c>
      <c r="AF142" s="987" t="s">
        <v>50</v>
      </c>
      <c r="AG142" s="987" t="s">
        <v>110</v>
      </c>
      <c r="AH142" s="987" t="s">
        <v>50</v>
      </c>
      <c r="AI142" s="987" t="s">
        <v>50</v>
      </c>
      <c r="AJ142" s="988"/>
      <c r="AK142" s="976">
        <f t="shared" si="24"/>
        <v>23</v>
      </c>
      <c r="AL142" s="977">
        <f t="shared" si="25"/>
        <v>4</v>
      </c>
      <c r="AM142" s="976">
        <f t="shared" si="26"/>
        <v>2</v>
      </c>
      <c r="AN142" s="976">
        <f t="shared" si="27"/>
        <v>0</v>
      </c>
      <c r="AO142" s="976">
        <f t="shared" si="28"/>
        <v>0</v>
      </c>
      <c r="AP142" s="977">
        <f t="shared" si="29"/>
        <v>0</v>
      </c>
      <c r="AQ142" s="978">
        <f t="shared" si="30"/>
        <v>29</v>
      </c>
      <c r="AR142" s="979"/>
      <c r="AS142" s="150" t="str">
        <f>'Mã số nhân viên'!I124</f>
        <v>03634</v>
      </c>
      <c r="AT142" s="989">
        <f t="shared" si="31"/>
        <v>0</v>
      </c>
    </row>
    <row r="143" spans="1:46" ht="24.75" customHeight="1">
      <c r="A143" s="636">
        <v>126</v>
      </c>
      <c r="B143" s="986">
        <v>49</v>
      </c>
      <c r="C143" s="636" t="str">
        <f>VLOOKUP(D143,'Mã số nhân viên'!B125:I182,8,0)</f>
        <v>03635</v>
      </c>
      <c r="D143" s="1121" t="s">
        <v>250</v>
      </c>
      <c r="E143" s="123"/>
      <c r="F143" s="987" t="s">
        <v>778</v>
      </c>
      <c r="G143" s="987" t="s">
        <v>778</v>
      </c>
      <c r="H143" s="987" t="s">
        <v>778</v>
      </c>
      <c r="I143" s="987" t="s">
        <v>50</v>
      </c>
      <c r="J143" s="987" t="s">
        <v>50</v>
      </c>
      <c r="K143" s="987" t="s">
        <v>50</v>
      </c>
      <c r="L143" s="987" t="s">
        <v>110</v>
      </c>
      <c r="M143" s="987" t="s">
        <v>50</v>
      </c>
      <c r="N143" s="987" t="s">
        <v>50</v>
      </c>
      <c r="O143" s="987" t="s">
        <v>50</v>
      </c>
      <c r="P143" s="987" t="s">
        <v>50</v>
      </c>
      <c r="Q143" s="987" t="s">
        <v>785</v>
      </c>
      <c r="R143" s="987" t="s">
        <v>50</v>
      </c>
      <c r="S143" s="987" t="s">
        <v>110</v>
      </c>
      <c r="T143" s="987" t="s">
        <v>50</v>
      </c>
      <c r="U143" s="987" t="s">
        <v>50</v>
      </c>
      <c r="V143" s="987" t="s">
        <v>50</v>
      </c>
      <c r="W143" s="987" t="s">
        <v>50</v>
      </c>
      <c r="X143" s="987" t="s">
        <v>50</v>
      </c>
      <c r="Y143" s="987" t="s">
        <v>785</v>
      </c>
      <c r="Z143" s="987" t="s">
        <v>110</v>
      </c>
      <c r="AA143" s="987" t="s">
        <v>50</v>
      </c>
      <c r="AB143" s="987" t="s">
        <v>50</v>
      </c>
      <c r="AC143" s="987" t="s">
        <v>50</v>
      </c>
      <c r="AD143" s="987" t="s">
        <v>50</v>
      </c>
      <c r="AE143" s="987" t="s">
        <v>50</v>
      </c>
      <c r="AF143" s="987" t="s">
        <v>50</v>
      </c>
      <c r="AG143" s="987"/>
      <c r="AH143" s="987" t="s">
        <v>50</v>
      </c>
      <c r="AI143" s="987" t="s">
        <v>50</v>
      </c>
      <c r="AJ143" s="988"/>
      <c r="AK143" s="976">
        <f t="shared" si="24"/>
        <v>21</v>
      </c>
      <c r="AL143" s="977">
        <f t="shared" si="25"/>
        <v>3</v>
      </c>
      <c r="AM143" s="976">
        <f t="shared" si="26"/>
        <v>2</v>
      </c>
      <c r="AN143" s="976">
        <f t="shared" si="27"/>
        <v>0</v>
      </c>
      <c r="AO143" s="976">
        <f t="shared" si="28"/>
        <v>0</v>
      </c>
      <c r="AP143" s="977">
        <f t="shared" si="29"/>
        <v>0</v>
      </c>
      <c r="AQ143" s="978">
        <f t="shared" si="30"/>
        <v>26</v>
      </c>
      <c r="AR143" s="979"/>
      <c r="AS143" s="150" t="str">
        <f>'Mã số nhân viên'!I125</f>
        <v>03635</v>
      </c>
      <c r="AT143" s="989">
        <f t="shared" si="31"/>
        <v>0</v>
      </c>
    </row>
    <row r="144" spans="1:46" ht="24.75" customHeight="1">
      <c r="A144" s="636">
        <v>127</v>
      </c>
      <c r="B144" s="986">
        <v>50</v>
      </c>
      <c r="C144" s="636" t="str">
        <f>VLOOKUP(D144,'Mã số nhân viên'!B126:I183,8,0)</f>
        <v>03636</v>
      </c>
      <c r="D144" s="1121" t="s">
        <v>324</v>
      </c>
      <c r="E144" s="123"/>
      <c r="F144" s="987" t="s">
        <v>50</v>
      </c>
      <c r="G144" s="987" t="s">
        <v>50</v>
      </c>
      <c r="H144" s="987" t="s">
        <v>50</v>
      </c>
      <c r="I144" s="987" t="s">
        <v>50</v>
      </c>
      <c r="J144" s="987" t="s">
        <v>50</v>
      </c>
      <c r="K144" s="987" t="s">
        <v>50</v>
      </c>
      <c r="L144" s="987" t="s">
        <v>110</v>
      </c>
      <c r="M144" s="987" t="s">
        <v>50</v>
      </c>
      <c r="N144" s="987" t="s">
        <v>50</v>
      </c>
      <c r="O144" s="987" t="s">
        <v>50</v>
      </c>
      <c r="P144" s="987" t="s">
        <v>50</v>
      </c>
      <c r="Q144" s="987" t="s">
        <v>785</v>
      </c>
      <c r="R144" s="987" t="s">
        <v>50</v>
      </c>
      <c r="S144" s="987" t="s">
        <v>110</v>
      </c>
      <c r="T144" s="987" t="s">
        <v>50</v>
      </c>
      <c r="U144" s="987" t="s">
        <v>50</v>
      </c>
      <c r="V144" s="987" t="s">
        <v>50</v>
      </c>
      <c r="W144" s="987" t="s">
        <v>50</v>
      </c>
      <c r="X144" s="987" t="s">
        <v>50</v>
      </c>
      <c r="Y144" s="987" t="s">
        <v>785</v>
      </c>
      <c r="Z144" s="987" t="s">
        <v>110</v>
      </c>
      <c r="AA144" s="987" t="s">
        <v>50</v>
      </c>
      <c r="AB144" s="987" t="s">
        <v>50</v>
      </c>
      <c r="AC144" s="987" t="s">
        <v>50</v>
      </c>
      <c r="AD144" s="987" t="s">
        <v>50</v>
      </c>
      <c r="AE144" s="987" t="s">
        <v>50</v>
      </c>
      <c r="AF144" s="987" t="s">
        <v>50</v>
      </c>
      <c r="AG144" s="987" t="s">
        <v>110</v>
      </c>
      <c r="AH144" s="987" t="s">
        <v>50</v>
      </c>
      <c r="AI144" s="987" t="s">
        <v>50</v>
      </c>
      <c r="AJ144" s="988"/>
      <c r="AK144" s="976">
        <f t="shared" si="24"/>
        <v>24</v>
      </c>
      <c r="AL144" s="977">
        <f t="shared" si="25"/>
        <v>4</v>
      </c>
      <c r="AM144" s="976">
        <f t="shared" si="26"/>
        <v>2</v>
      </c>
      <c r="AN144" s="976">
        <f t="shared" si="27"/>
        <v>0</v>
      </c>
      <c r="AO144" s="976">
        <f t="shared" si="28"/>
        <v>0</v>
      </c>
      <c r="AP144" s="977">
        <f t="shared" si="29"/>
        <v>0</v>
      </c>
      <c r="AQ144" s="978">
        <f t="shared" si="30"/>
        <v>30</v>
      </c>
      <c r="AR144" s="979"/>
      <c r="AS144" s="150" t="str">
        <f>'Mã số nhân viên'!I126</f>
        <v>03636</v>
      </c>
      <c r="AT144" s="989">
        <f t="shared" si="31"/>
        <v>0</v>
      </c>
    </row>
    <row r="145" spans="1:50" ht="24.75" customHeight="1">
      <c r="A145" s="636">
        <v>128</v>
      </c>
      <c r="B145" s="986">
        <v>51</v>
      </c>
      <c r="C145" s="636" t="str">
        <f>VLOOKUP(D145,'Mã số nhân viên'!B127:I184,8,0)</f>
        <v>03637</v>
      </c>
      <c r="D145" s="1121" t="s">
        <v>325</v>
      </c>
      <c r="E145" s="123"/>
      <c r="F145" s="987" t="s">
        <v>50</v>
      </c>
      <c r="G145" s="987" t="s">
        <v>50</v>
      </c>
      <c r="H145" s="987" t="s">
        <v>50</v>
      </c>
      <c r="I145" s="987" t="s">
        <v>50</v>
      </c>
      <c r="J145" s="987" t="s">
        <v>50</v>
      </c>
      <c r="K145" s="987" t="s">
        <v>50</v>
      </c>
      <c r="L145" s="987" t="s">
        <v>110</v>
      </c>
      <c r="M145" s="987" t="s">
        <v>50</v>
      </c>
      <c r="N145" s="987" t="s">
        <v>50</v>
      </c>
      <c r="O145" s="987" t="s">
        <v>50</v>
      </c>
      <c r="P145" s="987" t="s">
        <v>50</v>
      </c>
      <c r="Q145" s="987" t="s">
        <v>785</v>
      </c>
      <c r="R145" s="987" t="s">
        <v>50</v>
      </c>
      <c r="S145" s="987" t="s">
        <v>110</v>
      </c>
      <c r="T145" s="987" t="s">
        <v>50</v>
      </c>
      <c r="U145" s="987" t="s">
        <v>50</v>
      </c>
      <c r="V145" s="987" t="s">
        <v>50</v>
      </c>
      <c r="W145" s="987" t="s">
        <v>50</v>
      </c>
      <c r="X145" s="987" t="s">
        <v>50</v>
      </c>
      <c r="Y145" s="987" t="s">
        <v>785</v>
      </c>
      <c r="Z145" s="987" t="s">
        <v>110</v>
      </c>
      <c r="AA145" s="987" t="s">
        <v>50</v>
      </c>
      <c r="AB145" s="987" t="s">
        <v>50</v>
      </c>
      <c r="AC145" s="987" t="s">
        <v>50</v>
      </c>
      <c r="AD145" s="987" t="s">
        <v>50</v>
      </c>
      <c r="AE145" s="987" t="s">
        <v>50</v>
      </c>
      <c r="AF145" s="987" t="s">
        <v>50</v>
      </c>
      <c r="AG145" s="987" t="s">
        <v>110</v>
      </c>
      <c r="AH145" s="987" t="s">
        <v>50</v>
      </c>
      <c r="AI145" s="987" t="s">
        <v>50</v>
      </c>
      <c r="AJ145" s="988"/>
      <c r="AK145" s="976">
        <f t="shared" si="24"/>
        <v>24</v>
      </c>
      <c r="AL145" s="977">
        <f t="shared" si="25"/>
        <v>4</v>
      </c>
      <c r="AM145" s="976">
        <f t="shared" si="26"/>
        <v>2</v>
      </c>
      <c r="AN145" s="976">
        <f t="shared" si="27"/>
        <v>0</v>
      </c>
      <c r="AO145" s="976">
        <f t="shared" si="28"/>
        <v>0</v>
      </c>
      <c r="AP145" s="977">
        <f t="shared" si="29"/>
        <v>0</v>
      </c>
      <c r="AQ145" s="978">
        <f t="shared" si="30"/>
        <v>30</v>
      </c>
      <c r="AR145" s="979"/>
      <c r="AS145" s="150" t="str">
        <f>'Mã số nhân viên'!I127</f>
        <v>03637</v>
      </c>
      <c r="AT145" s="989">
        <f t="shared" si="31"/>
        <v>0</v>
      </c>
    </row>
    <row r="146" spans="1:50" ht="24.75" customHeight="1">
      <c r="A146" s="636">
        <v>129</v>
      </c>
      <c r="B146" s="986">
        <v>52</v>
      </c>
      <c r="C146" s="636" t="str">
        <f>VLOOKUP(D146,'Mã số nhân viên'!B128:I185,8,0)</f>
        <v>03638</v>
      </c>
      <c r="D146" s="1121" t="s">
        <v>326</v>
      </c>
      <c r="E146" s="123"/>
      <c r="F146" s="987" t="s">
        <v>50</v>
      </c>
      <c r="G146" s="987" t="s">
        <v>50</v>
      </c>
      <c r="H146" s="987" t="s">
        <v>50</v>
      </c>
      <c r="I146" s="987" t="s">
        <v>50</v>
      </c>
      <c r="J146" s="987" t="s">
        <v>50</v>
      </c>
      <c r="K146" s="987" t="s">
        <v>50</v>
      </c>
      <c r="L146" s="987" t="s">
        <v>110</v>
      </c>
      <c r="M146" s="987" t="s">
        <v>50</v>
      </c>
      <c r="N146" s="987" t="s">
        <v>50</v>
      </c>
      <c r="O146" s="987" t="s">
        <v>50</v>
      </c>
      <c r="P146" s="987" t="s">
        <v>50</v>
      </c>
      <c r="Q146" s="987" t="s">
        <v>785</v>
      </c>
      <c r="R146" s="987" t="s">
        <v>50</v>
      </c>
      <c r="S146" s="987" t="s">
        <v>110</v>
      </c>
      <c r="T146" s="987" t="s">
        <v>50</v>
      </c>
      <c r="U146" s="987" t="s">
        <v>50</v>
      </c>
      <c r="V146" s="987" t="s">
        <v>50</v>
      </c>
      <c r="W146" s="987" t="s">
        <v>50</v>
      </c>
      <c r="X146" s="987" t="s">
        <v>50</v>
      </c>
      <c r="Y146" s="987" t="s">
        <v>785</v>
      </c>
      <c r="Z146" s="987" t="s">
        <v>110</v>
      </c>
      <c r="AA146" s="987" t="s">
        <v>50</v>
      </c>
      <c r="AB146" s="987" t="s">
        <v>50</v>
      </c>
      <c r="AC146" s="987" t="s">
        <v>50</v>
      </c>
      <c r="AD146" s="987" t="s">
        <v>50</v>
      </c>
      <c r="AE146" s="987" t="s">
        <v>50</v>
      </c>
      <c r="AF146" s="987" t="s">
        <v>50</v>
      </c>
      <c r="AG146" s="987" t="s">
        <v>110</v>
      </c>
      <c r="AH146" s="987" t="s">
        <v>50</v>
      </c>
      <c r="AI146" s="987" t="s">
        <v>50</v>
      </c>
      <c r="AJ146" s="988"/>
      <c r="AK146" s="976">
        <f t="shared" si="24"/>
        <v>24</v>
      </c>
      <c r="AL146" s="977">
        <f t="shared" si="25"/>
        <v>4</v>
      </c>
      <c r="AM146" s="976">
        <f t="shared" si="26"/>
        <v>2</v>
      </c>
      <c r="AN146" s="976">
        <f t="shared" si="27"/>
        <v>0</v>
      </c>
      <c r="AO146" s="976">
        <f t="shared" si="28"/>
        <v>0</v>
      </c>
      <c r="AP146" s="977">
        <f t="shared" si="29"/>
        <v>0</v>
      </c>
      <c r="AQ146" s="978">
        <f t="shared" si="30"/>
        <v>30</v>
      </c>
      <c r="AR146" s="979"/>
      <c r="AS146" s="150" t="str">
        <f>'Mã số nhân viên'!I128</f>
        <v>03638</v>
      </c>
      <c r="AT146" s="989">
        <f t="shared" si="31"/>
        <v>0</v>
      </c>
    </row>
    <row r="147" spans="1:50" ht="24.75" customHeight="1">
      <c r="A147" s="636">
        <v>130</v>
      </c>
      <c r="B147" s="986">
        <v>53</v>
      </c>
      <c r="C147" s="636" t="str">
        <f>VLOOKUP(D147,'Mã số nhân viên'!B129:I186,8,0)</f>
        <v>04081</v>
      </c>
      <c r="D147" s="1121" t="s">
        <v>532</v>
      </c>
      <c r="E147" s="123"/>
      <c r="F147" s="987" t="s">
        <v>50</v>
      </c>
      <c r="G147" s="987" t="s">
        <v>50</v>
      </c>
      <c r="H147" s="987" t="s">
        <v>50</v>
      </c>
      <c r="I147" s="987" t="s">
        <v>50</v>
      </c>
      <c r="J147" s="987" t="s">
        <v>50</v>
      </c>
      <c r="K147" s="987" t="s">
        <v>50</v>
      </c>
      <c r="L147" s="987" t="s">
        <v>110</v>
      </c>
      <c r="M147" s="987" t="s">
        <v>50</v>
      </c>
      <c r="N147" s="987" t="s">
        <v>50</v>
      </c>
      <c r="O147" s="987" t="s">
        <v>50</v>
      </c>
      <c r="P147" s="987" t="s">
        <v>50</v>
      </c>
      <c r="Q147" s="987" t="s">
        <v>785</v>
      </c>
      <c r="R147" s="987" t="s">
        <v>50</v>
      </c>
      <c r="S147" s="987" t="s">
        <v>110</v>
      </c>
      <c r="T147" s="987" t="s">
        <v>50</v>
      </c>
      <c r="U147" s="987" t="s">
        <v>50</v>
      </c>
      <c r="V147" s="987" t="s">
        <v>50</v>
      </c>
      <c r="W147" s="987" t="s">
        <v>50</v>
      </c>
      <c r="X147" s="987" t="s">
        <v>50</v>
      </c>
      <c r="Y147" s="987" t="s">
        <v>785</v>
      </c>
      <c r="Z147" s="987" t="s">
        <v>110</v>
      </c>
      <c r="AA147" s="987" t="s">
        <v>50</v>
      </c>
      <c r="AB147" s="987" t="s">
        <v>50</v>
      </c>
      <c r="AC147" s="987" t="s">
        <v>50</v>
      </c>
      <c r="AD147" s="987" t="s">
        <v>50</v>
      </c>
      <c r="AE147" s="987" t="s">
        <v>50</v>
      </c>
      <c r="AF147" s="987" t="s">
        <v>50</v>
      </c>
      <c r="AG147" s="987" t="s">
        <v>110</v>
      </c>
      <c r="AH147" s="987" t="s">
        <v>50</v>
      </c>
      <c r="AI147" s="987" t="s">
        <v>50</v>
      </c>
      <c r="AJ147" s="988"/>
      <c r="AK147" s="976">
        <f t="shared" si="24"/>
        <v>24</v>
      </c>
      <c r="AL147" s="977">
        <f t="shared" si="25"/>
        <v>4</v>
      </c>
      <c r="AM147" s="976">
        <f t="shared" si="26"/>
        <v>2</v>
      </c>
      <c r="AN147" s="976">
        <f t="shared" si="27"/>
        <v>0</v>
      </c>
      <c r="AO147" s="976">
        <f t="shared" si="28"/>
        <v>0</v>
      </c>
      <c r="AP147" s="977">
        <f t="shared" si="29"/>
        <v>0</v>
      </c>
      <c r="AQ147" s="978">
        <f t="shared" si="30"/>
        <v>30</v>
      </c>
      <c r="AR147" s="979"/>
      <c r="AS147" s="150" t="str">
        <f>'Mã số nhân viên'!I129</f>
        <v>04081</v>
      </c>
      <c r="AT147" s="989">
        <f t="shared" si="31"/>
        <v>0</v>
      </c>
    </row>
    <row r="148" spans="1:50" ht="24.75" customHeight="1">
      <c r="A148" s="636">
        <v>131</v>
      </c>
      <c r="B148" s="986">
        <v>54</v>
      </c>
      <c r="C148" s="636" t="str">
        <f>VLOOKUP(D148,'Mã số nhân viên'!B130:I187,8,0)</f>
        <v>04082</v>
      </c>
      <c r="D148" s="1121" t="s">
        <v>333</v>
      </c>
      <c r="E148" s="123"/>
      <c r="F148" s="987" t="s">
        <v>50</v>
      </c>
      <c r="G148" s="987" t="s">
        <v>50</v>
      </c>
      <c r="H148" s="987" t="s">
        <v>778</v>
      </c>
      <c r="I148" s="987" t="s">
        <v>50</v>
      </c>
      <c r="J148" s="987" t="s">
        <v>50</v>
      </c>
      <c r="K148" s="987" t="s">
        <v>50</v>
      </c>
      <c r="L148" s="987" t="s">
        <v>778</v>
      </c>
      <c r="M148" s="987" t="s">
        <v>50</v>
      </c>
      <c r="N148" s="987" t="s">
        <v>50</v>
      </c>
      <c r="O148" s="987" t="s">
        <v>50</v>
      </c>
      <c r="P148" s="987" t="s">
        <v>50</v>
      </c>
      <c r="Q148" s="987" t="s">
        <v>785</v>
      </c>
      <c r="R148" s="987" t="s">
        <v>50</v>
      </c>
      <c r="S148" s="987" t="s">
        <v>110</v>
      </c>
      <c r="T148" s="987" t="s">
        <v>50</v>
      </c>
      <c r="U148" s="987" t="s">
        <v>50</v>
      </c>
      <c r="V148" s="987" t="s">
        <v>50</v>
      </c>
      <c r="W148" s="987" t="s">
        <v>50</v>
      </c>
      <c r="X148" s="987" t="s">
        <v>50</v>
      </c>
      <c r="Y148" s="987" t="s">
        <v>785</v>
      </c>
      <c r="Z148" s="987" t="s">
        <v>110</v>
      </c>
      <c r="AA148" s="987" t="s">
        <v>50</v>
      </c>
      <c r="AB148" s="987" t="s">
        <v>50</v>
      </c>
      <c r="AC148" s="987" t="s">
        <v>50</v>
      </c>
      <c r="AD148" s="987" t="s">
        <v>50</v>
      </c>
      <c r="AE148" s="987" t="s">
        <v>50</v>
      </c>
      <c r="AF148" s="987" t="s">
        <v>50</v>
      </c>
      <c r="AG148" s="987" t="s">
        <v>110</v>
      </c>
      <c r="AH148" s="987" t="s">
        <v>50</v>
      </c>
      <c r="AI148" s="987" t="s">
        <v>50</v>
      </c>
      <c r="AJ148" s="988"/>
      <c r="AK148" s="976">
        <f t="shared" si="24"/>
        <v>23</v>
      </c>
      <c r="AL148" s="977">
        <f t="shared" si="25"/>
        <v>3</v>
      </c>
      <c r="AM148" s="976">
        <f t="shared" si="26"/>
        <v>2</v>
      </c>
      <c r="AN148" s="976">
        <f t="shared" si="27"/>
        <v>0</v>
      </c>
      <c r="AO148" s="976">
        <f t="shared" si="28"/>
        <v>0</v>
      </c>
      <c r="AP148" s="977">
        <f t="shared" si="29"/>
        <v>0</v>
      </c>
      <c r="AQ148" s="978">
        <f t="shared" si="30"/>
        <v>28</v>
      </c>
      <c r="AR148" s="979"/>
      <c r="AS148" s="150" t="str">
        <f>'Mã số nhân viên'!I130</f>
        <v>04082</v>
      </c>
      <c r="AT148" s="989">
        <f t="shared" si="31"/>
        <v>0</v>
      </c>
    </row>
    <row r="149" spans="1:50" ht="24.75" customHeight="1">
      <c r="A149" s="636">
        <v>132</v>
      </c>
      <c r="B149" s="986">
        <v>55</v>
      </c>
      <c r="C149" s="636" t="str">
        <f>VLOOKUP(D149,'Mã số nhân viên'!B131:I188,8,0)</f>
        <v>04083</v>
      </c>
      <c r="D149" s="1121" t="s">
        <v>533</v>
      </c>
      <c r="E149" s="123"/>
      <c r="F149" s="987" t="s">
        <v>50</v>
      </c>
      <c r="G149" s="987" t="s">
        <v>50</v>
      </c>
      <c r="H149" s="987" t="s">
        <v>50</v>
      </c>
      <c r="I149" s="987" t="s">
        <v>778</v>
      </c>
      <c r="J149" s="987" t="s">
        <v>50</v>
      </c>
      <c r="K149" s="987" t="s">
        <v>50</v>
      </c>
      <c r="L149" s="987" t="s">
        <v>110</v>
      </c>
      <c r="M149" s="987" t="s">
        <v>50</v>
      </c>
      <c r="N149" s="987" t="s">
        <v>50</v>
      </c>
      <c r="O149" s="987" t="s">
        <v>50</v>
      </c>
      <c r="P149" s="987" t="s">
        <v>50</v>
      </c>
      <c r="Q149" s="987" t="s">
        <v>785</v>
      </c>
      <c r="R149" s="987" t="s">
        <v>50</v>
      </c>
      <c r="S149" s="987" t="s">
        <v>110</v>
      </c>
      <c r="T149" s="987" t="s">
        <v>50</v>
      </c>
      <c r="U149" s="987" t="s">
        <v>50</v>
      </c>
      <c r="V149" s="987" t="s">
        <v>50</v>
      </c>
      <c r="W149" s="987" t="s">
        <v>50</v>
      </c>
      <c r="X149" s="987" t="s">
        <v>50</v>
      </c>
      <c r="Y149" s="987" t="s">
        <v>785</v>
      </c>
      <c r="Z149" s="987" t="s">
        <v>808</v>
      </c>
      <c r="AA149" s="987" t="s">
        <v>50</v>
      </c>
      <c r="AB149" s="987" t="s">
        <v>50</v>
      </c>
      <c r="AC149" s="987" t="s">
        <v>50</v>
      </c>
      <c r="AD149" s="987" t="s">
        <v>50</v>
      </c>
      <c r="AE149" s="987" t="s">
        <v>50</v>
      </c>
      <c r="AF149" s="987" t="s">
        <v>50</v>
      </c>
      <c r="AG149" s="987"/>
      <c r="AH149" s="987" t="s">
        <v>50</v>
      </c>
      <c r="AI149" s="987" t="s">
        <v>50</v>
      </c>
      <c r="AJ149" s="988"/>
      <c r="AK149" s="976">
        <f t="shared" si="24"/>
        <v>23</v>
      </c>
      <c r="AL149" s="977">
        <f t="shared" si="25"/>
        <v>2</v>
      </c>
      <c r="AM149" s="976">
        <f t="shared" si="26"/>
        <v>2</v>
      </c>
      <c r="AN149" s="976">
        <f t="shared" si="27"/>
        <v>0</v>
      </c>
      <c r="AO149" s="976">
        <f t="shared" si="28"/>
        <v>0</v>
      </c>
      <c r="AP149" s="977">
        <f t="shared" si="29"/>
        <v>0</v>
      </c>
      <c r="AQ149" s="978">
        <f t="shared" si="30"/>
        <v>27</v>
      </c>
      <c r="AR149" s="979"/>
      <c r="AS149" s="150" t="str">
        <f>'Mã số nhân viên'!I131</f>
        <v>04083</v>
      </c>
      <c r="AT149" s="989">
        <f t="shared" si="31"/>
        <v>0</v>
      </c>
    </row>
    <row r="150" spans="1:50" ht="24.75" customHeight="1">
      <c r="A150" s="636">
        <v>133</v>
      </c>
      <c r="B150" s="986">
        <v>56</v>
      </c>
      <c r="C150" s="636" t="str">
        <f>VLOOKUP(D150,'Mã số nhân viên'!B132:I189,8,0)</f>
        <v>03642</v>
      </c>
      <c r="D150" s="1121" t="s">
        <v>260</v>
      </c>
      <c r="E150" s="123"/>
      <c r="F150" s="987" t="s">
        <v>50</v>
      </c>
      <c r="G150" s="987" t="s">
        <v>50</v>
      </c>
      <c r="H150" s="987" t="s">
        <v>778</v>
      </c>
      <c r="I150" s="987" t="s">
        <v>50</v>
      </c>
      <c r="J150" s="987" t="s">
        <v>50</v>
      </c>
      <c r="K150" s="987" t="s">
        <v>50</v>
      </c>
      <c r="L150" s="987" t="s">
        <v>778</v>
      </c>
      <c r="M150" s="987" t="s">
        <v>50</v>
      </c>
      <c r="N150" s="987" t="s">
        <v>50</v>
      </c>
      <c r="O150" s="987" t="s">
        <v>50</v>
      </c>
      <c r="P150" s="987" t="s">
        <v>50</v>
      </c>
      <c r="Q150" s="987" t="s">
        <v>785</v>
      </c>
      <c r="R150" s="987" t="s">
        <v>50</v>
      </c>
      <c r="S150" s="987" t="s">
        <v>110</v>
      </c>
      <c r="T150" s="987" t="s">
        <v>50</v>
      </c>
      <c r="U150" s="987" t="s">
        <v>50</v>
      </c>
      <c r="V150" s="987" t="s">
        <v>50</v>
      </c>
      <c r="W150" s="987" t="s">
        <v>50</v>
      </c>
      <c r="X150" s="987" t="s">
        <v>50</v>
      </c>
      <c r="Y150" s="987" t="s">
        <v>785</v>
      </c>
      <c r="Z150" s="987" t="s">
        <v>110</v>
      </c>
      <c r="AA150" s="987" t="s">
        <v>50</v>
      </c>
      <c r="AB150" s="987" t="s">
        <v>50</v>
      </c>
      <c r="AC150" s="987" t="s">
        <v>50</v>
      </c>
      <c r="AD150" s="987" t="s">
        <v>50</v>
      </c>
      <c r="AE150" s="987" t="s">
        <v>50</v>
      </c>
      <c r="AF150" s="987" t="s">
        <v>50</v>
      </c>
      <c r="AG150" s="987" t="s">
        <v>110</v>
      </c>
      <c r="AH150" s="987" t="s">
        <v>50</v>
      </c>
      <c r="AI150" s="987" t="s">
        <v>50</v>
      </c>
      <c r="AJ150" s="988"/>
      <c r="AK150" s="976">
        <f t="shared" si="24"/>
        <v>23</v>
      </c>
      <c r="AL150" s="977">
        <f t="shared" si="25"/>
        <v>3</v>
      </c>
      <c r="AM150" s="976">
        <f t="shared" si="26"/>
        <v>2</v>
      </c>
      <c r="AN150" s="976">
        <f t="shared" si="27"/>
        <v>0</v>
      </c>
      <c r="AO150" s="976">
        <f t="shared" si="28"/>
        <v>0</v>
      </c>
      <c r="AP150" s="977">
        <f t="shared" si="29"/>
        <v>0</v>
      </c>
      <c r="AQ150" s="978">
        <f t="shared" si="30"/>
        <v>28</v>
      </c>
      <c r="AR150" s="979"/>
      <c r="AS150" s="150" t="str">
        <f>'Mã số nhân viên'!I132</f>
        <v>03642</v>
      </c>
      <c r="AT150" s="989">
        <f t="shared" si="31"/>
        <v>0</v>
      </c>
    </row>
    <row r="151" spans="1:50" ht="24.75" customHeight="1">
      <c r="A151" s="636">
        <v>134</v>
      </c>
      <c r="B151" s="986">
        <v>57</v>
      </c>
      <c r="C151" s="636" t="str">
        <f>VLOOKUP(D151,'Mã số nhân viên'!B133:I190,8,0)</f>
        <v>04084</v>
      </c>
      <c r="D151" s="1121" t="s">
        <v>534</v>
      </c>
      <c r="E151" s="123"/>
      <c r="F151" s="987" t="s">
        <v>50</v>
      </c>
      <c r="G151" s="987" t="s">
        <v>50</v>
      </c>
      <c r="H151" s="987" t="s">
        <v>50</v>
      </c>
      <c r="I151" s="987" t="s">
        <v>50</v>
      </c>
      <c r="J151" s="987" t="s">
        <v>50</v>
      </c>
      <c r="K151" s="987" t="s">
        <v>50</v>
      </c>
      <c r="L151" s="987" t="s">
        <v>110</v>
      </c>
      <c r="M151" s="987" t="s">
        <v>50</v>
      </c>
      <c r="N151" s="987" t="s">
        <v>50</v>
      </c>
      <c r="O151" s="987" t="s">
        <v>50</v>
      </c>
      <c r="P151" s="987" t="s">
        <v>50</v>
      </c>
      <c r="Q151" s="987" t="s">
        <v>785</v>
      </c>
      <c r="R151" s="987" t="s">
        <v>50</v>
      </c>
      <c r="S151" s="987" t="s">
        <v>110</v>
      </c>
      <c r="T151" s="987" t="s">
        <v>50</v>
      </c>
      <c r="U151" s="987" t="s">
        <v>50</v>
      </c>
      <c r="V151" s="987" t="s">
        <v>50</v>
      </c>
      <c r="W151" s="987" t="s">
        <v>50</v>
      </c>
      <c r="X151" s="987" t="s">
        <v>50</v>
      </c>
      <c r="Y151" s="987" t="s">
        <v>785</v>
      </c>
      <c r="Z151" s="987" t="s">
        <v>110</v>
      </c>
      <c r="AA151" s="987" t="s">
        <v>50</v>
      </c>
      <c r="AB151" s="987" t="s">
        <v>50</v>
      </c>
      <c r="AC151" s="987" t="s">
        <v>50</v>
      </c>
      <c r="AD151" s="987" t="s">
        <v>50</v>
      </c>
      <c r="AE151" s="987" t="s">
        <v>50</v>
      </c>
      <c r="AF151" s="987" t="s">
        <v>50</v>
      </c>
      <c r="AG151" s="987" t="s">
        <v>110</v>
      </c>
      <c r="AH151" s="987" t="s">
        <v>50</v>
      </c>
      <c r="AI151" s="987" t="s">
        <v>50</v>
      </c>
      <c r="AJ151" s="988"/>
      <c r="AK151" s="976">
        <f t="shared" si="24"/>
        <v>24</v>
      </c>
      <c r="AL151" s="977">
        <f t="shared" si="25"/>
        <v>4</v>
      </c>
      <c r="AM151" s="976">
        <f t="shared" si="26"/>
        <v>2</v>
      </c>
      <c r="AN151" s="976">
        <f t="shared" si="27"/>
        <v>0</v>
      </c>
      <c r="AO151" s="976">
        <f t="shared" si="28"/>
        <v>0</v>
      </c>
      <c r="AP151" s="977">
        <f t="shared" si="29"/>
        <v>0</v>
      </c>
      <c r="AQ151" s="978">
        <f t="shared" si="30"/>
        <v>30</v>
      </c>
      <c r="AR151" s="979"/>
      <c r="AS151" s="150" t="str">
        <f>'Mã số nhân viên'!I133</f>
        <v>04084</v>
      </c>
      <c r="AT151" s="989">
        <f t="shared" si="31"/>
        <v>0</v>
      </c>
    </row>
    <row r="152" spans="1:50" ht="24.75" customHeight="1">
      <c r="A152" s="636">
        <v>135</v>
      </c>
      <c r="B152" s="986">
        <v>58</v>
      </c>
      <c r="C152" s="636" t="str">
        <f>VLOOKUP(D152,'Mã số nhân viên'!B134:I191,8,0)</f>
        <v>04085</v>
      </c>
      <c r="D152" s="1121" t="s">
        <v>535</v>
      </c>
      <c r="E152" s="123"/>
      <c r="F152" s="987" t="s">
        <v>50</v>
      </c>
      <c r="G152" s="987" t="s">
        <v>50</v>
      </c>
      <c r="H152" s="987" t="s">
        <v>50</v>
      </c>
      <c r="I152" s="987" t="s">
        <v>50</v>
      </c>
      <c r="J152" s="987" t="s">
        <v>50</v>
      </c>
      <c r="K152" s="987" t="s">
        <v>50</v>
      </c>
      <c r="L152" s="987" t="s">
        <v>110</v>
      </c>
      <c r="M152" s="987" t="s">
        <v>50</v>
      </c>
      <c r="N152" s="987" t="s">
        <v>50</v>
      </c>
      <c r="O152" s="987" t="s">
        <v>50</v>
      </c>
      <c r="P152" s="987" t="s">
        <v>50</v>
      </c>
      <c r="Q152" s="987" t="s">
        <v>785</v>
      </c>
      <c r="R152" s="987" t="s">
        <v>50</v>
      </c>
      <c r="S152" s="987" t="s">
        <v>110</v>
      </c>
      <c r="T152" s="987" t="s">
        <v>50</v>
      </c>
      <c r="U152" s="987" t="s">
        <v>50</v>
      </c>
      <c r="V152" s="987" t="s">
        <v>50</v>
      </c>
      <c r="W152" s="987" t="s">
        <v>50</v>
      </c>
      <c r="X152" s="987" t="s">
        <v>50</v>
      </c>
      <c r="Y152" s="987" t="s">
        <v>785</v>
      </c>
      <c r="Z152" s="987" t="s">
        <v>110</v>
      </c>
      <c r="AA152" s="987" t="s">
        <v>50</v>
      </c>
      <c r="AB152" s="987" t="s">
        <v>50</v>
      </c>
      <c r="AC152" s="987" t="s">
        <v>50</v>
      </c>
      <c r="AD152" s="987" t="s">
        <v>50</v>
      </c>
      <c r="AE152" s="987" t="s">
        <v>50</v>
      </c>
      <c r="AF152" s="987" t="s">
        <v>50</v>
      </c>
      <c r="AG152" s="987" t="s">
        <v>110</v>
      </c>
      <c r="AH152" s="987" t="s">
        <v>50</v>
      </c>
      <c r="AI152" s="987" t="s">
        <v>50</v>
      </c>
      <c r="AJ152" s="988"/>
      <c r="AK152" s="976">
        <f t="shared" si="24"/>
        <v>24</v>
      </c>
      <c r="AL152" s="977">
        <f t="shared" si="25"/>
        <v>4</v>
      </c>
      <c r="AM152" s="976">
        <f t="shared" si="26"/>
        <v>2</v>
      </c>
      <c r="AN152" s="976">
        <f t="shared" si="27"/>
        <v>0</v>
      </c>
      <c r="AO152" s="976">
        <f t="shared" si="28"/>
        <v>0</v>
      </c>
      <c r="AP152" s="977">
        <f t="shared" si="29"/>
        <v>0</v>
      </c>
      <c r="AQ152" s="978">
        <f t="shared" si="30"/>
        <v>30</v>
      </c>
      <c r="AR152" s="979"/>
      <c r="AS152" s="150" t="str">
        <f>'Mã số nhân viên'!I134</f>
        <v>04085</v>
      </c>
      <c r="AT152" s="989">
        <f t="shared" si="31"/>
        <v>0</v>
      </c>
    </row>
    <row r="153" spans="1:50" ht="24.75" customHeight="1">
      <c r="A153" s="636">
        <v>136</v>
      </c>
      <c r="B153" s="986">
        <v>59</v>
      </c>
      <c r="C153" s="986"/>
      <c r="D153" s="1122" t="s">
        <v>276</v>
      </c>
      <c r="E153" s="123"/>
      <c r="F153" s="987" t="s">
        <v>50</v>
      </c>
      <c r="G153" s="987" t="s">
        <v>50</v>
      </c>
      <c r="H153" s="987" t="s">
        <v>50</v>
      </c>
      <c r="I153" s="987" t="s">
        <v>50</v>
      </c>
      <c r="J153" s="987"/>
      <c r="K153" s="987"/>
      <c r="L153" s="987" t="s">
        <v>110</v>
      </c>
      <c r="M153" s="987" t="s">
        <v>50</v>
      </c>
      <c r="N153" s="987"/>
      <c r="O153" s="987"/>
      <c r="P153" s="987" t="s">
        <v>50</v>
      </c>
      <c r="Q153" s="987"/>
      <c r="R153" s="987"/>
      <c r="S153" s="987" t="s">
        <v>110</v>
      </c>
      <c r="T153" s="987" t="s">
        <v>50</v>
      </c>
      <c r="U153" s="987"/>
      <c r="V153" s="987"/>
      <c r="W153" s="987"/>
      <c r="X153" s="987"/>
      <c r="Y153" s="987"/>
      <c r="Z153" s="987" t="s">
        <v>110</v>
      </c>
      <c r="AA153" s="987"/>
      <c r="AB153" s="987"/>
      <c r="AC153" s="987"/>
      <c r="AD153" s="987" t="s">
        <v>50</v>
      </c>
      <c r="AE153" s="987" t="s">
        <v>50</v>
      </c>
      <c r="AF153" s="987"/>
      <c r="AG153" s="987"/>
      <c r="AH153" s="988" t="s">
        <v>50</v>
      </c>
      <c r="AI153" s="988" t="s">
        <v>50</v>
      </c>
      <c r="AJ153" s="988"/>
      <c r="AK153" s="976">
        <f t="shared" si="24"/>
        <v>11</v>
      </c>
      <c r="AL153" s="977">
        <f t="shared" si="25"/>
        <v>3</v>
      </c>
      <c r="AM153" s="976">
        <f t="shared" si="26"/>
        <v>0</v>
      </c>
      <c r="AN153" s="976">
        <f t="shared" si="27"/>
        <v>0</v>
      </c>
      <c r="AO153" s="976">
        <f t="shared" si="28"/>
        <v>0</v>
      </c>
      <c r="AP153" s="977">
        <f t="shared" si="29"/>
        <v>0</v>
      </c>
      <c r="AQ153" s="978">
        <f t="shared" si="30"/>
        <v>14</v>
      </c>
      <c r="AR153" s="979"/>
      <c r="AS153" s="150">
        <f>'Mã số nhân viên'!I135</f>
        <v>0</v>
      </c>
      <c r="AT153" s="989">
        <f t="shared" si="31"/>
        <v>0</v>
      </c>
    </row>
    <row r="154" spans="1:50" ht="24.75" customHeight="1">
      <c r="A154" s="636">
        <v>137</v>
      </c>
      <c r="B154" s="986">
        <v>60</v>
      </c>
      <c r="C154" s="986"/>
      <c r="D154" s="1123" t="s">
        <v>338</v>
      </c>
      <c r="E154" s="123"/>
      <c r="F154" s="987" t="s">
        <v>50</v>
      </c>
      <c r="G154" s="987"/>
      <c r="H154" s="987" t="s">
        <v>50</v>
      </c>
      <c r="I154" s="987" t="s">
        <v>50</v>
      </c>
      <c r="J154" s="987"/>
      <c r="K154" s="987"/>
      <c r="L154" s="987" t="s">
        <v>110</v>
      </c>
      <c r="M154" s="987"/>
      <c r="N154" s="987"/>
      <c r="O154" s="987"/>
      <c r="P154" s="987" t="s">
        <v>50</v>
      </c>
      <c r="Q154" s="987"/>
      <c r="R154" s="987"/>
      <c r="S154" s="987" t="s">
        <v>110</v>
      </c>
      <c r="T154" s="987" t="s">
        <v>50</v>
      </c>
      <c r="U154" s="987"/>
      <c r="V154" s="987"/>
      <c r="W154" s="987"/>
      <c r="X154" s="987"/>
      <c r="Y154" s="987"/>
      <c r="Z154" s="987" t="s">
        <v>110</v>
      </c>
      <c r="AA154" s="987"/>
      <c r="AB154" s="987"/>
      <c r="AC154" s="987"/>
      <c r="AD154" s="987" t="s">
        <v>50</v>
      </c>
      <c r="AE154" s="987" t="s">
        <v>50</v>
      </c>
      <c r="AF154" s="987"/>
      <c r="AG154" s="987"/>
      <c r="AH154" s="988" t="s">
        <v>50</v>
      </c>
      <c r="AI154" s="988" t="s">
        <v>50</v>
      </c>
      <c r="AJ154" s="988"/>
      <c r="AK154" s="976">
        <f t="shared" si="24"/>
        <v>9</v>
      </c>
      <c r="AL154" s="977">
        <f t="shared" si="25"/>
        <v>3</v>
      </c>
      <c r="AM154" s="976">
        <f t="shared" si="26"/>
        <v>0</v>
      </c>
      <c r="AN154" s="976">
        <f t="shared" si="27"/>
        <v>0</v>
      </c>
      <c r="AO154" s="976">
        <f t="shared" si="28"/>
        <v>0</v>
      </c>
      <c r="AP154" s="977">
        <f t="shared" si="29"/>
        <v>0</v>
      </c>
      <c r="AQ154" s="978">
        <f t="shared" si="30"/>
        <v>12</v>
      </c>
      <c r="AR154" s="979"/>
      <c r="AS154" s="150">
        <f>'Mã số nhân viên'!I136</f>
        <v>0</v>
      </c>
      <c r="AT154" s="989">
        <f t="shared" si="31"/>
        <v>0</v>
      </c>
    </row>
    <row r="155" spans="1:50" ht="24.75" customHeight="1">
      <c r="A155" s="636">
        <v>138</v>
      </c>
      <c r="B155" s="986">
        <v>61</v>
      </c>
      <c r="C155" s="986"/>
      <c r="D155" s="1124" t="s">
        <v>348</v>
      </c>
      <c r="E155" s="123"/>
      <c r="F155" s="987" t="s">
        <v>50</v>
      </c>
      <c r="G155" s="987"/>
      <c r="H155" s="987" t="s">
        <v>50</v>
      </c>
      <c r="I155" s="987"/>
      <c r="J155" s="987"/>
      <c r="K155" s="987"/>
      <c r="L155" s="987" t="s">
        <v>110</v>
      </c>
      <c r="M155" s="987"/>
      <c r="N155" s="987"/>
      <c r="O155" s="987"/>
      <c r="P155" s="987" t="s">
        <v>50</v>
      </c>
      <c r="Q155" s="987"/>
      <c r="R155" s="987"/>
      <c r="S155" s="987" t="s">
        <v>110</v>
      </c>
      <c r="T155" s="987"/>
      <c r="U155" s="987"/>
      <c r="V155" s="987"/>
      <c r="W155" s="987"/>
      <c r="X155" s="987"/>
      <c r="Y155" s="987"/>
      <c r="Z155" s="987" t="s">
        <v>110</v>
      </c>
      <c r="AA155" s="987"/>
      <c r="AB155" s="987"/>
      <c r="AC155" s="987"/>
      <c r="AD155" s="987"/>
      <c r="AE155" s="987" t="s">
        <v>50</v>
      </c>
      <c r="AF155" s="987"/>
      <c r="AG155" s="987"/>
      <c r="AH155" s="988"/>
      <c r="AI155" s="988"/>
      <c r="AJ155" s="988"/>
      <c r="AK155" s="976">
        <f t="shared" si="24"/>
        <v>4</v>
      </c>
      <c r="AL155" s="977">
        <f t="shared" si="25"/>
        <v>3</v>
      </c>
      <c r="AM155" s="976">
        <f t="shared" si="26"/>
        <v>0</v>
      </c>
      <c r="AN155" s="976">
        <f t="shared" si="27"/>
        <v>0</v>
      </c>
      <c r="AO155" s="976">
        <f t="shared" si="28"/>
        <v>0</v>
      </c>
      <c r="AP155" s="977">
        <f t="shared" si="29"/>
        <v>0</v>
      </c>
      <c r="AQ155" s="978">
        <f t="shared" si="30"/>
        <v>7</v>
      </c>
      <c r="AR155" s="979"/>
      <c r="AS155" s="150">
        <f>'Mã số nhân viên'!I137</f>
        <v>0</v>
      </c>
      <c r="AT155" s="989">
        <f t="shared" si="31"/>
        <v>0</v>
      </c>
    </row>
    <row r="156" spans="1:50" ht="24.75" customHeight="1">
      <c r="A156" s="636">
        <v>139</v>
      </c>
      <c r="B156" s="986">
        <v>62</v>
      </c>
      <c r="C156" s="986"/>
      <c r="D156" s="1124" t="s">
        <v>349</v>
      </c>
      <c r="E156" s="123"/>
      <c r="F156" s="987" t="s">
        <v>50</v>
      </c>
      <c r="G156" s="987"/>
      <c r="H156" s="987" t="s">
        <v>50</v>
      </c>
      <c r="I156" s="987"/>
      <c r="J156" s="987"/>
      <c r="K156" s="987"/>
      <c r="L156" s="987" t="s">
        <v>110</v>
      </c>
      <c r="M156" s="987"/>
      <c r="N156" s="987"/>
      <c r="O156" s="987"/>
      <c r="P156" s="987"/>
      <c r="Q156" s="987"/>
      <c r="R156" s="987"/>
      <c r="S156" s="987"/>
      <c r="T156" s="987"/>
      <c r="U156" s="987"/>
      <c r="V156" s="987"/>
      <c r="W156" s="987"/>
      <c r="X156" s="987"/>
      <c r="Y156" s="987"/>
      <c r="Z156" s="987"/>
      <c r="AA156" s="987"/>
      <c r="AB156" s="987"/>
      <c r="AC156" s="987"/>
      <c r="AD156" s="987"/>
      <c r="AE156" s="987" t="s">
        <v>50</v>
      </c>
      <c r="AF156" s="987"/>
      <c r="AG156" s="987"/>
      <c r="AH156" s="988"/>
      <c r="AI156" s="988"/>
      <c r="AJ156" s="988"/>
      <c r="AK156" s="976">
        <f t="shared" si="24"/>
        <v>3</v>
      </c>
      <c r="AL156" s="977">
        <f t="shared" si="25"/>
        <v>1</v>
      </c>
      <c r="AM156" s="976">
        <f t="shared" si="26"/>
        <v>0</v>
      </c>
      <c r="AN156" s="976">
        <f t="shared" si="27"/>
        <v>0</v>
      </c>
      <c r="AO156" s="976">
        <f t="shared" si="28"/>
        <v>0</v>
      </c>
      <c r="AP156" s="977">
        <f t="shared" si="29"/>
        <v>0</v>
      </c>
      <c r="AQ156" s="978">
        <f t="shared" si="30"/>
        <v>4</v>
      </c>
      <c r="AR156" s="979"/>
      <c r="AS156" s="150">
        <f>'Mã số nhân viên'!I138</f>
        <v>0</v>
      </c>
      <c r="AT156" s="989">
        <f t="shared" si="31"/>
        <v>0</v>
      </c>
    </row>
    <row r="157" spans="1:50" ht="24.75" customHeight="1">
      <c r="A157" s="1348" t="s">
        <v>55</v>
      </c>
      <c r="B157" s="1348"/>
      <c r="C157" s="1348"/>
      <c r="D157" s="1348"/>
      <c r="E157" s="1348"/>
      <c r="F157" s="990">
        <f t="shared" ref="F157:AJ157" si="32">F94+F12</f>
        <v>131</v>
      </c>
      <c r="G157" s="990">
        <f t="shared" si="32"/>
        <v>131</v>
      </c>
      <c r="H157" s="990">
        <f t="shared" si="32"/>
        <v>131</v>
      </c>
      <c r="I157" s="990">
        <f t="shared" si="32"/>
        <v>130</v>
      </c>
      <c r="J157" s="990">
        <f t="shared" si="32"/>
        <v>131</v>
      </c>
      <c r="K157" s="990">
        <f t="shared" si="32"/>
        <v>131</v>
      </c>
      <c r="L157" s="990">
        <f t="shared" si="32"/>
        <v>131</v>
      </c>
      <c r="M157" s="990">
        <f t="shared" si="32"/>
        <v>131</v>
      </c>
      <c r="N157" s="990">
        <f t="shared" si="32"/>
        <v>131</v>
      </c>
      <c r="O157" s="990">
        <f t="shared" si="32"/>
        <v>131</v>
      </c>
      <c r="P157" s="990">
        <f t="shared" si="32"/>
        <v>131</v>
      </c>
      <c r="Q157" s="990">
        <f t="shared" si="32"/>
        <v>131</v>
      </c>
      <c r="R157" s="990">
        <f t="shared" si="32"/>
        <v>131</v>
      </c>
      <c r="S157" s="990">
        <f t="shared" si="32"/>
        <v>131</v>
      </c>
      <c r="T157" s="990">
        <f t="shared" si="32"/>
        <v>131</v>
      </c>
      <c r="U157" s="990">
        <f t="shared" si="32"/>
        <v>131</v>
      </c>
      <c r="V157" s="990">
        <f t="shared" si="32"/>
        <v>131</v>
      </c>
      <c r="W157" s="990">
        <f t="shared" si="32"/>
        <v>132</v>
      </c>
      <c r="X157" s="990">
        <f t="shared" si="32"/>
        <v>132</v>
      </c>
      <c r="Y157" s="990">
        <f t="shared" si="32"/>
        <v>131</v>
      </c>
      <c r="Z157" s="990">
        <f t="shared" si="32"/>
        <v>131</v>
      </c>
      <c r="AA157" s="990">
        <f t="shared" si="32"/>
        <v>131</v>
      </c>
      <c r="AB157" s="990">
        <f t="shared" si="32"/>
        <v>131</v>
      </c>
      <c r="AC157" s="990">
        <f t="shared" si="32"/>
        <v>131</v>
      </c>
      <c r="AD157" s="990">
        <f t="shared" si="32"/>
        <v>127</v>
      </c>
      <c r="AE157" s="990">
        <f t="shared" si="32"/>
        <v>118</v>
      </c>
      <c r="AF157" s="990">
        <f t="shared" si="32"/>
        <v>114</v>
      </c>
      <c r="AG157" s="990">
        <f t="shared" si="32"/>
        <v>126</v>
      </c>
      <c r="AH157" s="990">
        <f t="shared" si="32"/>
        <v>130</v>
      </c>
      <c r="AI157" s="990">
        <f t="shared" si="32"/>
        <v>130</v>
      </c>
      <c r="AJ157" s="990">
        <f t="shared" si="32"/>
        <v>0</v>
      </c>
      <c r="AK157" s="991">
        <f>SUM(AK12+AK94)</f>
        <v>3255</v>
      </c>
      <c r="AL157" s="991">
        <f t="shared" ref="AL157:AQ157" si="33">SUM(AL12+AL94)</f>
        <v>373</v>
      </c>
      <c r="AM157" s="991">
        <f t="shared" si="33"/>
        <v>116</v>
      </c>
      <c r="AN157" s="991">
        <f t="shared" si="33"/>
        <v>146</v>
      </c>
      <c r="AO157" s="991">
        <f t="shared" si="33"/>
        <v>0</v>
      </c>
      <c r="AP157" s="991">
        <f t="shared" si="33"/>
        <v>0</v>
      </c>
      <c r="AQ157" s="991">
        <f t="shared" si="33"/>
        <v>3890</v>
      </c>
    </row>
    <row r="158" spans="1:50" ht="16.5">
      <c r="B158" s="148"/>
      <c r="C158" s="1346" t="s">
        <v>428</v>
      </c>
      <c r="D158" s="1346"/>
      <c r="E158" s="28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345"/>
      <c r="Z158" s="1345"/>
      <c r="AA158" s="1345"/>
      <c r="AB158" s="1345"/>
      <c r="AC158" s="1345"/>
      <c r="AD158" s="1345"/>
      <c r="AE158" s="1345"/>
      <c r="AF158" s="1345"/>
      <c r="AG158" s="1345"/>
      <c r="AH158" s="1345"/>
      <c r="AI158" s="1345"/>
      <c r="AJ158" s="1345"/>
      <c r="AK158" s="1345"/>
      <c r="AL158" s="1345"/>
      <c r="AM158" s="1345"/>
      <c r="AN158" s="1345"/>
      <c r="AO158" s="1345"/>
      <c r="AP158" s="1345"/>
      <c r="AQ158" s="1345"/>
      <c r="AX158" s="966">
        <f t="shared" ref="AX158" si="34">SUM(AT158:AW158)</f>
        <v>0</v>
      </c>
    </row>
    <row r="159" spans="1:50" ht="16.5">
      <c r="B159" s="148"/>
      <c r="C159" s="992" t="s">
        <v>429</v>
      </c>
      <c r="D159" s="993"/>
      <c r="E159" s="28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964"/>
      <c r="Z159" s="964"/>
      <c r="AA159" s="964"/>
      <c r="AB159" s="964"/>
      <c r="AC159" s="964"/>
      <c r="AD159" s="964"/>
      <c r="AE159" s="964"/>
      <c r="AF159" s="964"/>
      <c r="AG159" s="964"/>
      <c r="AH159" s="964"/>
      <c r="AI159" s="964"/>
      <c r="AJ159" s="964"/>
      <c r="AK159" s="964"/>
      <c r="AL159" s="964"/>
      <c r="AM159" s="964"/>
      <c r="AN159" s="964"/>
      <c r="AO159" s="964"/>
      <c r="AP159" s="964"/>
      <c r="AQ159" s="964"/>
    </row>
    <row r="160" spans="1:50" ht="16.5">
      <c r="B160" s="148"/>
      <c r="C160" s="992" t="s">
        <v>430</v>
      </c>
      <c r="D160" s="993"/>
      <c r="E160" s="28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964"/>
      <c r="Z160" s="964"/>
      <c r="AA160" s="964"/>
      <c r="AB160" s="964"/>
      <c r="AC160" s="964"/>
      <c r="AD160" s="964"/>
      <c r="AE160" s="964"/>
      <c r="AF160" s="964"/>
      <c r="AG160" s="964"/>
      <c r="AH160" s="964"/>
      <c r="AI160" s="964"/>
      <c r="AJ160" s="964"/>
      <c r="AK160" s="964"/>
      <c r="AL160" s="964"/>
      <c r="AM160" s="964"/>
      <c r="AN160" s="964"/>
      <c r="AO160" s="964"/>
      <c r="AP160" s="964"/>
      <c r="AQ160" s="964"/>
    </row>
    <row r="161" spans="1:45" ht="16.5">
      <c r="B161" s="148"/>
      <c r="C161" s="992" t="s">
        <v>788</v>
      </c>
      <c r="D161" s="702"/>
      <c r="E161" s="28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345" t="s">
        <v>809</v>
      </c>
      <c r="Z161" s="1345"/>
      <c r="AA161" s="1345"/>
      <c r="AB161" s="1345"/>
      <c r="AC161" s="1345"/>
      <c r="AD161" s="1345"/>
      <c r="AE161" s="1345"/>
      <c r="AF161" s="1345"/>
      <c r="AG161" s="1345"/>
      <c r="AH161" s="1345"/>
      <c r="AI161" s="1345"/>
      <c r="AJ161" s="1345"/>
      <c r="AK161" s="1345"/>
      <c r="AL161" s="1345"/>
      <c r="AM161" s="1345"/>
      <c r="AN161" s="1345"/>
      <c r="AO161" s="1345"/>
      <c r="AP161" s="1345"/>
      <c r="AQ161" s="1345"/>
    </row>
    <row r="162" spans="1:45" ht="16.5">
      <c r="B162" s="148"/>
      <c r="C162" s="992" t="s">
        <v>435</v>
      </c>
      <c r="D162" s="702"/>
      <c r="E162" s="28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964"/>
      <c r="Z162" s="964"/>
      <c r="AA162" s="964"/>
      <c r="AB162" s="964"/>
      <c r="AC162" s="964"/>
      <c r="AD162" s="964"/>
      <c r="AE162" s="964"/>
      <c r="AF162" s="964"/>
      <c r="AG162" s="964"/>
      <c r="AH162" s="964"/>
      <c r="AI162" s="964"/>
      <c r="AJ162" s="964"/>
      <c r="AK162" s="964"/>
      <c r="AL162" s="964"/>
      <c r="AM162" s="964"/>
      <c r="AN162" s="964"/>
      <c r="AO162" s="964"/>
      <c r="AP162" s="964"/>
      <c r="AQ162" s="964"/>
    </row>
    <row r="163" spans="1:45" ht="16.5">
      <c r="A163" s="1347" t="s">
        <v>777</v>
      </c>
      <c r="B163" s="1347"/>
      <c r="C163" s="1347"/>
      <c r="D163" s="1347"/>
      <c r="E163" s="1347"/>
      <c r="F163" s="1347"/>
      <c r="G163" s="1347"/>
      <c r="H163" s="1347"/>
      <c r="I163" s="1347"/>
      <c r="J163" s="1347"/>
      <c r="K163" s="1347"/>
      <c r="L163" s="1347"/>
      <c r="M163" s="1347"/>
      <c r="N163" s="1347"/>
      <c r="O163" s="1347"/>
      <c r="P163" s="1347"/>
      <c r="Q163" s="1347"/>
      <c r="R163" s="1347"/>
      <c r="S163" s="1347"/>
      <c r="T163" s="1347"/>
      <c r="U163" s="1347"/>
      <c r="V163" s="1347"/>
      <c r="W163" s="1347"/>
      <c r="X163" s="1347"/>
      <c r="Y163" s="1347"/>
      <c r="Z163" s="1347"/>
      <c r="AA163" s="1347"/>
      <c r="AB163" s="1347"/>
      <c r="AC163" s="1347"/>
      <c r="AD163" s="1347"/>
      <c r="AE163" s="1347"/>
      <c r="AF163" s="1347"/>
      <c r="AG163" s="1347"/>
      <c r="AH163" s="1347"/>
      <c r="AI163" s="1347"/>
      <c r="AJ163" s="1347"/>
      <c r="AK163" s="1347"/>
      <c r="AL163" s="1347"/>
      <c r="AM163" s="1347"/>
      <c r="AN163" s="1347"/>
      <c r="AO163" s="1347"/>
      <c r="AP163" s="1347"/>
      <c r="AQ163" s="1347"/>
    </row>
    <row r="164" spans="1:45" ht="16.5">
      <c r="B164" s="148"/>
      <c r="C164" s="148"/>
      <c r="D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  <c r="AA164" s="150"/>
      <c r="AB164" s="150"/>
      <c r="AC164" s="150"/>
      <c r="AD164" s="150"/>
      <c r="AE164" s="150"/>
      <c r="AF164" s="150"/>
      <c r="AG164" s="150"/>
      <c r="AH164" s="150"/>
      <c r="AI164" s="150"/>
      <c r="AJ164" s="150"/>
      <c r="AK164" s="150"/>
      <c r="AL164" s="150"/>
      <c r="AM164" s="150"/>
      <c r="AN164" s="150"/>
      <c r="AO164" s="150"/>
      <c r="AP164" s="150"/>
      <c r="AQ164" s="152"/>
    </row>
    <row r="165" spans="1:45" ht="15.75" customHeight="1">
      <c r="D165" s="150"/>
      <c r="F165" s="150"/>
      <c r="G165" s="150"/>
      <c r="H165" s="150"/>
      <c r="I165" s="150"/>
      <c r="J165" s="153"/>
      <c r="K165" s="153"/>
      <c r="L165" s="150"/>
      <c r="M165" s="150"/>
      <c r="N165" s="153"/>
      <c r="O165" s="153"/>
      <c r="P165" s="150"/>
      <c r="Q165" s="150"/>
      <c r="R165" s="153"/>
      <c r="S165" s="150"/>
      <c r="T165" s="150"/>
      <c r="U165" s="152"/>
      <c r="V165" s="150"/>
      <c r="W165" s="150"/>
      <c r="X165" s="150"/>
      <c r="Y165" s="150"/>
      <c r="Z165" s="150"/>
      <c r="AA165" s="150"/>
      <c r="AB165" s="150"/>
      <c r="AC165" s="150"/>
      <c r="AD165" s="150"/>
      <c r="AE165" s="150"/>
      <c r="AF165" s="150"/>
      <c r="AG165" s="150"/>
      <c r="AH165" s="150"/>
      <c r="AI165" s="150"/>
      <c r="AJ165" s="150"/>
      <c r="AK165" s="150"/>
      <c r="AL165" s="150"/>
      <c r="AM165" s="150"/>
      <c r="AN165" s="150"/>
      <c r="AO165" s="150"/>
      <c r="AP165" s="150"/>
      <c r="AQ165" s="150"/>
      <c r="AS165" s="994"/>
    </row>
    <row r="166" spans="1:45" ht="16.5">
      <c r="D166" s="150"/>
      <c r="F166" s="150"/>
      <c r="G166" s="150"/>
      <c r="H166" s="150"/>
      <c r="I166" s="150"/>
      <c r="J166" s="153"/>
      <c r="K166" s="153"/>
      <c r="L166" s="153"/>
      <c r="M166" s="150"/>
      <c r="N166" s="150"/>
      <c r="O166" s="150"/>
      <c r="P166" s="150"/>
      <c r="Q166" s="150"/>
      <c r="R166" s="153"/>
      <c r="S166" s="150"/>
      <c r="T166" s="150"/>
      <c r="U166" s="152"/>
      <c r="V166" s="150"/>
      <c r="W166" s="150"/>
      <c r="X166" s="150"/>
      <c r="Y166" s="150"/>
      <c r="Z166" s="150"/>
      <c r="AA166" s="150"/>
      <c r="AB166" s="150"/>
      <c r="AC166" s="150"/>
      <c r="AD166" s="150"/>
      <c r="AE166" s="150"/>
      <c r="AF166" s="150"/>
      <c r="AG166" s="150"/>
      <c r="AH166" s="150"/>
      <c r="AI166" s="150"/>
      <c r="AJ166" s="150"/>
      <c r="AK166" s="150"/>
      <c r="AL166" s="150"/>
      <c r="AM166" s="150"/>
      <c r="AN166" s="150"/>
      <c r="AO166" s="150"/>
      <c r="AP166" s="150"/>
      <c r="AQ166" s="150"/>
    </row>
    <row r="167" spans="1:45" ht="16.5">
      <c r="D167" s="150"/>
      <c r="E167" s="150"/>
      <c r="F167" s="150"/>
      <c r="G167" s="150"/>
      <c r="H167" s="150"/>
      <c r="I167" s="150"/>
      <c r="J167" s="153"/>
      <c r="K167" s="153"/>
      <c r="L167" s="153"/>
      <c r="M167" s="150"/>
      <c r="N167" s="150"/>
      <c r="O167" s="150"/>
      <c r="P167" s="150"/>
      <c r="Q167" s="150"/>
      <c r="R167" s="150"/>
      <c r="S167" s="150"/>
      <c r="T167" s="150"/>
      <c r="U167" s="152"/>
      <c r="V167" s="150"/>
      <c r="W167" s="150"/>
      <c r="X167" s="150"/>
      <c r="Y167" s="150"/>
      <c r="Z167" s="150"/>
      <c r="AA167" s="150"/>
      <c r="AB167" s="150"/>
      <c r="AC167" s="150"/>
      <c r="AD167" s="150"/>
      <c r="AF167" s="150"/>
      <c r="AQ167" s="150"/>
    </row>
    <row r="168" spans="1:45">
      <c r="J168" s="149"/>
      <c r="K168" s="149"/>
      <c r="L168" s="149"/>
      <c r="M168" s="148"/>
      <c r="N168" s="148"/>
      <c r="O168" s="148"/>
      <c r="P168" s="148"/>
      <c r="Q168" s="148"/>
      <c r="U168" s="995"/>
    </row>
    <row r="169" spans="1:45" ht="16.5">
      <c r="AG169" s="150"/>
      <c r="AH169" s="150"/>
      <c r="AI169" s="150"/>
      <c r="AJ169" s="150"/>
      <c r="AK169" s="150"/>
      <c r="AL169" s="150"/>
      <c r="AM169" s="150"/>
      <c r="AN169" s="150"/>
      <c r="AO169" s="150"/>
      <c r="AP169" s="150"/>
      <c r="AQ169" s="150"/>
    </row>
    <row r="172" spans="1:45" ht="16.5">
      <c r="B172" s="1344"/>
      <c r="C172" s="1344"/>
      <c r="D172" s="1344"/>
    </row>
    <row r="173" spans="1:45" ht="16.5">
      <c r="B173" s="637"/>
      <c r="C173" s="637"/>
      <c r="D173" s="637"/>
    </row>
    <row r="174" spans="1:45" ht="16.5">
      <c r="B174" s="637"/>
      <c r="C174" s="637"/>
      <c r="D174" s="637"/>
    </row>
    <row r="175" spans="1:45" ht="16.5">
      <c r="B175" s="637"/>
      <c r="C175" s="637"/>
      <c r="D175" s="637"/>
    </row>
    <row r="176" spans="1:45" ht="16.5">
      <c r="B176" s="637"/>
      <c r="C176" s="637"/>
      <c r="D176" s="637"/>
    </row>
    <row r="177" spans="2:37" ht="16.5">
      <c r="B177" s="637"/>
      <c r="C177" s="637"/>
      <c r="D177" s="637"/>
    </row>
    <row r="178" spans="2:37" ht="16.5">
      <c r="B178" s="637"/>
      <c r="C178" s="637"/>
      <c r="D178" s="637"/>
    </row>
    <row r="179" spans="2:37" ht="16.5">
      <c r="B179" s="637"/>
      <c r="C179" s="637"/>
      <c r="D179" s="637"/>
    </row>
    <row r="180" spans="2:37" ht="16.5">
      <c r="B180" s="150"/>
      <c r="C180" s="150"/>
      <c r="D180" s="1346" t="s">
        <v>428</v>
      </c>
      <c r="E180" s="1346"/>
      <c r="F180" s="993"/>
      <c r="G180" s="993"/>
      <c r="H180" s="993"/>
      <c r="I180" s="993"/>
      <c r="J180" s="996"/>
      <c r="K180" s="150"/>
      <c r="L180" s="1344"/>
      <c r="M180" s="1344"/>
      <c r="N180" s="1344"/>
      <c r="O180" s="1344"/>
      <c r="P180" s="1344"/>
      <c r="Q180" s="1344"/>
    </row>
    <row r="181" spans="2:37" ht="16.5">
      <c r="B181" s="419"/>
      <c r="C181" s="419"/>
      <c r="D181" s="992" t="s">
        <v>429</v>
      </c>
      <c r="E181" s="993"/>
      <c r="F181" s="993"/>
      <c r="G181" s="993"/>
      <c r="H181" s="993"/>
      <c r="I181" s="993"/>
      <c r="J181" s="996"/>
      <c r="K181" s="150"/>
      <c r="L181" s="1344"/>
      <c r="M181" s="1344"/>
      <c r="N181" s="1344"/>
      <c r="O181" s="1344"/>
      <c r="P181" s="1344"/>
      <c r="Q181" s="1344"/>
    </row>
    <row r="182" spans="2:37" ht="16.5">
      <c r="B182" s="419"/>
      <c r="C182" s="419"/>
      <c r="D182" s="992" t="s">
        <v>430</v>
      </c>
      <c r="E182" s="993"/>
      <c r="F182" s="993"/>
      <c r="G182" s="993"/>
      <c r="H182" s="993"/>
      <c r="I182" s="993"/>
      <c r="J182" s="996"/>
      <c r="K182" s="150"/>
      <c r="L182" s="637"/>
      <c r="M182" s="637"/>
      <c r="N182" s="637"/>
      <c r="O182" s="637"/>
      <c r="P182" s="637"/>
      <c r="Q182" s="637"/>
    </row>
    <row r="183" spans="2:37" ht="16.5">
      <c r="B183" s="419"/>
      <c r="C183" s="419"/>
      <c r="D183" s="992" t="s">
        <v>434</v>
      </c>
      <c r="E183" s="993"/>
      <c r="F183" s="993"/>
      <c r="G183" s="993"/>
      <c r="H183" s="993"/>
      <c r="I183" s="993"/>
      <c r="J183" s="996"/>
      <c r="K183" s="150"/>
      <c r="L183" s="1344"/>
      <c r="M183" s="1344"/>
      <c r="N183" s="1344"/>
      <c r="O183" s="1344"/>
      <c r="P183" s="1344"/>
      <c r="Q183" s="1344"/>
    </row>
    <row r="184" spans="2:37" ht="16.5">
      <c r="B184" s="419"/>
      <c r="C184" s="419"/>
      <c r="D184" s="992" t="s">
        <v>435</v>
      </c>
      <c r="E184" s="993"/>
      <c r="F184" s="993"/>
      <c r="G184" s="993"/>
      <c r="H184" s="993"/>
      <c r="I184" s="993"/>
      <c r="J184" s="996"/>
      <c r="K184" s="150"/>
      <c r="L184" s="637"/>
      <c r="M184" s="637"/>
      <c r="N184" s="637"/>
      <c r="O184" s="637"/>
      <c r="P184" s="637"/>
      <c r="Q184" s="637"/>
    </row>
    <row r="185" spans="2:37" ht="16.5">
      <c r="B185" s="419"/>
      <c r="C185" s="419"/>
      <c r="D185" s="992" t="s">
        <v>436</v>
      </c>
      <c r="E185" s="993"/>
      <c r="F185" s="993"/>
      <c r="G185" s="993"/>
      <c r="H185" s="993"/>
      <c r="I185" s="993"/>
      <c r="J185" s="996"/>
      <c r="K185" s="150"/>
      <c r="L185" s="1344"/>
      <c r="M185" s="1344"/>
      <c r="N185" s="1344"/>
      <c r="O185" s="1344"/>
      <c r="P185" s="1344"/>
      <c r="Q185" s="1344"/>
    </row>
    <row r="186" spans="2:37" ht="16.5">
      <c r="B186" s="150"/>
      <c r="C186" s="150"/>
      <c r="D186" s="992" t="s">
        <v>437</v>
      </c>
      <c r="E186" s="993"/>
      <c r="F186" s="993"/>
      <c r="G186" s="993"/>
      <c r="H186" s="993"/>
      <c r="I186" s="993"/>
    </row>
    <row r="187" spans="2:37" ht="16.5">
      <c r="B187" s="419"/>
      <c r="C187" s="419"/>
      <c r="D187" s="1344"/>
      <c r="E187" s="1344"/>
      <c r="F187" s="1344"/>
      <c r="G187" s="1344"/>
      <c r="H187" s="1344"/>
      <c r="I187" s="1344"/>
    </row>
    <row r="188" spans="2:37" ht="16.5">
      <c r="B188" s="419"/>
      <c r="C188" s="419"/>
      <c r="D188" s="1344"/>
      <c r="E188" s="1344"/>
      <c r="F188" s="1344"/>
      <c r="G188" s="1344"/>
      <c r="H188" s="1344"/>
      <c r="I188" s="1344"/>
    </row>
    <row r="189" spans="2:37" ht="16.5">
      <c r="B189" s="419"/>
      <c r="C189" s="419"/>
      <c r="D189" s="1344"/>
      <c r="E189" s="1344"/>
      <c r="F189" s="1344"/>
      <c r="G189" s="1344"/>
      <c r="H189" s="1344"/>
      <c r="I189" s="1344"/>
      <c r="AK189" s="966" t="s">
        <v>739</v>
      </c>
    </row>
    <row r="190" spans="2:37" ht="16.5">
      <c r="B190" s="997"/>
      <c r="C190" s="997"/>
      <c r="D190" s="1344"/>
      <c r="E190" s="1344"/>
      <c r="F190" s="1344"/>
      <c r="G190" s="1344"/>
      <c r="H190" s="1344"/>
      <c r="I190" s="1344"/>
    </row>
  </sheetData>
  <mergeCells count="36">
    <mergeCell ref="B7:AQ7"/>
    <mergeCell ref="A8:AQ8"/>
    <mergeCell ref="C158:D158"/>
    <mergeCell ref="B1:AQ1"/>
    <mergeCell ref="B2:AQ2"/>
    <mergeCell ref="B3:AQ3"/>
    <mergeCell ref="B5:P5"/>
    <mergeCell ref="B6:P6"/>
    <mergeCell ref="A12:E12"/>
    <mergeCell ref="A94:E94"/>
    <mergeCell ref="A10:B11"/>
    <mergeCell ref="C10:C11"/>
    <mergeCell ref="AQ10:AQ11"/>
    <mergeCell ref="F10:AJ10"/>
    <mergeCell ref="AK10:AK11"/>
    <mergeCell ref="E10:E11"/>
    <mergeCell ref="D190:I190"/>
    <mergeCell ref="A157:E157"/>
    <mergeCell ref="D189:I189"/>
    <mergeCell ref="D187:I187"/>
    <mergeCell ref="D188:I188"/>
    <mergeCell ref="B172:D172"/>
    <mergeCell ref="L185:Q185"/>
    <mergeCell ref="Y158:AQ158"/>
    <mergeCell ref="L180:Q180"/>
    <mergeCell ref="L181:Q181"/>
    <mergeCell ref="D180:E180"/>
    <mergeCell ref="L183:Q183"/>
    <mergeCell ref="Y161:AQ161"/>
    <mergeCell ref="A163:AQ163"/>
    <mergeCell ref="D10:D11"/>
    <mergeCell ref="AM10:AM11"/>
    <mergeCell ref="AL10:AL11"/>
    <mergeCell ref="AP10:AP11"/>
    <mergeCell ref="AN10:AN11"/>
    <mergeCell ref="AO10:AO11"/>
  </mergeCells>
  <phoneticPr fontId="25" type="noConversion"/>
  <conditionalFormatting sqref="F13:AC80 F82:AC83">
    <cfRule type="containsBlanks" dxfId="189" priority="191">
      <formula>LEN(TRIM(F13))=0</formula>
    </cfRule>
    <cfRule type="containsBlanks" dxfId="188" priority="190">
      <formula>LEN(TRIM(F13))=0</formula>
    </cfRule>
  </conditionalFormatting>
  <conditionalFormatting sqref="K13:K80">
    <cfRule type="containsBlanks" dxfId="187" priority="148">
      <formula>LEN(TRIM(K13))=0</formula>
    </cfRule>
    <cfRule type="containsBlanks" dxfId="186" priority="147">
      <formula>LEN(TRIM(K13))=0</formula>
    </cfRule>
  </conditionalFormatting>
  <conditionalFormatting sqref="K25:N25">
    <cfRule type="containsBlanks" dxfId="185" priority="146">
      <formula>LEN(TRIM(K25))=0</formula>
    </cfRule>
    <cfRule type="containsBlanks" dxfId="184" priority="145">
      <formula>LEN(TRIM(K25))=0</formula>
    </cfRule>
  </conditionalFormatting>
  <conditionalFormatting sqref="K28:N80 K82:N82">
    <cfRule type="containsBlanks" dxfId="183" priority="133">
      <formula>LEN(TRIM(K28))=0</formula>
    </cfRule>
    <cfRule type="containsBlanks" dxfId="182" priority="134">
      <formula>LEN(TRIM(K28))=0</formula>
    </cfRule>
  </conditionalFormatting>
  <conditionalFormatting sqref="K56:N80 K82:N83">
    <cfRule type="containsBlanks" dxfId="181" priority="132">
      <formula>LEN(TRIM(K56))=0</formula>
    </cfRule>
    <cfRule type="containsBlanks" dxfId="180" priority="131">
      <formula>LEN(TRIM(K56))=0</formula>
    </cfRule>
  </conditionalFormatting>
  <conditionalFormatting sqref="K64:N64">
    <cfRule type="containsBlanks" dxfId="179" priority="144">
      <formula>LEN(TRIM(K64))=0</formula>
    </cfRule>
    <cfRule type="containsBlanks" dxfId="178" priority="143">
      <formula>LEN(TRIM(K64))=0</formula>
    </cfRule>
  </conditionalFormatting>
  <conditionalFormatting sqref="L13:L80">
    <cfRule type="containsBlanks" dxfId="177" priority="138">
      <formula>LEN(TRIM(L13))=0</formula>
    </cfRule>
    <cfRule type="containsBlanks" dxfId="176" priority="137">
      <formula>LEN(TRIM(L13))=0</formula>
    </cfRule>
  </conditionalFormatting>
  <conditionalFormatting sqref="M14:N80 K82:N83">
    <cfRule type="containsBlanks" dxfId="175" priority="136">
      <formula>LEN(TRIM(K14))=0</formula>
    </cfRule>
    <cfRule type="containsBlanks" dxfId="174" priority="135">
      <formula>LEN(TRIM(K14))=0</formula>
    </cfRule>
  </conditionalFormatting>
  <conditionalFormatting sqref="O25:AJ25">
    <cfRule type="containsBlanks" dxfId="173" priority="183">
      <formula>LEN(TRIM(O25))=0</formula>
    </cfRule>
    <cfRule type="containsBlanks" dxfId="172" priority="182">
      <formula>LEN(TRIM(O25))=0</formula>
    </cfRule>
  </conditionalFormatting>
  <conditionalFormatting sqref="P14:R80">
    <cfRule type="containsBlanks" dxfId="171" priority="126">
      <formula>LEN(TRIM(P14))=0</formula>
    </cfRule>
    <cfRule type="containsBlanks" dxfId="170" priority="125">
      <formula>LEN(TRIM(P14))=0</formula>
    </cfRule>
  </conditionalFormatting>
  <conditionalFormatting sqref="P28:S80 P82:S82">
    <cfRule type="containsBlanks" dxfId="169" priority="122">
      <formula>LEN(TRIM(P28))=0</formula>
    </cfRule>
    <cfRule type="containsBlanks" dxfId="168" priority="121">
      <formula>LEN(TRIM(P28))=0</formula>
    </cfRule>
  </conditionalFormatting>
  <conditionalFormatting sqref="P56:S80 P82:S83">
    <cfRule type="containsBlanks" dxfId="167" priority="119">
      <formula>LEN(TRIM(P56))=0</formula>
    </cfRule>
    <cfRule type="containsBlanks" dxfId="166" priority="120">
      <formula>LEN(TRIM(P56))=0</formula>
    </cfRule>
  </conditionalFormatting>
  <conditionalFormatting sqref="P25:AC25">
    <cfRule type="containsBlanks" dxfId="165" priority="129">
      <formula>LEN(TRIM(P25))=0</formula>
    </cfRule>
    <cfRule type="containsBlanks" dxfId="164" priority="130">
      <formula>LEN(TRIM(P25))=0</formula>
    </cfRule>
  </conditionalFormatting>
  <conditionalFormatting sqref="P64:AC64">
    <cfRule type="containsBlanks" dxfId="163" priority="128">
      <formula>LEN(TRIM(P64))=0</formula>
    </cfRule>
    <cfRule type="containsBlanks" dxfId="162" priority="127">
      <formula>LEN(TRIM(P64))=0</formula>
    </cfRule>
  </conditionalFormatting>
  <conditionalFormatting sqref="P64:AJ64">
    <cfRule type="containsBlanks" dxfId="161" priority="181">
      <formula>LEN(TRIM(P64))=0</formula>
    </cfRule>
    <cfRule type="containsBlanks" dxfId="160" priority="180">
      <formula>LEN(TRIM(P64))=0</formula>
    </cfRule>
  </conditionalFormatting>
  <conditionalFormatting sqref="R13:R80 R82:R83">
    <cfRule type="containsBlanks" dxfId="159" priority="153">
      <formula>LEN(TRIM(R13))=0</formula>
    </cfRule>
    <cfRule type="containsBlanks" dxfId="158" priority="154">
      <formula>LEN(TRIM(R13))=0</formula>
    </cfRule>
  </conditionalFormatting>
  <conditionalFormatting sqref="R28:R80 R82">
    <cfRule type="containsBlanks" dxfId="157" priority="151">
      <formula>LEN(TRIM(R28))=0</formula>
    </cfRule>
    <cfRule type="containsBlanks" dxfId="156" priority="152">
      <formula>LEN(TRIM(R28))=0</formula>
    </cfRule>
  </conditionalFormatting>
  <conditionalFormatting sqref="R56:R80 R82:R83">
    <cfRule type="containsBlanks" dxfId="155" priority="150">
      <formula>LEN(TRIM(R56))=0</formula>
    </cfRule>
    <cfRule type="containsBlanks" dxfId="154" priority="149">
      <formula>LEN(TRIM(R56))=0</formula>
    </cfRule>
  </conditionalFormatting>
  <conditionalFormatting sqref="S13:S80 P82:S83">
    <cfRule type="containsBlanks" dxfId="153" priority="124">
      <formula>LEN(TRIM(P13))=0</formula>
    </cfRule>
    <cfRule type="containsBlanks" dxfId="152" priority="123">
      <formula>LEN(TRIM(P13))=0</formula>
    </cfRule>
  </conditionalFormatting>
  <conditionalFormatting sqref="S14:S80">
    <cfRule type="containsBlanks" dxfId="151" priority="118">
      <formula>LEN(TRIM(S14))=0</formula>
    </cfRule>
    <cfRule type="containsBlanks" dxfId="150" priority="117">
      <formula>LEN(TRIM(S14))=0</formula>
    </cfRule>
  </conditionalFormatting>
  <conditionalFormatting sqref="S28:T80 S82:T82">
    <cfRule type="containsBlanks" dxfId="149" priority="113">
      <formula>LEN(TRIM(S28))=0</formula>
    </cfRule>
    <cfRule type="containsBlanks" dxfId="148" priority="114">
      <formula>LEN(TRIM(S28))=0</formula>
    </cfRule>
  </conditionalFormatting>
  <conditionalFormatting sqref="S56:T80 S82:T83">
    <cfRule type="containsBlanks" dxfId="147" priority="112">
      <formula>LEN(TRIM(S56))=0</formula>
    </cfRule>
    <cfRule type="containsBlanks" dxfId="146" priority="111">
      <formula>LEN(TRIM(S56))=0</formula>
    </cfRule>
  </conditionalFormatting>
  <conditionalFormatting sqref="T13:T80 S82:T83">
    <cfRule type="containsBlanks" dxfId="145" priority="116">
      <formula>LEN(TRIM(S13))=0</formula>
    </cfRule>
    <cfRule type="containsBlanks" dxfId="144" priority="115">
      <formula>LEN(TRIM(S13))=0</formula>
    </cfRule>
  </conditionalFormatting>
  <conditionalFormatting sqref="T14:T80">
    <cfRule type="containsBlanks" dxfId="143" priority="110">
      <formula>LEN(TRIM(T14))=0</formula>
    </cfRule>
    <cfRule type="containsBlanks" dxfId="142" priority="109">
      <formula>LEN(TRIM(T14))=0</formula>
    </cfRule>
  </conditionalFormatting>
  <conditionalFormatting sqref="T28:U80 T82:U82">
    <cfRule type="containsBlanks" dxfId="141" priority="106">
      <formula>LEN(TRIM(T28))=0</formula>
    </cfRule>
    <cfRule type="containsBlanks" dxfId="140" priority="105">
      <formula>LEN(TRIM(T28))=0</formula>
    </cfRule>
  </conditionalFormatting>
  <conditionalFormatting sqref="T56:U80 T82:U83">
    <cfRule type="containsBlanks" dxfId="139" priority="104">
      <formula>LEN(TRIM(T56))=0</formula>
    </cfRule>
    <cfRule type="containsBlanks" dxfId="138" priority="103">
      <formula>LEN(TRIM(T56))=0</formula>
    </cfRule>
  </conditionalFormatting>
  <conditionalFormatting sqref="U13:U80 T82:U83">
    <cfRule type="containsBlanks" dxfId="137" priority="108">
      <formula>LEN(TRIM(T13))=0</formula>
    </cfRule>
    <cfRule type="containsBlanks" dxfId="136" priority="107">
      <formula>LEN(TRIM(T13))=0</formula>
    </cfRule>
  </conditionalFormatting>
  <conditionalFormatting sqref="U14:U80">
    <cfRule type="containsBlanks" dxfId="135" priority="102">
      <formula>LEN(TRIM(U14))=0</formula>
    </cfRule>
    <cfRule type="containsBlanks" dxfId="134" priority="101">
      <formula>LEN(TRIM(U14))=0</formula>
    </cfRule>
  </conditionalFormatting>
  <conditionalFormatting sqref="U28:V80 U82:V82">
    <cfRule type="containsBlanks" dxfId="133" priority="98">
      <formula>LEN(TRIM(U28))=0</formula>
    </cfRule>
    <cfRule type="containsBlanks" dxfId="132" priority="97">
      <formula>LEN(TRIM(U28))=0</formula>
    </cfRule>
  </conditionalFormatting>
  <conditionalFormatting sqref="U56:V80 U82:V83">
    <cfRule type="containsBlanks" dxfId="131" priority="96">
      <formula>LEN(TRIM(U56))=0</formula>
    </cfRule>
    <cfRule type="containsBlanks" dxfId="130" priority="95">
      <formula>LEN(TRIM(U56))=0</formula>
    </cfRule>
  </conditionalFormatting>
  <conditionalFormatting sqref="V13:V80 U82:V83">
    <cfRule type="containsBlanks" dxfId="129" priority="100">
      <formula>LEN(TRIM(U13))=0</formula>
    </cfRule>
    <cfRule type="containsBlanks" dxfId="128" priority="99">
      <formula>LEN(TRIM(U13))=0</formula>
    </cfRule>
  </conditionalFormatting>
  <conditionalFormatting sqref="V14:V80">
    <cfRule type="containsBlanks" dxfId="127" priority="93">
      <formula>LEN(TRIM(V14))=0</formula>
    </cfRule>
    <cfRule type="containsBlanks" dxfId="126" priority="94">
      <formula>LEN(TRIM(V14))=0</formula>
    </cfRule>
  </conditionalFormatting>
  <conditionalFormatting sqref="V28:W80 V82:W82">
    <cfRule type="containsBlanks" dxfId="125" priority="89">
      <formula>LEN(TRIM(V28))=0</formula>
    </cfRule>
    <cfRule type="containsBlanks" dxfId="124" priority="90">
      <formula>LEN(TRIM(V28))=0</formula>
    </cfRule>
  </conditionalFormatting>
  <conditionalFormatting sqref="V56:W80 V82:W83">
    <cfRule type="containsBlanks" dxfId="123" priority="87">
      <formula>LEN(TRIM(V56))=0</formula>
    </cfRule>
    <cfRule type="containsBlanks" dxfId="122" priority="88">
      <formula>LEN(TRIM(V56))=0</formula>
    </cfRule>
  </conditionalFormatting>
  <conditionalFormatting sqref="W13:W80 V82:W83">
    <cfRule type="containsBlanks" dxfId="121" priority="91">
      <formula>LEN(TRIM(V13))=0</formula>
    </cfRule>
    <cfRule type="containsBlanks" dxfId="120" priority="92">
      <formula>LEN(TRIM(V13))=0</formula>
    </cfRule>
  </conditionalFormatting>
  <conditionalFormatting sqref="W14:W80">
    <cfRule type="containsBlanks" dxfId="119" priority="85">
      <formula>LEN(TRIM(W14))=0</formula>
    </cfRule>
    <cfRule type="containsBlanks" dxfId="118" priority="86">
      <formula>LEN(TRIM(W14))=0</formula>
    </cfRule>
  </conditionalFormatting>
  <conditionalFormatting sqref="W28:X80 W82:X82">
    <cfRule type="containsBlanks" dxfId="117" priority="82">
      <formula>LEN(TRIM(W28))=0</formula>
    </cfRule>
    <cfRule type="containsBlanks" dxfId="116" priority="81">
      <formula>LEN(TRIM(W28))=0</formula>
    </cfRule>
  </conditionalFormatting>
  <conditionalFormatting sqref="W56:X80 W82:X83">
    <cfRule type="containsBlanks" dxfId="115" priority="80">
      <formula>LEN(TRIM(W56))=0</formula>
    </cfRule>
    <cfRule type="containsBlanks" dxfId="114" priority="79">
      <formula>LEN(TRIM(W56))=0</formula>
    </cfRule>
  </conditionalFormatting>
  <conditionalFormatting sqref="X13:X80 W82:X83">
    <cfRule type="containsBlanks" dxfId="113" priority="83">
      <formula>LEN(TRIM(W13))=0</formula>
    </cfRule>
    <cfRule type="containsBlanks" dxfId="112" priority="84">
      <formula>LEN(TRIM(W13))=0</formula>
    </cfRule>
  </conditionalFormatting>
  <conditionalFormatting sqref="X14:X80">
    <cfRule type="containsBlanks" dxfId="111" priority="77">
      <formula>LEN(TRIM(X14))=0</formula>
    </cfRule>
    <cfRule type="containsBlanks" dxfId="110" priority="78">
      <formula>LEN(TRIM(X14))=0</formula>
    </cfRule>
  </conditionalFormatting>
  <conditionalFormatting sqref="X28:Y80 X82:Y82">
    <cfRule type="containsBlanks" dxfId="109" priority="73">
      <formula>LEN(TRIM(X28))=0</formula>
    </cfRule>
    <cfRule type="containsBlanks" dxfId="108" priority="74">
      <formula>LEN(TRIM(X28))=0</formula>
    </cfRule>
  </conditionalFormatting>
  <conditionalFormatting sqref="X56:Y80 X82:Y83">
    <cfRule type="containsBlanks" dxfId="107" priority="72">
      <formula>LEN(TRIM(X56))=0</formula>
    </cfRule>
    <cfRule type="containsBlanks" dxfId="106" priority="71">
      <formula>LEN(TRIM(X56))=0</formula>
    </cfRule>
  </conditionalFormatting>
  <conditionalFormatting sqref="Y13:Y80 X82:Y83">
    <cfRule type="containsBlanks" dxfId="105" priority="75">
      <formula>LEN(TRIM(X13))=0</formula>
    </cfRule>
    <cfRule type="containsBlanks" dxfId="104" priority="76">
      <formula>LEN(TRIM(X13))=0</formula>
    </cfRule>
  </conditionalFormatting>
  <conditionalFormatting sqref="Y14:Y80">
    <cfRule type="containsBlanks" dxfId="103" priority="70">
      <formula>LEN(TRIM(Y14))=0</formula>
    </cfRule>
    <cfRule type="containsBlanks" dxfId="102" priority="69">
      <formula>LEN(TRIM(Y14))=0</formula>
    </cfRule>
  </conditionalFormatting>
  <conditionalFormatting sqref="Y28:Z80 Y82:Z82">
    <cfRule type="containsBlanks" dxfId="101" priority="65">
      <formula>LEN(TRIM(Y28))=0</formula>
    </cfRule>
    <cfRule type="containsBlanks" dxfId="100" priority="66">
      <formula>LEN(TRIM(Y28))=0</formula>
    </cfRule>
  </conditionalFormatting>
  <conditionalFormatting sqref="Y56:Z80 Y82:Z83">
    <cfRule type="containsBlanks" dxfId="99" priority="64">
      <formula>LEN(TRIM(Y56))=0</formula>
    </cfRule>
    <cfRule type="containsBlanks" dxfId="98" priority="63">
      <formula>LEN(TRIM(Y56))=0</formula>
    </cfRule>
  </conditionalFormatting>
  <conditionalFormatting sqref="Y28:AA80 AC28:AC80 Y82:AA82 AC82 AD28:AJ54 AB28:AB54">
    <cfRule type="containsBlanks" dxfId="97" priority="162">
      <formula>LEN(TRIM(Y28))=0</formula>
    </cfRule>
  </conditionalFormatting>
  <conditionalFormatting sqref="Y13:AC80 X54 Y82:AC83">
    <cfRule type="containsBlanks" dxfId="96" priority="195">
      <formula>LEN(TRIM(X13))=0</formula>
    </cfRule>
    <cfRule type="containsBlanks" dxfId="95" priority="194">
      <formula>LEN(TRIM(X13))=0</formula>
    </cfRule>
  </conditionalFormatting>
  <conditionalFormatting sqref="Y28:AC54 Y55:AA80 AB55:AC59 AC60:AC80 Y82:AA82 AC82">
    <cfRule type="containsBlanks" dxfId="94" priority="173">
      <formula>LEN(TRIM(Y28))=0</formula>
    </cfRule>
  </conditionalFormatting>
  <conditionalFormatting sqref="Y56:AJ80 AJ81 Y82:AJ83">
    <cfRule type="containsBlanks" dxfId="93" priority="161">
      <formula>LEN(TRIM(Y56))=0</formula>
    </cfRule>
    <cfRule type="containsBlanks" dxfId="92" priority="160">
      <formula>LEN(TRIM(Y56))=0</formula>
    </cfRule>
  </conditionalFormatting>
  <conditionalFormatting sqref="Z13:Z80 Y82:Z83">
    <cfRule type="containsBlanks" dxfId="91" priority="67">
      <formula>LEN(TRIM(Y13))=0</formula>
    </cfRule>
    <cfRule type="containsBlanks" dxfId="90" priority="68">
      <formula>LEN(TRIM(Y13))=0</formula>
    </cfRule>
  </conditionalFormatting>
  <conditionalFormatting sqref="Z14:Z80">
    <cfRule type="containsBlanks" dxfId="89" priority="62">
      <formula>LEN(TRIM(Z14))=0</formula>
    </cfRule>
    <cfRule type="containsBlanks" dxfId="88" priority="61">
      <formula>LEN(TRIM(Z14))=0</formula>
    </cfRule>
  </conditionalFormatting>
  <conditionalFormatting sqref="Z28:AA80 Z82:AA82">
    <cfRule type="containsBlanks" dxfId="87" priority="58">
      <formula>LEN(TRIM(Z28))=0</formula>
    </cfRule>
    <cfRule type="containsBlanks" dxfId="86" priority="57">
      <formula>LEN(TRIM(Z28))=0</formula>
    </cfRule>
  </conditionalFormatting>
  <conditionalFormatting sqref="Z56:AA80 Z82:AA83">
    <cfRule type="containsBlanks" dxfId="85" priority="56">
      <formula>LEN(TRIM(Z56))=0</formula>
    </cfRule>
    <cfRule type="containsBlanks" dxfId="84" priority="55">
      <formula>LEN(TRIM(Z56))=0</formula>
    </cfRule>
  </conditionalFormatting>
  <conditionalFormatting sqref="AA13:AA80 Z82:AA83">
    <cfRule type="containsBlanks" dxfId="83" priority="60">
      <formula>LEN(TRIM(Z13))=0</formula>
    </cfRule>
    <cfRule type="containsBlanks" dxfId="82" priority="59">
      <formula>LEN(TRIM(Z13))=0</formula>
    </cfRule>
  </conditionalFormatting>
  <conditionalFormatting sqref="AA14:AA80">
    <cfRule type="containsBlanks" dxfId="81" priority="54">
      <formula>LEN(TRIM(AA14))=0</formula>
    </cfRule>
    <cfRule type="containsBlanks" dxfId="80" priority="53">
      <formula>LEN(TRIM(AA14))=0</formula>
    </cfRule>
  </conditionalFormatting>
  <conditionalFormatting sqref="AA52:AA59">
    <cfRule type="containsBlanks" dxfId="79" priority="172">
      <formula>LEN(TRIM(AA52))=0</formula>
    </cfRule>
  </conditionalFormatting>
  <conditionalFormatting sqref="AA28:AB80 AA82:AB82">
    <cfRule type="containsBlanks" dxfId="78" priority="50">
      <formula>LEN(TRIM(AA28))=0</formula>
    </cfRule>
    <cfRule type="containsBlanks" dxfId="77" priority="49">
      <formula>LEN(TRIM(AA28))=0</formula>
    </cfRule>
  </conditionalFormatting>
  <conditionalFormatting sqref="AA56:AB80 AA82:AB83">
    <cfRule type="containsBlanks" dxfId="76" priority="48">
      <formula>LEN(TRIM(AA56))=0</formula>
    </cfRule>
    <cfRule type="containsBlanks" dxfId="75" priority="47">
      <formula>LEN(TRIM(AA56))=0</formula>
    </cfRule>
  </conditionalFormatting>
  <conditionalFormatting sqref="AA61:AC76">
    <cfRule type="containsBlanks" dxfId="74" priority="155">
      <formula>LEN(TRIM(AA61))=0</formula>
    </cfRule>
    <cfRule type="containsBlanks" dxfId="73" priority="156">
      <formula>LEN(TRIM(AA61))=0</formula>
    </cfRule>
  </conditionalFormatting>
  <conditionalFormatting sqref="AB13:AB80 AA82:AB83">
    <cfRule type="containsBlanks" dxfId="72" priority="52">
      <formula>LEN(TRIM(AA13))=0</formula>
    </cfRule>
    <cfRule type="containsBlanks" dxfId="71" priority="51">
      <formula>LEN(TRIM(AA13))=0</formula>
    </cfRule>
  </conditionalFormatting>
  <conditionalFormatting sqref="AB14:AB80">
    <cfRule type="containsBlanks" dxfId="70" priority="46">
      <formula>LEN(TRIM(AB14))=0</formula>
    </cfRule>
    <cfRule type="containsBlanks" dxfId="69" priority="45">
      <formula>LEN(TRIM(AB14))=0</formula>
    </cfRule>
  </conditionalFormatting>
  <conditionalFormatting sqref="AB28:AC80 AB82:AC82">
    <cfRule type="containsBlanks" dxfId="68" priority="41">
      <formula>LEN(TRIM(AB28))=0</formula>
    </cfRule>
    <cfRule type="containsBlanks" dxfId="67" priority="42">
      <formula>LEN(TRIM(AB28))=0</formula>
    </cfRule>
  </conditionalFormatting>
  <conditionalFormatting sqref="AB52:AC59">
    <cfRule type="containsBlanks" dxfId="66" priority="157">
      <formula>LEN(TRIM(AB52))=0</formula>
    </cfRule>
  </conditionalFormatting>
  <conditionalFormatting sqref="AB56:AD80 AB82:AD83">
    <cfRule type="containsBlanks" dxfId="65" priority="40">
      <formula>LEN(TRIM(AB56))=0</formula>
    </cfRule>
    <cfRule type="containsBlanks" dxfId="64" priority="39">
      <formula>LEN(TRIM(AB56))=0</formula>
    </cfRule>
  </conditionalFormatting>
  <conditionalFormatting sqref="AC13:AC80 AB82:AC83">
    <cfRule type="containsBlanks" dxfId="63" priority="44">
      <formula>LEN(TRIM(AB13))=0</formula>
    </cfRule>
    <cfRule type="containsBlanks" dxfId="62" priority="43">
      <formula>LEN(TRIM(AB13))=0</formula>
    </cfRule>
  </conditionalFormatting>
  <conditionalFormatting sqref="AC14:AC80 AC82:AC83">
    <cfRule type="containsBlanks" dxfId="61" priority="38">
      <formula>LEN(TRIM(AC14))=0</formula>
    </cfRule>
    <cfRule type="containsBlanks" dxfId="60" priority="37">
      <formula>LEN(TRIM(AC14))=0</formula>
    </cfRule>
  </conditionalFormatting>
  <conditionalFormatting sqref="AC28:AC54">
    <cfRule type="containsBlanks" dxfId="59" priority="179">
      <formula>LEN(TRIM(AC28))=0</formula>
    </cfRule>
    <cfRule type="containsBlanks" dxfId="58" priority="178">
      <formula>LEN(TRIM(AC28))=0</formula>
    </cfRule>
  </conditionalFormatting>
  <conditionalFormatting sqref="AC28:AC80 AC82">
    <cfRule type="containsBlanks" dxfId="57" priority="36">
      <formula>LEN(TRIM(AC28))=0</formula>
    </cfRule>
    <cfRule type="containsBlanks" dxfId="56" priority="35">
      <formula>LEN(TRIM(AC28))=0</formula>
    </cfRule>
  </conditionalFormatting>
  <conditionalFormatting sqref="AC56:AC80 AC82:AC83">
    <cfRule type="containsBlanks" dxfId="55" priority="34">
      <formula>LEN(TRIM(AC56))=0</formula>
    </cfRule>
    <cfRule type="containsBlanks" dxfId="54" priority="176">
      <formula>LEN(TRIM(AC56))=0</formula>
    </cfRule>
    <cfRule type="containsBlanks" dxfId="53" priority="33">
      <formula>LEN(TRIM(AC56))=0</formula>
    </cfRule>
    <cfRule type="containsBlanks" dxfId="52" priority="177">
      <formula>LEN(TRIM(AC56))=0</formula>
    </cfRule>
  </conditionalFormatting>
  <conditionalFormatting sqref="AC54:AD54">
    <cfRule type="containsBlanks" dxfId="51" priority="184">
      <formula>LEN(TRIM(AC54))=0</formula>
    </cfRule>
    <cfRule type="containsBlanks" dxfId="50" priority="188">
      <formula>LEN(TRIM(AC54))=0</formula>
    </cfRule>
    <cfRule type="containsBlanks" dxfId="49" priority="189">
      <formula>LEN(TRIM(AC54))=0</formula>
    </cfRule>
    <cfRule type="containsBlanks" dxfId="48" priority="185">
      <formula>LEN(TRIM(AC54))=0</formula>
    </cfRule>
  </conditionalFormatting>
  <conditionalFormatting sqref="AD13:AD80 AD82:AD83">
    <cfRule type="containsBlanks" dxfId="47" priority="165">
      <formula>LEN(TRIM(AD13))=0</formula>
    </cfRule>
    <cfRule type="containsBlanks" dxfId="46" priority="164">
      <formula>LEN(TRIM(AD13))=0</formula>
    </cfRule>
  </conditionalFormatting>
  <conditionalFormatting sqref="AD13:AD80 AD82:AF83">
    <cfRule type="containsBlanks" dxfId="45" priority="167">
      <formula>LEN(TRIM(AD13))=0</formula>
    </cfRule>
    <cfRule type="containsBlanks" dxfId="44" priority="166">
      <formula>LEN(TRIM(AD13))=0</formula>
    </cfRule>
  </conditionalFormatting>
  <conditionalFormatting sqref="AD28:AD54">
    <cfRule type="containsBlanks" dxfId="43" priority="158">
      <formula>LEN(TRIM(AD28))=0</formula>
    </cfRule>
    <cfRule type="containsBlanks" dxfId="42" priority="159">
      <formula>LEN(TRIM(AD28))=0</formula>
    </cfRule>
    <cfRule type="containsBlanks" dxfId="41" priority="163">
      <formula>LEN(TRIM(AD28))=0</formula>
    </cfRule>
  </conditionalFormatting>
  <conditionalFormatting sqref="AE13:AE79">
    <cfRule type="containsBlanks" dxfId="40" priority="142">
      <formula>LEN(TRIM(AE13))=0</formula>
    </cfRule>
    <cfRule type="containsBlanks" dxfId="39" priority="141">
      <formula>LEN(TRIM(AE13))=0</formula>
    </cfRule>
  </conditionalFormatting>
  <conditionalFormatting sqref="AE80 AE82:AE83">
    <cfRule type="containsBlanks" dxfId="38" priority="171">
      <formula>LEN(TRIM(AE80))=0</formula>
    </cfRule>
    <cfRule type="containsBlanks" dxfId="37" priority="170">
      <formula>LEN(TRIM(AE80))=0</formula>
    </cfRule>
  </conditionalFormatting>
  <conditionalFormatting sqref="AE80:AF80">
    <cfRule type="containsBlanks" dxfId="36" priority="169">
      <formula>LEN(TRIM(AE80))=0</formula>
    </cfRule>
    <cfRule type="containsBlanks" dxfId="35" priority="168">
      <formula>LEN(TRIM(AE80))=0</formula>
    </cfRule>
  </conditionalFormatting>
  <conditionalFormatting sqref="AE13:AH79">
    <cfRule type="containsBlanks" dxfId="34" priority="25">
      <formula>LEN(TRIM(AE13))=0</formula>
    </cfRule>
    <cfRule type="containsBlanks" dxfId="33" priority="26">
      <formula>LEN(TRIM(AE13))=0</formula>
    </cfRule>
  </conditionalFormatting>
  <conditionalFormatting sqref="AE28:AJ59">
    <cfRule type="containsBlanks" dxfId="32" priority="20">
      <formula>LEN(TRIM(AE28))=0</formula>
    </cfRule>
  </conditionalFormatting>
  <conditionalFormatting sqref="AE52:AJ59">
    <cfRule type="containsBlanks" dxfId="31" priority="19">
      <formula>LEN(TRIM(AE52))=0</formula>
    </cfRule>
  </conditionalFormatting>
  <conditionalFormatting sqref="AE61:AJ76">
    <cfRule type="containsBlanks" dxfId="30" priority="18">
      <formula>LEN(TRIM(AE61))=0</formula>
    </cfRule>
    <cfRule type="containsBlanks" dxfId="29" priority="17">
      <formula>LEN(TRIM(AE61))=0</formula>
    </cfRule>
  </conditionalFormatting>
  <conditionalFormatting sqref="AF13:AH80">
    <cfRule type="containsBlanks" dxfId="28" priority="28">
      <formula>LEN(TRIM(AF13))=0</formula>
    </cfRule>
    <cfRule type="containsBlanks" dxfId="27" priority="27">
      <formula>LEN(TRIM(AF13))=0</formula>
    </cfRule>
  </conditionalFormatting>
  <conditionalFormatting sqref="AG80:AH80 AG82:AH83">
    <cfRule type="containsBlanks" dxfId="26" priority="29">
      <formula>LEN(TRIM(AG80))=0</formula>
    </cfRule>
    <cfRule type="containsBlanks" dxfId="25" priority="30">
      <formula>LEN(TRIM(AG80))=0</formula>
    </cfRule>
  </conditionalFormatting>
  <conditionalFormatting sqref="AI13:AI80 AI82:AI83">
    <cfRule type="containsBlanks" dxfId="24" priority="12">
      <formula>LEN(TRIM(AI13))=0</formula>
    </cfRule>
    <cfRule type="containsBlanks" dxfId="23" priority="11">
      <formula>LEN(TRIM(AI13))=0</formula>
    </cfRule>
    <cfRule type="containsBlanks" dxfId="22" priority="22">
      <formula>LEN(TRIM(AI13))=0</formula>
    </cfRule>
    <cfRule type="containsBlanks" dxfId="21" priority="21">
      <formula>LEN(TRIM(AI13))=0</formula>
    </cfRule>
  </conditionalFormatting>
  <conditionalFormatting sqref="AI14:AI80 AI82:AI83">
    <cfRule type="containsBlanks" dxfId="20" priority="6">
      <formula>LEN(TRIM(AI14))=0</formula>
    </cfRule>
    <cfRule type="containsBlanks" dxfId="19" priority="5">
      <formula>LEN(TRIM(AI14))=0</formula>
    </cfRule>
  </conditionalFormatting>
  <conditionalFormatting sqref="AI25">
    <cfRule type="containsBlanks" dxfId="18" priority="16">
      <formula>LEN(TRIM(AI25))=0</formula>
    </cfRule>
    <cfRule type="containsBlanks" dxfId="17" priority="15">
      <formula>LEN(TRIM(AI25))=0</formula>
    </cfRule>
  </conditionalFormatting>
  <conditionalFormatting sqref="AI28:AI80 AI82">
    <cfRule type="containsBlanks" dxfId="16" priority="9">
      <formula>LEN(TRIM(AI28))=0</formula>
    </cfRule>
    <cfRule type="containsBlanks" dxfId="15" priority="10">
      <formula>LEN(TRIM(AI28))=0</formula>
    </cfRule>
    <cfRule type="containsBlanks" dxfId="14" priority="4">
      <formula>LEN(TRIM(AI28))=0</formula>
    </cfRule>
    <cfRule type="containsBlanks" dxfId="13" priority="3">
      <formula>LEN(TRIM(AI28))=0</formula>
    </cfRule>
  </conditionalFormatting>
  <conditionalFormatting sqref="AI56:AI80 AI82:AI83">
    <cfRule type="containsBlanks" dxfId="12" priority="8">
      <formula>LEN(TRIM(AI56))=0</formula>
    </cfRule>
    <cfRule type="containsBlanks" dxfId="11" priority="1">
      <formula>LEN(TRIM(AI56))=0</formula>
    </cfRule>
    <cfRule type="containsBlanks" dxfId="10" priority="7">
      <formula>LEN(TRIM(AI56))=0</formula>
    </cfRule>
    <cfRule type="containsBlanks" dxfId="9" priority="2">
      <formula>LEN(TRIM(AI56))=0</formula>
    </cfRule>
  </conditionalFormatting>
  <conditionalFormatting sqref="AI64">
    <cfRule type="containsBlanks" dxfId="8" priority="14">
      <formula>LEN(TRIM(AI64))=0</formula>
    </cfRule>
    <cfRule type="containsBlanks" dxfId="7" priority="13">
      <formula>LEN(TRIM(AI64))=0</formula>
    </cfRule>
  </conditionalFormatting>
  <conditionalFormatting sqref="AI13:AJ80 AF82:AJ83 AJ81">
    <cfRule type="containsBlanks" dxfId="6" priority="23">
      <formula>LEN(TRIM(AF13))=0</formula>
    </cfRule>
  </conditionalFormatting>
  <conditionalFormatting sqref="AI13:AJ80 AJ81 AF82:AJ83">
    <cfRule type="containsBlanks" dxfId="5" priority="24">
      <formula>LEN(TRIM(AF13))=0</formula>
    </cfRule>
  </conditionalFormatting>
  <conditionalFormatting sqref="AJ13:AJ83">
    <cfRule type="containsBlanks" dxfId="4" priority="139">
      <formula>LEN(TRIM(AJ13))=0</formula>
    </cfRule>
    <cfRule type="containsBlanks" dxfId="3" priority="140">
      <formula>LEN(TRIM(AJ13))=0</formula>
    </cfRule>
  </conditionalFormatting>
  <printOptions horizontalCentered="1"/>
  <pageMargins left="0" right="0" top="0" bottom="0" header="0" footer="0"/>
  <pageSetup paperSize="9" scale="65" orientation="landscape" r:id="rId1"/>
  <headerFooter alignWithMargins="0">
    <oddFooter>Page &amp;P</oddFooter>
  </headerFooter>
  <colBreaks count="1" manualBreakCount="1">
    <brk id="4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2:BF236"/>
  <sheetViews>
    <sheetView topLeftCell="A152" zoomScale="20" zoomScaleNormal="20" zoomScaleSheetLayoutView="25" zoomScalePageLayoutView="40" workbookViewId="0">
      <selection activeCell="AN156" sqref="AN156"/>
    </sheetView>
  </sheetViews>
  <sheetFormatPr defaultColWidth="5.28515625" defaultRowHeight="15"/>
  <cols>
    <col min="1" max="1" width="17.7109375" style="421" customWidth="1"/>
    <col min="2" max="2" width="15.140625" style="421" customWidth="1"/>
    <col min="3" max="3" width="25.7109375" style="421" customWidth="1"/>
    <col min="4" max="4" width="58.28515625" style="421" customWidth="1"/>
    <col min="5" max="5" width="53.140625" style="421" customWidth="1"/>
    <col min="6" max="11" width="21" style="421" customWidth="1"/>
    <col min="12" max="12" width="24.85546875" style="421" customWidth="1"/>
    <col min="13" max="13" width="23.7109375" style="421" customWidth="1"/>
    <col min="14" max="14" width="27.140625" style="421" customWidth="1"/>
    <col min="15" max="15" width="24.85546875" style="421" customWidth="1"/>
    <col min="16" max="16" width="23.28515625" style="421" customWidth="1"/>
    <col min="17" max="17" width="23.7109375" style="421" customWidth="1"/>
    <col min="18" max="18" width="27.140625" style="421" customWidth="1"/>
    <col min="19" max="19" width="22.7109375" style="421" customWidth="1"/>
    <col min="20" max="20" width="23.28515625" style="421" customWidth="1"/>
    <col min="21" max="21" width="24.28515625" style="421" customWidth="1"/>
    <col min="22" max="22" width="23.28515625" style="421" customWidth="1"/>
    <col min="23" max="23" width="24.28515625" style="421" customWidth="1"/>
    <col min="24" max="24" width="23.7109375" style="421" customWidth="1"/>
    <col min="25" max="25" width="25.42578125" style="421" customWidth="1"/>
    <col min="26" max="26" width="23.7109375" style="421" customWidth="1"/>
    <col min="27" max="27" width="24.85546875" style="421" customWidth="1"/>
    <col min="28" max="28" width="21" style="421" customWidth="1"/>
    <col min="29" max="29" width="24.28515625" style="421" customWidth="1"/>
    <col min="30" max="30" width="21" style="421" customWidth="1"/>
    <col min="31" max="31" width="24.28515625" style="421" customWidth="1"/>
    <col min="32" max="32" width="26" style="421" customWidth="1"/>
    <col min="33" max="34" width="23.28515625" style="421" customWidth="1"/>
    <col min="35" max="35" width="21" style="421" customWidth="1"/>
    <col min="36" max="36" width="25.5703125" style="421" hidden="1" customWidth="1"/>
    <col min="37" max="37" width="25.85546875" style="421" customWidth="1"/>
    <col min="38" max="38" width="26.7109375" style="421" customWidth="1"/>
    <col min="39" max="39" width="26.28515625" style="421" customWidth="1"/>
    <col min="40" max="40" width="23.28515625" style="421" customWidth="1"/>
    <col min="41" max="41" width="5.28515625" style="420"/>
    <col min="42" max="42" width="14.5703125" style="420" customWidth="1"/>
    <col min="43" max="44" width="5.28515625" style="421"/>
    <col min="45" max="45" width="61.7109375" style="421" customWidth="1"/>
    <col min="46" max="16384" width="5.28515625" style="421"/>
  </cols>
  <sheetData>
    <row r="2" spans="1:58" ht="44.25" customHeight="1">
      <c r="A2" s="1404" t="s">
        <v>51</v>
      </c>
      <c r="B2" s="1404"/>
      <c r="C2" s="1404"/>
      <c r="D2" s="1404"/>
      <c r="E2" s="1404"/>
      <c r="F2" s="1404"/>
      <c r="G2" s="1404"/>
      <c r="H2" s="1404"/>
      <c r="I2" s="1404"/>
      <c r="J2" s="1404"/>
      <c r="K2" s="1404"/>
      <c r="L2" s="1404"/>
      <c r="M2" s="1404"/>
      <c r="N2" s="1404"/>
      <c r="O2" s="1404"/>
      <c r="P2" s="1404"/>
      <c r="Q2" s="1404"/>
      <c r="R2" s="1404"/>
      <c r="S2" s="1404"/>
      <c r="T2" s="1404"/>
      <c r="U2" s="1404"/>
      <c r="V2" s="1404"/>
      <c r="W2" s="1404"/>
      <c r="X2" s="1404"/>
      <c r="Y2" s="1404"/>
      <c r="Z2" s="1404"/>
      <c r="AA2" s="1404"/>
      <c r="AB2" s="1404"/>
      <c r="AC2" s="1404"/>
      <c r="AD2" s="1404"/>
      <c r="AE2" s="1404"/>
      <c r="AF2" s="1404"/>
      <c r="AG2" s="1404"/>
      <c r="AH2" s="1404"/>
      <c r="AI2" s="1404"/>
      <c r="AJ2" s="1404"/>
      <c r="AK2" s="1404"/>
      <c r="AL2" s="1404"/>
      <c r="AM2" s="1404"/>
      <c r="AN2" s="1404"/>
      <c r="AO2" s="421"/>
      <c r="AP2" s="421"/>
    </row>
    <row r="3" spans="1:58" ht="40.5" customHeight="1">
      <c r="A3" s="1404" t="s">
        <v>52</v>
      </c>
      <c r="B3" s="1404"/>
      <c r="C3" s="1404"/>
      <c r="D3" s="1404"/>
      <c r="E3" s="1404"/>
      <c r="F3" s="1404"/>
      <c r="G3" s="1404"/>
      <c r="H3" s="1404"/>
      <c r="I3" s="1404"/>
      <c r="J3" s="1404"/>
      <c r="K3" s="1404"/>
      <c r="L3" s="1404"/>
      <c r="M3" s="1404"/>
      <c r="N3" s="1404"/>
      <c r="O3" s="1404"/>
      <c r="P3" s="1404"/>
      <c r="Q3" s="1404"/>
      <c r="R3" s="1404"/>
      <c r="S3" s="1404"/>
      <c r="T3" s="1404"/>
      <c r="U3" s="1404"/>
      <c r="V3" s="1404"/>
      <c r="W3" s="1404"/>
      <c r="X3" s="1404"/>
      <c r="Y3" s="1404"/>
      <c r="Z3" s="1404"/>
      <c r="AA3" s="1404"/>
      <c r="AB3" s="1404"/>
      <c r="AC3" s="1404"/>
      <c r="AD3" s="1404"/>
      <c r="AE3" s="1404"/>
      <c r="AF3" s="1404"/>
      <c r="AG3" s="1404"/>
      <c r="AH3" s="1404"/>
      <c r="AI3" s="1404"/>
      <c r="AJ3" s="1404"/>
      <c r="AK3" s="1404"/>
      <c r="AL3" s="1404"/>
      <c r="AM3" s="1404"/>
      <c r="AN3" s="1404"/>
      <c r="AO3" s="421"/>
      <c r="AP3" s="421"/>
    </row>
    <row r="4" spans="1:58" ht="40.5" customHeight="1">
      <c r="A4" s="1403" t="s">
        <v>277</v>
      </c>
      <c r="B4" s="1403"/>
      <c r="C4" s="1403"/>
      <c r="D4" s="1403"/>
      <c r="E4" s="1403"/>
      <c r="F4" s="1403"/>
      <c r="G4" s="1403"/>
      <c r="H4" s="1403"/>
      <c r="I4" s="1403"/>
      <c r="J4" s="1403"/>
      <c r="K4" s="1403"/>
      <c r="L4" s="1403"/>
      <c r="M4" s="1403"/>
      <c r="N4" s="1403"/>
      <c r="O4" s="1403"/>
      <c r="P4" s="1403"/>
      <c r="Q4" s="1403"/>
      <c r="R4" s="1403"/>
      <c r="S4" s="1403"/>
      <c r="T4" s="1403"/>
      <c r="U4" s="1403"/>
      <c r="V4" s="1403"/>
      <c r="W4" s="1403"/>
      <c r="X4" s="1403"/>
      <c r="Y4" s="1403"/>
      <c r="Z4" s="1403"/>
      <c r="AA4" s="1403"/>
      <c r="AB4" s="1403"/>
      <c r="AC4" s="1403"/>
      <c r="AD4" s="1403"/>
      <c r="AE4" s="1403"/>
      <c r="AF4" s="1403"/>
      <c r="AG4" s="1403"/>
      <c r="AH4" s="1403"/>
      <c r="AI4" s="1403"/>
      <c r="AJ4" s="1403"/>
      <c r="AK4" s="1403"/>
      <c r="AL4" s="1403"/>
      <c r="AM4" s="1403"/>
      <c r="AN4" s="1403"/>
      <c r="AO4" s="421"/>
      <c r="AP4" s="421"/>
    </row>
    <row r="5" spans="1:58" ht="40.5" customHeight="1">
      <c r="A5" s="842"/>
      <c r="B5" s="843"/>
      <c r="C5" s="843"/>
      <c r="D5" s="843"/>
      <c r="E5" s="843"/>
      <c r="F5" s="843"/>
      <c r="G5" s="843"/>
      <c r="H5" s="843"/>
      <c r="I5" s="843"/>
      <c r="J5" s="843"/>
      <c r="K5" s="843"/>
      <c r="L5" s="843"/>
      <c r="M5" s="843"/>
      <c r="N5" s="843"/>
      <c r="O5" s="843"/>
      <c r="P5" s="844"/>
      <c r="Q5" s="844"/>
      <c r="R5" s="844"/>
      <c r="S5" s="844"/>
      <c r="T5" s="844"/>
      <c r="U5" s="844"/>
      <c r="V5" s="844"/>
      <c r="W5" s="844"/>
      <c r="X5" s="844"/>
      <c r="Y5" s="844"/>
      <c r="Z5" s="844"/>
      <c r="AA5" s="844"/>
      <c r="AB5" s="844"/>
      <c r="AC5" s="844"/>
      <c r="AD5" s="844"/>
      <c r="AE5" s="844"/>
      <c r="AF5" s="844"/>
      <c r="AG5" s="844"/>
      <c r="AH5" s="844"/>
      <c r="AI5" s="844"/>
      <c r="AJ5" s="844"/>
      <c r="AK5" s="844"/>
      <c r="AL5" s="844"/>
      <c r="AM5" s="845"/>
      <c r="AN5" s="842"/>
      <c r="AO5" s="421"/>
      <c r="AP5" s="421"/>
    </row>
    <row r="6" spans="1:58" ht="40.5" customHeight="1">
      <c r="A6" s="842"/>
      <c r="B6" s="1404" t="s">
        <v>550</v>
      </c>
      <c r="C6" s="1404"/>
      <c r="D6" s="1404"/>
      <c r="E6" s="1404"/>
      <c r="F6" s="1404"/>
      <c r="G6" s="1404"/>
      <c r="H6" s="1404"/>
      <c r="I6" s="1404"/>
      <c r="J6" s="1404"/>
      <c r="K6" s="1404"/>
      <c r="L6" s="1404"/>
      <c r="M6" s="1404"/>
      <c r="N6" s="1404"/>
      <c r="O6" s="1404"/>
      <c r="P6" s="1404"/>
      <c r="Q6" s="1404"/>
      <c r="R6" s="1404"/>
      <c r="S6" s="844"/>
      <c r="T6" s="844"/>
      <c r="U6" s="844"/>
      <c r="V6" s="844"/>
      <c r="W6" s="844"/>
      <c r="X6" s="844"/>
      <c r="Y6" s="844"/>
      <c r="Z6" s="844"/>
      <c r="AA6" s="844"/>
      <c r="AB6" s="844"/>
      <c r="AC6" s="844"/>
      <c r="AD6" s="844"/>
      <c r="AE6" s="844"/>
      <c r="AF6" s="844"/>
      <c r="AG6" s="844"/>
      <c r="AH6" s="844"/>
      <c r="AI6" s="844"/>
      <c r="AJ6" s="844"/>
      <c r="AK6" s="844"/>
      <c r="AL6" s="844"/>
      <c r="AM6" s="845"/>
      <c r="AN6" s="842"/>
      <c r="AO6" s="421"/>
      <c r="AP6" s="421"/>
    </row>
    <row r="7" spans="1:58" ht="49.15" customHeight="1">
      <c r="A7" s="842"/>
      <c r="B7" s="1404" t="s">
        <v>537</v>
      </c>
      <c r="C7" s="1404"/>
      <c r="D7" s="1404"/>
      <c r="E7" s="1404"/>
      <c r="F7" s="1404"/>
      <c r="G7" s="1404"/>
      <c r="H7" s="1404"/>
      <c r="I7" s="1404"/>
      <c r="J7" s="1404"/>
      <c r="K7" s="1404"/>
      <c r="L7" s="1404"/>
      <c r="M7" s="1404"/>
      <c r="N7" s="1404"/>
      <c r="O7" s="1404"/>
      <c r="P7" s="1404"/>
      <c r="Q7" s="1404"/>
      <c r="R7" s="1404"/>
      <c r="S7" s="844"/>
      <c r="T7" s="844"/>
      <c r="U7" s="844"/>
      <c r="V7" s="844"/>
      <c r="W7" s="844"/>
      <c r="X7" s="844"/>
      <c r="Y7" s="844"/>
      <c r="Z7" s="844"/>
      <c r="AA7" s="844"/>
      <c r="AB7" s="844"/>
      <c r="AC7" s="844"/>
      <c r="AD7" s="844"/>
      <c r="AE7" s="844"/>
      <c r="AF7" s="844"/>
      <c r="AG7" s="844"/>
      <c r="AH7" s="844"/>
      <c r="AI7" s="844"/>
      <c r="AJ7" s="844"/>
      <c r="AK7" s="844"/>
      <c r="AL7" s="844"/>
      <c r="AM7" s="845"/>
      <c r="AN7" s="842"/>
      <c r="AO7" s="421"/>
      <c r="AP7" s="421"/>
    </row>
    <row r="8" spans="1:58" ht="40.5" customHeight="1">
      <c r="A8" s="842"/>
      <c r="B8" s="1404"/>
      <c r="C8" s="1404"/>
      <c r="D8" s="1404"/>
      <c r="E8" s="1404"/>
      <c r="F8" s="1404"/>
      <c r="G8" s="1404"/>
      <c r="H8" s="1404"/>
      <c r="I8" s="1404"/>
      <c r="J8" s="1404"/>
      <c r="K8" s="1404"/>
      <c r="L8" s="1404"/>
      <c r="M8" s="1404"/>
      <c r="N8" s="1404"/>
      <c r="O8" s="1404"/>
      <c r="P8" s="1404"/>
      <c r="Q8" s="1404"/>
      <c r="R8" s="1404"/>
      <c r="S8" s="1404"/>
      <c r="T8" s="1404"/>
      <c r="U8" s="1404"/>
      <c r="V8" s="1404"/>
      <c r="W8" s="1404"/>
      <c r="X8" s="1404"/>
      <c r="Y8" s="1404"/>
      <c r="Z8" s="1404"/>
      <c r="AA8" s="1404"/>
      <c r="AB8" s="1404"/>
      <c r="AC8" s="1404"/>
      <c r="AD8" s="1404"/>
      <c r="AE8" s="1404"/>
      <c r="AF8" s="1404"/>
      <c r="AG8" s="1404"/>
      <c r="AH8" s="1404"/>
      <c r="AI8" s="1404"/>
      <c r="AJ8" s="1404"/>
      <c r="AK8" s="1404"/>
      <c r="AL8" s="1404"/>
      <c r="AM8" s="1404"/>
      <c r="AN8" s="842"/>
      <c r="AO8" s="421"/>
      <c r="AP8" s="421"/>
    </row>
    <row r="9" spans="1:58" ht="119.45" customHeight="1">
      <c r="A9" s="1405" t="s">
        <v>806</v>
      </c>
      <c r="B9" s="1405"/>
      <c r="C9" s="1405"/>
      <c r="D9" s="1405"/>
      <c r="E9" s="1405"/>
      <c r="F9" s="1405"/>
      <c r="G9" s="1405"/>
      <c r="H9" s="1405"/>
      <c r="I9" s="1405"/>
      <c r="J9" s="1405"/>
      <c r="K9" s="1405"/>
      <c r="L9" s="1405"/>
      <c r="M9" s="1405"/>
      <c r="N9" s="1405"/>
      <c r="O9" s="1405"/>
      <c r="P9" s="1405"/>
      <c r="Q9" s="1405"/>
      <c r="R9" s="1405"/>
      <c r="S9" s="1405"/>
      <c r="T9" s="1405"/>
      <c r="U9" s="1405"/>
      <c r="V9" s="1405"/>
      <c r="W9" s="1405"/>
      <c r="X9" s="1405"/>
      <c r="Y9" s="1405"/>
      <c r="Z9" s="1405"/>
      <c r="AA9" s="1405"/>
      <c r="AB9" s="1405"/>
      <c r="AC9" s="1405"/>
      <c r="AD9" s="1405"/>
      <c r="AE9" s="1405"/>
      <c r="AF9" s="1405"/>
      <c r="AG9" s="1405"/>
      <c r="AH9" s="1405"/>
      <c r="AI9" s="1405"/>
      <c r="AJ9" s="1405"/>
      <c r="AK9" s="1405"/>
      <c r="AL9" s="1405"/>
      <c r="AM9" s="1405"/>
      <c r="AN9" s="1405"/>
      <c r="AO9" s="421"/>
      <c r="AP9" s="421"/>
    </row>
    <row r="10" spans="1:58" ht="101.45" customHeight="1">
      <c r="A10" s="1406" t="s">
        <v>807</v>
      </c>
      <c r="B10" s="1406"/>
      <c r="C10" s="1406"/>
      <c r="D10" s="1406"/>
      <c r="E10" s="1406"/>
      <c r="F10" s="1406"/>
      <c r="G10" s="1406"/>
      <c r="H10" s="1406"/>
      <c r="I10" s="1406"/>
      <c r="J10" s="1406"/>
      <c r="K10" s="1406"/>
      <c r="L10" s="1406"/>
      <c r="M10" s="1406"/>
      <c r="N10" s="1406"/>
      <c r="O10" s="1406"/>
      <c r="P10" s="1406"/>
      <c r="Q10" s="1406"/>
      <c r="R10" s="1406"/>
      <c r="S10" s="1406"/>
      <c r="T10" s="1406"/>
      <c r="U10" s="1406"/>
      <c r="V10" s="1406"/>
      <c r="W10" s="1406"/>
      <c r="X10" s="1406"/>
      <c r="Y10" s="1406"/>
      <c r="Z10" s="1406"/>
      <c r="AA10" s="1406"/>
      <c r="AB10" s="1406"/>
      <c r="AC10" s="1406"/>
      <c r="AD10" s="1406"/>
      <c r="AE10" s="1406"/>
      <c r="AF10" s="1406"/>
      <c r="AG10" s="1406"/>
      <c r="AH10" s="1406"/>
      <c r="AI10" s="1406"/>
      <c r="AJ10" s="1406"/>
      <c r="AK10" s="1406"/>
      <c r="AL10" s="1406"/>
      <c r="AM10" s="1406"/>
      <c r="AN10" s="1406"/>
      <c r="AO10" s="421"/>
      <c r="AP10" s="421"/>
    </row>
    <row r="11" spans="1:58" ht="16.5" customHeight="1">
      <c r="A11" s="437"/>
      <c r="B11" s="438"/>
      <c r="C11" s="438"/>
      <c r="D11" s="438"/>
      <c r="E11" s="438"/>
      <c r="F11" s="438"/>
      <c r="G11" s="438"/>
      <c r="H11" s="438"/>
      <c r="I11" s="438"/>
      <c r="J11" s="438"/>
      <c r="K11" s="438"/>
      <c r="L11" s="438"/>
      <c r="M11" s="438"/>
      <c r="N11" s="438"/>
      <c r="O11" s="438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  <c r="AA11" s="439"/>
      <c r="AB11" s="439"/>
      <c r="AC11" s="439"/>
      <c r="AD11" s="439"/>
      <c r="AE11" s="439"/>
      <c r="AF11" s="439"/>
      <c r="AG11" s="439"/>
      <c r="AH11" s="439"/>
      <c r="AI11" s="439"/>
      <c r="AJ11" s="439"/>
      <c r="AK11" s="439"/>
      <c r="AL11" s="439"/>
      <c r="AM11" s="440"/>
      <c r="AN11" s="437"/>
      <c r="AO11" s="421"/>
      <c r="AP11" s="421"/>
    </row>
    <row r="12" spans="1:58" ht="36.75" customHeight="1">
      <c r="B12" s="423"/>
      <c r="C12" s="423"/>
      <c r="D12" s="423"/>
      <c r="E12" s="423"/>
      <c r="F12" s="423"/>
      <c r="G12" s="423"/>
      <c r="H12" s="423"/>
      <c r="I12" s="423"/>
      <c r="J12" s="423"/>
      <c r="K12" s="423"/>
      <c r="L12" s="423"/>
      <c r="M12" s="423"/>
      <c r="N12" s="423"/>
      <c r="O12" s="423"/>
      <c r="P12" s="423"/>
      <c r="Q12" s="423"/>
      <c r="R12" s="423"/>
      <c r="S12" s="423"/>
      <c r="T12" s="423"/>
      <c r="U12" s="423"/>
      <c r="V12" s="423"/>
      <c r="W12" s="423"/>
      <c r="X12" s="423"/>
      <c r="Y12" s="423"/>
      <c r="Z12" s="423"/>
      <c r="AA12" s="423"/>
      <c r="AB12" s="423"/>
      <c r="AC12" s="423"/>
      <c r="AD12" s="423"/>
      <c r="AE12" s="423"/>
      <c r="AF12" s="423"/>
      <c r="AG12" s="423"/>
      <c r="AH12" s="423"/>
      <c r="AI12" s="423"/>
      <c r="AJ12" s="423"/>
      <c r="AK12" s="1408"/>
      <c r="AL12" s="1408"/>
      <c r="AM12" s="496"/>
      <c r="AN12" s="495"/>
      <c r="AO12" s="421"/>
      <c r="AP12" s="421"/>
    </row>
    <row r="13" spans="1:58" ht="81.599999999999994" customHeight="1">
      <c r="A13" s="1407" t="s">
        <v>12</v>
      </c>
      <c r="B13" s="1407"/>
      <c r="C13" s="1407" t="s">
        <v>380</v>
      </c>
      <c r="D13" s="1407" t="s">
        <v>13</v>
      </c>
      <c r="E13" s="1407" t="s">
        <v>375</v>
      </c>
      <c r="F13" s="1407" t="s">
        <v>49</v>
      </c>
      <c r="G13" s="1407"/>
      <c r="H13" s="1407"/>
      <c r="I13" s="1407"/>
      <c r="J13" s="1407"/>
      <c r="K13" s="1407"/>
      <c r="L13" s="1407"/>
      <c r="M13" s="1407"/>
      <c r="N13" s="1407"/>
      <c r="O13" s="1407"/>
      <c r="P13" s="1407"/>
      <c r="Q13" s="1407"/>
      <c r="R13" s="1407"/>
      <c r="S13" s="1407"/>
      <c r="T13" s="1407"/>
      <c r="U13" s="1407"/>
      <c r="V13" s="1407"/>
      <c r="W13" s="1407"/>
      <c r="X13" s="1407"/>
      <c r="Y13" s="1407"/>
      <c r="Z13" s="1407"/>
      <c r="AA13" s="1407"/>
      <c r="AB13" s="1407"/>
      <c r="AC13" s="1407"/>
      <c r="AD13" s="1407"/>
      <c r="AE13" s="1407"/>
      <c r="AF13" s="1407"/>
      <c r="AG13" s="1407"/>
      <c r="AH13" s="1407"/>
      <c r="AI13" s="1407"/>
      <c r="AJ13" s="1407"/>
      <c r="AK13" s="1409" t="s">
        <v>265</v>
      </c>
      <c r="AL13" s="1409" t="s">
        <v>390</v>
      </c>
      <c r="AM13" s="1409" t="s">
        <v>126</v>
      </c>
      <c r="AN13" s="1409" t="s">
        <v>368</v>
      </c>
      <c r="AO13" s="421"/>
      <c r="AP13" s="421"/>
    </row>
    <row r="14" spans="1:58" ht="105" customHeight="1">
      <c r="A14" s="1407"/>
      <c r="B14" s="1407"/>
      <c r="C14" s="1407"/>
      <c r="D14" s="1407"/>
      <c r="E14" s="1407"/>
      <c r="F14" s="640">
        <v>1</v>
      </c>
      <c r="G14" s="640">
        <v>2</v>
      </c>
      <c r="H14" s="640">
        <v>3</v>
      </c>
      <c r="I14" s="640">
        <v>4</v>
      </c>
      <c r="J14" s="640">
        <v>5</v>
      </c>
      <c r="K14" s="640">
        <v>6</v>
      </c>
      <c r="L14" s="640">
        <v>7</v>
      </c>
      <c r="M14" s="640">
        <v>8</v>
      </c>
      <c r="N14" s="640">
        <v>9</v>
      </c>
      <c r="O14" s="640">
        <v>10</v>
      </c>
      <c r="P14" s="640">
        <v>11</v>
      </c>
      <c r="Q14" s="640">
        <v>12</v>
      </c>
      <c r="R14" s="640">
        <v>13</v>
      </c>
      <c r="S14" s="640">
        <v>14</v>
      </c>
      <c r="T14" s="640">
        <v>15</v>
      </c>
      <c r="U14" s="640">
        <v>16</v>
      </c>
      <c r="V14" s="640">
        <v>17</v>
      </c>
      <c r="W14" s="640">
        <v>18</v>
      </c>
      <c r="X14" s="640">
        <v>19</v>
      </c>
      <c r="Y14" s="640">
        <v>20</v>
      </c>
      <c r="Z14" s="640">
        <v>21</v>
      </c>
      <c r="AA14" s="640">
        <v>22</v>
      </c>
      <c r="AB14" s="640">
        <v>23</v>
      </c>
      <c r="AC14" s="640">
        <v>24</v>
      </c>
      <c r="AD14" s="640">
        <v>25</v>
      </c>
      <c r="AE14" s="640">
        <v>26</v>
      </c>
      <c r="AF14" s="640">
        <v>27</v>
      </c>
      <c r="AG14" s="640">
        <v>28</v>
      </c>
      <c r="AH14" s="640">
        <v>29</v>
      </c>
      <c r="AI14" s="640">
        <v>30</v>
      </c>
      <c r="AJ14" s="640">
        <v>31</v>
      </c>
      <c r="AK14" s="1409"/>
      <c r="AL14" s="1409"/>
      <c r="AM14" s="1409"/>
      <c r="AN14" s="1409"/>
      <c r="AO14" s="421"/>
      <c r="AP14" s="1396" t="s">
        <v>390</v>
      </c>
    </row>
    <row r="15" spans="1:58" ht="60" customHeight="1">
      <c r="A15" s="1440" t="s">
        <v>566</v>
      </c>
      <c r="B15" s="1440"/>
      <c r="C15" s="1440"/>
      <c r="D15" s="1440"/>
      <c r="E15" s="1440"/>
      <c r="F15" s="645" t="s">
        <v>36</v>
      </c>
      <c r="G15" s="645" t="s">
        <v>43</v>
      </c>
      <c r="H15" s="645" t="s">
        <v>423</v>
      </c>
      <c r="I15" s="645" t="s">
        <v>44</v>
      </c>
      <c r="J15" s="645" t="s">
        <v>36</v>
      </c>
      <c r="K15" s="645" t="s">
        <v>43</v>
      </c>
      <c r="L15" s="645" t="s">
        <v>423</v>
      </c>
      <c r="M15" s="645" t="s">
        <v>44</v>
      </c>
      <c r="N15" s="645" t="s">
        <v>36</v>
      </c>
      <c r="O15" s="645" t="s">
        <v>43</v>
      </c>
      <c r="P15" s="645" t="s">
        <v>423</v>
      </c>
      <c r="Q15" s="645" t="s">
        <v>44</v>
      </c>
      <c r="R15" s="645" t="s">
        <v>36</v>
      </c>
      <c r="S15" s="645" t="s">
        <v>840</v>
      </c>
      <c r="T15" s="645" t="s">
        <v>44</v>
      </c>
      <c r="U15" s="645" t="s">
        <v>36</v>
      </c>
      <c r="V15" s="645" t="s">
        <v>43</v>
      </c>
      <c r="W15" s="645" t="s">
        <v>423</v>
      </c>
      <c r="X15" s="645" t="s">
        <v>44</v>
      </c>
      <c r="Y15" s="645" t="s">
        <v>36</v>
      </c>
      <c r="Z15" s="645" t="s">
        <v>840</v>
      </c>
      <c r="AA15" s="645" t="s">
        <v>44</v>
      </c>
      <c r="AB15" s="645" t="s">
        <v>36</v>
      </c>
      <c r="AC15" s="645" t="s">
        <v>43</v>
      </c>
      <c r="AD15" s="645" t="s">
        <v>423</v>
      </c>
      <c r="AE15" s="645" t="s">
        <v>44</v>
      </c>
      <c r="AF15" s="645" t="s">
        <v>36</v>
      </c>
      <c r="AG15" s="645" t="s">
        <v>43</v>
      </c>
      <c r="AH15" s="645" t="s">
        <v>423</v>
      </c>
      <c r="AI15" s="645" t="s">
        <v>44</v>
      </c>
      <c r="AJ15" s="652"/>
      <c r="AK15" s="652"/>
      <c r="AL15" s="652"/>
      <c r="AM15" s="652"/>
      <c r="AN15" s="652"/>
      <c r="AO15" s="421"/>
      <c r="AP15" s="1396"/>
      <c r="AS15" s="437"/>
      <c r="AT15" s="437"/>
      <c r="AU15" s="437"/>
      <c r="AV15" s="437"/>
      <c r="AW15" s="437"/>
      <c r="AX15" s="437"/>
      <c r="AY15" s="437"/>
      <c r="AZ15" s="437"/>
      <c r="BA15" s="437"/>
      <c r="BB15" s="437"/>
      <c r="BC15" s="437"/>
      <c r="BD15" s="437"/>
      <c r="BE15" s="437"/>
      <c r="BF15" s="437"/>
    </row>
    <row r="16" spans="1:58" s="952" customFormat="1" ht="41.25" customHeight="1">
      <c r="A16" s="1443" t="s">
        <v>538</v>
      </c>
      <c r="B16" s="1443"/>
      <c r="C16" s="1443"/>
      <c r="D16" s="1443"/>
      <c r="E16" s="950"/>
      <c r="F16" s="951">
        <f>SUM(F17:F97)</f>
        <v>2849</v>
      </c>
      <c r="G16" s="951">
        <f t="shared" ref="G16:AJ16" si="0">SUM(G17:G97)</f>
        <v>5316</v>
      </c>
      <c r="H16" s="951">
        <f t="shared" si="0"/>
        <v>6174</v>
      </c>
      <c r="I16" s="951">
        <f t="shared" si="0"/>
        <v>7847</v>
      </c>
      <c r="J16" s="951">
        <f t="shared" si="0"/>
        <v>8883</v>
      </c>
      <c r="K16" s="951">
        <f t="shared" si="0"/>
        <v>6847</v>
      </c>
      <c r="L16" s="951">
        <f t="shared" si="0"/>
        <v>11140</v>
      </c>
      <c r="M16" s="951">
        <f t="shared" si="0"/>
        <v>13510</v>
      </c>
      <c r="N16" s="951">
        <f t="shared" si="0"/>
        <v>13449</v>
      </c>
      <c r="O16" s="951">
        <f t="shared" si="0"/>
        <v>12644</v>
      </c>
      <c r="P16" s="951">
        <f t="shared" si="0"/>
        <v>10606</v>
      </c>
      <c r="Q16" s="951">
        <f t="shared" si="0"/>
        <v>11070</v>
      </c>
      <c r="R16" s="951">
        <f t="shared" si="0"/>
        <v>22094</v>
      </c>
      <c r="S16" s="951">
        <f t="shared" si="0"/>
        <v>9237</v>
      </c>
      <c r="T16" s="951">
        <f t="shared" si="0"/>
        <v>11190</v>
      </c>
      <c r="U16" s="951">
        <f t="shared" si="0"/>
        <v>10670</v>
      </c>
      <c r="V16" s="951">
        <f t="shared" si="0"/>
        <v>9722</v>
      </c>
      <c r="W16" s="951">
        <f t="shared" si="0"/>
        <v>8516</v>
      </c>
      <c r="X16" s="951">
        <f t="shared" si="0"/>
        <v>9168</v>
      </c>
      <c r="Y16" s="951">
        <f t="shared" si="0"/>
        <v>17453</v>
      </c>
      <c r="Z16" s="951">
        <f t="shared" si="0"/>
        <v>8031</v>
      </c>
      <c r="AA16" s="951">
        <f t="shared" si="0"/>
        <v>8818</v>
      </c>
      <c r="AB16" s="951">
        <f t="shared" si="0"/>
        <v>8917</v>
      </c>
      <c r="AC16" s="951">
        <f t="shared" si="0"/>
        <v>8173</v>
      </c>
      <c r="AD16" s="951">
        <f t="shared" si="0"/>
        <v>6562</v>
      </c>
      <c r="AE16" s="951">
        <f t="shared" si="0"/>
        <v>8026</v>
      </c>
      <c r="AF16" s="951">
        <f t="shared" si="0"/>
        <v>12375</v>
      </c>
      <c r="AG16" s="951">
        <f t="shared" si="0"/>
        <v>11604</v>
      </c>
      <c r="AH16" s="951">
        <f t="shared" si="0"/>
        <v>5482</v>
      </c>
      <c r="AI16" s="951">
        <f t="shared" si="0"/>
        <v>5298</v>
      </c>
      <c r="AJ16" s="951">
        <f t="shared" si="0"/>
        <v>0</v>
      </c>
      <c r="AK16" s="951">
        <f>SUM(AK17:AK97)</f>
        <v>291671</v>
      </c>
      <c r="AL16" s="951"/>
      <c r="AM16" s="951">
        <f t="shared" ref="AM16" si="1">SUM(AM17:AM97)</f>
        <v>124584.01000000001</v>
      </c>
      <c r="AN16" s="657"/>
      <c r="AS16" s="953"/>
      <c r="AT16" s="953"/>
      <c r="AU16" s="953"/>
      <c r="AV16" s="953"/>
      <c r="AW16" s="953"/>
      <c r="AX16" s="953"/>
      <c r="AY16" s="953"/>
      <c r="AZ16" s="953"/>
      <c r="BA16" s="953"/>
      <c r="BB16" s="953"/>
      <c r="BC16" s="953"/>
      <c r="BD16" s="953"/>
      <c r="BE16" s="953"/>
      <c r="BF16" s="953"/>
    </row>
    <row r="17" spans="1:58" ht="54" customHeight="1">
      <c r="A17" s="645">
        <v>1</v>
      </c>
      <c r="B17" s="645">
        <v>1</v>
      </c>
      <c r="C17" s="645">
        <f>'Chấm công KT'!C13</f>
        <v>0</v>
      </c>
      <c r="D17" s="652" t="str">
        <f>'Chấm công KT'!D13</f>
        <v xml:space="preserve">T. Lăm  </v>
      </c>
      <c r="E17" s="652"/>
      <c r="F17" s="846">
        <v>112</v>
      </c>
      <c r="G17" s="846">
        <v>103</v>
      </c>
      <c r="H17" s="846">
        <v>123</v>
      </c>
      <c r="I17" s="846">
        <v>128</v>
      </c>
      <c r="J17" s="846">
        <v>133</v>
      </c>
      <c r="K17" s="846">
        <v>86</v>
      </c>
      <c r="L17" s="846">
        <v>237</v>
      </c>
      <c r="M17" s="846">
        <v>190</v>
      </c>
      <c r="N17" s="846">
        <v>223</v>
      </c>
      <c r="O17" s="846">
        <v>170</v>
      </c>
      <c r="P17" s="846">
        <v>208</v>
      </c>
      <c r="Q17" s="846">
        <v>182</v>
      </c>
      <c r="R17" s="846">
        <v>355</v>
      </c>
      <c r="S17" s="846">
        <v>180</v>
      </c>
      <c r="T17" s="846">
        <v>159</v>
      </c>
      <c r="U17" s="846">
        <v>157</v>
      </c>
      <c r="V17" s="846">
        <v>126</v>
      </c>
      <c r="W17" s="846">
        <v>159</v>
      </c>
      <c r="X17" s="846">
        <v>141</v>
      </c>
      <c r="Y17" s="846">
        <v>263</v>
      </c>
      <c r="Z17" s="846">
        <v>144</v>
      </c>
      <c r="AA17" s="846">
        <v>137</v>
      </c>
      <c r="AB17" s="846">
        <v>139</v>
      </c>
      <c r="AC17" s="846">
        <v>106</v>
      </c>
      <c r="AD17" s="846">
        <v>158</v>
      </c>
      <c r="AE17" s="846">
        <v>126</v>
      </c>
      <c r="AF17" s="846">
        <v>144</v>
      </c>
      <c r="AG17" s="846">
        <v>0</v>
      </c>
      <c r="AH17" s="846">
        <v>0</v>
      </c>
      <c r="AI17" s="846">
        <v>0</v>
      </c>
      <c r="AJ17" s="847"/>
      <c r="AK17" s="848">
        <f>SUM(F17:AJ17)</f>
        <v>4389</v>
      </c>
      <c r="AL17" s="863">
        <v>42.713883108022394</v>
      </c>
      <c r="AM17" s="849">
        <f t="shared" ref="AM17:AM48" si="2">AK17*AL17/100</f>
        <v>1874.7123296111029</v>
      </c>
      <c r="AN17" s="1149" t="s">
        <v>36</v>
      </c>
      <c r="AO17" s="421"/>
      <c r="AP17" s="421"/>
      <c r="AS17" s="773">
        <f>AM16/15*100</f>
        <v>830560.06666666677</v>
      </c>
      <c r="AT17" s="437"/>
      <c r="AU17" s="437"/>
      <c r="AV17" s="437"/>
      <c r="AW17" s="437"/>
      <c r="AX17" s="437"/>
      <c r="AY17" s="437"/>
      <c r="AZ17" s="437"/>
      <c r="BA17" s="437"/>
      <c r="BB17" s="437"/>
      <c r="BC17" s="437"/>
      <c r="BD17" s="437"/>
      <c r="BE17" s="437"/>
      <c r="BF17" s="437"/>
    </row>
    <row r="18" spans="1:58" ht="54" customHeight="1">
      <c r="A18" s="645">
        <v>2</v>
      </c>
      <c r="B18" s="645">
        <v>2</v>
      </c>
      <c r="C18" s="645" t="str">
        <f>'Chấm công KT'!C14</f>
        <v>04052</v>
      </c>
      <c r="D18" s="652" t="str">
        <f>'Chấm công KT'!D14</f>
        <v>T. Feng</v>
      </c>
      <c r="E18" s="652"/>
      <c r="F18" s="846">
        <v>81</v>
      </c>
      <c r="G18" s="846">
        <v>89</v>
      </c>
      <c r="H18" s="846">
        <v>0</v>
      </c>
      <c r="I18" s="846">
        <v>90</v>
      </c>
      <c r="J18" s="846">
        <v>103</v>
      </c>
      <c r="K18" s="846">
        <v>71</v>
      </c>
      <c r="L18" s="846">
        <v>120</v>
      </c>
      <c r="M18" s="846">
        <v>182</v>
      </c>
      <c r="N18" s="846">
        <v>210</v>
      </c>
      <c r="O18" s="846">
        <v>170</v>
      </c>
      <c r="P18" s="846">
        <v>143</v>
      </c>
      <c r="Q18" s="846">
        <v>182</v>
      </c>
      <c r="R18" s="846">
        <v>343</v>
      </c>
      <c r="S18" s="846">
        <v>130</v>
      </c>
      <c r="T18" s="846">
        <v>165</v>
      </c>
      <c r="U18" s="846">
        <v>182</v>
      </c>
      <c r="V18" s="846">
        <v>105</v>
      </c>
      <c r="W18" s="846">
        <v>0</v>
      </c>
      <c r="X18" s="846">
        <v>116</v>
      </c>
      <c r="Y18" s="846">
        <v>247</v>
      </c>
      <c r="Z18" s="846">
        <v>103</v>
      </c>
      <c r="AA18" s="846">
        <v>110</v>
      </c>
      <c r="AB18" s="846">
        <v>145</v>
      </c>
      <c r="AC18" s="846">
        <v>113</v>
      </c>
      <c r="AD18" s="846">
        <v>93</v>
      </c>
      <c r="AE18" s="846">
        <v>120</v>
      </c>
      <c r="AF18" s="846">
        <v>169</v>
      </c>
      <c r="AG18" s="846">
        <v>189</v>
      </c>
      <c r="AH18" s="846">
        <v>0</v>
      </c>
      <c r="AI18" s="846">
        <v>67</v>
      </c>
      <c r="AJ18" s="847"/>
      <c r="AK18" s="848">
        <f t="shared" ref="AK18:AK81" si="3">SUM(F18:AJ18)</f>
        <v>3838</v>
      </c>
      <c r="AL18" s="863">
        <v>42.713883108022394</v>
      </c>
      <c r="AM18" s="849">
        <f t="shared" si="2"/>
        <v>1639.3588336858995</v>
      </c>
      <c r="AN18" s="1149" t="s">
        <v>36</v>
      </c>
      <c r="AO18" s="421"/>
      <c r="AP18" s="421"/>
      <c r="AS18" s="437"/>
      <c r="AT18" s="437"/>
      <c r="AU18" s="437"/>
      <c r="AV18" s="437"/>
      <c r="AW18" s="437"/>
      <c r="AX18" s="437"/>
      <c r="AY18" s="437"/>
      <c r="AZ18" s="437"/>
      <c r="BA18" s="437"/>
      <c r="BB18" s="437"/>
      <c r="BC18" s="437"/>
      <c r="BD18" s="437"/>
      <c r="BE18" s="437"/>
      <c r="BF18" s="437"/>
    </row>
    <row r="19" spans="1:58" ht="54" customHeight="1">
      <c r="A19" s="645">
        <v>3</v>
      </c>
      <c r="B19" s="645">
        <v>3</v>
      </c>
      <c r="C19" s="645" t="str">
        <f>'Chấm công KT'!C15</f>
        <v>02725</v>
      </c>
      <c r="D19" s="652" t="str">
        <f>'Chấm công KT'!D15</f>
        <v>T. Sa Văn</v>
      </c>
      <c r="E19" s="652"/>
      <c r="F19" s="846">
        <v>0</v>
      </c>
      <c r="G19" s="846">
        <v>110</v>
      </c>
      <c r="H19" s="846">
        <v>132</v>
      </c>
      <c r="I19" s="846">
        <v>138</v>
      </c>
      <c r="J19" s="846">
        <v>136</v>
      </c>
      <c r="K19" s="846">
        <v>79</v>
      </c>
      <c r="L19" s="846">
        <v>149</v>
      </c>
      <c r="M19" s="846">
        <v>180</v>
      </c>
      <c r="N19" s="846">
        <v>142</v>
      </c>
      <c r="O19" s="846">
        <v>155</v>
      </c>
      <c r="P19" s="846">
        <v>120</v>
      </c>
      <c r="Q19" s="846">
        <v>120</v>
      </c>
      <c r="R19" s="846">
        <v>230</v>
      </c>
      <c r="S19" s="846">
        <v>100</v>
      </c>
      <c r="T19" s="846">
        <v>130</v>
      </c>
      <c r="U19" s="846">
        <v>127</v>
      </c>
      <c r="V19" s="846">
        <v>90</v>
      </c>
      <c r="W19" s="846">
        <v>93</v>
      </c>
      <c r="X19" s="846">
        <v>110</v>
      </c>
      <c r="Y19" s="846">
        <v>235</v>
      </c>
      <c r="Z19" s="846">
        <v>0</v>
      </c>
      <c r="AA19" s="846">
        <v>144</v>
      </c>
      <c r="AB19" s="846">
        <v>106</v>
      </c>
      <c r="AC19" s="846">
        <v>80</v>
      </c>
      <c r="AD19" s="846">
        <v>132</v>
      </c>
      <c r="AE19" s="846">
        <v>122</v>
      </c>
      <c r="AF19" s="846">
        <v>161</v>
      </c>
      <c r="AG19" s="846">
        <v>0</v>
      </c>
      <c r="AH19" s="846">
        <v>75</v>
      </c>
      <c r="AI19" s="846">
        <v>0</v>
      </c>
      <c r="AJ19" s="847"/>
      <c r="AK19" s="848">
        <f t="shared" si="3"/>
        <v>3396</v>
      </c>
      <c r="AL19" s="863">
        <v>42.713883108022394</v>
      </c>
      <c r="AM19" s="849">
        <f t="shared" si="2"/>
        <v>1450.5634703484404</v>
      </c>
      <c r="AN19" s="1149" t="s">
        <v>36</v>
      </c>
      <c r="AO19" s="421"/>
      <c r="AP19" s="421"/>
      <c r="AS19" s="437"/>
      <c r="AT19" s="437"/>
      <c r="AU19" s="437"/>
      <c r="AV19" s="437"/>
      <c r="AW19" s="437"/>
      <c r="AX19" s="437"/>
      <c r="AY19" s="437"/>
      <c r="AZ19" s="437"/>
      <c r="BA19" s="437"/>
      <c r="BB19" s="437"/>
      <c r="BC19" s="437"/>
      <c r="BD19" s="437"/>
      <c r="BE19" s="437"/>
      <c r="BF19" s="437"/>
    </row>
    <row r="20" spans="1:58" ht="54" customHeight="1">
      <c r="A20" s="645">
        <v>4</v>
      </c>
      <c r="B20" s="645">
        <v>4</v>
      </c>
      <c r="C20" s="645" t="str">
        <f>'Chấm công KT'!C16</f>
        <v>04053</v>
      </c>
      <c r="D20" s="652" t="str">
        <f>'Chấm công KT'!D16</f>
        <v>Lăm Ma Thu</v>
      </c>
      <c r="E20" s="652"/>
      <c r="F20" s="846">
        <v>0</v>
      </c>
      <c r="G20" s="846">
        <v>72</v>
      </c>
      <c r="H20" s="846">
        <v>55</v>
      </c>
      <c r="I20" s="846">
        <v>83</v>
      </c>
      <c r="J20" s="846">
        <v>164</v>
      </c>
      <c r="K20" s="846">
        <v>52</v>
      </c>
      <c r="L20" s="846">
        <v>126</v>
      </c>
      <c r="M20" s="846">
        <v>177</v>
      </c>
      <c r="N20" s="846">
        <v>201</v>
      </c>
      <c r="O20" s="846">
        <v>148</v>
      </c>
      <c r="P20" s="846">
        <v>106</v>
      </c>
      <c r="Q20" s="846">
        <v>137</v>
      </c>
      <c r="R20" s="846">
        <v>261</v>
      </c>
      <c r="S20" s="846">
        <v>93</v>
      </c>
      <c r="T20" s="846">
        <v>145</v>
      </c>
      <c r="U20" s="846">
        <v>164</v>
      </c>
      <c r="V20" s="846">
        <v>147</v>
      </c>
      <c r="W20" s="846">
        <v>96</v>
      </c>
      <c r="X20" s="846">
        <v>130</v>
      </c>
      <c r="Y20" s="846">
        <v>205</v>
      </c>
      <c r="Z20" s="846">
        <v>70</v>
      </c>
      <c r="AA20" s="846">
        <v>91</v>
      </c>
      <c r="AB20" s="846">
        <v>150</v>
      </c>
      <c r="AC20" s="846">
        <v>76</v>
      </c>
      <c r="AD20" s="846">
        <v>0</v>
      </c>
      <c r="AE20" s="846">
        <v>117</v>
      </c>
      <c r="AF20" s="846">
        <v>180</v>
      </c>
      <c r="AG20" s="846">
        <v>181</v>
      </c>
      <c r="AH20" s="846">
        <v>100</v>
      </c>
      <c r="AI20" s="846">
        <v>98</v>
      </c>
      <c r="AJ20" s="847"/>
      <c r="AK20" s="848">
        <f t="shared" si="3"/>
        <v>3625</v>
      </c>
      <c r="AL20" s="863">
        <v>42.713883108022394</v>
      </c>
      <c r="AM20" s="849">
        <f t="shared" si="2"/>
        <v>1548.3782626658117</v>
      </c>
      <c r="AN20" s="1149" t="s">
        <v>36</v>
      </c>
      <c r="AO20" s="421"/>
      <c r="AP20" s="421"/>
      <c r="AS20" s="437"/>
      <c r="AT20" s="437"/>
      <c r="AU20" s="437"/>
      <c r="AV20" s="437"/>
      <c r="AW20" s="437"/>
      <c r="AX20" s="437"/>
      <c r="AY20" s="437"/>
      <c r="AZ20" s="437"/>
      <c r="BA20" s="437"/>
      <c r="BB20" s="437"/>
      <c r="BC20" s="437"/>
      <c r="BD20" s="437"/>
      <c r="BE20" s="437"/>
      <c r="BF20" s="437"/>
    </row>
    <row r="21" spans="1:58" ht="54" customHeight="1">
      <c r="A21" s="645">
        <v>5</v>
      </c>
      <c r="B21" s="645">
        <v>5</v>
      </c>
      <c r="C21" s="645" t="str">
        <f>'Chấm công KT'!C17</f>
        <v>03459</v>
      </c>
      <c r="D21" s="652" t="str">
        <f>'Chấm công KT'!D17</f>
        <v>N. Vạt</v>
      </c>
      <c r="E21" s="652"/>
      <c r="F21" s="846">
        <v>74</v>
      </c>
      <c r="G21" s="846">
        <v>0</v>
      </c>
      <c r="H21" s="846">
        <v>0</v>
      </c>
      <c r="I21" s="846">
        <v>180</v>
      </c>
      <c r="J21" s="846">
        <v>67</v>
      </c>
      <c r="K21" s="846">
        <v>89</v>
      </c>
      <c r="L21" s="846">
        <v>275</v>
      </c>
      <c r="M21" s="846">
        <v>147</v>
      </c>
      <c r="N21" s="846">
        <v>128</v>
      </c>
      <c r="O21" s="846">
        <v>146</v>
      </c>
      <c r="P21" s="846">
        <v>160</v>
      </c>
      <c r="Q21" s="846">
        <v>103</v>
      </c>
      <c r="R21" s="846">
        <v>194</v>
      </c>
      <c r="S21" s="846">
        <v>124</v>
      </c>
      <c r="T21" s="846">
        <v>90</v>
      </c>
      <c r="U21" s="846">
        <v>92</v>
      </c>
      <c r="V21" s="846">
        <v>0</v>
      </c>
      <c r="W21" s="846">
        <v>173</v>
      </c>
      <c r="X21" s="846">
        <v>145</v>
      </c>
      <c r="Y21" s="846">
        <v>181</v>
      </c>
      <c r="Z21" s="846">
        <v>121</v>
      </c>
      <c r="AA21" s="846">
        <v>92</v>
      </c>
      <c r="AB21" s="846">
        <v>74</v>
      </c>
      <c r="AC21" s="846">
        <v>78</v>
      </c>
      <c r="AD21" s="846">
        <v>0</v>
      </c>
      <c r="AE21" s="846">
        <v>77</v>
      </c>
      <c r="AF21" s="846">
        <v>126</v>
      </c>
      <c r="AG21" s="846">
        <v>148</v>
      </c>
      <c r="AH21" s="846">
        <v>144</v>
      </c>
      <c r="AI21" s="846">
        <v>0</v>
      </c>
      <c r="AJ21" s="847"/>
      <c r="AK21" s="848">
        <f t="shared" si="3"/>
        <v>3228</v>
      </c>
      <c r="AL21" s="863">
        <v>42.713883108022394</v>
      </c>
      <c r="AM21" s="849">
        <f t="shared" si="2"/>
        <v>1378.8041467269629</v>
      </c>
      <c r="AN21" s="1149" t="s">
        <v>36</v>
      </c>
      <c r="AO21" s="421"/>
      <c r="AP21" s="421"/>
      <c r="AS21" s="437"/>
      <c r="AT21" s="437"/>
      <c r="AU21" s="437"/>
      <c r="AV21" s="437"/>
      <c r="AW21" s="437"/>
      <c r="AX21" s="437"/>
      <c r="AY21" s="437"/>
      <c r="AZ21" s="437"/>
      <c r="BA21" s="437"/>
      <c r="BB21" s="437"/>
      <c r="BC21" s="437"/>
      <c r="BD21" s="437"/>
      <c r="BE21" s="437"/>
      <c r="BF21" s="437"/>
    </row>
    <row r="22" spans="1:58" ht="54" customHeight="1">
      <c r="A22" s="645">
        <v>6</v>
      </c>
      <c r="B22" s="645">
        <v>6</v>
      </c>
      <c r="C22" s="645" t="str">
        <f>'Chấm công KT'!C18</f>
        <v>04054</v>
      </c>
      <c r="D22" s="652" t="str">
        <f>'Chấm công KT'!D18</f>
        <v>N. Kay Son</v>
      </c>
      <c r="E22" s="652"/>
      <c r="F22" s="846">
        <v>0</v>
      </c>
      <c r="G22" s="846">
        <v>78</v>
      </c>
      <c r="H22" s="846">
        <v>80</v>
      </c>
      <c r="I22" s="846">
        <v>90</v>
      </c>
      <c r="J22" s="846">
        <v>154</v>
      </c>
      <c r="K22" s="846">
        <v>67</v>
      </c>
      <c r="L22" s="846">
        <v>174</v>
      </c>
      <c r="M22" s="846">
        <v>180</v>
      </c>
      <c r="N22" s="846">
        <v>221</v>
      </c>
      <c r="O22" s="846">
        <v>158</v>
      </c>
      <c r="P22" s="846">
        <v>131</v>
      </c>
      <c r="Q22" s="846">
        <v>143</v>
      </c>
      <c r="R22" s="846">
        <v>282</v>
      </c>
      <c r="S22" s="846">
        <v>110</v>
      </c>
      <c r="T22" s="846">
        <v>146</v>
      </c>
      <c r="U22" s="846">
        <v>184</v>
      </c>
      <c r="V22" s="846">
        <v>121</v>
      </c>
      <c r="W22" s="846">
        <v>130</v>
      </c>
      <c r="X22" s="846">
        <v>141</v>
      </c>
      <c r="Y22" s="846">
        <v>290</v>
      </c>
      <c r="Z22" s="846">
        <v>127</v>
      </c>
      <c r="AA22" s="846">
        <v>140</v>
      </c>
      <c r="AB22" s="846">
        <v>125</v>
      </c>
      <c r="AC22" s="846">
        <v>123</v>
      </c>
      <c r="AD22" s="846">
        <v>84</v>
      </c>
      <c r="AE22" s="846">
        <v>96</v>
      </c>
      <c r="AF22" s="846">
        <v>220</v>
      </c>
      <c r="AG22" s="846">
        <v>189</v>
      </c>
      <c r="AH22" s="846">
        <v>0</v>
      </c>
      <c r="AI22" s="846">
        <v>109</v>
      </c>
      <c r="AJ22" s="847"/>
      <c r="AK22" s="848">
        <f t="shared" si="3"/>
        <v>4093</v>
      </c>
      <c r="AL22" s="863">
        <v>42.713883108022394</v>
      </c>
      <c r="AM22" s="849">
        <f t="shared" si="2"/>
        <v>1748.2792356113566</v>
      </c>
      <c r="AN22" s="1149" t="s">
        <v>36</v>
      </c>
      <c r="AO22" s="421"/>
      <c r="AP22" s="421"/>
    </row>
    <row r="23" spans="1:58" ht="54" customHeight="1">
      <c r="A23" s="645">
        <v>7</v>
      </c>
      <c r="B23" s="645">
        <v>7</v>
      </c>
      <c r="C23" s="645" t="str">
        <f>'Chấm công KT'!C19</f>
        <v>04055</v>
      </c>
      <c r="D23" s="652" t="str">
        <f>'Chấm công KT'!D19</f>
        <v>T. Đèng 1</v>
      </c>
      <c r="E23" s="652"/>
      <c r="F23" s="846">
        <v>0</v>
      </c>
      <c r="G23" s="846">
        <v>75</v>
      </c>
      <c r="H23" s="846">
        <v>79</v>
      </c>
      <c r="I23" s="846">
        <v>110</v>
      </c>
      <c r="J23" s="846">
        <v>134</v>
      </c>
      <c r="K23" s="846">
        <v>70</v>
      </c>
      <c r="L23" s="846">
        <v>137</v>
      </c>
      <c r="M23" s="846">
        <v>186</v>
      </c>
      <c r="N23" s="846">
        <v>155</v>
      </c>
      <c r="O23" s="846">
        <v>182</v>
      </c>
      <c r="P23" s="846">
        <v>103</v>
      </c>
      <c r="Q23" s="846">
        <v>153</v>
      </c>
      <c r="R23" s="846">
        <v>258</v>
      </c>
      <c r="S23" s="846">
        <v>96</v>
      </c>
      <c r="T23" s="846">
        <v>138</v>
      </c>
      <c r="U23" s="846">
        <v>127</v>
      </c>
      <c r="V23" s="846">
        <v>124</v>
      </c>
      <c r="W23" s="846">
        <v>80</v>
      </c>
      <c r="X23" s="846">
        <v>149</v>
      </c>
      <c r="Y23" s="846">
        <v>189</v>
      </c>
      <c r="Z23" s="846">
        <v>84</v>
      </c>
      <c r="AA23" s="846">
        <v>120</v>
      </c>
      <c r="AB23" s="846">
        <v>100</v>
      </c>
      <c r="AC23" s="846">
        <v>115</v>
      </c>
      <c r="AD23" s="846">
        <v>87</v>
      </c>
      <c r="AE23" s="846">
        <v>151</v>
      </c>
      <c r="AF23" s="846">
        <v>156</v>
      </c>
      <c r="AG23" s="846">
        <v>183</v>
      </c>
      <c r="AH23" s="846">
        <v>105</v>
      </c>
      <c r="AI23" s="846">
        <v>0</v>
      </c>
      <c r="AJ23" s="847"/>
      <c r="AK23" s="848">
        <f t="shared" si="3"/>
        <v>3646</v>
      </c>
      <c r="AL23" s="863">
        <v>42.713883108022394</v>
      </c>
      <c r="AM23" s="849">
        <f t="shared" si="2"/>
        <v>1557.3481781184964</v>
      </c>
      <c r="AN23" s="1149" t="s">
        <v>36</v>
      </c>
      <c r="AO23" s="421"/>
      <c r="AP23" s="421"/>
    </row>
    <row r="24" spans="1:58" ht="54" customHeight="1">
      <c r="A24" s="645">
        <v>8</v>
      </c>
      <c r="B24" s="645">
        <v>8</v>
      </c>
      <c r="C24" s="645" t="str">
        <f>'Chấm công KT'!C20</f>
        <v>03462</v>
      </c>
      <c r="D24" s="652" t="str">
        <f>'Chấm công KT'!D20</f>
        <v>T . Bua Ngân</v>
      </c>
      <c r="E24" s="652"/>
      <c r="F24" s="846">
        <v>0</v>
      </c>
      <c r="G24" s="846">
        <v>84</v>
      </c>
      <c r="H24" s="846">
        <v>70</v>
      </c>
      <c r="I24" s="846">
        <v>88</v>
      </c>
      <c r="J24" s="846">
        <v>110</v>
      </c>
      <c r="K24" s="846">
        <v>84</v>
      </c>
      <c r="L24" s="846">
        <v>132</v>
      </c>
      <c r="M24" s="846">
        <v>126</v>
      </c>
      <c r="N24" s="846">
        <v>183</v>
      </c>
      <c r="O24" s="846">
        <v>188</v>
      </c>
      <c r="P24" s="846">
        <v>89</v>
      </c>
      <c r="Q24" s="846">
        <v>108</v>
      </c>
      <c r="R24" s="846">
        <v>307</v>
      </c>
      <c r="S24" s="846">
        <v>130</v>
      </c>
      <c r="T24" s="846">
        <v>160</v>
      </c>
      <c r="U24" s="846">
        <v>150</v>
      </c>
      <c r="V24" s="846">
        <v>160</v>
      </c>
      <c r="W24" s="846">
        <v>120</v>
      </c>
      <c r="X24" s="846">
        <v>143</v>
      </c>
      <c r="Y24" s="846">
        <v>251</v>
      </c>
      <c r="Z24" s="846">
        <v>82</v>
      </c>
      <c r="AA24" s="846">
        <v>116</v>
      </c>
      <c r="AB24" s="846">
        <v>101</v>
      </c>
      <c r="AC24" s="846">
        <v>117</v>
      </c>
      <c r="AD24" s="846">
        <v>113</v>
      </c>
      <c r="AE24" s="846">
        <v>120</v>
      </c>
      <c r="AF24" s="846">
        <v>172</v>
      </c>
      <c r="AG24" s="846">
        <v>170</v>
      </c>
      <c r="AH24" s="846">
        <v>0</v>
      </c>
      <c r="AI24" s="846">
        <v>0</v>
      </c>
      <c r="AJ24" s="847"/>
      <c r="AK24" s="848">
        <f t="shared" si="3"/>
        <v>3674</v>
      </c>
      <c r="AL24" s="863">
        <v>42.713883108022394</v>
      </c>
      <c r="AM24" s="849">
        <f t="shared" si="2"/>
        <v>1569.3080653887428</v>
      </c>
      <c r="AN24" s="1149" t="s">
        <v>36</v>
      </c>
      <c r="AO24" s="421"/>
      <c r="AP24" s="421"/>
    </row>
    <row r="25" spans="1:58" ht="54" customHeight="1">
      <c r="A25" s="645">
        <v>9</v>
      </c>
      <c r="B25" s="645">
        <v>9</v>
      </c>
      <c r="C25" s="645" t="str">
        <f>'Chấm công KT'!C21</f>
        <v>03463</v>
      </c>
      <c r="D25" s="652" t="str">
        <f>'Chấm công KT'!D21</f>
        <v>T Căng</v>
      </c>
      <c r="E25" s="652"/>
      <c r="F25" s="846">
        <v>0</v>
      </c>
      <c r="G25" s="846">
        <v>122</v>
      </c>
      <c r="H25" s="846">
        <v>144</v>
      </c>
      <c r="I25" s="846">
        <v>0</v>
      </c>
      <c r="J25" s="846">
        <v>120</v>
      </c>
      <c r="K25" s="846">
        <v>91</v>
      </c>
      <c r="L25" s="846">
        <v>260</v>
      </c>
      <c r="M25" s="846">
        <v>245</v>
      </c>
      <c r="N25" s="846">
        <v>141</v>
      </c>
      <c r="O25" s="846">
        <v>208</v>
      </c>
      <c r="P25" s="846">
        <v>184</v>
      </c>
      <c r="Q25" s="846">
        <v>144</v>
      </c>
      <c r="R25" s="846">
        <v>254</v>
      </c>
      <c r="S25" s="846">
        <v>143</v>
      </c>
      <c r="T25" s="846">
        <v>176</v>
      </c>
      <c r="U25" s="846">
        <v>150</v>
      </c>
      <c r="V25" s="846">
        <v>190</v>
      </c>
      <c r="W25" s="846">
        <v>204</v>
      </c>
      <c r="X25" s="846">
        <v>120</v>
      </c>
      <c r="Y25" s="846">
        <v>210</v>
      </c>
      <c r="Z25" s="846">
        <v>196</v>
      </c>
      <c r="AA25" s="846">
        <v>166</v>
      </c>
      <c r="AB25" s="846">
        <v>138</v>
      </c>
      <c r="AC25" s="846">
        <v>152</v>
      </c>
      <c r="AD25" s="846">
        <v>124</v>
      </c>
      <c r="AE25" s="846">
        <v>114</v>
      </c>
      <c r="AF25" s="846">
        <v>161</v>
      </c>
      <c r="AG25" s="846">
        <v>219</v>
      </c>
      <c r="AH25" s="846">
        <v>140</v>
      </c>
      <c r="AI25" s="846">
        <v>64</v>
      </c>
      <c r="AJ25" s="847"/>
      <c r="AK25" s="848">
        <f t="shared" si="3"/>
        <v>4580</v>
      </c>
      <c r="AL25" s="863">
        <v>42.713883108022394</v>
      </c>
      <c r="AM25" s="849">
        <f t="shared" si="2"/>
        <v>1956.2958463474256</v>
      </c>
      <c r="AN25" s="1149" t="s">
        <v>36</v>
      </c>
      <c r="AO25" s="421"/>
      <c r="AP25" s="421"/>
    </row>
    <row r="26" spans="1:58" ht="54" customHeight="1">
      <c r="A26" s="645">
        <v>10</v>
      </c>
      <c r="B26" s="645">
        <v>10</v>
      </c>
      <c r="C26" s="645" t="str">
        <f>'Chấm công KT'!C22</f>
        <v>03464</v>
      </c>
      <c r="D26" s="652" t="str">
        <f>'Chấm công KT'!D22</f>
        <v>N. Phôn 1</v>
      </c>
      <c r="E26" s="652"/>
      <c r="F26" s="846">
        <v>0</v>
      </c>
      <c r="G26" s="846">
        <v>122</v>
      </c>
      <c r="H26" s="846">
        <v>138</v>
      </c>
      <c r="I26" s="846">
        <v>0</v>
      </c>
      <c r="J26" s="846">
        <v>136</v>
      </c>
      <c r="K26" s="846">
        <v>92</v>
      </c>
      <c r="L26" s="846">
        <v>245</v>
      </c>
      <c r="M26" s="846">
        <v>259</v>
      </c>
      <c r="N26" s="846">
        <v>141</v>
      </c>
      <c r="O26" s="846">
        <v>210</v>
      </c>
      <c r="P26" s="846">
        <v>211</v>
      </c>
      <c r="Q26" s="846">
        <v>148</v>
      </c>
      <c r="R26" s="846">
        <v>262</v>
      </c>
      <c r="S26" s="846">
        <v>133</v>
      </c>
      <c r="T26" s="846">
        <v>191</v>
      </c>
      <c r="U26" s="846">
        <v>130</v>
      </c>
      <c r="V26" s="846">
        <v>177</v>
      </c>
      <c r="W26" s="846">
        <v>189</v>
      </c>
      <c r="X26" s="846">
        <v>121</v>
      </c>
      <c r="Y26" s="846">
        <v>216</v>
      </c>
      <c r="Z26" s="846">
        <v>196</v>
      </c>
      <c r="AA26" s="846">
        <v>168</v>
      </c>
      <c r="AB26" s="846">
        <v>146</v>
      </c>
      <c r="AC26" s="846">
        <v>152</v>
      </c>
      <c r="AD26" s="846">
        <v>115</v>
      </c>
      <c r="AE26" s="846">
        <v>110</v>
      </c>
      <c r="AF26" s="846">
        <v>163</v>
      </c>
      <c r="AG26" s="846">
        <v>240</v>
      </c>
      <c r="AH26" s="846">
        <v>123</v>
      </c>
      <c r="AI26" s="846">
        <v>104</v>
      </c>
      <c r="AJ26" s="847"/>
      <c r="AK26" s="848">
        <f t="shared" si="3"/>
        <v>4638</v>
      </c>
      <c r="AL26" s="863">
        <v>42.713883108022394</v>
      </c>
      <c r="AM26" s="849">
        <f t="shared" si="2"/>
        <v>1981.0698985500785</v>
      </c>
      <c r="AN26" s="1149" t="s">
        <v>36</v>
      </c>
      <c r="AO26" s="421"/>
      <c r="AP26" s="421"/>
    </row>
    <row r="27" spans="1:58" ht="54" customHeight="1">
      <c r="A27" s="645">
        <v>11</v>
      </c>
      <c r="B27" s="645">
        <v>11</v>
      </c>
      <c r="C27" s="645" t="str">
        <f>'Chấm công KT'!C23</f>
        <v>03465</v>
      </c>
      <c r="D27" s="652" t="str">
        <f>'Chấm công KT'!D23</f>
        <v>T. In Păn</v>
      </c>
      <c r="E27" s="652"/>
      <c r="F27" s="846">
        <v>73</v>
      </c>
      <c r="G27" s="846">
        <v>0</v>
      </c>
      <c r="H27" s="846">
        <v>116</v>
      </c>
      <c r="I27" s="846">
        <v>97</v>
      </c>
      <c r="J27" s="846">
        <v>80</v>
      </c>
      <c r="K27" s="846">
        <v>110</v>
      </c>
      <c r="L27" s="846">
        <v>88</v>
      </c>
      <c r="M27" s="846">
        <v>187</v>
      </c>
      <c r="N27" s="846">
        <v>182</v>
      </c>
      <c r="O27" s="846">
        <v>155</v>
      </c>
      <c r="P27" s="846">
        <v>172</v>
      </c>
      <c r="Q27" s="846">
        <v>168</v>
      </c>
      <c r="R27" s="846">
        <v>306</v>
      </c>
      <c r="S27" s="846">
        <v>160</v>
      </c>
      <c r="T27" s="846">
        <v>130</v>
      </c>
      <c r="U27" s="846">
        <v>105</v>
      </c>
      <c r="V27" s="846">
        <v>100</v>
      </c>
      <c r="W27" s="846">
        <v>137</v>
      </c>
      <c r="X27" s="846">
        <v>120</v>
      </c>
      <c r="Y27" s="846">
        <v>236</v>
      </c>
      <c r="Z27" s="846">
        <v>163</v>
      </c>
      <c r="AA27" s="846">
        <v>110</v>
      </c>
      <c r="AB27" s="846">
        <v>94</v>
      </c>
      <c r="AC27" s="846">
        <v>80</v>
      </c>
      <c r="AD27" s="846">
        <v>0</v>
      </c>
      <c r="AE27" s="846">
        <v>84</v>
      </c>
      <c r="AF27" s="846">
        <v>138</v>
      </c>
      <c r="AG27" s="846">
        <v>0</v>
      </c>
      <c r="AH27" s="846">
        <v>103</v>
      </c>
      <c r="AI27" s="846">
        <v>101</v>
      </c>
      <c r="AJ27" s="847"/>
      <c r="AK27" s="848">
        <f t="shared" si="3"/>
        <v>3595</v>
      </c>
      <c r="AL27" s="863">
        <v>42.713883108022394</v>
      </c>
      <c r="AM27" s="849">
        <f t="shared" si="2"/>
        <v>1535.5640977334051</v>
      </c>
      <c r="AN27" s="1149" t="s">
        <v>36</v>
      </c>
      <c r="AO27" s="421"/>
      <c r="AP27" s="421"/>
    </row>
    <row r="28" spans="1:58" ht="54" customHeight="1">
      <c r="A28" s="645">
        <v>12</v>
      </c>
      <c r="B28" s="645">
        <v>12</v>
      </c>
      <c r="C28" s="645" t="str">
        <f>'Chấm công KT'!C24</f>
        <v>03466</v>
      </c>
      <c r="D28" s="652" t="str">
        <f>'Chấm công KT'!D24</f>
        <v>N. Keo</v>
      </c>
      <c r="E28" s="652"/>
      <c r="F28" s="846">
        <v>0</v>
      </c>
      <c r="G28" s="846">
        <v>91</v>
      </c>
      <c r="H28" s="846">
        <v>128</v>
      </c>
      <c r="I28" s="846">
        <v>100</v>
      </c>
      <c r="J28" s="846">
        <v>133</v>
      </c>
      <c r="K28" s="846">
        <v>82</v>
      </c>
      <c r="L28" s="846">
        <v>270</v>
      </c>
      <c r="M28" s="846">
        <v>181</v>
      </c>
      <c r="N28" s="846">
        <v>201</v>
      </c>
      <c r="O28" s="846">
        <v>211</v>
      </c>
      <c r="P28" s="846">
        <v>164</v>
      </c>
      <c r="Q28" s="846">
        <v>128</v>
      </c>
      <c r="R28" s="846">
        <v>290</v>
      </c>
      <c r="S28" s="846">
        <v>161</v>
      </c>
      <c r="T28" s="846">
        <v>106</v>
      </c>
      <c r="U28" s="846">
        <v>154</v>
      </c>
      <c r="V28" s="846">
        <v>138</v>
      </c>
      <c r="W28" s="846">
        <v>162</v>
      </c>
      <c r="X28" s="846">
        <v>126</v>
      </c>
      <c r="Y28" s="846">
        <v>296</v>
      </c>
      <c r="Z28" s="846">
        <v>164</v>
      </c>
      <c r="AA28" s="846">
        <v>92</v>
      </c>
      <c r="AB28" s="846">
        <v>127</v>
      </c>
      <c r="AC28" s="846">
        <v>120</v>
      </c>
      <c r="AD28" s="846">
        <v>120</v>
      </c>
      <c r="AE28" s="846">
        <v>93</v>
      </c>
      <c r="AF28" s="846">
        <v>183</v>
      </c>
      <c r="AG28" s="846">
        <v>185</v>
      </c>
      <c r="AH28" s="846">
        <v>0</v>
      </c>
      <c r="AI28" s="846">
        <v>145</v>
      </c>
      <c r="AJ28" s="847"/>
      <c r="AK28" s="848">
        <f t="shared" si="3"/>
        <v>4351</v>
      </c>
      <c r="AL28" s="863">
        <v>42.713883108022394</v>
      </c>
      <c r="AM28" s="849">
        <f t="shared" si="2"/>
        <v>1858.4810540300543</v>
      </c>
      <c r="AN28" s="1149" t="s">
        <v>36</v>
      </c>
      <c r="AO28" s="421"/>
      <c r="AP28" s="421"/>
    </row>
    <row r="29" spans="1:58" ht="54" customHeight="1">
      <c r="A29" s="645">
        <v>13</v>
      </c>
      <c r="B29" s="645">
        <v>13</v>
      </c>
      <c r="C29" s="645" t="str">
        <f>'Chấm công KT'!C25</f>
        <v>02727</v>
      </c>
      <c r="D29" s="652" t="str">
        <f>'Chấm công KT'!D25</f>
        <v>T. Thong Đon</v>
      </c>
      <c r="E29" s="652"/>
      <c r="F29" s="846">
        <v>74</v>
      </c>
      <c r="G29" s="846">
        <v>96</v>
      </c>
      <c r="H29" s="846">
        <v>0</v>
      </c>
      <c r="I29" s="846">
        <v>90</v>
      </c>
      <c r="J29" s="846">
        <v>80</v>
      </c>
      <c r="K29" s="846">
        <v>72</v>
      </c>
      <c r="L29" s="846">
        <v>340</v>
      </c>
      <c r="M29" s="846">
        <v>172</v>
      </c>
      <c r="N29" s="846">
        <v>194</v>
      </c>
      <c r="O29" s="846">
        <v>193</v>
      </c>
      <c r="P29" s="846">
        <v>168</v>
      </c>
      <c r="Q29" s="846">
        <v>126</v>
      </c>
      <c r="R29" s="846">
        <v>360</v>
      </c>
      <c r="S29" s="846">
        <v>219</v>
      </c>
      <c r="T29" s="846">
        <v>103</v>
      </c>
      <c r="U29" s="846">
        <v>133</v>
      </c>
      <c r="V29" s="846">
        <v>148</v>
      </c>
      <c r="W29" s="846">
        <v>182</v>
      </c>
      <c r="X29" s="846">
        <v>115</v>
      </c>
      <c r="Y29" s="846">
        <v>237</v>
      </c>
      <c r="Z29" s="846">
        <v>202</v>
      </c>
      <c r="AA29" s="846">
        <v>130</v>
      </c>
      <c r="AB29" s="846">
        <v>87</v>
      </c>
      <c r="AC29" s="846">
        <v>152</v>
      </c>
      <c r="AD29" s="846">
        <v>0</v>
      </c>
      <c r="AE29" s="846">
        <v>103</v>
      </c>
      <c r="AF29" s="846">
        <v>168</v>
      </c>
      <c r="AG29" s="846">
        <v>168</v>
      </c>
      <c r="AH29" s="846">
        <v>0</v>
      </c>
      <c r="AI29" s="846">
        <v>148</v>
      </c>
      <c r="AJ29" s="847"/>
      <c r="AK29" s="848">
        <f t="shared" si="3"/>
        <v>4260</v>
      </c>
      <c r="AL29" s="863">
        <v>42.713883108022394</v>
      </c>
      <c r="AM29" s="849">
        <f t="shared" si="2"/>
        <v>1819.6114204017538</v>
      </c>
      <c r="AN29" s="1149" t="s">
        <v>36</v>
      </c>
      <c r="AO29" s="421"/>
      <c r="AP29" s="421"/>
    </row>
    <row r="30" spans="1:58" ht="54" customHeight="1">
      <c r="A30" s="645">
        <v>14</v>
      </c>
      <c r="B30" s="645">
        <v>14</v>
      </c>
      <c r="C30" s="645" t="str">
        <f>'Chấm công KT'!C26</f>
        <v>03467</v>
      </c>
      <c r="D30" s="652" t="str">
        <f>'Chấm công KT'!D26</f>
        <v>T. Hin</v>
      </c>
      <c r="E30" s="652"/>
      <c r="F30" s="846">
        <v>76</v>
      </c>
      <c r="G30" s="846">
        <v>102</v>
      </c>
      <c r="H30" s="846">
        <v>102</v>
      </c>
      <c r="I30" s="846">
        <v>66</v>
      </c>
      <c r="J30" s="846">
        <v>65</v>
      </c>
      <c r="K30" s="846">
        <v>98</v>
      </c>
      <c r="L30" s="846">
        <v>0</v>
      </c>
      <c r="M30" s="846">
        <v>116</v>
      </c>
      <c r="N30" s="846">
        <v>155</v>
      </c>
      <c r="O30" s="846">
        <v>212</v>
      </c>
      <c r="P30" s="846">
        <v>252</v>
      </c>
      <c r="Q30" s="846">
        <v>113</v>
      </c>
      <c r="R30" s="846">
        <v>350</v>
      </c>
      <c r="S30" s="846">
        <v>159</v>
      </c>
      <c r="T30" s="846">
        <v>120</v>
      </c>
      <c r="U30" s="846">
        <v>130</v>
      </c>
      <c r="V30" s="846">
        <v>176</v>
      </c>
      <c r="W30" s="846">
        <v>151</v>
      </c>
      <c r="X30" s="846">
        <v>108</v>
      </c>
      <c r="Y30" s="846">
        <v>310</v>
      </c>
      <c r="Z30" s="846">
        <v>151</v>
      </c>
      <c r="AA30" s="846">
        <v>96</v>
      </c>
      <c r="AB30" s="846">
        <v>128</v>
      </c>
      <c r="AC30" s="846">
        <v>147</v>
      </c>
      <c r="AD30" s="846">
        <v>124</v>
      </c>
      <c r="AE30" s="846">
        <v>87</v>
      </c>
      <c r="AF30" s="846">
        <v>141</v>
      </c>
      <c r="AG30" s="846">
        <v>231</v>
      </c>
      <c r="AH30" s="846">
        <v>114</v>
      </c>
      <c r="AI30" s="846">
        <v>54</v>
      </c>
      <c r="AJ30" s="847"/>
      <c r="AK30" s="848">
        <f t="shared" si="3"/>
        <v>4134</v>
      </c>
      <c r="AL30" s="863">
        <v>42.713883108022394</v>
      </c>
      <c r="AM30" s="849">
        <f t="shared" si="2"/>
        <v>1765.7919276856455</v>
      </c>
      <c r="AN30" s="1149" t="s">
        <v>36</v>
      </c>
      <c r="AO30" s="421"/>
      <c r="AP30" s="421"/>
    </row>
    <row r="31" spans="1:58" ht="54" customHeight="1">
      <c r="A31" s="645">
        <v>15</v>
      </c>
      <c r="B31" s="645">
        <v>15</v>
      </c>
      <c r="C31" s="645" t="str">
        <f>'Chấm công KT'!C27</f>
        <v>04056</v>
      </c>
      <c r="D31" s="652" t="str">
        <f>'Chấm công KT'!D27</f>
        <v>N. Ly Phon</v>
      </c>
      <c r="E31" s="652"/>
      <c r="F31" s="846">
        <v>87</v>
      </c>
      <c r="G31" s="846">
        <v>0</v>
      </c>
      <c r="H31" s="846">
        <v>127</v>
      </c>
      <c r="I31" s="846">
        <v>200</v>
      </c>
      <c r="J31" s="846">
        <v>107</v>
      </c>
      <c r="K31" s="846">
        <v>80</v>
      </c>
      <c r="L31" s="846">
        <v>226</v>
      </c>
      <c r="M31" s="846">
        <v>173</v>
      </c>
      <c r="N31" s="846">
        <v>144</v>
      </c>
      <c r="O31" s="846">
        <v>191</v>
      </c>
      <c r="P31" s="846">
        <v>158</v>
      </c>
      <c r="Q31" s="846">
        <v>184</v>
      </c>
      <c r="R31" s="846">
        <v>276</v>
      </c>
      <c r="S31" s="846">
        <v>132</v>
      </c>
      <c r="T31" s="846">
        <v>131</v>
      </c>
      <c r="U31" s="846">
        <v>110</v>
      </c>
      <c r="V31" s="846">
        <v>123</v>
      </c>
      <c r="W31" s="846">
        <v>160</v>
      </c>
      <c r="X31" s="846">
        <v>146</v>
      </c>
      <c r="Y31" s="846">
        <v>204</v>
      </c>
      <c r="Z31" s="846">
        <v>108</v>
      </c>
      <c r="AA31" s="846">
        <v>106</v>
      </c>
      <c r="AB31" s="846">
        <v>123</v>
      </c>
      <c r="AC31" s="846">
        <v>93</v>
      </c>
      <c r="AD31" s="846">
        <v>87</v>
      </c>
      <c r="AE31" s="846">
        <v>65</v>
      </c>
      <c r="AF31" s="846">
        <v>146</v>
      </c>
      <c r="AG31" s="846">
        <v>180</v>
      </c>
      <c r="AH31" s="846">
        <v>0</v>
      </c>
      <c r="AI31" s="846">
        <v>136</v>
      </c>
      <c r="AJ31" s="847"/>
      <c r="AK31" s="848">
        <f t="shared" si="3"/>
        <v>4003</v>
      </c>
      <c r="AL31" s="863">
        <v>42.713883108022394</v>
      </c>
      <c r="AM31" s="849">
        <f t="shared" si="2"/>
        <v>1709.8367408141362</v>
      </c>
      <c r="AN31" s="1149" t="s">
        <v>43</v>
      </c>
      <c r="AO31" s="421"/>
      <c r="AP31" s="421"/>
    </row>
    <row r="32" spans="1:58" ht="54" customHeight="1">
      <c r="A32" s="645">
        <v>16</v>
      </c>
      <c r="B32" s="645">
        <v>16</v>
      </c>
      <c r="C32" s="645" t="str">
        <f>'Chấm công KT'!C28</f>
        <v>03469</v>
      </c>
      <c r="D32" s="652" t="str">
        <f>'Chấm công KT'!D28</f>
        <v>T. Xôm Va Nít</v>
      </c>
      <c r="E32" s="652"/>
      <c r="F32" s="846">
        <v>0</v>
      </c>
      <c r="G32" s="846">
        <v>91</v>
      </c>
      <c r="H32" s="846">
        <v>146</v>
      </c>
      <c r="I32" s="846">
        <v>107</v>
      </c>
      <c r="J32" s="846">
        <v>141</v>
      </c>
      <c r="K32" s="846">
        <v>86</v>
      </c>
      <c r="L32" s="846">
        <v>221</v>
      </c>
      <c r="M32" s="846">
        <v>171</v>
      </c>
      <c r="N32" s="846">
        <v>219</v>
      </c>
      <c r="O32" s="846">
        <v>213</v>
      </c>
      <c r="P32" s="846">
        <v>200</v>
      </c>
      <c r="Q32" s="846">
        <v>151</v>
      </c>
      <c r="R32" s="846">
        <v>314</v>
      </c>
      <c r="S32" s="846">
        <v>155</v>
      </c>
      <c r="T32" s="846">
        <v>124</v>
      </c>
      <c r="U32" s="846">
        <v>164</v>
      </c>
      <c r="V32" s="846">
        <v>135</v>
      </c>
      <c r="W32" s="846">
        <v>195</v>
      </c>
      <c r="X32" s="846">
        <v>124</v>
      </c>
      <c r="Y32" s="846">
        <v>303</v>
      </c>
      <c r="Z32" s="846">
        <v>164</v>
      </c>
      <c r="AA32" s="846">
        <v>93</v>
      </c>
      <c r="AB32" s="846">
        <v>129</v>
      </c>
      <c r="AC32" s="846">
        <v>124</v>
      </c>
      <c r="AD32" s="846">
        <v>138</v>
      </c>
      <c r="AE32" s="846">
        <v>90</v>
      </c>
      <c r="AF32" s="846">
        <v>190</v>
      </c>
      <c r="AG32" s="846">
        <v>177</v>
      </c>
      <c r="AH32" s="846">
        <v>0</v>
      </c>
      <c r="AI32" s="846">
        <v>141</v>
      </c>
      <c r="AJ32" s="847"/>
      <c r="AK32" s="848">
        <f t="shared" si="3"/>
        <v>4506</v>
      </c>
      <c r="AL32" s="863">
        <v>42.713883108022394</v>
      </c>
      <c r="AM32" s="849">
        <f t="shared" si="2"/>
        <v>1924.6875728474888</v>
      </c>
      <c r="AN32" s="1149" t="s">
        <v>36</v>
      </c>
      <c r="AO32" s="421"/>
      <c r="AP32" s="421"/>
    </row>
    <row r="33" spans="1:42" ht="54" customHeight="1">
      <c r="A33" s="645">
        <v>17</v>
      </c>
      <c r="B33" s="645">
        <v>17</v>
      </c>
      <c r="C33" s="645" t="str">
        <f>'Chấm công KT'!C29</f>
        <v>03470</v>
      </c>
      <c r="D33" s="652" t="str">
        <f>'Chấm công KT'!D29</f>
        <v>T. Lọi</v>
      </c>
      <c r="E33" s="652"/>
      <c r="F33" s="846">
        <v>66</v>
      </c>
      <c r="G33" s="846">
        <v>0</v>
      </c>
      <c r="H33" s="846">
        <v>0</v>
      </c>
      <c r="I33" s="846">
        <v>176</v>
      </c>
      <c r="J33" s="846">
        <v>67</v>
      </c>
      <c r="K33" s="846">
        <v>90</v>
      </c>
      <c r="L33" s="846">
        <v>275</v>
      </c>
      <c r="M33" s="846">
        <v>156</v>
      </c>
      <c r="N33" s="846">
        <v>158</v>
      </c>
      <c r="O33" s="846">
        <v>162</v>
      </c>
      <c r="P33" s="846">
        <v>161</v>
      </c>
      <c r="Q33" s="846">
        <v>102</v>
      </c>
      <c r="R33" s="846">
        <v>200</v>
      </c>
      <c r="S33" s="846">
        <v>117</v>
      </c>
      <c r="T33" s="846">
        <v>91</v>
      </c>
      <c r="U33" s="846">
        <v>100</v>
      </c>
      <c r="V33" s="846">
        <v>0</v>
      </c>
      <c r="W33" s="846">
        <v>183</v>
      </c>
      <c r="X33" s="846">
        <v>141</v>
      </c>
      <c r="Y33" s="846">
        <v>185</v>
      </c>
      <c r="Z33" s="846">
        <v>122</v>
      </c>
      <c r="AA33" s="846">
        <v>91</v>
      </c>
      <c r="AB33" s="846">
        <v>78</v>
      </c>
      <c r="AC33" s="846">
        <v>79</v>
      </c>
      <c r="AD33" s="846">
        <v>0</v>
      </c>
      <c r="AE33" s="846">
        <v>82</v>
      </c>
      <c r="AF33" s="846">
        <v>143</v>
      </c>
      <c r="AG33" s="846">
        <v>148</v>
      </c>
      <c r="AH33" s="846">
        <v>153</v>
      </c>
      <c r="AI33" s="846">
        <v>133</v>
      </c>
      <c r="AJ33" s="847"/>
      <c r="AK33" s="848">
        <f t="shared" si="3"/>
        <v>3459</v>
      </c>
      <c r="AL33" s="863">
        <v>42.713883108022394</v>
      </c>
      <c r="AM33" s="849">
        <f t="shared" si="2"/>
        <v>1477.4732167064947</v>
      </c>
      <c r="AN33" s="1149" t="s">
        <v>36</v>
      </c>
      <c r="AO33" s="421"/>
      <c r="AP33" s="421"/>
    </row>
    <row r="34" spans="1:42" ht="54" customHeight="1">
      <c r="A34" s="645">
        <v>18</v>
      </c>
      <c r="B34" s="645">
        <v>18</v>
      </c>
      <c r="C34" s="645" t="str">
        <f>'Chấm công KT'!C30</f>
        <v>03471</v>
      </c>
      <c r="D34" s="652" t="str">
        <f>'Chấm công KT'!D30</f>
        <v>T. Phô Thong</v>
      </c>
      <c r="E34" s="652"/>
      <c r="F34" s="846">
        <v>81</v>
      </c>
      <c r="G34" s="846">
        <v>94</v>
      </c>
      <c r="H34" s="846">
        <v>122</v>
      </c>
      <c r="I34" s="846">
        <v>84</v>
      </c>
      <c r="J34" s="846">
        <v>70</v>
      </c>
      <c r="K34" s="846">
        <v>75</v>
      </c>
      <c r="L34" s="846">
        <v>241</v>
      </c>
      <c r="M34" s="846">
        <v>183</v>
      </c>
      <c r="N34" s="846">
        <v>180</v>
      </c>
      <c r="O34" s="846">
        <v>175</v>
      </c>
      <c r="P34" s="846">
        <v>203</v>
      </c>
      <c r="Q34" s="846">
        <v>150</v>
      </c>
      <c r="R34" s="846">
        <v>316</v>
      </c>
      <c r="S34" s="846">
        <v>206</v>
      </c>
      <c r="T34" s="846">
        <v>175</v>
      </c>
      <c r="U34" s="846">
        <v>164</v>
      </c>
      <c r="V34" s="846">
        <v>163</v>
      </c>
      <c r="W34" s="846">
        <v>200</v>
      </c>
      <c r="X34" s="846">
        <v>158</v>
      </c>
      <c r="Y34" s="846">
        <v>314</v>
      </c>
      <c r="Z34" s="846">
        <v>189</v>
      </c>
      <c r="AA34" s="846">
        <v>159</v>
      </c>
      <c r="AB34" s="846">
        <v>164</v>
      </c>
      <c r="AC34" s="846">
        <v>146</v>
      </c>
      <c r="AD34" s="846">
        <v>185</v>
      </c>
      <c r="AE34" s="846">
        <v>154</v>
      </c>
      <c r="AF34" s="846">
        <v>198</v>
      </c>
      <c r="AG34" s="846">
        <v>189</v>
      </c>
      <c r="AH34" s="846">
        <v>206</v>
      </c>
      <c r="AI34" s="846">
        <v>120</v>
      </c>
      <c r="AJ34" s="847"/>
      <c r="AK34" s="848">
        <f t="shared" si="3"/>
        <v>5064</v>
      </c>
      <c r="AL34" s="863">
        <v>42.713883108022394</v>
      </c>
      <c r="AM34" s="849">
        <f t="shared" si="2"/>
        <v>2163.0310405902542</v>
      </c>
      <c r="AN34" s="1149" t="s">
        <v>36</v>
      </c>
      <c r="AO34" s="421"/>
      <c r="AP34" s="421"/>
    </row>
    <row r="35" spans="1:42" ht="54" customHeight="1">
      <c r="A35" s="645">
        <v>19</v>
      </c>
      <c r="B35" s="645">
        <v>19</v>
      </c>
      <c r="C35" s="645" t="str">
        <f>'Chấm công KT'!C31</f>
        <v>03472</v>
      </c>
      <c r="D35" s="652" t="str">
        <f>'Chấm công KT'!D31</f>
        <v>N. Soi</v>
      </c>
      <c r="E35" s="652"/>
      <c r="F35" s="846">
        <v>0</v>
      </c>
      <c r="G35" s="846">
        <v>82</v>
      </c>
      <c r="H35" s="846">
        <v>114</v>
      </c>
      <c r="I35" s="846">
        <v>114</v>
      </c>
      <c r="J35" s="846">
        <v>193</v>
      </c>
      <c r="K35" s="846">
        <v>90</v>
      </c>
      <c r="L35" s="846">
        <v>202</v>
      </c>
      <c r="M35" s="846">
        <v>180</v>
      </c>
      <c r="N35" s="846">
        <v>189</v>
      </c>
      <c r="O35" s="846">
        <v>146</v>
      </c>
      <c r="P35" s="846">
        <v>154</v>
      </c>
      <c r="Q35" s="846">
        <v>161</v>
      </c>
      <c r="R35" s="846">
        <v>261</v>
      </c>
      <c r="S35" s="846">
        <v>115</v>
      </c>
      <c r="T35" s="846">
        <v>147</v>
      </c>
      <c r="U35" s="846">
        <v>128</v>
      </c>
      <c r="V35" s="846">
        <v>113</v>
      </c>
      <c r="W35" s="846">
        <v>153</v>
      </c>
      <c r="X35" s="846">
        <v>156</v>
      </c>
      <c r="Y35" s="846">
        <v>270</v>
      </c>
      <c r="Z35" s="846">
        <v>108</v>
      </c>
      <c r="AA35" s="846">
        <v>169</v>
      </c>
      <c r="AB35" s="846">
        <v>119</v>
      </c>
      <c r="AC35" s="846">
        <v>103</v>
      </c>
      <c r="AD35" s="846">
        <v>97</v>
      </c>
      <c r="AE35" s="846">
        <v>125</v>
      </c>
      <c r="AF35" s="846">
        <v>135</v>
      </c>
      <c r="AG35" s="846">
        <v>139</v>
      </c>
      <c r="AH35" s="846">
        <v>0</v>
      </c>
      <c r="AI35" s="846">
        <v>100</v>
      </c>
      <c r="AJ35" s="847"/>
      <c r="AK35" s="848">
        <f t="shared" si="3"/>
        <v>4063</v>
      </c>
      <c r="AL35" s="863">
        <v>42.713883108022394</v>
      </c>
      <c r="AM35" s="849">
        <f t="shared" si="2"/>
        <v>1735.46507067895</v>
      </c>
      <c r="AN35" s="1149" t="s">
        <v>36</v>
      </c>
      <c r="AO35" s="421"/>
      <c r="AP35" s="421"/>
    </row>
    <row r="36" spans="1:42" ht="54" customHeight="1">
      <c r="A36" s="645">
        <v>20</v>
      </c>
      <c r="B36" s="645">
        <v>20</v>
      </c>
      <c r="C36" s="645" t="str">
        <f>'Chấm công KT'!C32</f>
        <v>03473</v>
      </c>
      <c r="D36" s="652" t="str">
        <f>'Chấm công KT'!D32</f>
        <v>N. Me Kha La</v>
      </c>
      <c r="E36" s="652"/>
      <c r="F36" s="846">
        <v>0</v>
      </c>
      <c r="G36" s="846">
        <v>115</v>
      </c>
      <c r="H36" s="846">
        <v>90</v>
      </c>
      <c r="I36" s="846">
        <v>134</v>
      </c>
      <c r="J36" s="846">
        <v>145</v>
      </c>
      <c r="K36" s="846">
        <v>75</v>
      </c>
      <c r="L36" s="846">
        <v>152</v>
      </c>
      <c r="M36" s="846">
        <v>190</v>
      </c>
      <c r="N36" s="846">
        <v>161</v>
      </c>
      <c r="O36" s="846">
        <v>155</v>
      </c>
      <c r="P36" s="846">
        <v>120</v>
      </c>
      <c r="Q36" s="846">
        <v>120</v>
      </c>
      <c r="R36" s="846">
        <v>300</v>
      </c>
      <c r="S36" s="846">
        <v>140</v>
      </c>
      <c r="T36" s="846">
        <v>121</v>
      </c>
      <c r="U36" s="846">
        <v>117</v>
      </c>
      <c r="V36" s="846">
        <v>90</v>
      </c>
      <c r="W36" s="846">
        <v>94</v>
      </c>
      <c r="X36" s="846">
        <v>111</v>
      </c>
      <c r="Y36" s="846">
        <v>255</v>
      </c>
      <c r="Z36" s="846">
        <v>0</v>
      </c>
      <c r="AA36" s="846">
        <v>132</v>
      </c>
      <c r="AB36" s="846">
        <v>101</v>
      </c>
      <c r="AC36" s="846">
        <v>70</v>
      </c>
      <c r="AD36" s="846">
        <v>132</v>
      </c>
      <c r="AE36" s="846">
        <v>140</v>
      </c>
      <c r="AF36" s="846">
        <v>160</v>
      </c>
      <c r="AG36" s="846">
        <v>115</v>
      </c>
      <c r="AH36" s="846">
        <v>74</v>
      </c>
      <c r="AI36" s="846">
        <v>0</v>
      </c>
      <c r="AJ36" s="847"/>
      <c r="AK36" s="848">
        <f t="shared" si="3"/>
        <v>3609</v>
      </c>
      <c r="AL36" s="863">
        <v>42.713883108022394</v>
      </c>
      <c r="AM36" s="849">
        <f t="shared" si="2"/>
        <v>1541.5440413685283</v>
      </c>
      <c r="AN36" s="1149" t="s">
        <v>36</v>
      </c>
      <c r="AO36" s="421"/>
      <c r="AP36" s="421"/>
    </row>
    <row r="37" spans="1:42" ht="54" customHeight="1">
      <c r="A37" s="645">
        <v>21</v>
      </c>
      <c r="B37" s="645">
        <v>21</v>
      </c>
      <c r="C37" s="645" t="str">
        <f>'Chấm công KT'!C33</f>
        <v>03474</v>
      </c>
      <c r="D37" s="652" t="str">
        <f>'Chấm công KT'!D33</f>
        <v>N. Mon Khăm</v>
      </c>
      <c r="E37" s="652"/>
      <c r="F37" s="846">
        <v>73</v>
      </c>
      <c r="G37" s="846">
        <v>0</v>
      </c>
      <c r="H37" s="846">
        <v>114</v>
      </c>
      <c r="I37" s="846">
        <v>100</v>
      </c>
      <c r="J37" s="846">
        <v>80</v>
      </c>
      <c r="K37" s="846">
        <v>119</v>
      </c>
      <c r="L37" s="846">
        <v>95</v>
      </c>
      <c r="M37" s="846">
        <v>191</v>
      </c>
      <c r="N37" s="846">
        <v>198</v>
      </c>
      <c r="O37" s="846">
        <v>150</v>
      </c>
      <c r="P37" s="846">
        <v>176</v>
      </c>
      <c r="Q37" s="846">
        <v>190</v>
      </c>
      <c r="R37" s="846">
        <v>365</v>
      </c>
      <c r="S37" s="846">
        <v>152</v>
      </c>
      <c r="T37" s="846">
        <v>113</v>
      </c>
      <c r="U37" s="846">
        <v>106</v>
      </c>
      <c r="V37" s="846">
        <v>106</v>
      </c>
      <c r="W37" s="846">
        <v>117</v>
      </c>
      <c r="X37" s="846">
        <v>106</v>
      </c>
      <c r="Y37" s="846">
        <v>249</v>
      </c>
      <c r="Z37" s="846">
        <v>163</v>
      </c>
      <c r="AA37" s="846">
        <v>104</v>
      </c>
      <c r="AB37" s="846">
        <v>97</v>
      </c>
      <c r="AC37" s="846">
        <v>80</v>
      </c>
      <c r="AD37" s="846">
        <v>0</v>
      </c>
      <c r="AE37" s="846">
        <v>87</v>
      </c>
      <c r="AF37" s="846">
        <v>142</v>
      </c>
      <c r="AG37" s="846">
        <v>86</v>
      </c>
      <c r="AH37" s="846">
        <v>126</v>
      </c>
      <c r="AI37" s="846">
        <v>123</v>
      </c>
      <c r="AJ37" s="847"/>
      <c r="AK37" s="848">
        <f t="shared" si="3"/>
        <v>3808</v>
      </c>
      <c r="AL37" s="863">
        <v>42.713883108022394</v>
      </c>
      <c r="AM37" s="849">
        <f t="shared" si="2"/>
        <v>1626.5446687534929</v>
      </c>
      <c r="AN37" s="1149" t="s">
        <v>36</v>
      </c>
      <c r="AO37" s="421"/>
      <c r="AP37" s="421"/>
    </row>
    <row r="38" spans="1:42" ht="54" customHeight="1">
      <c r="A38" s="645">
        <v>22</v>
      </c>
      <c r="B38" s="645">
        <v>22</v>
      </c>
      <c r="C38" s="645">
        <f>'Chấm công KT'!C34</f>
        <v>0</v>
      </c>
      <c r="D38" s="652" t="str">
        <f>'Chấm công KT'!D34</f>
        <v>N.Choi</v>
      </c>
      <c r="E38" s="652"/>
      <c r="F38" s="846">
        <v>0</v>
      </c>
      <c r="G38" s="846">
        <v>73</v>
      </c>
      <c r="H38" s="846">
        <v>0</v>
      </c>
      <c r="I38" s="846">
        <v>106</v>
      </c>
      <c r="J38" s="846">
        <v>134</v>
      </c>
      <c r="K38" s="846">
        <v>76</v>
      </c>
      <c r="L38" s="846">
        <v>153</v>
      </c>
      <c r="M38" s="846">
        <v>235</v>
      </c>
      <c r="N38" s="846">
        <v>120</v>
      </c>
      <c r="O38" s="846">
        <v>157</v>
      </c>
      <c r="P38" s="846">
        <v>98</v>
      </c>
      <c r="Q38" s="846">
        <v>180</v>
      </c>
      <c r="R38" s="846">
        <v>256</v>
      </c>
      <c r="S38" s="846">
        <v>93</v>
      </c>
      <c r="T38" s="846">
        <v>166</v>
      </c>
      <c r="U38" s="846">
        <v>120</v>
      </c>
      <c r="V38" s="846">
        <v>121</v>
      </c>
      <c r="W38" s="846">
        <v>60</v>
      </c>
      <c r="X38" s="846">
        <v>124</v>
      </c>
      <c r="Y38" s="846">
        <v>199</v>
      </c>
      <c r="Z38" s="846">
        <v>0</v>
      </c>
      <c r="AA38" s="846">
        <v>161</v>
      </c>
      <c r="AB38" s="846">
        <v>84</v>
      </c>
      <c r="AC38" s="846">
        <v>97</v>
      </c>
      <c r="AD38" s="846">
        <v>122</v>
      </c>
      <c r="AE38" s="846">
        <v>145</v>
      </c>
      <c r="AF38" s="846">
        <v>136</v>
      </c>
      <c r="AG38" s="846">
        <v>157</v>
      </c>
      <c r="AH38" s="846">
        <v>0</v>
      </c>
      <c r="AI38" s="846">
        <v>117</v>
      </c>
      <c r="AJ38" s="847"/>
      <c r="AK38" s="848">
        <f t="shared" si="3"/>
        <v>3490</v>
      </c>
      <c r="AL38" s="863">
        <v>42.713883108022394</v>
      </c>
      <c r="AM38" s="849">
        <f t="shared" si="2"/>
        <v>1490.7145204699816</v>
      </c>
      <c r="AN38" s="1149" t="s">
        <v>36</v>
      </c>
      <c r="AO38" s="421"/>
      <c r="AP38" s="421"/>
    </row>
    <row r="39" spans="1:42" ht="54" customHeight="1">
      <c r="A39" s="645">
        <v>23</v>
      </c>
      <c r="B39" s="645">
        <v>23</v>
      </c>
      <c r="C39" s="645" t="str">
        <f>'Chấm công KT'!C35</f>
        <v>03476</v>
      </c>
      <c r="D39" s="652" t="str">
        <f>'Chấm công KT'!D35</f>
        <v>T. Bin Ly.</v>
      </c>
      <c r="E39" s="652"/>
      <c r="F39" s="846">
        <v>157</v>
      </c>
      <c r="G39" s="846">
        <v>0</v>
      </c>
      <c r="H39" s="846">
        <v>85</v>
      </c>
      <c r="I39" s="846">
        <v>118</v>
      </c>
      <c r="J39" s="846">
        <v>72</v>
      </c>
      <c r="K39" s="846">
        <v>0</v>
      </c>
      <c r="L39" s="846">
        <v>186</v>
      </c>
      <c r="M39" s="846">
        <v>235</v>
      </c>
      <c r="N39" s="846">
        <v>159</v>
      </c>
      <c r="O39" s="846">
        <v>173</v>
      </c>
      <c r="P39" s="846">
        <v>176</v>
      </c>
      <c r="Q39" s="846">
        <v>244</v>
      </c>
      <c r="R39" s="846">
        <v>286</v>
      </c>
      <c r="S39" s="846">
        <v>148</v>
      </c>
      <c r="T39" s="846">
        <v>232</v>
      </c>
      <c r="U39" s="846">
        <v>144</v>
      </c>
      <c r="V39" s="846">
        <v>92</v>
      </c>
      <c r="W39" s="846">
        <v>119</v>
      </c>
      <c r="X39" s="846">
        <v>182</v>
      </c>
      <c r="Y39" s="846">
        <v>206</v>
      </c>
      <c r="Z39" s="846">
        <v>109</v>
      </c>
      <c r="AA39" s="846">
        <v>162</v>
      </c>
      <c r="AB39" s="846">
        <v>76</v>
      </c>
      <c r="AC39" s="846">
        <v>0</v>
      </c>
      <c r="AD39" s="846">
        <v>111</v>
      </c>
      <c r="AE39" s="846">
        <v>93</v>
      </c>
      <c r="AF39" s="846">
        <v>173</v>
      </c>
      <c r="AG39" s="846">
        <v>226</v>
      </c>
      <c r="AH39" s="846">
        <v>167</v>
      </c>
      <c r="AI39" s="846">
        <v>136</v>
      </c>
      <c r="AJ39" s="847"/>
      <c r="AK39" s="848">
        <f t="shared" si="3"/>
        <v>4267</v>
      </c>
      <c r="AL39" s="863">
        <v>42.713883108022394</v>
      </c>
      <c r="AM39" s="849">
        <f t="shared" si="2"/>
        <v>1822.6013922193154</v>
      </c>
      <c r="AN39" s="1149" t="s">
        <v>36</v>
      </c>
      <c r="AO39" s="421"/>
      <c r="AP39" s="421"/>
    </row>
    <row r="40" spans="1:42" ht="54" customHeight="1">
      <c r="A40" s="645">
        <v>24</v>
      </c>
      <c r="B40" s="645">
        <v>24</v>
      </c>
      <c r="C40" s="645">
        <f>'Chấm công KT'!C36</f>
        <v>0</v>
      </c>
      <c r="D40" s="652" t="str">
        <f>'Chấm công KT'!D36</f>
        <v>N. Tinh</v>
      </c>
      <c r="E40" s="652"/>
      <c r="F40" s="846">
        <v>0</v>
      </c>
      <c r="G40" s="846">
        <v>67</v>
      </c>
      <c r="H40" s="846">
        <v>84</v>
      </c>
      <c r="I40" s="846">
        <v>97</v>
      </c>
      <c r="J40" s="846">
        <v>100</v>
      </c>
      <c r="K40" s="846">
        <v>64</v>
      </c>
      <c r="L40" s="846">
        <v>180</v>
      </c>
      <c r="M40" s="846">
        <v>187</v>
      </c>
      <c r="N40" s="846">
        <v>185</v>
      </c>
      <c r="O40" s="846">
        <v>120</v>
      </c>
      <c r="P40" s="846">
        <v>131</v>
      </c>
      <c r="Q40" s="846">
        <v>160</v>
      </c>
      <c r="R40" s="846">
        <v>286</v>
      </c>
      <c r="S40" s="846">
        <v>113</v>
      </c>
      <c r="T40" s="846">
        <v>139</v>
      </c>
      <c r="U40" s="846">
        <v>120</v>
      </c>
      <c r="V40" s="846">
        <v>90</v>
      </c>
      <c r="W40" s="846">
        <v>111</v>
      </c>
      <c r="X40" s="846">
        <v>132</v>
      </c>
      <c r="Y40" s="846">
        <v>262</v>
      </c>
      <c r="Z40" s="846">
        <v>120</v>
      </c>
      <c r="AA40" s="846">
        <v>156</v>
      </c>
      <c r="AB40" s="846">
        <v>110</v>
      </c>
      <c r="AC40" s="846">
        <v>87</v>
      </c>
      <c r="AD40" s="846">
        <v>111</v>
      </c>
      <c r="AE40" s="846">
        <v>90</v>
      </c>
      <c r="AF40" s="846">
        <v>189</v>
      </c>
      <c r="AG40" s="846">
        <v>155</v>
      </c>
      <c r="AH40" s="846">
        <v>75</v>
      </c>
      <c r="AI40" s="846">
        <v>0</v>
      </c>
      <c r="AJ40" s="847"/>
      <c r="AK40" s="848">
        <f t="shared" si="3"/>
        <v>3721</v>
      </c>
      <c r="AL40" s="863">
        <v>42.713883108022394</v>
      </c>
      <c r="AM40" s="849">
        <f t="shared" si="2"/>
        <v>1589.3835904495133</v>
      </c>
      <c r="AN40" s="1149" t="s">
        <v>36</v>
      </c>
      <c r="AO40" s="421"/>
      <c r="AP40" s="421"/>
    </row>
    <row r="41" spans="1:42" ht="54" customHeight="1">
      <c r="A41" s="645">
        <v>25</v>
      </c>
      <c r="B41" s="645">
        <v>25</v>
      </c>
      <c r="C41" s="645" t="str">
        <f>'Chấm công KT'!C37</f>
        <v>03478</v>
      </c>
      <c r="D41" s="652" t="str">
        <f>'Chấm công KT'!D37</f>
        <v>N. Nong</v>
      </c>
      <c r="E41" s="652"/>
      <c r="F41" s="846">
        <v>0</v>
      </c>
      <c r="G41" s="846">
        <v>106</v>
      </c>
      <c r="H41" s="846">
        <v>129</v>
      </c>
      <c r="I41" s="846">
        <v>87</v>
      </c>
      <c r="J41" s="846">
        <v>161</v>
      </c>
      <c r="K41" s="846">
        <v>140</v>
      </c>
      <c r="L41" s="846">
        <v>225</v>
      </c>
      <c r="M41" s="846">
        <v>181</v>
      </c>
      <c r="N41" s="846">
        <v>183</v>
      </c>
      <c r="O41" s="846">
        <v>192</v>
      </c>
      <c r="P41" s="846">
        <v>166</v>
      </c>
      <c r="Q41" s="846">
        <v>0</v>
      </c>
      <c r="R41" s="846">
        <v>300</v>
      </c>
      <c r="S41" s="846">
        <v>171</v>
      </c>
      <c r="T41" s="846">
        <v>199</v>
      </c>
      <c r="U41" s="846">
        <v>116</v>
      </c>
      <c r="V41" s="846">
        <v>128</v>
      </c>
      <c r="W41" s="846">
        <v>149</v>
      </c>
      <c r="X41" s="846">
        <v>120</v>
      </c>
      <c r="Y41" s="846">
        <v>236</v>
      </c>
      <c r="Z41" s="846">
        <v>140</v>
      </c>
      <c r="AA41" s="846">
        <v>0</v>
      </c>
      <c r="AB41" s="846">
        <v>113</v>
      </c>
      <c r="AC41" s="846">
        <v>88</v>
      </c>
      <c r="AD41" s="846">
        <v>0</v>
      </c>
      <c r="AE41" s="846">
        <v>197</v>
      </c>
      <c r="AF41" s="846">
        <v>161</v>
      </c>
      <c r="AG41" s="846">
        <v>180</v>
      </c>
      <c r="AH41" s="846">
        <v>70</v>
      </c>
      <c r="AI41" s="846">
        <v>80</v>
      </c>
      <c r="AJ41" s="847"/>
      <c r="AK41" s="848">
        <f t="shared" si="3"/>
        <v>4018</v>
      </c>
      <c r="AL41" s="863">
        <v>42.713883108022394</v>
      </c>
      <c r="AM41" s="849">
        <f t="shared" si="2"/>
        <v>1716.2438232803397</v>
      </c>
      <c r="AN41" s="1149" t="s">
        <v>43</v>
      </c>
      <c r="AO41" s="421"/>
      <c r="AP41" s="421"/>
    </row>
    <row r="42" spans="1:42" ht="54" customHeight="1">
      <c r="A42" s="645">
        <v>26</v>
      </c>
      <c r="B42" s="645">
        <v>26</v>
      </c>
      <c r="C42" s="645" t="str">
        <f>'Chấm công KT'!C38</f>
        <v>03479</v>
      </c>
      <c r="D42" s="652" t="str">
        <f>'Chấm công KT'!D38</f>
        <v>N. Tun 1</v>
      </c>
      <c r="E42" s="652"/>
      <c r="F42" s="846">
        <v>80</v>
      </c>
      <c r="G42" s="846">
        <v>0</v>
      </c>
      <c r="H42" s="846">
        <v>82</v>
      </c>
      <c r="I42" s="846">
        <v>181</v>
      </c>
      <c r="J42" s="846">
        <v>70</v>
      </c>
      <c r="K42" s="846">
        <v>153</v>
      </c>
      <c r="L42" s="846">
        <v>0</v>
      </c>
      <c r="M42" s="846">
        <v>184</v>
      </c>
      <c r="N42" s="846">
        <v>201</v>
      </c>
      <c r="O42" s="846">
        <v>191</v>
      </c>
      <c r="P42" s="846">
        <v>245</v>
      </c>
      <c r="Q42" s="846">
        <v>149</v>
      </c>
      <c r="R42" s="846">
        <v>258</v>
      </c>
      <c r="S42" s="846">
        <v>126</v>
      </c>
      <c r="T42" s="846">
        <v>192</v>
      </c>
      <c r="U42" s="846">
        <v>155</v>
      </c>
      <c r="V42" s="846">
        <v>164</v>
      </c>
      <c r="W42" s="846">
        <v>102</v>
      </c>
      <c r="X42" s="846">
        <v>107</v>
      </c>
      <c r="Y42" s="846">
        <v>220</v>
      </c>
      <c r="Z42" s="846">
        <v>120</v>
      </c>
      <c r="AA42" s="846">
        <v>129</v>
      </c>
      <c r="AB42" s="846">
        <v>92</v>
      </c>
      <c r="AC42" s="846">
        <v>159</v>
      </c>
      <c r="AD42" s="846">
        <v>0</v>
      </c>
      <c r="AE42" s="846">
        <v>130</v>
      </c>
      <c r="AF42" s="846">
        <v>193</v>
      </c>
      <c r="AG42" s="846">
        <v>187</v>
      </c>
      <c r="AH42" s="846">
        <v>143</v>
      </c>
      <c r="AI42" s="846">
        <v>118</v>
      </c>
      <c r="AJ42" s="847"/>
      <c r="AK42" s="848">
        <f t="shared" si="3"/>
        <v>4131</v>
      </c>
      <c r="AL42" s="863">
        <v>42.713883108022394</v>
      </c>
      <c r="AM42" s="849">
        <f t="shared" si="2"/>
        <v>1764.5105111924049</v>
      </c>
      <c r="AN42" s="1149" t="s">
        <v>36</v>
      </c>
      <c r="AO42" s="421"/>
      <c r="AP42" s="421"/>
    </row>
    <row r="43" spans="1:42" ht="54" customHeight="1">
      <c r="A43" s="645">
        <v>27</v>
      </c>
      <c r="B43" s="645">
        <v>27</v>
      </c>
      <c r="C43" s="645" t="str">
        <f>'Chấm công KT'!C39</f>
        <v>03480</v>
      </c>
      <c r="D43" s="652" t="str">
        <f>'Chấm công KT'!D39</f>
        <v>T . Lốc</v>
      </c>
      <c r="E43" s="652"/>
      <c r="F43" s="846">
        <v>78</v>
      </c>
      <c r="G43" s="846">
        <v>0</v>
      </c>
      <c r="H43" s="846">
        <v>83</v>
      </c>
      <c r="I43" s="846">
        <v>188</v>
      </c>
      <c r="J43" s="846">
        <v>74</v>
      </c>
      <c r="K43" s="846">
        <v>153</v>
      </c>
      <c r="L43" s="846">
        <v>0</v>
      </c>
      <c r="M43" s="846">
        <v>177</v>
      </c>
      <c r="N43" s="846">
        <v>178</v>
      </c>
      <c r="O43" s="846">
        <v>216</v>
      </c>
      <c r="P43" s="846">
        <v>224</v>
      </c>
      <c r="Q43" s="846">
        <v>160</v>
      </c>
      <c r="R43" s="846">
        <v>238</v>
      </c>
      <c r="S43" s="846">
        <v>150</v>
      </c>
      <c r="T43" s="846">
        <v>239</v>
      </c>
      <c r="U43" s="846">
        <v>176</v>
      </c>
      <c r="V43" s="846">
        <v>166</v>
      </c>
      <c r="W43" s="846">
        <v>102</v>
      </c>
      <c r="X43" s="846">
        <v>106</v>
      </c>
      <c r="Y43" s="846">
        <v>100</v>
      </c>
      <c r="Z43" s="846">
        <v>120</v>
      </c>
      <c r="AA43" s="846">
        <v>121</v>
      </c>
      <c r="AB43" s="846">
        <v>92</v>
      </c>
      <c r="AC43" s="846">
        <v>157</v>
      </c>
      <c r="AD43" s="846">
        <v>0</v>
      </c>
      <c r="AE43" s="846">
        <v>124</v>
      </c>
      <c r="AF43" s="846">
        <v>187</v>
      </c>
      <c r="AG43" s="846">
        <v>188</v>
      </c>
      <c r="AH43" s="846">
        <v>180</v>
      </c>
      <c r="AI43" s="846">
        <v>141</v>
      </c>
      <c r="AJ43" s="847"/>
      <c r="AK43" s="848">
        <f t="shared" si="3"/>
        <v>4118</v>
      </c>
      <c r="AL43" s="863">
        <v>42.713883108022394</v>
      </c>
      <c r="AM43" s="849">
        <f t="shared" si="2"/>
        <v>1758.9577063883623</v>
      </c>
      <c r="AN43" s="1149" t="s">
        <v>36</v>
      </c>
      <c r="AO43" s="421"/>
      <c r="AP43" s="421"/>
    </row>
    <row r="44" spans="1:42" ht="54" customHeight="1">
      <c r="A44" s="645">
        <v>28</v>
      </c>
      <c r="B44" s="645">
        <v>28</v>
      </c>
      <c r="C44" s="645" t="str">
        <f>'Chấm công KT'!C40</f>
        <v>03481</v>
      </c>
      <c r="D44" s="652" t="str">
        <f>'Chấm công KT'!D40</f>
        <v>N . Khâm (1)</v>
      </c>
      <c r="E44" s="652"/>
      <c r="F44" s="846">
        <v>0</v>
      </c>
      <c r="G44" s="846">
        <v>0</v>
      </c>
      <c r="H44" s="846">
        <v>129</v>
      </c>
      <c r="I44" s="846">
        <v>137</v>
      </c>
      <c r="J44" s="846">
        <v>145</v>
      </c>
      <c r="K44" s="846">
        <v>147</v>
      </c>
      <c r="L44" s="846">
        <v>96</v>
      </c>
      <c r="M44" s="846">
        <v>216</v>
      </c>
      <c r="N44" s="846">
        <v>181</v>
      </c>
      <c r="O44" s="846">
        <v>174</v>
      </c>
      <c r="P44" s="846">
        <v>257</v>
      </c>
      <c r="Q44" s="846">
        <v>273</v>
      </c>
      <c r="R44" s="846">
        <v>360</v>
      </c>
      <c r="S44" s="846">
        <v>223</v>
      </c>
      <c r="T44" s="846">
        <v>172</v>
      </c>
      <c r="U44" s="846">
        <v>162</v>
      </c>
      <c r="V44" s="846">
        <v>120</v>
      </c>
      <c r="W44" s="846">
        <v>185</v>
      </c>
      <c r="X44" s="846">
        <v>148</v>
      </c>
      <c r="Y44" s="846">
        <v>111</v>
      </c>
      <c r="Z44" s="846">
        <v>0</v>
      </c>
      <c r="AA44" s="846">
        <v>113</v>
      </c>
      <c r="AB44" s="846">
        <v>102</v>
      </c>
      <c r="AC44" s="846">
        <v>167</v>
      </c>
      <c r="AD44" s="846">
        <v>128</v>
      </c>
      <c r="AE44" s="846">
        <v>112</v>
      </c>
      <c r="AF44" s="846">
        <v>167</v>
      </c>
      <c r="AG44" s="846">
        <v>210</v>
      </c>
      <c r="AH44" s="846">
        <v>0</v>
      </c>
      <c r="AI44" s="846">
        <v>145</v>
      </c>
      <c r="AJ44" s="847"/>
      <c r="AK44" s="848">
        <f t="shared" si="3"/>
        <v>4380</v>
      </c>
      <c r="AL44" s="863">
        <v>42.713883108022394</v>
      </c>
      <c r="AM44" s="849">
        <f t="shared" si="2"/>
        <v>1870.8680801313808</v>
      </c>
      <c r="AN44" s="1149" t="s">
        <v>36</v>
      </c>
      <c r="AO44" s="421"/>
      <c r="AP44" s="421"/>
    </row>
    <row r="45" spans="1:42" ht="54" customHeight="1">
      <c r="A45" s="645">
        <v>29</v>
      </c>
      <c r="B45" s="645">
        <v>29</v>
      </c>
      <c r="C45" s="645" t="str">
        <f>'Chấm công KT'!C41</f>
        <v>03482</v>
      </c>
      <c r="D45" s="652" t="str">
        <f>'Chấm công KT'!D41</f>
        <v>T . Phết</v>
      </c>
      <c r="E45" s="652"/>
      <c r="F45" s="846">
        <v>0</v>
      </c>
      <c r="G45" s="846">
        <v>0</v>
      </c>
      <c r="H45" s="846">
        <v>108</v>
      </c>
      <c r="I45" s="846">
        <v>128</v>
      </c>
      <c r="J45" s="846">
        <v>146</v>
      </c>
      <c r="K45" s="846">
        <v>152</v>
      </c>
      <c r="L45" s="846">
        <v>95</v>
      </c>
      <c r="M45" s="846">
        <v>214</v>
      </c>
      <c r="N45" s="846">
        <v>165</v>
      </c>
      <c r="O45" s="846">
        <v>186</v>
      </c>
      <c r="P45" s="846">
        <v>253</v>
      </c>
      <c r="Q45" s="846">
        <v>245</v>
      </c>
      <c r="R45" s="846">
        <v>356</v>
      </c>
      <c r="S45" s="846">
        <v>197</v>
      </c>
      <c r="T45" s="846">
        <v>179</v>
      </c>
      <c r="U45" s="846">
        <v>154</v>
      </c>
      <c r="V45" s="846">
        <v>106</v>
      </c>
      <c r="W45" s="846">
        <v>176</v>
      </c>
      <c r="X45" s="846">
        <v>148</v>
      </c>
      <c r="Y45" s="846">
        <v>105</v>
      </c>
      <c r="Z45" s="846">
        <v>0</v>
      </c>
      <c r="AA45" s="846">
        <v>114</v>
      </c>
      <c r="AB45" s="846">
        <v>102</v>
      </c>
      <c r="AC45" s="846">
        <v>168</v>
      </c>
      <c r="AD45" s="846">
        <v>129</v>
      </c>
      <c r="AE45" s="846">
        <v>112</v>
      </c>
      <c r="AF45" s="846">
        <v>172</v>
      </c>
      <c r="AG45" s="846">
        <v>249</v>
      </c>
      <c r="AH45" s="846">
        <v>0</v>
      </c>
      <c r="AI45" s="846">
        <v>129</v>
      </c>
      <c r="AJ45" s="847"/>
      <c r="AK45" s="848">
        <f t="shared" si="3"/>
        <v>4288</v>
      </c>
      <c r="AL45" s="863">
        <v>42.713883108022394</v>
      </c>
      <c r="AM45" s="849">
        <f t="shared" si="2"/>
        <v>1831.5713076720003</v>
      </c>
      <c r="AN45" s="1149" t="s">
        <v>36</v>
      </c>
      <c r="AO45" s="421"/>
      <c r="AP45" s="421"/>
    </row>
    <row r="46" spans="1:42" ht="54" customHeight="1">
      <c r="A46" s="645">
        <v>30</v>
      </c>
      <c r="B46" s="645">
        <v>30</v>
      </c>
      <c r="C46" s="645" t="str">
        <f>'Chấm công KT'!C42</f>
        <v>03483</v>
      </c>
      <c r="D46" s="652" t="str">
        <f>'Chấm công KT'!D42</f>
        <v>T. Viêng Sa Văn</v>
      </c>
      <c r="E46" s="652"/>
      <c r="F46" s="846">
        <v>0</v>
      </c>
      <c r="G46" s="846">
        <v>0</v>
      </c>
      <c r="H46" s="846">
        <v>142</v>
      </c>
      <c r="I46" s="846">
        <v>96</v>
      </c>
      <c r="J46" s="846">
        <v>135</v>
      </c>
      <c r="K46" s="846">
        <v>136</v>
      </c>
      <c r="L46" s="846">
        <v>232</v>
      </c>
      <c r="M46" s="846">
        <v>196</v>
      </c>
      <c r="N46" s="846">
        <v>207</v>
      </c>
      <c r="O46" s="846">
        <v>170</v>
      </c>
      <c r="P46" s="846">
        <v>216</v>
      </c>
      <c r="Q46" s="846">
        <v>168</v>
      </c>
      <c r="R46" s="846">
        <v>276</v>
      </c>
      <c r="S46" s="846">
        <v>97</v>
      </c>
      <c r="T46" s="846">
        <v>155</v>
      </c>
      <c r="U46" s="846">
        <v>125</v>
      </c>
      <c r="V46" s="846">
        <v>110</v>
      </c>
      <c r="W46" s="846">
        <v>124</v>
      </c>
      <c r="X46" s="846">
        <v>112</v>
      </c>
      <c r="Y46" s="846">
        <v>394</v>
      </c>
      <c r="Z46" s="846">
        <v>156</v>
      </c>
      <c r="AA46" s="846">
        <v>138</v>
      </c>
      <c r="AB46" s="846">
        <v>163</v>
      </c>
      <c r="AC46" s="846">
        <v>87</v>
      </c>
      <c r="AD46" s="846">
        <v>100</v>
      </c>
      <c r="AE46" s="846">
        <v>100</v>
      </c>
      <c r="AF46" s="846">
        <v>276</v>
      </c>
      <c r="AG46" s="846">
        <v>204</v>
      </c>
      <c r="AH46" s="846">
        <v>133</v>
      </c>
      <c r="AI46" s="846">
        <v>0</v>
      </c>
      <c r="AJ46" s="847"/>
      <c r="AK46" s="848">
        <f t="shared" si="3"/>
        <v>4448</v>
      </c>
      <c r="AL46" s="863">
        <v>42.713883108022394</v>
      </c>
      <c r="AM46" s="849">
        <f t="shared" si="2"/>
        <v>1899.9135206448359</v>
      </c>
      <c r="AN46" s="1149" t="s">
        <v>36</v>
      </c>
      <c r="AO46" s="421"/>
      <c r="AP46" s="421"/>
    </row>
    <row r="47" spans="1:42" ht="54" customHeight="1">
      <c r="A47" s="645">
        <v>31</v>
      </c>
      <c r="B47" s="645">
        <v>31</v>
      </c>
      <c r="C47" s="645" t="str">
        <f>'Chấm công KT'!C43</f>
        <v>03484</v>
      </c>
      <c r="D47" s="652" t="str">
        <f>'Chấm công KT'!D43</f>
        <v>T. Ca Te</v>
      </c>
      <c r="E47" s="652"/>
      <c r="F47" s="846">
        <v>0</v>
      </c>
      <c r="G47" s="846">
        <v>0</v>
      </c>
      <c r="H47" s="846">
        <v>138</v>
      </c>
      <c r="I47" s="846">
        <v>91</v>
      </c>
      <c r="J47" s="846">
        <v>165</v>
      </c>
      <c r="K47" s="846">
        <v>149</v>
      </c>
      <c r="L47" s="846">
        <v>228</v>
      </c>
      <c r="M47" s="846">
        <v>168</v>
      </c>
      <c r="N47" s="846">
        <v>177</v>
      </c>
      <c r="O47" s="846">
        <v>209</v>
      </c>
      <c r="P47" s="846">
        <v>171</v>
      </c>
      <c r="Q47" s="846">
        <v>161</v>
      </c>
      <c r="R47" s="846">
        <v>296</v>
      </c>
      <c r="S47" s="846">
        <v>157</v>
      </c>
      <c r="T47" s="846">
        <v>201</v>
      </c>
      <c r="U47" s="846">
        <v>134</v>
      </c>
      <c r="V47" s="846">
        <v>124</v>
      </c>
      <c r="W47" s="846">
        <v>127</v>
      </c>
      <c r="X47" s="846">
        <v>105</v>
      </c>
      <c r="Y47" s="846">
        <v>265</v>
      </c>
      <c r="Z47" s="846">
        <v>140</v>
      </c>
      <c r="AA47" s="846">
        <v>152</v>
      </c>
      <c r="AB47" s="846">
        <v>114</v>
      </c>
      <c r="AC47" s="846">
        <v>88</v>
      </c>
      <c r="AD47" s="846">
        <v>120</v>
      </c>
      <c r="AE47" s="846">
        <v>0</v>
      </c>
      <c r="AF47" s="846">
        <v>177</v>
      </c>
      <c r="AG47" s="846">
        <v>177</v>
      </c>
      <c r="AH47" s="846">
        <v>122</v>
      </c>
      <c r="AI47" s="846">
        <v>80</v>
      </c>
      <c r="AJ47" s="847"/>
      <c r="AK47" s="848">
        <f t="shared" si="3"/>
        <v>4236</v>
      </c>
      <c r="AL47" s="863">
        <v>42.713883108022394</v>
      </c>
      <c r="AM47" s="849">
        <f t="shared" si="2"/>
        <v>1809.3600884558286</v>
      </c>
      <c r="AN47" s="1149" t="s">
        <v>36</v>
      </c>
      <c r="AO47" s="421"/>
      <c r="AP47" s="421"/>
    </row>
    <row r="48" spans="1:42" ht="54" customHeight="1">
      <c r="A48" s="645">
        <v>32</v>
      </c>
      <c r="B48" s="645">
        <v>32</v>
      </c>
      <c r="C48" s="645" t="str">
        <f>'Chấm công KT'!C44</f>
        <v>03485</v>
      </c>
      <c r="D48" s="652" t="str">
        <f>'Chấm công KT'!D44</f>
        <v>T. Lâm Phon</v>
      </c>
      <c r="E48" s="652"/>
      <c r="F48" s="846">
        <v>0</v>
      </c>
      <c r="G48" s="846">
        <v>100</v>
      </c>
      <c r="H48" s="846">
        <v>126</v>
      </c>
      <c r="I48" s="846">
        <v>99</v>
      </c>
      <c r="J48" s="846">
        <v>133</v>
      </c>
      <c r="K48" s="846">
        <v>83</v>
      </c>
      <c r="L48" s="846">
        <v>240</v>
      </c>
      <c r="M48" s="846">
        <v>213</v>
      </c>
      <c r="N48" s="846">
        <v>166</v>
      </c>
      <c r="O48" s="846">
        <v>200</v>
      </c>
      <c r="P48" s="846">
        <v>171</v>
      </c>
      <c r="Q48" s="846">
        <v>167</v>
      </c>
      <c r="R48" s="846">
        <v>249</v>
      </c>
      <c r="S48" s="846">
        <v>168</v>
      </c>
      <c r="T48" s="846">
        <v>187</v>
      </c>
      <c r="U48" s="846">
        <v>133</v>
      </c>
      <c r="V48" s="846">
        <v>170</v>
      </c>
      <c r="W48" s="846">
        <v>140</v>
      </c>
      <c r="X48" s="846">
        <v>132</v>
      </c>
      <c r="Y48" s="846">
        <v>258</v>
      </c>
      <c r="Z48" s="846">
        <v>155</v>
      </c>
      <c r="AA48" s="846">
        <v>130</v>
      </c>
      <c r="AB48" s="846">
        <v>122</v>
      </c>
      <c r="AC48" s="846">
        <v>123</v>
      </c>
      <c r="AD48" s="846">
        <v>129</v>
      </c>
      <c r="AE48" s="846">
        <v>116</v>
      </c>
      <c r="AF48" s="846">
        <v>187</v>
      </c>
      <c r="AG48" s="846">
        <v>215</v>
      </c>
      <c r="AH48" s="846">
        <v>171</v>
      </c>
      <c r="AI48" s="846">
        <v>90</v>
      </c>
      <c r="AJ48" s="847"/>
      <c r="AK48" s="848">
        <f t="shared" si="3"/>
        <v>4573</v>
      </c>
      <c r="AL48" s="863">
        <v>42.713883108022394</v>
      </c>
      <c r="AM48" s="849">
        <f t="shared" si="2"/>
        <v>1953.305874529864</v>
      </c>
      <c r="AN48" s="1149" t="s">
        <v>36</v>
      </c>
      <c r="AO48" s="421"/>
      <c r="AP48" s="421"/>
    </row>
    <row r="49" spans="1:42" ht="54" customHeight="1">
      <c r="A49" s="645">
        <v>33</v>
      </c>
      <c r="B49" s="645">
        <v>33</v>
      </c>
      <c r="C49" s="645" t="str">
        <f>'Chấm công KT'!C45</f>
        <v>02712</v>
      </c>
      <c r="D49" s="652" t="str">
        <f>'Chấm công KT'!D45</f>
        <v>T. Sô Đa</v>
      </c>
      <c r="E49" s="652"/>
      <c r="F49" s="846">
        <v>0</v>
      </c>
      <c r="G49" s="846">
        <v>78</v>
      </c>
      <c r="H49" s="846">
        <v>99</v>
      </c>
      <c r="I49" s="846">
        <v>90</v>
      </c>
      <c r="J49" s="846">
        <v>70</v>
      </c>
      <c r="K49" s="846">
        <v>72</v>
      </c>
      <c r="L49" s="846">
        <v>212</v>
      </c>
      <c r="M49" s="846">
        <v>213</v>
      </c>
      <c r="N49" s="846">
        <v>151</v>
      </c>
      <c r="O49" s="846">
        <v>138</v>
      </c>
      <c r="P49" s="846">
        <v>159</v>
      </c>
      <c r="Q49" s="846">
        <v>172</v>
      </c>
      <c r="R49" s="846">
        <v>268</v>
      </c>
      <c r="S49" s="846">
        <v>150</v>
      </c>
      <c r="T49" s="846">
        <v>143</v>
      </c>
      <c r="U49" s="846">
        <v>120</v>
      </c>
      <c r="V49" s="846">
        <v>121</v>
      </c>
      <c r="W49" s="846">
        <v>159</v>
      </c>
      <c r="X49" s="846">
        <v>132</v>
      </c>
      <c r="Y49" s="846">
        <v>232</v>
      </c>
      <c r="Z49" s="846">
        <v>148</v>
      </c>
      <c r="AA49" s="846">
        <v>123</v>
      </c>
      <c r="AB49" s="846">
        <v>101</v>
      </c>
      <c r="AC49" s="846">
        <v>104</v>
      </c>
      <c r="AD49" s="846">
        <v>114</v>
      </c>
      <c r="AE49" s="846">
        <v>109</v>
      </c>
      <c r="AF49" s="846">
        <v>182</v>
      </c>
      <c r="AG49" s="846">
        <v>190</v>
      </c>
      <c r="AH49" s="846">
        <v>121</v>
      </c>
      <c r="AI49" s="846">
        <v>0</v>
      </c>
      <c r="AJ49" s="847"/>
      <c r="AK49" s="848">
        <f t="shared" si="3"/>
        <v>3971</v>
      </c>
      <c r="AL49" s="863">
        <v>42.713883108022394</v>
      </c>
      <c r="AM49" s="849">
        <f t="shared" ref="AM49:AM80" si="4">AK49*AL49/100</f>
        <v>1696.1682982195694</v>
      </c>
      <c r="AN49" s="1149" t="s">
        <v>36</v>
      </c>
      <c r="AO49" s="421"/>
      <c r="AP49" s="421"/>
    </row>
    <row r="50" spans="1:42" ht="54" customHeight="1">
      <c r="A50" s="645">
        <v>34</v>
      </c>
      <c r="B50" s="645">
        <v>34</v>
      </c>
      <c r="C50" s="645">
        <f>'Chấm công KT'!C46</f>
        <v>0</v>
      </c>
      <c r="D50" s="652" t="str">
        <f>'Chấm công KT'!D46</f>
        <v>N. Pheng Mi</v>
      </c>
      <c r="E50" s="652"/>
      <c r="F50" s="846">
        <v>0</v>
      </c>
      <c r="G50" s="846">
        <v>75</v>
      </c>
      <c r="H50" s="846">
        <v>154</v>
      </c>
      <c r="I50" s="846">
        <v>114</v>
      </c>
      <c r="J50" s="846">
        <v>127</v>
      </c>
      <c r="K50" s="846">
        <v>66</v>
      </c>
      <c r="L50" s="846">
        <v>213</v>
      </c>
      <c r="M50" s="846">
        <v>208</v>
      </c>
      <c r="N50" s="846">
        <v>176</v>
      </c>
      <c r="O50" s="846">
        <v>138</v>
      </c>
      <c r="P50" s="846">
        <v>225</v>
      </c>
      <c r="Q50" s="846">
        <v>0</v>
      </c>
      <c r="R50" s="846">
        <v>322</v>
      </c>
      <c r="S50" s="846">
        <v>170</v>
      </c>
      <c r="T50" s="846">
        <v>306</v>
      </c>
      <c r="U50" s="846">
        <v>168</v>
      </c>
      <c r="V50" s="846">
        <v>155</v>
      </c>
      <c r="W50" s="846">
        <v>231</v>
      </c>
      <c r="X50" s="846">
        <v>147</v>
      </c>
      <c r="Y50" s="846">
        <v>217</v>
      </c>
      <c r="Z50" s="846">
        <v>190</v>
      </c>
      <c r="AA50" s="846">
        <v>181</v>
      </c>
      <c r="AB50" s="846">
        <v>167</v>
      </c>
      <c r="AC50" s="846">
        <v>132</v>
      </c>
      <c r="AD50" s="846">
        <v>171</v>
      </c>
      <c r="AE50" s="846">
        <v>129</v>
      </c>
      <c r="AF50" s="846">
        <v>173</v>
      </c>
      <c r="AG50" s="846">
        <v>197</v>
      </c>
      <c r="AH50" s="846">
        <v>158</v>
      </c>
      <c r="AI50" s="846">
        <v>94</v>
      </c>
      <c r="AJ50" s="847"/>
      <c r="AK50" s="848">
        <f t="shared" si="3"/>
        <v>4804</v>
      </c>
      <c r="AL50" s="863">
        <v>42.713883108022394</v>
      </c>
      <c r="AM50" s="849">
        <f t="shared" si="4"/>
        <v>2051.9749445093958</v>
      </c>
      <c r="AN50" s="1149" t="s">
        <v>36</v>
      </c>
      <c r="AO50" s="421"/>
      <c r="AP50" s="421"/>
    </row>
    <row r="51" spans="1:42" ht="54" customHeight="1">
      <c r="A51" s="645">
        <v>35</v>
      </c>
      <c r="B51" s="645">
        <v>35</v>
      </c>
      <c r="C51" s="645" t="str">
        <f>'Chấm công KT'!C47</f>
        <v>02714</v>
      </c>
      <c r="D51" s="652" t="str">
        <f>'Chấm công KT'!D47</f>
        <v>N. Tủn</v>
      </c>
      <c r="E51" s="652"/>
      <c r="F51" s="846">
        <v>74</v>
      </c>
      <c r="G51" s="846">
        <v>94</v>
      </c>
      <c r="H51" s="846">
        <v>70</v>
      </c>
      <c r="I51" s="846">
        <v>122</v>
      </c>
      <c r="J51" s="846">
        <v>101</v>
      </c>
      <c r="K51" s="846">
        <v>82</v>
      </c>
      <c r="L51" s="846">
        <v>125</v>
      </c>
      <c r="M51" s="846">
        <v>209</v>
      </c>
      <c r="N51" s="846">
        <v>183</v>
      </c>
      <c r="O51" s="846">
        <v>178</v>
      </c>
      <c r="P51" s="846">
        <v>0</v>
      </c>
      <c r="Q51" s="846">
        <v>197</v>
      </c>
      <c r="R51" s="846">
        <v>271</v>
      </c>
      <c r="S51" s="846">
        <v>122</v>
      </c>
      <c r="T51" s="846">
        <v>247</v>
      </c>
      <c r="U51" s="846">
        <v>171</v>
      </c>
      <c r="V51" s="846">
        <v>162</v>
      </c>
      <c r="W51" s="846">
        <v>90</v>
      </c>
      <c r="X51" s="846">
        <v>140</v>
      </c>
      <c r="Y51" s="846">
        <v>200</v>
      </c>
      <c r="Z51" s="846">
        <v>77</v>
      </c>
      <c r="AA51" s="846">
        <v>123</v>
      </c>
      <c r="AB51" s="846">
        <v>108</v>
      </c>
      <c r="AC51" s="846">
        <v>113</v>
      </c>
      <c r="AD51" s="846">
        <v>0</v>
      </c>
      <c r="AE51" s="846">
        <v>116</v>
      </c>
      <c r="AF51" s="846">
        <v>164</v>
      </c>
      <c r="AG51" s="846">
        <v>0</v>
      </c>
      <c r="AH51" s="846">
        <v>75</v>
      </c>
      <c r="AI51" s="846">
        <v>137</v>
      </c>
      <c r="AJ51" s="847"/>
      <c r="AK51" s="848">
        <f t="shared" si="3"/>
        <v>3751</v>
      </c>
      <c r="AL51" s="863">
        <v>42.713883108022394</v>
      </c>
      <c r="AM51" s="849">
        <f t="shared" si="4"/>
        <v>1602.1977553819199</v>
      </c>
      <c r="AN51" s="1149" t="s">
        <v>36</v>
      </c>
      <c r="AO51" s="421"/>
      <c r="AP51" s="421"/>
    </row>
    <row r="52" spans="1:42" ht="54" customHeight="1">
      <c r="A52" s="645">
        <v>36</v>
      </c>
      <c r="B52" s="645">
        <v>36</v>
      </c>
      <c r="C52" s="645" t="str">
        <f>'Chấm công KT'!C48</f>
        <v>02713</v>
      </c>
      <c r="D52" s="652" t="str">
        <f>'Chấm công KT'!D48</f>
        <v>T. Lung</v>
      </c>
      <c r="E52" s="652"/>
      <c r="F52" s="846">
        <v>93</v>
      </c>
      <c r="G52" s="846">
        <v>95</v>
      </c>
      <c r="H52" s="846">
        <v>80</v>
      </c>
      <c r="I52" s="846">
        <v>132</v>
      </c>
      <c r="J52" s="846">
        <v>85</v>
      </c>
      <c r="K52" s="846">
        <v>82</v>
      </c>
      <c r="L52" s="846">
        <v>112</v>
      </c>
      <c r="M52" s="846">
        <v>220</v>
      </c>
      <c r="N52" s="846">
        <v>185</v>
      </c>
      <c r="O52" s="846">
        <v>201</v>
      </c>
      <c r="P52" s="846">
        <v>0</v>
      </c>
      <c r="Q52" s="846">
        <v>198</v>
      </c>
      <c r="R52" s="846">
        <v>288</v>
      </c>
      <c r="S52" s="846">
        <v>130</v>
      </c>
      <c r="T52" s="846">
        <v>211</v>
      </c>
      <c r="U52" s="846">
        <v>171</v>
      </c>
      <c r="V52" s="846">
        <v>160</v>
      </c>
      <c r="W52" s="846">
        <v>91</v>
      </c>
      <c r="X52" s="846">
        <v>145</v>
      </c>
      <c r="Y52" s="846">
        <v>216</v>
      </c>
      <c r="Z52" s="846">
        <v>77</v>
      </c>
      <c r="AA52" s="846">
        <v>144</v>
      </c>
      <c r="AB52" s="846">
        <v>109</v>
      </c>
      <c r="AC52" s="846">
        <v>114</v>
      </c>
      <c r="AD52" s="846">
        <v>0</v>
      </c>
      <c r="AE52" s="846">
        <v>121</v>
      </c>
      <c r="AF52" s="846">
        <v>159</v>
      </c>
      <c r="AG52" s="846">
        <v>0</v>
      </c>
      <c r="AH52" s="846">
        <v>85</v>
      </c>
      <c r="AI52" s="846">
        <v>122</v>
      </c>
      <c r="AJ52" s="847"/>
      <c r="AK52" s="848">
        <f t="shared" si="3"/>
        <v>3826</v>
      </c>
      <c r="AL52" s="863">
        <v>42.713883108022394</v>
      </c>
      <c r="AM52" s="849">
        <f t="shared" si="4"/>
        <v>1634.2331677129366</v>
      </c>
      <c r="AN52" s="1149" t="s">
        <v>36</v>
      </c>
      <c r="AO52" s="421"/>
      <c r="AP52" s="421"/>
    </row>
    <row r="53" spans="1:42" ht="54" customHeight="1">
      <c r="A53" s="645">
        <v>37</v>
      </c>
      <c r="B53" s="645">
        <v>37</v>
      </c>
      <c r="C53" s="645" t="str">
        <f>'Chấm công KT'!C49</f>
        <v>04058</v>
      </c>
      <c r="D53" s="652" t="str">
        <f>'Chấm công KT'!D49</f>
        <v>T. Bi Ly (2)</v>
      </c>
      <c r="E53" s="652"/>
      <c r="F53" s="846">
        <v>0</v>
      </c>
      <c r="G53" s="846">
        <v>67</v>
      </c>
      <c r="H53" s="846">
        <v>91</v>
      </c>
      <c r="I53" s="846">
        <v>103</v>
      </c>
      <c r="J53" s="846">
        <v>102</v>
      </c>
      <c r="K53" s="846">
        <v>69</v>
      </c>
      <c r="L53" s="846">
        <v>193</v>
      </c>
      <c r="M53" s="846">
        <v>220</v>
      </c>
      <c r="N53" s="846">
        <v>210</v>
      </c>
      <c r="O53" s="846">
        <v>204</v>
      </c>
      <c r="P53" s="846">
        <v>150</v>
      </c>
      <c r="Q53" s="846">
        <v>165</v>
      </c>
      <c r="R53" s="846">
        <v>281</v>
      </c>
      <c r="S53" s="846">
        <v>120</v>
      </c>
      <c r="T53" s="846">
        <v>140</v>
      </c>
      <c r="U53" s="846">
        <v>148</v>
      </c>
      <c r="V53" s="846">
        <v>93</v>
      </c>
      <c r="W53" s="846">
        <v>112</v>
      </c>
      <c r="X53" s="846">
        <v>154</v>
      </c>
      <c r="Y53" s="846">
        <v>295</v>
      </c>
      <c r="Z53" s="846">
        <v>137</v>
      </c>
      <c r="AA53" s="846">
        <v>160</v>
      </c>
      <c r="AB53" s="846">
        <v>114</v>
      </c>
      <c r="AC53" s="846">
        <v>87</v>
      </c>
      <c r="AD53" s="846">
        <v>108</v>
      </c>
      <c r="AE53" s="846">
        <v>100</v>
      </c>
      <c r="AF53" s="846">
        <v>184</v>
      </c>
      <c r="AG53" s="846">
        <v>155</v>
      </c>
      <c r="AH53" s="846">
        <v>82</v>
      </c>
      <c r="AI53" s="846">
        <v>93</v>
      </c>
      <c r="AJ53" s="847"/>
      <c r="AK53" s="848">
        <f t="shared" si="3"/>
        <v>4137</v>
      </c>
      <c r="AL53" s="863">
        <v>42.713883108022394</v>
      </c>
      <c r="AM53" s="849">
        <f t="shared" si="4"/>
        <v>1767.0733441788864</v>
      </c>
      <c r="AN53" s="1149" t="s">
        <v>36</v>
      </c>
      <c r="AO53" s="421"/>
      <c r="AP53" s="421"/>
    </row>
    <row r="54" spans="1:42" ht="54" customHeight="1">
      <c r="A54" s="645">
        <v>38</v>
      </c>
      <c r="B54" s="645">
        <v>38</v>
      </c>
      <c r="C54" s="645" t="str">
        <f>'Chấm công KT'!C50</f>
        <v>03487</v>
      </c>
      <c r="D54" s="652" t="str">
        <f>'Chấm công KT'!D50</f>
        <v>N. Ba Say</v>
      </c>
      <c r="E54" s="652"/>
      <c r="F54" s="846">
        <v>0</v>
      </c>
      <c r="G54" s="846">
        <v>85</v>
      </c>
      <c r="H54" s="846">
        <v>86</v>
      </c>
      <c r="I54" s="846">
        <v>105</v>
      </c>
      <c r="J54" s="846">
        <v>130</v>
      </c>
      <c r="K54" s="846">
        <v>90</v>
      </c>
      <c r="L54" s="846">
        <v>0</v>
      </c>
      <c r="M54" s="846">
        <v>121</v>
      </c>
      <c r="N54" s="846">
        <v>179</v>
      </c>
      <c r="O54" s="846">
        <v>0</v>
      </c>
      <c r="P54" s="846">
        <v>208</v>
      </c>
      <c r="Q54" s="846">
        <v>0</v>
      </c>
      <c r="R54" s="846">
        <v>291</v>
      </c>
      <c r="S54" s="846">
        <v>127</v>
      </c>
      <c r="T54" s="846">
        <v>169</v>
      </c>
      <c r="U54" s="846">
        <v>131</v>
      </c>
      <c r="V54" s="846">
        <v>110</v>
      </c>
      <c r="W54" s="846">
        <v>139</v>
      </c>
      <c r="X54" s="846">
        <v>0</v>
      </c>
      <c r="Y54" s="846">
        <v>0</v>
      </c>
      <c r="Z54" s="846">
        <v>87</v>
      </c>
      <c r="AA54" s="846">
        <v>86</v>
      </c>
      <c r="AB54" s="846">
        <v>183</v>
      </c>
      <c r="AC54" s="846">
        <v>180</v>
      </c>
      <c r="AD54" s="846">
        <v>104</v>
      </c>
      <c r="AE54" s="846">
        <v>50</v>
      </c>
      <c r="AF54" s="846">
        <v>181</v>
      </c>
      <c r="AG54" s="846">
        <v>0</v>
      </c>
      <c r="AH54" s="846">
        <v>92</v>
      </c>
      <c r="AI54" s="846">
        <v>0</v>
      </c>
      <c r="AJ54" s="847"/>
      <c r="AK54" s="848">
        <f t="shared" si="3"/>
        <v>2934</v>
      </c>
      <c r="AL54" s="863">
        <v>42.713883108022394</v>
      </c>
      <c r="AM54" s="849">
        <f t="shared" si="4"/>
        <v>1253.2253303893769</v>
      </c>
      <c r="AN54" s="1149" t="s">
        <v>36</v>
      </c>
      <c r="AO54" s="421"/>
      <c r="AP54" s="421"/>
    </row>
    <row r="55" spans="1:42" ht="54" customHeight="1">
      <c r="A55" s="645">
        <v>39</v>
      </c>
      <c r="B55" s="645">
        <v>39</v>
      </c>
      <c r="C55" s="645" t="str">
        <f>'Chấm công KT'!C51</f>
        <v>03488</v>
      </c>
      <c r="D55" s="652" t="str">
        <f>'Chấm công KT'!D51</f>
        <v>N. Đeng</v>
      </c>
      <c r="E55" s="652"/>
      <c r="F55" s="846">
        <v>128</v>
      </c>
      <c r="G55" s="846">
        <v>101</v>
      </c>
      <c r="H55" s="846">
        <v>65</v>
      </c>
      <c r="I55" s="846">
        <v>84</v>
      </c>
      <c r="J55" s="846">
        <v>141</v>
      </c>
      <c r="K55" s="846">
        <v>83</v>
      </c>
      <c r="L55" s="846">
        <v>140</v>
      </c>
      <c r="M55" s="846">
        <v>174</v>
      </c>
      <c r="N55" s="846">
        <v>241</v>
      </c>
      <c r="O55" s="846">
        <v>250</v>
      </c>
      <c r="P55" s="846">
        <v>109</v>
      </c>
      <c r="Q55" s="846">
        <v>155</v>
      </c>
      <c r="R55" s="846">
        <v>333</v>
      </c>
      <c r="S55" s="846">
        <v>96</v>
      </c>
      <c r="T55" s="846">
        <v>0</v>
      </c>
      <c r="U55" s="846">
        <v>0</v>
      </c>
      <c r="V55" s="846">
        <v>150</v>
      </c>
      <c r="W55" s="846">
        <v>0</v>
      </c>
      <c r="X55" s="846">
        <v>194</v>
      </c>
      <c r="Y55" s="846">
        <v>293</v>
      </c>
      <c r="Z55" s="846">
        <v>82</v>
      </c>
      <c r="AA55" s="846">
        <v>126</v>
      </c>
      <c r="AB55" s="846">
        <v>150</v>
      </c>
      <c r="AC55" s="846">
        <v>100</v>
      </c>
      <c r="AD55" s="846">
        <v>75</v>
      </c>
      <c r="AE55" s="846">
        <v>82</v>
      </c>
      <c r="AF55" s="846">
        <v>208</v>
      </c>
      <c r="AG55" s="846">
        <v>223</v>
      </c>
      <c r="AH55" s="846">
        <v>103</v>
      </c>
      <c r="AI55" s="846">
        <v>142</v>
      </c>
      <c r="AJ55" s="847"/>
      <c r="AK55" s="848">
        <f t="shared" si="3"/>
        <v>4028</v>
      </c>
      <c r="AL55" s="863">
        <v>42.713883108022394</v>
      </c>
      <c r="AM55" s="849">
        <f t="shared" si="4"/>
        <v>1720.5152115911419</v>
      </c>
      <c r="AN55" s="1149" t="s">
        <v>36</v>
      </c>
      <c r="AO55" s="421"/>
      <c r="AP55" s="421"/>
    </row>
    <row r="56" spans="1:42" ht="54" customHeight="1">
      <c r="A56" s="645">
        <v>40</v>
      </c>
      <c r="B56" s="645">
        <v>40</v>
      </c>
      <c r="C56" s="645" t="str">
        <f>'Chấm công KT'!C52</f>
        <v>03489</v>
      </c>
      <c r="D56" s="652" t="str">
        <f>'Chấm công KT'!D52</f>
        <v>T. Tinh</v>
      </c>
      <c r="E56" s="652"/>
      <c r="F56" s="846">
        <v>0</v>
      </c>
      <c r="G56" s="846">
        <v>85</v>
      </c>
      <c r="H56" s="846">
        <v>82</v>
      </c>
      <c r="I56" s="846">
        <v>0</v>
      </c>
      <c r="J56" s="846">
        <v>131</v>
      </c>
      <c r="K56" s="846">
        <v>93</v>
      </c>
      <c r="L56" s="846">
        <v>0</v>
      </c>
      <c r="M56" s="846">
        <v>108</v>
      </c>
      <c r="N56" s="846">
        <v>188</v>
      </c>
      <c r="O56" s="846">
        <v>0</v>
      </c>
      <c r="P56" s="846">
        <v>227</v>
      </c>
      <c r="Q56" s="846">
        <v>0</v>
      </c>
      <c r="R56" s="846">
        <v>299</v>
      </c>
      <c r="S56" s="846">
        <v>117</v>
      </c>
      <c r="T56" s="846">
        <v>164</v>
      </c>
      <c r="U56" s="846">
        <v>140</v>
      </c>
      <c r="V56" s="846">
        <v>115</v>
      </c>
      <c r="W56" s="846">
        <v>111</v>
      </c>
      <c r="X56" s="846">
        <v>0</v>
      </c>
      <c r="Y56" s="846">
        <v>0</v>
      </c>
      <c r="Z56" s="846">
        <v>88</v>
      </c>
      <c r="AA56" s="846">
        <v>88</v>
      </c>
      <c r="AB56" s="846">
        <v>202</v>
      </c>
      <c r="AC56" s="846">
        <v>180</v>
      </c>
      <c r="AD56" s="846">
        <v>86</v>
      </c>
      <c r="AE56" s="846">
        <v>53</v>
      </c>
      <c r="AF56" s="846">
        <v>182</v>
      </c>
      <c r="AG56" s="846">
        <v>0</v>
      </c>
      <c r="AH56" s="846">
        <v>94</v>
      </c>
      <c r="AI56" s="846">
        <v>0</v>
      </c>
      <c r="AJ56" s="847"/>
      <c r="AK56" s="848">
        <f t="shared" si="3"/>
        <v>2833</v>
      </c>
      <c r="AL56" s="863">
        <v>42.713883108022394</v>
      </c>
      <c r="AM56" s="849">
        <f t="shared" si="4"/>
        <v>1210.0843084502744</v>
      </c>
      <c r="AN56" s="1149" t="s">
        <v>43</v>
      </c>
      <c r="AO56" s="421"/>
      <c r="AP56" s="421"/>
    </row>
    <row r="57" spans="1:42" ht="54" customHeight="1">
      <c r="A57" s="645">
        <v>41</v>
      </c>
      <c r="B57" s="645">
        <v>41</v>
      </c>
      <c r="C57" s="645" t="str">
        <f>'Chấm công KT'!C53</f>
        <v>04059</v>
      </c>
      <c r="D57" s="652" t="str">
        <f>'Chấm công KT'!D53</f>
        <v>T. Khăm Pỏi</v>
      </c>
      <c r="E57" s="652"/>
      <c r="F57" s="846">
        <v>0</v>
      </c>
      <c r="G57" s="846">
        <v>113</v>
      </c>
      <c r="H57" s="846">
        <v>86</v>
      </c>
      <c r="I57" s="846">
        <v>82</v>
      </c>
      <c r="J57" s="846">
        <v>151</v>
      </c>
      <c r="K57" s="846">
        <v>70</v>
      </c>
      <c r="L57" s="846">
        <v>171</v>
      </c>
      <c r="M57" s="846">
        <v>132</v>
      </c>
      <c r="N57" s="846">
        <v>171</v>
      </c>
      <c r="O57" s="846">
        <v>184</v>
      </c>
      <c r="P57" s="846">
        <v>136</v>
      </c>
      <c r="Q57" s="846">
        <v>103</v>
      </c>
      <c r="R57" s="846">
        <v>327</v>
      </c>
      <c r="S57" s="846">
        <v>120</v>
      </c>
      <c r="T57" s="846">
        <v>0</v>
      </c>
      <c r="U57" s="846">
        <v>136</v>
      </c>
      <c r="V57" s="846">
        <v>154</v>
      </c>
      <c r="W57" s="846">
        <v>110</v>
      </c>
      <c r="X57" s="846">
        <v>100</v>
      </c>
      <c r="Y57" s="846">
        <v>256</v>
      </c>
      <c r="Z57" s="846">
        <v>93</v>
      </c>
      <c r="AA57" s="846">
        <v>125</v>
      </c>
      <c r="AB57" s="846">
        <v>130</v>
      </c>
      <c r="AC57" s="846">
        <v>124</v>
      </c>
      <c r="AD57" s="846">
        <v>77</v>
      </c>
      <c r="AE57" s="846">
        <v>0</v>
      </c>
      <c r="AF57" s="846">
        <v>152</v>
      </c>
      <c r="AG57" s="846">
        <v>245</v>
      </c>
      <c r="AH57" s="846">
        <v>99</v>
      </c>
      <c r="AI57" s="846">
        <v>146</v>
      </c>
      <c r="AJ57" s="847"/>
      <c r="AK57" s="848">
        <f t="shared" si="3"/>
        <v>3793</v>
      </c>
      <c r="AL57" s="863">
        <v>42.713883108022394</v>
      </c>
      <c r="AM57" s="849">
        <f t="shared" si="4"/>
        <v>1620.1375862872894</v>
      </c>
      <c r="AN57" s="1149" t="s">
        <v>36</v>
      </c>
      <c r="AO57" s="421"/>
      <c r="AP57" s="421"/>
    </row>
    <row r="58" spans="1:42" ht="54" customHeight="1">
      <c r="A58" s="645">
        <v>42</v>
      </c>
      <c r="B58" s="645">
        <v>42</v>
      </c>
      <c r="C58" s="645" t="str">
        <f>'Chấm công KT'!C54</f>
        <v>03491</v>
      </c>
      <c r="D58" s="652" t="str">
        <f>'Chấm công KT'!D54</f>
        <v>Lăm Ngân</v>
      </c>
      <c r="E58" s="652"/>
      <c r="F58" s="846">
        <v>120</v>
      </c>
      <c r="G58" s="846">
        <v>101</v>
      </c>
      <c r="H58" s="846">
        <v>70</v>
      </c>
      <c r="I58" s="846">
        <v>83</v>
      </c>
      <c r="J58" s="846">
        <v>137</v>
      </c>
      <c r="K58" s="846">
        <v>64</v>
      </c>
      <c r="L58" s="846">
        <v>133</v>
      </c>
      <c r="M58" s="846">
        <v>168</v>
      </c>
      <c r="N58" s="846">
        <v>230</v>
      </c>
      <c r="O58" s="846">
        <v>222</v>
      </c>
      <c r="P58" s="846">
        <v>102</v>
      </c>
      <c r="Q58" s="846">
        <v>141</v>
      </c>
      <c r="R58" s="846">
        <v>330</v>
      </c>
      <c r="S58" s="846">
        <v>82</v>
      </c>
      <c r="T58" s="846">
        <v>0</v>
      </c>
      <c r="U58" s="846">
        <v>257</v>
      </c>
      <c r="V58" s="846">
        <v>144</v>
      </c>
      <c r="W58" s="846">
        <v>0</v>
      </c>
      <c r="X58" s="846">
        <v>194</v>
      </c>
      <c r="Y58" s="846">
        <v>306</v>
      </c>
      <c r="Z58" s="846">
        <v>83</v>
      </c>
      <c r="AA58" s="846">
        <v>101</v>
      </c>
      <c r="AB58" s="846">
        <v>175</v>
      </c>
      <c r="AC58" s="846">
        <v>129</v>
      </c>
      <c r="AD58" s="846">
        <v>74</v>
      </c>
      <c r="AE58" s="846">
        <v>80</v>
      </c>
      <c r="AF58" s="846">
        <v>204</v>
      </c>
      <c r="AG58" s="846">
        <v>224</v>
      </c>
      <c r="AH58" s="846">
        <v>146</v>
      </c>
      <c r="AI58" s="846">
        <v>0</v>
      </c>
      <c r="AJ58" s="847"/>
      <c r="AK58" s="848">
        <f t="shared" si="3"/>
        <v>4100</v>
      </c>
      <c r="AL58" s="863">
        <v>42.713883108022394</v>
      </c>
      <c r="AM58" s="849">
        <f t="shared" si="4"/>
        <v>1751.2692074289182</v>
      </c>
      <c r="AN58" s="1149" t="s">
        <v>36</v>
      </c>
      <c r="AO58" s="421"/>
      <c r="AP58" s="421"/>
    </row>
    <row r="59" spans="1:42" ht="54" customHeight="1">
      <c r="A59" s="645">
        <v>43</v>
      </c>
      <c r="B59" s="645">
        <v>43</v>
      </c>
      <c r="C59" s="645" t="str">
        <f>'Chấm công KT'!C55</f>
        <v>04060</v>
      </c>
      <c r="D59" s="652" t="str">
        <f>'Chấm công KT'!D55</f>
        <v>T. Không</v>
      </c>
      <c r="E59" s="652"/>
      <c r="F59" s="846">
        <v>0</v>
      </c>
      <c r="G59" s="846">
        <v>104</v>
      </c>
      <c r="H59" s="846">
        <v>94</v>
      </c>
      <c r="I59" s="846">
        <v>79</v>
      </c>
      <c r="J59" s="846">
        <v>188</v>
      </c>
      <c r="K59" s="846">
        <v>73</v>
      </c>
      <c r="L59" s="846">
        <v>193</v>
      </c>
      <c r="M59" s="846">
        <v>176</v>
      </c>
      <c r="N59" s="846">
        <v>217</v>
      </c>
      <c r="O59" s="846">
        <v>197</v>
      </c>
      <c r="P59" s="846">
        <v>167</v>
      </c>
      <c r="Q59" s="846">
        <v>149</v>
      </c>
      <c r="R59" s="846">
        <v>329</v>
      </c>
      <c r="S59" s="846">
        <v>151</v>
      </c>
      <c r="T59" s="846">
        <v>114</v>
      </c>
      <c r="U59" s="846">
        <v>134</v>
      </c>
      <c r="V59" s="846">
        <v>115</v>
      </c>
      <c r="W59" s="846">
        <v>105</v>
      </c>
      <c r="X59" s="846">
        <v>100</v>
      </c>
      <c r="Y59" s="846">
        <v>226</v>
      </c>
      <c r="Z59" s="846">
        <v>107</v>
      </c>
      <c r="AA59" s="846">
        <v>92</v>
      </c>
      <c r="AB59" s="846">
        <v>119</v>
      </c>
      <c r="AC59" s="846">
        <v>105</v>
      </c>
      <c r="AD59" s="846">
        <v>237</v>
      </c>
      <c r="AE59" s="846">
        <v>88</v>
      </c>
      <c r="AF59" s="846">
        <v>166</v>
      </c>
      <c r="AG59" s="846">
        <v>198</v>
      </c>
      <c r="AH59" s="846">
        <v>172</v>
      </c>
      <c r="AI59" s="846">
        <v>77</v>
      </c>
      <c r="AJ59" s="847"/>
      <c r="AK59" s="848">
        <f t="shared" si="3"/>
        <v>4272</v>
      </c>
      <c r="AL59" s="863">
        <v>42.713883108022394</v>
      </c>
      <c r="AM59" s="849">
        <f t="shared" si="4"/>
        <v>1824.7370863747167</v>
      </c>
      <c r="AN59" s="1149" t="s">
        <v>36</v>
      </c>
      <c r="AO59" s="421"/>
      <c r="AP59" s="421"/>
    </row>
    <row r="60" spans="1:42" ht="54" customHeight="1">
      <c r="A60" s="645">
        <v>44</v>
      </c>
      <c r="B60" s="645">
        <v>44</v>
      </c>
      <c r="C60" s="645" t="str">
        <f>'Chấm công KT'!C56</f>
        <v>03492</v>
      </c>
      <c r="D60" s="652" t="str">
        <f>'Chấm công KT'!D56</f>
        <v>T. Lem</v>
      </c>
      <c r="E60" s="652"/>
      <c r="F60" s="846">
        <v>0</v>
      </c>
      <c r="G60" s="846">
        <v>0</v>
      </c>
      <c r="H60" s="846">
        <v>90</v>
      </c>
      <c r="I60" s="846">
        <v>173</v>
      </c>
      <c r="J60" s="846">
        <v>142</v>
      </c>
      <c r="K60" s="846">
        <v>179</v>
      </c>
      <c r="L60" s="846">
        <v>168</v>
      </c>
      <c r="M60" s="846">
        <v>262</v>
      </c>
      <c r="N60" s="846">
        <v>191</v>
      </c>
      <c r="O60" s="846">
        <v>194</v>
      </c>
      <c r="P60" s="846">
        <v>124</v>
      </c>
      <c r="Q60" s="846">
        <v>217</v>
      </c>
      <c r="R60" s="846">
        <v>355</v>
      </c>
      <c r="S60" s="846">
        <v>0</v>
      </c>
      <c r="T60" s="846">
        <v>216</v>
      </c>
      <c r="U60" s="846">
        <v>167</v>
      </c>
      <c r="V60" s="846">
        <v>206</v>
      </c>
      <c r="W60" s="846">
        <v>130</v>
      </c>
      <c r="X60" s="846">
        <v>183</v>
      </c>
      <c r="Y60" s="846">
        <v>261</v>
      </c>
      <c r="Z60" s="846">
        <v>0</v>
      </c>
      <c r="AA60" s="846">
        <v>191</v>
      </c>
      <c r="AB60" s="846">
        <v>0</v>
      </c>
      <c r="AC60" s="846">
        <v>108</v>
      </c>
      <c r="AD60" s="846">
        <v>148</v>
      </c>
      <c r="AE60" s="846">
        <v>117</v>
      </c>
      <c r="AF60" s="846">
        <v>219</v>
      </c>
      <c r="AG60" s="846">
        <v>316</v>
      </c>
      <c r="AH60" s="846">
        <v>83</v>
      </c>
      <c r="AI60" s="846">
        <v>0</v>
      </c>
      <c r="AJ60" s="847"/>
      <c r="AK60" s="848">
        <f t="shared" si="3"/>
        <v>4440</v>
      </c>
      <c r="AL60" s="863">
        <v>42.713883108022394</v>
      </c>
      <c r="AM60" s="849">
        <f t="shared" si="4"/>
        <v>1896.4964099961944</v>
      </c>
      <c r="AN60" s="1149" t="s">
        <v>36</v>
      </c>
      <c r="AO60" s="421"/>
      <c r="AP60" s="421"/>
    </row>
    <row r="61" spans="1:42" ht="54" customHeight="1">
      <c r="A61" s="645">
        <v>45</v>
      </c>
      <c r="B61" s="645">
        <v>45</v>
      </c>
      <c r="C61" s="645" t="str">
        <f>'Chấm công KT'!C57</f>
        <v>03493</v>
      </c>
      <c r="D61" s="652" t="str">
        <f>'Chấm công KT'!D57</f>
        <v>T. Pông</v>
      </c>
      <c r="E61" s="652"/>
      <c r="F61" s="846">
        <v>95</v>
      </c>
      <c r="G61" s="846">
        <v>147</v>
      </c>
      <c r="H61" s="846">
        <v>65</v>
      </c>
      <c r="I61" s="846">
        <v>115</v>
      </c>
      <c r="J61" s="846">
        <v>138</v>
      </c>
      <c r="K61" s="846">
        <v>134</v>
      </c>
      <c r="L61" s="846">
        <v>140</v>
      </c>
      <c r="M61" s="846">
        <v>220</v>
      </c>
      <c r="N61" s="846">
        <v>212</v>
      </c>
      <c r="O61" s="846">
        <v>247</v>
      </c>
      <c r="P61" s="846">
        <v>104</v>
      </c>
      <c r="Q61" s="846">
        <v>199</v>
      </c>
      <c r="R61" s="846">
        <v>412</v>
      </c>
      <c r="S61" s="846">
        <v>137</v>
      </c>
      <c r="T61" s="846">
        <v>199</v>
      </c>
      <c r="U61" s="846">
        <v>187</v>
      </c>
      <c r="V61" s="846">
        <v>175</v>
      </c>
      <c r="W61" s="846">
        <v>96</v>
      </c>
      <c r="X61" s="846">
        <v>143</v>
      </c>
      <c r="Y61" s="846">
        <v>270</v>
      </c>
      <c r="Z61" s="846">
        <v>30</v>
      </c>
      <c r="AA61" s="846">
        <v>130</v>
      </c>
      <c r="AB61" s="846">
        <v>181</v>
      </c>
      <c r="AC61" s="846">
        <v>158</v>
      </c>
      <c r="AD61" s="846">
        <v>116</v>
      </c>
      <c r="AE61" s="846">
        <v>103</v>
      </c>
      <c r="AF61" s="846">
        <v>174</v>
      </c>
      <c r="AG61" s="846">
        <v>221</v>
      </c>
      <c r="AH61" s="846">
        <v>90</v>
      </c>
      <c r="AI61" s="846">
        <v>80</v>
      </c>
      <c r="AJ61" s="847"/>
      <c r="AK61" s="848">
        <f t="shared" si="3"/>
        <v>4718</v>
      </c>
      <c r="AL61" s="863">
        <v>42.713883108022394</v>
      </c>
      <c r="AM61" s="849">
        <f t="shared" si="4"/>
        <v>2015.2410050364965</v>
      </c>
      <c r="AN61" s="1149" t="s">
        <v>36</v>
      </c>
      <c r="AO61" s="421"/>
      <c r="AP61" s="421"/>
    </row>
    <row r="62" spans="1:42" ht="54" customHeight="1">
      <c r="A62" s="645">
        <v>46</v>
      </c>
      <c r="B62" s="645">
        <v>46</v>
      </c>
      <c r="C62" s="645" t="str">
        <f>'Chấm công KT'!C58</f>
        <v>03496</v>
      </c>
      <c r="D62" s="652" t="str">
        <f>'Chấm công KT'!D58</f>
        <v>T. Lốp</v>
      </c>
      <c r="E62" s="652"/>
      <c r="F62" s="846">
        <v>0</v>
      </c>
      <c r="G62" s="846">
        <v>0</v>
      </c>
      <c r="H62" s="846">
        <v>110</v>
      </c>
      <c r="I62" s="846">
        <v>145</v>
      </c>
      <c r="J62" s="846">
        <v>264</v>
      </c>
      <c r="K62" s="846">
        <v>213</v>
      </c>
      <c r="L62" s="846">
        <v>164</v>
      </c>
      <c r="M62" s="846">
        <v>212</v>
      </c>
      <c r="N62" s="846">
        <v>261</v>
      </c>
      <c r="O62" s="846">
        <v>253</v>
      </c>
      <c r="P62" s="846">
        <v>140</v>
      </c>
      <c r="Q62" s="846">
        <v>187</v>
      </c>
      <c r="R62" s="846">
        <v>412</v>
      </c>
      <c r="S62" s="846">
        <v>123</v>
      </c>
      <c r="T62" s="846">
        <v>176</v>
      </c>
      <c r="U62" s="846">
        <v>204</v>
      </c>
      <c r="V62" s="846">
        <v>186</v>
      </c>
      <c r="W62" s="846">
        <v>0</v>
      </c>
      <c r="X62" s="846">
        <v>184</v>
      </c>
      <c r="Y62" s="846">
        <v>402</v>
      </c>
      <c r="Z62" s="846">
        <v>204</v>
      </c>
      <c r="AA62" s="846">
        <v>0</v>
      </c>
      <c r="AB62" s="846">
        <v>226</v>
      </c>
      <c r="AC62" s="846">
        <v>133</v>
      </c>
      <c r="AD62" s="846">
        <v>149</v>
      </c>
      <c r="AE62" s="846">
        <v>260</v>
      </c>
      <c r="AF62" s="846">
        <v>236</v>
      </c>
      <c r="AG62" s="846">
        <v>212</v>
      </c>
      <c r="AH62" s="846">
        <v>0</v>
      </c>
      <c r="AI62" s="846">
        <v>173</v>
      </c>
      <c r="AJ62" s="847"/>
      <c r="AK62" s="848">
        <f t="shared" si="3"/>
        <v>5229</v>
      </c>
      <c r="AL62" s="863">
        <v>42.713883108022394</v>
      </c>
      <c r="AM62" s="849">
        <f t="shared" si="4"/>
        <v>2233.5089477184911</v>
      </c>
      <c r="AN62" s="1149" t="s">
        <v>36</v>
      </c>
      <c r="AO62" s="421"/>
      <c r="AP62" s="421"/>
    </row>
    <row r="63" spans="1:42" ht="54" customHeight="1">
      <c r="A63" s="645">
        <v>47</v>
      </c>
      <c r="B63" s="645">
        <v>47</v>
      </c>
      <c r="C63" s="645" t="str">
        <f>'Chấm công KT'!C59</f>
        <v>04061</v>
      </c>
      <c r="D63" s="652" t="str">
        <f>'Chấm công KT'!D59</f>
        <v>N. Nu Ni</v>
      </c>
      <c r="E63" s="652"/>
      <c r="F63" s="846">
        <v>0</v>
      </c>
      <c r="G63" s="846">
        <v>0</v>
      </c>
      <c r="H63" s="846">
        <v>125</v>
      </c>
      <c r="I63" s="846">
        <v>144</v>
      </c>
      <c r="J63" s="846">
        <v>262</v>
      </c>
      <c r="K63" s="846">
        <v>212</v>
      </c>
      <c r="L63" s="846">
        <v>175</v>
      </c>
      <c r="M63" s="846">
        <v>210</v>
      </c>
      <c r="N63" s="846">
        <v>267</v>
      </c>
      <c r="O63" s="846">
        <v>204</v>
      </c>
      <c r="P63" s="846">
        <v>120</v>
      </c>
      <c r="Q63" s="846">
        <v>192</v>
      </c>
      <c r="R63" s="846">
        <v>329</v>
      </c>
      <c r="S63" s="846">
        <v>101</v>
      </c>
      <c r="T63" s="846">
        <v>170</v>
      </c>
      <c r="U63" s="846">
        <v>204</v>
      </c>
      <c r="V63" s="846">
        <v>193</v>
      </c>
      <c r="W63" s="846">
        <v>0</v>
      </c>
      <c r="X63" s="846">
        <v>220</v>
      </c>
      <c r="Y63" s="846">
        <v>391</v>
      </c>
      <c r="Z63" s="846">
        <v>204</v>
      </c>
      <c r="AA63" s="846">
        <v>0</v>
      </c>
      <c r="AB63" s="846">
        <v>222</v>
      </c>
      <c r="AC63" s="846">
        <v>134</v>
      </c>
      <c r="AD63" s="846">
        <v>150</v>
      </c>
      <c r="AE63" s="846">
        <v>256</v>
      </c>
      <c r="AF63" s="846">
        <v>232</v>
      </c>
      <c r="AG63" s="846">
        <v>201</v>
      </c>
      <c r="AH63" s="846">
        <v>0</v>
      </c>
      <c r="AI63" s="846">
        <v>0</v>
      </c>
      <c r="AJ63" s="847"/>
      <c r="AK63" s="848">
        <f t="shared" si="3"/>
        <v>4918</v>
      </c>
      <c r="AL63" s="863">
        <v>42.713883108022394</v>
      </c>
      <c r="AM63" s="849">
        <f t="shared" si="4"/>
        <v>2100.6687712525413</v>
      </c>
      <c r="AN63" s="1149" t="s">
        <v>36</v>
      </c>
      <c r="AO63" s="421"/>
      <c r="AP63" s="421"/>
    </row>
    <row r="64" spans="1:42" ht="54" customHeight="1">
      <c r="A64" s="645">
        <v>48</v>
      </c>
      <c r="B64" s="645">
        <v>48</v>
      </c>
      <c r="C64" s="645" t="str">
        <f>'Chấm công KT'!C60</f>
        <v>03494</v>
      </c>
      <c r="D64" s="652" t="str">
        <f>'Chấm công KT'!D60</f>
        <v>T. Đi</v>
      </c>
      <c r="E64" s="652"/>
      <c r="F64" s="846">
        <v>0</v>
      </c>
      <c r="G64" s="846">
        <v>123</v>
      </c>
      <c r="H64" s="846">
        <v>78</v>
      </c>
      <c r="I64" s="846">
        <v>103</v>
      </c>
      <c r="J64" s="846">
        <v>161</v>
      </c>
      <c r="K64" s="846">
        <v>77</v>
      </c>
      <c r="L64" s="846">
        <v>125</v>
      </c>
      <c r="M64" s="846">
        <v>200</v>
      </c>
      <c r="N64" s="846">
        <v>190</v>
      </c>
      <c r="O64" s="846">
        <v>204</v>
      </c>
      <c r="P64" s="846">
        <v>122</v>
      </c>
      <c r="Q64" s="846">
        <v>164</v>
      </c>
      <c r="R64" s="846">
        <v>309</v>
      </c>
      <c r="S64" s="846">
        <v>126</v>
      </c>
      <c r="T64" s="846">
        <v>180</v>
      </c>
      <c r="U64" s="846">
        <v>158</v>
      </c>
      <c r="V64" s="846">
        <v>135</v>
      </c>
      <c r="W64" s="846">
        <v>0</v>
      </c>
      <c r="X64" s="846">
        <v>0</v>
      </c>
      <c r="Y64" s="846">
        <v>240</v>
      </c>
      <c r="Z64" s="846">
        <v>145</v>
      </c>
      <c r="AA64" s="846">
        <v>209</v>
      </c>
      <c r="AB64" s="846">
        <v>121</v>
      </c>
      <c r="AC64" s="846">
        <v>107</v>
      </c>
      <c r="AD64" s="846">
        <v>80</v>
      </c>
      <c r="AE64" s="846">
        <v>106</v>
      </c>
      <c r="AF64" s="846">
        <v>150</v>
      </c>
      <c r="AG64" s="846">
        <v>154</v>
      </c>
      <c r="AH64" s="846">
        <v>0</v>
      </c>
      <c r="AI64" s="846">
        <v>0</v>
      </c>
      <c r="AJ64" s="847"/>
      <c r="AK64" s="848">
        <f t="shared" si="3"/>
        <v>3767</v>
      </c>
      <c r="AL64" s="863">
        <v>42.713883108022394</v>
      </c>
      <c r="AM64" s="849">
        <f t="shared" si="4"/>
        <v>1609.0319766792036</v>
      </c>
      <c r="AN64" s="1149" t="s">
        <v>36</v>
      </c>
      <c r="AO64" s="421"/>
      <c r="AP64" s="421"/>
    </row>
    <row r="65" spans="1:42" ht="54" customHeight="1">
      <c r="A65" s="645">
        <v>49</v>
      </c>
      <c r="B65" s="645">
        <v>49</v>
      </c>
      <c r="C65" s="645" t="str">
        <f>'Chấm công KT'!C61</f>
        <v>03495</v>
      </c>
      <c r="D65" s="652" t="str">
        <f>'Chấm công KT'!D61</f>
        <v>N. On Xi</v>
      </c>
      <c r="E65" s="652"/>
      <c r="F65" s="846">
        <v>114</v>
      </c>
      <c r="G65" s="846">
        <v>89</v>
      </c>
      <c r="H65" s="846">
        <v>100</v>
      </c>
      <c r="I65" s="846">
        <v>99</v>
      </c>
      <c r="J65" s="846">
        <v>104</v>
      </c>
      <c r="K65" s="846">
        <v>59</v>
      </c>
      <c r="L65" s="846">
        <v>118</v>
      </c>
      <c r="M65" s="846">
        <v>193</v>
      </c>
      <c r="N65" s="846">
        <v>206</v>
      </c>
      <c r="O65" s="846">
        <v>170</v>
      </c>
      <c r="P65" s="846">
        <v>134</v>
      </c>
      <c r="Q65" s="846">
        <v>200</v>
      </c>
      <c r="R65" s="846">
        <v>367</v>
      </c>
      <c r="S65" s="846">
        <v>113</v>
      </c>
      <c r="T65" s="846">
        <v>157</v>
      </c>
      <c r="U65" s="846">
        <v>183</v>
      </c>
      <c r="V65" s="846">
        <v>106</v>
      </c>
      <c r="W65" s="846">
        <v>57</v>
      </c>
      <c r="X65" s="846">
        <v>107</v>
      </c>
      <c r="Y65" s="846">
        <v>287</v>
      </c>
      <c r="Z65" s="846">
        <v>103</v>
      </c>
      <c r="AA65" s="846">
        <v>107</v>
      </c>
      <c r="AB65" s="846">
        <v>152</v>
      </c>
      <c r="AC65" s="846">
        <v>114</v>
      </c>
      <c r="AD65" s="846">
        <v>99</v>
      </c>
      <c r="AE65" s="846">
        <v>106</v>
      </c>
      <c r="AF65" s="846">
        <v>170</v>
      </c>
      <c r="AG65" s="846">
        <v>190</v>
      </c>
      <c r="AH65" s="846">
        <v>0</v>
      </c>
      <c r="AI65" s="846">
        <v>73</v>
      </c>
      <c r="AJ65" s="847"/>
      <c r="AK65" s="848">
        <f t="shared" si="3"/>
        <v>4077</v>
      </c>
      <c r="AL65" s="863">
        <v>42.713883108022394</v>
      </c>
      <c r="AM65" s="849">
        <f t="shared" si="4"/>
        <v>1741.445014314073</v>
      </c>
      <c r="AN65" s="1149" t="s">
        <v>36</v>
      </c>
      <c r="AO65" s="421"/>
      <c r="AP65" s="421"/>
    </row>
    <row r="66" spans="1:42" ht="54" customHeight="1">
      <c r="A66" s="645">
        <v>50</v>
      </c>
      <c r="B66" s="645">
        <v>50</v>
      </c>
      <c r="C66" s="645" t="str">
        <f>'Chấm công KT'!C62</f>
        <v>04062</v>
      </c>
      <c r="D66" s="652" t="str">
        <f>'Chấm công KT'!D62</f>
        <v>N. Thông La</v>
      </c>
      <c r="E66" s="652"/>
      <c r="F66" s="846">
        <v>0</v>
      </c>
      <c r="G66" s="846">
        <v>146</v>
      </c>
      <c r="H66" s="846">
        <v>105</v>
      </c>
      <c r="I66" s="846">
        <v>109</v>
      </c>
      <c r="J66" s="846">
        <v>218</v>
      </c>
      <c r="K66" s="846">
        <v>100</v>
      </c>
      <c r="L66" s="846">
        <v>165</v>
      </c>
      <c r="M66" s="846">
        <v>166</v>
      </c>
      <c r="N66" s="846">
        <v>253</v>
      </c>
      <c r="O66" s="846">
        <v>252</v>
      </c>
      <c r="P66" s="846">
        <v>159</v>
      </c>
      <c r="Q66" s="846">
        <v>152</v>
      </c>
      <c r="R66" s="846">
        <v>440</v>
      </c>
      <c r="S66" s="846">
        <v>120</v>
      </c>
      <c r="T66" s="846">
        <v>143</v>
      </c>
      <c r="U66" s="846">
        <v>213</v>
      </c>
      <c r="V66" s="846">
        <v>154</v>
      </c>
      <c r="W66" s="846">
        <v>159</v>
      </c>
      <c r="X66" s="846">
        <v>127</v>
      </c>
      <c r="Y66" s="846">
        <v>379</v>
      </c>
      <c r="Z66" s="846">
        <v>116</v>
      </c>
      <c r="AA66" s="846">
        <v>117</v>
      </c>
      <c r="AB66" s="846">
        <v>153</v>
      </c>
      <c r="AC66" s="846">
        <v>156</v>
      </c>
      <c r="AD66" s="846">
        <v>110</v>
      </c>
      <c r="AE66" s="846">
        <v>93</v>
      </c>
      <c r="AF66" s="846">
        <v>216</v>
      </c>
      <c r="AG66" s="846">
        <v>222</v>
      </c>
      <c r="AH66" s="846">
        <v>120</v>
      </c>
      <c r="AI66" s="846">
        <v>85</v>
      </c>
      <c r="AJ66" s="847"/>
      <c r="AK66" s="848">
        <f t="shared" si="3"/>
        <v>4948</v>
      </c>
      <c r="AL66" s="863">
        <v>42.713883108022394</v>
      </c>
      <c r="AM66" s="849">
        <f t="shared" si="4"/>
        <v>2113.4829361849479</v>
      </c>
      <c r="AN66" s="1149" t="s">
        <v>36</v>
      </c>
      <c r="AO66" s="421"/>
      <c r="AP66" s="421"/>
    </row>
    <row r="67" spans="1:42" ht="54" customHeight="1">
      <c r="A67" s="645">
        <v>51</v>
      </c>
      <c r="B67" s="645">
        <v>51</v>
      </c>
      <c r="C67" s="645" t="str">
        <f>'Chấm công KT'!C63</f>
        <v>03497</v>
      </c>
      <c r="D67" s="652" t="str">
        <f>'Chấm công KT'!D63</f>
        <v>T. Son Xay</v>
      </c>
      <c r="E67" s="652"/>
      <c r="F67" s="846">
        <v>90</v>
      </c>
      <c r="G67" s="846">
        <v>97</v>
      </c>
      <c r="H67" s="846">
        <v>114</v>
      </c>
      <c r="I67" s="846">
        <v>100</v>
      </c>
      <c r="J67" s="846">
        <v>140</v>
      </c>
      <c r="K67" s="846">
        <v>130</v>
      </c>
      <c r="L67" s="846">
        <v>150</v>
      </c>
      <c r="M67" s="846">
        <v>204</v>
      </c>
      <c r="N67" s="846">
        <v>235</v>
      </c>
      <c r="O67" s="846">
        <v>213</v>
      </c>
      <c r="P67" s="846">
        <v>151</v>
      </c>
      <c r="Q67" s="846">
        <v>149</v>
      </c>
      <c r="R67" s="846">
        <v>325</v>
      </c>
      <c r="S67" s="846">
        <v>130</v>
      </c>
      <c r="T67" s="846">
        <v>215</v>
      </c>
      <c r="U67" s="846">
        <v>218</v>
      </c>
      <c r="V67" s="846">
        <v>200</v>
      </c>
      <c r="W67" s="846">
        <v>185</v>
      </c>
      <c r="X67" s="846">
        <v>125</v>
      </c>
      <c r="Y67" s="846">
        <v>260</v>
      </c>
      <c r="Z67" s="846">
        <v>164</v>
      </c>
      <c r="AA67" s="846">
        <v>113</v>
      </c>
      <c r="AB67" s="846">
        <v>185</v>
      </c>
      <c r="AC67" s="846">
        <v>112</v>
      </c>
      <c r="AD67" s="846">
        <v>99</v>
      </c>
      <c r="AE67" s="846">
        <v>168</v>
      </c>
      <c r="AF67" s="846">
        <v>241</v>
      </c>
      <c r="AG67" s="846">
        <v>0</v>
      </c>
      <c r="AH67" s="846">
        <v>232</v>
      </c>
      <c r="AI67" s="846">
        <v>0</v>
      </c>
      <c r="AJ67" s="847"/>
      <c r="AK67" s="848">
        <f t="shared" si="3"/>
        <v>4745</v>
      </c>
      <c r="AL67" s="863">
        <v>42.713883108022394</v>
      </c>
      <c r="AM67" s="849">
        <f t="shared" si="4"/>
        <v>2026.7737534756627</v>
      </c>
      <c r="AN67" s="1149" t="s">
        <v>36</v>
      </c>
      <c r="AO67" s="421"/>
      <c r="AP67" s="421"/>
    </row>
    <row r="68" spans="1:42" ht="54" customHeight="1">
      <c r="A68" s="645">
        <v>52</v>
      </c>
      <c r="B68" s="645">
        <v>52</v>
      </c>
      <c r="C68" s="645" t="str">
        <f>'Chấm công KT'!C64</f>
        <v>03498</v>
      </c>
      <c r="D68" s="652" t="str">
        <f>'Chấm công KT'!D64</f>
        <v>N. Lăm Phay</v>
      </c>
      <c r="E68" s="652"/>
      <c r="F68" s="846">
        <v>97</v>
      </c>
      <c r="G68" s="846">
        <v>97</v>
      </c>
      <c r="H68" s="846">
        <v>105</v>
      </c>
      <c r="I68" s="846">
        <v>109</v>
      </c>
      <c r="J68" s="846">
        <v>117</v>
      </c>
      <c r="K68" s="846">
        <v>120</v>
      </c>
      <c r="L68" s="846">
        <v>153</v>
      </c>
      <c r="M68" s="846">
        <v>215</v>
      </c>
      <c r="N68" s="846">
        <v>250</v>
      </c>
      <c r="O68" s="846">
        <v>220</v>
      </c>
      <c r="P68" s="846">
        <v>163</v>
      </c>
      <c r="Q68" s="846">
        <v>156</v>
      </c>
      <c r="R68" s="846">
        <v>303</v>
      </c>
      <c r="S68" s="846">
        <v>56</v>
      </c>
      <c r="T68" s="846">
        <v>225</v>
      </c>
      <c r="U68" s="846">
        <v>211</v>
      </c>
      <c r="V68" s="846">
        <v>200</v>
      </c>
      <c r="W68" s="846">
        <v>201</v>
      </c>
      <c r="X68" s="846">
        <v>125</v>
      </c>
      <c r="Y68" s="846">
        <v>248</v>
      </c>
      <c r="Z68" s="846">
        <v>165</v>
      </c>
      <c r="AA68" s="846">
        <v>120</v>
      </c>
      <c r="AB68" s="846">
        <v>172</v>
      </c>
      <c r="AC68" s="846">
        <v>113</v>
      </c>
      <c r="AD68" s="846">
        <v>100</v>
      </c>
      <c r="AE68" s="846">
        <v>163</v>
      </c>
      <c r="AF68" s="846">
        <v>236</v>
      </c>
      <c r="AG68" s="846">
        <v>0</v>
      </c>
      <c r="AH68" s="846">
        <v>184</v>
      </c>
      <c r="AI68" s="846">
        <v>0</v>
      </c>
      <c r="AJ68" s="847"/>
      <c r="AK68" s="848">
        <f t="shared" si="3"/>
        <v>4624</v>
      </c>
      <c r="AL68" s="863">
        <v>42.713883108022394</v>
      </c>
      <c r="AM68" s="849">
        <f t="shared" si="4"/>
        <v>1975.0899549149556</v>
      </c>
      <c r="AN68" s="1149" t="s">
        <v>36</v>
      </c>
      <c r="AO68" s="421"/>
      <c r="AP68" s="421"/>
    </row>
    <row r="69" spans="1:42" ht="54" customHeight="1">
      <c r="A69" s="645">
        <v>53</v>
      </c>
      <c r="B69" s="645">
        <v>53</v>
      </c>
      <c r="C69" s="645" t="str">
        <f>'Chấm công KT'!C65</f>
        <v>02706</v>
      </c>
      <c r="D69" s="652" t="str">
        <f>'Chấm công KT'!D65</f>
        <v>T. Nhung</v>
      </c>
      <c r="E69" s="652"/>
      <c r="F69" s="846">
        <v>105</v>
      </c>
      <c r="G69" s="846">
        <v>95</v>
      </c>
      <c r="H69" s="846">
        <v>75</v>
      </c>
      <c r="I69" s="846">
        <v>105</v>
      </c>
      <c r="J69" s="846">
        <v>120</v>
      </c>
      <c r="K69" s="846">
        <v>75</v>
      </c>
      <c r="L69" s="846">
        <v>130</v>
      </c>
      <c r="M69" s="846">
        <v>200</v>
      </c>
      <c r="N69" s="846">
        <v>229</v>
      </c>
      <c r="O69" s="846">
        <v>213</v>
      </c>
      <c r="P69" s="846">
        <v>118</v>
      </c>
      <c r="Q69" s="846">
        <v>177</v>
      </c>
      <c r="R69" s="846">
        <v>379</v>
      </c>
      <c r="S69" s="846">
        <v>119</v>
      </c>
      <c r="T69" s="846">
        <v>160</v>
      </c>
      <c r="U69" s="846">
        <v>189</v>
      </c>
      <c r="V69" s="846">
        <v>180</v>
      </c>
      <c r="W69" s="846">
        <v>94</v>
      </c>
      <c r="X69" s="846">
        <v>161</v>
      </c>
      <c r="Y69" s="846">
        <v>261</v>
      </c>
      <c r="Z69" s="846">
        <v>80</v>
      </c>
      <c r="AA69" s="846">
        <v>109</v>
      </c>
      <c r="AB69" s="846">
        <v>176</v>
      </c>
      <c r="AC69" s="846">
        <v>108</v>
      </c>
      <c r="AD69" s="846">
        <v>84</v>
      </c>
      <c r="AE69" s="846">
        <v>97</v>
      </c>
      <c r="AF69" s="846">
        <v>184</v>
      </c>
      <c r="AG69" s="846">
        <v>240</v>
      </c>
      <c r="AH69" s="846">
        <v>117</v>
      </c>
      <c r="AI69" s="846">
        <v>0</v>
      </c>
      <c r="AJ69" s="847"/>
      <c r="AK69" s="848">
        <f t="shared" si="3"/>
        <v>4380</v>
      </c>
      <c r="AL69" s="863">
        <v>42.713883108022394</v>
      </c>
      <c r="AM69" s="849">
        <f t="shared" si="4"/>
        <v>1870.8680801313808</v>
      </c>
      <c r="AN69" s="1149" t="s">
        <v>36</v>
      </c>
      <c r="AO69" s="421"/>
      <c r="AP69" s="421"/>
    </row>
    <row r="70" spans="1:42" ht="54" customHeight="1">
      <c r="A70" s="645">
        <v>54</v>
      </c>
      <c r="B70" s="645">
        <v>54</v>
      </c>
      <c r="C70" s="645">
        <f>'Chấm công KT'!C66</f>
        <v>0</v>
      </c>
      <c r="D70" s="652" t="str">
        <f>'Chấm công KT'!D66</f>
        <v>N. In Ton</v>
      </c>
      <c r="E70" s="652"/>
      <c r="F70" s="846">
        <v>0</v>
      </c>
      <c r="G70" s="846">
        <v>0</v>
      </c>
      <c r="H70" s="846">
        <v>132</v>
      </c>
      <c r="I70" s="846">
        <v>91</v>
      </c>
      <c r="J70" s="846">
        <v>116</v>
      </c>
      <c r="K70" s="846">
        <v>134</v>
      </c>
      <c r="L70" s="846">
        <v>111</v>
      </c>
      <c r="M70" s="846">
        <v>178</v>
      </c>
      <c r="N70" s="846">
        <v>149</v>
      </c>
      <c r="O70" s="846">
        <v>182</v>
      </c>
      <c r="P70" s="846">
        <v>113</v>
      </c>
      <c r="Q70" s="846">
        <v>162</v>
      </c>
      <c r="R70" s="846">
        <v>278</v>
      </c>
      <c r="S70" s="846">
        <v>121</v>
      </c>
      <c r="T70" s="846">
        <v>164</v>
      </c>
      <c r="U70" s="846">
        <v>122</v>
      </c>
      <c r="V70" s="846">
        <v>104</v>
      </c>
      <c r="W70" s="846">
        <v>124</v>
      </c>
      <c r="X70" s="846">
        <v>102</v>
      </c>
      <c r="Y70" s="846">
        <v>278</v>
      </c>
      <c r="Z70" s="846">
        <v>0</v>
      </c>
      <c r="AA70" s="846">
        <v>116</v>
      </c>
      <c r="AB70" s="846">
        <v>100</v>
      </c>
      <c r="AC70" s="846">
        <v>88</v>
      </c>
      <c r="AD70" s="846">
        <v>162</v>
      </c>
      <c r="AE70" s="846">
        <v>84</v>
      </c>
      <c r="AF70" s="846">
        <v>204</v>
      </c>
      <c r="AG70" s="846">
        <v>204</v>
      </c>
      <c r="AH70" s="846">
        <v>139</v>
      </c>
      <c r="AI70" s="846">
        <v>71</v>
      </c>
      <c r="AJ70" s="847"/>
      <c r="AK70" s="848">
        <f t="shared" si="3"/>
        <v>3829</v>
      </c>
      <c r="AL70" s="863">
        <v>42.713883108022394</v>
      </c>
      <c r="AM70" s="849">
        <f t="shared" si="4"/>
        <v>1635.5145842061775</v>
      </c>
      <c r="AN70" s="1149" t="s">
        <v>36</v>
      </c>
      <c r="AO70" s="421"/>
      <c r="AP70" s="421"/>
    </row>
    <row r="71" spans="1:42" ht="54" customHeight="1">
      <c r="A71" s="645">
        <v>55</v>
      </c>
      <c r="B71" s="645">
        <v>55</v>
      </c>
      <c r="C71" s="645" t="str">
        <f>'Chấm công KT'!C67</f>
        <v>04064</v>
      </c>
      <c r="D71" s="652" t="str">
        <f>'Chấm công KT'!D67</f>
        <v>N. Khay Chăn</v>
      </c>
      <c r="E71" s="652"/>
      <c r="F71" s="846">
        <v>0</v>
      </c>
      <c r="G71" s="846">
        <v>95</v>
      </c>
      <c r="H71" s="846">
        <v>112</v>
      </c>
      <c r="I71" s="846">
        <v>77</v>
      </c>
      <c r="J71" s="846">
        <v>60</v>
      </c>
      <c r="K71" s="846">
        <v>74</v>
      </c>
      <c r="L71" s="846">
        <v>230</v>
      </c>
      <c r="M71" s="846">
        <v>174</v>
      </c>
      <c r="N71" s="846">
        <v>176</v>
      </c>
      <c r="O71" s="846">
        <v>186</v>
      </c>
      <c r="P71" s="846">
        <v>164</v>
      </c>
      <c r="Q71" s="846">
        <v>154</v>
      </c>
      <c r="R71" s="846">
        <v>326</v>
      </c>
      <c r="S71" s="846">
        <v>196</v>
      </c>
      <c r="T71" s="846">
        <v>179</v>
      </c>
      <c r="U71" s="846">
        <v>165</v>
      </c>
      <c r="V71" s="846">
        <v>160</v>
      </c>
      <c r="W71" s="846">
        <v>189</v>
      </c>
      <c r="X71" s="846">
        <v>164</v>
      </c>
      <c r="Y71" s="846">
        <v>310</v>
      </c>
      <c r="Z71" s="846">
        <v>189</v>
      </c>
      <c r="AA71" s="846">
        <v>160</v>
      </c>
      <c r="AB71" s="846">
        <v>156</v>
      </c>
      <c r="AC71" s="846">
        <v>146</v>
      </c>
      <c r="AD71" s="846">
        <v>186</v>
      </c>
      <c r="AE71" s="846">
        <v>151</v>
      </c>
      <c r="AF71" s="846">
        <v>190</v>
      </c>
      <c r="AG71" s="846">
        <v>190</v>
      </c>
      <c r="AH71" s="846">
        <v>184</v>
      </c>
      <c r="AI71" s="846">
        <v>160</v>
      </c>
      <c r="AJ71" s="847"/>
      <c r="AK71" s="848">
        <f t="shared" si="3"/>
        <v>4903</v>
      </c>
      <c r="AL71" s="863">
        <v>42.713883108022394</v>
      </c>
      <c r="AM71" s="849">
        <f t="shared" si="4"/>
        <v>2094.2616887863378</v>
      </c>
      <c r="AN71" s="1149" t="s">
        <v>36</v>
      </c>
      <c r="AO71" s="421"/>
      <c r="AP71" s="421"/>
    </row>
    <row r="72" spans="1:42" ht="54" customHeight="1">
      <c r="A72" s="645">
        <v>56</v>
      </c>
      <c r="B72" s="645">
        <v>56</v>
      </c>
      <c r="C72" s="645" t="str">
        <f>'Chấm công KT'!C68</f>
        <v>03501</v>
      </c>
      <c r="D72" s="652" t="str">
        <f>'Chấm công KT'!D68</f>
        <v>T Dăn</v>
      </c>
      <c r="E72" s="652"/>
      <c r="F72" s="846">
        <v>0</v>
      </c>
      <c r="G72" s="846">
        <v>84</v>
      </c>
      <c r="H72" s="846">
        <v>67</v>
      </c>
      <c r="I72" s="846">
        <v>86</v>
      </c>
      <c r="J72" s="846">
        <v>116</v>
      </c>
      <c r="K72" s="846">
        <v>84</v>
      </c>
      <c r="L72" s="846">
        <v>130</v>
      </c>
      <c r="M72" s="846">
        <v>132</v>
      </c>
      <c r="N72" s="846">
        <v>172</v>
      </c>
      <c r="O72" s="846">
        <v>177</v>
      </c>
      <c r="P72" s="846">
        <v>124</v>
      </c>
      <c r="Q72" s="846">
        <v>130</v>
      </c>
      <c r="R72" s="846">
        <v>301</v>
      </c>
      <c r="S72" s="846">
        <v>0</v>
      </c>
      <c r="T72" s="846">
        <v>164</v>
      </c>
      <c r="U72" s="846">
        <v>145</v>
      </c>
      <c r="V72" s="846">
        <v>161</v>
      </c>
      <c r="W72" s="846">
        <v>110</v>
      </c>
      <c r="X72" s="846">
        <v>153</v>
      </c>
      <c r="Y72" s="846">
        <v>263</v>
      </c>
      <c r="Z72" s="846">
        <v>83</v>
      </c>
      <c r="AA72" s="846">
        <v>114</v>
      </c>
      <c r="AB72" s="846">
        <v>100</v>
      </c>
      <c r="AC72" s="846">
        <v>117</v>
      </c>
      <c r="AD72" s="846">
        <v>0</v>
      </c>
      <c r="AE72" s="846">
        <v>128</v>
      </c>
      <c r="AF72" s="846">
        <v>180</v>
      </c>
      <c r="AG72" s="846">
        <v>178</v>
      </c>
      <c r="AH72" s="846">
        <v>0</v>
      </c>
      <c r="AI72" s="846">
        <v>0</v>
      </c>
      <c r="AJ72" s="847"/>
      <c r="AK72" s="848">
        <f t="shared" si="3"/>
        <v>3499</v>
      </c>
      <c r="AL72" s="863">
        <v>42.713883108022394</v>
      </c>
      <c r="AM72" s="849">
        <f t="shared" si="4"/>
        <v>1494.5587699497034</v>
      </c>
      <c r="AN72" s="1149" t="s">
        <v>36</v>
      </c>
      <c r="AO72" s="421"/>
      <c r="AP72" s="421"/>
    </row>
    <row r="73" spans="1:42" ht="54" customHeight="1">
      <c r="A73" s="645">
        <v>57</v>
      </c>
      <c r="B73" s="645">
        <v>57</v>
      </c>
      <c r="C73" s="645" t="str">
        <f>'Chấm công KT'!C69</f>
        <v>03502</v>
      </c>
      <c r="D73" s="652" t="str">
        <f>'Chấm công KT'!D69</f>
        <v>T. Xợt</v>
      </c>
      <c r="E73" s="652"/>
      <c r="F73" s="846">
        <v>70</v>
      </c>
      <c r="G73" s="846">
        <v>106</v>
      </c>
      <c r="H73" s="846">
        <v>80</v>
      </c>
      <c r="I73" s="846">
        <v>91</v>
      </c>
      <c r="J73" s="846">
        <v>84</v>
      </c>
      <c r="K73" s="846">
        <v>86</v>
      </c>
      <c r="L73" s="846">
        <v>140</v>
      </c>
      <c r="M73" s="846">
        <v>184</v>
      </c>
      <c r="N73" s="846">
        <v>169</v>
      </c>
      <c r="O73" s="846">
        <v>167</v>
      </c>
      <c r="P73" s="846">
        <v>86</v>
      </c>
      <c r="Q73" s="846">
        <v>183</v>
      </c>
      <c r="R73" s="846">
        <v>317</v>
      </c>
      <c r="S73" s="846">
        <v>142</v>
      </c>
      <c r="T73" s="846">
        <v>180</v>
      </c>
      <c r="U73" s="846">
        <v>140</v>
      </c>
      <c r="V73" s="846">
        <v>154</v>
      </c>
      <c r="W73" s="846">
        <v>100</v>
      </c>
      <c r="X73" s="846">
        <v>95</v>
      </c>
      <c r="Y73" s="846">
        <v>253</v>
      </c>
      <c r="Z73" s="846">
        <v>80</v>
      </c>
      <c r="AA73" s="846">
        <v>98</v>
      </c>
      <c r="AB73" s="846">
        <v>98</v>
      </c>
      <c r="AC73" s="846">
        <v>110</v>
      </c>
      <c r="AD73" s="846">
        <v>86</v>
      </c>
      <c r="AE73" s="846">
        <v>97</v>
      </c>
      <c r="AF73" s="846">
        <v>154</v>
      </c>
      <c r="AG73" s="846">
        <v>231</v>
      </c>
      <c r="AH73" s="846">
        <v>0</v>
      </c>
      <c r="AI73" s="846">
        <v>52</v>
      </c>
      <c r="AJ73" s="847"/>
      <c r="AK73" s="848">
        <f t="shared" si="3"/>
        <v>3833</v>
      </c>
      <c r="AL73" s="863">
        <v>42.713883108022394</v>
      </c>
      <c r="AM73" s="849">
        <f t="shared" si="4"/>
        <v>1637.2231395304982</v>
      </c>
      <c r="AN73" s="1149" t="s">
        <v>36</v>
      </c>
      <c r="AO73" s="421"/>
      <c r="AP73" s="421"/>
    </row>
    <row r="74" spans="1:42" ht="54" customHeight="1">
      <c r="A74" s="645">
        <v>58</v>
      </c>
      <c r="B74" s="645">
        <v>58</v>
      </c>
      <c r="C74" s="645" t="str">
        <f>'Chấm công KT'!C70</f>
        <v>04065</v>
      </c>
      <c r="D74" s="652" t="str">
        <f>'Chấm công KT'!D70</f>
        <v>N. Phết 2</v>
      </c>
      <c r="E74" s="652"/>
      <c r="F74" s="846">
        <v>0</v>
      </c>
      <c r="G74" s="846">
        <v>112</v>
      </c>
      <c r="H74" s="846">
        <v>93</v>
      </c>
      <c r="I74" s="846">
        <v>94</v>
      </c>
      <c r="J74" s="846">
        <v>146</v>
      </c>
      <c r="K74" s="846">
        <v>74</v>
      </c>
      <c r="L74" s="846">
        <v>179</v>
      </c>
      <c r="M74" s="846">
        <v>138</v>
      </c>
      <c r="N74" s="846">
        <v>179</v>
      </c>
      <c r="O74" s="846">
        <v>209</v>
      </c>
      <c r="P74" s="846">
        <v>131</v>
      </c>
      <c r="Q74" s="846">
        <v>110</v>
      </c>
      <c r="R74" s="846">
        <v>268</v>
      </c>
      <c r="S74" s="846">
        <v>104</v>
      </c>
      <c r="T74" s="846">
        <v>171</v>
      </c>
      <c r="U74" s="846">
        <v>138</v>
      </c>
      <c r="V74" s="846">
        <v>147</v>
      </c>
      <c r="W74" s="846">
        <v>133</v>
      </c>
      <c r="X74" s="846">
        <v>96</v>
      </c>
      <c r="Y74" s="846">
        <v>267</v>
      </c>
      <c r="Z74" s="846">
        <v>92</v>
      </c>
      <c r="AA74" s="846">
        <v>128</v>
      </c>
      <c r="AB74" s="846">
        <v>122</v>
      </c>
      <c r="AC74" s="846">
        <v>124</v>
      </c>
      <c r="AD74" s="846">
        <v>78</v>
      </c>
      <c r="AE74" s="846">
        <v>143</v>
      </c>
      <c r="AF74" s="846">
        <v>160</v>
      </c>
      <c r="AG74" s="846">
        <v>231</v>
      </c>
      <c r="AH74" s="846">
        <v>99</v>
      </c>
      <c r="AI74" s="846">
        <v>154</v>
      </c>
      <c r="AJ74" s="847"/>
      <c r="AK74" s="848">
        <f t="shared" si="3"/>
        <v>4120</v>
      </c>
      <c r="AL74" s="863">
        <v>42.713883108022394</v>
      </c>
      <c r="AM74" s="849">
        <f t="shared" si="4"/>
        <v>1759.8119840505228</v>
      </c>
      <c r="AN74" s="1149" t="s">
        <v>36</v>
      </c>
      <c r="AO74" s="421"/>
      <c r="AP74" s="421"/>
    </row>
    <row r="75" spans="1:42" ht="54" customHeight="1">
      <c r="A75" s="645">
        <v>59</v>
      </c>
      <c r="B75" s="645">
        <v>59</v>
      </c>
      <c r="C75" s="645" t="str">
        <f>'Chấm công KT'!C71</f>
        <v>03504</v>
      </c>
      <c r="D75" s="652" t="str">
        <f>'Chấm công KT'!D71</f>
        <v>T. Cạp</v>
      </c>
      <c r="E75" s="652"/>
      <c r="F75" s="846">
        <v>0</v>
      </c>
      <c r="G75" s="846">
        <v>0</v>
      </c>
      <c r="H75" s="846">
        <v>0</v>
      </c>
      <c r="I75" s="846">
        <v>195</v>
      </c>
      <c r="J75" s="846">
        <v>118</v>
      </c>
      <c r="K75" s="846">
        <v>70</v>
      </c>
      <c r="L75" s="846">
        <v>135</v>
      </c>
      <c r="M75" s="846">
        <v>176</v>
      </c>
      <c r="N75" s="846">
        <v>172</v>
      </c>
      <c r="O75" s="846">
        <v>181</v>
      </c>
      <c r="P75" s="846">
        <v>151</v>
      </c>
      <c r="Q75" s="846">
        <v>168</v>
      </c>
      <c r="R75" s="846">
        <v>318</v>
      </c>
      <c r="S75" s="846">
        <v>120</v>
      </c>
      <c r="T75" s="846">
        <v>130</v>
      </c>
      <c r="U75" s="846">
        <v>110</v>
      </c>
      <c r="V75" s="846">
        <v>126</v>
      </c>
      <c r="W75" s="846">
        <v>0</v>
      </c>
      <c r="X75" s="846">
        <v>137</v>
      </c>
      <c r="Y75" s="846">
        <v>207</v>
      </c>
      <c r="Z75" s="846">
        <v>108</v>
      </c>
      <c r="AA75" s="846">
        <v>110</v>
      </c>
      <c r="AB75" s="846">
        <v>0</v>
      </c>
      <c r="AC75" s="846">
        <v>94</v>
      </c>
      <c r="AD75" s="846">
        <v>88</v>
      </c>
      <c r="AE75" s="846">
        <v>60</v>
      </c>
      <c r="AF75" s="846">
        <v>149</v>
      </c>
      <c r="AG75" s="846">
        <v>185</v>
      </c>
      <c r="AH75" s="846">
        <v>0</v>
      </c>
      <c r="AI75" s="846">
        <v>0</v>
      </c>
      <c r="AJ75" s="847"/>
      <c r="AK75" s="848">
        <f t="shared" si="3"/>
        <v>3308</v>
      </c>
      <c r="AL75" s="863">
        <v>42.713883108022394</v>
      </c>
      <c r="AM75" s="849">
        <f t="shared" si="4"/>
        <v>1412.9752532133809</v>
      </c>
      <c r="AN75" s="1149" t="s">
        <v>36</v>
      </c>
      <c r="AO75" s="421"/>
      <c r="AP75" s="421"/>
    </row>
    <row r="76" spans="1:42" ht="54" customHeight="1">
      <c r="A76" s="645">
        <v>60</v>
      </c>
      <c r="B76" s="645">
        <v>60</v>
      </c>
      <c r="C76" s="645">
        <f>'Chấm công KT'!C72</f>
        <v>0</v>
      </c>
      <c r="D76" s="652" t="str">
        <f>'Chấm công KT'!D72</f>
        <v>N. Ních</v>
      </c>
      <c r="E76" s="652"/>
      <c r="F76" s="846">
        <v>0</v>
      </c>
      <c r="G76" s="846">
        <v>76</v>
      </c>
      <c r="H76" s="846">
        <v>70</v>
      </c>
      <c r="I76" s="846">
        <v>100</v>
      </c>
      <c r="J76" s="846">
        <v>120</v>
      </c>
      <c r="K76" s="846">
        <v>67</v>
      </c>
      <c r="L76" s="846">
        <v>130</v>
      </c>
      <c r="M76" s="846">
        <v>187</v>
      </c>
      <c r="N76" s="846">
        <v>155</v>
      </c>
      <c r="O76" s="846">
        <v>160</v>
      </c>
      <c r="P76" s="846">
        <v>110</v>
      </c>
      <c r="Q76" s="846">
        <v>143</v>
      </c>
      <c r="R76" s="846">
        <v>244</v>
      </c>
      <c r="S76" s="846">
        <v>123</v>
      </c>
      <c r="T76" s="846">
        <v>120</v>
      </c>
      <c r="U76" s="846">
        <v>121</v>
      </c>
      <c r="V76" s="846">
        <v>129</v>
      </c>
      <c r="W76" s="846">
        <v>80</v>
      </c>
      <c r="X76" s="846">
        <v>129</v>
      </c>
      <c r="Y76" s="846">
        <v>192</v>
      </c>
      <c r="Z76" s="846">
        <v>85</v>
      </c>
      <c r="AA76" s="846">
        <v>117</v>
      </c>
      <c r="AB76" s="846">
        <v>108</v>
      </c>
      <c r="AC76" s="846">
        <v>116</v>
      </c>
      <c r="AD76" s="846">
        <v>88</v>
      </c>
      <c r="AE76" s="846">
        <v>120</v>
      </c>
      <c r="AF76" s="846">
        <v>154</v>
      </c>
      <c r="AG76" s="846">
        <v>179</v>
      </c>
      <c r="AH76" s="846">
        <v>0</v>
      </c>
      <c r="AI76" s="846">
        <v>0</v>
      </c>
      <c r="AJ76" s="847"/>
      <c r="AK76" s="848">
        <f t="shared" si="3"/>
        <v>3423</v>
      </c>
      <c r="AL76" s="863">
        <v>42.713883108022394</v>
      </c>
      <c r="AM76" s="849">
        <f t="shared" si="4"/>
        <v>1462.0962187876066</v>
      </c>
      <c r="AN76" s="1149" t="s">
        <v>43</v>
      </c>
      <c r="AO76" s="421"/>
      <c r="AP76" s="421"/>
    </row>
    <row r="77" spans="1:42" ht="54" customHeight="1">
      <c r="A77" s="645">
        <v>61</v>
      </c>
      <c r="B77" s="645">
        <v>61</v>
      </c>
      <c r="C77" s="645" t="str">
        <f>'Chấm công KT'!C73</f>
        <v>03506</v>
      </c>
      <c r="D77" s="652" t="str">
        <f>'Chấm công KT'!D73</f>
        <v>N. Bua Hom</v>
      </c>
      <c r="E77" s="652"/>
      <c r="F77" s="846">
        <v>105</v>
      </c>
      <c r="G77" s="846">
        <v>95</v>
      </c>
      <c r="H77" s="846">
        <v>90</v>
      </c>
      <c r="I77" s="846">
        <v>105</v>
      </c>
      <c r="J77" s="846">
        <v>109</v>
      </c>
      <c r="K77" s="846">
        <v>74</v>
      </c>
      <c r="L77" s="846">
        <v>146</v>
      </c>
      <c r="M77" s="846">
        <v>199</v>
      </c>
      <c r="N77" s="846">
        <v>230</v>
      </c>
      <c r="O77" s="846">
        <v>194</v>
      </c>
      <c r="P77" s="846">
        <v>108</v>
      </c>
      <c r="Q77" s="846">
        <v>190</v>
      </c>
      <c r="R77" s="846">
        <v>347</v>
      </c>
      <c r="S77" s="846">
        <v>122</v>
      </c>
      <c r="T77" s="846">
        <v>175</v>
      </c>
      <c r="U77" s="846">
        <v>174</v>
      </c>
      <c r="V77" s="846">
        <v>169</v>
      </c>
      <c r="W77" s="846">
        <v>93</v>
      </c>
      <c r="X77" s="846">
        <v>161</v>
      </c>
      <c r="Y77" s="846">
        <v>250</v>
      </c>
      <c r="Z77" s="846">
        <v>81</v>
      </c>
      <c r="AA77" s="846">
        <v>122</v>
      </c>
      <c r="AB77" s="846">
        <v>169</v>
      </c>
      <c r="AC77" s="846">
        <v>108</v>
      </c>
      <c r="AD77" s="846">
        <v>82</v>
      </c>
      <c r="AE77" s="846">
        <v>103</v>
      </c>
      <c r="AF77" s="846">
        <v>179</v>
      </c>
      <c r="AG77" s="846">
        <v>179</v>
      </c>
      <c r="AH77" s="846">
        <v>136</v>
      </c>
      <c r="AI77" s="846">
        <v>0</v>
      </c>
      <c r="AJ77" s="847"/>
      <c r="AK77" s="848">
        <f t="shared" si="3"/>
        <v>4295</v>
      </c>
      <c r="AL77" s="863">
        <v>42.713883108022394</v>
      </c>
      <c r="AM77" s="849">
        <f t="shared" si="4"/>
        <v>1834.5612794895619</v>
      </c>
      <c r="AN77" s="1149" t="s">
        <v>36</v>
      </c>
      <c r="AO77" s="421"/>
      <c r="AP77" s="421"/>
    </row>
    <row r="78" spans="1:42" ht="54" customHeight="1">
      <c r="A78" s="645">
        <v>62</v>
      </c>
      <c r="B78" s="645">
        <v>62</v>
      </c>
      <c r="C78" s="645" t="str">
        <f>'Chấm công KT'!C74</f>
        <v>04067</v>
      </c>
      <c r="D78" s="652" t="str">
        <f>'Chấm công KT'!D74</f>
        <v>N. Lăm Phay (2)</v>
      </c>
      <c r="E78" s="652"/>
      <c r="F78" s="846">
        <v>0</v>
      </c>
      <c r="G78" s="846">
        <v>72</v>
      </c>
      <c r="H78" s="846">
        <v>61</v>
      </c>
      <c r="I78" s="846">
        <v>87</v>
      </c>
      <c r="J78" s="846">
        <v>160</v>
      </c>
      <c r="K78" s="846">
        <v>57</v>
      </c>
      <c r="L78" s="846">
        <v>101</v>
      </c>
      <c r="M78" s="846">
        <v>146</v>
      </c>
      <c r="N78" s="846">
        <v>199</v>
      </c>
      <c r="O78" s="846">
        <v>203</v>
      </c>
      <c r="P78" s="846">
        <v>91</v>
      </c>
      <c r="Q78" s="846">
        <v>130</v>
      </c>
      <c r="R78" s="846">
        <v>279</v>
      </c>
      <c r="S78" s="846">
        <v>102</v>
      </c>
      <c r="T78" s="846">
        <v>121</v>
      </c>
      <c r="U78" s="846">
        <v>164</v>
      </c>
      <c r="V78" s="846">
        <v>123</v>
      </c>
      <c r="W78" s="846">
        <v>90</v>
      </c>
      <c r="X78" s="846">
        <v>114</v>
      </c>
      <c r="Y78" s="846">
        <v>199</v>
      </c>
      <c r="Z78" s="846">
        <v>71</v>
      </c>
      <c r="AA78" s="846">
        <v>64</v>
      </c>
      <c r="AB78" s="846">
        <v>150</v>
      </c>
      <c r="AC78" s="846">
        <v>76</v>
      </c>
      <c r="AD78" s="846">
        <v>0</v>
      </c>
      <c r="AE78" s="846">
        <v>107</v>
      </c>
      <c r="AF78" s="846">
        <v>161</v>
      </c>
      <c r="AG78" s="846">
        <v>181</v>
      </c>
      <c r="AH78" s="846">
        <v>92</v>
      </c>
      <c r="AI78" s="846">
        <v>107</v>
      </c>
      <c r="AJ78" s="847"/>
      <c r="AK78" s="848">
        <f t="shared" si="3"/>
        <v>3508</v>
      </c>
      <c r="AL78" s="863">
        <v>42.713883108022394</v>
      </c>
      <c r="AM78" s="849">
        <f t="shared" si="4"/>
        <v>1498.4030194294255</v>
      </c>
      <c r="AN78" s="1149" t="s">
        <v>36</v>
      </c>
      <c r="AO78" s="421"/>
      <c r="AP78" s="421"/>
    </row>
    <row r="79" spans="1:42" ht="54" customHeight="1">
      <c r="A79" s="645">
        <v>63</v>
      </c>
      <c r="B79" s="645">
        <v>63</v>
      </c>
      <c r="C79" s="645" t="str">
        <f>'Chấm công KT'!C75</f>
        <v>03508</v>
      </c>
      <c r="D79" s="652" t="str">
        <f>'Chấm công KT'!D75</f>
        <v>T. Đèng</v>
      </c>
      <c r="E79" s="652"/>
      <c r="F79" s="846">
        <v>91</v>
      </c>
      <c r="G79" s="846">
        <v>64</v>
      </c>
      <c r="H79" s="846">
        <v>60</v>
      </c>
      <c r="I79" s="846">
        <v>135</v>
      </c>
      <c r="J79" s="846">
        <v>80</v>
      </c>
      <c r="K79" s="846">
        <v>70</v>
      </c>
      <c r="L79" s="846">
        <v>0</v>
      </c>
      <c r="M79" s="846">
        <v>165</v>
      </c>
      <c r="N79" s="846">
        <v>151</v>
      </c>
      <c r="O79" s="846">
        <v>0</v>
      </c>
      <c r="P79" s="846">
        <v>127</v>
      </c>
      <c r="Q79" s="846">
        <v>132</v>
      </c>
      <c r="R79" s="846">
        <v>384</v>
      </c>
      <c r="S79" s="846">
        <v>85</v>
      </c>
      <c r="T79" s="846">
        <v>130</v>
      </c>
      <c r="U79" s="846">
        <v>151</v>
      </c>
      <c r="V79" s="846">
        <v>97</v>
      </c>
      <c r="W79" s="846">
        <v>65</v>
      </c>
      <c r="X79" s="846">
        <v>127</v>
      </c>
      <c r="Y79" s="846">
        <v>200</v>
      </c>
      <c r="Z79" s="846">
        <v>67</v>
      </c>
      <c r="AA79" s="846">
        <v>114</v>
      </c>
      <c r="AB79" s="846">
        <v>102</v>
      </c>
      <c r="AC79" s="846">
        <v>92</v>
      </c>
      <c r="AD79" s="846">
        <v>0</v>
      </c>
      <c r="AE79" s="846">
        <v>87</v>
      </c>
      <c r="AF79" s="846">
        <v>123</v>
      </c>
      <c r="AG79" s="846">
        <v>148</v>
      </c>
      <c r="AH79" s="846">
        <v>93</v>
      </c>
      <c r="AI79" s="846">
        <v>49</v>
      </c>
      <c r="AJ79" s="847"/>
      <c r="AK79" s="848">
        <f t="shared" si="3"/>
        <v>3189</v>
      </c>
      <c r="AL79" s="863">
        <v>42.713883108022394</v>
      </c>
      <c r="AM79" s="849">
        <f t="shared" si="4"/>
        <v>1362.145732314834</v>
      </c>
      <c r="AN79" s="1149" t="s">
        <v>43</v>
      </c>
      <c r="AO79" s="421"/>
      <c r="AP79" s="421"/>
    </row>
    <row r="80" spans="1:42" ht="54" customHeight="1">
      <c r="A80" s="645">
        <v>64</v>
      </c>
      <c r="B80" s="645">
        <v>64</v>
      </c>
      <c r="C80" s="645" t="str">
        <f>'Chấm công KT'!C76</f>
        <v>03512</v>
      </c>
      <c r="D80" s="652" t="str">
        <f>'Chấm công KT'!D76</f>
        <v>N. Đon</v>
      </c>
      <c r="E80" s="652"/>
      <c r="F80" s="846">
        <v>97</v>
      </c>
      <c r="G80" s="846">
        <v>78</v>
      </c>
      <c r="H80" s="846">
        <v>53</v>
      </c>
      <c r="I80" s="846">
        <v>78</v>
      </c>
      <c r="J80" s="846">
        <v>103</v>
      </c>
      <c r="K80" s="846">
        <v>65</v>
      </c>
      <c r="L80" s="846">
        <v>114</v>
      </c>
      <c r="M80" s="846">
        <v>182</v>
      </c>
      <c r="N80" s="846">
        <v>197</v>
      </c>
      <c r="O80" s="846">
        <v>161</v>
      </c>
      <c r="P80" s="846">
        <v>103</v>
      </c>
      <c r="Q80" s="846">
        <v>153</v>
      </c>
      <c r="R80" s="846">
        <v>313</v>
      </c>
      <c r="S80" s="846">
        <v>103</v>
      </c>
      <c r="T80" s="846">
        <v>138</v>
      </c>
      <c r="U80" s="846">
        <v>148</v>
      </c>
      <c r="V80" s="846">
        <v>134</v>
      </c>
      <c r="W80" s="846">
        <v>79</v>
      </c>
      <c r="X80" s="846">
        <v>88</v>
      </c>
      <c r="Y80" s="846">
        <v>213</v>
      </c>
      <c r="Z80" s="846">
        <v>71</v>
      </c>
      <c r="AA80" s="846">
        <v>113</v>
      </c>
      <c r="AB80" s="846">
        <v>90</v>
      </c>
      <c r="AC80" s="846">
        <v>126</v>
      </c>
      <c r="AD80" s="846">
        <v>73</v>
      </c>
      <c r="AE80" s="846">
        <v>120</v>
      </c>
      <c r="AF80" s="846">
        <v>148</v>
      </c>
      <c r="AG80" s="846">
        <v>170</v>
      </c>
      <c r="AH80" s="846">
        <v>0</v>
      </c>
      <c r="AI80" s="846">
        <v>109</v>
      </c>
      <c r="AJ80" s="847"/>
      <c r="AK80" s="848">
        <f t="shared" si="3"/>
        <v>3620</v>
      </c>
      <c r="AL80" s="863">
        <v>42.713883108022394</v>
      </c>
      <c r="AM80" s="849">
        <f t="shared" si="4"/>
        <v>1546.2425685104108</v>
      </c>
      <c r="AN80" s="1149" t="s">
        <v>43</v>
      </c>
      <c r="AO80" s="421"/>
      <c r="AP80" s="421"/>
    </row>
    <row r="81" spans="1:42" ht="54" customHeight="1">
      <c r="A81" s="645">
        <v>65</v>
      </c>
      <c r="B81" s="645">
        <v>65</v>
      </c>
      <c r="C81" s="645" t="str">
        <f>'Chấm công KT'!C77</f>
        <v>04068</v>
      </c>
      <c r="D81" s="652" t="str">
        <f>'Chấm công KT'!D77</f>
        <v xml:space="preserve">T. La </v>
      </c>
      <c r="E81" s="652"/>
      <c r="F81" s="846">
        <v>0</v>
      </c>
      <c r="G81" s="846">
        <v>83</v>
      </c>
      <c r="H81" s="846">
        <v>0</v>
      </c>
      <c r="I81" s="846">
        <v>114</v>
      </c>
      <c r="J81" s="846">
        <v>180</v>
      </c>
      <c r="K81" s="846">
        <v>92</v>
      </c>
      <c r="L81" s="846">
        <v>191</v>
      </c>
      <c r="M81" s="846">
        <v>195</v>
      </c>
      <c r="N81" s="846">
        <v>182</v>
      </c>
      <c r="O81" s="846">
        <v>146</v>
      </c>
      <c r="P81" s="846">
        <v>129</v>
      </c>
      <c r="Q81" s="846">
        <v>154</v>
      </c>
      <c r="R81" s="846">
        <v>268</v>
      </c>
      <c r="S81" s="846">
        <v>120</v>
      </c>
      <c r="T81" s="846">
        <v>122</v>
      </c>
      <c r="U81" s="846">
        <v>112</v>
      </c>
      <c r="V81" s="846">
        <v>118</v>
      </c>
      <c r="W81" s="846">
        <v>156</v>
      </c>
      <c r="X81" s="846">
        <v>130</v>
      </c>
      <c r="Y81" s="846">
        <v>300</v>
      </c>
      <c r="Z81" s="846">
        <v>100</v>
      </c>
      <c r="AA81" s="846">
        <v>162</v>
      </c>
      <c r="AB81" s="846">
        <v>115</v>
      </c>
      <c r="AC81" s="846">
        <v>104</v>
      </c>
      <c r="AD81" s="846">
        <v>98</v>
      </c>
      <c r="AE81" s="846">
        <v>125</v>
      </c>
      <c r="AF81" s="846">
        <v>135</v>
      </c>
      <c r="AG81" s="846">
        <v>0</v>
      </c>
      <c r="AH81" s="846">
        <v>0</v>
      </c>
      <c r="AI81" s="846">
        <v>97</v>
      </c>
      <c r="AJ81" s="847"/>
      <c r="AK81" s="848">
        <f t="shared" si="3"/>
        <v>3728</v>
      </c>
      <c r="AL81" s="863">
        <v>42.713883108022394</v>
      </c>
      <c r="AM81" s="849">
        <f t="shared" ref="AM81:AM96" si="5">AK81*AL81/100</f>
        <v>1592.3735622670749</v>
      </c>
      <c r="AN81" s="1149" t="s">
        <v>43</v>
      </c>
      <c r="AO81" s="421"/>
      <c r="AP81" s="421"/>
    </row>
    <row r="82" spans="1:42" ht="54" customHeight="1">
      <c r="A82" s="645">
        <v>66</v>
      </c>
      <c r="B82" s="645">
        <v>66</v>
      </c>
      <c r="C82" s="645" t="str">
        <f>'Chấm công KT'!C78</f>
        <v>04069</v>
      </c>
      <c r="D82" s="652" t="str">
        <f>'Chấm công KT'!D78</f>
        <v>T. Bờm</v>
      </c>
      <c r="E82" s="652"/>
      <c r="F82" s="846">
        <v>88</v>
      </c>
      <c r="G82" s="846">
        <v>78</v>
      </c>
      <c r="H82" s="846">
        <v>43</v>
      </c>
      <c r="I82" s="846">
        <v>62</v>
      </c>
      <c r="J82" s="846">
        <v>105</v>
      </c>
      <c r="K82" s="846">
        <v>63</v>
      </c>
      <c r="L82" s="846">
        <v>112</v>
      </c>
      <c r="M82" s="846">
        <v>186</v>
      </c>
      <c r="N82" s="846">
        <v>190</v>
      </c>
      <c r="O82" s="846">
        <v>169</v>
      </c>
      <c r="P82" s="846">
        <v>112</v>
      </c>
      <c r="Q82" s="846">
        <v>144</v>
      </c>
      <c r="R82" s="846">
        <v>316</v>
      </c>
      <c r="S82" s="846">
        <v>92</v>
      </c>
      <c r="T82" s="846">
        <v>138</v>
      </c>
      <c r="U82" s="846">
        <v>148</v>
      </c>
      <c r="V82" s="846">
        <v>126</v>
      </c>
      <c r="W82" s="846">
        <v>85</v>
      </c>
      <c r="X82" s="846">
        <v>92</v>
      </c>
      <c r="Y82" s="846">
        <v>214</v>
      </c>
      <c r="Z82" s="846">
        <v>0</v>
      </c>
      <c r="AA82" s="846">
        <v>114</v>
      </c>
      <c r="AB82" s="846">
        <v>87</v>
      </c>
      <c r="AC82" s="846">
        <v>126</v>
      </c>
      <c r="AD82" s="846">
        <v>79</v>
      </c>
      <c r="AE82" s="846">
        <v>103</v>
      </c>
      <c r="AF82" s="846">
        <v>152</v>
      </c>
      <c r="AG82" s="846">
        <v>170</v>
      </c>
      <c r="AH82" s="846">
        <v>0</v>
      </c>
      <c r="AI82" s="846">
        <v>108</v>
      </c>
      <c r="AJ82" s="847"/>
      <c r="AK82" s="848">
        <f t="shared" ref="AK82:AK91" si="6">SUM(F82:AJ82)</f>
        <v>3502</v>
      </c>
      <c r="AL82" s="863">
        <v>42.713883108022394</v>
      </c>
      <c r="AM82" s="849">
        <f t="shared" si="5"/>
        <v>1495.8401864429441</v>
      </c>
      <c r="AN82" s="1149" t="s">
        <v>36</v>
      </c>
      <c r="AO82" s="421"/>
      <c r="AP82" s="421"/>
    </row>
    <row r="83" spans="1:42" ht="54" customHeight="1">
      <c r="A83" s="645">
        <v>67</v>
      </c>
      <c r="B83" s="645">
        <v>67</v>
      </c>
      <c r="C83" s="645" t="str">
        <f>'Chấm công KT'!C79</f>
        <v>03546</v>
      </c>
      <c r="D83" s="652" t="str">
        <f>'Chấm công KT'!D79</f>
        <v>T. Nọi</v>
      </c>
      <c r="E83" s="652"/>
      <c r="F83" s="846">
        <v>0</v>
      </c>
      <c r="G83" s="846">
        <v>74</v>
      </c>
      <c r="H83" s="846">
        <v>0</v>
      </c>
      <c r="I83" s="846">
        <v>110</v>
      </c>
      <c r="J83" s="846">
        <v>134</v>
      </c>
      <c r="K83" s="846">
        <v>73</v>
      </c>
      <c r="L83" s="846">
        <v>152</v>
      </c>
      <c r="M83" s="846">
        <v>232</v>
      </c>
      <c r="N83" s="846">
        <v>104</v>
      </c>
      <c r="O83" s="846">
        <v>188</v>
      </c>
      <c r="P83" s="846">
        <v>94</v>
      </c>
      <c r="Q83" s="846">
        <v>216</v>
      </c>
      <c r="R83" s="846">
        <v>265</v>
      </c>
      <c r="S83" s="846">
        <v>93</v>
      </c>
      <c r="T83" s="846">
        <v>182</v>
      </c>
      <c r="U83" s="846">
        <v>121</v>
      </c>
      <c r="V83" s="846">
        <v>121</v>
      </c>
      <c r="W83" s="846">
        <v>74</v>
      </c>
      <c r="X83" s="846">
        <v>127</v>
      </c>
      <c r="Y83" s="846">
        <v>197</v>
      </c>
      <c r="Z83" s="846">
        <v>0</v>
      </c>
      <c r="AA83" s="846">
        <v>163</v>
      </c>
      <c r="AB83" s="846">
        <v>108</v>
      </c>
      <c r="AC83" s="846">
        <v>98</v>
      </c>
      <c r="AD83" s="846">
        <v>111</v>
      </c>
      <c r="AE83" s="846">
        <v>138</v>
      </c>
      <c r="AF83" s="846">
        <v>139</v>
      </c>
      <c r="AG83" s="846">
        <v>157</v>
      </c>
      <c r="AH83" s="846">
        <v>0</v>
      </c>
      <c r="AI83" s="846">
        <v>102</v>
      </c>
      <c r="AJ83" s="847"/>
      <c r="AK83" s="848">
        <f t="shared" si="6"/>
        <v>3573</v>
      </c>
      <c r="AL83" s="863">
        <v>42.713883108022394</v>
      </c>
      <c r="AM83" s="849">
        <f t="shared" si="5"/>
        <v>1526.16704344964</v>
      </c>
      <c r="AN83" s="1149" t="s">
        <v>36</v>
      </c>
      <c r="AO83" s="421"/>
      <c r="AP83" s="421"/>
    </row>
    <row r="84" spans="1:42" ht="54" customHeight="1">
      <c r="A84" s="645">
        <v>68</v>
      </c>
      <c r="B84" s="645">
        <v>68</v>
      </c>
      <c r="C84" s="645" t="str">
        <f>'Chấm công KT'!C80</f>
        <v>03571</v>
      </c>
      <c r="D84" s="652" t="str">
        <f>'Chấm công KT'!D80</f>
        <v>T. Ê</v>
      </c>
      <c r="E84" s="652"/>
      <c r="F84" s="846">
        <v>84</v>
      </c>
      <c r="G84" s="846">
        <v>64</v>
      </c>
      <c r="H84" s="846">
        <v>0</v>
      </c>
      <c r="I84" s="846">
        <v>121</v>
      </c>
      <c r="J84" s="846">
        <v>82</v>
      </c>
      <c r="K84" s="846">
        <v>106</v>
      </c>
      <c r="L84" s="846">
        <v>0</v>
      </c>
      <c r="M84" s="846">
        <v>179</v>
      </c>
      <c r="N84" s="846">
        <v>161</v>
      </c>
      <c r="O84" s="846">
        <v>99</v>
      </c>
      <c r="P84" s="846">
        <v>76</v>
      </c>
      <c r="Q84" s="846">
        <v>145</v>
      </c>
      <c r="R84" s="846">
        <v>248</v>
      </c>
      <c r="S84" s="846">
        <v>87</v>
      </c>
      <c r="T84" s="846">
        <v>89</v>
      </c>
      <c r="U84" s="846">
        <v>100</v>
      </c>
      <c r="V84" s="846">
        <v>103</v>
      </c>
      <c r="W84" s="846">
        <v>72</v>
      </c>
      <c r="X84" s="846">
        <v>167</v>
      </c>
      <c r="Y84" s="846">
        <v>262</v>
      </c>
      <c r="Z84" s="846">
        <v>0</v>
      </c>
      <c r="AA84" s="846">
        <v>146</v>
      </c>
      <c r="AB84" s="846">
        <v>108</v>
      </c>
      <c r="AC84" s="846">
        <v>55</v>
      </c>
      <c r="AD84" s="846">
        <v>70</v>
      </c>
      <c r="AE84" s="846">
        <v>104</v>
      </c>
      <c r="AF84" s="846">
        <v>0</v>
      </c>
      <c r="AG84" s="846">
        <v>228</v>
      </c>
      <c r="AH84" s="846">
        <v>0</v>
      </c>
      <c r="AI84" s="846">
        <v>0</v>
      </c>
      <c r="AJ84" s="847"/>
      <c r="AK84" s="848">
        <f t="shared" si="6"/>
        <v>2956</v>
      </c>
      <c r="AL84" s="863">
        <v>42.713883108022394</v>
      </c>
      <c r="AM84" s="849">
        <f t="shared" si="5"/>
        <v>1262.6223846731418</v>
      </c>
      <c r="AN84" s="1149" t="s">
        <v>43</v>
      </c>
      <c r="AO84" s="421"/>
      <c r="AP84" s="421"/>
    </row>
    <row r="85" spans="1:42" s="1132" customFormat="1" ht="54" customHeight="1">
      <c r="A85" s="645">
        <v>69</v>
      </c>
      <c r="B85" s="645">
        <v>69</v>
      </c>
      <c r="C85" s="644">
        <f>'Chấm công KT'!C81</f>
        <v>0</v>
      </c>
      <c r="D85" s="1100" t="str">
        <f>'Chấm công KT'!D81</f>
        <v>T. Tu</v>
      </c>
      <c r="E85" s="1100"/>
      <c r="F85" s="1127">
        <v>102</v>
      </c>
      <c r="G85" s="1127">
        <v>106</v>
      </c>
      <c r="H85" s="1127">
        <v>164</v>
      </c>
      <c r="I85" s="1127">
        <v>202</v>
      </c>
      <c r="J85" s="1127">
        <v>133</v>
      </c>
      <c r="K85" s="1127">
        <v>94</v>
      </c>
      <c r="L85" s="1127">
        <v>81</v>
      </c>
      <c r="M85" s="1127">
        <v>196</v>
      </c>
      <c r="N85" s="1127">
        <v>245</v>
      </c>
      <c r="O85" s="1127">
        <v>150</v>
      </c>
      <c r="P85" s="1127">
        <v>164</v>
      </c>
      <c r="Q85" s="1127">
        <v>197</v>
      </c>
      <c r="R85" s="1127">
        <v>339</v>
      </c>
      <c r="S85" s="1127">
        <v>195</v>
      </c>
      <c r="T85" s="1127">
        <v>171</v>
      </c>
      <c r="U85" s="1127">
        <v>202</v>
      </c>
      <c r="V85" s="1127">
        <v>137</v>
      </c>
      <c r="W85" s="1127">
        <v>131</v>
      </c>
      <c r="X85" s="1127">
        <v>200</v>
      </c>
      <c r="Y85" s="1127">
        <v>287</v>
      </c>
      <c r="Z85" s="1127">
        <v>139</v>
      </c>
      <c r="AA85" s="1127">
        <v>127</v>
      </c>
      <c r="AB85" s="1127">
        <v>162</v>
      </c>
      <c r="AC85" s="1127">
        <v>94</v>
      </c>
      <c r="AD85" s="1127">
        <v>125</v>
      </c>
      <c r="AE85" s="1127">
        <v>136</v>
      </c>
      <c r="AF85" s="1127">
        <v>205</v>
      </c>
      <c r="AG85" s="1127">
        <v>149</v>
      </c>
      <c r="AH85" s="1127">
        <v>162</v>
      </c>
      <c r="AI85" s="1128">
        <v>0</v>
      </c>
      <c r="AJ85" s="1127"/>
      <c r="AK85" s="1129">
        <f t="shared" si="6"/>
        <v>4795</v>
      </c>
      <c r="AL85" s="1130">
        <v>42.713883108022394</v>
      </c>
      <c r="AM85" s="1131">
        <f t="shared" si="5"/>
        <v>2048.1306950296739</v>
      </c>
      <c r="AN85" s="1149" t="s">
        <v>43</v>
      </c>
    </row>
    <row r="86" spans="1:42" ht="54" customHeight="1">
      <c r="A86" s="645">
        <v>70</v>
      </c>
      <c r="B86" s="645">
        <v>70</v>
      </c>
      <c r="C86" s="645" t="str">
        <f>'Chấm công KT'!C82</f>
        <v>03515</v>
      </c>
      <c r="D86" s="652" t="str">
        <f>'Chấm công KT'!D82</f>
        <v>N. Xi</v>
      </c>
      <c r="E86" s="652"/>
      <c r="F86" s="846">
        <v>70</v>
      </c>
      <c r="G86" s="846">
        <v>106</v>
      </c>
      <c r="H86" s="846">
        <v>80</v>
      </c>
      <c r="I86" s="846">
        <v>87</v>
      </c>
      <c r="J86" s="846">
        <v>79</v>
      </c>
      <c r="K86" s="846">
        <v>83</v>
      </c>
      <c r="L86" s="846">
        <v>158</v>
      </c>
      <c r="M86" s="846">
        <v>173</v>
      </c>
      <c r="N86" s="846">
        <v>173</v>
      </c>
      <c r="O86" s="846">
        <v>160</v>
      </c>
      <c r="P86" s="846">
        <v>94</v>
      </c>
      <c r="Q86" s="846">
        <v>138</v>
      </c>
      <c r="R86" s="846">
        <v>334</v>
      </c>
      <c r="S86" s="846">
        <v>110</v>
      </c>
      <c r="T86" s="846">
        <v>184</v>
      </c>
      <c r="U86" s="846">
        <v>140</v>
      </c>
      <c r="V86" s="846">
        <v>155</v>
      </c>
      <c r="W86" s="846">
        <v>78</v>
      </c>
      <c r="X86" s="846">
        <v>96</v>
      </c>
      <c r="Y86" s="846">
        <v>248</v>
      </c>
      <c r="Z86" s="846">
        <v>81</v>
      </c>
      <c r="AA86" s="846">
        <v>97</v>
      </c>
      <c r="AB86" s="846">
        <v>104</v>
      </c>
      <c r="AC86" s="846">
        <v>105</v>
      </c>
      <c r="AD86" s="846">
        <v>87</v>
      </c>
      <c r="AE86" s="846">
        <v>98</v>
      </c>
      <c r="AF86" s="846">
        <v>149</v>
      </c>
      <c r="AG86" s="846">
        <v>210</v>
      </c>
      <c r="AH86" s="846">
        <v>0</v>
      </c>
      <c r="AI86" s="846">
        <v>66</v>
      </c>
      <c r="AJ86" s="847"/>
      <c r="AK86" s="848">
        <f t="shared" si="6"/>
        <v>3743</v>
      </c>
      <c r="AL86" s="863">
        <v>42.713883108022394</v>
      </c>
      <c r="AM86" s="849">
        <f t="shared" si="5"/>
        <v>1598.7806447332782</v>
      </c>
      <c r="AN86" s="1149" t="s">
        <v>36</v>
      </c>
      <c r="AO86" s="421"/>
      <c r="AP86" s="421"/>
    </row>
    <row r="87" spans="1:42" ht="54" customHeight="1">
      <c r="A87" s="645">
        <v>71</v>
      </c>
      <c r="B87" s="645">
        <v>71</v>
      </c>
      <c r="C87" s="645" t="str">
        <f>'Chấm công KT'!C83</f>
        <v>03516</v>
      </c>
      <c r="D87" s="652" t="str">
        <f>'Chấm công KT'!D83</f>
        <v>N. Chay</v>
      </c>
      <c r="E87" s="652"/>
      <c r="F87" s="846">
        <v>0</v>
      </c>
      <c r="G87" s="846">
        <v>125</v>
      </c>
      <c r="H87" s="846">
        <v>80</v>
      </c>
      <c r="I87" s="846">
        <v>103</v>
      </c>
      <c r="J87" s="846">
        <v>176</v>
      </c>
      <c r="K87" s="846">
        <v>80</v>
      </c>
      <c r="L87" s="846">
        <v>145</v>
      </c>
      <c r="M87" s="846">
        <v>207</v>
      </c>
      <c r="N87" s="846">
        <v>188</v>
      </c>
      <c r="O87" s="846">
        <v>184</v>
      </c>
      <c r="P87" s="846">
        <v>121</v>
      </c>
      <c r="Q87" s="846">
        <v>186</v>
      </c>
      <c r="R87" s="846">
        <v>294</v>
      </c>
      <c r="S87" s="846">
        <v>110</v>
      </c>
      <c r="T87" s="846">
        <v>171</v>
      </c>
      <c r="U87" s="846">
        <v>172</v>
      </c>
      <c r="V87" s="846">
        <v>135</v>
      </c>
      <c r="W87" s="846">
        <v>0</v>
      </c>
      <c r="X87" s="846">
        <v>0</v>
      </c>
      <c r="Y87" s="846">
        <v>241</v>
      </c>
      <c r="Z87" s="846">
        <v>145</v>
      </c>
      <c r="AA87" s="846">
        <v>210</v>
      </c>
      <c r="AB87" s="846">
        <v>103</v>
      </c>
      <c r="AC87" s="846">
        <v>94</v>
      </c>
      <c r="AD87" s="846">
        <v>87</v>
      </c>
      <c r="AE87" s="846">
        <v>101</v>
      </c>
      <c r="AF87" s="846">
        <v>148</v>
      </c>
      <c r="AG87" s="846">
        <v>141</v>
      </c>
      <c r="AH87" s="846">
        <v>0</v>
      </c>
      <c r="AI87" s="846">
        <v>196</v>
      </c>
      <c r="AJ87" s="847"/>
      <c r="AK87" s="848">
        <f t="shared" si="6"/>
        <v>3943</v>
      </c>
      <c r="AL87" s="863">
        <v>42.713883108022394</v>
      </c>
      <c r="AM87" s="849">
        <f t="shared" si="5"/>
        <v>1684.2084109493228</v>
      </c>
      <c r="AN87" s="1149" t="s">
        <v>36</v>
      </c>
      <c r="AO87" s="421"/>
      <c r="AP87" s="421"/>
    </row>
    <row r="88" spans="1:42" ht="54" customHeight="1">
      <c r="A88" s="645">
        <v>72</v>
      </c>
      <c r="B88" s="645">
        <v>72</v>
      </c>
      <c r="C88" s="645" t="str">
        <f>'Chấm công KT'!C84</f>
        <v>03544</v>
      </c>
      <c r="D88" s="652" t="str">
        <f>'Chấm công KT'!D84</f>
        <v>T. Ta</v>
      </c>
      <c r="E88" s="652"/>
      <c r="F88" s="846">
        <v>57</v>
      </c>
      <c r="G88" s="846">
        <v>63</v>
      </c>
      <c r="H88" s="846">
        <v>0</v>
      </c>
      <c r="I88" s="846">
        <v>102</v>
      </c>
      <c r="J88" s="846">
        <v>0</v>
      </c>
      <c r="K88" s="846">
        <v>116</v>
      </c>
      <c r="L88" s="846">
        <v>130</v>
      </c>
      <c r="M88" s="846">
        <v>137</v>
      </c>
      <c r="N88" s="846">
        <v>93</v>
      </c>
      <c r="O88" s="846">
        <v>80</v>
      </c>
      <c r="P88" s="846">
        <v>99</v>
      </c>
      <c r="Q88" s="846">
        <v>121</v>
      </c>
      <c r="R88" s="846">
        <v>220</v>
      </c>
      <c r="S88" s="846">
        <v>102</v>
      </c>
      <c r="T88" s="846">
        <v>102</v>
      </c>
      <c r="U88" s="846">
        <v>87</v>
      </c>
      <c r="V88" s="846">
        <v>93</v>
      </c>
      <c r="W88" s="846">
        <v>82</v>
      </c>
      <c r="X88" s="846">
        <v>83</v>
      </c>
      <c r="Y88" s="846">
        <v>165</v>
      </c>
      <c r="Z88" s="846">
        <v>78</v>
      </c>
      <c r="AA88" s="846">
        <v>78</v>
      </c>
      <c r="AB88" s="846">
        <v>74</v>
      </c>
      <c r="AC88" s="846">
        <v>81</v>
      </c>
      <c r="AD88" s="846">
        <v>71</v>
      </c>
      <c r="AE88" s="846">
        <v>71</v>
      </c>
      <c r="AF88" s="846">
        <v>109</v>
      </c>
      <c r="AG88" s="846">
        <v>0</v>
      </c>
      <c r="AH88" s="846">
        <v>0</v>
      </c>
      <c r="AI88" s="846">
        <v>63</v>
      </c>
      <c r="AJ88" s="847"/>
      <c r="AK88" s="848">
        <f t="shared" si="6"/>
        <v>2557</v>
      </c>
      <c r="AL88" s="863">
        <v>42.713883108022394</v>
      </c>
      <c r="AM88" s="849">
        <f t="shared" si="5"/>
        <v>1092.1939910721326</v>
      </c>
      <c r="AN88" s="1149" t="s">
        <v>36</v>
      </c>
      <c r="AO88" s="421"/>
      <c r="AP88" s="421"/>
    </row>
    <row r="89" spans="1:42" ht="54" customHeight="1">
      <c r="A89" s="645">
        <v>73</v>
      </c>
      <c r="B89" s="645">
        <v>73</v>
      </c>
      <c r="C89" s="645" t="str">
        <f>'Chấm công KT'!C85</f>
        <v>04071</v>
      </c>
      <c r="D89" s="652" t="str">
        <f>'Chấm công KT'!D85</f>
        <v>T. Ne</v>
      </c>
      <c r="E89" s="652"/>
      <c r="F89" s="846">
        <v>57</v>
      </c>
      <c r="G89" s="846">
        <v>63</v>
      </c>
      <c r="H89" s="846">
        <v>0</v>
      </c>
      <c r="I89" s="846">
        <v>108</v>
      </c>
      <c r="J89" s="846">
        <v>0</v>
      </c>
      <c r="K89" s="846">
        <v>131</v>
      </c>
      <c r="L89" s="846">
        <v>175</v>
      </c>
      <c r="M89" s="846">
        <v>135</v>
      </c>
      <c r="N89" s="846">
        <v>91</v>
      </c>
      <c r="O89" s="846">
        <v>80</v>
      </c>
      <c r="P89" s="846">
        <v>100</v>
      </c>
      <c r="Q89" s="846">
        <v>121</v>
      </c>
      <c r="R89" s="846">
        <v>220</v>
      </c>
      <c r="S89" s="846">
        <v>102</v>
      </c>
      <c r="T89" s="846">
        <v>102</v>
      </c>
      <c r="U89" s="846">
        <v>87</v>
      </c>
      <c r="V89" s="846">
        <v>93</v>
      </c>
      <c r="W89" s="846">
        <v>83</v>
      </c>
      <c r="X89" s="846">
        <v>83</v>
      </c>
      <c r="Y89" s="846">
        <v>165</v>
      </c>
      <c r="Z89" s="846">
        <v>78</v>
      </c>
      <c r="AA89" s="846">
        <v>78</v>
      </c>
      <c r="AB89" s="846">
        <v>74</v>
      </c>
      <c r="AC89" s="846">
        <v>81</v>
      </c>
      <c r="AD89" s="846">
        <v>71</v>
      </c>
      <c r="AE89" s="846">
        <v>71</v>
      </c>
      <c r="AF89" s="846">
        <v>109</v>
      </c>
      <c r="AG89" s="846">
        <v>0</v>
      </c>
      <c r="AH89" s="846">
        <v>0</v>
      </c>
      <c r="AI89" s="846">
        <v>63</v>
      </c>
      <c r="AJ89" s="847"/>
      <c r="AK89" s="848">
        <f t="shared" si="6"/>
        <v>2621</v>
      </c>
      <c r="AL89" s="863">
        <v>42.713883108022394</v>
      </c>
      <c r="AM89" s="849">
        <f t="shared" si="5"/>
        <v>1119.5308762612669</v>
      </c>
      <c r="AN89" s="1149" t="s">
        <v>36</v>
      </c>
      <c r="AO89" s="421"/>
      <c r="AP89" s="421"/>
    </row>
    <row r="90" spans="1:42" ht="54" customHeight="1">
      <c r="A90" s="645">
        <v>74</v>
      </c>
      <c r="B90" s="645">
        <v>74</v>
      </c>
      <c r="C90" s="645"/>
      <c r="D90" s="652" t="str">
        <f>'Chấm công KT'!D86</f>
        <v>T. Tý</v>
      </c>
      <c r="E90" s="652"/>
      <c r="F90" s="846">
        <v>0</v>
      </c>
      <c r="G90" s="846">
        <v>54</v>
      </c>
      <c r="H90" s="846">
        <v>0</v>
      </c>
      <c r="I90" s="846">
        <v>0</v>
      </c>
      <c r="J90" s="846">
        <v>0</v>
      </c>
      <c r="K90" s="846">
        <v>0</v>
      </c>
      <c r="L90" s="846">
        <v>0</v>
      </c>
      <c r="M90" s="846">
        <v>0</v>
      </c>
      <c r="N90" s="846">
        <v>0</v>
      </c>
      <c r="O90" s="846">
        <v>0</v>
      </c>
      <c r="P90" s="846">
        <v>0</v>
      </c>
      <c r="Q90" s="846">
        <v>0</v>
      </c>
      <c r="R90" s="846">
        <v>0</v>
      </c>
      <c r="S90" s="846">
        <v>0</v>
      </c>
      <c r="T90" s="846">
        <v>0</v>
      </c>
      <c r="U90" s="846">
        <v>0</v>
      </c>
      <c r="V90" s="846">
        <v>0</v>
      </c>
      <c r="W90" s="846">
        <v>83</v>
      </c>
      <c r="X90" s="846">
        <v>0</v>
      </c>
      <c r="Y90" s="846">
        <v>0</v>
      </c>
      <c r="Z90" s="846">
        <v>0</v>
      </c>
      <c r="AA90" s="846">
        <v>0</v>
      </c>
      <c r="AB90" s="846">
        <v>0</v>
      </c>
      <c r="AC90" s="846">
        <v>0</v>
      </c>
      <c r="AD90" s="846">
        <v>0</v>
      </c>
      <c r="AE90" s="846">
        <v>0</v>
      </c>
      <c r="AF90" s="846">
        <v>0</v>
      </c>
      <c r="AG90" s="846">
        <v>0</v>
      </c>
      <c r="AH90" s="846">
        <v>0</v>
      </c>
      <c r="AI90" s="846">
        <v>0</v>
      </c>
      <c r="AJ90" s="847"/>
      <c r="AK90" s="848">
        <f t="shared" si="6"/>
        <v>137</v>
      </c>
      <c r="AL90" s="863">
        <v>42.713883108022394</v>
      </c>
      <c r="AM90" s="849">
        <f>AK90*AL90/100</f>
        <v>58.518019857990673</v>
      </c>
      <c r="AN90" s="1099" t="s">
        <v>374</v>
      </c>
      <c r="AO90" s="421"/>
      <c r="AP90" s="421"/>
    </row>
    <row r="91" spans="1:42" ht="54" customHeight="1">
      <c r="A91" s="645">
        <v>75</v>
      </c>
      <c r="B91" s="645">
        <v>75</v>
      </c>
      <c r="C91" s="645"/>
      <c r="D91" s="652" t="str">
        <f>'Chấm công KT'!D87</f>
        <v>T. Lã</v>
      </c>
      <c r="E91" s="652"/>
      <c r="F91" s="847">
        <v>0</v>
      </c>
      <c r="G91" s="847">
        <v>54</v>
      </c>
      <c r="H91" s="847">
        <v>0</v>
      </c>
      <c r="I91" s="847">
        <v>0</v>
      </c>
      <c r="J91" s="847">
        <v>0</v>
      </c>
      <c r="K91" s="847">
        <v>0</v>
      </c>
      <c r="L91" s="847">
        <v>0</v>
      </c>
      <c r="M91" s="847">
        <v>0</v>
      </c>
      <c r="N91" s="847">
        <v>0</v>
      </c>
      <c r="O91" s="847">
        <v>0</v>
      </c>
      <c r="P91" s="847">
        <v>0</v>
      </c>
      <c r="Q91" s="847">
        <v>0</v>
      </c>
      <c r="R91" s="847">
        <v>0</v>
      </c>
      <c r="S91" s="847">
        <v>0</v>
      </c>
      <c r="T91" s="847">
        <v>0</v>
      </c>
      <c r="U91" s="847">
        <v>0</v>
      </c>
      <c r="V91" s="847">
        <v>0</v>
      </c>
      <c r="W91" s="847">
        <v>83</v>
      </c>
      <c r="X91" s="847">
        <v>0</v>
      </c>
      <c r="Y91" s="847">
        <v>0</v>
      </c>
      <c r="Z91" s="847">
        <v>133</v>
      </c>
      <c r="AA91" s="847">
        <v>0</v>
      </c>
      <c r="AB91" s="847">
        <v>0</v>
      </c>
      <c r="AC91" s="847">
        <v>0</v>
      </c>
      <c r="AD91" s="847">
        <v>0</v>
      </c>
      <c r="AE91" s="847">
        <v>0</v>
      </c>
      <c r="AF91" s="847">
        <v>0</v>
      </c>
      <c r="AG91" s="847">
        <v>0</v>
      </c>
      <c r="AH91" s="847">
        <v>0</v>
      </c>
      <c r="AI91" s="847">
        <v>0</v>
      </c>
      <c r="AJ91" s="847"/>
      <c r="AK91" s="848">
        <f t="shared" si="6"/>
        <v>270</v>
      </c>
      <c r="AL91" s="863">
        <v>42.713883108022394</v>
      </c>
      <c r="AM91" s="849">
        <f t="shared" si="5"/>
        <v>115.32748439166045</v>
      </c>
      <c r="AN91" s="1099" t="s">
        <v>374</v>
      </c>
      <c r="AO91" s="421"/>
      <c r="AP91" s="421"/>
    </row>
    <row r="92" spans="1:42" ht="54" customHeight="1">
      <c r="A92" s="645">
        <v>76</v>
      </c>
      <c r="B92" s="645">
        <v>76</v>
      </c>
      <c r="C92" s="645"/>
      <c r="D92" s="652" t="str">
        <f>'Chấm công KT'!D88</f>
        <v>N. Veo</v>
      </c>
      <c r="E92" s="652"/>
      <c r="F92" s="847">
        <v>0</v>
      </c>
      <c r="G92" s="847">
        <v>0</v>
      </c>
      <c r="H92" s="847">
        <v>0</v>
      </c>
      <c r="I92" s="847">
        <v>0</v>
      </c>
      <c r="J92" s="847">
        <v>0</v>
      </c>
      <c r="K92" s="847">
        <v>0</v>
      </c>
      <c r="L92" s="847">
        <v>0</v>
      </c>
      <c r="M92" s="847">
        <v>0</v>
      </c>
      <c r="N92" s="847">
        <v>0</v>
      </c>
      <c r="O92" s="847">
        <v>0</v>
      </c>
      <c r="P92" s="847">
        <v>0</v>
      </c>
      <c r="Q92" s="847">
        <v>0</v>
      </c>
      <c r="R92" s="847">
        <v>0</v>
      </c>
      <c r="S92" s="847">
        <v>0</v>
      </c>
      <c r="T92" s="847">
        <v>0</v>
      </c>
      <c r="U92" s="847">
        <v>0</v>
      </c>
      <c r="V92" s="847">
        <v>0</v>
      </c>
      <c r="W92" s="847">
        <v>0</v>
      </c>
      <c r="X92" s="847">
        <v>0</v>
      </c>
      <c r="Y92" s="847">
        <v>0</v>
      </c>
      <c r="Z92" s="847">
        <v>133</v>
      </c>
      <c r="AA92" s="847">
        <v>0</v>
      </c>
      <c r="AB92" s="847">
        <v>0</v>
      </c>
      <c r="AC92" s="847">
        <v>0</v>
      </c>
      <c r="AD92" s="847">
        <v>0</v>
      </c>
      <c r="AE92" s="847">
        <v>0</v>
      </c>
      <c r="AF92" s="847">
        <v>0</v>
      </c>
      <c r="AG92" s="847">
        <v>0</v>
      </c>
      <c r="AH92" s="847">
        <v>0</v>
      </c>
      <c r="AI92" s="847">
        <v>0</v>
      </c>
      <c r="AJ92" s="847"/>
      <c r="AK92" s="848">
        <f t="shared" ref="AK92:AK93" si="7">SUM(F92:AJ92)</f>
        <v>133</v>
      </c>
      <c r="AL92" s="863">
        <v>42.713883108022394</v>
      </c>
      <c r="AM92" s="849">
        <f t="shared" si="5"/>
        <v>56.809464533669782</v>
      </c>
      <c r="AN92" s="1099" t="s">
        <v>374</v>
      </c>
      <c r="AO92" s="421"/>
      <c r="AP92" s="421"/>
    </row>
    <row r="93" spans="1:42" ht="54" customHeight="1">
      <c r="A93" s="645">
        <v>77</v>
      </c>
      <c r="B93" s="645">
        <v>77</v>
      </c>
      <c r="C93" s="645"/>
      <c r="D93" s="652" t="str">
        <f>'Chấm công KT'!D89</f>
        <v>T. Pu</v>
      </c>
      <c r="E93" s="652"/>
      <c r="F93" s="847">
        <v>0</v>
      </c>
      <c r="G93" s="847">
        <v>0</v>
      </c>
      <c r="H93" s="847">
        <v>59</v>
      </c>
      <c r="I93" s="847">
        <v>0</v>
      </c>
      <c r="J93" s="847">
        <v>0</v>
      </c>
      <c r="K93" s="847">
        <v>0</v>
      </c>
      <c r="L93" s="847">
        <v>0</v>
      </c>
      <c r="M93" s="847">
        <v>0</v>
      </c>
      <c r="N93" s="847">
        <v>0</v>
      </c>
      <c r="O93" s="847">
        <v>0</v>
      </c>
      <c r="P93" s="847">
        <v>0</v>
      </c>
      <c r="Q93" s="847">
        <v>0</v>
      </c>
      <c r="R93" s="847">
        <v>0</v>
      </c>
      <c r="S93" s="847">
        <v>0</v>
      </c>
      <c r="T93" s="847">
        <v>0</v>
      </c>
      <c r="U93" s="847">
        <v>0</v>
      </c>
      <c r="V93" s="847">
        <v>0</v>
      </c>
      <c r="W93" s="847">
        <v>83</v>
      </c>
      <c r="X93" s="847">
        <v>0</v>
      </c>
      <c r="Y93" s="847">
        <v>0</v>
      </c>
      <c r="Z93" s="847">
        <v>120</v>
      </c>
      <c r="AA93" s="847">
        <v>0</v>
      </c>
      <c r="AB93" s="847">
        <v>0</v>
      </c>
      <c r="AC93" s="847">
        <v>0</v>
      </c>
      <c r="AD93" s="847">
        <v>0</v>
      </c>
      <c r="AE93" s="847">
        <v>0</v>
      </c>
      <c r="AF93" s="847">
        <v>0</v>
      </c>
      <c r="AG93" s="847">
        <v>0</v>
      </c>
      <c r="AH93" s="847">
        <v>0</v>
      </c>
      <c r="AI93" s="847">
        <v>0</v>
      </c>
      <c r="AJ93" s="847"/>
      <c r="AK93" s="848">
        <f t="shared" si="7"/>
        <v>262</v>
      </c>
      <c r="AL93" s="863">
        <v>42.713883108022394</v>
      </c>
      <c r="AM93" s="849">
        <f t="shared" si="5"/>
        <v>111.91037374301867</v>
      </c>
      <c r="AN93" s="1099" t="s">
        <v>374</v>
      </c>
      <c r="AO93" s="421"/>
      <c r="AP93" s="421"/>
    </row>
    <row r="94" spans="1:42" ht="54" hidden="1" customHeight="1">
      <c r="A94" s="645">
        <v>78</v>
      </c>
      <c r="B94" s="645">
        <v>78</v>
      </c>
      <c r="C94" s="645"/>
      <c r="D94" s="652" t="str">
        <f>'Chấm công KT'!D90</f>
        <v>T. Ta.</v>
      </c>
      <c r="E94" s="652"/>
      <c r="F94" s="847">
        <v>0</v>
      </c>
      <c r="G94" s="847">
        <v>0</v>
      </c>
      <c r="H94" s="847">
        <v>0</v>
      </c>
      <c r="I94" s="847">
        <v>0</v>
      </c>
      <c r="J94" s="847">
        <v>0</v>
      </c>
      <c r="K94" s="847">
        <v>0</v>
      </c>
      <c r="L94" s="847">
        <v>0</v>
      </c>
      <c r="M94" s="847">
        <v>0</v>
      </c>
      <c r="N94" s="847">
        <v>0</v>
      </c>
      <c r="O94" s="847">
        <v>0</v>
      </c>
      <c r="P94" s="847">
        <v>0</v>
      </c>
      <c r="Q94" s="847">
        <v>0</v>
      </c>
      <c r="R94" s="847">
        <v>0</v>
      </c>
      <c r="S94" s="847">
        <v>0</v>
      </c>
      <c r="T94" s="847">
        <v>0</v>
      </c>
      <c r="U94" s="847">
        <v>0</v>
      </c>
      <c r="V94" s="847">
        <v>0</v>
      </c>
      <c r="W94" s="847">
        <v>0</v>
      </c>
      <c r="X94" s="847">
        <v>0</v>
      </c>
      <c r="Y94" s="847">
        <v>0</v>
      </c>
      <c r="Z94" s="847">
        <v>0</v>
      </c>
      <c r="AA94" s="847">
        <v>0</v>
      </c>
      <c r="AB94" s="847">
        <v>0</v>
      </c>
      <c r="AC94" s="847">
        <v>0</v>
      </c>
      <c r="AD94" s="847">
        <v>0</v>
      </c>
      <c r="AE94" s="847">
        <v>0</v>
      </c>
      <c r="AF94" s="847">
        <v>0</v>
      </c>
      <c r="AG94" s="847">
        <v>0</v>
      </c>
      <c r="AH94" s="847">
        <v>0</v>
      </c>
      <c r="AI94" s="847">
        <v>0</v>
      </c>
      <c r="AJ94" s="847"/>
      <c r="AK94" s="848">
        <f>SUM(F94:AJ94)</f>
        <v>0</v>
      </c>
      <c r="AL94" s="863">
        <v>42.713883108022394</v>
      </c>
      <c r="AM94" s="849">
        <f t="shared" si="5"/>
        <v>0</v>
      </c>
      <c r="AN94" s="1099" t="s">
        <v>374</v>
      </c>
      <c r="AO94" s="421"/>
      <c r="AP94" s="421"/>
    </row>
    <row r="95" spans="1:42" ht="54" hidden="1" customHeight="1">
      <c r="A95" s="645">
        <v>79</v>
      </c>
      <c r="B95" s="645">
        <v>79</v>
      </c>
      <c r="C95" s="645"/>
      <c r="D95" s="652" t="str">
        <f>'Chấm công KT'!D91</f>
        <v>N. Nang</v>
      </c>
      <c r="E95" s="652"/>
      <c r="F95" s="847">
        <v>0</v>
      </c>
      <c r="G95" s="847">
        <v>0</v>
      </c>
      <c r="H95" s="847">
        <v>0</v>
      </c>
      <c r="I95" s="847">
        <v>0</v>
      </c>
      <c r="J95" s="847">
        <v>0</v>
      </c>
      <c r="K95" s="847">
        <v>0</v>
      </c>
      <c r="L95" s="847">
        <v>0</v>
      </c>
      <c r="M95" s="847">
        <v>0</v>
      </c>
      <c r="N95" s="847">
        <v>0</v>
      </c>
      <c r="O95" s="847">
        <v>0</v>
      </c>
      <c r="P95" s="847">
        <v>0</v>
      </c>
      <c r="Q95" s="847">
        <v>0</v>
      </c>
      <c r="R95" s="847">
        <v>0</v>
      </c>
      <c r="S95" s="847">
        <v>0</v>
      </c>
      <c r="T95" s="847">
        <v>0</v>
      </c>
      <c r="U95" s="847">
        <v>0</v>
      </c>
      <c r="V95" s="847">
        <v>0</v>
      </c>
      <c r="W95" s="847">
        <v>0</v>
      </c>
      <c r="X95" s="847">
        <v>0</v>
      </c>
      <c r="Y95" s="847">
        <v>0</v>
      </c>
      <c r="Z95" s="847">
        <v>0</v>
      </c>
      <c r="AA95" s="847">
        <v>0</v>
      </c>
      <c r="AB95" s="847">
        <v>0</v>
      </c>
      <c r="AC95" s="847">
        <v>0</v>
      </c>
      <c r="AD95" s="847">
        <v>0</v>
      </c>
      <c r="AE95" s="847">
        <v>0</v>
      </c>
      <c r="AF95" s="847">
        <v>0</v>
      </c>
      <c r="AG95" s="847">
        <v>0</v>
      </c>
      <c r="AH95" s="847">
        <v>0</v>
      </c>
      <c r="AI95" s="847">
        <v>0</v>
      </c>
      <c r="AJ95" s="847"/>
      <c r="AK95" s="848">
        <f>SUM(F95:AJ95)</f>
        <v>0</v>
      </c>
      <c r="AL95" s="863">
        <v>42.713883108022394</v>
      </c>
      <c r="AM95" s="849">
        <f t="shared" si="5"/>
        <v>0</v>
      </c>
      <c r="AN95" s="1099" t="s">
        <v>374</v>
      </c>
      <c r="AO95" s="421"/>
      <c r="AP95" s="421"/>
    </row>
    <row r="96" spans="1:42" ht="54" hidden="1" customHeight="1">
      <c r="A96" s="645">
        <v>80</v>
      </c>
      <c r="B96" s="645">
        <v>80</v>
      </c>
      <c r="C96" s="645"/>
      <c r="D96" s="652" t="str">
        <f>'Chấm công KT'!D92</f>
        <v>T. Tan</v>
      </c>
      <c r="E96" s="652"/>
      <c r="F96" s="847">
        <v>0</v>
      </c>
      <c r="G96" s="847">
        <v>0</v>
      </c>
      <c r="H96" s="847">
        <v>0</v>
      </c>
      <c r="I96" s="847">
        <v>0</v>
      </c>
      <c r="J96" s="847">
        <v>0</v>
      </c>
      <c r="K96" s="847">
        <v>0</v>
      </c>
      <c r="L96" s="847">
        <v>0</v>
      </c>
      <c r="M96" s="847">
        <v>0</v>
      </c>
      <c r="N96" s="847">
        <v>0</v>
      </c>
      <c r="O96" s="847">
        <v>0</v>
      </c>
      <c r="P96" s="847">
        <v>0</v>
      </c>
      <c r="Q96" s="847">
        <v>0</v>
      </c>
      <c r="R96" s="847">
        <v>0</v>
      </c>
      <c r="S96" s="847">
        <v>0</v>
      </c>
      <c r="T96" s="847">
        <v>0</v>
      </c>
      <c r="U96" s="847">
        <v>0</v>
      </c>
      <c r="V96" s="847">
        <v>0</v>
      </c>
      <c r="W96" s="847">
        <v>0</v>
      </c>
      <c r="X96" s="847">
        <v>0</v>
      </c>
      <c r="Y96" s="847">
        <v>0</v>
      </c>
      <c r="Z96" s="847">
        <v>0</v>
      </c>
      <c r="AA96" s="847">
        <v>0</v>
      </c>
      <c r="AB96" s="847">
        <v>0</v>
      </c>
      <c r="AC96" s="847">
        <v>0</v>
      </c>
      <c r="AD96" s="847">
        <v>0</v>
      </c>
      <c r="AE96" s="847">
        <v>0</v>
      </c>
      <c r="AF96" s="847">
        <v>0</v>
      </c>
      <c r="AG96" s="847">
        <v>0</v>
      </c>
      <c r="AH96" s="847">
        <v>0</v>
      </c>
      <c r="AI96" s="847">
        <v>0</v>
      </c>
      <c r="AJ96" s="847"/>
      <c r="AK96" s="848">
        <f t="shared" ref="AK96:AK97" si="8">SUM(F96:AJ96)</f>
        <v>0</v>
      </c>
      <c r="AL96" s="863">
        <v>42.713883108022394</v>
      </c>
      <c r="AM96" s="849">
        <f t="shared" si="5"/>
        <v>0</v>
      </c>
      <c r="AN96" s="1099" t="s">
        <v>374</v>
      </c>
      <c r="AO96" s="421"/>
      <c r="AP96" s="421"/>
    </row>
    <row r="97" spans="1:42" ht="54" hidden="1" customHeight="1">
      <c r="A97" s="645">
        <v>81</v>
      </c>
      <c r="B97" s="645">
        <v>81</v>
      </c>
      <c r="C97" s="645"/>
      <c r="D97" s="652">
        <f>'Chấm công KT'!D93</f>
        <v>0</v>
      </c>
      <c r="E97" s="652"/>
      <c r="F97" s="847"/>
      <c r="G97" s="847"/>
      <c r="H97" s="847"/>
      <c r="I97" s="847"/>
      <c r="J97" s="847"/>
      <c r="K97" s="847"/>
      <c r="L97" s="847"/>
      <c r="M97" s="847"/>
      <c r="N97" s="847"/>
      <c r="O97" s="847"/>
      <c r="P97" s="847"/>
      <c r="Q97" s="847"/>
      <c r="R97" s="847"/>
      <c r="S97" s="847"/>
      <c r="T97" s="847"/>
      <c r="U97" s="847"/>
      <c r="V97" s="847"/>
      <c r="W97" s="847"/>
      <c r="X97" s="847"/>
      <c r="Y97" s="847"/>
      <c r="Z97" s="847"/>
      <c r="AA97" s="847"/>
      <c r="AB97" s="847"/>
      <c r="AC97" s="847"/>
      <c r="AD97" s="847"/>
      <c r="AE97" s="847"/>
      <c r="AF97" s="847"/>
      <c r="AG97" s="847"/>
      <c r="AH97" s="847"/>
      <c r="AI97" s="847">
        <v>0</v>
      </c>
      <c r="AJ97" s="847"/>
      <c r="AK97" s="848">
        <f t="shared" si="8"/>
        <v>0</v>
      </c>
      <c r="AL97" s="863">
        <v>42.713883108022394</v>
      </c>
      <c r="AM97" s="849">
        <f t="shared" ref="AM97" si="9">AK97*AL97/100</f>
        <v>0</v>
      </c>
      <c r="AN97" s="1099" t="s">
        <v>374</v>
      </c>
      <c r="AO97" s="421"/>
      <c r="AP97" s="421"/>
    </row>
    <row r="98" spans="1:42" s="956" customFormat="1" ht="54" customHeight="1">
      <c r="A98" s="1431" t="s">
        <v>751</v>
      </c>
      <c r="B98" s="1431"/>
      <c r="C98" s="1431"/>
      <c r="D98" s="1431"/>
      <c r="E98" s="954"/>
      <c r="F98" s="955">
        <f t="shared" ref="F98:AK98" si="10">SUM(F99:F160)</f>
        <v>5872</v>
      </c>
      <c r="G98" s="955">
        <f t="shared" si="10"/>
        <v>8401</v>
      </c>
      <c r="H98" s="955">
        <f t="shared" si="10"/>
        <v>4677</v>
      </c>
      <c r="I98" s="955">
        <f t="shared" si="10"/>
        <v>5301</v>
      </c>
      <c r="J98" s="955">
        <f t="shared" si="10"/>
        <v>6882</v>
      </c>
      <c r="K98" s="955">
        <f t="shared" si="10"/>
        <v>12560</v>
      </c>
      <c r="L98" s="955">
        <f t="shared" si="10"/>
        <v>5688</v>
      </c>
      <c r="M98" s="955">
        <f t="shared" si="10"/>
        <v>8620</v>
      </c>
      <c r="N98" s="955">
        <f t="shared" si="10"/>
        <v>13566</v>
      </c>
      <c r="O98" s="955">
        <f t="shared" si="10"/>
        <v>12123</v>
      </c>
      <c r="P98" s="955">
        <f t="shared" si="10"/>
        <v>6203</v>
      </c>
      <c r="Q98" s="955">
        <f t="shared" si="10"/>
        <v>19317</v>
      </c>
      <c r="R98" s="955">
        <f t="shared" si="10"/>
        <v>10729</v>
      </c>
      <c r="S98" s="955">
        <f t="shared" si="10"/>
        <v>4108</v>
      </c>
      <c r="T98" s="955">
        <f t="shared" si="10"/>
        <v>6774</v>
      </c>
      <c r="U98" s="955">
        <f t="shared" si="10"/>
        <v>10272</v>
      </c>
      <c r="V98" s="955">
        <f t="shared" si="10"/>
        <v>10500</v>
      </c>
      <c r="W98" s="955">
        <f t="shared" si="10"/>
        <v>4662</v>
      </c>
      <c r="X98" s="955">
        <f t="shared" si="10"/>
        <v>15710</v>
      </c>
      <c r="Y98" s="955">
        <f t="shared" si="10"/>
        <v>9232</v>
      </c>
      <c r="Z98" s="955">
        <f t="shared" si="10"/>
        <v>4624</v>
      </c>
      <c r="AA98" s="955">
        <f t="shared" si="10"/>
        <v>5909</v>
      </c>
      <c r="AB98" s="955">
        <f t="shared" si="10"/>
        <v>8949</v>
      </c>
      <c r="AC98" s="955">
        <f t="shared" si="10"/>
        <v>8248</v>
      </c>
      <c r="AD98" s="955">
        <f t="shared" si="10"/>
        <v>4209</v>
      </c>
      <c r="AE98" s="955">
        <f t="shared" si="10"/>
        <v>15783</v>
      </c>
      <c r="AF98" s="955">
        <f t="shared" si="10"/>
        <v>0</v>
      </c>
      <c r="AG98" s="955">
        <f t="shared" si="10"/>
        <v>11901</v>
      </c>
      <c r="AH98" s="955">
        <f t="shared" si="10"/>
        <v>2758</v>
      </c>
      <c r="AI98" s="955">
        <f t="shared" si="10"/>
        <v>5220</v>
      </c>
      <c r="AJ98" s="955">
        <f t="shared" si="10"/>
        <v>0</v>
      </c>
      <c r="AK98" s="955">
        <f t="shared" si="10"/>
        <v>248798</v>
      </c>
      <c r="AL98" s="955"/>
      <c r="AM98" s="955">
        <f>SUM(AM99:AM160)</f>
        <v>107620.45899999999</v>
      </c>
      <c r="AN98" s="1100"/>
    </row>
    <row r="99" spans="1:42" ht="54" customHeight="1">
      <c r="A99" s="645">
        <v>78</v>
      </c>
      <c r="B99" s="645">
        <v>1</v>
      </c>
      <c r="C99" s="645" t="str">
        <f>'Chấm công KT'!C95</f>
        <v>04072</v>
      </c>
      <c r="D99" s="652" t="str">
        <f>'Chấm công KT'!D95</f>
        <v xml:space="preserve">T. Lun </v>
      </c>
      <c r="E99" s="652"/>
      <c r="F99" s="840">
        <v>134</v>
      </c>
      <c r="G99" s="840">
        <v>217</v>
      </c>
      <c r="H99" s="840">
        <v>156</v>
      </c>
      <c r="I99" s="840">
        <v>80</v>
      </c>
      <c r="J99" s="840">
        <v>88</v>
      </c>
      <c r="K99" s="840">
        <v>205</v>
      </c>
      <c r="L99" s="840">
        <v>157</v>
      </c>
      <c r="M99" s="840">
        <v>195</v>
      </c>
      <c r="N99" s="840">
        <v>207</v>
      </c>
      <c r="O99" s="840">
        <v>213</v>
      </c>
      <c r="P99" s="840">
        <v>140</v>
      </c>
      <c r="Q99" s="840">
        <v>360</v>
      </c>
      <c r="R99" s="840">
        <v>156</v>
      </c>
      <c r="S99" s="840">
        <v>115</v>
      </c>
      <c r="T99" s="840">
        <v>148</v>
      </c>
      <c r="U99" s="840">
        <v>101</v>
      </c>
      <c r="V99" s="840">
        <v>181</v>
      </c>
      <c r="W99" s="840">
        <v>133</v>
      </c>
      <c r="X99" s="840">
        <v>228</v>
      </c>
      <c r="Y99" s="840">
        <v>106</v>
      </c>
      <c r="Z99" s="850">
        <v>114</v>
      </c>
      <c r="AA99" s="850">
        <v>102</v>
      </c>
      <c r="AB99" s="851">
        <v>90</v>
      </c>
      <c r="AC99" s="851">
        <v>0</v>
      </c>
      <c r="AD99" s="851">
        <v>0</v>
      </c>
      <c r="AE99" s="851">
        <v>209</v>
      </c>
      <c r="AF99" s="851"/>
      <c r="AG99" s="851">
        <v>100</v>
      </c>
      <c r="AH99" s="851">
        <v>0</v>
      </c>
      <c r="AI99" s="851">
        <v>70</v>
      </c>
      <c r="AJ99" s="851"/>
      <c r="AK99" s="848">
        <f t="shared" ref="AK99:AK156" si="11">SUM(F99:AJ99)</f>
        <v>4005</v>
      </c>
      <c r="AL99" s="862">
        <v>43.256159213498499</v>
      </c>
      <c r="AM99" s="849">
        <f t="shared" ref="AM99:AM130" si="12">AK99*AL99/100</f>
        <v>1732.4091765006149</v>
      </c>
      <c r="AN99" s="1150" t="s">
        <v>36</v>
      </c>
      <c r="AO99" s="421"/>
      <c r="AP99" s="421"/>
    </row>
    <row r="100" spans="1:42" ht="54" customHeight="1">
      <c r="A100" s="645">
        <v>79</v>
      </c>
      <c r="B100" s="645">
        <v>2</v>
      </c>
      <c r="C100" s="645" t="str">
        <f>'Chấm công KT'!C96</f>
        <v>03466</v>
      </c>
      <c r="D100" s="652" t="str">
        <f>'Chấm công KT'!D96</f>
        <v>N. Keo</v>
      </c>
      <c r="E100" s="652"/>
      <c r="F100" s="840">
        <v>100</v>
      </c>
      <c r="G100" s="840">
        <v>126</v>
      </c>
      <c r="H100" s="840">
        <v>93</v>
      </c>
      <c r="I100" s="840">
        <v>97</v>
      </c>
      <c r="J100" s="840">
        <v>86</v>
      </c>
      <c r="K100" s="840">
        <v>164</v>
      </c>
      <c r="L100" s="840">
        <v>77</v>
      </c>
      <c r="M100" s="840">
        <v>202</v>
      </c>
      <c r="N100" s="840">
        <v>220</v>
      </c>
      <c r="O100" s="840">
        <v>150</v>
      </c>
      <c r="P100" s="840">
        <v>63</v>
      </c>
      <c r="Q100" s="840">
        <v>354</v>
      </c>
      <c r="R100" s="840">
        <v>122</v>
      </c>
      <c r="S100" s="840">
        <v>67</v>
      </c>
      <c r="T100" s="840">
        <v>180</v>
      </c>
      <c r="U100" s="840">
        <v>173</v>
      </c>
      <c r="V100" s="840">
        <v>179</v>
      </c>
      <c r="W100" s="840">
        <v>66</v>
      </c>
      <c r="X100" s="840">
        <v>318</v>
      </c>
      <c r="Y100" s="840">
        <v>114</v>
      </c>
      <c r="Z100" s="850">
        <v>64</v>
      </c>
      <c r="AA100" s="850">
        <v>147</v>
      </c>
      <c r="AB100" s="851">
        <v>124</v>
      </c>
      <c r="AC100" s="851">
        <v>121</v>
      </c>
      <c r="AD100" s="851">
        <v>61</v>
      </c>
      <c r="AE100" s="851">
        <v>0</v>
      </c>
      <c r="AF100" s="851"/>
      <c r="AG100" s="851">
        <v>177</v>
      </c>
      <c r="AH100" s="851">
        <v>0</v>
      </c>
      <c r="AI100" s="851">
        <v>0</v>
      </c>
      <c r="AJ100" s="851"/>
      <c r="AK100" s="848">
        <f t="shared" si="11"/>
        <v>3645</v>
      </c>
      <c r="AL100" s="862">
        <v>43.256159213498499</v>
      </c>
      <c r="AM100" s="849">
        <f t="shared" si="12"/>
        <v>1576.6870033320201</v>
      </c>
      <c r="AN100" s="1150" t="s">
        <v>36</v>
      </c>
      <c r="AO100" s="421"/>
      <c r="AP100" s="421"/>
    </row>
    <row r="101" spans="1:42" ht="54" customHeight="1">
      <c r="A101" s="645">
        <v>80</v>
      </c>
      <c r="B101" s="645">
        <v>3</v>
      </c>
      <c r="C101" s="645" t="str">
        <f>'Chấm công KT'!C97</f>
        <v>03590</v>
      </c>
      <c r="D101" s="652" t="str">
        <f>'Chấm công KT'!D97</f>
        <v>T .Nhum</v>
      </c>
      <c r="E101" s="652"/>
      <c r="F101" s="840">
        <v>54</v>
      </c>
      <c r="G101" s="840">
        <v>116</v>
      </c>
      <c r="H101" s="840">
        <v>103</v>
      </c>
      <c r="I101" s="840">
        <v>57</v>
      </c>
      <c r="J101" s="840">
        <v>66</v>
      </c>
      <c r="K101" s="840">
        <v>239</v>
      </c>
      <c r="L101" s="840">
        <v>108</v>
      </c>
      <c r="M101" s="840">
        <v>122</v>
      </c>
      <c r="N101" s="840">
        <v>145</v>
      </c>
      <c r="O101" s="840">
        <v>195</v>
      </c>
      <c r="P101" s="840">
        <v>83</v>
      </c>
      <c r="Q101" s="840">
        <v>0</v>
      </c>
      <c r="R101" s="840">
        <v>191</v>
      </c>
      <c r="S101" s="840">
        <v>0</v>
      </c>
      <c r="T101" s="840">
        <v>218</v>
      </c>
      <c r="U101" s="840">
        <v>221</v>
      </c>
      <c r="V101" s="840">
        <v>156</v>
      </c>
      <c r="W101" s="840">
        <v>124</v>
      </c>
      <c r="X101" s="840">
        <v>208</v>
      </c>
      <c r="Y101" s="840">
        <v>169</v>
      </c>
      <c r="Z101" s="850">
        <v>80</v>
      </c>
      <c r="AA101" s="850">
        <v>91</v>
      </c>
      <c r="AB101" s="851">
        <v>99</v>
      </c>
      <c r="AC101" s="851">
        <v>146</v>
      </c>
      <c r="AD101" s="851">
        <v>80</v>
      </c>
      <c r="AE101" s="851">
        <v>186</v>
      </c>
      <c r="AF101" s="851"/>
      <c r="AG101" s="851">
        <v>311</v>
      </c>
      <c r="AH101" s="851">
        <v>0</v>
      </c>
      <c r="AI101" s="851">
        <v>75</v>
      </c>
      <c r="AJ101" s="851"/>
      <c r="AK101" s="848">
        <f t="shared" si="11"/>
        <v>3643</v>
      </c>
      <c r="AL101" s="862">
        <v>43.256159213498499</v>
      </c>
      <c r="AM101" s="849">
        <f t="shared" si="12"/>
        <v>1575.8218801477501</v>
      </c>
      <c r="AN101" s="1150" t="s">
        <v>36</v>
      </c>
      <c r="AO101" s="421"/>
      <c r="AP101" s="421"/>
    </row>
    <row r="102" spans="1:42" ht="54" customHeight="1">
      <c r="A102" s="645">
        <v>81</v>
      </c>
      <c r="B102" s="645">
        <v>4</v>
      </c>
      <c r="C102" s="645" t="str">
        <f>'Chấm công KT'!C98</f>
        <v>03591</v>
      </c>
      <c r="D102" s="652" t="str">
        <f>'Chấm công KT'!D98</f>
        <v>N.Vông Ma Ni</v>
      </c>
      <c r="E102" s="652"/>
      <c r="F102" s="840">
        <v>81</v>
      </c>
      <c r="G102" s="840">
        <v>186</v>
      </c>
      <c r="H102" s="840">
        <v>130</v>
      </c>
      <c r="I102" s="840">
        <v>97</v>
      </c>
      <c r="J102" s="840">
        <v>104</v>
      </c>
      <c r="K102" s="840">
        <v>100</v>
      </c>
      <c r="L102" s="840">
        <v>0</v>
      </c>
      <c r="M102" s="840">
        <v>173</v>
      </c>
      <c r="N102" s="840">
        <v>148</v>
      </c>
      <c r="O102" s="840">
        <v>206</v>
      </c>
      <c r="P102" s="840">
        <v>213</v>
      </c>
      <c r="Q102" s="840">
        <v>298</v>
      </c>
      <c r="R102" s="840">
        <v>182</v>
      </c>
      <c r="S102" s="840">
        <v>0</v>
      </c>
      <c r="T102" s="840">
        <v>117</v>
      </c>
      <c r="U102" s="840">
        <v>106</v>
      </c>
      <c r="V102" s="840">
        <v>164</v>
      </c>
      <c r="W102" s="840">
        <v>210</v>
      </c>
      <c r="X102" s="840">
        <v>278</v>
      </c>
      <c r="Y102" s="840">
        <v>137</v>
      </c>
      <c r="Z102" s="850">
        <v>102</v>
      </c>
      <c r="AA102" s="850">
        <v>98</v>
      </c>
      <c r="AB102" s="851">
        <v>104</v>
      </c>
      <c r="AC102" s="851">
        <v>125</v>
      </c>
      <c r="AD102" s="851">
        <v>100</v>
      </c>
      <c r="AE102" s="851">
        <v>274</v>
      </c>
      <c r="AF102" s="851"/>
      <c r="AG102" s="851">
        <v>211</v>
      </c>
      <c r="AH102" s="851">
        <v>0</v>
      </c>
      <c r="AI102" s="851">
        <v>125</v>
      </c>
      <c r="AJ102" s="851"/>
      <c r="AK102" s="848">
        <f t="shared" si="11"/>
        <v>4069</v>
      </c>
      <c r="AL102" s="862">
        <v>43.256159213498499</v>
      </c>
      <c r="AM102" s="849">
        <f t="shared" si="12"/>
        <v>1760.0931183972539</v>
      </c>
      <c r="AN102" s="1150" t="s">
        <v>36</v>
      </c>
      <c r="AO102" s="421"/>
      <c r="AP102" s="421"/>
    </row>
    <row r="103" spans="1:42" ht="54" customHeight="1">
      <c r="A103" s="645">
        <v>82</v>
      </c>
      <c r="B103" s="645">
        <v>5</v>
      </c>
      <c r="C103" s="645" t="str">
        <f>'Chấm công KT'!C99</f>
        <v>03592</v>
      </c>
      <c r="D103" s="652" t="str">
        <f>'Chấm công KT'!D99</f>
        <v>Đao Hương</v>
      </c>
      <c r="E103" s="652"/>
      <c r="F103" s="840">
        <v>82</v>
      </c>
      <c r="G103" s="840">
        <v>186</v>
      </c>
      <c r="H103" s="840">
        <v>0</v>
      </c>
      <c r="I103" s="840">
        <v>93</v>
      </c>
      <c r="J103" s="840">
        <v>96</v>
      </c>
      <c r="K103" s="840">
        <v>98</v>
      </c>
      <c r="L103" s="840">
        <v>0</v>
      </c>
      <c r="M103" s="840">
        <v>132</v>
      </c>
      <c r="N103" s="840">
        <v>176</v>
      </c>
      <c r="O103" s="840">
        <v>200</v>
      </c>
      <c r="P103" s="840">
        <v>200</v>
      </c>
      <c r="Q103" s="840">
        <v>244</v>
      </c>
      <c r="R103" s="840">
        <v>161</v>
      </c>
      <c r="S103" s="840">
        <v>0</v>
      </c>
      <c r="T103" s="840">
        <v>125</v>
      </c>
      <c r="U103" s="840">
        <v>120</v>
      </c>
      <c r="V103" s="840">
        <v>170</v>
      </c>
      <c r="W103" s="840">
        <v>202</v>
      </c>
      <c r="X103" s="840">
        <v>239</v>
      </c>
      <c r="Y103" s="840">
        <v>141</v>
      </c>
      <c r="Z103" s="850">
        <v>110</v>
      </c>
      <c r="AA103" s="850">
        <v>112</v>
      </c>
      <c r="AB103" s="851">
        <v>105</v>
      </c>
      <c r="AC103" s="851">
        <v>105</v>
      </c>
      <c r="AD103" s="851">
        <v>104</v>
      </c>
      <c r="AE103" s="851">
        <v>217</v>
      </c>
      <c r="AF103" s="851"/>
      <c r="AG103" s="851">
        <v>198</v>
      </c>
      <c r="AH103" s="851">
        <v>0</v>
      </c>
      <c r="AI103" s="851">
        <v>122</v>
      </c>
      <c r="AJ103" s="851"/>
      <c r="AK103" s="848">
        <f t="shared" si="11"/>
        <v>3738</v>
      </c>
      <c r="AL103" s="862">
        <v>43.256159213498499</v>
      </c>
      <c r="AM103" s="849">
        <f t="shared" si="12"/>
        <v>1616.9152314005739</v>
      </c>
      <c r="AN103" s="1150" t="s">
        <v>36</v>
      </c>
      <c r="AO103" s="421"/>
      <c r="AP103" s="421"/>
    </row>
    <row r="104" spans="1:42" ht="54" customHeight="1">
      <c r="A104" s="645">
        <v>83</v>
      </c>
      <c r="B104" s="645">
        <v>6</v>
      </c>
      <c r="C104" s="645" t="str">
        <f>'Chấm công KT'!C100</f>
        <v>03593</v>
      </c>
      <c r="D104" s="652" t="str">
        <f>'Chấm công KT'!D100</f>
        <v>T. Xi Nun</v>
      </c>
      <c r="E104" s="652"/>
      <c r="F104" s="840">
        <v>147</v>
      </c>
      <c r="G104" s="840">
        <v>145</v>
      </c>
      <c r="H104" s="840">
        <v>91</v>
      </c>
      <c r="I104" s="840">
        <v>115</v>
      </c>
      <c r="J104" s="840">
        <v>110</v>
      </c>
      <c r="K104" s="840">
        <v>205</v>
      </c>
      <c r="L104" s="840">
        <v>135</v>
      </c>
      <c r="M104" s="840">
        <v>193</v>
      </c>
      <c r="N104" s="840">
        <v>300</v>
      </c>
      <c r="O104" s="840">
        <v>242</v>
      </c>
      <c r="P104" s="840">
        <v>118</v>
      </c>
      <c r="Q104" s="840">
        <v>430</v>
      </c>
      <c r="R104" s="840">
        <v>161</v>
      </c>
      <c r="S104" s="840">
        <v>112</v>
      </c>
      <c r="T104" s="840">
        <v>143</v>
      </c>
      <c r="U104" s="840">
        <v>272</v>
      </c>
      <c r="V104" s="840">
        <v>179</v>
      </c>
      <c r="W104" s="840">
        <v>110</v>
      </c>
      <c r="X104" s="840">
        <v>341</v>
      </c>
      <c r="Y104" s="840">
        <v>153</v>
      </c>
      <c r="Z104" s="850">
        <v>114</v>
      </c>
      <c r="AA104" s="850">
        <v>147</v>
      </c>
      <c r="AB104" s="851">
        <v>192</v>
      </c>
      <c r="AC104" s="851">
        <v>147</v>
      </c>
      <c r="AD104" s="851">
        <v>96</v>
      </c>
      <c r="AE104" s="851">
        <v>316</v>
      </c>
      <c r="AF104" s="851"/>
      <c r="AG104" s="851">
        <v>219</v>
      </c>
      <c r="AH104" s="851">
        <v>74</v>
      </c>
      <c r="AI104" s="851">
        <v>0</v>
      </c>
      <c r="AJ104" s="851"/>
      <c r="AK104" s="848">
        <f t="shared" si="11"/>
        <v>5007</v>
      </c>
      <c r="AL104" s="862">
        <v>43.256159213498499</v>
      </c>
      <c r="AM104" s="849">
        <f t="shared" si="12"/>
        <v>2165.8358918198701</v>
      </c>
      <c r="AN104" s="1150" t="s">
        <v>43</v>
      </c>
      <c r="AO104" s="421"/>
      <c r="AP104" s="421"/>
    </row>
    <row r="105" spans="1:42" ht="54" customHeight="1">
      <c r="A105" s="645">
        <v>84</v>
      </c>
      <c r="B105" s="645">
        <v>7</v>
      </c>
      <c r="C105" s="645" t="str">
        <f>'Chấm công KT'!C101</f>
        <v>03594</v>
      </c>
      <c r="D105" s="652" t="str">
        <f>'Chấm công KT'!D101</f>
        <v>T. Bun Hinh</v>
      </c>
      <c r="E105" s="652"/>
      <c r="F105" s="840">
        <v>95</v>
      </c>
      <c r="G105" s="840">
        <v>124</v>
      </c>
      <c r="H105" s="840">
        <v>66</v>
      </c>
      <c r="I105" s="840">
        <v>105</v>
      </c>
      <c r="J105" s="840">
        <v>0</v>
      </c>
      <c r="K105" s="840">
        <v>150</v>
      </c>
      <c r="L105" s="840">
        <v>100</v>
      </c>
      <c r="M105" s="840">
        <v>134</v>
      </c>
      <c r="N105" s="840">
        <v>200</v>
      </c>
      <c r="O105" s="840">
        <v>208</v>
      </c>
      <c r="P105" s="840">
        <v>107</v>
      </c>
      <c r="Q105" s="840">
        <v>121</v>
      </c>
      <c r="R105" s="840">
        <v>165</v>
      </c>
      <c r="S105" s="840">
        <v>0</v>
      </c>
      <c r="T105" s="840">
        <v>78</v>
      </c>
      <c r="U105" s="840">
        <v>141</v>
      </c>
      <c r="V105" s="840">
        <v>180</v>
      </c>
      <c r="W105" s="840">
        <v>0</v>
      </c>
      <c r="X105" s="840">
        <v>75</v>
      </c>
      <c r="Y105" s="840">
        <v>157</v>
      </c>
      <c r="Z105" s="850">
        <v>0</v>
      </c>
      <c r="AA105" s="850">
        <v>72</v>
      </c>
      <c r="AB105" s="851">
        <v>151</v>
      </c>
      <c r="AC105" s="851">
        <v>89</v>
      </c>
      <c r="AD105" s="851">
        <v>65</v>
      </c>
      <c r="AE105" s="851">
        <v>240</v>
      </c>
      <c r="AF105" s="851"/>
      <c r="AG105" s="851">
        <v>160</v>
      </c>
      <c r="AH105" s="851">
        <v>54</v>
      </c>
      <c r="AI105" s="851">
        <v>122</v>
      </c>
      <c r="AJ105" s="851"/>
      <c r="AK105" s="848">
        <f t="shared" si="11"/>
        <v>3159</v>
      </c>
      <c r="AL105" s="862">
        <v>43.256159213498499</v>
      </c>
      <c r="AM105" s="849">
        <f t="shared" si="12"/>
        <v>1366.4620695544177</v>
      </c>
      <c r="AN105" s="1150" t="s">
        <v>36</v>
      </c>
      <c r="AO105" s="421"/>
      <c r="AP105" s="421"/>
    </row>
    <row r="106" spans="1:42" ht="54" customHeight="1">
      <c r="A106" s="645">
        <v>85</v>
      </c>
      <c r="B106" s="645">
        <v>8</v>
      </c>
      <c r="C106" s="645" t="str">
        <f>'Chấm công KT'!C102</f>
        <v>04073</v>
      </c>
      <c r="D106" s="652" t="str">
        <f>'Chấm công KT'!D102</f>
        <v>T. Miềng</v>
      </c>
      <c r="E106" s="652"/>
      <c r="F106" s="840">
        <v>90</v>
      </c>
      <c r="G106" s="840">
        <v>116</v>
      </c>
      <c r="H106" s="840">
        <v>100</v>
      </c>
      <c r="I106" s="840">
        <v>51</v>
      </c>
      <c r="J106" s="840">
        <v>78</v>
      </c>
      <c r="K106" s="840">
        <v>162</v>
      </c>
      <c r="L106" s="840">
        <v>60</v>
      </c>
      <c r="M106" s="840">
        <v>69</v>
      </c>
      <c r="N106" s="840">
        <v>200</v>
      </c>
      <c r="O106" s="840">
        <v>166</v>
      </c>
      <c r="P106" s="840">
        <v>62</v>
      </c>
      <c r="Q106" s="840">
        <v>341</v>
      </c>
      <c r="R106" s="840">
        <v>84</v>
      </c>
      <c r="S106" s="840">
        <v>65</v>
      </c>
      <c r="T106" s="840">
        <v>0</v>
      </c>
      <c r="U106" s="840">
        <v>113</v>
      </c>
      <c r="V106" s="840">
        <v>162</v>
      </c>
      <c r="W106" s="840">
        <v>95</v>
      </c>
      <c r="X106" s="840">
        <v>206</v>
      </c>
      <c r="Y106" s="840">
        <v>109</v>
      </c>
      <c r="Z106" s="850">
        <v>50</v>
      </c>
      <c r="AA106" s="850">
        <v>34</v>
      </c>
      <c r="AB106" s="851">
        <v>103</v>
      </c>
      <c r="AC106" s="851">
        <v>94</v>
      </c>
      <c r="AD106" s="851">
        <v>94</v>
      </c>
      <c r="AE106" s="851">
        <v>143</v>
      </c>
      <c r="AF106" s="851"/>
      <c r="AG106" s="851">
        <v>0</v>
      </c>
      <c r="AH106" s="851">
        <v>70</v>
      </c>
      <c r="AI106" s="851">
        <v>44</v>
      </c>
      <c r="AJ106" s="851"/>
      <c r="AK106" s="848">
        <f t="shared" si="11"/>
        <v>2961</v>
      </c>
      <c r="AL106" s="862">
        <v>43.256159213498499</v>
      </c>
      <c r="AM106" s="849">
        <f t="shared" si="12"/>
        <v>1280.8148743116906</v>
      </c>
      <c r="AN106" s="1150" t="s">
        <v>43</v>
      </c>
      <c r="AO106" s="421"/>
      <c r="AP106" s="421"/>
    </row>
    <row r="107" spans="1:42" ht="54" customHeight="1">
      <c r="A107" s="645">
        <v>86</v>
      </c>
      <c r="B107" s="645">
        <v>9</v>
      </c>
      <c r="C107" s="645" t="str">
        <f>'Chấm công KT'!C103</f>
        <v>03596</v>
      </c>
      <c r="D107" s="652" t="str">
        <f>'Chấm công KT'!D103</f>
        <v>N. Xúc</v>
      </c>
      <c r="E107" s="652"/>
      <c r="F107" s="840">
        <v>100</v>
      </c>
      <c r="G107" s="840">
        <v>132</v>
      </c>
      <c r="H107" s="840">
        <v>110</v>
      </c>
      <c r="I107" s="840">
        <v>73</v>
      </c>
      <c r="J107" s="840">
        <v>107</v>
      </c>
      <c r="K107" s="840">
        <v>153</v>
      </c>
      <c r="L107" s="840">
        <v>58</v>
      </c>
      <c r="M107" s="840">
        <v>151</v>
      </c>
      <c r="N107" s="840">
        <v>213</v>
      </c>
      <c r="O107" s="840">
        <v>140</v>
      </c>
      <c r="P107" s="840">
        <v>67</v>
      </c>
      <c r="Q107" s="840">
        <v>299</v>
      </c>
      <c r="R107" s="840">
        <v>156</v>
      </c>
      <c r="S107" s="840">
        <v>67</v>
      </c>
      <c r="T107" s="840">
        <v>136</v>
      </c>
      <c r="U107" s="840">
        <v>172</v>
      </c>
      <c r="V107" s="840">
        <v>161</v>
      </c>
      <c r="W107" s="840">
        <v>0</v>
      </c>
      <c r="X107" s="840">
        <v>226</v>
      </c>
      <c r="Y107" s="840">
        <v>110</v>
      </c>
      <c r="Z107" s="850">
        <v>120</v>
      </c>
      <c r="AA107" s="850">
        <v>0</v>
      </c>
      <c r="AB107" s="851">
        <v>146</v>
      </c>
      <c r="AC107" s="851">
        <v>0</v>
      </c>
      <c r="AD107" s="851">
        <v>68</v>
      </c>
      <c r="AE107" s="851">
        <v>242</v>
      </c>
      <c r="AF107" s="851"/>
      <c r="AG107" s="851">
        <v>201</v>
      </c>
      <c r="AH107" s="851">
        <v>0</v>
      </c>
      <c r="AI107" s="851">
        <v>96</v>
      </c>
      <c r="AJ107" s="851"/>
      <c r="AK107" s="848">
        <f t="shared" si="11"/>
        <v>3504</v>
      </c>
      <c r="AL107" s="862">
        <v>43.256159213498499</v>
      </c>
      <c r="AM107" s="849">
        <f t="shared" si="12"/>
        <v>1515.6958188409874</v>
      </c>
      <c r="AN107" s="1150" t="s">
        <v>43</v>
      </c>
      <c r="AO107" s="421"/>
      <c r="AP107" s="421"/>
    </row>
    <row r="108" spans="1:42" ht="54" customHeight="1">
      <c r="A108" s="645">
        <v>87</v>
      </c>
      <c r="B108" s="645">
        <v>10</v>
      </c>
      <c r="C108" s="645" t="str">
        <f>'Chấm công KT'!C104</f>
        <v>03597</v>
      </c>
      <c r="D108" s="652" t="str">
        <f>'Chấm công KT'!D104</f>
        <v>N. Lẹ</v>
      </c>
      <c r="E108" s="652"/>
      <c r="F108" s="840">
        <v>72</v>
      </c>
      <c r="G108" s="840">
        <v>115</v>
      </c>
      <c r="H108" s="840">
        <v>100</v>
      </c>
      <c r="I108" s="840">
        <v>61</v>
      </c>
      <c r="J108" s="840">
        <v>62</v>
      </c>
      <c r="K108" s="840">
        <v>240</v>
      </c>
      <c r="L108" s="840">
        <v>61</v>
      </c>
      <c r="M108" s="840">
        <v>125</v>
      </c>
      <c r="N108" s="840">
        <v>200</v>
      </c>
      <c r="O108" s="840">
        <v>265</v>
      </c>
      <c r="P108" s="840">
        <v>100</v>
      </c>
      <c r="Q108" s="840">
        <v>0</v>
      </c>
      <c r="R108" s="840">
        <v>206</v>
      </c>
      <c r="S108" s="840">
        <v>0</v>
      </c>
      <c r="T108" s="840">
        <v>238</v>
      </c>
      <c r="U108" s="840">
        <v>231</v>
      </c>
      <c r="V108" s="840">
        <v>150</v>
      </c>
      <c r="W108" s="840">
        <v>136</v>
      </c>
      <c r="X108" s="840">
        <v>208</v>
      </c>
      <c r="Y108" s="840">
        <v>180</v>
      </c>
      <c r="Z108" s="850">
        <v>84</v>
      </c>
      <c r="AA108" s="850">
        <v>93</v>
      </c>
      <c r="AB108" s="851">
        <v>92</v>
      </c>
      <c r="AC108" s="851">
        <v>161</v>
      </c>
      <c r="AD108" s="851">
        <v>92</v>
      </c>
      <c r="AE108" s="851">
        <v>192</v>
      </c>
      <c r="AF108" s="851"/>
      <c r="AG108" s="851">
        <v>255</v>
      </c>
      <c r="AH108" s="851">
        <v>0</v>
      </c>
      <c r="AI108" s="851">
        <v>58</v>
      </c>
      <c r="AJ108" s="851"/>
      <c r="AK108" s="848">
        <f t="shared" si="11"/>
        <v>3777</v>
      </c>
      <c r="AL108" s="862">
        <v>43.256159213498499</v>
      </c>
      <c r="AM108" s="849">
        <f t="shared" si="12"/>
        <v>1633.7851334938384</v>
      </c>
      <c r="AN108" s="1150" t="s">
        <v>36</v>
      </c>
      <c r="AO108" s="421"/>
      <c r="AP108" s="421"/>
    </row>
    <row r="109" spans="1:42" ht="54" customHeight="1">
      <c r="A109" s="645">
        <v>88</v>
      </c>
      <c r="B109" s="645">
        <v>11</v>
      </c>
      <c r="C109" s="645" t="str">
        <f>'Chấm công KT'!C105</f>
        <v>03598</v>
      </c>
      <c r="D109" s="652" t="str">
        <f>'Chấm công KT'!D105</f>
        <v>N . Thích</v>
      </c>
      <c r="E109" s="652"/>
      <c r="F109" s="840">
        <v>122</v>
      </c>
      <c r="G109" s="840">
        <v>132</v>
      </c>
      <c r="H109" s="840">
        <v>77</v>
      </c>
      <c r="I109" s="840">
        <v>80</v>
      </c>
      <c r="J109" s="840">
        <v>102</v>
      </c>
      <c r="K109" s="840">
        <v>172</v>
      </c>
      <c r="L109" s="840">
        <v>114</v>
      </c>
      <c r="M109" s="840">
        <v>116</v>
      </c>
      <c r="N109" s="840">
        <v>197</v>
      </c>
      <c r="O109" s="840">
        <v>184</v>
      </c>
      <c r="P109" s="840">
        <v>93</v>
      </c>
      <c r="Q109" s="840">
        <v>286</v>
      </c>
      <c r="R109" s="840">
        <v>144</v>
      </c>
      <c r="S109" s="840">
        <v>0</v>
      </c>
      <c r="T109" s="840">
        <v>71</v>
      </c>
      <c r="U109" s="840">
        <v>147</v>
      </c>
      <c r="V109" s="840">
        <v>124</v>
      </c>
      <c r="W109" s="840">
        <v>135</v>
      </c>
      <c r="X109" s="840">
        <v>230</v>
      </c>
      <c r="Y109" s="840">
        <v>153</v>
      </c>
      <c r="Z109" s="850">
        <v>57</v>
      </c>
      <c r="AA109" s="850">
        <v>72</v>
      </c>
      <c r="AB109" s="851">
        <v>146</v>
      </c>
      <c r="AC109" s="851">
        <v>128</v>
      </c>
      <c r="AD109" s="851">
        <v>68</v>
      </c>
      <c r="AE109" s="851">
        <v>269</v>
      </c>
      <c r="AF109" s="851"/>
      <c r="AG109" s="851">
        <v>218</v>
      </c>
      <c r="AH109" s="851">
        <v>60</v>
      </c>
      <c r="AI109" s="851">
        <v>110</v>
      </c>
      <c r="AJ109" s="851"/>
      <c r="AK109" s="848">
        <f t="shared" si="11"/>
        <v>3807</v>
      </c>
      <c r="AL109" s="862">
        <v>43.256159213498499</v>
      </c>
      <c r="AM109" s="849">
        <f t="shared" si="12"/>
        <v>1646.761981257888</v>
      </c>
      <c r="AN109" s="1150" t="s">
        <v>36</v>
      </c>
      <c r="AO109" s="421"/>
      <c r="AP109" s="421"/>
    </row>
    <row r="110" spans="1:42" ht="54" customHeight="1">
      <c r="A110" s="645">
        <v>89</v>
      </c>
      <c r="B110" s="645">
        <v>12</v>
      </c>
      <c r="C110" s="645" t="str">
        <f>'Chấm công KT'!C106</f>
        <v>03599</v>
      </c>
      <c r="D110" s="652" t="str">
        <f>'Chấm công KT'!D106</f>
        <v>N. Cong Mi</v>
      </c>
      <c r="E110" s="652"/>
      <c r="F110" s="840">
        <v>96</v>
      </c>
      <c r="G110" s="840">
        <v>123</v>
      </c>
      <c r="H110" s="840">
        <v>68</v>
      </c>
      <c r="I110" s="840">
        <v>96</v>
      </c>
      <c r="J110" s="840">
        <v>0</v>
      </c>
      <c r="K110" s="840">
        <v>142</v>
      </c>
      <c r="L110" s="840">
        <v>100</v>
      </c>
      <c r="M110" s="840">
        <v>132</v>
      </c>
      <c r="N110" s="840">
        <v>218</v>
      </c>
      <c r="O110" s="840">
        <v>212</v>
      </c>
      <c r="P110" s="840">
        <v>104</v>
      </c>
      <c r="Q110" s="840">
        <v>148</v>
      </c>
      <c r="R110" s="840">
        <v>195</v>
      </c>
      <c r="S110" s="840">
        <v>0</v>
      </c>
      <c r="T110" s="840">
        <v>96</v>
      </c>
      <c r="U110" s="840">
        <v>124</v>
      </c>
      <c r="V110" s="840">
        <v>168</v>
      </c>
      <c r="W110" s="840">
        <v>0</v>
      </c>
      <c r="X110" s="840">
        <v>231</v>
      </c>
      <c r="Y110" s="840">
        <v>149</v>
      </c>
      <c r="Z110" s="850">
        <v>0</v>
      </c>
      <c r="AA110" s="850">
        <v>66</v>
      </c>
      <c r="AB110" s="851">
        <v>108</v>
      </c>
      <c r="AC110" s="851">
        <v>83</v>
      </c>
      <c r="AD110" s="851">
        <v>38</v>
      </c>
      <c r="AE110" s="851">
        <v>233</v>
      </c>
      <c r="AF110" s="851"/>
      <c r="AG110" s="851">
        <v>137</v>
      </c>
      <c r="AH110" s="851">
        <v>64</v>
      </c>
      <c r="AI110" s="851">
        <v>218</v>
      </c>
      <c r="AJ110" s="851"/>
      <c r="AK110" s="848">
        <f t="shared" si="11"/>
        <v>3349</v>
      </c>
      <c r="AL110" s="862">
        <v>43.256159213498499</v>
      </c>
      <c r="AM110" s="849">
        <f t="shared" si="12"/>
        <v>1448.6487720600646</v>
      </c>
      <c r="AN110" s="1150" t="s">
        <v>36</v>
      </c>
      <c r="AO110" s="421"/>
      <c r="AP110" s="421"/>
    </row>
    <row r="111" spans="1:42" ht="54" customHeight="1">
      <c r="A111" s="645">
        <v>90</v>
      </c>
      <c r="B111" s="645">
        <v>13</v>
      </c>
      <c r="C111" s="645" t="str">
        <f>'Chấm công KT'!C107</f>
        <v>04074</v>
      </c>
      <c r="D111" s="652" t="str">
        <f>'Chấm công KT'!D107</f>
        <v>T. Na</v>
      </c>
      <c r="E111" s="652"/>
      <c r="F111" s="840">
        <v>90</v>
      </c>
      <c r="G111" s="840">
        <v>115</v>
      </c>
      <c r="H111" s="840">
        <v>109</v>
      </c>
      <c r="I111" s="840">
        <v>74</v>
      </c>
      <c r="J111" s="840">
        <v>105</v>
      </c>
      <c r="K111" s="840">
        <v>207</v>
      </c>
      <c r="L111" s="840">
        <v>138</v>
      </c>
      <c r="M111" s="840">
        <v>82</v>
      </c>
      <c r="N111" s="840">
        <v>184</v>
      </c>
      <c r="O111" s="840">
        <v>165</v>
      </c>
      <c r="P111" s="840">
        <v>101</v>
      </c>
      <c r="Q111" s="840">
        <v>268</v>
      </c>
      <c r="R111" s="840">
        <v>85</v>
      </c>
      <c r="S111" s="840">
        <v>58</v>
      </c>
      <c r="T111" s="840">
        <v>0</v>
      </c>
      <c r="U111" s="840">
        <v>148</v>
      </c>
      <c r="V111" s="840">
        <v>161</v>
      </c>
      <c r="W111" s="840">
        <v>92</v>
      </c>
      <c r="X111" s="840">
        <v>220</v>
      </c>
      <c r="Y111" s="840">
        <v>98</v>
      </c>
      <c r="Z111" s="850">
        <v>60</v>
      </c>
      <c r="AA111" s="850">
        <v>40</v>
      </c>
      <c r="AB111" s="851">
        <v>91</v>
      </c>
      <c r="AC111" s="851">
        <v>93</v>
      </c>
      <c r="AD111" s="851">
        <v>79</v>
      </c>
      <c r="AE111" s="851">
        <v>150</v>
      </c>
      <c r="AF111" s="851"/>
      <c r="AG111" s="851">
        <v>0</v>
      </c>
      <c r="AH111" s="851">
        <v>69</v>
      </c>
      <c r="AI111" s="851">
        <v>40</v>
      </c>
      <c r="AJ111" s="851"/>
      <c r="AK111" s="848">
        <f t="shared" si="11"/>
        <v>3122</v>
      </c>
      <c r="AL111" s="862">
        <v>43.256159213498499</v>
      </c>
      <c r="AM111" s="849">
        <f t="shared" si="12"/>
        <v>1350.457290645423</v>
      </c>
      <c r="AN111" s="1150" t="s">
        <v>36</v>
      </c>
      <c r="AO111" s="421"/>
      <c r="AP111" s="421"/>
    </row>
    <row r="112" spans="1:42" ht="54" customHeight="1">
      <c r="A112" s="645">
        <v>91</v>
      </c>
      <c r="B112" s="645">
        <v>14</v>
      </c>
      <c r="C112" s="645" t="str">
        <f>'Chấm công KT'!C108</f>
        <v>03601</v>
      </c>
      <c r="D112" s="652" t="str">
        <f>'Chấm công KT'!D108</f>
        <v>T. Khăm Mặn</v>
      </c>
      <c r="E112" s="652"/>
      <c r="F112" s="840">
        <v>125</v>
      </c>
      <c r="G112" s="840">
        <v>203</v>
      </c>
      <c r="H112" s="840">
        <v>77</v>
      </c>
      <c r="I112" s="840">
        <v>78</v>
      </c>
      <c r="J112" s="840">
        <v>56</v>
      </c>
      <c r="K112" s="840">
        <v>271</v>
      </c>
      <c r="L112" s="840">
        <v>120</v>
      </c>
      <c r="M112" s="840">
        <v>176</v>
      </c>
      <c r="N112" s="840">
        <v>221</v>
      </c>
      <c r="O112" s="840">
        <v>265</v>
      </c>
      <c r="P112" s="840">
        <v>96</v>
      </c>
      <c r="Q112" s="840">
        <v>388</v>
      </c>
      <c r="R112" s="840">
        <v>238</v>
      </c>
      <c r="S112" s="840">
        <v>96</v>
      </c>
      <c r="T112" s="840">
        <v>150</v>
      </c>
      <c r="U112" s="840">
        <v>143</v>
      </c>
      <c r="V112" s="840">
        <v>194</v>
      </c>
      <c r="W112" s="840">
        <v>100</v>
      </c>
      <c r="X112" s="840">
        <v>300</v>
      </c>
      <c r="Y112" s="840">
        <v>252</v>
      </c>
      <c r="Z112" s="850">
        <v>94</v>
      </c>
      <c r="AA112" s="850">
        <v>142</v>
      </c>
      <c r="AB112" s="851">
        <v>154</v>
      </c>
      <c r="AC112" s="851">
        <v>182</v>
      </c>
      <c r="AD112" s="851">
        <v>86</v>
      </c>
      <c r="AE112" s="851">
        <v>344</v>
      </c>
      <c r="AF112" s="851"/>
      <c r="AG112" s="851">
        <v>315</v>
      </c>
      <c r="AH112" s="851">
        <v>80</v>
      </c>
      <c r="AI112" s="851">
        <v>104</v>
      </c>
      <c r="AJ112" s="851"/>
      <c r="AK112" s="848">
        <f t="shared" si="11"/>
        <v>5050</v>
      </c>
      <c r="AL112" s="862">
        <v>43.256159213498499</v>
      </c>
      <c r="AM112" s="849">
        <f t="shared" si="12"/>
        <v>2184.4360402816742</v>
      </c>
      <c r="AN112" s="1150" t="s">
        <v>36</v>
      </c>
      <c r="AO112" s="421"/>
      <c r="AP112" s="421"/>
    </row>
    <row r="113" spans="1:42" ht="54" customHeight="1">
      <c r="A113" s="645">
        <v>92</v>
      </c>
      <c r="B113" s="645">
        <v>15</v>
      </c>
      <c r="C113" s="645" t="str">
        <f>'Chấm công KT'!C109</f>
        <v>03602</v>
      </c>
      <c r="D113" s="652" t="str">
        <f>'Chấm công KT'!D109</f>
        <v>T . In Tong</v>
      </c>
      <c r="E113" s="652"/>
      <c r="F113" s="840">
        <v>126</v>
      </c>
      <c r="G113" s="840">
        <v>131</v>
      </c>
      <c r="H113" s="840">
        <v>77</v>
      </c>
      <c r="I113" s="840">
        <v>69</v>
      </c>
      <c r="J113" s="840">
        <v>152</v>
      </c>
      <c r="K113" s="840">
        <v>187</v>
      </c>
      <c r="L113" s="840">
        <v>112</v>
      </c>
      <c r="M113" s="840">
        <v>119</v>
      </c>
      <c r="N113" s="840">
        <v>229</v>
      </c>
      <c r="O113" s="840">
        <v>147</v>
      </c>
      <c r="P113" s="840">
        <v>80</v>
      </c>
      <c r="Q113" s="840">
        <v>278</v>
      </c>
      <c r="R113" s="840">
        <v>167</v>
      </c>
      <c r="S113" s="840">
        <v>0</v>
      </c>
      <c r="T113" s="840">
        <v>91</v>
      </c>
      <c r="U113" s="840">
        <v>173</v>
      </c>
      <c r="V113" s="840">
        <v>140</v>
      </c>
      <c r="W113" s="840">
        <v>125</v>
      </c>
      <c r="X113" s="840">
        <v>221</v>
      </c>
      <c r="Y113" s="840">
        <v>136</v>
      </c>
      <c r="Z113" s="850">
        <v>74</v>
      </c>
      <c r="AA113" s="850">
        <v>70</v>
      </c>
      <c r="AB113" s="851">
        <v>168</v>
      </c>
      <c r="AC113" s="851">
        <v>139</v>
      </c>
      <c r="AD113" s="851">
        <v>66</v>
      </c>
      <c r="AE113" s="851">
        <v>233</v>
      </c>
      <c r="AF113" s="851"/>
      <c r="AG113" s="851">
        <v>199</v>
      </c>
      <c r="AH113" s="851">
        <v>57</v>
      </c>
      <c r="AI113" s="851">
        <v>107</v>
      </c>
      <c r="AJ113" s="851"/>
      <c r="AK113" s="848">
        <f t="shared" si="11"/>
        <v>3873</v>
      </c>
      <c r="AL113" s="862">
        <v>43.256159213498499</v>
      </c>
      <c r="AM113" s="849">
        <f t="shared" si="12"/>
        <v>1675.3110463387968</v>
      </c>
      <c r="AN113" s="1150" t="s">
        <v>36</v>
      </c>
      <c r="AO113" s="421"/>
      <c r="AP113" s="421"/>
    </row>
    <row r="114" spans="1:42" ht="54" customHeight="1">
      <c r="A114" s="645">
        <v>93</v>
      </c>
      <c r="B114" s="645">
        <v>16</v>
      </c>
      <c r="C114" s="645" t="str">
        <f>'Chấm công KT'!C110</f>
        <v>03496</v>
      </c>
      <c r="D114" s="652" t="str">
        <f>'Chấm công KT'!D110</f>
        <v>T. Lốp</v>
      </c>
      <c r="E114" s="652"/>
      <c r="F114" s="840">
        <v>0</v>
      </c>
      <c r="G114" s="840">
        <v>0</v>
      </c>
      <c r="H114" s="840">
        <v>0</v>
      </c>
      <c r="I114" s="840">
        <v>0</v>
      </c>
      <c r="J114" s="840">
        <v>86</v>
      </c>
      <c r="K114" s="840">
        <v>221</v>
      </c>
      <c r="L114" s="840">
        <v>62</v>
      </c>
      <c r="M114" s="840">
        <v>110</v>
      </c>
      <c r="N114" s="840">
        <v>211</v>
      </c>
      <c r="O114" s="840">
        <v>218</v>
      </c>
      <c r="P114" s="840">
        <v>55</v>
      </c>
      <c r="Q114" s="840">
        <v>308</v>
      </c>
      <c r="R114" s="840">
        <v>161</v>
      </c>
      <c r="S114" s="840">
        <v>60</v>
      </c>
      <c r="T114" s="840">
        <v>94</v>
      </c>
      <c r="U114" s="840">
        <v>203</v>
      </c>
      <c r="V114" s="840">
        <v>233</v>
      </c>
      <c r="W114" s="840">
        <v>53</v>
      </c>
      <c r="X114" s="840">
        <v>123</v>
      </c>
      <c r="Y114" s="840">
        <v>181</v>
      </c>
      <c r="Z114" s="850">
        <v>60</v>
      </c>
      <c r="AA114" s="850">
        <v>104</v>
      </c>
      <c r="AB114" s="851">
        <v>364</v>
      </c>
      <c r="AC114" s="851">
        <v>176</v>
      </c>
      <c r="AD114" s="851">
        <v>53</v>
      </c>
      <c r="AE114" s="851">
        <v>298</v>
      </c>
      <c r="AF114" s="851"/>
      <c r="AG114" s="851">
        <v>241</v>
      </c>
      <c r="AH114" s="851">
        <v>51</v>
      </c>
      <c r="AI114" s="851">
        <v>218</v>
      </c>
      <c r="AJ114" s="851"/>
      <c r="AK114" s="848">
        <f t="shared" si="11"/>
        <v>3944</v>
      </c>
      <c r="AL114" s="862">
        <v>43.256159213498499</v>
      </c>
      <c r="AM114" s="849">
        <f t="shared" si="12"/>
        <v>1706.0229193803807</v>
      </c>
      <c r="AN114" s="1150" t="s">
        <v>36</v>
      </c>
      <c r="AO114" s="421"/>
      <c r="AP114" s="421"/>
    </row>
    <row r="115" spans="1:42" ht="54" customHeight="1">
      <c r="A115" s="645">
        <v>94</v>
      </c>
      <c r="B115" s="645">
        <v>17</v>
      </c>
      <c r="C115" s="645" t="str">
        <f>'Chấm công KT'!C111</f>
        <v>03604</v>
      </c>
      <c r="D115" s="652" t="str">
        <f>'Chấm công KT'!D111</f>
        <v>T. Lăm Phêng</v>
      </c>
      <c r="E115" s="652"/>
      <c r="F115" s="840">
        <v>161</v>
      </c>
      <c r="G115" s="840">
        <v>167</v>
      </c>
      <c r="H115" s="840">
        <v>0</v>
      </c>
      <c r="I115" s="840">
        <v>54</v>
      </c>
      <c r="J115" s="840">
        <v>305</v>
      </c>
      <c r="K115" s="840">
        <v>343</v>
      </c>
      <c r="L115" s="840">
        <v>182</v>
      </c>
      <c r="M115" s="840">
        <v>189</v>
      </c>
      <c r="N115" s="840">
        <v>508</v>
      </c>
      <c r="O115" s="840">
        <v>293</v>
      </c>
      <c r="P115" s="840">
        <v>110</v>
      </c>
      <c r="Q115" s="840">
        <v>532</v>
      </c>
      <c r="R115" s="840">
        <v>207</v>
      </c>
      <c r="S115" s="840">
        <v>90</v>
      </c>
      <c r="T115" s="840">
        <v>110</v>
      </c>
      <c r="U115" s="840">
        <v>380</v>
      </c>
      <c r="V115" s="840">
        <v>251</v>
      </c>
      <c r="W115" s="840">
        <v>110</v>
      </c>
      <c r="X115" s="840">
        <v>416</v>
      </c>
      <c r="Y115" s="840">
        <v>269</v>
      </c>
      <c r="Z115" s="850">
        <v>110</v>
      </c>
      <c r="AA115" s="850">
        <v>118</v>
      </c>
      <c r="AB115" s="851">
        <v>353</v>
      </c>
      <c r="AC115" s="851">
        <v>165</v>
      </c>
      <c r="AD115" s="851">
        <v>83</v>
      </c>
      <c r="AE115" s="851">
        <v>492</v>
      </c>
      <c r="AF115" s="851"/>
      <c r="AG115" s="851">
        <v>247</v>
      </c>
      <c r="AH115" s="851">
        <v>76</v>
      </c>
      <c r="AI115" s="851">
        <v>100</v>
      </c>
      <c r="AJ115" s="851"/>
      <c r="AK115" s="848">
        <f t="shared" si="11"/>
        <v>6421</v>
      </c>
      <c r="AL115" s="862">
        <v>43.256159213498499</v>
      </c>
      <c r="AM115" s="849">
        <f t="shared" si="12"/>
        <v>2777.4779830987386</v>
      </c>
      <c r="AN115" s="1150" t="s">
        <v>36</v>
      </c>
      <c r="AO115" s="421"/>
      <c r="AP115" s="421"/>
    </row>
    <row r="116" spans="1:42" ht="54" customHeight="1">
      <c r="A116" s="645">
        <v>95</v>
      </c>
      <c r="B116" s="645">
        <v>18</v>
      </c>
      <c r="C116" s="645" t="str">
        <f>'Chấm công KT'!C112</f>
        <v>04075</v>
      </c>
      <c r="D116" s="652" t="str">
        <f>'Chấm công KT'!D112</f>
        <v>T Xèng</v>
      </c>
      <c r="E116" s="652"/>
      <c r="F116" s="840">
        <v>84</v>
      </c>
      <c r="G116" s="840">
        <v>116</v>
      </c>
      <c r="H116" s="840">
        <v>50</v>
      </c>
      <c r="I116" s="840">
        <v>64</v>
      </c>
      <c r="J116" s="840">
        <v>115</v>
      </c>
      <c r="K116" s="840">
        <v>265</v>
      </c>
      <c r="L116" s="840">
        <v>43</v>
      </c>
      <c r="M116" s="840">
        <v>194</v>
      </c>
      <c r="N116" s="840">
        <v>229</v>
      </c>
      <c r="O116" s="840">
        <v>225</v>
      </c>
      <c r="P116" s="840">
        <v>83</v>
      </c>
      <c r="Q116" s="840">
        <v>428</v>
      </c>
      <c r="R116" s="840">
        <v>191</v>
      </c>
      <c r="S116" s="840">
        <v>0</v>
      </c>
      <c r="T116" s="840">
        <v>201</v>
      </c>
      <c r="U116" s="840">
        <v>181</v>
      </c>
      <c r="V116" s="840">
        <v>204</v>
      </c>
      <c r="W116" s="840">
        <v>126</v>
      </c>
      <c r="X116" s="840">
        <v>333</v>
      </c>
      <c r="Y116" s="840">
        <v>256</v>
      </c>
      <c r="Z116" s="850">
        <v>63</v>
      </c>
      <c r="AA116" s="850">
        <v>129</v>
      </c>
      <c r="AB116" s="851">
        <v>160</v>
      </c>
      <c r="AC116" s="851">
        <v>197</v>
      </c>
      <c r="AD116" s="851">
        <v>68</v>
      </c>
      <c r="AE116" s="851">
        <v>295</v>
      </c>
      <c r="AF116" s="851"/>
      <c r="AG116" s="851">
        <v>275</v>
      </c>
      <c r="AH116" s="851">
        <v>61</v>
      </c>
      <c r="AI116" s="851">
        <v>146</v>
      </c>
      <c r="AJ116" s="851"/>
      <c r="AK116" s="848">
        <f t="shared" si="11"/>
        <v>4782</v>
      </c>
      <c r="AL116" s="862">
        <v>43.256159213498499</v>
      </c>
      <c r="AM116" s="849">
        <f t="shared" si="12"/>
        <v>2068.5095335894985</v>
      </c>
      <c r="AN116" s="1150" t="s">
        <v>36</v>
      </c>
      <c r="AO116" s="421"/>
      <c r="AP116" s="421"/>
    </row>
    <row r="117" spans="1:42" ht="54" customHeight="1">
      <c r="A117" s="645">
        <v>96</v>
      </c>
      <c r="B117" s="645">
        <v>19</v>
      </c>
      <c r="C117" s="645" t="str">
        <f>'Chấm công KT'!C113</f>
        <v>03509</v>
      </c>
      <c r="D117" s="652" t="str">
        <f>'Chấm công KT'!D113</f>
        <v>T. May</v>
      </c>
      <c r="E117" s="652"/>
      <c r="F117" s="840">
        <v>98</v>
      </c>
      <c r="G117" s="840">
        <v>150</v>
      </c>
      <c r="H117" s="840">
        <v>87</v>
      </c>
      <c r="I117" s="840">
        <v>135</v>
      </c>
      <c r="J117" s="840">
        <v>151</v>
      </c>
      <c r="K117" s="840">
        <v>197</v>
      </c>
      <c r="L117" s="840">
        <v>0</v>
      </c>
      <c r="M117" s="840">
        <v>131</v>
      </c>
      <c r="N117" s="840">
        <v>229</v>
      </c>
      <c r="O117" s="840">
        <v>248</v>
      </c>
      <c r="P117" s="840">
        <v>174</v>
      </c>
      <c r="Q117" s="840">
        <v>364</v>
      </c>
      <c r="R117" s="840">
        <v>237</v>
      </c>
      <c r="S117" s="840">
        <v>99</v>
      </c>
      <c r="T117" s="840">
        <v>120</v>
      </c>
      <c r="U117" s="840">
        <v>174</v>
      </c>
      <c r="V117" s="840">
        <v>225</v>
      </c>
      <c r="W117" s="840">
        <v>0</v>
      </c>
      <c r="X117" s="840">
        <v>326</v>
      </c>
      <c r="Y117" s="840">
        <v>0</v>
      </c>
      <c r="Z117" s="850">
        <v>151</v>
      </c>
      <c r="AA117" s="850">
        <v>118</v>
      </c>
      <c r="AB117" s="851">
        <v>195</v>
      </c>
      <c r="AC117" s="851">
        <v>206</v>
      </c>
      <c r="AD117" s="851">
        <v>91</v>
      </c>
      <c r="AE117" s="851">
        <v>345</v>
      </c>
      <c r="AF117" s="851"/>
      <c r="AG117" s="851">
        <v>202</v>
      </c>
      <c r="AH117" s="851">
        <v>0</v>
      </c>
      <c r="AI117" s="851">
        <v>92</v>
      </c>
      <c r="AJ117" s="851"/>
      <c r="AK117" s="848">
        <f t="shared" si="11"/>
        <v>4545</v>
      </c>
      <c r="AL117" s="862">
        <v>43.256159213498499</v>
      </c>
      <c r="AM117" s="849">
        <f t="shared" si="12"/>
        <v>1965.9924362535066</v>
      </c>
      <c r="AN117" s="1150" t="s">
        <v>36</v>
      </c>
      <c r="AO117" s="421"/>
      <c r="AP117" s="421"/>
    </row>
    <row r="118" spans="1:42" ht="54" customHeight="1">
      <c r="A118" s="645">
        <v>97</v>
      </c>
      <c r="B118" s="645">
        <v>20</v>
      </c>
      <c r="C118" s="645" t="str">
        <f>'Chấm công KT'!C114</f>
        <v>03607</v>
      </c>
      <c r="D118" s="652" t="str">
        <f>'Chấm công KT'!D114</f>
        <v>T. Huôn</v>
      </c>
      <c r="E118" s="652"/>
      <c r="F118" s="840">
        <v>111</v>
      </c>
      <c r="G118" s="840">
        <v>109</v>
      </c>
      <c r="H118" s="840">
        <v>80</v>
      </c>
      <c r="I118" s="840">
        <v>99</v>
      </c>
      <c r="J118" s="840">
        <v>133</v>
      </c>
      <c r="K118" s="840">
        <v>172</v>
      </c>
      <c r="L118" s="840">
        <v>0</v>
      </c>
      <c r="M118" s="840">
        <v>86</v>
      </c>
      <c r="N118" s="840">
        <v>230</v>
      </c>
      <c r="O118" s="840">
        <v>148</v>
      </c>
      <c r="P118" s="840">
        <v>72</v>
      </c>
      <c r="Q118" s="840">
        <v>321</v>
      </c>
      <c r="R118" s="840">
        <v>154</v>
      </c>
      <c r="S118" s="840">
        <v>103</v>
      </c>
      <c r="T118" s="840">
        <v>128</v>
      </c>
      <c r="U118" s="840">
        <v>159</v>
      </c>
      <c r="V118" s="840">
        <v>128</v>
      </c>
      <c r="W118" s="840">
        <v>0</v>
      </c>
      <c r="X118" s="840">
        <v>237</v>
      </c>
      <c r="Y118" s="840">
        <v>0</v>
      </c>
      <c r="Z118" s="850">
        <v>137</v>
      </c>
      <c r="AA118" s="850">
        <v>74</v>
      </c>
      <c r="AB118" s="851">
        <v>121</v>
      </c>
      <c r="AC118" s="851">
        <v>105</v>
      </c>
      <c r="AD118" s="851">
        <v>76</v>
      </c>
      <c r="AE118" s="851">
        <v>270</v>
      </c>
      <c r="AF118" s="851"/>
      <c r="AG118" s="851">
        <v>111</v>
      </c>
      <c r="AH118" s="851">
        <v>0</v>
      </c>
      <c r="AI118" s="851">
        <v>72</v>
      </c>
      <c r="AJ118" s="851"/>
      <c r="AK118" s="848">
        <f t="shared" si="11"/>
        <v>3436</v>
      </c>
      <c r="AL118" s="862">
        <v>43.256159213498499</v>
      </c>
      <c r="AM118" s="849">
        <f t="shared" si="12"/>
        <v>1486.2816305758085</v>
      </c>
      <c r="AN118" s="1150" t="s">
        <v>36</v>
      </c>
      <c r="AO118" s="421"/>
      <c r="AP118" s="421"/>
    </row>
    <row r="119" spans="1:42" ht="54" customHeight="1">
      <c r="A119" s="645">
        <v>98</v>
      </c>
      <c r="B119" s="645">
        <v>21</v>
      </c>
      <c r="C119" s="645" t="str">
        <f>'Chấm công KT'!C115</f>
        <v>02729</v>
      </c>
      <c r="D119" s="652" t="str">
        <f>'Chấm công KT'!D115</f>
        <v>N. Lay</v>
      </c>
      <c r="E119" s="652"/>
      <c r="F119" s="840">
        <v>112</v>
      </c>
      <c r="G119" s="840">
        <v>110</v>
      </c>
      <c r="H119" s="840">
        <v>79</v>
      </c>
      <c r="I119" s="840">
        <v>99</v>
      </c>
      <c r="J119" s="840">
        <v>160</v>
      </c>
      <c r="K119" s="840">
        <v>134</v>
      </c>
      <c r="L119" s="840">
        <v>0</v>
      </c>
      <c r="M119" s="840">
        <v>91</v>
      </c>
      <c r="N119" s="840">
        <v>235</v>
      </c>
      <c r="O119" s="840">
        <v>158</v>
      </c>
      <c r="P119" s="840">
        <v>87</v>
      </c>
      <c r="Q119" s="840">
        <v>247</v>
      </c>
      <c r="R119" s="840">
        <v>167</v>
      </c>
      <c r="S119" s="840">
        <v>103</v>
      </c>
      <c r="T119" s="840">
        <v>121</v>
      </c>
      <c r="U119" s="840">
        <v>160</v>
      </c>
      <c r="V119" s="840">
        <v>109</v>
      </c>
      <c r="W119" s="840">
        <v>0</v>
      </c>
      <c r="X119" s="840">
        <v>302</v>
      </c>
      <c r="Y119" s="840">
        <v>0</v>
      </c>
      <c r="Z119" s="850">
        <v>143</v>
      </c>
      <c r="AA119" s="850">
        <v>75</v>
      </c>
      <c r="AB119" s="851">
        <v>114</v>
      </c>
      <c r="AC119" s="851">
        <v>104</v>
      </c>
      <c r="AD119" s="851">
        <v>80</v>
      </c>
      <c r="AE119" s="851">
        <v>272</v>
      </c>
      <c r="AF119" s="851"/>
      <c r="AG119" s="851">
        <v>99</v>
      </c>
      <c r="AH119" s="851">
        <v>0</v>
      </c>
      <c r="AI119" s="851">
        <v>66</v>
      </c>
      <c r="AJ119" s="851"/>
      <c r="AK119" s="848">
        <f t="shared" si="11"/>
        <v>3427</v>
      </c>
      <c r="AL119" s="862">
        <v>43.256159213498499</v>
      </c>
      <c r="AM119" s="849">
        <f t="shared" si="12"/>
        <v>1482.3885762465934</v>
      </c>
      <c r="AN119" s="1150" t="s">
        <v>36</v>
      </c>
      <c r="AO119" s="421"/>
      <c r="AP119" s="421"/>
    </row>
    <row r="120" spans="1:42" ht="54" customHeight="1">
      <c r="A120" s="645">
        <v>99</v>
      </c>
      <c r="B120" s="645">
        <v>22</v>
      </c>
      <c r="C120" s="645" t="str">
        <f>'Chấm công KT'!C116</f>
        <v>03608</v>
      </c>
      <c r="D120" s="652" t="str">
        <f>'Chấm công KT'!D116</f>
        <v>N. Pon</v>
      </c>
      <c r="E120" s="652"/>
      <c r="F120" s="840">
        <v>110</v>
      </c>
      <c r="G120" s="840">
        <v>173</v>
      </c>
      <c r="H120" s="840">
        <v>112</v>
      </c>
      <c r="I120" s="840">
        <v>101</v>
      </c>
      <c r="J120" s="840">
        <v>138</v>
      </c>
      <c r="K120" s="840">
        <v>278</v>
      </c>
      <c r="L120" s="840">
        <v>86</v>
      </c>
      <c r="M120" s="840">
        <v>168</v>
      </c>
      <c r="N120" s="840">
        <v>214</v>
      </c>
      <c r="O120" s="840">
        <v>254</v>
      </c>
      <c r="P120" s="840">
        <v>85</v>
      </c>
      <c r="Q120" s="840">
        <v>337</v>
      </c>
      <c r="R120" s="840">
        <v>218</v>
      </c>
      <c r="S120" s="840">
        <v>89</v>
      </c>
      <c r="T120" s="840">
        <v>116</v>
      </c>
      <c r="U120" s="840">
        <v>172</v>
      </c>
      <c r="V120" s="840">
        <v>214</v>
      </c>
      <c r="W120" s="840">
        <v>83</v>
      </c>
      <c r="X120" s="840">
        <v>270</v>
      </c>
      <c r="Y120" s="840">
        <v>228</v>
      </c>
      <c r="Z120" s="850">
        <v>89</v>
      </c>
      <c r="AA120" s="850">
        <v>125</v>
      </c>
      <c r="AB120" s="851">
        <v>147</v>
      </c>
      <c r="AC120" s="851">
        <v>200</v>
      </c>
      <c r="AD120" s="851">
        <v>65</v>
      </c>
      <c r="AE120" s="851">
        <v>237</v>
      </c>
      <c r="AF120" s="851"/>
      <c r="AG120" s="851">
        <v>288</v>
      </c>
      <c r="AH120" s="851">
        <v>0</v>
      </c>
      <c r="AI120" s="851">
        <v>88</v>
      </c>
      <c r="AJ120" s="851"/>
      <c r="AK120" s="848">
        <f t="shared" si="11"/>
        <v>4685</v>
      </c>
      <c r="AL120" s="862">
        <v>43.256159213498499</v>
      </c>
      <c r="AM120" s="849">
        <f t="shared" si="12"/>
        <v>2026.5510591524048</v>
      </c>
      <c r="AN120" s="1150" t="s">
        <v>36</v>
      </c>
      <c r="AO120" s="421"/>
      <c r="AP120" s="421"/>
    </row>
    <row r="121" spans="1:42" ht="54" customHeight="1">
      <c r="A121" s="645">
        <v>100</v>
      </c>
      <c r="B121" s="645">
        <v>23</v>
      </c>
      <c r="C121" s="645" t="str">
        <f>'Chấm công KT'!C117</f>
        <v>03609</v>
      </c>
      <c r="D121" s="652" t="str">
        <f>'Chấm công KT'!D117</f>
        <v>N. Bun Đi</v>
      </c>
      <c r="E121" s="652"/>
      <c r="F121" s="840">
        <v>134</v>
      </c>
      <c r="G121" s="840">
        <v>115</v>
      </c>
      <c r="H121" s="840">
        <v>111</v>
      </c>
      <c r="I121" s="840">
        <v>52</v>
      </c>
      <c r="J121" s="840">
        <v>89</v>
      </c>
      <c r="K121" s="840">
        <v>173</v>
      </c>
      <c r="L121" s="840">
        <v>0</v>
      </c>
      <c r="M121" s="840">
        <v>106</v>
      </c>
      <c r="N121" s="840">
        <v>200</v>
      </c>
      <c r="O121" s="840">
        <v>133</v>
      </c>
      <c r="P121" s="840">
        <v>136</v>
      </c>
      <c r="Q121" s="840">
        <v>320</v>
      </c>
      <c r="R121" s="840">
        <v>202</v>
      </c>
      <c r="S121" s="840">
        <v>68</v>
      </c>
      <c r="T121" s="840">
        <v>103</v>
      </c>
      <c r="U121" s="840">
        <v>207</v>
      </c>
      <c r="V121" s="840">
        <v>148</v>
      </c>
      <c r="W121" s="840">
        <v>73</v>
      </c>
      <c r="X121" s="840">
        <v>245</v>
      </c>
      <c r="Y121" s="840">
        <v>142</v>
      </c>
      <c r="Z121" s="850">
        <v>65</v>
      </c>
      <c r="AA121" s="850">
        <v>100</v>
      </c>
      <c r="AB121" s="851">
        <v>186</v>
      </c>
      <c r="AC121" s="851">
        <v>100</v>
      </c>
      <c r="AD121" s="851">
        <v>54</v>
      </c>
      <c r="AE121" s="851">
        <v>239</v>
      </c>
      <c r="AF121" s="851"/>
      <c r="AG121" s="851">
        <v>205</v>
      </c>
      <c r="AH121" s="851">
        <v>50</v>
      </c>
      <c r="AI121" s="851">
        <v>51</v>
      </c>
      <c r="AJ121" s="851"/>
      <c r="AK121" s="848">
        <f t="shared" si="11"/>
        <v>3807</v>
      </c>
      <c r="AL121" s="862">
        <v>43.256159213498499</v>
      </c>
      <c r="AM121" s="849">
        <f t="shared" si="12"/>
        <v>1646.761981257888</v>
      </c>
      <c r="AN121" s="1150" t="s">
        <v>36</v>
      </c>
      <c r="AO121" s="421"/>
      <c r="AP121" s="421"/>
    </row>
    <row r="122" spans="1:42" ht="54" customHeight="1">
      <c r="A122" s="645">
        <v>101</v>
      </c>
      <c r="B122" s="645">
        <v>24</v>
      </c>
      <c r="C122" s="645" t="str">
        <f>'Chấm công KT'!C118</f>
        <v>03610</v>
      </c>
      <c r="D122" s="652" t="str">
        <f>'Chấm công KT'!D118</f>
        <v>N. Phon</v>
      </c>
      <c r="E122" s="652"/>
      <c r="F122" s="840">
        <v>133</v>
      </c>
      <c r="G122" s="840">
        <v>115</v>
      </c>
      <c r="H122" s="840">
        <v>111</v>
      </c>
      <c r="I122" s="840">
        <v>60</v>
      </c>
      <c r="J122" s="840">
        <v>93</v>
      </c>
      <c r="K122" s="840">
        <v>193</v>
      </c>
      <c r="L122" s="840">
        <v>0</v>
      </c>
      <c r="M122" s="840">
        <v>118</v>
      </c>
      <c r="N122" s="840">
        <v>216</v>
      </c>
      <c r="O122" s="840">
        <v>128</v>
      </c>
      <c r="P122" s="840">
        <v>134</v>
      </c>
      <c r="Q122" s="840">
        <v>353</v>
      </c>
      <c r="R122" s="840">
        <v>195</v>
      </c>
      <c r="S122" s="840">
        <v>76</v>
      </c>
      <c r="T122" s="840">
        <v>100</v>
      </c>
      <c r="U122" s="840">
        <v>172</v>
      </c>
      <c r="V122" s="840">
        <v>219</v>
      </c>
      <c r="W122" s="840">
        <v>60</v>
      </c>
      <c r="X122" s="840">
        <v>290</v>
      </c>
      <c r="Y122" s="840">
        <v>140</v>
      </c>
      <c r="Z122" s="850">
        <v>64</v>
      </c>
      <c r="AA122" s="850">
        <v>93</v>
      </c>
      <c r="AB122" s="851">
        <v>135</v>
      </c>
      <c r="AC122" s="851">
        <v>107</v>
      </c>
      <c r="AD122" s="851">
        <v>62</v>
      </c>
      <c r="AE122" s="851">
        <v>279</v>
      </c>
      <c r="AF122" s="851"/>
      <c r="AG122" s="851">
        <v>145</v>
      </c>
      <c r="AH122" s="851">
        <v>50</v>
      </c>
      <c r="AI122" s="851">
        <v>50</v>
      </c>
      <c r="AJ122" s="851"/>
      <c r="AK122" s="848">
        <f t="shared" si="11"/>
        <v>3891</v>
      </c>
      <c r="AL122" s="862">
        <v>43.256159213498499</v>
      </c>
      <c r="AM122" s="849">
        <f t="shared" si="12"/>
        <v>1683.0971549972267</v>
      </c>
      <c r="AN122" s="1150" t="s">
        <v>43</v>
      </c>
      <c r="AO122" s="421"/>
      <c r="AP122" s="421"/>
    </row>
    <row r="123" spans="1:42" ht="54" customHeight="1">
      <c r="A123" s="645">
        <v>102</v>
      </c>
      <c r="B123" s="645">
        <v>25</v>
      </c>
      <c r="C123" s="645" t="str">
        <f>'Chấm công KT'!C119</f>
        <v>04076</v>
      </c>
      <c r="D123" s="652" t="str">
        <f>'Chấm công KT'!D119</f>
        <v xml:space="preserve">N. Bun </v>
      </c>
      <c r="E123" s="652"/>
      <c r="F123" s="840">
        <v>111</v>
      </c>
      <c r="G123" s="840">
        <v>169</v>
      </c>
      <c r="H123" s="840">
        <v>49</v>
      </c>
      <c r="I123" s="840">
        <v>52</v>
      </c>
      <c r="J123" s="840">
        <v>140</v>
      </c>
      <c r="K123" s="840">
        <v>261</v>
      </c>
      <c r="L123" s="840">
        <v>100</v>
      </c>
      <c r="M123" s="840">
        <v>143</v>
      </c>
      <c r="N123" s="840">
        <v>255</v>
      </c>
      <c r="O123" s="840">
        <v>293</v>
      </c>
      <c r="P123" s="840">
        <v>119</v>
      </c>
      <c r="Q123" s="840">
        <v>331</v>
      </c>
      <c r="R123" s="840">
        <v>224</v>
      </c>
      <c r="S123" s="840">
        <v>77</v>
      </c>
      <c r="T123" s="840">
        <v>143</v>
      </c>
      <c r="U123" s="840">
        <v>185</v>
      </c>
      <c r="V123" s="840">
        <v>230</v>
      </c>
      <c r="W123" s="840">
        <v>102</v>
      </c>
      <c r="X123" s="840">
        <v>326</v>
      </c>
      <c r="Y123" s="840">
        <v>199</v>
      </c>
      <c r="Z123" s="850">
        <v>75</v>
      </c>
      <c r="AA123" s="850">
        <v>86</v>
      </c>
      <c r="AB123" s="851">
        <v>198</v>
      </c>
      <c r="AC123" s="851">
        <v>178</v>
      </c>
      <c r="AD123" s="851">
        <v>64</v>
      </c>
      <c r="AE123" s="851">
        <v>314</v>
      </c>
      <c r="AF123" s="851"/>
      <c r="AG123" s="851">
        <v>287</v>
      </c>
      <c r="AH123" s="851">
        <v>82</v>
      </c>
      <c r="AI123" s="851">
        <v>69</v>
      </c>
      <c r="AJ123" s="851"/>
      <c r="AK123" s="848">
        <f t="shared" si="11"/>
        <v>4862</v>
      </c>
      <c r="AL123" s="862">
        <v>43.256159213498499</v>
      </c>
      <c r="AM123" s="849">
        <f t="shared" si="12"/>
        <v>2103.114460960297</v>
      </c>
      <c r="AN123" s="1150" t="s">
        <v>36</v>
      </c>
      <c r="AO123" s="421"/>
      <c r="AP123" s="421"/>
    </row>
    <row r="124" spans="1:42" ht="54" customHeight="1">
      <c r="A124" s="645">
        <v>103</v>
      </c>
      <c r="B124" s="645">
        <v>26</v>
      </c>
      <c r="C124" s="645" t="str">
        <f>'Chấm công KT'!C120</f>
        <v>03612</v>
      </c>
      <c r="D124" s="652" t="str">
        <f>'Chấm công KT'!D120</f>
        <v>N. Phu Văn</v>
      </c>
      <c r="E124" s="652"/>
      <c r="F124" s="840">
        <v>67</v>
      </c>
      <c r="G124" s="840">
        <v>117</v>
      </c>
      <c r="H124" s="840">
        <v>45</v>
      </c>
      <c r="I124" s="840">
        <v>93</v>
      </c>
      <c r="J124" s="840">
        <v>119</v>
      </c>
      <c r="K124" s="840">
        <v>251</v>
      </c>
      <c r="L124" s="840">
        <v>120</v>
      </c>
      <c r="M124" s="840">
        <v>195</v>
      </c>
      <c r="N124" s="840">
        <v>230</v>
      </c>
      <c r="O124" s="840">
        <v>259</v>
      </c>
      <c r="P124" s="840">
        <v>67</v>
      </c>
      <c r="Q124" s="840">
        <v>400</v>
      </c>
      <c r="R124" s="840">
        <v>242</v>
      </c>
      <c r="S124" s="840">
        <v>0</v>
      </c>
      <c r="T124" s="840">
        <v>139</v>
      </c>
      <c r="U124" s="840">
        <v>180</v>
      </c>
      <c r="V124" s="840">
        <v>225</v>
      </c>
      <c r="W124" s="840">
        <v>136</v>
      </c>
      <c r="X124" s="840">
        <v>344</v>
      </c>
      <c r="Y124" s="840">
        <v>240</v>
      </c>
      <c r="Z124" s="850">
        <v>72</v>
      </c>
      <c r="AA124" s="850">
        <v>187</v>
      </c>
      <c r="AB124" s="851">
        <v>173</v>
      </c>
      <c r="AC124" s="851">
        <v>203</v>
      </c>
      <c r="AD124" s="851">
        <v>64</v>
      </c>
      <c r="AE124" s="851">
        <v>301</v>
      </c>
      <c r="AF124" s="851"/>
      <c r="AG124" s="851">
        <v>261</v>
      </c>
      <c r="AH124" s="851">
        <v>54</v>
      </c>
      <c r="AI124" s="851">
        <v>120</v>
      </c>
      <c r="AJ124" s="851"/>
      <c r="AK124" s="848">
        <f t="shared" si="11"/>
        <v>4904</v>
      </c>
      <c r="AL124" s="862">
        <v>43.256159213498499</v>
      </c>
      <c r="AM124" s="849">
        <f t="shared" si="12"/>
        <v>2121.2820478299664</v>
      </c>
      <c r="AN124" s="1150" t="s">
        <v>36</v>
      </c>
      <c r="AO124" s="421"/>
      <c r="AP124" s="421"/>
    </row>
    <row r="125" spans="1:42" ht="54" customHeight="1">
      <c r="A125" s="645">
        <v>104</v>
      </c>
      <c r="B125" s="645">
        <v>27</v>
      </c>
      <c r="C125" s="645" t="str">
        <f>'Chấm công KT'!C121</f>
        <v>03613</v>
      </c>
      <c r="D125" s="652" t="str">
        <f>'Chấm công KT'!D121</f>
        <v>N. Lỷ</v>
      </c>
      <c r="E125" s="652"/>
      <c r="F125" s="840">
        <v>128</v>
      </c>
      <c r="G125" s="840">
        <v>250</v>
      </c>
      <c r="H125" s="840">
        <v>85</v>
      </c>
      <c r="I125" s="840">
        <v>126</v>
      </c>
      <c r="J125" s="840">
        <v>135</v>
      </c>
      <c r="K125" s="840">
        <v>371</v>
      </c>
      <c r="L125" s="840">
        <v>124</v>
      </c>
      <c r="M125" s="840">
        <v>178</v>
      </c>
      <c r="N125" s="840">
        <v>225</v>
      </c>
      <c r="O125" s="840">
        <v>335</v>
      </c>
      <c r="P125" s="840">
        <v>89</v>
      </c>
      <c r="Q125" s="840">
        <v>388</v>
      </c>
      <c r="R125" s="840">
        <v>320</v>
      </c>
      <c r="S125" s="840">
        <v>106</v>
      </c>
      <c r="T125" s="840">
        <v>171</v>
      </c>
      <c r="U125" s="840">
        <v>138</v>
      </c>
      <c r="V125" s="840">
        <v>265</v>
      </c>
      <c r="W125" s="840">
        <v>81</v>
      </c>
      <c r="X125" s="840">
        <v>318</v>
      </c>
      <c r="Y125" s="840">
        <v>305</v>
      </c>
      <c r="Z125" s="850">
        <v>77</v>
      </c>
      <c r="AA125" s="850">
        <v>131</v>
      </c>
      <c r="AB125" s="851">
        <v>172</v>
      </c>
      <c r="AC125" s="851">
        <v>215</v>
      </c>
      <c r="AD125" s="851">
        <v>77</v>
      </c>
      <c r="AE125" s="851">
        <v>313</v>
      </c>
      <c r="AF125" s="851"/>
      <c r="AG125" s="851">
        <v>309</v>
      </c>
      <c r="AH125" s="851">
        <v>64</v>
      </c>
      <c r="AI125" s="851">
        <v>105</v>
      </c>
      <c r="AJ125" s="851"/>
      <c r="AK125" s="848">
        <f t="shared" si="11"/>
        <v>5601</v>
      </c>
      <c r="AL125" s="862">
        <v>43.256159213498499</v>
      </c>
      <c r="AM125" s="849">
        <f t="shared" si="12"/>
        <v>2422.7774775480507</v>
      </c>
      <c r="AN125" s="1150" t="s">
        <v>36</v>
      </c>
      <c r="AO125" s="421"/>
      <c r="AP125" s="421"/>
    </row>
    <row r="126" spans="1:42" ht="54" customHeight="1">
      <c r="A126" s="645">
        <v>105</v>
      </c>
      <c r="B126" s="645">
        <v>28</v>
      </c>
      <c r="C126" s="645" t="str">
        <f>'Chấm công KT'!C122</f>
        <v>04077</v>
      </c>
      <c r="D126" s="652" t="str">
        <f>'Chấm công KT'!D122</f>
        <v>N. Quen</v>
      </c>
      <c r="E126" s="652"/>
      <c r="F126" s="840">
        <v>116</v>
      </c>
      <c r="G126" s="840">
        <v>166</v>
      </c>
      <c r="H126" s="840">
        <v>0</v>
      </c>
      <c r="I126" s="840">
        <v>51</v>
      </c>
      <c r="J126" s="840">
        <v>120</v>
      </c>
      <c r="K126" s="840">
        <v>248</v>
      </c>
      <c r="L126" s="840">
        <v>183</v>
      </c>
      <c r="M126" s="840">
        <v>130</v>
      </c>
      <c r="N126" s="840">
        <v>205</v>
      </c>
      <c r="O126" s="840">
        <v>264</v>
      </c>
      <c r="P126" s="840">
        <v>119</v>
      </c>
      <c r="Q126" s="840">
        <v>355</v>
      </c>
      <c r="R126" s="840">
        <v>198</v>
      </c>
      <c r="S126" s="840">
        <v>102</v>
      </c>
      <c r="T126" s="840">
        <v>137</v>
      </c>
      <c r="U126" s="840">
        <v>163</v>
      </c>
      <c r="V126" s="840">
        <v>237</v>
      </c>
      <c r="W126" s="840">
        <v>107</v>
      </c>
      <c r="X126" s="840">
        <v>272</v>
      </c>
      <c r="Y126" s="840">
        <v>198</v>
      </c>
      <c r="Z126" s="850">
        <v>107</v>
      </c>
      <c r="AA126" s="850">
        <v>127</v>
      </c>
      <c r="AB126" s="851">
        <v>137</v>
      </c>
      <c r="AC126" s="851">
        <v>174</v>
      </c>
      <c r="AD126" s="851">
        <v>105</v>
      </c>
      <c r="AE126" s="851">
        <v>288</v>
      </c>
      <c r="AF126" s="851"/>
      <c r="AG126" s="851">
        <v>296</v>
      </c>
      <c r="AH126" s="851">
        <v>70</v>
      </c>
      <c r="AI126" s="851">
        <v>100</v>
      </c>
      <c r="AJ126" s="851"/>
      <c r="AK126" s="848">
        <f t="shared" si="11"/>
        <v>4775</v>
      </c>
      <c r="AL126" s="862">
        <v>43.256159213498499</v>
      </c>
      <c r="AM126" s="849">
        <f t="shared" si="12"/>
        <v>2065.4816024445531</v>
      </c>
      <c r="AN126" s="1150" t="s">
        <v>36</v>
      </c>
      <c r="AO126" s="421"/>
      <c r="AP126" s="421"/>
    </row>
    <row r="127" spans="1:42" ht="54" customHeight="1">
      <c r="A127" s="645">
        <v>106</v>
      </c>
      <c r="B127" s="645">
        <v>29</v>
      </c>
      <c r="C127" s="645" t="str">
        <f>'Chấm công KT'!C123</f>
        <v>03615</v>
      </c>
      <c r="D127" s="652" t="str">
        <f>'Chấm công KT'!D123</f>
        <v>T. Xi Nuôn</v>
      </c>
      <c r="E127" s="652"/>
      <c r="F127" s="840">
        <v>0</v>
      </c>
      <c r="G127" s="840">
        <v>137</v>
      </c>
      <c r="H127" s="840">
        <v>0</v>
      </c>
      <c r="I127" s="840">
        <v>103</v>
      </c>
      <c r="J127" s="840">
        <v>226</v>
      </c>
      <c r="K127" s="840">
        <v>92</v>
      </c>
      <c r="L127" s="840">
        <v>0</v>
      </c>
      <c r="M127" s="840">
        <v>120</v>
      </c>
      <c r="N127" s="840">
        <v>204</v>
      </c>
      <c r="O127" s="840">
        <v>203</v>
      </c>
      <c r="P127" s="840">
        <v>217</v>
      </c>
      <c r="Q127" s="840">
        <v>297</v>
      </c>
      <c r="R127" s="840">
        <v>185</v>
      </c>
      <c r="S127" s="840">
        <v>76</v>
      </c>
      <c r="T127" s="840">
        <v>119</v>
      </c>
      <c r="U127" s="840">
        <v>141</v>
      </c>
      <c r="V127" s="840">
        <v>152</v>
      </c>
      <c r="W127" s="840">
        <v>72</v>
      </c>
      <c r="X127" s="840">
        <v>248</v>
      </c>
      <c r="Y127" s="840">
        <v>169</v>
      </c>
      <c r="Z127" s="850">
        <v>67</v>
      </c>
      <c r="AA127" s="850">
        <v>79</v>
      </c>
      <c r="AB127" s="851">
        <v>95</v>
      </c>
      <c r="AC127" s="851">
        <v>78</v>
      </c>
      <c r="AD127" s="851">
        <v>66</v>
      </c>
      <c r="AE127" s="851">
        <v>180</v>
      </c>
      <c r="AF127" s="851"/>
      <c r="AG127" s="851">
        <v>69</v>
      </c>
      <c r="AH127" s="851">
        <v>0</v>
      </c>
      <c r="AI127" s="851">
        <v>0</v>
      </c>
      <c r="AJ127" s="851"/>
      <c r="AK127" s="848">
        <f t="shared" si="11"/>
        <v>3395</v>
      </c>
      <c r="AL127" s="862">
        <v>43.256159213498499</v>
      </c>
      <c r="AM127" s="849">
        <f t="shared" si="12"/>
        <v>1468.546605298274</v>
      </c>
      <c r="AN127" s="1150" t="s">
        <v>36</v>
      </c>
      <c r="AO127" s="421"/>
      <c r="AP127" s="421"/>
    </row>
    <row r="128" spans="1:42" ht="54" customHeight="1">
      <c r="A128" s="645">
        <v>107</v>
      </c>
      <c r="B128" s="645">
        <v>30</v>
      </c>
      <c r="C128" s="645" t="str">
        <f>'Chấm công KT'!C124</f>
        <v>03616</v>
      </c>
      <c r="D128" s="652" t="str">
        <f>'Chấm công KT'!D124</f>
        <v>N. Ốc</v>
      </c>
      <c r="E128" s="652"/>
      <c r="F128" s="840">
        <v>128</v>
      </c>
      <c r="G128" s="840">
        <v>249</v>
      </c>
      <c r="H128" s="840">
        <v>85</v>
      </c>
      <c r="I128" s="840">
        <v>112</v>
      </c>
      <c r="J128" s="840">
        <v>146</v>
      </c>
      <c r="K128" s="840">
        <v>388</v>
      </c>
      <c r="L128" s="840">
        <v>114</v>
      </c>
      <c r="M128" s="840">
        <v>214</v>
      </c>
      <c r="N128" s="840">
        <v>225</v>
      </c>
      <c r="O128" s="840">
        <v>300</v>
      </c>
      <c r="P128" s="840">
        <v>91</v>
      </c>
      <c r="Q128" s="840">
        <v>356</v>
      </c>
      <c r="R128" s="840">
        <v>259</v>
      </c>
      <c r="S128" s="840">
        <v>65</v>
      </c>
      <c r="T128" s="840">
        <v>132</v>
      </c>
      <c r="U128" s="840">
        <v>169</v>
      </c>
      <c r="V128" s="840">
        <v>276</v>
      </c>
      <c r="W128" s="840">
        <v>74</v>
      </c>
      <c r="X128" s="840">
        <v>301</v>
      </c>
      <c r="Y128" s="840">
        <v>238</v>
      </c>
      <c r="Z128" s="850">
        <v>70</v>
      </c>
      <c r="AA128" s="850">
        <v>120</v>
      </c>
      <c r="AB128" s="851">
        <v>133</v>
      </c>
      <c r="AC128" s="851">
        <v>240</v>
      </c>
      <c r="AD128" s="851">
        <v>86</v>
      </c>
      <c r="AE128" s="851">
        <v>336</v>
      </c>
      <c r="AF128" s="851"/>
      <c r="AG128" s="851">
        <v>299</v>
      </c>
      <c r="AH128" s="851">
        <v>62</v>
      </c>
      <c r="AI128" s="851">
        <v>100</v>
      </c>
      <c r="AJ128" s="851"/>
      <c r="AK128" s="848">
        <f t="shared" si="11"/>
        <v>5368</v>
      </c>
      <c r="AL128" s="862">
        <v>43.256159213498499</v>
      </c>
      <c r="AM128" s="849">
        <f t="shared" si="12"/>
        <v>2321.9906265805994</v>
      </c>
      <c r="AN128" s="1150" t="s">
        <v>36</v>
      </c>
      <c r="AO128" s="421"/>
      <c r="AP128" s="421"/>
    </row>
    <row r="129" spans="1:42" ht="54" customHeight="1">
      <c r="A129" s="645">
        <v>108</v>
      </c>
      <c r="B129" s="645">
        <v>31</v>
      </c>
      <c r="C129" s="645" t="str">
        <f>'Chấm công KT'!C125</f>
        <v>03617</v>
      </c>
      <c r="D129" s="652" t="str">
        <f>'Chấm công KT'!D125</f>
        <v>T. Văn Nô</v>
      </c>
      <c r="E129" s="652"/>
      <c r="F129" s="840">
        <v>58</v>
      </c>
      <c r="G129" s="840">
        <v>111</v>
      </c>
      <c r="H129" s="840">
        <v>62</v>
      </c>
      <c r="I129" s="840">
        <v>78</v>
      </c>
      <c r="J129" s="840">
        <v>131</v>
      </c>
      <c r="K129" s="840">
        <v>233</v>
      </c>
      <c r="L129" s="840">
        <v>97</v>
      </c>
      <c r="M129" s="840">
        <v>220</v>
      </c>
      <c r="N129" s="840">
        <v>240</v>
      </c>
      <c r="O129" s="840">
        <v>207</v>
      </c>
      <c r="P129" s="840">
        <v>70</v>
      </c>
      <c r="Q129" s="840">
        <v>395</v>
      </c>
      <c r="R129" s="840">
        <v>205</v>
      </c>
      <c r="S129" s="840">
        <v>70</v>
      </c>
      <c r="T129" s="840">
        <v>167</v>
      </c>
      <c r="U129" s="840">
        <v>173</v>
      </c>
      <c r="V129" s="840">
        <v>198</v>
      </c>
      <c r="W129" s="840">
        <v>70</v>
      </c>
      <c r="X129" s="840">
        <v>324</v>
      </c>
      <c r="Y129" s="840">
        <v>163</v>
      </c>
      <c r="Z129" s="850">
        <v>71</v>
      </c>
      <c r="AA129" s="850">
        <v>148</v>
      </c>
      <c r="AB129" s="851">
        <v>175</v>
      </c>
      <c r="AC129" s="851">
        <v>198</v>
      </c>
      <c r="AD129" s="851">
        <v>54</v>
      </c>
      <c r="AE129" s="851">
        <v>326</v>
      </c>
      <c r="AF129" s="851"/>
      <c r="AG129" s="851">
        <v>202</v>
      </c>
      <c r="AH129" s="851">
        <v>60</v>
      </c>
      <c r="AI129" s="851">
        <v>110</v>
      </c>
      <c r="AJ129" s="851"/>
      <c r="AK129" s="848">
        <f t="shared" si="11"/>
        <v>4616</v>
      </c>
      <c r="AL129" s="862">
        <v>43.256159213498499</v>
      </c>
      <c r="AM129" s="849">
        <f t="shared" si="12"/>
        <v>1996.7043092950908</v>
      </c>
      <c r="AN129" s="1150" t="s">
        <v>36</v>
      </c>
      <c r="AO129" s="421"/>
      <c r="AP129" s="421"/>
    </row>
    <row r="130" spans="1:42" ht="54" customHeight="1">
      <c r="A130" s="645">
        <v>109</v>
      </c>
      <c r="B130" s="645">
        <v>32</v>
      </c>
      <c r="C130" s="645" t="str">
        <f>'Chấm công KT'!C126</f>
        <v>03618</v>
      </c>
      <c r="D130" s="652" t="str">
        <f>'Chấm công KT'!D126</f>
        <v>N. Văn Ta</v>
      </c>
      <c r="E130" s="652"/>
      <c r="F130" s="840">
        <v>97</v>
      </c>
      <c r="G130" s="840">
        <v>255</v>
      </c>
      <c r="H130" s="840">
        <v>93</v>
      </c>
      <c r="I130" s="840">
        <v>89</v>
      </c>
      <c r="J130" s="840">
        <v>121</v>
      </c>
      <c r="K130" s="840">
        <v>381</v>
      </c>
      <c r="L130" s="840">
        <v>125</v>
      </c>
      <c r="M130" s="840">
        <v>158</v>
      </c>
      <c r="N130" s="840">
        <v>246</v>
      </c>
      <c r="O130" s="840">
        <v>374</v>
      </c>
      <c r="P130" s="840">
        <v>113</v>
      </c>
      <c r="Q130" s="840">
        <v>392</v>
      </c>
      <c r="R130" s="840">
        <v>354</v>
      </c>
      <c r="S130" s="840">
        <v>81</v>
      </c>
      <c r="T130" s="840">
        <v>106</v>
      </c>
      <c r="U130" s="840">
        <v>174</v>
      </c>
      <c r="V130" s="840">
        <v>198</v>
      </c>
      <c r="W130" s="840">
        <v>0</v>
      </c>
      <c r="X130" s="840">
        <v>252</v>
      </c>
      <c r="Y130" s="840">
        <v>241</v>
      </c>
      <c r="Z130" s="850">
        <v>128</v>
      </c>
      <c r="AA130" s="850">
        <v>99</v>
      </c>
      <c r="AB130" s="851">
        <v>143</v>
      </c>
      <c r="AC130" s="851">
        <v>224</v>
      </c>
      <c r="AD130" s="851">
        <v>95</v>
      </c>
      <c r="AE130" s="851">
        <v>262</v>
      </c>
      <c r="AF130" s="851"/>
      <c r="AG130" s="851">
        <v>0</v>
      </c>
      <c r="AH130" s="851">
        <v>70</v>
      </c>
      <c r="AI130" s="851">
        <v>80</v>
      </c>
      <c r="AJ130" s="851"/>
      <c r="AK130" s="848">
        <f t="shared" si="11"/>
        <v>4951</v>
      </c>
      <c r="AL130" s="862">
        <v>43.256159213498499</v>
      </c>
      <c r="AM130" s="849">
        <f t="shared" si="12"/>
        <v>2141.612442660311</v>
      </c>
      <c r="AN130" s="1150" t="s">
        <v>36</v>
      </c>
      <c r="AO130" s="421"/>
      <c r="AP130" s="421"/>
    </row>
    <row r="131" spans="1:42" ht="54" customHeight="1">
      <c r="A131" s="645">
        <v>110</v>
      </c>
      <c r="B131" s="645">
        <v>33</v>
      </c>
      <c r="C131" s="645" t="str">
        <f>'Chấm công KT'!C127</f>
        <v>03619</v>
      </c>
      <c r="D131" s="652" t="str">
        <f>'Chấm công KT'!D127</f>
        <v>T. Thon</v>
      </c>
      <c r="E131" s="652"/>
      <c r="F131" s="840">
        <v>69</v>
      </c>
      <c r="G131" s="840">
        <v>121</v>
      </c>
      <c r="H131" s="840">
        <v>112</v>
      </c>
      <c r="I131" s="840">
        <v>81</v>
      </c>
      <c r="J131" s="840">
        <v>113</v>
      </c>
      <c r="K131" s="840">
        <v>223</v>
      </c>
      <c r="L131" s="840">
        <v>96</v>
      </c>
      <c r="M131" s="840">
        <v>0</v>
      </c>
      <c r="N131" s="840">
        <v>220</v>
      </c>
      <c r="O131" s="840">
        <v>214</v>
      </c>
      <c r="P131" s="840">
        <v>86</v>
      </c>
      <c r="Q131" s="840">
        <v>473</v>
      </c>
      <c r="R131" s="840">
        <v>197</v>
      </c>
      <c r="S131" s="840">
        <v>84</v>
      </c>
      <c r="T131" s="840">
        <v>112</v>
      </c>
      <c r="U131" s="840">
        <v>174</v>
      </c>
      <c r="V131" s="840">
        <v>200</v>
      </c>
      <c r="W131" s="840">
        <v>84</v>
      </c>
      <c r="X131" s="840">
        <v>257</v>
      </c>
      <c r="Y131" s="840">
        <v>161</v>
      </c>
      <c r="Z131" s="850">
        <v>76</v>
      </c>
      <c r="AA131" s="850">
        <v>80</v>
      </c>
      <c r="AB131" s="851">
        <v>145</v>
      </c>
      <c r="AC131" s="851">
        <v>199</v>
      </c>
      <c r="AD131" s="851">
        <v>0</v>
      </c>
      <c r="AE131" s="851">
        <v>241</v>
      </c>
      <c r="AF131" s="851"/>
      <c r="AG131" s="851">
        <v>190</v>
      </c>
      <c r="AH131" s="851">
        <v>0</v>
      </c>
      <c r="AI131" s="851">
        <v>0</v>
      </c>
      <c r="AJ131" s="851"/>
      <c r="AK131" s="848">
        <f t="shared" si="11"/>
        <v>4008</v>
      </c>
      <c r="AL131" s="862">
        <v>43.256159213498499</v>
      </c>
      <c r="AM131" s="849">
        <f t="shared" ref="AM131:AM160" si="13">AK131*AL131/100</f>
        <v>1733.7068612770197</v>
      </c>
      <c r="AN131" s="1150" t="s">
        <v>36</v>
      </c>
      <c r="AO131" s="421"/>
      <c r="AP131" s="421"/>
    </row>
    <row r="132" spans="1:42" ht="54" customHeight="1">
      <c r="A132" s="645">
        <v>111</v>
      </c>
      <c r="B132" s="645">
        <v>34</v>
      </c>
      <c r="C132" s="645" t="str">
        <f>'Chấm công KT'!C128</f>
        <v>03620</v>
      </c>
      <c r="D132" s="652" t="str">
        <f>'Chấm công KT'!D128</f>
        <v>Bun Thon</v>
      </c>
      <c r="E132" s="652"/>
      <c r="F132" s="840">
        <v>0</v>
      </c>
      <c r="G132" s="840">
        <v>97</v>
      </c>
      <c r="H132" s="840">
        <v>72</v>
      </c>
      <c r="I132" s="840">
        <v>70</v>
      </c>
      <c r="J132" s="840">
        <v>218</v>
      </c>
      <c r="K132" s="840">
        <v>159</v>
      </c>
      <c r="L132" s="840">
        <v>111</v>
      </c>
      <c r="M132" s="840">
        <v>136</v>
      </c>
      <c r="N132" s="840">
        <v>273</v>
      </c>
      <c r="O132" s="840">
        <v>198</v>
      </c>
      <c r="P132" s="840">
        <v>95</v>
      </c>
      <c r="Q132" s="840">
        <v>292</v>
      </c>
      <c r="R132" s="840">
        <v>162</v>
      </c>
      <c r="S132" s="840">
        <v>83</v>
      </c>
      <c r="T132" s="840">
        <v>99</v>
      </c>
      <c r="U132" s="840">
        <v>181</v>
      </c>
      <c r="V132" s="840">
        <v>147</v>
      </c>
      <c r="W132" s="840">
        <v>87</v>
      </c>
      <c r="X132" s="840">
        <v>90</v>
      </c>
      <c r="Y132" s="840">
        <v>150</v>
      </c>
      <c r="Z132" s="850">
        <v>83</v>
      </c>
      <c r="AA132" s="850">
        <v>83</v>
      </c>
      <c r="AB132" s="851">
        <v>258</v>
      </c>
      <c r="AC132" s="851">
        <v>136</v>
      </c>
      <c r="AD132" s="851">
        <v>0</v>
      </c>
      <c r="AE132" s="851">
        <v>267</v>
      </c>
      <c r="AF132" s="851"/>
      <c r="AG132" s="851">
        <v>194</v>
      </c>
      <c r="AH132" s="851">
        <v>129</v>
      </c>
      <c r="AI132" s="851">
        <v>81</v>
      </c>
      <c r="AJ132" s="851"/>
      <c r="AK132" s="848">
        <f t="shared" si="11"/>
        <v>3951</v>
      </c>
      <c r="AL132" s="862">
        <v>43.256159213498499</v>
      </c>
      <c r="AM132" s="849">
        <f t="shared" si="13"/>
        <v>1709.0508505253258</v>
      </c>
      <c r="AN132" s="1150" t="s">
        <v>36</v>
      </c>
      <c r="AO132" s="421"/>
      <c r="AP132" s="421"/>
    </row>
    <row r="133" spans="1:42" ht="54" customHeight="1">
      <c r="A133" s="645">
        <v>112</v>
      </c>
      <c r="B133" s="645">
        <v>35</v>
      </c>
      <c r="C133" s="645" t="str">
        <f>'Chấm công KT'!C129</f>
        <v>04078</v>
      </c>
      <c r="D133" s="652" t="str">
        <f>'Chấm công KT'!D129</f>
        <v>Lăm Thong</v>
      </c>
      <c r="E133" s="652"/>
      <c r="F133" s="840">
        <v>129</v>
      </c>
      <c r="G133" s="840">
        <v>131</v>
      </c>
      <c r="H133" s="840">
        <v>0</v>
      </c>
      <c r="I133" s="840">
        <v>66</v>
      </c>
      <c r="J133" s="840">
        <v>131</v>
      </c>
      <c r="K133" s="840">
        <v>217</v>
      </c>
      <c r="L133" s="840">
        <v>126</v>
      </c>
      <c r="M133" s="840">
        <v>158</v>
      </c>
      <c r="N133" s="840">
        <v>227</v>
      </c>
      <c r="O133" s="840">
        <v>172</v>
      </c>
      <c r="P133" s="840">
        <v>81</v>
      </c>
      <c r="Q133" s="840">
        <v>333</v>
      </c>
      <c r="R133" s="840">
        <v>142</v>
      </c>
      <c r="S133" s="840">
        <v>70</v>
      </c>
      <c r="T133" s="840">
        <v>81</v>
      </c>
      <c r="U133" s="840">
        <v>153</v>
      </c>
      <c r="V133" s="840">
        <v>151</v>
      </c>
      <c r="W133" s="840">
        <v>73</v>
      </c>
      <c r="X133" s="840">
        <v>282</v>
      </c>
      <c r="Y133" s="840">
        <v>177</v>
      </c>
      <c r="Z133" s="850">
        <v>0</v>
      </c>
      <c r="AA133" s="850">
        <v>79</v>
      </c>
      <c r="AB133" s="851">
        <v>130</v>
      </c>
      <c r="AC133" s="851">
        <v>0</v>
      </c>
      <c r="AD133" s="851">
        <v>137</v>
      </c>
      <c r="AE133" s="851">
        <v>296</v>
      </c>
      <c r="AF133" s="851"/>
      <c r="AG133" s="851">
        <v>189</v>
      </c>
      <c r="AH133" s="851">
        <v>0</v>
      </c>
      <c r="AI133" s="851">
        <v>106</v>
      </c>
      <c r="AJ133" s="851"/>
      <c r="AK133" s="848">
        <f t="shared" si="11"/>
        <v>3837</v>
      </c>
      <c r="AL133" s="862">
        <v>43.256159213498499</v>
      </c>
      <c r="AM133" s="849">
        <f t="shared" si="13"/>
        <v>1659.7388290219374</v>
      </c>
      <c r="AN133" s="1150" t="s">
        <v>43</v>
      </c>
      <c r="AO133" s="421"/>
      <c r="AP133" s="421"/>
    </row>
    <row r="134" spans="1:42" ht="54" customHeight="1">
      <c r="A134" s="645">
        <v>113</v>
      </c>
      <c r="B134" s="645">
        <v>36</v>
      </c>
      <c r="C134" s="645" t="str">
        <f>'Chấm công KT'!C130</f>
        <v>03622</v>
      </c>
      <c r="D134" s="652" t="str">
        <f>'Chấm công KT'!D130</f>
        <v>N. Xeo Khăm</v>
      </c>
      <c r="E134" s="652"/>
      <c r="F134" s="840">
        <v>113</v>
      </c>
      <c r="G134" s="840">
        <v>88</v>
      </c>
      <c r="H134" s="840">
        <v>85</v>
      </c>
      <c r="I134" s="840">
        <v>65</v>
      </c>
      <c r="J134" s="840">
        <v>141</v>
      </c>
      <c r="K134" s="840">
        <v>164</v>
      </c>
      <c r="L134" s="840">
        <v>120</v>
      </c>
      <c r="M134" s="840">
        <v>124</v>
      </c>
      <c r="N134" s="840">
        <v>300</v>
      </c>
      <c r="O134" s="840">
        <v>127</v>
      </c>
      <c r="P134" s="840">
        <v>118</v>
      </c>
      <c r="Q134" s="840">
        <v>434</v>
      </c>
      <c r="R134" s="840">
        <v>134</v>
      </c>
      <c r="S134" s="840">
        <v>108</v>
      </c>
      <c r="T134" s="840">
        <v>113</v>
      </c>
      <c r="U134" s="840">
        <v>247</v>
      </c>
      <c r="V134" s="840">
        <v>131</v>
      </c>
      <c r="W134" s="840">
        <v>100</v>
      </c>
      <c r="X134" s="840">
        <v>361</v>
      </c>
      <c r="Y134" s="840">
        <v>0</v>
      </c>
      <c r="Z134" s="850">
        <v>220</v>
      </c>
      <c r="AA134" s="850">
        <v>100</v>
      </c>
      <c r="AB134" s="851">
        <v>237</v>
      </c>
      <c r="AC134" s="851">
        <v>114</v>
      </c>
      <c r="AD134" s="851">
        <v>91</v>
      </c>
      <c r="AE134" s="851">
        <v>317</v>
      </c>
      <c r="AF134" s="851"/>
      <c r="AG134" s="851">
        <v>172</v>
      </c>
      <c r="AH134" s="851">
        <v>90</v>
      </c>
      <c r="AI134" s="851">
        <v>81</v>
      </c>
      <c r="AJ134" s="851"/>
      <c r="AK134" s="848">
        <f t="shared" si="11"/>
        <v>4495</v>
      </c>
      <c r="AL134" s="862">
        <v>43.256159213498499</v>
      </c>
      <c r="AM134" s="849">
        <f t="shared" si="13"/>
        <v>1944.3643566467574</v>
      </c>
      <c r="AN134" s="1150" t="s">
        <v>36</v>
      </c>
      <c r="AO134" s="421"/>
      <c r="AP134" s="421"/>
    </row>
    <row r="135" spans="1:42" ht="54" customHeight="1">
      <c r="A135" s="645">
        <v>114</v>
      </c>
      <c r="B135" s="645">
        <v>37</v>
      </c>
      <c r="C135" s="645" t="str">
        <f>'Chấm công KT'!C131</f>
        <v>03623</v>
      </c>
      <c r="D135" s="652" t="str">
        <f>'Chấm công KT'!D131</f>
        <v>T. Khăm...</v>
      </c>
      <c r="E135" s="652"/>
      <c r="F135" s="840">
        <v>134</v>
      </c>
      <c r="G135" s="840">
        <v>134</v>
      </c>
      <c r="H135" s="840">
        <v>302</v>
      </c>
      <c r="I135" s="840">
        <v>114</v>
      </c>
      <c r="J135" s="840">
        <v>159</v>
      </c>
      <c r="K135" s="840">
        <v>144</v>
      </c>
      <c r="L135" s="840">
        <v>242</v>
      </c>
      <c r="M135" s="840">
        <v>160</v>
      </c>
      <c r="N135" s="840">
        <v>231</v>
      </c>
      <c r="O135" s="840">
        <v>238</v>
      </c>
      <c r="P135" s="840">
        <v>200</v>
      </c>
      <c r="Q135" s="840">
        <v>305</v>
      </c>
      <c r="R135" s="840">
        <v>197</v>
      </c>
      <c r="S135" s="840">
        <v>184</v>
      </c>
      <c r="T135" s="840">
        <v>117</v>
      </c>
      <c r="U135" s="840">
        <v>164</v>
      </c>
      <c r="V135" s="840">
        <v>194</v>
      </c>
      <c r="W135" s="840">
        <v>172</v>
      </c>
      <c r="X135" s="840">
        <v>161</v>
      </c>
      <c r="Y135" s="840">
        <v>132</v>
      </c>
      <c r="Z135" s="850">
        <v>164</v>
      </c>
      <c r="AA135" s="850">
        <v>148</v>
      </c>
      <c r="AB135" s="851">
        <v>135</v>
      </c>
      <c r="AC135" s="851">
        <v>170</v>
      </c>
      <c r="AD135" s="851">
        <v>180</v>
      </c>
      <c r="AE135" s="851">
        <v>339</v>
      </c>
      <c r="AF135" s="851"/>
      <c r="AG135" s="851">
        <v>243</v>
      </c>
      <c r="AH135" s="851">
        <v>0</v>
      </c>
      <c r="AI135" s="851">
        <v>0</v>
      </c>
      <c r="AJ135" s="851"/>
      <c r="AK135" s="848">
        <f t="shared" si="11"/>
        <v>5063</v>
      </c>
      <c r="AL135" s="862">
        <v>43.256159213498499</v>
      </c>
      <c r="AM135" s="849">
        <f t="shared" si="13"/>
        <v>2190.0593409794292</v>
      </c>
      <c r="AN135" s="1150" t="s">
        <v>36</v>
      </c>
      <c r="AO135" s="421"/>
      <c r="AP135" s="421"/>
    </row>
    <row r="136" spans="1:42" ht="54" customHeight="1">
      <c r="A136" s="645">
        <v>115</v>
      </c>
      <c r="B136" s="645">
        <v>38</v>
      </c>
      <c r="C136" s="645" t="str">
        <f>'Chấm công KT'!C132</f>
        <v>03532</v>
      </c>
      <c r="D136" s="652" t="str">
        <f>'Chấm công KT'!D132</f>
        <v>N. Túc</v>
      </c>
      <c r="E136" s="652"/>
      <c r="F136" s="840">
        <v>112</v>
      </c>
      <c r="G136" s="840">
        <v>153</v>
      </c>
      <c r="H136" s="840">
        <v>122</v>
      </c>
      <c r="I136" s="840">
        <v>68</v>
      </c>
      <c r="J136" s="840">
        <v>103</v>
      </c>
      <c r="K136" s="840">
        <v>262</v>
      </c>
      <c r="L136" s="840">
        <v>109</v>
      </c>
      <c r="M136" s="840">
        <v>139</v>
      </c>
      <c r="N136" s="840">
        <v>255</v>
      </c>
      <c r="O136" s="840">
        <v>226</v>
      </c>
      <c r="P136" s="840">
        <v>88</v>
      </c>
      <c r="Q136" s="840">
        <v>326</v>
      </c>
      <c r="R136" s="840">
        <v>277</v>
      </c>
      <c r="S136" s="840">
        <v>80</v>
      </c>
      <c r="T136" s="840">
        <v>149</v>
      </c>
      <c r="U136" s="840">
        <v>207</v>
      </c>
      <c r="V136" s="840">
        <v>261</v>
      </c>
      <c r="W136" s="840">
        <v>0</v>
      </c>
      <c r="X136" s="840">
        <v>365</v>
      </c>
      <c r="Y136" s="840">
        <v>203</v>
      </c>
      <c r="Z136" s="850">
        <v>85</v>
      </c>
      <c r="AA136" s="850">
        <v>107</v>
      </c>
      <c r="AB136" s="851">
        <v>167</v>
      </c>
      <c r="AC136" s="851">
        <v>156</v>
      </c>
      <c r="AD136" s="851">
        <v>0</v>
      </c>
      <c r="AE136" s="851">
        <v>271</v>
      </c>
      <c r="AF136" s="851"/>
      <c r="AG136" s="851">
        <v>210</v>
      </c>
      <c r="AH136" s="851">
        <v>200</v>
      </c>
      <c r="AI136" s="851">
        <v>0</v>
      </c>
      <c r="AJ136" s="851"/>
      <c r="AK136" s="848">
        <f t="shared" si="11"/>
        <v>4701</v>
      </c>
      <c r="AL136" s="862">
        <v>43.256159213498499</v>
      </c>
      <c r="AM136" s="849">
        <f t="shared" si="13"/>
        <v>2033.4720446265644</v>
      </c>
      <c r="AN136" s="1150" t="s">
        <v>36</v>
      </c>
      <c r="AO136" s="421"/>
      <c r="AP136" s="421"/>
    </row>
    <row r="137" spans="1:42" ht="54" customHeight="1">
      <c r="A137" s="645">
        <v>116</v>
      </c>
      <c r="B137" s="645">
        <v>39</v>
      </c>
      <c r="C137" s="645" t="str">
        <f>'Chấm công KT'!C133</f>
        <v>03625</v>
      </c>
      <c r="D137" s="652" t="str">
        <f>'Chấm công KT'!D133</f>
        <v>N. Pheng</v>
      </c>
      <c r="E137" s="652"/>
      <c r="F137" s="840">
        <v>124</v>
      </c>
      <c r="G137" s="840">
        <v>200</v>
      </c>
      <c r="H137" s="840">
        <v>76</v>
      </c>
      <c r="I137" s="840">
        <v>79</v>
      </c>
      <c r="J137" s="840">
        <v>119</v>
      </c>
      <c r="K137" s="840">
        <v>268</v>
      </c>
      <c r="L137" s="840">
        <v>135</v>
      </c>
      <c r="M137" s="840">
        <v>188</v>
      </c>
      <c r="N137" s="840">
        <v>253</v>
      </c>
      <c r="O137" s="840">
        <v>280</v>
      </c>
      <c r="P137" s="840">
        <v>112</v>
      </c>
      <c r="Q137" s="840">
        <v>399</v>
      </c>
      <c r="R137" s="840">
        <v>232</v>
      </c>
      <c r="S137" s="840">
        <v>107</v>
      </c>
      <c r="T137" s="840">
        <v>145</v>
      </c>
      <c r="U137" s="840">
        <v>176</v>
      </c>
      <c r="V137" s="840">
        <v>266</v>
      </c>
      <c r="W137" s="840">
        <v>96</v>
      </c>
      <c r="X137" s="840">
        <v>309</v>
      </c>
      <c r="Y137" s="840">
        <v>205</v>
      </c>
      <c r="Z137" s="850">
        <v>96</v>
      </c>
      <c r="AA137" s="850">
        <v>141</v>
      </c>
      <c r="AB137" s="851">
        <v>149</v>
      </c>
      <c r="AC137" s="851">
        <v>195</v>
      </c>
      <c r="AD137" s="851">
        <v>84</v>
      </c>
      <c r="AE137" s="851">
        <v>337</v>
      </c>
      <c r="AF137" s="851"/>
      <c r="AG137" s="851">
        <v>258</v>
      </c>
      <c r="AH137" s="851">
        <v>80</v>
      </c>
      <c r="AI137" s="851">
        <v>110</v>
      </c>
      <c r="AJ137" s="851"/>
      <c r="AK137" s="848">
        <f t="shared" si="11"/>
        <v>5219</v>
      </c>
      <c r="AL137" s="862">
        <v>43.256159213498499</v>
      </c>
      <c r="AM137" s="849">
        <f t="shared" si="13"/>
        <v>2257.5389493524867</v>
      </c>
      <c r="AN137" s="1150" t="s">
        <v>36</v>
      </c>
      <c r="AO137" s="421"/>
      <c r="AP137" s="421"/>
    </row>
    <row r="138" spans="1:42" ht="54" customHeight="1">
      <c r="A138" s="645">
        <v>117</v>
      </c>
      <c r="B138" s="645">
        <v>40</v>
      </c>
      <c r="C138" s="645" t="str">
        <f>'Chấm công KT'!C134</f>
        <v>03587</v>
      </c>
      <c r="D138" s="652" t="str">
        <f>'Chấm công KT'!D134</f>
        <v>N. Mom</v>
      </c>
      <c r="E138" s="652"/>
      <c r="F138" s="840">
        <v>108</v>
      </c>
      <c r="G138" s="840">
        <v>112</v>
      </c>
      <c r="H138" s="840">
        <v>62</v>
      </c>
      <c r="I138" s="840">
        <v>72</v>
      </c>
      <c r="J138" s="840">
        <v>68</v>
      </c>
      <c r="K138" s="840">
        <v>200</v>
      </c>
      <c r="L138" s="840">
        <v>97</v>
      </c>
      <c r="M138" s="840">
        <v>198</v>
      </c>
      <c r="N138" s="840">
        <v>234</v>
      </c>
      <c r="O138" s="840">
        <v>200</v>
      </c>
      <c r="P138" s="840">
        <v>97</v>
      </c>
      <c r="Q138" s="840">
        <v>409</v>
      </c>
      <c r="R138" s="840">
        <v>219</v>
      </c>
      <c r="S138" s="840">
        <v>66</v>
      </c>
      <c r="T138" s="840">
        <v>149</v>
      </c>
      <c r="U138" s="840">
        <v>194</v>
      </c>
      <c r="V138" s="840">
        <v>207</v>
      </c>
      <c r="W138" s="840">
        <v>77</v>
      </c>
      <c r="X138" s="840">
        <v>312</v>
      </c>
      <c r="Y138" s="840">
        <v>222</v>
      </c>
      <c r="Z138" s="850">
        <v>69</v>
      </c>
      <c r="AA138" s="850">
        <v>148</v>
      </c>
      <c r="AB138" s="851">
        <v>152</v>
      </c>
      <c r="AC138" s="851">
        <v>120</v>
      </c>
      <c r="AD138" s="851">
        <v>80</v>
      </c>
      <c r="AE138" s="851">
        <v>318</v>
      </c>
      <c r="AF138" s="851"/>
      <c r="AG138" s="851">
        <v>196</v>
      </c>
      <c r="AH138" s="851">
        <v>64</v>
      </c>
      <c r="AI138" s="851">
        <v>159</v>
      </c>
      <c r="AJ138" s="851"/>
      <c r="AK138" s="848">
        <f t="shared" si="11"/>
        <v>4609</v>
      </c>
      <c r="AL138" s="862">
        <v>43.256159213498499</v>
      </c>
      <c r="AM138" s="849">
        <f t="shared" si="13"/>
        <v>1993.6763781501459</v>
      </c>
      <c r="AN138" s="1150" t="s">
        <v>36</v>
      </c>
      <c r="AO138" s="421"/>
      <c r="AP138" s="421"/>
    </row>
    <row r="139" spans="1:42" ht="54" customHeight="1">
      <c r="A139" s="645">
        <v>118</v>
      </c>
      <c r="B139" s="645">
        <v>41</v>
      </c>
      <c r="C139" s="645" t="str">
        <f>'Chấm công KT'!C135</f>
        <v>04079</v>
      </c>
      <c r="D139" s="652" t="str">
        <f>'Chấm công KT'!D135</f>
        <v>T. Môn</v>
      </c>
      <c r="E139" s="652"/>
      <c r="F139" s="840">
        <v>88</v>
      </c>
      <c r="G139" s="840">
        <v>93</v>
      </c>
      <c r="H139" s="840">
        <v>49</v>
      </c>
      <c r="I139" s="840">
        <v>69</v>
      </c>
      <c r="J139" s="840">
        <v>157</v>
      </c>
      <c r="K139" s="840">
        <v>168</v>
      </c>
      <c r="L139" s="840">
        <v>98</v>
      </c>
      <c r="M139" s="840">
        <v>151</v>
      </c>
      <c r="N139" s="840">
        <v>229</v>
      </c>
      <c r="O139" s="840">
        <v>106</v>
      </c>
      <c r="P139" s="840">
        <v>80</v>
      </c>
      <c r="Q139" s="840">
        <v>315</v>
      </c>
      <c r="R139" s="840">
        <v>136</v>
      </c>
      <c r="S139" s="840">
        <v>65</v>
      </c>
      <c r="T139" s="840">
        <v>112</v>
      </c>
      <c r="U139" s="840">
        <v>184</v>
      </c>
      <c r="V139" s="840">
        <v>129</v>
      </c>
      <c r="W139" s="840">
        <v>67</v>
      </c>
      <c r="X139" s="840">
        <v>250</v>
      </c>
      <c r="Y139" s="840">
        <v>86</v>
      </c>
      <c r="Z139" s="850">
        <v>67</v>
      </c>
      <c r="AA139" s="850">
        <v>102</v>
      </c>
      <c r="AB139" s="851">
        <v>127</v>
      </c>
      <c r="AC139" s="851">
        <v>80</v>
      </c>
      <c r="AD139" s="851">
        <v>59</v>
      </c>
      <c r="AE139" s="851">
        <v>271</v>
      </c>
      <c r="AF139" s="851"/>
      <c r="AG139" s="851">
        <v>135</v>
      </c>
      <c r="AH139" s="851">
        <v>47</v>
      </c>
      <c r="AI139" s="851">
        <v>59</v>
      </c>
      <c r="AJ139" s="851"/>
      <c r="AK139" s="848">
        <f t="shared" si="11"/>
        <v>3579</v>
      </c>
      <c r="AL139" s="862">
        <v>43.256159213498499</v>
      </c>
      <c r="AM139" s="849">
        <f t="shared" si="13"/>
        <v>1548.1379382511111</v>
      </c>
      <c r="AN139" s="1150" t="s">
        <v>43</v>
      </c>
      <c r="AO139" s="421"/>
      <c r="AP139" s="421"/>
    </row>
    <row r="140" spans="1:42" ht="54" customHeight="1">
      <c r="A140" s="645">
        <v>119</v>
      </c>
      <c r="B140" s="645">
        <v>42</v>
      </c>
      <c r="C140" s="645" t="str">
        <f>'Chấm công KT'!C136</f>
        <v>03628</v>
      </c>
      <c r="D140" s="652" t="str">
        <f>'Chấm công KT'!D136</f>
        <v>Khăn Hạ</v>
      </c>
      <c r="E140" s="652"/>
      <c r="F140" s="840">
        <v>0</v>
      </c>
      <c r="G140" s="840">
        <v>194</v>
      </c>
      <c r="H140" s="840">
        <v>31</v>
      </c>
      <c r="I140" s="840">
        <v>151</v>
      </c>
      <c r="J140" s="840">
        <v>224</v>
      </c>
      <c r="K140" s="840">
        <v>171</v>
      </c>
      <c r="L140" s="840">
        <v>0</v>
      </c>
      <c r="M140" s="840">
        <v>169</v>
      </c>
      <c r="N140" s="840">
        <v>200</v>
      </c>
      <c r="O140" s="840">
        <v>165</v>
      </c>
      <c r="P140" s="840">
        <v>63</v>
      </c>
      <c r="Q140" s="840">
        <v>321</v>
      </c>
      <c r="R140" s="840">
        <v>175</v>
      </c>
      <c r="S140" s="840">
        <v>0</v>
      </c>
      <c r="T140" s="840">
        <v>82</v>
      </c>
      <c r="U140" s="840">
        <v>155</v>
      </c>
      <c r="V140" s="840">
        <v>0</v>
      </c>
      <c r="W140" s="840">
        <v>64</v>
      </c>
      <c r="X140" s="840">
        <v>312</v>
      </c>
      <c r="Y140" s="840">
        <v>233</v>
      </c>
      <c r="Z140" s="850">
        <v>34</v>
      </c>
      <c r="AA140" s="850">
        <v>96</v>
      </c>
      <c r="AB140" s="851">
        <v>70</v>
      </c>
      <c r="AC140" s="851">
        <v>98</v>
      </c>
      <c r="AD140" s="851">
        <v>0</v>
      </c>
      <c r="AE140" s="851">
        <v>194</v>
      </c>
      <c r="AF140" s="851"/>
      <c r="AG140" s="851">
        <v>148</v>
      </c>
      <c r="AH140" s="851">
        <v>0</v>
      </c>
      <c r="AI140" s="851">
        <v>64</v>
      </c>
      <c r="AJ140" s="851"/>
      <c r="AK140" s="848">
        <f t="shared" si="11"/>
        <v>3414</v>
      </c>
      <c r="AL140" s="862">
        <v>43.256159213498499</v>
      </c>
      <c r="AM140" s="849">
        <f t="shared" si="13"/>
        <v>1476.7652755488389</v>
      </c>
      <c r="AN140" s="1150" t="s">
        <v>43</v>
      </c>
      <c r="AO140" s="421"/>
      <c r="AP140" s="421"/>
    </row>
    <row r="141" spans="1:42" ht="54" customHeight="1">
      <c r="A141" s="645">
        <v>120</v>
      </c>
      <c r="B141" s="645">
        <v>43</v>
      </c>
      <c r="C141" s="645" t="str">
        <f>'Chấm công KT'!C137</f>
        <v>03629</v>
      </c>
      <c r="D141" s="652" t="str">
        <f>'Chấm công KT'!D137</f>
        <v>T. Chăn La .</v>
      </c>
      <c r="E141" s="652"/>
      <c r="F141" s="840">
        <v>113</v>
      </c>
      <c r="G141" s="840">
        <v>103</v>
      </c>
      <c r="H141" s="840">
        <v>0</v>
      </c>
      <c r="I141" s="840">
        <v>64</v>
      </c>
      <c r="J141" s="840">
        <v>138</v>
      </c>
      <c r="K141" s="840">
        <v>197</v>
      </c>
      <c r="L141" s="840">
        <v>127</v>
      </c>
      <c r="M141" s="840">
        <v>70</v>
      </c>
      <c r="N141" s="840">
        <v>214</v>
      </c>
      <c r="O141" s="840">
        <v>176</v>
      </c>
      <c r="P141" s="840">
        <v>72</v>
      </c>
      <c r="Q141" s="840">
        <v>333</v>
      </c>
      <c r="R141" s="840">
        <v>141</v>
      </c>
      <c r="S141" s="840">
        <v>70</v>
      </c>
      <c r="T141" s="840">
        <v>138</v>
      </c>
      <c r="U141" s="840">
        <v>197</v>
      </c>
      <c r="V141" s="840">
        <v>164</v>
      </c>
      <c r="W141" s="840">
        <v>0</v>
      </c>
      <c r="X141" s="840">
        <v>253</v>
      </c>
      <c r="Y141" s="840">
        <v>159</v>
      </c>
      <c r="Z141" s="850">
        <v>86</v>
      </c>
      <c r="AA141" s="850">
        <v>67</v>
      </c>
      <c r="AB141" s="851">
        <v>131</v>
      </c>
      <c r="AC141" s="851">
        <v>90</v>
      </c>
      <c r="AD141" s="851">
        <v>0</v>
      </c>
      <c r="AE141" s="851">
        <v>206</v>
      </c>
      <c r="AF141" s="851"/>
      <c r="AG141" s="851">
        <v>191</v>
      </c>
      <c r="AH141" s="851">
        <v>115</v>
      </c>
      <c r="AI141" s="851">
        <v>46</v>
      </c>
      <c r="AJ141" s="851"/>
      <c r="AK141" s="848">
        <f t="shared" si="11"/>
        <v>3661</v>
      </c>
      <c r="AL141" s="862">
        <v>43.256159213498499</v>
      </c>
      <c r="AM141" s="849">
        <f t="shared" si="13"/>
        <v>1583.6079888061802</v>
      </c>
      <c r="AN141" s="1150" t="s">
        <v>36</v>
      </c>
      <c r="AO141" s="421"/>
      <c r="AP141" s="421"/>
    </row>
    <row r="142" spans="1:42" ht="54" customHeight="1">
      <c r="A142" s="645">
        <v>121</v>
      </c>
      <c r="B142" s="645">
        <v>44</v>
      </c>
      <c r="C142" s="645" t="str">
        <f>'Chấm công KT'!C138</f>
        <v>03630</v>
      </c>
      <c r="D142" s="652" t="str">
        <f>'Chấm công KT'!D138</f>
        <v>T. Nú</v>
      </c>
      <c r="E142" s="652"/>
      <c r="F142" s="840">
        <v>0</v>
      </c>
      <c r="G142" s="840">
        <v>193</v>
      </c>
      <c r="H142" s="840">
        <v>30</v>
      </c>
      <c r="I142" s="840">
        <v>148</v>
      </c>
      <c r="J142" s="840">
        <v>163</v>
      </c>
      <c r="K142" s="840">
        <v>190</v>
      </c>
      <c r="L142" s="840">
        <v>0</v>
      </c>
      <c r="M142" s="840">
        <v>176</v>
      </c>
      <c r="N142" s="840">
        <v>196</v>
      </c>
      <c r="O142" s="840">
        <v>134</v>
      </c>
      <c r="P142" s="840">
        <v>41</v>
      </c>
      <c r="Q142" s="840">
        <v>315</v>
      </c>
      <c r="R142" s="840">
        <v>177</v>
      </c>
      <c r="S142" s="840">
        <v>0</v>
      </c>
      <c r="T142" s="840">
        <v>113</v>
      </c>
      <c r="U142" s="840">
        <v>136</v>
      </c>
      <c r="V142" s="840">
        <v>0</v>
      </c>
      <c r="W142" s="840">
        <v>63</v>
      </c>
      <c r="X142" s="840">
        <v>319</v>
      </c>
      <c r="Y142" s="840">
        <v>214</v>
      </c>
      <c r="Z142" s="850">
        <v>30</v>
      </c>
      <c r="AA142" s="850">
        <v>89</v>
      </c>
      <c r="AB142" s="851">
        <v>126</v>
      </c>
      <c r="AC142" s="851">
        <v>104</v>
      </c>
      <c r="AD142" s="851">
        <v>0</v>
      </c>
      <c r="AE142" s="851">
        <v>197</v>
      </c>
      <c r="AF142" s="851"/>
      <c r="AG142" s="851">
        <v>156</v>
      </c>
      <c r="AH142" s="851">
        <v>0</v>
      </c>
      <c r="AI142" s="851">
        <v>60</v>
      </c>
      <c r="AJ142" s="851"/>
      <c r="AK142" s="848">
        <f t="shared" si="11"/>
        <v>3370</v>
      </c>
      <c r="AL142" s="862">
        <v>43.256159213498499</v>
      </c>
      <c r="AM142" s="849">
        <f t="shared" si="13"/>
        <v>1457.7325654948995</v>
      </c>
      <c r="AN142" s="1150" t="s">
        <v>43</v>
      </c>
      <c r="AO142" s="421"/>
      <c r="AP142" s="421"/>
    </row>
    <row r="143" spans="1:42" ht="54" customHeight="1">
      <c r="A143" s="645">
        <v>122</v>
      </c>
      <c r="B143" s="645">
        <v>45</v>
      </c>
      <c r="C143" s="645" t="str">
        <f>'Chấm công KT'!C139</f>
        <v>03631</v>
      </c>
      <c r="D143" s="652" t="str">
        <f>'Chấm công KT'!D139</f>
        <v>T. Xan Nha</v>
      </c>
      <c r="E143" s="652"/>
      <c r="F143" s="840">
        <v>114</v>
      </c>
      <c r="G143" s="840">
        <v>100</v>
      </c>
      <c r="H143" s="840">
        <v>0</v>
      </c>
      <c r="I143" s="840">
        <v>83</v>
      </c>
      <c r="J143" s="840">
        <v>127</v>
      </c>
      <c r="K143" s="840">
        <v>188</v>
      </c>
      <c r="L143" s="840">
        <v>137</v>
      </c>
      <c r="M143" s="840">
        <v>163</v>
      </c>
      <c r="N143" s="840">
        <v>220</v>
      </c>
      <c r="O143" s="840">
        <v>176</v>
      </c>
      <c r="P143" s="840">
        <v>80</v>
      </c>
      <c r="Q143" s="840">
        <v>278</v>
      </c>
      <c r="R143" s="840">
        <v>133</v>
      </c>
      <c r="S143" s="840">
        <v>72</v>
      </c>
      <c r="T143" s="840">
        <v>53</v>
      </c>
      <c r="U143" s="840">
        <v>132</v>
      </c>
      <c r="V143" s="840">
        <v>140</v>
      </c>
      <c r="W143" s="840">
        <v>0</v>
      </c>
      <c r="X143" s="840">
        <v>161</v>
      </c>
      <c r="Y143" s="840">
        <v>158</v>
      </c>
      <c r="Z143" s="850">
        <v>110</v>
      </c>
      <c r="AA143" s="850">
        <v>55</v>
      </c>
      <c r="AB143" s="851">
        <v>125</v>
      </c>
      <c r="AC143" s="851">
        <v>107</v>
      </c>
      <c r="AD143" s="851">
        <v>0</v>
      </c>
      <c r="AE143" s="851">
        <v>263</v>
      </c>
      <c r="AF143" s="851"/>
      <c r="AG143" s="851">
        <v>133</v>
      </c>
      <c r="AH143" s="851">
        <v>81</v>
      </c>
      <c r="AI143" s="851">
        <v>104</v>
      </c>
      <c r="AJ143" s="851"/>
      <c r="AK143" s="848">
        <f t="shared" si="11"/>
        <v>3493</v>
      </c>
      <c r="AL143" s="862">
        <v>43.256159213498499</v>
      </c>
      <c r="AM143" s="849">
        <f t="shared" si="13"/>
        <v>1510.9376413275024</v>
      </c>
      <c r="AN143" s="1150" t="s">
        <v>43</v>
      </c>
      <c r="AO143" s="421"/>
      <c r="AP143" s="421"/>
    </row>
    <row r="144" spans="1:42" ht="54" customHeight="1">
      <c r="A144" s="645">
        <v>123</v>
      </c>
      <c r="B144" s="645">
        <v>46</v>
      </c>
      <c r="C144" s="645" t="str">
        <f>'Chấm công KT'!C140</f>
        <v>03632</v>
      </c>
      <c r="D144" s="652" t="str">
        <f>'Chấm công KT'!D140</f>
        <v>T. A lem</v>
      </c>
      <c r="E144" s="652"/>
      <c r="F144" s="840">
        <v>121</v>
      </c>
      <c r="G144" s="840">
        <v>181</v>
      </c>
      <c r="H144" s="840">
        <v>87</v>
      </c>
      <c r="I144" s="840">
        <v>128</v>
      </c>
      <c r="J144" s="840">
        <v>121</v>
      </c>
      <c r="K144" s="840">
        <v>257</v>
      </c>
      <c r="L144" s="840">
        <v>226</v>
      </c>
      <c r="M144" s="840">
        <v>160</v>
      </c>
      <c r="N144" s="840">
        <v>253</v>
      </c>
      <c r="O144" s="840">
        <v>209</v>
      </c>
      <c r="P144" s="840">
        <v>202</v>
      </c>
      <c r="Q144" s="840">
        <v>326</v>
      </c>
      <c r="R144" s="840">
        <v>201</v>
      </c>
      <c r="S144" s="840">
        <v>103</v>
      </c>
      <c r="T144" s="840">
        <v>102</v>
      </c>
      <c r="U144" s="840">
        <v>279</v>
      </c>
      <c r="V144" s="840">
        <v>241</v>
      </c>
      <c r="W144" s="840">
        <v>175</v>
      </c>
      <c r="X144" s="840">
        <v>388</v>
      </c>
      <c r="Y144" s="840">
        <v>203</v>
      </c>
      <c r="Z144" s="850">
        <v>193</v>
      </c>
      <c r="AA144" s="850">
        <v>91</v>
      </c>
      <c r="AB144" s="851">
        <v>212</v>
      </c>
      <c r="AC144" s="851">
        <v>224</v>
      </c>
      <c r="AD144" s="851">
        <v>181</v>
      </c>
      <c r="AE144" s="851">
        <v>380</v>
      </c>
      <c r="AF144" s="851"/>
      <c r="AG144" s="851">
        <v>161</v>
      </c>
      <c r="AH144" s="851">
        <v>156</v>
      </c>
      <c r="AI144" s="851">
        <v>123</v>
      </c>
      <c r="AJ144" s="851"/>
      <c r="AK144" s="848">
        <f t="shared" si="11"/>
        <v>5684</v>
      </c>
      <c r="AL144" s="862">
        <v>43.256159213498499</v>
      </c>
      <c r="AM144" s="849">
        <f t="shared" si="13"/>
        <v>2458.6800896952545</v>
      </c>
      <c r="AN144" s="1150" t="s">
        <v>36</v>
      </c>
      <c r="AO144" s="421"/>
      <c r="AP144" s="421"/>
    </row>
    <row r="145" spans="1:42" ht="54" customHeight="1">
      <c r="A145" s="645">
        <v>124</v>
      </c>
      <c r="B145" s="645">
        <v>47</v>
      </c>
      <c r="C145" s="645" t="str">
        <f>'Chấm công KT'!C141</f>
        <v>04080</v>
      </c>
      <c r="D145" s="652" t="str">
        <f>'Chấm công KT'!D141</f>
        <v>T. Phan</v>
      </c>
      <c r="E145" s="652"/>
      <c r="F145" s="840">
        <v>172</v>
      </c>
      <c r="G145" s="840">
        <v>103</v>
      </c>
      <c r="H145" s="840">
        <v>64</v>
      </c>
      <c r="I145" s="840">
        <v>92</v>
      </c>
      <c r="J145" s="840">
        <v>38</v>
      </c>
      <c r="K145" s="840">
        <v>145</v>
      </c>
      <c r="L145" s="840">
        <v>159</v>
      </c>
      <c r="M145" s="840">
        <v>146</v>
      </c>
      <c r="N145" s="840">
        <v>238</v>
      </c>
      <c r="O145" s="840">
        <v>137</v>
      </c>
      <c r="P145" s="840">
        <v>92</v>
      </c>
      <c r="Q145" s="840">
        <v>333</v>
      </c>
      <c r="R145" s="840">
        <v>133</v>
      </c>
      <c r="S145" s="840">
        <v>86</v>
      </c>
      <c r="T145" s="840">
        <v>111</v>
      </c>
      <c r="U145" s="840">
        <v>201</v>
      </c>
      <c r="V145" s="840">
        <v>157</v>
      </c>
      <c r="W145" s="840">
        <v>103</v>
      </c>
      <c r="X145" s="840">
        <v>307</v>
      </c>
      <c r="Y145" s="840">
        <v>149</v>
      </c>
      <c r="Z145" s="850">
        <v>91</v>
      </c>
      <c r="AA145" s="850">
        <v>126</v>
      </c>
      <c r="AB145" s="851">
        <v>196</v>
      </c>
      <c r="AC145" s="851">
        <v>140</v>
      </c>
      <c r="AD145" s="851">
        <v>83</v>
      </c>
      <c r="AE145" s="851">
        <v>318</v>
      </c>
      <c r="AF145" s="851"/>
      <c r="AG145" s="851">
        <v>147</v>
      </c>
      <c r="AH145" s="851">
        <v>0</v>
      </c>
      <c r="AI145" s="851">
        <v>266</v>
      </c>
      <c r="AJ145" s="851"/>
      <c r="AK145" s="848">
        <f t="shared" si="11"/>
        <v>4333</v>
      </c>
      <c r="AL145" s="862">
        <v>43.256159213498499</v>
      </c>
      <c r="AM145" s="849">
        <f t="shared" si="13"/>
        <v>1874.28937872089</v>
      </c>
      <c r="AN145" s="1150" t="s">
        <v>36</v>
      </c>
      <c r="AO145" s="421"/>
      <c r="AP145" s="421"/>
    </row>
    <row r="146" spans="1:42" ht="54" customHeight="1">
      <c r="A146" s="645">
        <v>125</v>
      </c>
      <c r="B146" s="645">
        <v>48</v>
      </c>
      <c r="C146" s="645" t="str">
        <f>'Chấm công KT'!C142</f>
        <v>03634</v>
      </c>
      <c r="D146" s="652" t="str">
        <f>'Chấm công KT'!D142</f>
        <v>T . Cổ</v>
      </c>
      <c r="E146" s="652"/>
      <c r="F146" s="840">
        <v>141</v>
      </c>
      <c r="G146" s="840">
        <v>344</v>
      </c>
      <c r="H146" s="840">
        <v>134</v>
      </c>
      <c r="I146" s="840">
        <v>84</v>
      </c>
      <c r="J146" s="840">
        <v>171</v>
      </c>
      <c r="K146" s="840">
        <v>358</v>
      </c>
      <c r="L146" s="840">
        <v>144</v>
      </c>
      <c r="M146" s="840">
        <v>165</v>
      </c>
      <c r="N146" s="840">
        <v>248</v>
      </c>
      <c r="O146" s="840">
        <v>422</v>
      </c>
      <c r="P146" s="840">
        <v>0</v>
      </c>
      <c r="Q146" s="840">
        <v>413</v>
      </c>
      <c r="R146" s="840">
        <v>147</v>
      </c>
      <c r="S146" s="840">
        <v>199</v>
      </c>
      <c r="T146" s="840">
        <v>129</v>
      </c>
      <c r="U146" s="840">
        <v>219</v>
      </c>
      <c r="V146" s="840">
        <v>433</v>
      </c>
      <c r="W146" s="840">
        <v>99</v>
      </c>
      <c r="X146" s="840">
        <v>341</v>
      </c>
      <c r="Y146" s="840">
        <v>342</v>
      </c>
      <c r="Z146" s="850">
        <v>0</v>
      </c>
      <c r="AA146" s="850">
        <v>103</v>
      </c>
      <c r="AB146" s="851">
        <v>153</v>
      </c>
      <c r="AC146" s="851">
        <v>351</v>
      </c>
      <c r="AD146" s="851">
        <v>154</v>
      </c>
      <c r="AE146" s="851">
        <v>336</v>
      </c>
      <c r="AF146" s="851"/>
      <c r="AG146" s="851">
        <v>394</v>
      </c>
      <c r="AH146" s="851">
        <v>0</v>
      </c>
      <c r="AI146" s="851">
        <v>289</v>
      </c>
      <c r="AJ146" s="851"/>
      <c r="AK146" s="848">
        <f t="shared" si="11"/>
        <v>6313</v>
      </c>
      <c r="AL146" s="862">
        <v>43.256159213498499</v>
      </c>
      <c r="AM146" s="849">
        <f t="shared" si="13"/>
        <v>2730.7613311481605</v>
      </c>
      <c r="AN146" s="1150" t="s">
        <v>43</v>
      </c>
      <c r="AO146" s="421"/>
      <c r="AP146" s="421"/>
    </row>
    <row r="147" spans="1:42" ht="54" customHeight="1">
      <c r="A147" s="645">
        <v>126</v>
      </c>
      <c r="B147" s="645">
        <v>49</v>
      </c>
      <c r="C147" s="645" t="str">
        <f>'Chấm công KT'!C143</f>
        <v>03635</v>
      </c>
      <c r="D147" s="652" t="str">
        <f>'Chấm công KT'!D143</f>
        <v>N. Phim Pha</v>
      </c>
      <c r="E147" s="652"/>
      <c r="F147" s="840">
        <v>0</v>
      </c>
      <c r="G147" s="840">
        <v>0</v>
      </c>
      <c r="H147" s="840">
        <v>0</v>
      </c>
      <c r="I147" s="840">
        <v>69</v>
      </c>
      <c r="J147" s="840">
        <v>87</v>
      </c>
      <c r="K147" s="840">
        <v>182</v>
      </c>
      <c r="L147" s="840">
        <v>141</v>
      </c>
      <c r="M147" s="840">
        <v>199</v>
      </c>
      <c r="N147" s="840">
        <v>228</v>
      </c>
      <c r="O147" s="840">
        <v>142</v>
      </c>
      <c r="P147" s="840">
        <v>58</v>
      </c>
      <c r="Q147" s="840">
        <v>389</v>
      </c>
      <c r="R147" s="840">
        <v>213</v>
      </c>
      <c r="S147" s="840">
        <v>68</v>
      </c>
      <c r="T147" s="840">
        <v>123</v>
      </c>
      <c r="U147" s="840">
        <v>145</v>
      </c>
      <c r="V147" s="840">
        <v>177</v>
      </c>
      <c r="W147" s="840">
        <v>62</v>
      </c>
      <c r="X147" s="840">
        <v>282</v>
      </c>
      <c r="Y147" s="840">
        <v>164</v>
      </c>
      <c r="Z147" s="850">
        <v>56</v>
      </c>
      <c r="AA147" s="850">
        <v>116</v>
      </c>
      <c r="AB147" s="851">
        <v>136</v>
      </c>
      <c r="AC147" s="851">
        <v>161</v>
      </c>
      <c r="AD147" s="851">
        <v>44</v>
      </c>
      <c r="AE147" s="851">
        <v>316</v>
      </c>
      <c r="AF147" s="851"/>
      <c r="AG147" s="851">
        <v>227</v>
      </c>
      <c r="AH147" s="851">
        <v>54</v>
      </c>
      <c r="AI147" s="851">
        <v>85</v>
      </c>
      <c r="AJ147" s="851"/>
      <c r="AK147" s="848">
        <f t="shared" si="11"/>
        <v>3924</v>
      </c>
      <c r="AL147" s="862">
        <v>43.256159213498499</v>
      </c>
      <c r="AM147" s="849">
        <f t="shared" si="13"/>
        <v>1697.3716875376811</v>
      </c>
      <c r="AN147" s="1150" t="s">
        <v>43</v>
      </c>
      <c r="AO147" s="421"/>
      <c r="AP147" s="421"/>
    </row>
    <row r="148" spans="1:42" ht="54" customHeight="1">
      <c r="A148" s="645">
        <v>127</v>
      </c>
      <c r="B148" s="645">
        <v>50</v>
      </c>
      <c r="C148" s="645" t="str">
        <f>'Chấm công KT'!C144</f>
        <v>03636</v>
      </c>
      <c r="D148" s="652" t="str">
        <f>'Chấm công KT'!D144</f>
        <v xml:space="preserve">T. Xeng </v>
      </c>
      <c r="E148" s="652"/>
      <c r="F148" s="840">
        <v>90</v>
      </c>
      <c r="G148" s="840">
        <v>96</v>
      </c>
      <c r="H148" s="840">
        <v>66</v>
      </c>
      <c r="I148" s="840">
        <v>55</v>
      </c>
      <c r="J148" s="840">
        <v>75</v>
      </c>
      <c r="K148" s="840">
        <v>212</v>
      </c>
      <c r="L148" s="840">
        <v>143</v>
      </c>
      <c r="M148" s="840">
        <v>165</v>
      </c>
      <c r="N148" s="840">
        <v>263</v>
      </c>
      <c r="O148" s="840">
        <v>197</v>
      </c>
      <c r="P148" s="840">
        <v>112</v>
      </c>
      <c r="Q148" s="840">
        <v>379</v>
      </c>
      <c r="R148" s="840">
        <v>187</v>
      </c>
      <c r="S148" s="840">
        <v>93</v>
      </c>
      <c r="T148" s="840">
        <v>99</v>
      </c>
      <c r="U148" s="840">
        <v>188</v>
      </c>
      <c r="V148" s="840">
        <v>185</v>
      </c>
      <c r="W148" s="840">
        <v>93</v>
      </c>
      <c r="X148" s="840">
        <v>261</v>
      </c>
      <c r="Y148" s="840">
        <v>176</v>
      </c>
      <c r="Z148" s="850">
        <v>81</v>
      </c>
      <c r="AA148" s="850">
        <v>121</v>
      </c>
      <c r="AB148" s="851">
        <v>179</v>
      </c>
      <c r="AC148" s="851">
        <v>194</v>
      </c>
      <c r="AD148" s="851">
        <v>112</v>
      </c>
      <c r="AE148" s="851">
        <v>265</v>
      </c>
      <c r="AF148" s="851"/>
      <c r="AG148" s="851">
        <v>209</v>
      </c>
      <c r="AH148" s="851">
        <v>86</v>
      </c>
      <c r="AI148" s="851">
        <v>78</v>
      </c>
      <c r="AJ148" s="851"/>
      <c r="AK148" s="848">
        <f t="shared" si="11"/>
        <v>4460</v>
      </c>
      <c r="AL148" s="862">
        <v>43.256159213498499</v>
      </c>
      <c r="AM148" s="849">
        <f t="shared" si="13"/>
        <v>1929.224700922033</v>
      </c>
      <c r="AN148" s="1150" t="s">
        <v>43</v>
      </c>
      <c r="AO148" s="421"/>
      <c r="AP148" s="421"/>
    </row>
    <row r="149" spans="1:42" ht="54" customHeight="1">
      <c r="A149" s="645">
        <v>128</v>
      </c>
      <c r="B149" s="645">
        <v>51</v>
      </c>
      <c r="C149" s="645" t="str">
        <f>'Chấm công KT'!C145</f>
        <v>03637</v>
      </c>
      <c r="D149" s="652" t="str">
        <f>'Chấm công KT'!D145</f>
        <v>T. Vạt</v>
      </c>
      <c r="E149" s="652"/>
      <c r="F149" s="840">
        <v>142</v>
      </c>
      <c r="G149" s="840">
        <v>123</v>
      </c>
      <c r="H149" s="840">
        <v>87</v>
      </c>
      <c r="I149" s="840">
        <v>73</v>
      </c>
      <c r="J149" s="840">
        <v>18</v>
      </c>
      <c r="K149" s="840">
        <v>174</v>
      </c>
      <c r="L149" s="840">
        <v>128</v>
      </c>
      <c r="M149" s="840">
        <v>164</v>
      </c>
      <c r="N149" s="840">
        <v>256</v>
      </c>
      <c r="O149" s="840">
        <v>175</v>
      </c>
      <c r="P149" s="840">
        <v>66</v>
      </c>
      <c r="Q149" s="840">
        <v>443</v>
      </c>
      <c r="R149" s="840">
        <v>133</v>
      </c>
      <c r="S149" s="840">
        <v>84</v>
      </c>
      <c r="T149" s="840">
        <v>95</v>
      </c>
      <c r="U149" s="840">
        <v>218</v>
      </c>
      <c r="V149" s="840">
        <v>183</v>
      </c>
      <c r="W149" s="840">
        <v>92</v>
      </c>
      <c r="X149" s="840">
        <v>399</v>
      </c>
      <c r="Y149" s="840">
        <v>160</v>
      </c>
      <c r="Z149" s="850">
        <v>81</v>
      </c>
      <c r="AA149" s="850">
        <v>129</v>
      </c>
      <c r="AB149" s="851">
        <v>240</v>
      </c>
      <c r="AC149" s="851">
        <v>157</v>
      </c>
      <c r="AD149" s="851">
        <v>83</v>
      </c>
      <c r="AE149" s="851">
        <v>343</v>
      </c>
      <c r="AF149" s="851"/>
      <c r="AG149" s="851">
        <v>205</v>
      </c>
      <c r="AH149" s="851">
        <v>0</v>
      </c>
      <c r="AI149" s="851">
        <v>96</v>
      </c>
      <c r="AJ149" s="851"/>
      <c r="AK149" s="848">
        <f t="shared" si="11"/>
        <v>4547</v>
      </c>
      <c r="AL149" s="862">
        <v>43.256159213498499</v>
      </c>
      <c r="AM149" s="849">
        <f t="shared" si="13"/>
        <v>1966.8575594377769</v>
      </c>
      <c r="AN149" s="1150" t="s">
        <v>43</v>
      </c>
      <c r="AO149" s="421"/>
      <c r="AP149" s="421"/>
    </row>
    <row r="150" spans="1:42" ht="54" customHeight="1">
      <c r="A150" s="645">
        <v>129</v>
      </c>
      <c r="B150" s="645">
        <v>52</v>
      </c>
      <c r="C150" s="645" t="str">
        <f>'Chấm công KT'!C146</f>
        <v>03638</v>
      </c>
      <c r="D150" s="652" t="str">
        <f>'Chấm công KT'!D146</f>
        <v>T. Lay</v>
      </c>
      <c r="E150" s="652"/>
      <c r="F150" s="840">
        <v>126</v>
      </c>
      <c r="G150" s="840">
        <v>107</v>
      </c>
      <c r="H150" s="840">
        <v>228</v>
      </c>
      <c r="I150" s="840">
        <v>100</v>
      </c>
      <c r="J150" s="840">
        <v>100</v>
      </c>
      <c r="K150" s="840">
        <v>188</v>
      </c>
      <c r="L150" s="840">
        <v>183</v>
      </c>
      <c r="M150" s="840">
        <v>155</v>
      </c>
      <c r="N150" s="840">
        <v>289</v>
      </c>
      <c r="O150" s="840">
        <v>150</v>
      </c>
      <c r="P150" s="840">
        <v>166</v>
      </c>
      <c r="Q150" s="840">
        <v>377</v>
      </c>
      <c r="R150" s="840">
        <v>157</v>
      </c>
      <c r="S150" s="840">
        <v>130</v>
      </c>
      <c r="T150" s="840">
        <v>0</v>
      </c>
      <c r="U150" s="840">
        <v>150</v>
      </c>
      <c r="V150" s="840">
        <v>90</v>
      </c>
      <c r="W150" s="840">
        <v>148</v>
      </c>
      <c r="X150" s="840">
        <v>267</v>
      </c>
      <c r="Y150" s="840">
        <v>0</v>
      </c>
      <c r="Z150" s="850">
        <v>99</v>
      </c>
      <c r="AA150" s="850">
        <v>94</v>
      </c>
      <c r="AB150" s="851">
        <v>111</v>
      </c>
      <c r="AC150" s="851">
        <v>141</v>
      </c>
      <c r="AD150" s="851">
        <v>0</v>
      </c>
      <c r="AE150" s="851">
        <v>252</v>
      </c>
      <c r="AF150" s="851"/>
      <c r="AG150" s="851">
        <v>163</v>
      </c>
      <c r="AH150" s="851">
        <v>116</v>
      </c>
      <c r="AI150" s="851">
        <v>0</v>
      </c>
      <c r="AJ150" s="851"/>
      <c r="AK150" s="848">
        <f t="shared" si="11"/>
        <v>4087</v>
      </c>
      <c r="AL150" s="862">
        <v>43.256159213498499</v>
      </c>
      <c r="AM150" s="849">
        <f t="shared" si="13"/>
        <v>1767.8792270556837</v>
      </c>
      <c r="AN150" s="1150" t="s">
        <v>36</v>
      </c>
      <c r="AO150" s="421"/>
      <c r="AP150" s="421"/>
    </row>
    <row r="151" spans="1:42" ht="54" customHeight="1">
      <c r="A151" s="645">
        <v>130</v>
      </c>
      <c r="B151" s="645">
        <v>53</v>
      </c>
      <c r="C151" s="645" t="str">
        <f>'Chấm công KT'!C147</f>
        <v>04081</v>
      </c>
      <c r="D151" s="652" t="str">
        <f>'Chấm công KT'!D147</f>
        <v>N. Nọi</v>
      </c>
      <c r="E151" s="652"/>
      <c r="F151" s="840">
        <v>125</v>
      </c>
      <c r="G151" s="840">
        <v>106</v>
      </c>
      <c r="H151" s="840">
        <v>229</v>
      </c>
      <c r="I151" s="840">
        <v>106</v>
      </c>
      <c r="J151" s="840">
        <v>129</v>
      </c>
      <c r="K151" s="840">
        <v>179</v>
      </c>
      <c r="L151" s="840">
        <v>192</v>
      </c>
      <c r="M151" s="840">
        <v>142</v>
      </c>
      <c r="N151" s="840">
        <v>289</v>
      </c>
      <c r="O151" s="840">
        <v>133</v>
      </c>
      <c r="P151" s="840">
        <v>172</v>
      </c>
      <c r="Q151" s="840">
        <v>335</v>
      </c>
      <c r="R151" s="840">
        <v>117</v>
      </c>
      <c r="S151" s="840">
        <v>117</v>
      </c>
      <c r="T151" s="840">
        <v>0</v>
      </c>
      <c r="U151" s="840">
        <v>157</v>
      </c>
      <c r="V151" s="840">
        <v>94</v>
      </c>
      <c r="W151" s="840">
        <v>142</v>
      </c>
      <c r="X151" s="840">
        <v>297</v>
      </c>
      <c r="Y151" s="840">
        <v>0</v>
      </c>
      <c r="Z151" s="850">
        <v>98</v>
      </c>
      <c r="AA151" s="850">
        <v>100</v>
      </c>
      <c r="AB151" s="851">
        <v>107</v>
      </c>
      <c r="AC151" s="851">
        <v>178</v>
      </c>
      <c r="AD151" s="851">
        <v>0</v>
      </c>
      <c r="AE151" s="851">
        <v>276</v>
      </c>
      <c r="AF151" s="851"/>
      <c r="AG151" s="851">
        <v>167</v>
      </c>
      <c r="AH151" s="851">
        <v>178</v>
      </c>
      <c r="AI151" s="851">
        <v>0</v>
      </c>
      <c r="AJ151" s="851"/>
      <c r="AK151" s="848">
        <f t="shared" si="11"/>
        <v>4165</v>
      </c>
      <c r="AL151" s="862">
        <v>43.256159213498499</v>
      </c>
      <c r="AM151" s="849">
        <f t="shared" si="13"/>
        <v>1801.6190312422125</v>
      </c>
      <c r="AN151" s="1150" t="s">
        <v>36</v>
      </c>
      <c r="AO151" s="421"/>
      <c r="AP151" s="421"/>
    </row>
    <row r="152" spans="1:42" ht="54" customHeight="1">
      <c r="A152" s="645">
        <v>131</v>
      </c>
      <c r="B152" s="645">
        <v>54</v>
      </c>
      <c r="C152" s="645" t="str">
        <f>'Chấm công KT'!C148</f>
        <v>04082</v>
      </c>
      <c r="D152" s="652" t="str">
        <f>'Chấm công KT'!D148</f>
        <v>T Bun Xi</v>
      </c>
      <c r="E152" s="652"/>
      <c r="F152" s="840">
        <v>127</v>
      </c>
      <c r="G152" s="840">
        <v>130</v>
      </c>
      <c r="H152" s="840">
        <v>0</v>
      </c>
      <c r="I152" s="840">
        <v>106</v>
      </c>
      <c r="J152" s="840">
        <v>160</v>
      </c>
      <c r="K152" s="840">
        <v>318</v>
      </c>
      <c r="L152" s="840">
        <v>0</v>
      </c>
      <c r="M152" s="840">
        <v>161</v>
      </c>
      <c r="N152" s="840">
        <v>257</v>
      </c>
      <c r="O152" s="840">
        <v>186</v>
      </c>
      <c r="P152" s="840">
        <v>184</v>
      </c>
      <c r="Q152" s="840">
        <v>332</v>
      </c>
      <c r="R152" s="840">
        <v>180</v>
      </c>
      <c r="S152" s="840">
        <v>53</v>
      </c>
      <c r="T152" s="840">
        <v>132</v>
      </c>
      <c r="U152" s="840">
        <v>163</v>
      </c>
      <c r="V152" s="840">
        <v>206</v>
      </c>
      <c r="W152" s="840">
        <v>65</v>
      </c>
      <c r="X152" s="840">
        <v>197</v>
      </c>
      <c r="Y152" s="840">
        <v>153</v>
      </c>
      <c r="Z152" s="850">
        <v>0</v>
      </c>
      <c r="AA152" s="850">
        <v>107</v>
      </c>
      <c r="AB152" s="851">
        <v>170</v>
      </c>
      <c r="AC152" s="851">
        <v>158</v>
      </c>
      <c r="AD152" s="851">
        <v>84</v>
      </c>
      <c r="AE152" s="851">
        <v>321</v>
      </c>
      <c r="AF152" s="851"/>
      <c r="AG152" s="851">
        <v>250</v>
      </c>
      <c r="AH152" s="851">
        <v>0</v>
      </c>
      <c r="AI152" s="851">
        <v>70</v>
      </c>
      <c r="AJ152" s="851"/>
      <c r="AK152" s="848">
        <f t="shared" si="11"/>
        <v>4270</v>
      </c>
      <c r="AL152" s="862">
        <v>43.256159213498499</v>
      </c>
      <c r="AM152" s="849">
        <f t="shared" si="13"/>
        <v>1847.037998416386</v>
      </c>
      <c r="AN152" s="1150" t="s">
        <v>43</v>
      </c>
      <c r="AO152" s="421"/>
      <c r="AP152" s="421"/>
    </row>
    <row r="153" spans="1:42" ht="54" customHeight="1">
      <c r="A153" s="645">
        <v>132</v>
      </c>
      <c r="B153" s="645">
        <v>55</v>
      </c>
      <c r="C153" s="645" t="str">
        <f>'Chấm công KT'!C149</f>
        <v>04083</v>
      </c>
      <c r="D153" s="652" t="str">
        <f>'Chấm công KT'!D149</f>
        <v>N. Bù</v>
      </c>
      <c r="E153" s="652"/>
      <c r="F153" s="840">
        <v>129</v>
      </c>
      <c r="G153" s="840">
        <v>131</v>
      </c>
      <c r="H153" s="840">
        <v>0</v>
      </c>
      <c r="I153" s="840">
        <v>70</v>
      </c>
      <c r="J153" s="840">
        <v>109</v>
      </c>
      <c r="K153" s="840">
        <v>224</v>
      </c>
      <c r="L153" s="840">
        <v>128</v>
      </c>
      <c r="M153" s="840">
        <v>155</v>
      </c>
      <c r="N153" s="840">
        <v>227</v>
      </c>
      <c r="O153" s="840">
        <v>240</v>
      </c>
      <c r="P153" s="840">
        <v>92</v>
      </c>
      <c r="Q153" s="840">
        <v>327</v>
      </c>
      <c r="R153" s="840">
        <v>139</v>
      </c>
      <c r="S153" s="840">
        <v>103</v>
      </c>
      <c r="T153" s="840">
        <v>101</v>
      </c>
      <c r="U153" s="840">
        <v>161</v>
      </c>
      <c r="V153" s="840">
        <v>160</v>
      </c>
      <c r="W153" s="840">
        <v>0</v>
      </c>
      <c r="X153" s="840">
        <v>187</v>
      </c>
      <c r="Y153" s="840">
        <v>142</v>
      </c>
      <c r="Z153" s="850">
        <v>0</v>
      </c>
      <c r="AA153" s="850">
        <v>90</v>
      </c>
      <c r="AB153" s="851">
        <v>159</v>
      </c>
      <c r="AC153" s="851">
        <v>0</v>
      </c>
      <c r="AD153" s="851">
        <v>148</v>
      </c>
      <c r="AE153" s="851">
        <v>288</v>
      </c>
      <c r="AF153" s="851"/>
      <c r="AG153" s="851">
        <v>158</v>
      </c>
      <c r="AH153" s="851">
        <v>0</v>
      </c>
      <c r="AI153" s="851">
        <v>131</v>
      </c>
      <c r="AJ153" s="851"/>
      <c r="AK153" s="848">
        <f t="shared" si="11"/>
        <v>3799</v>
      </c>
      <c r="AL153" s="862">
        <v>43.256159213498499</v>
      </c>
      <c r="AM153" s="849">
        <f t="shared" si="13"/>
        <v>1643.3014885208081</v>
      </c>
      <c r="AN153" s="1150" t="s">
        <v>36</v>
      </c>
      <c r="AO153" s="421"/>
      <c r="AP153" s="421"/>
    </row>
    <row r="154" spans="1:42" ht="54" customHeight="1">
      <c r="A154" s="645">
        <v>133</v>
      </c>
      <c r="B154" s="645">
        <v>56</v>
      </c>
      <c r="C154" s="645" t="str">
        <f>'Chấm công KT'!C150</f>
        <v>03642</v>
      </c>
      <c r="D154" s="652" t="str">
        <f>'Chấm công KT'!D150</f>
        <v>T. Xơn</v>
      </c>
      <c r="E154" s="652"/>
      <c r="F154" s="840">
        <v>126</v>
      </c>
      <c r="G154" s="840">
        <v>129</v>
      </c>
      <c r="H154" s="840">
        <v>0</v>
      </c>
      <c r="I154" s="840">
        <v>112</v>
      </c>
      <c r="J154" s="840">
        <v>126</v>
      </c>
      <c r="K154" s="840">
        <v>265</v>
      </c>
      <c r="L154" s="840">
        <v>0</v>
      </c>
      <c r="M154" s="840">
        <v>148</v>
      </c>
      <c r="N154" s="840">
        <v>250</v>
      </c>
      <c r="O154" s="840">
        <v>179</v>
      </c>
      <c r="P154" s="840">
        <v>203</v>
      </c>
      <c r="Q154" s="840">
        <v>333</v>
      </c>
      <c r="R154" s="840">
        <v>174</v>
      </c>
      <c r="S154" s="840">
        <v>65</v>
      </c>
      <c r="T154" s="840">
        <v>104</v>
      </c>
      <c r="U154" s="840">
        <v>178</v>
      </c>
      <c r="V154" s="840">
        <v>217</v>
      </c>
      <c r="W154" s="840">
        <v>52</v>
      </c>
      <c r="X154" s="840">
        <v>263</v>
      </c>
      <c r="Y154" s="840">
        <v>153</v>
      </c>
      <c r="Z154" s="850">
        <v>0</v>
      </c>
      <c r="AA154" s="850">
        <v>104</v>
      </c>
      <c r="AB154" s="851">
        <v>160</v>
      </c>
      <c r="AC154" s="851">
        <v>152</v>
      </c>
      <c r="AD154" s="851">
        <v>98</v>
      </c>
      <c r="AE154" s="851">
        <v>299</v>
      </c>
      <c r="AF154" s="851"/>
      <c r="AG154" s="851">
        <v>241</v>
      </c>
      <c r="AH154" s="851">
        <v>0</v>
      </c>
      <c r="AI154" s="851">
        <v>70</v>
      </c>
      <c r="AJ154" s="851"/>
      <c r="AK154" s="848">
        <f t="shared" si="11"/>
        <v>4201</v>
      </c>
      <c r="AL154" s="862">
        <v>43.256159213498499</v>
      </c>
      <c r="AM154" s="849">
        <f t="shared" si="13"/>
        <v>1817.1912485590719</v>
      </c>
      <c r="AN154" s="1150" t="s">
        <v>36</v>
      </c>
      <c r="AO154" s="421"/>
      <c r="AP154" s="421"/>
    </row>
    <row r="155" spans="1:42" ht="54" customHeight="1">
      <c r="A155" s="645">
        <v>134</v>
      </c>
      <c r="B155" s="645">
        <v>57</v>
      </c>
      <c r="C155" s="645" t="str">
        <f>'Chấm công KT'!C151</f>
        <v>04084</v>
      </c>
      <c r="D155" s="652" t="str">
        <f>'Chấm công KT'!D151</f>
        <v>T. Thi</v>
      </c>
      <c r="E155" s="652"/>
      <c r="F155" s="840">
        <v>81</v>
      </c>
      <c r="G155" s="840">
        <v>168</v>
      </c>
      <c r="H155" s="840">
        <v>48</v>
      </c>
      <c r="I155" s="840">
        <v>149</v>
      </c>
      <c r="J155" s="840">
        <v>113</v>
      </c>
      <c r="K155" s="840">
        <v>309</v>
      </c>
      <c r="L155" s="840">
        <v>40</v>
      </c>
      <c r="M155" s="840">
        <v>180</v>
      </c>
      <c r="N155" s="840">
        <v>249</v>
      </c>
      <c r="O155" s="840">
        <v>258</v>
      </c>
      <c r="P155" s="840">
        <v>96</v>
      </c>
      <c r="Q155" s="840">
        <v>398</v>
      </c>
      <c r="R155" s="840">
        <v>211</v>
      </c>
      <c r="S155" s="840">
        <v>100</v>
      </c>
      <c r="T155" s="840">
        <v>153</v>
      </c>
      <c r="U155" s="840">
        <v>181</v>
      </c>
      <c r="V155" s="840">
        <v>216</v>
      </c>
      <c r="W155" s="840">
        <v>73</v>
      </c>
      <c r="X155" s="840">
        <v>320</v>
      </c>
      <c r="Y155" s="840">
        <v>191</v>
      </c>
      <c r="Z155" s="850">
        <v>0</v>
      </c>
      <c r="AA155" s="850">
        <v>133</v>
      </c>
      <c r="AB155" s="851">
        <v>159</v>
      </c>
      <c r="AC155" s="851">
        <v>197</v>
      </c>
      <c r="AD155" s="851">
        <v>120</v>
      </c>
      <c r="AE155" s="851">
        <v>301</v>
      </c>
      <c r="AF155" s="851"/>
      <c r="AG155" s="851">
        <v>333</v>
      </c>
      <c r="AH155" s="851">
        <v>0</v>
      </c>
      <c r="AI155" s="851">
        <v>95</v>
      </c>
      <c r="AJ155" s="851"/>
      <c r="AK155" s="848">
        <f t="shared" si="11"/>
        <v>4872</v>
      </c>
      <c r="AL155" s="862">
        <v>43.256159213498499</v>
      </c>
      <c r="AM155" s="849">
        <f t="shared" si="13"/>
        <v>2107.4400768816467</v>
      </c>
      <c r="AN155" s="1150" t="s">
        <v>36</v>
      </c>
      <c r="AO155" s="421"/>
      <c r="AP155" s="421"/>
    </row>
    <row r="156" spans="1:42" ht="54" customHeight="1">
      <c r="A156" s="645">
        <v>135</v>
      </c>
      <c r="B156" s="645">
        <v>58</v>
      </c>
      <c r="C156" s="645" t="str">
        <f>'Chấm công KT'!C152</f>
        <v>04085</v>
      </c>
      <c r="D156" s="652" t="str">
        <f>'Chấm công KT'!D152</f>
        <v>On chay</v>
      </c>
      <c r="E156" s="652"/>
      <c r="F156" s="840">
        <v>112</v>
      </c>
      <c r="G156" s="840">
        <v>154</v>
      </c>
      <c r="H156" s="840">
        <v>86</v>
      </c>
      <c r="I156" s="840">
        <v>98</v>
      </c>
      <c r="J156" s="840">
        <v>0</v>
      </c>
      <c r="K156" s="840">
        <v>212</v>
      </c>
      <c r="L156" s="840">
        <v>106</v>
      </c>
      <c r="M156" s="840">
        <v>176</v>
      </c>
      <c r="N156" s="840">
        <v>235</v>
      </c>
      <c r="O156" s="840">
        <v>192</v>
      </c>
      <c r="P156" s="840">
        <v>99</v>
      </c>
      <c r="Q156" s="840">
        <v>402</v>
      </c>
      <c r="R156" s="840">
        <v>177</v>
      </c>
      <c r="S156" s="840">
        <v>73</v>
      </c>
      <c r="T156" s="840">
        <v>164</v>
      </c>
      <c r="U156" s="840">
        <v>216</v>
      </c>
      <c r="V156" s="840">
        <v>170</v>
      </c>
      <c r="W156" s="840">
        <v>0</v>
      </c>
      <c r="X156" s="840">
        <v>313</v>
      </c>
      <c r="Y156" s="840">
        <v>166</v>
      </c>
      <c r="Z156" s="850">
        <v>133</v>
      </c>
      <c r="AA156" s="850">
        <v>101</v>
      </c>
      <c r="AB156" s="851">
        <v>141</v>
      </c>
      <c r="AC156" s="851">
        <v>143</v>
      </c>
      <c r="AD156" s="851">
        <v>79</v>
      </c>
      <c r="AE156" s="851">
        <v>276</v>
      </c>
      <c r="AF156" s="851"/>
      <c r="AG156" s="851">
        <v>238</v>
      </c>
      <c r="AH156" s="851">
        <v>84</v>
      </c>
      <c r="AI156" s="851">
        <v>127</v>
      </c>
      <c r="AJ156" s="851"/>
      <c r="AK156" s="848">
        <f t="shared" si="11"/>
        <v>4473</v>
      </c>
      <c r="AL156" s="862">
        <v>43.256159213498499</v>
      </c>
      <c r="AM156" s="849">
        <f t="shared" si="13"/>
        <v>1934.8480016197877</v>
      </c>
      <c r="AN156" s="1150" t="s">
        <v>36</v>
      </c>
      <c r="AO156" s="421"/>
      <c r="AP156" s="421"/>
    </row>
    <row r="157" spans="1:42" ht="54" customHeight="1">
      <c r="A157" s="645">
        <v>136</v>
      </c>
      <c r="B157" s="645">
        <v>59</v>
      </c>
      <c r="C157" s="645"/>
      <c r="D157" s="652" t="str">
        <f>'Chấm công KT'!D153</f>
        <v>T. Thong</v>
      </c>
      <c r="E157" s="652"/>
      <c r="F157" s="852">
        <v>62</v>
      </c>
      <c r="G157" s="852">
        <v>102</v>
      </c>
      <c r="H157" s="852">
        <v>48</v>
      </c>
      <c r="I157" s="852">
        <v>50</v>
      </c>
      <c r="J157" s="852">
        <v>86</v>
      </c>
      <c r="K157" s="852">
        <v>90</v>
      </c>
      <c r="L157" s="852">
        <v>63</v>
      </c>
      <c r="M157" s="852">
        <v>0</v>
      </c>
      <c r="N157" s="852">
        <v>72</v>
      </c>
      <c r="O157" s="852">
        <v>0</v>
      </c>
      <c r="P157" s="852">
        <v>0</v>
      </c>
      <c r="Q157" s="852">
        <v>58</v>
      </c>
      <c r="R157" s="853">
        <v>106</v>
      </c>
      <c r="S157" s="853">
        <v>0</v>
      </c>
      <c r="T157" s="853">
        <v>0</v>
      </c>
      <c r="U157" s="853">
        <v>0</v>
      </c>
      <c r="V157" s="853">
        <v>0</v>
      </c>
      <c r="W157" s="853">
        <v>0</v>
      </c>
      <c r="X157" s="853">
        <v>0</v>
      </c>
      <c r="Y157" s="853">
        <v>0</v>
      </c>
      <c r="Z157" s="853">
        <v>0</v>
      </c>
      <c r="AA157" s="853">
        <v>0</v>
      </c>
      <c r="AB157" s="853">
        <v>0</v>
      </c>
      <c r="AC157" s="853">
        <v>0</v>
      </c>
      <c r="AD157" s="853">
        <v>52</v>
      </c>
      <c r="AE157" s="853">
        <v>0</v>
      </c>
      <c r="AF157" s="853"/>
      <c r="AG157" s="853">
        <v>144</v>
      </c>
      <c r="AH157" s="853">
        <v>0</v>
      </c>
      <c r="AI157" s="853">
        <v>62</v>
      </c>
      <c r="AJ157" s="854"/>
      <c r="AK157" s="848">
        <f t="shared" ref="AK157:AK158" si="14">SUM(F157:AJ157)</f>
        <v>995</v>
      </c>
      <c r="AL157" s="862">
        <v>43.256159213498499</v>
      </c>
      <c r="AM157" s="849">
        <f t="shared" si="13"/>
        <v>430.39878417431004</v>
      </c>
      <c r="AN157" s="1101" t="s">
        <v>374</v>
      </c>
      <c r="AO157" s="421"/>
      <c r="AP157" s="421"/>
    </row>
    <row r="158" spans="1:42" ht="54" customHeight="1">
      <c r="A158" s="645">
        <v>137</v>
      </c>
      <c r="B158" s="645">
        <v>60</v>
      </c>
      <c r="C158" s="645"/>
      <c r="D158" s="652" t="str">
        <f>'Chấm công KT'!D154</f>
        <v>T. Khách</v>
      </c>
      <c r="E158" s="652"/>
      <c r="F158" s="852">
        <v>52</v>
      </c>
      <c r="G158" s="852">
        <v>132</v>
      </c>
      <c r="H158" s="852">
        <v>88</v>
      </c>
      <c r="I158" s="852">
        <v>96</v>
      </c>
      <c r="J158" s="852">
        <v>68</v>
      </c>
      <c r="K158" s="852">
        <v>0</v>
      </c>
      <c r="L158" s="852">
        <v>61</v>
      </c>
      <c r="M158" s="852">
        <v>0</v>
      </c>
      <c r="N158" s="852">
        <v>0</v>
      </c>
      <c r="O158" s="852">
        <v>0</v>
      </c>
      <c r="P158" s="852">
        <v>0</v>
      </c>
      <c r="Q158" s="852">
        <v>0</v>
      </c>
      <c r="R158" s="853">
        <v>0</v>
      </c>
      <c r="S158" s="853">
        <v>0</v>
      </c>
      <c r="T158" s="853">
        <v>0</v>
      </c>
      <c r="U158" s="853">
        <v>0</v>
      </c>
      <c r="V158" s="853">
        <v>0</v>
      </c>
      <c r="W158" s="853">
        <v>0</v>
      </c>
      <c r="X158" s="853">
        <v>0</v>
      </c>
      <c r="Y158" s="853">
        <v>0</v>
      </c>
      <c r="Z158" s="853">
        <v>0</v>
      </c>
      <c r="AA158" s="853">
        <v>0</v>
      </c>
      <c r="AB158" s="853">
        <v>0</v>
      </c>
      <c r="AC158" s="853">
        <v>0</v>
      </c>
      <c r="AD158" s="853">
        <v>0</v>
      </c>
      <c r="AE158" s="853">
        <v>0</v>
      </c>
      <c r="AF158" s="853"/>
      <c r="AG158" s="853">
        <v>113</v>
      </c>
      <c r="AH158" s="853">
        <v>0</v>
      </c>
      <c r="AI158" s="853">
        <v>0</v>
      </c>
      <c r="AJ158" s="854"/>
      <c r="AK158" s="848">
        <f t="shared" si="14"/>
        <v>610</v>
      </c>
      <c r="AL158" s="862">
        <v>43.256159213498499</v>
      </c>
      <c r="AM158" s="849">
        <f t="shared" si="13"/>
        <v>263.86257120234086</v>
      </c>
      <c r="AN158" s="1101" t="s">
        <v>374</v>
      </c>
      <c r="AO158" s="421"/>
      <c r="AP158" s="421"/>
    </row>
    <row r="159" spans="1:42" ht="54" customHeight="1">
      <c r="A159" s="645">
        <v>138</v>
      </c>
      <c r="B159" s="645">
        <v>61</v>
      </c>
      <c r="C159" s="645"/>
      <c r="D159" s="652" t="str">
        <f>'Chấm công KT'!D155</f>
        <v>Nang On Xi</v>
      </c>
      <c r="E159" s="652"/>
      <c r="F159" s="852">
        <v>0</v>
      </c>
      <c r="G159" s="852">
        <v>0</v>
      </c>
      <c r="H159" s="852">
        <v>85</v>
      </c>
      <c r="I159" s="852">
        <v>95</v>
      </c>
      <c r="J159" s="852">
        <v>0</v>
      </c>
      <c r="K159" s="852">
        <v>0</v>
      </c>
      <c r="L159" s="852">
        <v>0</v>
      </c>
      <c r="M159" s="852">
        <v>0</v>
      </c>
      <c r="N159" s="852">
        <v>0</v>
      </c>
      <c r="O159" s="852">
        <v>43</v>
      </c>
      <c r="P159" s="852">
        <v>0</v>
      </c>
      <c r="Q159" s="852">
        <v>0</v>
      </c>
      <c r="R159" s="853">
        <v>0</v>
      </c>
      <c r="S159" s="853">
        <v>0</v>
      </c>
      <c r="T159" s="853">
        <v>0</v>
      </c>
      <c r="U159" s="853">
        <v>0</v>
      </c>
      <c r="V159" s="853">
        <v>0</v>
      </c>
      <c r="W159" s="853">
        <v>0</v>
      </c>
      <c r="X159" s="853">
        <v>0</v>
      </c>
      <c r="Y159" s="853">
        <v>0</v>
      </c>
      <c r="Z159" s="853">
        <v>0</v>
      </c>
      <c r="AA159" s="853">
        <v>0</v>
      </c>
      <c r="AB159" s="853">
        <v>0</v>
      </c>
      <c r="AC159" s="853">
        <v>0</v>
      </c>
      <c r="AD159" s="853">
        <v>0</v>
      </c>
      <c r="AE159" s="853">
        <v>0</v>
      </c>
      <c r="AF159" s="853"/>
      <c r="AG159" s="853">
        <v>99</v>
      </c>
      <c r="AH159" s="853">
        <v>0</v>
      </c>
      <c r="AI159" s="853">
        <v>0</v>
      </c>
      <c r="AJ159" s="854"/>
      <c r="AK159" s="848">
        <f t="shared" ref="AK159" si="15">SUM(F159:AJ159)</f>
        <v>322</v>
      </c>
      <c r="AL159" s="862">
        <v>43.256159213498499</v>
      </c>
      <c r="AM159" s="849">
        <f t="shared" ref="AM159" si="16">AK159*AL159/100</f>
        <v>139.28483266746517</v>
      </c>
      <c r="AN159" s="1101" t="s">
        <v>374</v>
      </c>
      <c r="AO159" s="421"/>
      <c r="AP159" s="421"/>
    </row>
    <row r="160" spans="1:42" ht="54" customHeight="1">
      <c r="A160" s="645">
        <v>139</v>
      </c>
      <c r="B160" s="645">
        <v>62</v>
      </c>
      <c r="C160" s="645"/>
      <c r="D160" s="652" t="str">
        <f>'Chấm công KT'!D156</f>
        <v>Thảo Túc</v>
      </c>
      <c r="E160" s="652"/>
      <c r="F160" s="852">
        <v>0</v>
      </c>
      <c r="G160" s="852">
        <v>0</v>
      </c>
      <c r="H160" s="852">
        <v>80</v>
      </c>
      <c r="I160" s="852">
        <v>94</v>
      </c>
      <c r="J160" s="852">
        <v>0</v>
      </c>
      <c r="K160" s="852">
        <v>0</v>
      </c>
      <c r="L160" s="852">
        <v>0</v>
      </c>
      <c r="M160" s="852">
        <v>0</v>
      </c>
      <c r="N160" s="852">
        <v>0</v>
      </c>
      <c r="O160" s="852">
        <v>50</v>
      </c>
      <c r="P160" s="852">
        <v>0</v>
      </c>
      <c r="Q160" s="852">
        <v>0</v>
      </c>
      <c r="R160" s="853">
        <v>0</v>
      </c>
      <c r="S160" s="853">
        <v>0</v>
      </c>
      <c r="T160" s="853">
        <v>0</v>
      </c>
      <c r="U160" s="853">
        <v>0</v>
      </c>
      <c r="V160" s="853">
        <v>0</v>
      </c>
      <c r="W160" s="853">
        <v>0</v>
      </c>
      <c r="X160" s="853">
        <v>0</v>
      </c>
      <c r="Y160" s="853">
        <v>0</v>
      </c>
      <c r="Z160" s="853">
        <v>0</v>
      </c>
      <c r="AA160" s="853">
        <v>0</v>
      </c>
      <c r="AB160" s="853">
        <v>0</v>
      </c>
      <c r="AC160" s="853">
        <v>0</v>
      </c>
      <c r="AD160" s="853">
        <v>0</v>
      </c>
      <c r="AE160" s="853">
        <v>0</v>
      </c>
      <c r="AF160" s="853"/>
      <c r="AG160" s="853">
        <v>0</v>
      </c>
      <c r="AH160" s="853">
        <v>0</v>
      </c>
      <c r="AI160" s="853">
        <v>0</v>
      </c>
      <c r="AJ160" s="854"/>
      <c r="AK160" s="848">
        <f t="shared" ref="AK160" si="17">SUM(F160:AJ160)</f>
        <v>224</v>
      </c>
      <c r="AL160" s="862">
        <v>43.256159213498499</v>
      </c>
      <c r="AM160" s="849">
        <f t="shared" si="13"/>
        <v>96.893796638236637</v>
      </c>
      <c r="AN160" s="1101" t="s">
        <v>374</v>
      </c>
      <c r="AO160" s="421"/>
      <c r="AP160" s="421"/>
    </row>
    <row r="161" spans="1:42" ht="54" customHeight="1">
      <c r="A161" s="1430" t="s">
        <v>148</v>
      </c>
      <c r="B161" s="1430"/>
      <c r="C161" s="1430"/>
      <c r="D161" s="1430"/>
      <c r="E161" s="855"/>
      <c r="F161" s="856">
        <f t="shared" ref="F161:AK161" si="18">F16+F98</f>
        <v>8721</v>
      </c>
      <c r="G161" s="856">
        <f t="shared" si="18"/>
        <v>13717</v>
      </c>
      <c r="H161" s="856">
        <f t="shared" si="18"/>
        <v>10851</v>
      </c>
      <c r="I161" s="856">
        <f t="shared" si="18"/>
        <v>13148</v>
      </c>
      <c r="J161" s="856">
        <f t="shared" si="18"/>
        <v>15765</v>
      </c>
      <c r="K161" s="856">
        <f t="shared" si="18"/>
        <v>19407</v>
      </c>
      <c r="L161" s="856">
        <f t="shared" si="18"/>
        <v>16828</v>
      </c>
      <c r="M161" s="856">
        <f t="shared" si="18"/>
        <v>22130</v>
      </c>
      <c r="N161" s="856">
        <f t="shared" si="18"/>
        <v>27015</v>
      </c>
      <c r="O161" s="856">
        <f t="shared" si="18"/>
        <v>24767</v>
      </c>
      <c r="P161" s="856">
        <f t="shared" si="18"/>
        <v>16809</v>
      </c>
      <c r="Q161" s="856">
        <f t="shared" si="18"/>
        <v>30387</v>
      </c>
      <c r="R161" s="856">
        <f t="shared" si="18"/>
        <v>32823</v>
      </c>
      <c r="S161" s="856">
        <f t="shared" si="18"/>
        <v>13345</v>
      </c>
      <c r="T161" s="856">
        <f t="shared" si="18"/>
        <v>17964</v>
      </c>
      <c r="U161" s="856">
        <f t="shared" si="18"/>
        <v>20942</v>
      </c>
      <c r="V161" s="856">
        <f t="shared" si="18"/>
        <v>20222</v>
      </c>
      <c r="W161" s="856">
        <f t="shared" si="18"/>
        <v>13178</v>
      </c>
      <c r="X161" s="856">
        <f t="shared" si="18"/>
        <v>24878</v>
      </c>
      <c r="Y161" s="856">
        <f t="shared" si="18"/>
        <v>26685</v>
      </c>
      <c r="Z161" s="856">
        <f t="shared" si="18"/>
        <v>12655</v>
      </c>
      <c r="AA161" s="856">
        <f t="shared" si="18"/>
        <v>14727</v>
      </c>
      <c r="AB161" s="856">
        <f t="shared" si="18"/>
        <v>17866</v>
      </c>
      <c r="AC161" s="856">
        <f t="shared" si="18"/>
        <v>16421</v>
      </c>
      <c r="AD161" s="856">
        <f t="shared" si="18"/>
        <v>10771</v>
      </c>
      <c r="AE161" s="856">
        <f t="shared" si="18"/>
        <v>23809</v>
      </c>
      <c r="AF161" s="856">
        <f t="shared" si="18"/>
        <v>12375</v>
      </c>
      <c r="AG161" s="856">
        <f t="shared" si="18"/>
        <v>23505</v>
      </c>
      <c r="AH161" s="856">
        <f t="shared" si="18"/>
        <v>8240</v>
      </c>
      <c r="AI161" s="856">
        <f t="shared" si="18"/>
        <v>10518</v>
      </c>
      <c r="AJ161" s="856">
        <f t="shared" si="18"/>
        <v>0</v>
      </c>
      <c r="AK161" s="856">
        <f t="shared" si="18"/>
        <v>540469</v>
      </c>
      <c r="AL161" s="856"/>
      <c r="AM161" s="856">
        <f>AM16+AM98</f>
        <v>232204.46899999998</v>
      </c>
      <c r="AN161" s="652"/>
      <c r="AO161" s="421"/>
      <c r="AP161" s="437" t="e">
        <f>SUM(#REF!)</f>
        <v>#REF!</v>
      </c>
    </row>
    <row r="162" spans="1:42" ht="41.25" customHeight="1">
      <c r="A162" s="435"/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35"/>
      <c r="AB162" s="435"/>
      <c r="AC162" s="435"/>
      <c r="AD162" s="435"/>
      <c r="AE162" s="435"/>
      <c r="AF162" s="435"/>
      <c r="AG162" s="435"/>
      <c r="AH162" s="435"/>
      <c r="AI162" s="435"/>
      <c r="AJ162" s="435"/>
      <c r="AK162" s="435"/>
      <c r="AL162" s="435"/>
      <c r="AM162" s="435"/>
      <c r="AN162" s="435"/>
      <c r="AO162" s="421"/>
      <c r="AP162" s="421"/>
    </row>
    <row r="163" spans="1:42" ht="41.25" hidden="1" customHeight="1">
      <c r="A163" s="1429" t="s">
        <v>4</v>
      </c>
      <c r="B163" s="1429"/>
      <c r="C163" s="1429"/>
      <c r="D163" s="1429"/>
      <c r="E163" s="764"/>
      <c r="F163" s="1392" t="s">
        <v>365</v>
      </c>
      <c r="G163" s="1393"/>
      <c r="H163" s="1394"/>
      <c r="I163" s="1429" t="s">
        <v>367</v>
      </c>
      <c r="J163" s="1429"/>
      <c r="K163" s="1429"/>
      <c r="L163" s="1429"/>
      <c r="M163" s="1392" t="s">
        <v>370</v>
      </c>
      <c r="N163" s="1393"/>
      <c r="O163" s="1393"/>
      <c r="P163" s="1393"/>
      <c r="Q163" s="1394"/>
      <c r="R163" s="1392" t="s">
        <v>371</v>
      </c>
      <c r="S163" s="1393"/>
      <c r="T163" s="1393"/>
      <c r="U163" s="1393"/>
      <c r="V163" s="1394"/>
      <c r="W163" s="1410" t="s">
        <v>439</v>
      </c>
      <c r="X163" s="1411"/>
      <c r="Y163" s="1411"/>
      <c r="Z163" s="1411"/>
      <c r="AA163" s="1411"/>
      <c r="AB163" s="1411"/>
      <c r="AC163" s="1411"/>
      <c r="AD163" s="1412"/>
      <c r="AE163" s="1410" t="s">
        <v>440</v>
      </c>
      <c r="AF163" s="1411"/>
      <c r="AG163" s="1412"/>
      <c r="AH163" s="429"/>
      <c r="AI163" s="429"/>
      <c r="AJ163" s="429"/>
      <c r="AK163" s="429"/>
      <c r="AL163" s="1442"/>
      <c r="AM163" s="1442"/>
      <c r="AN163" s="435"/>
      <c r="AO163" s="421"/>
      <c r="AP163" s="437" t="e">
        <f>SUM(AP13:AP161)</f>
        <v>#REF!</v>
      </c>
    </row>
    <row r="164" spans="1:42" ht="41.25" hidden="1" customHeight="1">
      <c r="A164" s="632" t="s">
        <v>372</v>
      </c>
      <c r="B164" s="633"/>
      <c r="C164" s="633"/>
      <c r="D164" s="633"/>
      <c r="E164" s="633"/>
      <c r="F164" s="1393">
        <f>SUM(F165:H168)</f>
        <v>131</v>
      </c>
      <c r="G164" s="1393"/>
      <c r="H164" s="1394"/>
      <c r="I164" s="1392"/>
      <c r="J164" s="1393"/>
      <c r="K164" s="1393"/>
      <c r="L164" s="1394"/>
      <c r="M164" s="1425">
        <f>SUM(M165:Q168)</f>
        <v>537516</v>
      </c>
      <c r="N164" s="1426"/>
      <c r="O164" s="1426"/>
      <c r="P164" s="1426"/>
      <c r="Q164" s="1427"/>
      <c r="R164" s="1425">
        <f>SUM(R165:V168)</f>
        <v>230931.46367279132</v>
      </c>
      <c r="S164" s="1426"/>
      <c r="T164" s="1426"/>
      <c r="U164" s="1426"/>
      <c r="V164" s="1427"/>
      <c r="W164" s="1413">
        <f>SUM(W165:AD167)</f>
        <v>99.451773976318819</v>
      </c>
      <c r="X164" s="1414"/>
      <c r="Y164" s="1414"/>
      <c r="Z164" s="1414"/>
      <c r="AA164" s="1414"/>
      <c r="AB164" s="1414"/>
      <c r="AC164" s="1414"/>
      <c r="AD164" s="1414"/>
      <c r="AE164" s="1397"/>
      <c r="AF164" s="1398"/>
      <c r="AG164" s="1399"/>
      <c r="AH164" s="429"/>
      <c r="AI164" s="429"/>
      <c r="AJ164" s="429"/>
      <c r="AK164" s="429"/>
      <c r="AL164" s="429"/>
      <c r="AM164" s="429"/>
      <c r="AN164" s="435"/>
      <c r="AO164" s="421"/>
      <c r="AP164" s="421"/>
    </row>
    <row r="165" spans="1:42" ht="41.25" hidden="1" customHeight="1">
      <c r="A165" s="1415">
        <v>1</v>
      </c>
      <c r="B165" s="1415"/>
      <c r="C165" s="1415"/>
      <c r="D165" s="1415"/>
      <c r="E165" s="761"/>
      <c r="F165" s="1415">
        <f>SUM(COUNTIF(AN16:AN160,"A"))</f>
        <v>108</v>
      </c>
      <c r="G165" s="1415"/>
      <c r="H165" s="1415"/>
      <c r="I165" s="1415" t="s">
        <v>36</v>
      </c>
      <c r="J165" s="1415"/>
      <c r="K165" s="1415"/>
      <c r="L165" s="1415"/>
      <c r="M165" s="1416">
        <f>SUMIF($AN$15:$AN$160,"A",$AK$15:$AK$160)</f>
        <v>448381</v>
      </c>
      <c r="N165" s="1417"/>
      <c r="O165" s="1417"/>
      <c r="P165" s="1417"/>
      <c r="Q165" s="1418"/>
      <c r="R165" s="1395">
        <f>SUMIF($AN$15:$AN$160,"A",$AM$15:$AM$160)</f>
        <v>192551.67837158771</v>
      </c>
      <c r="S165" s="1395"/>
      <c r="T165" s="1395"/>
      <c r="U165" s="1395"/>
      <c r="V165" s="1395"/>
      <c r="W165" s="1432">
        <f>R165/R171*100</f>
        <v>82.923330115402607</v>
      </c>
      <c r="X165" s="1432"/>
      <c r="Y165" s="1432"/>
      <c r="Z165" s="1432"/>
      <c r="AA165" s="1432"/>
      <c r="AB165" s="1432"/>
      <c r="AC165" s="1432"/>
      <c r="AD165" s="1432"/>
      <c r="AE165" s="1397"/>
      <c r="AF165" s="1398"/>
      <c r="AG165" s="1399"/>
      <c r="AH165" s="429"/>
      <c r="AI165" s="429"/>
      <c r="AJ165" s="429"/>
      <c r="AK165" s="429"/>
      <c r="AL165" s="429"/>
      <c r="AM165" s="429"/>
      <c r="AN165" s="435"/>
      <c r="AO165" s="421"/>
      <c r="AP165" s="421"/>
    </row>
    <row r="166" spans="1:42" ht="41.25" hidden="1" customHeight="1">
      <c r="A166" s="1415">
        <v>2</v>
      </c>
      <c r="B166" s="1415"/>
      <c r="C166" s="1415"/>
      <c r="D166" s="1415"/>
      <c r="E166" s="761"/>
      <c r="F166" s="1415">
        <f>SUM(COUNTIF(AN16:AN160,"B"))</f>
        <v>23</v>
      </c>
      <c r="G166" s="1415"/>
      <c r="H166" s="1415"/>
      <c r="I166" s="1415" t="s">
        <v>43</v>
      </c>
      <c r="J166" s="1415"/>
      <c r="K166" s="1415"/>
      <c r="L166" s="1415"/>
      <c r="M166" s="1395">
        <f>SUMIF($AN$15:$AN$160,"B",$AK$15:$AK$160)</f>
        <v>89135</v>
      </c>
      <c r="N166" s="1395"/>
      <c r="O166" s="1395"/>
      <c r="P166" s="1395"/>
      <c r="Q166" s="1395"/>
      <c r="R166" s="1395">
        <f>SUMIF($AN$15:$AN$160,"B",$AM$15:$AM$160)</f>
        <v>38379.785301203599</v>
      </c>
      <c r="S166" s="1395"/>
      <c r="T166" s="1395"/>
      <c r="U166" s="1395"/>
      <c r="V166" s="1395"/>
      <c r="W166" s="1432">
        <f>R166/R171*100</f>
        <v>16.528443860916216</v>
      </c>
      <c r="X166" s="1432"/>
      <c r="Y166" s="1432"/>
      <c r="Z166" s="1432"/>
      <c r="AA166" s="1432"/>
      <c r="AB166" s="1432"/>
      <c r="AC166" s="1432"/>
      <c r="AD166" s="1432"/>
      <c r="AE166" s="1397"/>
      <c r="AF166" s="1398"/>
      <c r="AG166" s="1399"/>
      <c r="AH166" s="429"/>
      <c r="AI166" s="429"/>
      <c r="AJ166" s="429"/>
      <c r="AK166" s="429"/>
      <c r="AL166" s="429"/>
      <c r="AM166" s="501">
        <f>AM161+'BTH mủ Sỉum'!AJ20</f>
        <v>232698.69099999999</v>
      </c>
      <c r="AN166" s="435"/>
      <c r="AO166" s="421"/>
      <c r="AP166" s="421"/>
    </row>
    <row r="167" spans="1:42" ht="41.25" hidden="1" customHeight="1">
      <c r="A167" s="1415">
        <v>3</v>
      </c>
      <c r="B167" s="1415"/>
      <c r="C167" s="1415"/>
      <c r="D167" s="1415"/>
      <c r="E167" s="761"/>
      <c r="F167" s="1415">
        <f>SUM(COUNTIF(AN16:AN160,"C"))</f>
        <v>0</v>
      </c>
      <c r="G167" s="1415"/>
      <c r="H167" s="1415"/>
      <c r="I167" s="1415" t="s">
        <v>366</v>
      </c>
      <c r="J167" s="1415"/>
      <c r="K167" s="1415"/>
      <c r="L167" s="1415"/>
      <c r="M167" s="1395">
        <f>SUMIF($AN$15:$AN$160,"C",$AK$15:$AK$160)</f>
        <v>0</v>
      </c>
      <c r="N167" s="1395"/>
      <c r="O167" s="1395"/>
      <c r="P167" s="1395"/>
      <c r="Q167" s="1395"/>
      <c r="R167" s="1395">
        <f>SUMIF($AN$15:$AN$160,"C",$AM$15:$AM$160)</f>
        <v>0</v>
      </c>
      <c r="S167" s="1395"/>
      <c r="T167" s="1395"/>
      <c r="U167" s="1395"/>
      <c r="V167" s="1395"/>
      <c r="W167" s="1432">
        <f>R167/R171*100</f>
        <v>0</v>
      </c>
      <c r="X167" s="1432"/>
      <c r="Y167" s="1432"/>
      <c r="Z167" s="1432"/>
      <c r="AA167" s="1432"/>
      <c r="AB167" s="1432"/>
      <c r="AC167" s="1432"/>
      <c r="AD167" s="1432"/>
      <c r="AE167" s="1397"/>
      <c r="AF167" s="1398"/>
      <c r="AG167" s="1399"/>
      <c r="AH167" s="429"/>
      <c r="AI167" s="429"/>
      <c r="AJ167" s="429"/>
      <c r="AK167" s="429"/>
      <c r="AL167" s="429"/>
      <c r="AM167" s="429"/>
      <c r="AN167" s="435"/>
      <c r="AO167" s="421"/>
      <c r="AP167" s="421"/>
    </row>
    <row r="168" spans="1:42" ht="41.25" hidden="1" customHeight="1">
      <c r="A168" s="1415">
        <v>4</v>
      </c>
      <c r="B168" s="1415"/>
      <c r="C168" s="1415"/>
      <c r="D168" s="1415"/>
      <c r="E168" s="761"/>
      <c r="F168" s="1415">
        <f>SUM(COUNTIF(AN16:AN160,"D"))</f>
        <v>0</v>
      </c>
      <c r="G168" s="1415"/>
      <c r="H168" s="1415"/>
      <c r="I168" s="1415" t="s">
        <v>44</v>
      </c>
      <c r="J168" s="1415"/>
      <c r="K168" s="1415"/>
      <c r="L168" s="1415"/>
      <c r="M168" s="1395">
        <f>SUMIF($AN$15:$AN$160,"D",$AK$15:$AK$160)</f>
        <v>0</v>
      </c>
      <c r="N168" s="1395"/>
      <c r="O168" s="1395"/>
      <c r="P168" s="1395"/>
      <c r="Q168" s="1395"/>
      <c r="R168" s="1395">
        <f>SUMIF($AN$15:$AN$160,"D",$AM$15:$AM$160)</f>
        <v>0</v>
      </c>
      <c r="S168" s="1395"/>
      <c r="T168" s="1395"/>
      <c r="U168" s="1395"/>
      <c r="V168" s="1395"/>
      <c r="W168" s="1432">
        <f>R168/R171*100</f>
        <v>0</v>
      </c>
      <c r="X168" s="1432"/>
      <c r="Y168" s="1432"/>
      <c r="Z168" s="1432"/>
      <c r="AA168" s="1432"/>
      <c r="AB168" s="1432"/>
      <c r="AC168" s="1432"/>
      <c r="AD168" s="1432"/>
      <c r="AE168" s="1397"/>
      <c r="AF168" s="1398"/>
      <c r="AG168" s="1399"/>
      <c r="AH168" s="429"/>
      <c r="AI168" s="429"/>
      <c r="AJ168" s="429"/>
      <c r="AK168" s="429"/>
      <c r="AL168" s="429"/>
      <c r="AM168" s="429"/>
      <c r="AN168" s="435"/>
      <c r="AO168" s="421"/>
      <c r="AP168" s="421"/>
    </row>
    <row r="169" spans="1:42" s="443" customFormat="1" ht="41.25" hidden="1" customHeight="1">
      <c r="A169" s="632" t="s">
        <v>373</v>
      </c>
      <c r="B169" s="633"/>
      <c r="C169" s="633"/>
      <c r="D169" s="633"/>
      <c r="E169" s="633"/>
      <c r="F169" s="1393">
        <f>F170</f>
        <v>12</v>
      </c>
      <c r="G169" s="1393"/>
      <c r="H169" s="1394"/>
      <c r="I169" s="1392"/>
      <c r="J169" s="1393"/>
      <c r="K169" s="1393"/>
      <c r="L169" s="1394"/>
      <c r="M169" s="1425">
        <f>M170</f>
        <v>2953</v>
      </c>
      <c r="N169" s="1426"/>
      <c r="O169" s="1426"/>
      <c r="P169" s="1426"/>
      <c r="Q169" s="1427"/>
      <c r="R169" s="1425">
        <f>R170</f>
        <v>1273.0053272086923</v>
      </c>
      <c r="S169" s="1426"/>
      <c r="T169" s="1426"/>
      <c r="U169" s="1426"/>
      <c r="V169" s="1427"/>
      <c r="W169" s="1400">
        <f>W170</f>
        <v>0.54822602368117745</v>
      </c>
      <c r="X169" s="1401"/>
      <c r="Y169" s="1401"/>
      <c r="Z169" s="1401"/>
      <c r="AA169" s="1401"/>
      <c r="AB169" s="1401"/>
      <c r="AC169" s="1401"/>
      <c r="AD169" s="1402"/>
      <c r="AE169" s="1397"/>
      <c r="AF169" s="1398"/>
      <c r="AG169" s="1399"/>
      <c r="AH169" s="441"/>
      <c r="AI169" s="441"/>
      <c r="AJ169" s="441"/>
      <c r="AK169" s="441"/>
      <c r="AL169" s="441"/>
      <c r="AM169" s="441"/>
      <c r="AN169" s="442"/>
    </row>
    <row r="170" spans="1:42" ht="41.25" hidden="1" customHeight="1">
      <c r="A170" s="1419">
        <v>1</v>
      </c>
      <c r="B170" s="1420"/>
      <c r="C170" s="1420"/>
      <c r="D170" s="1421"/>
      <c r="E170" s="763"/>
      <c r="F170" s="1415">
        <f>SUM(COUNTIF(AN19:AN163,"C."))</f>
        <v>12</v>
      </c>
      <c r="G170" s="1415"/>
      <c r="H170" s="1415"/>
      <c r="I170" s="1419" t="s">
        <v>374</v>
      </c>
      <c r="J170" s="1420"/>
      <c r="K170" s="1420"/>
      <c r="L170" s="1421"/>
      <c r="M170" s="1395">
        <f>SUMIF($AN$15:$AN$160,"C.",$AK$15:$AK$160)</f>
        <v>2953</v>
      </c>
      <c r="N170" s="1395"/>
      <c r="O170" s="1395"/>
      <c r="P170" s="1395"/>
      <c r="Q170" s="1395"/>
      <c r="R170" s="1395">
        <f>SUMIF($AN$15:$AN$160,"C.",$AM$15:$AM$160)</f>
        <v>1273.0053272086923</v>
      </c>
      <c r="S170" s="1395"/>
      <c r="T170" s="1395"/>
      <c r="U170" s="1395"/>
      <c r="V170" s="1395"/>
      <c r="W170" s="1432">
        <f>R170/R171*100</f>
        <v>0.54822602368117745</v>
      </c>
      <c r="X170" s="1432"/>
      <c r="Y170" s="1432"/>
      <c r="Z170" s="1432"/>
      <c r="AA170" s="1432"/>
      <c r="AB170" s="1432"/>
      <c r="AC170" s="1432"/>
      <c r="AD170" s="1432"/>
      <c r="AE170" s="1397"/>
      <c r="AF170" s="1398"/>
      <c r="AG170" s="1399"/>
      <c r="AH170" s="429"/>
      <c r="AI170" s="429"/>
      <c r="AJ170" s="429"/>
      <c r="AK170" s="429"/>
      <c r="AL170" s="429"/>
      <c r="AM170" s="429"/>
      <c r="AN170" s="435"/>
      <c r="AO170" s="421"/>
      <c r="AP170" s="421"/>
    </row>
    <row r="171" spans="1:42" ht="41.25" hidden="1" customHeight="1">
      <c r="A171" s="1429" t="s">
        <v>148</v>
      </c>
      <c r="B171" s="1429"/>
      <c r="C171" s="1429"/>
      <c r="D171" s="1429"/>
      <c r="E171" s="762"/>
      <c r="F171" s="1429">
        <f>F164+F169</f>
        <v>143</v>
      </c>
      <c r="G171" s="1429"/>
      <c r="H171" s="1429"/>
      <c r="I171" s="1392"/>
      <c r="J171" s="1393"/>
      <c r="K171" s="1393"/>
      <c r="L171" s="1394"/>
      <c r="M171" s="1422">
        <f>M164+M169</f>
        <v>540469</v>
      </c>
      <c r="N171" s="1423"/>
      <c r="O171" s="1423"/>
      <c r="P171" s="1423"/>
      <c r="Q171" s="1424"/>
      <c r="R171" s="1422">
        <f>R164+R169</f>
        <v>232204.46900000001</v>
      </c>
      <c r="S171" s="1423"/>
      <c r="T171" s="1423"/>
      <c r="U171" s="1423"/>
      <c r="V171" s="1424"/>
      <c r="W171" s="1436">
        <f>W164+W169</f>
        <v>100</v>
      </c>
      <c r="X171" s="1436"/>
      <c r="Y171" s="1436"/>
      <c r="Z171" s="1436"/>
      <c r="AA171" s="1436"/>
      <c r="AB171" s="1436"/>
      <c r="AC171" s="1436"/>
      <c r="AD171" s="1436"/>
      <c r="AE171" s="1437"/>
      <c r="AF171" s="1438"/>
      <c r="AG171" s="1439"/>
      <c r="AH171" s="429"/>
      <c r="AI171" s="429"/>
      <c r="AJ171" s="429"/>
      <c r="AK171" s="429"/>
      <c r="AL171" s="429"/>
      <c r="AM171" s="429"/>
      <c r="AN171" s="435"/>
      <c r="AO171" s="421"/>
      <c r="AP171" s="421"/>
    </row>
    <row r="172" spans="1:42" ht="41.25" hidden="1" customHeight="1">
      <c r="A172" s="821"/>
      <c r="B172" s="821"/>
      <c r="C172" s="821"/>
      <c r="D172" s="821"/>
      <c r="E172" s="821"/>
      <c r="F172" s="821"/>
      <c r="G172" s="821"/>
      <c r="H172" s="821"/>
      <c r="I172" s="821"/>
      <c r="J172" s="821"/>
      <c r="K172" s="821"/>
      <c r="L172" s="821"/>
      <c r="M172" s="821"/>
      <c r="N172" s="821"/>
      <c r="O172" s="821"/>
      <c r="P172" s="821"/>
      <c r="Q172" s="821"/>
      <c r="R172" s="821"/>
      <c r="S172" s="821"/>
      <c r="T172" s="821"/>
      <c r="U172" s="821"/>
      <c r="V172" s="821"/>
      <c r="W172" s="821"/>
      <c r="X172" s="821"/>
      <c r="Y172" s="821"/>
      <c r="Z172" s="821"/>
      <c r="AA172" s="821"/>
      <c r="AB172" s="821"/>
      <c r="AC172" s="821"/>
      <c r="AD172" s="821"/>
      <c r="AE172" s="821"/>
      <c r="AF172" s="821"/>
      <c r="AG172" s="821"/>
      <c r="AH172" s="821"/>
      <c r="AI172" s="821"/>
      <c r="AJ172" s="821"/>
      <c r="AK172" s="821"/>
      <c r="AL172" s="821"/>
      <c r="AM172" s="821"/>
      <c r="AN172" s="821"/>
      <c r="AO172" s="421"/>
      <c r="AP172" s="421"/>
    </row>
    <row r="173" spans="1:42" ht="52.9" customHeight="1">
      <c r="A173" s="823"/>
      <c r="B173" s="823"/>
      <c r="C173" s="823"/>
      <c r="D173" s="1374" t="s">
        <v>4</v>
      </c>
      <c r="E173" s="1374"/>
      <c r="F173" s="1376" t="s">
        <v>717</v>
      </c>
      <c r="G173" s="1376"/>
      <c r="H173" s="1376"/>
      <c r="I173" s="1376"/>
      <c r="J173" s="1376"/>
      <c r="K173" s="1376"/>
      <c r="L173" s="1376"/>
      <c r="M173" s="1376" t="s">
        <v>377</v>
      </c>
      <c r="N173" s="1376"/>
      <c r="O173" s="1376"/>
      <c r="P173" s="1376"/>
      <c r="Q173" s="1376"/>
      <c r="R173" s="1376"/>
      <c r="S173" s="1376"/>
      <c r="T173" s="1386" t="s">
        <v>718</v>
      </c>
      <c r="U173" s="1387"/>
      <c r="V173" s="1387"/>
      <c r="W173" s="1387"/>
      <c r="X173" s="1387"/>
      <c r="Y173" s="1387"/>
      <c r="Z173" s="1387"/>
      <c r="AA173" s="1387"/>
      <c r="AB173" s="1387"/>
      <c r="AC173" s="1387"/>
      <c r="AD173" s="1387"/>
      <c r="AE173" s="1387"/>
      <c r="AF173" s="1387"/>
      <c r="AG173" s="1387"/>
      <c r="AH173" s="1387"/>
      <c r="AI173" s="1387"/>
      <c r="AJ173" s="1387"/>
      <c r="AK173" s="1388"/>
      <c r="AL173" s="1378" t="s">
        <v>62</v>
      </c>
      <c r="AM173" s="1378"/>
      <c r="AN173" s="1102"/>
      <c r="AO173" s="421"/>
      <c r="AP173" s="421"/>
    </row>
    <row r="174" spans="1:42" ht="52.9" customHeight="1">
      <c r="A174" s="823"/>
      <c r="B174" s="823"/>
      <c r="C174" s="823"/>
      <c r="D174" s="1374"/>
      <c r="E174" s="1374"/>
      <c r="F174" s="1376"/>
      <c r="G174" s="1376"/>
      <c r="H174" s="1376"/>
      <c r="I174" s="1376"/>
      <c r="J174" s="1376"/>
      <c r="K174" s="1376"/>
      <c r="L174" s="1376"/>
      <c r="M174" s="1376" t="s">
        <v>719</v>
      </c>
      <c r="N174" s="1376"/>
      <c r="O174" s="1376"/>
      <c r="P174" s="1376"/>
      <c r="Q174" s="1376" t="s">
        <v>720</v>
      </c>
      <c r="R174" s="1376"/>
      <c r="S174" s="1376"/>
      <c r="T174" s="1386" t="s">
        <v>721</v>
      </c>
      <c r="U174" s="1387"/>
      <c r="V174" s="1387"/>
      <c r="W174" s="1387"/>
      <c r="X174" s="1387"/>
      <c r="Y174" s="1387"/>
      <c r="Z174" s="1388"/>
      <c r="AA174" s="1386" t="s">
        <v>722</v>
      </c>
      <c r="AB174" s="1387"/>
      <c r="AC174" s="1387"/>
      <c r="AD174" s="1387"/>
      <c r="AE174" s="1387"/>
      <c r="AF174" s="1387"/>
      <c r="AG174" s="1388"/>
      <c r="AH174" s="1389" t="s">
        <v>723</v>
      </c>
      <c r="AI174" s="1390"/>
      <c r="AJ174" s="1390"/>
      <c r="AK174" s="1391"/>
      <c r="AL174" s="1378"/>
      <c r="AM174" s="1378"/>
      <c r="AN174" s="1102"/>
      <c r="AO174" s="421"/>
      <c r="AP174" s="421"/>
    </row>
    <row r="175" spans="1:42" ht="52.9" customHeight="1">
      <c r="A175" s="824"/>
      <c r="B175" s="824"/>
      <c r="C175" s="824"/>
      <c r="D175" s="1374" t="s">
        <v>724</v>
      </c>
      <c r="E175" s="1374"/>
      <c r="F175" s="1376">
        <f>SUM(F176:L179)</f>
        <v>73</v>
      </c>
      <c r="G175" s="1376"/>
      <c r="H175" s="1376"/>
      <c r="I175" s="1376"/>
      <c r="J175" s="1376"/>
      <c r="K175" s="1376"/>
      <c r="L175" s="1376"/>
      <c r="M175" s="1376"/>
      <c r="N175" s="1376"/>
      <c r="O175" s="1376"/>
      <c r="P175" s="1376"/>
      <c r="Q175" s="1383">
        <f>SUM(Q176:S179)</f>
        <v>100</v>
      </c>
      <c r="R175" s="1383"/>
      <c r="S175" s="1383"/>
      <c r="T175" s="1383">
        <f>SUM(T176:Z179)</f>
        <v>290869</v>
      </c>
      <c r="U175" s="1383"/>
      <c r="V175" s="1383"/>
      <c r="W175" s="1383"/>
      <c r="X175" s="1383"/>
      <c r="Y175" s="1383"/>
      <c r="Z175" s="1383"/>
      <c r="AA175" s="1383">
        <f>SUM(AA176:AG179)</f>
        <v>124241.44465747368</v>
      </c>
      <c r="AB175" s="1383"/>
      <c r="AC175" s="1383"/>
      <c r="AD175" s="1383"/>
      <c r="AE175" s="1383"/>
      <c r="AF175" s="1383"/>
      <c r="AG175" s="1383"/>
      <c r="AH175" s="1383">
        <f>SUM(AH176:AK179)</f>
        <v>100</v>
      </c>
      <c r="AI175" s="1383"/>
      <c r="AJ175" s="1383"/>
      <c r="AK175" s="1383"/>
      <c r="AL175" s="1378"/>
      <c r="AM175" s="1378"/>
      <c r="AN175" s="1103"/>
      <c r="AO175" s="421"/>
      <c r="AP175" s="421"/>
    </row>
    <row r="176" spans="1:42" ht="52.9" customHeight="1">
      <c r="A176" s="826"/>
      <c r="B176" s="826"/>
      <c r="C176" s="826"/>
      <c r="D176" s="1369"/>
      <c r="E176" s="1369"/>
      <c r="F176" s="1370">
        <f>COUNTIF($AN$17:$AN$97,"A")</f>
        <v>64</v>
      </c>
      <c r="G176" s="1370"/>
      <c r="H176" s="1370"/>
      <c r="I176" s="1370"/>
      <c r="J176" s="1370"/>
      <c r="K176" s="1370"/>
      <c r="L176" s="1370"/>
      <c r="M176" s="1370" t="s">
        <v>36</v>
      </c>
      <c r="N176" s="1370"/>
      <c r="O176" s="1370"/>
      <c r="P176" s="1370"/>
      <c r="Q176" s="1371">
        <f>+F176/$F$175*100</f>
        <v>87.671232876712324</v>
      </c>
      <c r="R176" s="1371"/>
      <c r="S176" s="1371"/>
      <c r="T176" s="1375">
        <f>SUMIF($AN$17:$AN$97,"A",$AK$17:$AK$97)</f>
        <v>258304</v>
      </c>
      <c r="U176" s="1375"/>
      <c r="V176" s="1375"/>
      <c r="W176" s="1375"/>
      <c r="X176" s="1375"/>
      <c r="Y176" s="1375"/>
      <c r="Z176" s="1375"/>
      <c r="AA176" s="1372">
        <f>SUMIF($AN$17:$AN$97,"A",$AM$17:$AM$97)</f>
        <v>110331.66862334618</v>
      </c>
      <c r="AB176" s="1372"/>
      <c r="AC176" s="1372"/>
      <c r="AD176" s="1372"/>
      <c r="AE176" s="1372"/>
      <c r="AF176" s="1372"/>
      <c r="AG176" s="1372"/>
      <c r="AH176" s="1371">
        <f>+AA176/$AA$175*100</f>
        <v>88.804238334095416</v>
      </c>
      <c r="AI176" s="1371"/>
      <c r="AJ176" s="1371"/>
      <c r="AK176" s="1371"/>
      <c r="AL176" s="1373"/>
      <c r="AM176" s="1373"/>
      <c r="AN176" s="1104"/>
      <c r="AO176" s="421"/>
      <c r="AP176" s="421"/>
    </row>
    <row r="177" spans="1:42" ht="52.9" customHeight="1">
      <c r="A177" s="826"/>
      <c r="B177" s="826"/>
      <c r="C177" s="826"/>
      <c r="D177" s="1369"/>
      <c r="E177" s="1369"/>
      <c r="F177" s="1370">
        <f>COUNTIF($AN$17:$AN$96,"B")</f>
        <v>9</v>
      </c>
      <c r="G177" s="1370"/>
      <c r="H177" s="1370"/>
      <c r="I177" s="1370"/>
      <c r="J177" s="1370"/>
      <c r="K177" s="1370"/>
      <c r="L177" s="1370"/>
      <c r="M177" s="1370" t="s">
        <v>43</v>
      </c>
      <c r="N177" s="1370"/>
      <c r="O177" s="1370"/>
      <c r="P177" s="1370"/>
      <c r="Q177" s="1371">
        <f>+F177/$F$175*100</f>
        <v>12.328767123287671</v>
      </c>
      <c r="R177" s="1371"/>
      <c r="S177" s="1371"/>
      <c r="T177" s="1375">
        <f>SUMIF($AN$17:$AN$97,"B",$AK$17:$AK$97)</f>
        <v>32565</v>
      </c>
      <c r="U177" s="1375"/>
      <c r="V177" s="1375"/>
      <c r="W177" s="1375"/>
      <c r="X177" s="1375"/>
      <c r="Y177" s="1375"/>
      <c r="Z177" s="1375"/>
      <c r="AA177" s="1372">
        <f>SUMIF($AN$17:$AN$97,"B",$AM$17:$AM$97)</f>
        <v>13909.776034127495</v>
      </c>
      <c r="AB177" s="1372"/>
      <c r="AC177" s="1372"/>
      <c r="AD177" s="1372"/>
      <c r="AE177" s="1372"/>
      <c r="AF177" s="1372"/>
      <c r="AG177" s="1372"/>
      <c r="AH177" s="1371">
        <f>+AA177/$AA$175*100</f>
        <v>11.195761665904582</v>
      </c>
      <c r="AI177" s="1371"/>
      <c r="AJ177" s="1371"/>
      <c r="AK177" s="1371"/>
      <c r="AL177" s="1373"/>
      <c r="AM177" s="1373"/>
      <c r="AN177" s="1104"/>
      <c r="AO177" s="421"/>
      <c r="AP177" s="421"/>
    </row>
    <row r="178" spans="1:42" ht="52.9" hidden="1" customHeight="1">
      <c r="A178" s="826"/>
      <c r="B178" s="826"/>
      <c r="C178" s="826"/>
      <c r="D178" s="1369"/>
      <c r="E178" s="1369"/>
      <c r="F178" s="1370">
        <f>COUNTIF($AN$17:$AN$96,"C")</f>
        <v>0</v>
      </c>
      <c r="G178" s="1370"/>
      <c r="H178" s="1370"/>
      <c r="I178" s="1370"/>
      <c r="J178" s="1370"/>
      <c r="K178" s="1370"/>
      <c r="L178" s="1370"/>
      <c r="M178" s="1370" t="s">
        <v>423</v>
      </c>
      <c r="N178" s="1370"/>
      <c r="O178" s="1370"/>
      <c r="P178" s="1370"/>
      <c r="Q178" s="1371">
        <f>+F178/$F$175*100</f>
        <v>0</v>
      </c>
      <c r="R178" s="1371"/>
      <c r="S178" s="1371"/>
      <c r="T178" s="1375">
        <f>SUMIF($AN$17:$AN$97,"C",$AK$17:$AK$97)</f>
        <v>0</v>
      </c>
      <c r="U178" s="1375"/>
      <c r="V178" s="1375"/>
      <c r="W178" s="1375"/>
      <c r="X178" s="1375"/>
      <c r="Y178" s="1375"/>
      <c r="Z178" s="1375"/>
      <c r="AA178" s="1372">
        <f>SUMIF($AN$17:$AN$97,"C",$AM$17:$AM$97)</f>
        <v>0</v>
      </c>
      <c r="AB178" s="1372"/>
      <c r="AC178" s="1372"/>
      <c r="AD178" s="1372"/>
      <c r="AE178" s="1372"/>
      <c r="AF178" s="1372"/>
      <c r="AG178" s="1372"/>
      <c r="AH178" s="1371">
        <f>+AA178/$AA$175*100</f>
        <v>0</v>
      </c>
      <c r="AI178" s="1371"/>
      <c r="AJ178" s="1371"/>
      <c r="AK178" s="1371"/>
      <c r="AL178" s="1373"/>
      <c r="AM178" s="1373"/>
      <c r="AN178" s="1104"/>
      <c r="AO178" s="421"/>
      <c r="AP178" s="421"/>
    </row>
    <row r="179" spans="1:42" ht="52.9" hidden="1" customHeight="1">
      <c r="A179" s="826"/>
      <c r="B179" s="826"/>
      <c r="C179" s="826"/>
      <c r="D179" s="1369"/>
      <c r="E179" s="1369"/>
      <c r="F179" s="1370">
        <f>COUNTIF($AN$17:$AN$97,"D")</f>
        <v>0</v>
      </c>
      <c r="G179" s="1370"/>
      <c r="H179" s="1370"/>
      <c r="I179" s="1370"/>
      <c r="J179" s="1370"/>
      <c r="K179" s="1370"/>
      <c r="L179" s="1370"/>
      <c r="M179" s="1370" t="s">
        <v>44</v>
      </c>
      <c r="N179" s="1370"/>
      <c r="O179" s="1370"/>
      <c r="P179" s="1370"/>
      <c r="Q179" s="1371">
        <f>+F179/$F$175*100</f>
        <v>0</v>
      </c>
      <c r="R179" s="1371"/>
      <c r="S179" s="1371"/>
      <c r="T179" s="1375">
        <f>SUMIF($AN$17:$AN$97,"D",$AK$17:$AK$97)</f>
        <v>0</v>
      </c>
      <c r="U179" s="1375"/>
      <c r="V179" s="1375"/>
      <c r="W179" s="1375"/>
      <c r="X179" s="1375"/>
      <c r="Y179" s="1375"/>
      <c r="Z179" s="1375"/>
      <c r="AA179" s="1372">
        <f>SUMIF($AN$17:$AN$97,"D",$AM$17:$AM$97)</f>
        <v>0</v>
      </c>
      <c r="AB179" s="1372"/>
      <c r="AC179" s="1372"/>
      <c r="AD179" s="1372"/>
      <c r="AE179" s="1372"/>
      <c r="AF179" s="1372"/>
      <c r="AG179" s="1372"/>
      <c r="AH179" s="1371">
        <f>+AA179/$AA$175*100</f>
        <v>0</v>
      </c>
      <c r="AI179" s="1371"/>
      <c r="AJ179" s="1371"/>
      <c r="AK179" s="1371"/>
      <c r="AL179" s="1373"/>
      <c r="AM179" s="1373"/>
      <c r="AN179" s="1104"/>
      <c r="AO179" s="421"/>
      <c r="AP179" s="421"/>
    </row>
    <row r="180" spans="1:42" ht="52.9" customHeight="1">
      <c r="A180" s="826"/>
      <c r="B180" s="826"/>
      <c r="C180" s="826"/>
      <c r="D180" s="1384" t="s">
        <v>725</v>
      </c>
      <c r="E180" s="1385"/>
      <c r="F180" s="1370">
        <f>COUNTIF($AN$17:$AN$97,"C.")</f>
        <v>8</v>
      </c>
      <c r="G180" s="1370"/>
      <c r="H180" s="1370"/>
      <c r="I180" s="1370"/>
      <c r="J180" s="1370"/>
      <c r="K180" s="1370"/>
      <c r="L180" s="1370"/>
      <c r="M180" s="1370" t="s">
        <v>374</v>
      </c>
      <c r="N180" s="1370"/>
      <c r="O180" s="1370"/>
      <c r="P180" s="1370"/>
      <c r="Q180" s="1382"/>
      <c r="R180" s="1382"/>
      <c r="S180" s="1382"/>
      <c r="T180" s="1375">
        <f>SUMIF($AN$17:$AN$97,"C.",$AK$17:$AK$97)</f>
        <v>802</v>
      </c>
      <c r="U180" s="1375"/>
      <c r="V180" s="1375"/>
      <c r="W180" s="1375"/>
      <c r="X180" s="1375"/>
      <c r="Y180" s="1375"/>
      <c r="Z180" s="1375"/>
      <c r="AA180" s="1372">
        <f>SUMIF($AN$17:$AN$97,"C.",$AM$17:$AM$97)</f>
        <v>342.56534252633958</v>
      </c>
      <c r="AB180" s="1372"/>
      <c r="AC180" s="1372"/>
      <c r="AD180" s="1372"/>
      <c r="AE180" s="1372"/>
      <c r="AF180" s="1372"/>
      <c r="AG180" s="1372"/>
      <c r="AH180" s="1382"/>
      <c r="AI180" s="1382"/>
      <c r="AJ180" s="1382"/>
      <c r="AK180" s="1382"/>
      <c r="AL180" s="1378"/>
      <c r="AM180" s="1378"/>
      <c r="AN180" s="1104"/>
      <c r="AO180" s="421"/>
      <c r="AP180" s="421"/>
    </row>
    <row r="181" spans="1:42" ht="52.9" customHeight="1">
      <c r="A181" s="827"/>
      <c r="B181" s="827"/>
      <c r="C181" s="827"/>
      <c r="D181" s="1359" t="s">
        <v>726</v>
      </c>
      <c r="E181" s="1359"/>
      <c r="F181" s="1360">
        <f>+F175+F180</f>
        <v>81</v>
      </c>
      <c r="G181" s="1360"/>
      <c r="H181" s="1360"/>
      <c r="I181" s="1360"/>
      <c r="J181" s="1360"/>
      <c r="K181" s="1360"/>
      <c r="L181" s="1360"/>
      <c r="M181" s="1360"/>
      <c r="N181" s="1360"/>
      <c r="O181" s="1360"/>
      <c r="P181" s="1360"/>
      <c r="Q181" s="1379"/>
      <c r="R181" s="1380"/>
      <c r="S181" s="1381"/>
      <c r="T181" s="1364">
        <f>+T175+T180</f>
        <v>291671</v>
      </c>
      <c r="U181" s="1364"/>
      <c r="V181" s="1364"/>
      <c r="W181" s="1364"/>
      <c r="X181" s="1364"/>
      <c r="Y181" s="1364"/>
      <c r="Z181" s="1364"/>
      <c r="AA181" s="1364">
        <f>AA175+AA180</f>
        <v>124584.01000000002</v>
      </c>
      <c r="AB181" s="1364"/>
      <c r="AC181" s="1364"/>
      <c r="AD181" s="1364"/>
      <c r="AE181" s="1364"/>
      <c r="AF181" s="1364"/>
      <c r="AG181" s="1364"/>
      <c r="AH181" s="1382"/>
      <c r="AI181" s="1382"/>
      <c r="AJ181" s="1382"/>
      <c r="AK181" s="1382"/>
      <c r="AL181" s="1365"/>
      <c r="AM181" s="1367"/>
      <c r="AN181" s="1105"/>
      <c r="AO181" s="421"/>
      <c r="AP181" s="421"/>
    </row>
    <row r="182" spans="1:42" ht="52.9" customHeight="1">
      <c r="A182" s="824"/>
      <c r="B182" s="824"/>
      <c r="C182" s="824"/>
      <c r="D182" s="1374" t="s">
        <v>724</v>
      </c>
      <c r="E182" s="1374"/>
      <c r="F182" s="1376">
        <f>SUM(F183:L186)</f>
        <v>58</v>
      </c>
      <c r="G182" s="1376"/>
      <c r="H182" s="1376"/>
      <c r="I182" s="1376"/>
      <c r="J182" s="1376"/>
      <c r="K182" s="1376"/>
      <c r="L182" s="1376"/>
      <c r="M182" s="1376"/>
      <c r="N182" s="1376"/>
      <c r="O182" s="1376"/>
      <c r="P182" s="1376"/>
      <c r="Q182" s="1377">
        <f>SUM(Q183:S186)</f>
        <v>100</v>
      </c>
      <c r="R182" s="1377"/>
      <c r="S182" s="1377"/>
      <c r="T182" s="1383">
        <f>SUM(T183:Z186)</f>
        <v>246647</v>
      </c>
      <c r="U182" s="1383"/>
      <c r="V182" s="1383"/>
      <c r="W182" s="1383"/>
      <c r="X182" s="1383"/>
      <c r="Y182" s="1383"/>
      <c r="Z182" s="1383"/>
      <c r="AA182" s="1383">
        <f>SUM(AA183:AG186)</f>
        <v>106690.01901531764</v>
      </c>
      <c r="AB182" s="1383"/>
      <c r="AC182" s="1383"/>
      <c r="AD182" s="1383"/>
      <c r="AE182" s="1383"/>
      <c r="AF182" s="1383"/>
      <c r="AG182" s="1383"/>
      <c r="AH182" s="1377">
        <f>SUM(AH183:AK186)</f>
        <v>100</v>
      </c>
      <c r="AI182" s="1377"/>
      <c r="AJ182" s="1377"/>
      <c r="AK182" s="1377"/>
      <c r="AL182" s="1378"/>
      <c r="AM182" s="1378"/>
      <c r="AN182" s="1103"/>
      <c r="AO182" s="421"/>
      <c r="AP182" s="421"/>
    </row>
    <row r="183" spans="1:42" ht="52.9" customHeight="1">
      <c r="A183" s="826"/>
      <c r="B183" s="826"/>
      <c r="C183" s="826"/>
      <c r="D183" s="1369"/>
      <c r="E183" s="1369"/>
      <c r="F183" s="1370">
        <f>COUNTIF($AN$99:$AN$160,"A")</f>
        <v>44</v>
      </c>
      <c r="G183" s="1370"/>
      <c r="H183" s="1370"/>
      <c r="I183" s="1370"/>
      <c r="J183" s="1370"/>
      <c r="K183" s="1370"/>
      <c r="L183" s="1370"/>
      <c r="M183" s="1370" t="s">
        <v>36</v>
      </c>
      <c r="N183" s="1370"/>
      <c r="O183" s="1370"/>
      <c r="P183" s="1370"/>
      <c r="Q183" s="1371">
        <f>+F183/$F$182*100</f>
        <v>75.862068965517238</v>
      </c>
      <c r="R183" s="1371"/>
      <c r="S183" s="1371"/>
      <c r="T183" s="1375">
        <f>SUMIF($AN$99:$AN$160,"A",$AK$99:$AK$160)</f>
        <v>190077</v>
      </c>
      <c r="U183" s="1375"/>
      <c r="V183" s="1375"/>
      <c r="W183" s="1375"/>
      <c r="X183" s="1375"/>
      <c r="Y183" s="1375"/>
      <c r="Z183" s="1375"/>
      <c r="AA183" s="1375">
        <f>SUMIF($AN$99:$AN$160,"A",$AM$99:$AM$160)</f>
        <v>82220.009748241544</v>
      </c>
      <c r="AB183" s="1375"/>
      <c r="AC183" s="1375"/>
      <c r="AD183" s="1375"/>
      <c r="AE183" s="1375"/>
      <c r="AF183" s="1375"/>
      <c r="AG183" s="1375"/>
      <c r="AH183" s="1371">
        <f>+AA183/$AA$182*100</f>
        <v>77.064387566035677</v>
      </c>
      <c r="AI183" s="1371"/>
      <c r="AJ183" s="1371"/>
      <c r="AK183" s="1371"/>
      <c r="AL183" s="1373"/>
      <c r="AM183" s="1373"/>
      <c r="AN183" s="1104"/>
      <c r="AO183" s="421"/>
      <c r="AP183" s="421"/>
    </row>
    <row r="184" spans="1:42" ht="52.9" customHeight="1">
      <c r="A184" s="826"/>
      <c r="B184" s="826"/>
      <c r="C184" s="826"/>
      <c r="D184" s="1369"/>
      <c r="E184" s="1369"/>
      <c r="F184" s="1370">
        <f>COUNTIF($AN$99:$AN$160,"B")</f>
        <v>14</v>
      </c>
      <c r="G184" s="1370"/>
      <c r="H184" s="1370"/>
      <c r="I184" s="1370"/>
      <c r="J184" s="1370"/>
      <c r="K184" s="1370"/>
      <c r="L184" s="1370"/>
      <c r="M184" s="1370" t="s">
        <v>43</v>
      </c>
      <c r="N184" s="1370"/>
      <c r="O184" s="1370"/>
      <c r="P184" s="1370"/>
      <c r="Q184" s="1371">
        <f>+F184/$F$182*100</f>
        <v>24.137931034482758</v>
      </c>
      <c r="R184" s="1371"/>
      <c r="S184" s="1371"/>
      <c r="T184" s="1375">
        <f>SUMIF($AN$99:$AN$160,"B",$AK$99:$AK$160)</f>
        <v>56570</v>
      </c>
      <c r="U184" s="1375"/>
      <c r="V184" s="1375"/>
      <c r="W184" s="1375"/>
      <c r="X184" s="1375"/>
      <c r="Y184" s="1375"/>
      <c r="Z184" s="1375"/>
      <c r="AA184" s="1375">
        <f>SUMIF($AN$99:$AN$160,"B",$AM$99:$AM$160)</f>
        <v>24470.009267076101</v>
      </c>
      <c r="AB184" s="1375"/>
      <c r="AC184" s="1375"/>
      <c r="AD184" s="1375"/>
      <c r="AE184" s="1375"/>
      <c r="AF184" s="1375"/>
      <c r="AG184" s="1375"/>
      <c r="AH184" s="1371">
        <f>+AA184/$AA$182*100</f>
        <v>22.93561243396433</v>
      </c>
      <c r="AI184" s="1371"/>
      <c r="AJ184" s="1371"/>
      <c r="AK184" s="1371"/>
      <c r="AL184" s="1373"/>
      <c r="AM184" s="1373"/>
      <c r="AN184" s="1104"/>
      <c r="AO184" s="421"/>
      <c r="AP184" s="421"/>
    </row>
    <row r="185" spans="1:42" ht="52.9" hidden="1" customHeight="1">
      <c r="A185" s="826"/>
      <c r="B185" s="826"/>
      <c r="C185" s="826"/>
      <c r="D185" s="1369"/>
      <c r="E185" s="1369"/>
      <c r="F185" s="1370">
        <f>COUNTIF($AN$99:$AN$160,"C")</f>
        <v>0</v>
      </c>
      <c r="G185" s="1370"/>
      <c r="H185" s="1370"/>
      <c r="I185" s="1370"/>
      <c r="J185" s="1370"/>
      <c r="K185" s="1370"/>
      <c r="L185" s="1370"/>
      <c r="M185" s="1370" t="s">
        <v>423</v>
      </c>
      <c r="N185" s="1370"/>
      <c r="O185" s="1370"/>
      <c r="P185" s="1370"/>
      <c r="Q185" s="1371">
        <f t="shared" ref="Q185:Q186" si="19">+F185/$F$195*100</f>
        <v>0</v>
      </c>
      <c r="R185" s="1371"/>
      <c r="S185" s="1371"/>
      <c r="T185" s="1375">
        <f>SUMIF($AN$99:$AN$160,"C",$AK$99:$AK$160)</f>
        <v>0</v>
      </c>
      <c r="U185" s="1375"/>
      <c r="V185" s="1375"/>
      <c r="W185" s="1375"/>
      <c r="X185" s="1375"/>
      <c r="Y185" s="1375"/>
      <c r="Z185" s="1375"/>
      <c r="AA185" s="1375">
        <f>SUMIF($AN$99:$AN$160,"C",$AM$99:$AM$160)</f>
        <v>0</v>
      </c>
      <c r="AB185" s="1375"/>
      <c r="AC185" s="1375"/>
      <c r="AD185" s="1375"/>
      <c r="AE185" s="1375"/>
      <c r="AF185" s="1375"/>
      <c r="AG185" s="1375"/>
      <c r="AH185" s="1371">
        <f>+AA185/$AA$181*100</f>
        <v>0</v>
      </c>
      <c r="AI185" s="1371"/>
      <c r="AJ185" s="1371"/>
      <c r="AK185" s="1371"/>
      <c r="AL185" s="1373"/>
      <c r="AM185" s="1373"/>
      <c r="AN185" s="1104"/>
      <c r="AO185" s="421"/>
      <c r="AP185" s="421"/>
    </row>
    <row r="186" spans="1:42" ht="52.9" hidden="1" customHeight="1">
      <c r="A186" s="826"/>
      <c r="B186" s="826"/>
      <c r="C186" s="826"/>
      <c r="D186" s="1369"/>
      <c r="E186" s="1369"/>
      <c r="F186" s="1370">
        <f>COUNTIF($AN$99:$AN$160,"D")</f>
        <v>0</v>
      </c>
      <c r="G186" s="1370"/>
      <c r="H186" s="1370"/>
      <c r="I186" s="1370"/>
      <c r="J186" s="1370"/>
      <c r="K186" s="1370"/>
      <c r="L186" s="1370"/>
      <c r="M186" s="1370" t="s">
        <v>44</v>
      </c>
      <c r="N186" s="1370"/>
      <c r="O186" s="1370"/>
      <c r="P186" s="1370"/>
      <c r="Q186" s="1371">
        <f t="shared" si="19"/>
        <v>0</v>
      </c>
      <c r="R186" s="1371"/>
      <c r="S186" s="1371"/>
      <c r="T186" s="1375">
        <f>SUMIF($AN$99:$AN$160,"D",$AK$99:$AK$160)</f>
        <v>0</v>
      </c>
      <c r="U186" s="1375"/>
      <c r="V186" s="1375"/>
      <c r="W186" s="1375"/>
      <c r="X186" s="1375"/>
      <c r="Y186" s="1375"/>
      <c r="Z186" s="1375"/>
      <c r="AA186" s="1375">
        <f>SUMIF($AN$99:$AN$160,"D",$AM$99:$AM$160)</f>
        <v>0</v>
      </c>
      <c r="AB186" s="1375"/>
      <c r="AC186" s="1375"/>
      <c r="AD186" s="1375"/>
      <c r="AE186" s="1375"/>
      <c r="AF186" s="1375"/>
      <c r="AG186" s="1375"/>
      <c r="AH186" s="1371">
        <f>+AA186/$AA$181*100</f>
        <v>0</v>
      </c>
      <c r="AI186" s="1371"/>
      <c r="AJ186" s="1371"/>
      <c r="AK186" s="1371"/>
      <c r="AL186" s="1373"/>
      <c r="AM186" s="1373"/>
      <c r="AN186" s="1104"/>
      <c r="AO186" s="421"/>
      <c r="AP186" s="421"/>
    </row>
    <row r="187" spans="1:42" ht="52.9" customHeight="1">
      <c r="A187" s="826"/>
      <c r="B187" s="826"/>
      <c r="C187" s="826"/>
      <c r="D187" s="1374" t="s">
        <v>725</v>
      </c>
      <c r="E187" s="1374"/>
      <c r="F187" s="1370">
        <f>COUNTIF($AN$99:$AN$160,"C.")</f>
        <v>4</v>
      </c>
      <c r="G187" s="1370"/>
      <c r="H187" s="1370"/>
      <c r="I187" s="1370"/>
      <c r="J187" s="1370"/>
      <c r="K187" s="1370"/>
      <c r="L187" s="1370"/>
      <c r="M187" s="1370" t="s">
        <v>374</v>
      </c>
      <c r="N187" s="1370"/>
      <c r="O187" s="1370"/>
      <c r="P187" s="1370"/>
      <c r="Q187" s="1371"/>
      <c r="R187" s="1371"/>
      <c r="S187" s="1371"/>
      <c r="T187" s="1375">
        <f>SUMIF($AN$99:$AN$160,"C.",$AK$99:$AK$160)</f>
        <v>2151</v>
      </c>
      <c r="U187" s="1375"/>
      <c r="V187" s="1375"/>
      <c r="W187" s="1375"/>
      <c r="X187" s="1375"/>
      <c r="Y187" s="1375"/>
      <c r="Z187" s="1375"/>
      <c r="AA187" s="1375">
        <f>SUMIF($AN$99:$AN$160,"C.",$AM$99:$AM$160)</f>
        <v>930.4399846823527</v>
      </c>
      <c r="AB187" s="1375"/>
      <c r="AC187" s="1375"/>
      <c r="AD187" s="1375"/>
      <c r="AE187" s="1375"/>
      <c r="AF187" s="1375"/>
      <c r="AG187" s="1375"/>
      <c r="AH187" s="1371"/>
      <c r="AI187" s="1371"/>
      <c r="AJ187" s="1371"/>
      <c r="AK187" s="1371"/>
      <c r="AL187" s="1373"/>
      <c r="AM187" s="1373"/>
      <c r="AN187" s="1104"/>
      <c r="AO187" s="421"/>
      <c r="AP187" s="421"/>
    </row>
    <row r="188" spans="1:42" ht="52.9" customHeight="1">
      <c r="A188" s="828"/>
      <c r="B188" s="828"/>
      <c r="C188" s="828"/>
      <c r="D188" s="1359" t="s">
        <v>727</v>
      </c>
      <c r="E188" s="1359"/>
      <c r="F188" s="1360">
        <f>+F182+F187</f>
        <v>62</v>
      </c>
      <c r="G188" s="1360"/>
      <c r="H188" s="1360"/>
      <c r="I188" s="1360"/>
      <c r="J188" s="1360"/>
      <c r="K188" s="1360"/>
      <c r="L188" s="1360"/>
      <c r="M188" s="1361"/>
      <c r="N188" s="1362"/>
      <c r="O188" s="1362"/>
      <c r="P188" s="1363"/>
      <c r="Q188" s="1379"/>
      <c r="R188" s="1380"/>
      <c r="S188" s="1381"/>
      <c r="T188" s="1364">
        <f>+T182+T187</f>
        <v>248798</v>
      </c>
      <c r="U188" s="1364"/>
      <c r="V188" s="1364"/>
      <c r="W188" s="1364"/>
      <c r="X188" s="1364"/>
      <c r="Y188" s="1364"/>
      <c r="Z188" s="1364"/>
      <c r="AA188" s="1364">
        <f>AA182+AA187</f>
        <v>107620.45899999999</v>
      </c>
      <c r="AB188" s="1364"/>
      <c r="AC188" s="1364"/>
      <c r="AD188" s="1364"/>
      <c r="AE188" s="1364"/>
      <c r="AF188" s="1364"/>
      <c r="AG188" s="1364"/>
      <c r="AH188" s="1379"/>
      <c r="AI188" s="1380"/>
      <c r="AJ188" s="1380"/>
      <c r="AK188" s="1381"/>
      <c r="AL188" s="1365"/>
      <c r="AM188" s="1367"/>
      <c r="AN188" s="1106"/>
      <c r="AO188" s="421"/>
      <c r="AP188" s="421"/>
    </row>
    <row r="189" spans="1:42" ht="52.9" customHeight="1">
      <c r="A189" s="826"/>
      <c r="B189" s="826"/>
      <c r="C189" s="826"/>
      <c r="D189" s="1374" t="s">
        <v>724</v>
      </c>
      <c r="E189" s="1374"/>
      <c r="F189" s="1376">
        <f>SUM(F190:L193)</f>
        <v>131</v>
      </c>
      <c r="G189" s="1376"/>
      <c r="H189" s="1376"/>
      <c r="I189" s="1376"/>
      <c r="J189" s="1376"/>
      <c r="K189" s="1376"/>
      <c r="L189" s="1376"/>
      <c r="M189" s="1376"/>
      <c r="N189" s="1376"/>
      <c r="O189" s="1376"/>
      <c r="P189" s="1376"/>
      <c r="Q189" s="1377">
        <f>SUM(Q190:S193)</f>
        <v>100</v>
      </c>
      <c r="R189" s="1377"/>
      <c r="S189" s="1377"/>
      <c r="T189" s="1377">
        <f>SUM(T190:Z193)</f>
        <v>537516</v>
      </c>
      <c r="U189" s="1377"/>
      <c r="V189" s="1377"/>
      <c r="W189" s="1377"/>
      <c r="X189" s="1377"/>
      <c r="Y189" s="1377"/>
      <c r="Z189" s="1377"/>
      <c r="AA189" s="1377">
        <f>SUM(AA190:AG193)</f>
        <v>230931.46367279132</v>
      </c>
      <c r="AB189" s="1377"/>
      <c r="AC189" s="1377"/>
      <c r="AD189" s="1377"/>
      <c r="AE189" s="1377"/>
      <c r="AF189" s="1377"/>
      <c r="AG189" s="1377"/>
      <c r="AH189" s="1377">
        <f>SUM(AH190:AK193)</f>
        <v>99.999999999999986</v>
      </c>
      <c r="AI189" s="1377"/>
      <c r="AJ189" s="1377"/>
      <c r="AK189" s="1377"/>
      <c r="AL189" s="1378"/>
      <c r="AM189" s="1378"/>
      <c r="AN189" s="1104"/>
      <c r="AO189" s="421"/>
      <c r="AP189" s="421"/>
    </row>
    <row r="190" spans="1:42" ht="52.9" customHeight="1">
      <c r="A190" s="826"/>
      <c r="B190" s="826"/>
      <c r="C190" s="826"/>
      <c r="D190" s="1369"/>
      <c r="E190" s="1369"/>
      <c r="F190" s="1370">
        <f>F176+F183</f>
        <v>108</v>
      </c>
      <c r="G190" s="1370"/>
      <c r="H190" s="1370"/>
      <c r="I190" s="1370"/>
      <c r="J190" s="1370"/>
      <c r="K190" s="1370"/>
      <c r="L190" s="1370"/>
      <c r="M190" s="1370" t="s">
        <v>36</v>
      </c>
      <c r="N190" s="1370"/>
      <c r="O190" s="1370"/>
      <c r="P190" s="1370"/>
      <c r="Q190" s="1371">
        <f>+F190/$F$189*100</f>
        <v>82.44274809160305</v>
      </c>
      <c r="R190" s="1371"/>
      <c r="S190" s="1371"/>
      <c r="T190" s="1372">
        <f>T183+T176</f>
        <v>448381</v>
      </c>
      <c r="U190" s="1372"/>
      <c r="V190" s="1372"/>
      <c r="W190" s="1372"/>
      <c r="X190" s="1372"/>
      <c r="Y190" s="1372"/>
      <c r="Z190" s="1372"/>
      <c r="AA190" s="1372">
        <f>AA176+AA183</f>
        <v>192551.67837158771</v>
      </c>
      <c r="AB190" s="1372"/>
      <c r="AC190" s="1372"/>
      <c r="AD190" s="1372"/>
      <c r="AE190" s="1372"/>
      <c r="AF190" s="1372"/>
      <c r="AG190" s="1372"/>
      <c r="AH190" s="1371">
        <f>+AA190/$AA$189*100</f>
        <v>83.380443404808517</v>
      </c>
      <c r="AI190" s="1371"/>
      <c r="AJ190" s="1371"/>
      <c r="AK190" s="1371"/>
      <c r="AL190" s="1373"/>
      <c r="AM190" s="1373"/>
      <c r="AN190" s="1104"/>
      <c r="AO190" s="421"/>
      <c r="AP190" s="421"/>
    </row>
    <row r="191" spans="1:42" ht="52.9" customHeight="1">
      <c r="A191" s="826"/>
      <c r="B191" s="826"/>
      <c r="C191" s="826"/>
      <c r="D191" s="1369"/>
      <c r="E191" s="1369"/>
      <c r="F191" s="1370">
        <f>F177+F184</f>
        <v>23</v>
      </c>
      <c r="G191" s="1370"/>
      <c r="H191" s="1370"/>
      <c r="I191" s="1370"/>
      <c r="J191" s="1370"/>
      <c r="K191" s="1370"/>
      <c r="L191" s="1370"/>
      <c r="M191" s="1370" t="s">
        <v>43</v>
      </c>
      <c r="N191" s="1370"/>
      <c r="O191" s="1370"/>
      <c r="P191" s="1370"/>
      <c r="Q191" s="1371">
        <f>+F191/$F$189*100</f>
        <v>17.557251908396946</v>
      </c>
      <c r="R191" s="1371"/>
      <c r="S191" s="1371"/>
      <c r="T191" s="1372">
        <f>T184+T177</f>
        <v>89135</v>
      </c>
      <c r="U191" s="1372"/>
      <c r="V191" s="1372"/>
      <c r="W191" s="1372"/>
      <c r="X191" s="1372"/>
      <c r="Y191" s="1372"/>
      <c r="Z191" s="1372"/>
      <c r="AA191" s="1372">
        <f>AA177+AA184</f>
        <v>38379.785301203592</v>
      </c>
      <c r="AB191" s="1372"/>
      <c r="AC191" s="1372"/>
      <c r="AD191" s="1372"/>
      <c r="AE191" s="1372"/>
      <c r="AF191" s="1372"/>
      <c r="AG191" s="1372"/>
      <c r="AH191" s="1371">
        <f>+AA191/$AA$189*100</f>
        <v>16.619556595191472</v>
      </c>
      <c r="AI191" s="1371"/>
      <c r="AJ191" s="1371"/>
      <c r="AK191" s="1371"/>
      <c r="AL191" s="1373"/>
      <c r="AM191" s="1373"/>
      <c r="AN191" s="1104"/>
      <c r="AO191" s="421"/>
      <c r="AP191" s="421"/>
    </row>
    <row r="192" spans="1:42" ht="52.9" hidden="1" customHeight="1">
      <c r="A192" s="826"/>
      <c r="B192" s="826"/>
      <c r="C192" s="826"/>
      <c r="D192" s="1369"/>
      <c r="E192" s="1369"/>
      <c r="F192" s="1370">
        <f>F178+F185</f>
        <v>0</v>
      </c>
      <c r="G192" s="1370"/>
      <c r="H192" s="1370"/>
      <c r="I192" s="1370"/>
      <c r="J192" s="1370"/>
      <c r="K192" s="1370"/>
      <c r="L192" s="1370"/>
      <c r="M192" s="1370" t="s">
        <v>423</v>
      </c>
      <c r="N192" s="1370"/>
      <c r="O192" s="1370"/>
      <c r="P192" s="1370"/>
      <c r="Q192" s="1371">
        <f>+F192/$F$189*100</f>
        <v>0</v>
      </c>
      <c r="R192" s="1371"/>
      <c r="S192" s="1371"/>
      <c r="T192" s="1372">
        <f>T185+T178</f>
        <v>0</v>
      </c>
      <c r="U192" s="1372"/>
      <c r="V192" s="1372"/>
      <c r="W192" s="1372"/>
      <c r="X192" s="1372"/>
      <c r="Y192" s="1372"/>
      <c r="Z192" s="1372"/>
      <c r="AA192" s="1372">
        <f>AA178+AA185</f>
        <v>0</v>
      </c>
      <c r="AB192" s="1372"/>
      <c r="AC192" s="1372"/>
      <c r="AD192" s="1372"/>
      <c r="AE192" s="1372"/>
      <c r="AF192" s="1372"/>
      <c r="AG192" s="1372"/>
      <c r="AH192" s="1371">
        <f>+AA192/$AA$189*100</f>
        <v>0</v>
      </c>
      <c r="AI192" s="1371"/>
      <c r="AJ192" s="1371"/>
      <c r="AK192" s="1371"/>
      <c r="AL192" s="1373"/>
      <c r="AM192" s="1373"/>
      <c r="AN192" s="1104"/>
      <c r="AO192" s="822"/>
      <c r="AP192" s="421"/>
    </row>
    <row r="193" spans="1:42" ht="52.9" hidden="1" customHeight="1">
      <c r="A193" s="826"/>
      <c r="B193" s="826"/>
      <c r="C193" s="826"/>
      <c r="D193" s="1369"/>
      <c r="E193" s="1369"/>
      <c r="F193" s="1370">
        <f>F179+F186</f>
        <v>0</v>
      </c>
      <c r="G193" s="1370"/>
      <c r="H193" s="1370"/>
      <c r="I193" s="1370"/>
      <c r="J193" s="1370"/>
      <c r="K193" s="1370"/>
      <c r="L193" s="1370"/>
      <c r="M193" s="1370" t="s">
        <v>44</v>
      </c>
      <c r="N193" s="1370"/>
      <c r="O193" s="1370"/>
      <c r="P193" s="1370"/>
      <c r="Q193" s="1371">
        <f>+F193/$F$195*100</f>
        <v>0</v>
      </c>
      <c r="R193" s="1371"/>
      <c r="S193" s="1371"/>
      <c r="T193" s="1371">
        <f>T186+T179</f>
        <v>0</v>
      </c>
      <c r="U193" s="1371"/>
      <c r="V193" s="1371"/>
      <c r="W193" s="1371"/>
      <c r="X193" s="1371"/>
      <c r="Y193" s="1371"/>
      <c r="Z193" s="1371"/>
      <c r="AA193" s="1372">
        <f>AA179+AA186</f>
        <v>0</v>
      </c>
      <c r="AB193" s="1372"/>
      <c r="AC193" s="1372"/>
      <c r="AD193" s="1372"/>
      <c r="AE193" s="1372"/>
      <c r="AF193" s="1372"/>
      <c r="AG193" s="1372"/>
      <c r="AH193" s="1371">
        <f>+AA193/$AA$189*100</f>
        <v>0</v>
      </c>
      <c r="AI193" s="1371"/>
      <c r="AJ193" s="1371"/>
      <c r="AK193" s="1371"/>
      <c r="AL193" s="1373"/>
      <c r="AM193" s="1373"/>
      <c r="AN193" s="1104"/>
      <c r="AO193" s="421"/>
      <c r="AP193" s="421"/>
    </row>
    <row r="194" spans="1:42" ht="52.9" customHeight="1">
      <c r="A194" s="826"/>
      <c r="B194" s="826"/>
      <c r="C194" s="826"/>
      <c r="D194" s="1374" t="s">
        <v>725</v>
      </c>
      <c r="E194" s="1374"/>
      <c r="F194" s="1370">
        <f>F187+F180</f>
        <v>12</v>
      </c>
      <c r="G194" s="1370"/>
      <c r="H194" s="1370"/>
      <c r="I194" s="1370"/>
      <c r="J194" s="1370"/>
      <c r="K194" s="1370"/>
      <c r="L194" s="1370"/>
      <c r="M194" s="1370" t="s">
        <v>374</v>
      </c>
      <c r="N194" s="1370"/>
      <c r="O194" s="1370"/>
      <c r="P194" s="1370"/>
      <c r="Q194" s="1370"/>
      <c r="R194" s="1370"/>
      <c r="S194" s="1370"/>
      <c r="T194" s="1375">
        <f>T187+T180</f>
        <v>2953</v>
      </c>
      <c r="U194" s="1375"/>
      <c r="V194" s="1375"/>
      <c r="W194" s="1375"/>
      <c r="X194" s="1375"/>
      <c r="Y194" s="1375"/>
      <c r="Z194" s="1375"/>
      <c r="AA194" s="1372">
        <f>AA180+AA187</f>
        <v>1273.0053272086923</v>
      </c>
      <c r="AB194" s="1372"/>
      <c r="AC194" s="1372"/>
      <c r="AD194" s="1372"/>
      <c r="AE194" s="1372"/>
      <c r="AF194" s="1372"/>
      <c r="AG194" s="1372"/>
      <c r="AH194" s="1373"/>
      <c r="AI194" s="1373"/>
      <c r="AJ194" s="1373"/>
      <c r="AK194" s="1373"/>
      <c r="AL194" s="1373"/>
      <c r="AM194" s="1373"/>
      <c r="AN194" s="1104"/>
      <c r="AO194" s="421"/>
      <c r="AP194" s="421"/>
    </row>
    <row r="195" spans="1:42" ht="52.9" customHeight="1">
      <c r="A195" s="824"/>
      <c r="B195" s="824"/>
      <c r="C195" s="824"/>
      <c r="D195" s="1359" t="s">
        <v>728</v>
      </c>
      <c r="E195" s="1359"/>
      <c r="F195" s="1360">
        <f>+F189+F194</f>
        <v>143</v>
      </c>
      <c r="G195" s="1360"/>
      <c r="H195" s="1360"/>
      <c r="I195" s="1360"/>
      <c r="J195" s="1360"/>
      <c r="K195" s="1360"/>
      <c r="L195" s="1360"/>
      <c r="M195" s="1361"/>
      <c r="N195" s="1362"/>
      <c r="O195" s="1362"/>
      <c r="P195" s="1363"/>
      <c r="Q195" s="1361"/>
      <c r="R195" s="1362"/>
      <c r="S195" s="1363"/>
      <c r="T195" s="1364">
        <f>+T189+T194</f>
        <v>540469</v>
      </c>
      <c r="U195" s="1364"/>
      <c r="V195" s="1364"/>
      <c r="W195" s="1364"/>
      <c r="X195" s="1364"/>
      <c r="Y195" s="1364"/>
      <c r="Z195" s="1364"/>
      <c r="AA195" s="1364">
        <f>+AA189+AA194</f>
        <v>232204.46900000001</v>
      </c>
      <c r="AB195" s="1364"/>
      <c r="AC195" s="1364"/>
      <c r="AD195" s="1364"/>
      <c r="AE195" s="1364"/>
      <c r="AF195" s="1364"/>
      <c r="AG195" s="1364"/>
      <c r="AH195" s="1365"/>
      <c r="AI195" s="1366"/>
      <c r="AJ195" s="1366"/>
      <c r="AK195" s="1367"/>
      <c r="AL195" s="1365"/>
      <c r="AM195" s="1367"/>
      <c r="AN195" s="1107"/>
      <c r="AO195" s="421"/>
      <c r="AP195" s="421"/>
    </row>
    <row r="196" spans="1:42" ht="28.5" customHeight="1">
      <c r="A196" s="824"/>
      <c r="B196" s="824"/>
      <c r="C196" s="824"/>
      <c r="D196" s="824"/>
      <c r="E196" s="829"/>
      <c r="F196" s="829"/>
      <c r="G196" s="829"/>
      <c r="H196" s="829"/>
      <c r="I196" s="829"/>
      <c r="J196" s="829"/>
      <c r="K196" s="829"/>
      <c r="L196" s="829"/>
      <c r="M196" s="829"/>
      <c r="N196" s="829"/>
      <c r="O196" s="829"/>
      <c r="P196" s="829"/>
      <c r="Q196" s="829"/>
      <c r="R196" s="829"/>
      <c r="S196" s="829"/>
      <c r="T196" s="829"/>
      <c r="U196" s="829"/>
      <c r="V196" s="829"/>
      <c r="W196" s="829"/>
      <c r="X196" s="829"/>
      <c r="Y196" s="829"/>
      <c r="Z196" s="829"/>
      <c r="AA196" s="829"/>
      <c r="AB196" s="829"/>
      <c r="AC196" s="829"/>
      <c r="AD196" s="829"/>
      <c r="AE196" s="829"/>
      <c r="AF196" s="829"/>
      <c r="AG196" s="829"/>
      <c r="AH196" s="829"/>
      <c r="AI196" s="829"/>
      <c r="AJ196" s="829"/>
      <c r="AK196" s="830"/>
      <c r="AL196" s="830"/>
      <c r="AM196" s="829"/>
      <c r="AN196" s="1108"/>
      <c r="AO196" s="421"/>
      <c r="AP196" s="421"/>
    </row>
    <row r="197" spans="1:42" ht="69" customHeight="1">
      <c r="A197" s="831"/>
      <c r="B197" s="831"/>
      <c r="C197" s="831"/>
      <c r="D197" s="832"/>
      <c r="E197" s="833"/>
      <c r="F197" s="833"/>
      <c r="G197" s="826"/>
      <c r="H197" s="826"/>
      <c r="I197" s="826"/>
      <c r="J197" s="826"/>
      <c r="K197" s="826"/>
      <c r="L197" s="826"/>
      <c r="M197" s="826"/>
      <c r="N197" s="826"/>
      <c r="O197" s="826"/>
      <c r="P197" s="834"/>
      <c r="Q197" s="834"/>
      <c r="R197" s="834"/>
      <c r="S197" s="834"/>
      <c r="T197" s="826"/>
      <c r="U197" s="826"/>
      <c r="V197" s="826"/>
      <c r="W197" s="826"/>
      <c r="X197" s="826"/>
      <c r="Y197" s="835"/>
      <c r="Z197" s="835"/>
      <c r="AA197" s="825"/>
      <c r="AB197" s="835"/>
      <c r="AC197" s="835"/>
      <c r="AD197" s="1368" t="s">
        <v>810</v>
      </c>
      <c r="AE197" s="1368"/>
      <c r="AF197" s="1368"/>
      <c r="AG197" s="1368"/>
      <c r="AH197" s="1368"/>
      <c r="AI197" s="1368"/>
      <c r="AJ197" s="1368"/>
      <c r="AK197" s="1368"/>
      <c r="AL197" s="1368"/>
      <c r="AM197" s="1368"/>
      <c r="AN197" s="1368"/>
      <c r="AO197" s="421"/>
      <c r="AP197" s="421"/>
    </row>
    <row r="198" spans="1:42" ht="81" customHeight="1">
      <c r="A198" s="1357" t="s">
        <v>29</v>
      </c>
      <c r="B198" s="1357"/>
      <c r="C198" s="1357"/>
      <c r="D198" s="1357"/>
      <c r="E198" s="836"/>
      <c r="F198" s="1358" t="s">
        <v>775</v>
      </c>
      <c r="G198" s="1358"/>
      <c r="H198" s="1358"/>
      <c r="I198" s="1358"/>
      <c r="J198" s="1358"/>
      <c r="K198" s="1358"/>
      <c r="L198" s="1358"/>
      <c r="M198" s="836"/>
      <c r="N198" s="836"/>
      <c r="O198" s="1357" t="s">
        <v>27</v>
      </c>
      <c r="P198" s="1357"/>
      <c r="Q198" s="1357"/>
      <c r="R198" s="1357"/>
      <c r="S198" s="1357"/>
      <c r="T198" s="1357"/>
      <c r="U198" s="837"/>
      <c r="V198" s="836"/>
      <c r="W198" s="1357" t="s">
        <v>729</v>
      </c>
      <c r="X198" s="1357"/>
      <c r="Y198" s="1357"/>
      <c r="Z198" s="1357"/>
      <c r="AA198" s="1357"/>
      <c r="AB198" s="1357"/>
      <c r="AC198" s="1357"/>
      <c r="AD198" s="836"/>
      <c r="AE198" s="1357" t="s">
        <v>730</v>
      </c>
      <c r="AF198" s="1357"/>
      <c r="AG198" s="1357"/>
      <c r="AH198" s="1357"/>
      <c r="AI198" s="1357"/>
      <c r="AJ198" s="1357"/>
      <c r="AK198" s="1358" t="s">
        <v>127</v>
      </c>
      <c r="AL198" s="1358"/>
      <c r="AM198" s="1358"/>
      <c r="AN198" s="1358"/>
      <c r="AO198" s="421"/>
      <c r="AP198" s="421"/>
    </row>
    <row r="199" spans="1:42" ht="28.5" customHeight="1">
      <c r="A199" s="446"/>
      <c r="B199" s="444"/>
      <c r="C199" s="444"/>
      <c r="D199" s="444"/>
      <c r="E199" s="444"/>
      <c r="F199" s="444"/>
      <c r="G199" s="444"/>
      <c r="H199" s="444"/>
      <c r="I199" s="444"/>
      <c r="J199" s="444"/>
      <c r="K199" s="444"/>
      <c r="L199" s="444"/>
      <c r="M199" s="444"/>
      <c r="N199" s="444"/>
      <c r="O199" s="444"/>
      <c r="P199" s="444"/>
      <c r="Q199" s="444"/>
      <c r="R199" s="444"/>
      <c r="S199" s="444"/>
      <c r="T199" s="444"/>
      <c r="U199" s="444"/>
      <c r="V199" s="444"/>
      <c r="W199" s="444"/>
      <c r="X199" s="444"/>
      <c r="Y199" s="444"/>
      <c r="Z199" s="444"/>
      <c r="AA199" s="630"/>
      <c r="AB199" s="630"/>
      <c r="AC199" s="630"/>
      <c r="AD199" s="630"/>
      <c r="AE199" s="630"/>
      <c r="AF199" s="630"/>
      <c r="AG199" s="630"/>
      <c r="AH199" s="630"/>
      <c r="AI199" s="630"/>
      <c r="AJ199" s="630"/>
      <c r="AK199" s="630"/>
      <c r="AL199" s="630"/>
      <c r="AM199" s="630"/>
      <c r="AN199" s="446"/>
      <c r="AO199" s="421"/>
      <c r="AP199" s="421"/>
    </row>
    <row r="200" spans="1:42" ht="85.5" customHeight="1">
      <c r="A200" s="446"/>
      <c r="B200" s="444"/>
      <c r="C200" s="444"/>
      <c r="D200" s="444"/>
      <c r="E200" s="444"/>
      <c r="F200" s="444"/>
      <c r="G200" s="444"/>
      <c r="H200" s="444"/>
      <c r="I200" s="444"/>
      <c r="J200" s="444"/>
      <c r="K200" s="444"/>
      <c r="L200" s="444"/>
      <c r="M200" s="444"/>
      <c r="N200" s="444"/>
      <c r="O200" s="444"/>
      <c r="P200" s="444"/>
      <c r="Q200" s="444"/>
      <c r="R200" s="444"/>
      <c r="S200" s="444"/>
      <c r="T200" s="444"/>
      <c r="U200" s="444"/>
      <c r="V200" s="444"/>
      <c r="W200" s="444"/>
      <c r="X200" s="444"/>
      <c r="Y200" s="444"/>
      <c r="Z200" s="444"/>
      <c r="AA200" s="630"/>
      <c r="AB200" s="630"/>
      <c r="AC200" s="630"/>
      <c r="AD200" s="630"/>
      <c r="AE200" s="630"/>
      <c r="AF200" s="630"/>
      <c r="AG200" s="446"/>
      <c r="AH200" s="446"/>
      <c r="AI200" s="446"/>
      <c r="AJ200" s="446"/>
      <c r="AK200" s="1441"/>
      <c r="AL200" s="1441"/>
      <c r="AM200" s="1441"/>
      <c r="AN200" s="1441"/>
      <c r="AO200" s="421"/>
      <c r="AP200" s="421"/>
    </row>
    <row r="201" spans="1:42" ht="28.5" customHeight="1">
      <c r="A201" s="435"/>
      <c r="B201" s="436"/>
      <c r="C201" s="436"/>
      <c r="D201" s="444"/>
      <c r="E201" s="444"/>
      <c r="F201" s="444"/>
      <c r="G201" s="444"/>
      <c r="H201" s="444"/>
      <c r="I201" s="444"/>
      <c r="J201" s="444"/>
      <c r="K201" s="444"/>
      <c r="L201" s="444"/>
      <c r="M201" s="444"/>
      <c r="N201" s="444"/>
      <c r="O201" s="444"/>
      <c r="P201" s="444"/>
      <c r="Q201" s="444"/>
      <c r="R201" s="444"/>
      <c r="S201" s="444"/>
      <c r="T201" s="444"/>
      <c r="U201" s="444"/>
      <c r="V201" s="444"/>
      <c r="W201" s="444"/>
      <c r="X201" s="444"/>
      <c r="Y201" s="444"/>
      <c r="Z201" s="444"/>
      <c r="AA201" s="630"/>
      <c r="AB201" s="630"/>
      <c r="AC201" s="630"/>
      <c r="AD201" s="630"/>
      <c r="AE201" s="630"/>
      <c r="AF201" s="630"/>
      <c r="AG201" s="630"/>
      <c r="AH201" s="630"/>
      <c r="AI201" s="630"/>
      <c r="AJ201" s="630"/>
      <c r="AK201" s="630"/>
      <c r="AL201" s="630"/>
      <c r="AM201" s="630"/>
      <c r="AN201" s="446"/>
      <c r="AO201" s="421"/>
      <c r="AP201" s="421"/>
    </row>
    <row r="202" spans="1:42" ht="28.5" customHeight="1">
      <c r="A202" s="427"/>
      <c r="B202" s="428"/>
      <c r="C202" s="428"/>
      <c r="D202" s="444"/>
      <c r="E202" s="444"/>
      <c r="F202" s="444"/>
      <c r="G202" s="444"/>
      <c r="H202" s="444"/>
      <c r="I202" s="444"/>
      <c r="J202" s="444"/>
      <c r="K202" s="444"/>
      <c r="L202" s="444"/>
      <c r="M202" s="444"/>
      <c r="N202" s="444"/>
      <c r="O202" s="444"/>
      <c r="P202" s="444"/>
      <c r="Q202" s="444"/>
      <c r="R202" s="444"/>
      <c r="S202" s="444"/>
      <c r="T202" s="444"/>
      <c r="U202" s="444"/>
      <c r="V202" s="444"/>
      <c r="W202" s="444"/>
      <c r="X202" s="444"/>
      <c r="Y202" s="444"/>
      <c r="Z202" s="444"/>
      <c r="AA202" s="630"/>
      <c r="AB202" s="630"/>
      <c r="AC202" s="630"/>
      <c r="AD202" s="630"/>
      <c r="AE202" s="630"/>
      <c r="AF202" s="630"/>
      <c r="AG202" s="630"/>
      <c r="AH202" s="630"/>
      <c r="AI202" s="630"/>
      <c r="AJ202" s="630"/>
      <c r="AK202" s="630"/>
      <c r="AL202" s="630"/>
      <c r="AM202" s="630"/>
      <c r="AN202" s="446"/>
      <c r="AO202" s="421"/>
      <c r="AP202" s="421"/>
    </row>
    <row r="203" spans="1:42" ht="28.5" customHeight="1">
      <c r="A203" s="427"/>
      <c r="B203" s="428"/>
      <c r="C203" s="428"/>
      <c r="D203" s="444"/>
      <c r="E203" s="444"/>
      <c r="F203" s="444"/>
      <c r="G203" s="444"/>
      <c r="H203" s="444"/>
      <c r="I203" s="444"/>
      <c r="J203" s="444"/>
      <c r="K203" s="444"/>
      <c r="L203" s="444"/>
      <c r="M203" s="444"/>
      <c r="N203" s="444"/>
      <c r="O203" s="444"/>
      <c r="P203" s="444"/>
      <c r="Q203" s="444"/>
      <c r="R203" s="444"/>
      <c r="S203" s="444"/>
      <c r="T203" s="444"/>
      <c r="U203" s="444"/>
      <c r="V203" s="444"/>
      <c r="W203" s="444"/>
      <c r="X203" s="444"/>
      <c r="Y203" s="444"/>
      <c r="Z203" s="444"/>
      <c r="AA203" s="630"/>
      <c r="AB203" s="630"/>
      <c r="AC203" s="630"/>
      <c r="AD203" s="630"/>
      <c r="AE203" s="1428"/>
      <c r="AF203" s="1428"/>
      <c r="AG203" s="630"/>
      <c r="AH203" s="630"/>
      <c r="AI203" s="630"/>
      <c r="AJ203" s="630"/>
      <c r="AK203" s="630"/>
      <c r="AL203" s="630"/>
      <c r="AM203" s="630"/>
      <c r="AN203" s="446"/>
      <c r="AO203" s="421"/>
      <c r="AP203" s="421"/>
    </row>
    <row r="204" spans="1:42" ht="28.5" customHeight="1">
      <c r="A204" s="427"/>
      <c r="B204" s="428"/>
      <c r="C204" s="428"/>
      <c r="D204" s="444"/>
      <c r="E204" s="444"/>
      <c r="F204" s="444"/>
      <c r="G204" s="444"/>
      <c r="H204" s="444"/>
      <c r="I204" s="444"/>
      <c r="J204" s="444"/>
      <c r="K204" s="444"/>
      <c r="L204" s="444"/>
      <c r="M204" s="444"/>
      <c r="N204" s="444"/>
      <c r="O204" s="444"/>
      <c r="P204" s="444"/>
      <c r="Q204" s="444"/>
      <c r="R204" s="444"/>
      <c r="S204" s="444"/>
      <c r="T204" s="444"/>
      <c r="U204" s="444"/>
      <c r="V204" s="444"/>
      <c r="W204" s="444"/>
      <c r="X204" s="444"/>
      <c r="Y204" s="444"/>
      <c r="Z204" s="444"/>
      <c r="AA204" s="630"/>
      <c r="AB204" s="630"/>
      <c r="AC204" s="630"/>
      <c r="AD204" s="630"/>
      <c r="AE204" s="630"/>
      <c r="AF204" s="630"/>
      <c r="AG204" s="630"/>
      <c r="AH204" s="630"/>
      <c r="AI204" s="630"/>
      <c r="AJ204" s="630"/>
      <c r="AK204" s="630"/>
      <c r="AL204" s="630"/>
      <c r="AM204" s="630"/>
      <c r="AN204" s="446"/>
      <c r="AO204" s="421"/>
      <c r="AP204" s="421"/>
    </row>
    <row r="205" spans="1:42" ht="28.5" customHeight="1">
      <c r="A205" s="427"/>
      <c r="B205" s="428"/>
      <c r="C205" s="428"/>
      <c r="D205" s="428"/>
      <c r="E205" s="428"/>
      <c r="F205" s="428"/>
      <c r="G205" s="428"/>
      <c r="H205" s="428"/>
      <c r="I205" s="428"/>
      <c r="J205" s="428"/>
      <c r="K205" s="428"/>
      <c r="L205" s="428"/>
      <c r="M205" s="428"/>
      <c r="N205" s="428"/>
      <c r="O205" s="428"/>
      <c r="P205" s="428"/>
      <c r="Q205" s="428"/>
      <c r="R205" s="428"/>
      <c r="S205" s="428"/>
      <c r="T205" s="428"/>
      <c r="U205" s="428"/>
      <c r="V205" s="428"/>
      <c r="W205" s="428"/>
      <c r="X205" s="428"/>
      <c r="Y205" s="428"/>
      <c r="Z205" s="428"/>
      <c r="AA205" s="497"/>
      <c r="AB205" s="497"/>
      <c r="AC205" s="497"/>
      <c r="AD205" s="497"/>
      <c r="AE205" s="497"/>
      <c r="AF205" s="497"/>
      <c r="AG205" s="497"/>
      <c r="AH205" s="497"/>
      <c r="AI205" s="497"/>
      <c r="AJ205" s="497"/>
      <c r="AK205" s="497"/>
      <c r="AL205" s="497"/>
      <c r="AM205" s="497"/>
      <c r="AN205" s="427"/>
      <c r="AO205" s="421"/>
      <c r="AP205" s="421"/>
    </row>
    <row r="206" spans="1:42" ht="28.5" customHeight="1">
      <c r="A206" s="427"/>
      <c r="B206" s="428"/>
      <c r="C206" s="428"/>
      <c r="D206" s="428"/>
      <c r="E206" s="428"/>
      <c r="F206" s="428"/>
      <c r="G206" s="428"/>
      <c r="H206" s="428"/>
      <c r="I206" s="428"/>
      <c r="J206" s="428"/>
      <c r="K206" s="428"/>
      <c r="L206" s="428"/>
      <c r="M206" s="428"/>
      <c r="N206" s="428"/>
      <c r="O206" s="428"/>
      <c r="P206" s="428"/>
      <c r="Q206" s="428"/>
      <c r="R206" s="428"/>
      <c r="S206" s="428"/>
      <c r="T206" s="428"/>
      <c r="U206" s="428"/>
      <c r="V206" s="428"/>
      <c r="W206" s="428"/>
      <c r="X206" s="428"/>
      <c r="Y206" s="428"/>
      <c r="Z206" s="428"/>
      <c r="AA206" s="497"/>
      <c r="AB206" s="497"/>
      <c r="AC206" s="497"/>
      <c r="AD206" s="497"/>
      <c r="AE206" s="497"/>
      <c r="AF206" s="497"/>
      <c r="AG206" s="497"/>
      <c r="AH206" s="497"/>
      <c r="AI206" s="497"/>
      <c r="AJ206" s="497"/>
      <c r="AK206" s="497"/>
      <c r="AL206" s="497"/>
      <c r="AM206" s="497"/>
      <c r="AN206" s="427"/>
      <c r="AO206" s="421"/>
      <c r="AP206" s="421"/>
    </row>
    <row r="207" spans="1:42" ht="28.5" customHeight="1">
      <c r="A207" s="427"/>
      <c r="B207" s="428"/>
      <c r="C207" s="428"/>
      <c r="D207" s="428"/>
      <c r="E207" s="428"/>
      <c r="F207" s="428"/>
      <c r="G207" s="428"/>
      <c r="H207" s="428"/>
      <c r="I207" s="428"/>
      <c r="J207" s="428"/>
      <c r="K207" s="428"/>
      <c r="L207" s="428"/>
      <c r="M207" s="428"/>
      <c r="N207" s="428"/>
      <c r="O207" s="428"/>
      <c r="P207" s="428"/>
      <c r="Q207" s="428"/>
      <c r="R207" s="428"/>
      <c r="S207" s="428"/>
      <c r="T207" s="428"/>
      <c r="U207" s="428"/>
      <c r="V207" s="428"/>
      <c r="W207" s="428"/>
      <c r="X207" s="428"/>
      <c r="Y207" s="428"/>
      <c r="Z207" s="428"/>
      <c r="AA207" s="497"/>
      <c r="AB207" s="497"/>
      <c r="AC207" s="497"/>
      <c r="AD207" s="497"/>
      <c r="AE207" s="497"/>
      <c r="AF207" s="497"/>
      <c r="AG207" s="497"/>
      <c r="AH207" s="497"/>
      <c r="AI207" s="497"/>
      <c r="AJ207" s="497"/>
      <c r="AK207" s="497"/>
      <c r="AL207" s="497"/>
      <c r="AM207" s="497"/>
      <c r="AN207" s="427"/>
      <c r="AO207" s="421"/>
      <c r="AP207" s="421"/>
    </row>
    <row r="208" spans="1:42" ht="28.5" customHeight="1">
      <c r="A208" s="427"/>
      <c r="B208" s="428"/>
      <c r="C208" s="428"/>
      <c r="D208" s="428"/>
      <c r="E208" s="428"/>
      <c r="F208" s="428"/>
      <c r="G208" s="428"/>
      <c r="H208" s="428"/>
      <c r="I208" s="428"/>
      <c r="J208" s="428"/>
      <c r="K208" s="428"/>
      <c r="L208" s="428"/>
      <c r="M208" s="428"/>
      <c r="N208" s="428"/>
      <c r="O208" s="428"/>
      <c r="P208" s="428"/>
      <c r="Q208" s="428"/>
      <c r="R208" s="428"/>
      <c r="S208" s="428"/>
      <c r="T208" s="428"/>
      <c r="U208" s="428"/>
      <c r="V208" s="428"/>
      <c r="W208" s="428"/>
      <c r="X208" s="428"/>
      <c r="Y208" s="428"/>
      <c r="Z208" s="428"/>
      <c r="AA208" s="497"/>
      <c r="AB208" s="497"/>
      <c r="AC208" s="497"/>
      <c r="AD208" s="497"/>
      <c r="AE208" s="497"/>
      <c r="AF208" s="497"/>
      <c r="AG208" s="497"/>
      <c r="AH208" s="497"/>
      <c r="AI208" s="497"/>
      <c r="AJ208" s="497"/>
      <c r="AK208" s="497"/>
      <c r="AL208" s="497"/>
      <c r="AM208" s="497"/>
      <c r="AN208" s="427"/>
      <c r="AO208" s="421"/>
      <c r="AP208" s="421"/>
    </row>
    <row r="209" spans="1:42" ht="28.5" customHeight="1">
      <c r="A209" s="427"/>
      <c r="B209" s="428"/>
      <c r="C209" s="428"/>
      <c r="D209" s="428"/>
      <c r="E209" s="428"/>
      <c r="F209" s="428"/>
      <c r="G209" s="428"/>
      <c r="H209" s="428"/>
      <c r="I209" s="428"/>
      <c r="J209" s="428"/>
      <c r="K209" s="428"/>
      <c r="L209" s="428"/>
      <c r="M209" s="428"/>
      <c r="N209" s="428"/>
      <c r="O209" s="428"/>
      <c r="P209" s="428"/>
      <c r="Q209" s="428"/>
      <c r="R209" s="428"/>
      <c r="S209" s="428"/>
      <c r="T209" s="428"/>
      <c r="U209" s="428"/>
      <c r="V209" s="428"/>
      <c r="W209" s="428"/>
      <c r="X209" s="428"/>
      <c r="Y209" s="428"/>
      <c r="Z209" s="428"/>
      <c r="AA209" s="497"/>
      <c r="AB209" s="497"/>
      <c r="AC209" s="497"/>
      <c r="AD209" s="497"/>
      <c r="AE209" s="497"/>
      <c r="AF209" s="497"/>
      <c r="AG209" s="497"/>
      <c r="AH209" s="497"/>
      <c r="AI209" s="497"/>
      <c r="AJ209" s="497"/>
      <c r="AK209" s="497"/>
      <c r="AL209" s="497"/>
      <c r="AM209" s="497"/>
      <c r="AN209" s="427"/>
      <c r="AO209" s="421"/>
      <c r="AP209" s="421"/>
    </row>
    <row r="210" spans="1:42" ht="28.5" customHeight="1">
      <c r="A210" s="427"/>
      <c r="B210" s="428"/>
      <c r="C210" s="428"/>
      <c r="D210" s="428"/>
      <c r="E210" s="428"/>
      <c r="F210" s="428"/>
      <c r="G210" s="428"/>
      <c r="H210" s="428"/>
      <c r="I210" s="428"/>
      <c r="J210" s="428"/>
      <c r="K210" s="428"/>
      <c r="L210" s="428"/>
      <c r="M210" s="428"/>
      <c r="N210" s="428"/>
      <c r="O210" s="428"/>
      <c r="P210" s="428"/>
      <c r="Q210" s="428"/>
      <c r="R210" s="428"/>
      <c r="S210" s="428"/>
      <c r="T210" s="428"/>
      <c r="U210" s="428"/>
      <c r="V210" s="428"/>
      <c r="W210" s="428"/>
      <c r="X210" s="428"/>
      <c r="Y210" s="428"/>
      <c r="Z210" s="428"/>
      <c r="AA210" s="497"/>
      <c r="AB210" s="497"/>
      <c r="AC210" s="497"/>
      <c r="AD210" s="497"/>
      <c r="AE210" s="497"/>
      <c r="AF210" s="497"/>
      <c r="AG210" s="497"/>
      <c r="AH210" s="497"/>
      <c r="AI210" s="497"/>
      <c r="AJ210" s="497"/>
      <c r="AK210" s="497"/>
      <c r="AL210" s="497"/>
      <c r="AM210" s="497"/>
      <c r="AN210" s="427"/>
      <c r="AO210" s="421"/>
      <c r="AP210" s="421"/>
    </row>
    <row r="211" spans="1:42" ht="28.5" customHeight="1">
      <c r="A211" s="427"/>
      <c r="B211" s="428"/>
      <c r="C211" s="428"/>
      <c r="D211" s="428"/>
      <c r="E211" s="428"/>
      <c r="F211" s="428"/>
      <c r="G211" s="428"/>
      <c r="H211" s="428"/>
      <c r="I211" s="428"/>
      <c r="J211" s="428"/>
      <c r="K211" s="428"/>
      <c r="L211" s="428"/>
      <c r="M211" s="428"/>
      <c r="N211" s="428"/>
      <c r="O211" s="428"/>
      <c r="P211" s="428"/>
      <c r="Q211" s="428"/>
      <c r="R211" s="428"/>
      <c r="S211" s="428"/>
      <c r="T211" s="428"/>
      <c r="U211" s="428"/>
      <c r="V211" s="428"/>
      <c r="W211" s="428"/>
      <c r="X211" s="428"/>
      <c r="Y211" s="428"/>
      <c r="Z211" s="428"/>
      <c r="AA211" s="497"/>
      <c r="AB211" s="497"/>
      <c r="AC211" s="497"/>
      <c r="AD211" s="497"/>
      <c r="AE211" s="497"/>
      <c r="AF211" s="497"/>
      <c r="AG211" s="497"/>
      <c r="AH211" s="497"/>
      <c r="AI211" s="497"/>
      <c r="AJ211" s="497"/>
      <c r="AK211" s="497"/>
      <c r="AL211" s="497"/>
      <c r="AM211" s="497"/>
      <c r="AN211" s="427"/>
      <c r="AO211" s="421"/>
      <c r="AP211" s="421"/>
    </row>
    <row r="212" spans="1:42" ht="28.5" customHeight="1">
      <c r="A212" s="427"/>
      <c r="B212" s="428"/>
      <c r="C212" s="428"/>
      <c r="D212" s="428"/>
      <c r="E212" s="428"/>
      <c r="F212" s="428"/>
      <c r="G212" s="428"/>
      <c r="H212" s="428"/>
      <c r="I212" s="428"/>
      <c r="J212" s="428"/>
      <c r="K212" s="428"/>
      <c r="L212" s="428"/>
      <c r="M212" s="428"/>
      <c r="N212" s="428"/>
      <c r="O212" s="428"/>
      <c r="P212" s="428"/>
      <c r="Q212" s="428"/>
      <c r="R212" s="428"/>
      <c r="S212" s="428"/>
      <c r="T212" s="428"/>
      <c r="U212" s="428"/>
      <c r="V212" s="428"/>
      <c r="W212" s="428"/>
      <c r="X212" s="428"/>
      <c r="Y212" s="428"/>
      <c r="Z212" s="428"/>
      <c r="AA212" s="497"/>
      <c r="AB212" s="497"/>
      <c r="AC212" s="497"/>
      <c r="AD212" s="497"/>
      <c r="AE212" s="497"/>
      <c r="AF212" s="497"/>
      <c r="AG212" s="497"/>
      <c r="AH212" s="497"/>
      <c r="AI212" s="497"/>
      <c r="AJ212" s="497"/>
      <c r="AK212" s="497"/>
      <c r="AL212" s="497"/>
      <c r="AM212" s="497"/>
      <c r="AN212" s="427"/>
      <c r="AO212" s="421"/>
      <c r="AP212" s="421"/>
    </row>
    <row r="213" spans="1:42" ht="28.5" customHeight="1">
      <c r="A213" s="427"/>
      <c r="B213" s="428"/>
      <c r="C213" s="428"/>
      <c r="D213" s="428"/>
      <c r="E213" s="428"/>
      <c r="F213" s="428"/>
      <c r="G213" s="428"/>
      <c r="H213" s="428"/>
      <c r="I213" s="428"/>
      <c r="J213" s="428"/>
      <c r="K213" s="428"/>
      <c r="L213" s="428"/>
      <c r="M213" s="428"/>
      <c r="N213" s="428"/>
      <c r="O213" s="428"/>
      <c r="P213" s="428"/>
      <c r="Q213" s="428"/>
      <c r="R213" s="428"/>
      <c r="S213" s="428"/>
      <c r="T213" s="428"/>
      <c r="U213" s="428"/>
      <c r="V213" s="428"/>
      <c r="W213" s="428"/>
      <c r="X213" s="428"/>
      <c r="Y213" s="428"/>
      <c r="Z213" s="428"/>
      <c r="AA213" s="497"/>
      <c r="AB213" s="497"/>
      <c r="AC213" s="497"/>
      <c r="AD213" s="497"/>
      <c r="AE213" s="497"/>
      <c r="AF213" s="497"/>
      <c r="AG213" s="497"/>
      <c r="AH213" s="497"/>
      <c r="AI213" s="497"/>
      <c r="AJ213" s="497"/>
      <c r="AK213" s="497"/>
      <c r="AL213" s="497"/>
      <c r="AM213" s="497"/>
      <c r="AN213" s="427"/>
      <c r="AO213" s="421"/>
      <c r="AP213" s="421"/>
    </row>
    <row r="214" spans="1:42" ht="28.5" customHeight="1">
      <c r="A214" s="427"/>
      <c r="B214" s="428"/>
      <c r="C214" s="428"/>
      <c r="D214" s="428"/>
      <c r="E214" s="428"/>
      <c r="F214" s="428"/>
      <c r="G214" s="428"/>
      <c r="H214" s="428"/>
      <c r="I214" s="428"/>
      <c r="J214" s="428"/>
      <c r="K214" s="428"/>
      <c r="L214" s="428"/>
      <c r="M214" s="428"/>
      <c r="N214" s="428"/>
      <c r="O214" s="428"/>
      <c r="P214" s="428"/>
      <c r="Q214" s="428"/>
      <c r="R214" s="428"/>
      <c r="S214" s="428"/>
      <c r="T214" s="428"/>
      <c r="U214" s="428"/>
      <c r="V214" s="428"/>
      <c r="W214" s="428"/>
      <c r="X214" s="428"/>
      <c r="Y214" s="428"/>
      <c r="Z214" s="428"/>
      <c r="AA214" s="497"/>
      <c r="AB214" s="497"/>
      <c r="AC214" s="497"/>
      <c r="AD214" s="497"/>
      <c r="AE214" s="497"/>
      <c r="AF214" s="497"/>
      <c r="AG214" s="497"/>
      <c r="AH214" s="497"/>
      <c r="AI214" s="497"/>
      <c r="AJ214" s="497"/>
      <c r="AK214" s="497"/>
      <c r="AL214" s="497"/>
      <c r="AM214" s="497"/>
      <c r="AN214" s="427"/>
      <c r="AO214" s="421"/>
      <c r="AP214" s="421"/>
    </row>
    <row r="215" spans="1:42" ht="28.5" customHeight="1">
      <c r="A215" s="427"/>
      <c r="B215" s="428"/>
      <c r="C215" s="428"/>
      <c r="D215" s="428"/>
      <c r="E215" s="428"/>
      <c r="F215" s="428"/>
      <c r="G215" s="428"/>
      <c r="H215" s="428"/>
      <c r="I215" s="428"/>
      <c r="J215" s="428"/>
      <c r="K215" s="428"/>
      <c r="L215" s="428"/>
      <c r="M215" s="428"/>
      <c r="N215" s="428"/>
      <c r="O215" s="428"/>
      <c r="P215" s="428"/>
      <c r="Q215" s="428"/>
      <c r="R215" s="428"/>
      <c r="S215" s="428"/>
      <c r="T215" s="428"/>
      <c r="U215" s="428"/>
      <c r="V215" s="428"/>
      <c r="W215" s="428"/>
      <c r="X215" s="428"/>
      <c r="Y215" s="428"/>
      <c r="Z215" s="428"/>
      <c r="AA215" s="497"/>
      <c r="AB215" s="497"/>
      <c r="AC215" s="497"/>
      <c r="AD215" s="497"/>
      <c r="AE215" s="497"/>
      <c r="AF215" s="497"/>
      <c r="AG215" s="497"/>
      <c r="AH215" s="497"/>
      <c r="AI215" s="497"/>
      <c r="AJ215" s="497"/>
      <c r="AK215" s="497"/>
      <c r="AL215" s="497"/>
      <c r="AM215" s="497"/>
      <c r="AN215" s="427"/>
      <c r="AO215" s="421"/>
      <c r="AP215" s="421"/>
    </row>
    <row r="216" spans="1:42">
      <c r="AO216" s="421"/>
      <c r="AP216" s="421"/>
    </row>
    <row r="217" spans="1:42" ht="16.5">
      <c r="A217" s="427"/>
      <c r="B217" s="631"/>
      <c r="C217" s="631"/>
      <c r="D217" s="631"/>
      <c r="E217" s="631"/>
      <c r="F217" s="427"/>
      <c r="G217" s="427"/>
      <c r="H217" s="427"/>
      <c r="I217" s="427"/>
      <c r="J217" s="427"/>
      <c r="K217" s="427"/>
      <c r="L217" s="427"/>
      <c r="M217" s="427"/>
      <c r="N217" s="427"/>
      <c r="O217" s="427"/>
      <c r="P217" s="427"/>
      <c r="Q217" s="427"/>
      <c r="R217" s="427"/>
      <c r="S217" s="427"/>
      <c r="T217" s="427"/>
      <c r="U217" s="427"/>
      <c r="V217" s="427"/>
      <c r="W217" s="427"/>
      <c r="X217" s="427"/>
      <c r="Y217" s="427"/>
      <c r="Z217" s="427"/>
      <c r="AA217" s="427"/>
      <c r="AB217" s="427"/>
      <c r="AC217" s="427"/>
      <c r="AD217" s="427"/>
      <c r="AE217" s="427"/>
      <c r="AF217" s="427"/>
      <c r="AG217" s="427"/>
      <c r="AH217" s="427"/>
      <c r="AI217" s="427"/>
      <c r="AJ217" s="427"/>
      <c r="AK217" s="427"/>
      <c r="AL217" s="427"/>
      <c r="AM217" s="427"/>
      <c r="AN217" s="427"/>
      <c r="AO217" s="421"/>
      <c r="AP217" s="421"/>
    </row>
    <row r="218" spans="1:42" ht="16.5">
      <c r="A218" s="427"/>
      <c r="B218" s="631"/>
      <c r="C218" s="631"/>
      <c r="D218" s="631"/>
      <c r="E218" s="631"/>
      <c r="F218" s="427"/>
      <c r="G218" s="427"/>
      <c r="H218" s="427"/>
      <c r="I218" s="427"/>
      <c r="J218" s="427"/>
      <c r="K218" s="427"/>
      <c r="L218" s="427"/>
      <c r="M218" s="427"/>
      <c r="N218" s="427"/>
      <c r="O218" s="427"/>
      <c r="P218" s="427"/>
      <c r="Q218" s="427"/>
      <c r="R218" s="427"/>
      <c r="S218" s="427"/>
      <c r="T218" s="427"/>
      <c r="U218" s="427"/>
      <c r="V218" s="427"/>
      <c r="W218" s="427"/>
      <c r="X218" s="427"/>
      <c r="Y218" s="427"/>
      <c r="Z218" s="427"/>
      <c r="AA218" s="427"/>
      <c r="AB218" s="427"/>
      <c r="AC218" s="427"/>
      <c r="AD218" s="427"/>
      <c r="AE218" s="427"/>
      <c r="AF218" s="427"/>
      <c r="AG218" s="427"/>
      <c r="AH218" s="427"/>
      <c r="AI218" s="427"/>
      <c r="AJ218" s="427"/>
      <c r="AK218" s="427"/>
      <c r="AL218" s="427"/>
      <c r="AM218" s="427"/>
      <c r="AN218" s="427"/>
      <c r="AO218" s="421"/>
      <c r="AP218" s="421"/>
    </row>
    <row r="219" spans="1:42" ht="16.5">
      <c r="A219" s="427"/>
      <c r="B219" s="631"/>
      <c r="C219" s="631"/>
      <c r="D219" s="631"/>
      <c r="E219" s="631"/>
      <c r="F219" s="427"/>
      <c r="G219" s="427"/>
      <c r="H219" s="427"/>
      <c r="I219" s="427"/>
      <c r="J219" s="427"/>
      <c r="K219" s="427"/>
      <c r="L219" s="427"/>
      <c r="M219" s="427"/>
      <c r="N219" s="427"/>
      <c r="O219" s="427"/>
      <c r="P219" s="427"/>
      <c r="Q219" s="427"/>
      <c r="R219" s="427"/>
      <c r="S219" s="427"/>
      <c r="T219" s="427"/>
      <c r="U219" s="427"/>
      <c r="V219" s="427"/>
      <c r="W219" s="427"/>
      <c r="X219" s="427"/>
      <c r="Y219" s="427"/>
      <c r="Z219" s="427"/>
      <c r="AA219" s="427"/>
      <c r="AB219" s="427"/>
      <c r="AC219" s="427"/>
      <c r="AD219" s="427"/>
      <c r="AE219" s="427"/>
      <c r="AF219" s="427"/>
      <c r="AG219" s="427"/>
      <c r="AH219" s="427"/>
      <c r="AI219" s="427"/>
      <c r="AJ219" s="427"/>
      <c r="AK219" s="427"/>
      <c r="AL219" s="427"/>
      <c r="AM219" s="427"/>
      <c r="AN219" s="427"/>
      <c r="AO219" s="421"/>
      <c r="AP219" s="421"/>
    </row>
    <row r="220" spans="1:42" ht="16.5">
      <c r="A220" s="427"/>
      <c r="B220" s="427"/>
      <c r="C220" s="427"/>
      <c r="D220" s="427"/>
      <c r="E220" s="427"/>
      <c r="F220" s="427"/>
      <c r="G220" s="427"/>
      <c r="H220" s="427"/>
      <c r="I220" s="427"/>
      <c r="J220" s="427"/>
      <c r="K220" s="427"/>
      <c r="L220" s="427"/>
      <c r="M220" s="427"/>
      <c r="N220" s="427"/>
      <c r="O220" s="427"/>
      <c r="P220" s="427"/>
      <c r="Q220" s="427"/>
      <c r="R220" s="427"/>
      <c r="S220" s="427"/>
      <c r="T220" s="427"/>
      <c r="U220" s="427"/>
      <c r="V220" s="427"/>
      <c r="W220" s="427"/>
      <c r="X220" s="427"/>
      <c r="Y220" s="427"/>
      <c r="Z220" s="427"/>
      <c r="AA220" s="427"/>
      <c r="AB220" s="427"/>
      <c r="AC220" s="427"/>
      <c r="AD220" s="427"/>
      <c r="AE220" s="427"/>
      <c r="AF220" s="427"/>
      <c r="AG220" s="427"/>
      <c r="AH220" s="427"/>
      <c r="AI220" s="427"/>
      <c r="AJ220" s="427"/>
      <c r="AK220" s="427"/>
      <c r="AL220" s="427"/>
      <c r="AM220" s="427"/>
      <c r="AN220" s="427"/>
      <c r="AO220" s="421"/>
      <c r="AP220" s="421"/>
    </row>
    <row r="221" spans="1:42" ht="15.75" customHeight="1">
      <c r="A221" s="427"/>
      <c r="B221" s="427"/>
      <c r="C221" s="427"/>
      <c r="D221" s="427"/>
      <c r="E221" s="427"/>
      <c r="F221" s="427"/>
      <c r="G221" s="427"/>
      <c r="H221" s="427"/>
      <c r="I221" s="427"/>
      <c r="J221" s="427"/>
      <c r="K221" s="427"/>
      <c r="L221" s="427"/>
      <c r="M221" s="427"/>
      <c r="N221" s="427"/>
      <c r="O221" s="427"/>
      <c r="P221" s="427"/>
      <c r="Q221" s="427"/>
      <c r="R221" s="427"/>
      <c r="S221" s="427"/>
      <c r="T221" s="427"/>
      <c r="U221" s="427"/>
      <c r="V221" s="427"/>
      <c r="W221" s="427"/>
      <c r="X221" s="427"/>
      <c r="Y221" s="427"/>
      <c r="Z221" s="427"/>
      <c r="AA221" s="427"/>
      <c r="AB221" s="427"/>
      <c r="AC221" s="427"/>
      <c r="AD221" s="427"/>
      <c r="AE221" s="427"/>
      <c r="AF221" s="427"/>
      <c r="AG221" s="427"/>
      <c r="AH221" s="427"/>
      <c r="AI221" s="427"/>
      <c r="AJ221" s="427"/>
      <c r="AK221" s="427"/>
      <c r="AL221" s="427"/>
      <c r="AM221" s="427"/>
      <c r="AN221" s="427"/>
      <c r="AO221" s="421"/>
      <c r="AP221" s="421"/>
    </row>
    <row r="222" spans="1:42" ht="16.5">
      <c r="A222" s="427"/>
      <c r="B222" s="427"/>
      <c r="C222" s="427"/>
      <c r="D222" s="427"/>
      <c r="E222" s="427"/>
      <c r="F222" s="427"/>
      <c r="G222" s="427"/>
      <c r="H222" s="427"/>
      <c r="I222" s="427"/>
      <c r="J222" s="427"/>
      <c r="K222" s="427"/>
      <c r="L222" s="427"/>
      <c r="M222" s="427"/>
      <c r="N222" s="427"/>
      <c r="O222" s="427"/>
      <c r="P222" s="427"/>
      <c r="Q222" s="427"/>
      <c r="R222" s="427"/>
      <c r="S222" s="427"/>
      <c r="T222" s="427"/>
      <c r="U222" s="427"/>
      <c r="V222" s="427"/>
      <c r="W222" s="427"/>
      <c r="X222" s="427"/>
      <c r="Y222" s="427"/>
      <c r="Z222" s="427"/>
      <c r="AA222" s="427"/>
      <c r="AB222" s="427"/>
      <c r="AC222" s="427"/>
      <c r="AD222" s="427"/>
      <c r="AE222" s="427"/>
      <c r="AF222" s="427"/>
      <c r="AG222" s="427"/>
      <c r="AH222" s="427"/>
      <c r="AI222" s="427"/>
      <c r="AJ222" s="427"/>
      <c r="AK222" s="427"/>
      <c r="AL222" s="427"/>
      <c r="AM222" s="427"/>
      <c r="AN222" s="427"/>
      <c r="AO222" s="421"/>
      <c r="AP222" s="421"/>
    </row>
    <row r="223" spans="1:42" ht="16.5">
      <c r="A223" s="427"/>
      <c r="B223" s="427"/>
      <c r="C223" s="427"/>
      <c r="D223" s="427"/>
      <c r="E223" s="427"/>
      <c r="F223" s="427"/>
      <c r="G223" s="1433"/>
      <c r="H223" s="1433"/>
      <c r="I223" s="1433"/>
      <c r="J223" s="1433"/>
      <c r="K223" s="1433"/>
      <c r="L223" s="427"/>
      <c r="M223" s="427"/>
      <c r="N223" s="427"/>
      <c r="O223" s="427"/>
      <c r="P223" s="1433"/>
      <c r="Q223" s="1433"/>
      <c r="R223" s="1433"/>
      <c r="S223" s="1433"/>
      <c r="T223" s="1433"/>
      <c r="U223" s="1433"/>
      <c r="V223" s="1433"/>
      <c r="W223" s="427"/>
      <c r="X223" s="1433"/>
      <c r="Y223" s="1433"/>
      <c r="Z223" s="1433"/>
      <c r="AA223" s="1433"/>
      <c r="AB223" s="1433"/>
      <c r="AC223" s="1433"/>
      <c r="AD223" s="1433"/>
      <c r="AE223" s="1433"/>
      <c r="AF223" s="427"/>
      <c r="AN223" s="427"/>
      <c r="AO223" s="421"/>
      <c r="AP223" s="421"/>
    </row>
    <row r="224" spans="1:42">
      <c r="O224" s="426"/>
      <c r="P224" s="426"/>
      <c r="Q224" s="426"/>
      <c r="R224" s="426"/>
      <c r="S224" s="426"/>
      <c r="AO224" s="421"/>
      <c r="AP224" s="421"/>
    </row>
    <row r="228" spans="2:42">
      <c r="B228" s="1435"/>
      <c r="C228" s="1435"/>
      <c r="D228" s="1435"/>
      <c r="E228" s="1435"/>
      <c r="F228" s="1435"/>
      <c r="AO228" s="421"/>
      <c r="AP228" s="421"/>
    </row>
    <row r="229" spans="2:42">
      <c r="B229" s="424"/>
      <c r="C229" s="424"/>
      <c r="D229" s="425"/>
      <c r="E229" s="425"/>
      <c r="F229" s="1435"/>
      <c r="G229" s="1435"/>
      <c r="H229" s="1435"/>
      <c r="I229" s="1435"/>
      <c r="J229" s="1435"/>
      <c r="K229" s="1435"/>
      <c r="AO229" s="421"/>
      <c r="AP229" s="421"/>
    </row>
    <row r="230" spans="2:42">
      <c r="B230" s="423"/>
      <c r="C230" s="423"/>
      <c r="D230" s="426"/>
      <c r="E230" s="426"/>
      <c r="F230" s="1434"/>
      <c r="G230" s="1434"/>
      <c r="H230" s="1434"/>
      <c r="I230" s="1434"/>
      <c r="J230" s="1434"/>
      <c r="K230" s="1434"/>
      <c r="AO230" s="421"/>
      <c r="AP230" s="421"/>
    </row>
    <row r="231" spans="2:42">
      <c r="B231" s="423"/>
      <c r="C231" s="423"/>
      <c r="D231" s="426"/>
      <c r="E231" s="426"/>
      <c r="F231" s="1434"/>
      <c r="G231" s="1434"/>
      <c r="H231" s="1434"/>
      <c r="I231" s="1434"/>
      <c r="J231" s="1434"/>
      <c r="K231" s="1434"/>
      <c r="AO231" s="421"/>
      <c r="AP231" s="421"/>
    </row>
    <row r="232" spans="2:42">
      <c r="B232" s="423"/>
      <c r="C232" s="423"/>
      <c r="D232" s="426"/>
      <c r="E232" s="426"/>
      <c r="F232" s="1434"/>
      <c r="G232" s="1434"/>
      <c r="H232" s="1434"/>
      <c r="I232" s="1434"/>
      <c r="J232" s="1434"/>
      <c r="K232" s="1434"/>
      <c r="AO232" s="421"/>
      <c r="AP232" s="421"/>
    </row>
    <row r="233" spans="2:42">
      <c r="B233" s="422"/>
      <c r="C233" s="422"/>
      <c r="F233" s="1434"/>
      <c r="G233" s="1434"/>
      <c r="H233" s="1434"/>
      <c r="I233" s="1434"/>
      <c r="J233" s="1434"/>
      <c r="K233" s="1434"/>
      <c r="AO233" s="421"/>
      <c r="AP233" s="421"/>
    </row>
    <row r="234" spans="2:42">
      <c r="B234" s="422"/>
      <c r="C234" s="422"/>
      <c r="F234" s="1434"/>
      <c r="G234" s="1434"/>
      <c r="H234" s="1434"/>
      <c r="I234" s="1434"/>
      <c r="J234" s="1434"/>
      <c r="K234" s="1434"/>
      <c r="AO234" s="421"/>
      <c r="AP234" s="421"/>
    </row>
    <row r="235" spans="2:42">
      <c r="B235" s="422"/>
      <c r="C235" s="422"/>
      <c r="F235" s="1434"/>
      <c r="G235" s="1434"/>
      <c r="H235" s="1434"/>
      <c r="I235" s="1434"/>
      <c r="J235" s="1434"/>
      <c r="K235" s="1434"/>
      <c r="AO235" s="421"/>
      <c r="AP235" s="421"/>
    </row>
    <row r="236" spans="2:42">
      <c r="B236" s="422"/>
      <c r="C236" s="422"/>
      <c r="F236" s="1434"/>
      <c r="G236" s="1434"/>
      <c r="H236" s="1434"/>
      <c r="I236" s="1434"/>
      <c r="J236" s="1434"/>
      <c r="K236" s="1434"/>
      <c r="AO236" s="421"/>
      <c r="AP236" s="421"/>
    </row>
  </sheetData>
  <mergeCells count="284">
    <mergeCell ref="A15:E15"/>
    <mergeCell ref="F167:H167"/>
    <mergeCell ref="R170:V170"/>
    <mergeCell ref="AK200:AN200"/>
    <mergeCell ref="R164:V164"/>
    <mergeCell ref="R163:V163"/>
    <mergeCell ref="R171:V171"/>
    <mergeCell ref="R169:V169"/>
    <mergeCell ref="AL163:AM163"/>
    <mergeCell ref="A171:D171"/>
    <mergeCell ref="A170:D170"/>
    <mergeCell ref="F170:H170"/>
    <mergeCell ref="AH175:AK175"/>
    <mergeCell ref="A16:D16"/>
    <mergeCell ref="A163:D163"/>
    <mergeCell ref="A165:D165"/>
    <mergeCell ref="F169:H169"/>
    <mergeCell ref="F163:H163"/>
    <mergeCell ref="F164:H164"/>
    <mergeCell ref="F165:H165"/>
    <mergeCell ref="F166:H166"/>
    <mergeCell ref="T175:Z175"/>
    <mergeCell ref="AA175:AG175"/>
    <mergeCell ref="M166:Q166"/>
    <mergeCell ref="AE165:AG165"/>
    <mergeCell ref="W166:AD166"/>
    <mergeCell ref="AE166:AG166"/>
    <mergeCell ref="W170:AD170"/>
    <mergeCell ref="AE170:AG170"/>
    <mergeCell ref="W171:AD171"/>
    <mergeCell ref="AE171:AG171"/>
    <mergeCell ref="AL13:AL14"/>
    <mergeCell ref="W167:AD167"/>
    <mergeCell ref="AE167:AG167"/>
    <mergeCell ref="W168:AD168"/>
    <mergeCell ref="P223:V223"/>
    <mergeCell ref="X223:AE223"/>
    <mergeCell ref="F234:K234"/>
    <mergeCell ref="F235:K235"/>
    <mergeCell ref="F236:K236"/>
    <mergeCell ref="B228:F228"/>
    <mergeCell ref="F229:K229"/>
    <mergeCell ref="F230:K230"/>
    <mergeCell ref="F231:K231"/>
    <mergeCell ref="F232:K232"/>
    <mergeCell ref="F233:K233"/>
    <mergeCell ref="G223:K223"/>
    <mergeCell ref="M164:Q164"/>
    <mergeCell ref="I164:L164"/>
    <mergeCell ref="A166:D166"/>
    <mergeCell ref="AE203:AF203"/>
    <mergeCell ref="A2:AN2"/>
    <mergeCell ref="A3:AN3"/>
    <mergeCell ref="R165:V165"/>
    <mergeCell ref="R166:V166"/>
    <mergeCell ref="R167:V167"/>
    <mergeCell ref="R168:V168"/>
    <mergeCell ref="F168:H168"/>
    <mergeCell ref="F171:H171"/>
    <mergeCell ref="I163:L163"/>
    <mergeCell ref="I165:L165"/>
    <mergeCell ref="I166:L166"/>
    <mergeCell ref="I167:L167"/>
    <mergeCell ref="I168:L168"/>
    <mergeCell ref="A161:D161"/>
    <mergeCell ref="D13:D14"/>
    <mergeCell ref="F13:AJ13"/>
    <mergeCell ref="A98:D98"/>
    <mergeCell ref="AN13:AN14"/>
    <mergeCell ref="AE164:AG164"/>
    <mergeCell ref="W165:AD165"/>
    <mergeCell ref="D173:E174"/>
    <mergeCell ref="F173:L174"/>
    <mergeCell ref="M173:S173"/>
    <mergeCell ref="T173:AK173"/>
    <mergeCell ref="I169:L169"/>
    <mergeCell ref="I170:L170"/>
    <mergeCell ref="M171:Q171"/>
    <mergeCell ref="M169:Q169"/>
    <mergeCell ref="M170:Q170"/>
    <mergeCell ref="AP14:AP15"/>
    <mergeCell ref="AE168:AG168"/>
    <mergeCell ref="W169:AD169"/>
    <mergeCell ref="AE169:AG169"/>
    <mergeCell ref="A4:AN4"/>
    <mergeCell ref="B6:R6"/>
    <mergeCell ref="B7:R7"/>
    <mergeCell ref="B8:AM8"/>
    <mergeCell ref="A9:AN9"/>
    <mergeCell ref="A10:AN10"/>
    <mergeCell ref="A13:B14"/>
    <mergeCell ref="C13:C14"/>
    <mergeCell ref="E13:E14"/>
    <mergeCell ref="AK12:AL12"/>
    <mergeCell ref="AK13:AK14"/>
    <mergeCell ref="AM13:AM14"/>
    <mergeCell ref="W163:AD163"/>
    <mergeCell ref="AE163:AG163"/>
    <mergeCell ref="W164:AD164"/>
    <mergeCell ref="A167:D167"/>
    <mergeCell ref="A168:D168"/>
    <mergeCell ref="M167:Q167"/>
    <mergeCell ref="M163:Q163"/>
    <mergeCell ref="M165:Q165"/>
    <mergeCell ref="D176:E176"/>
    <mergeCell ref="F176:L176"/>
    <mergeCell ref="M176:P176"/>
    <mergeCell ref="Q176:S176"/>
    <mergeCell ref="T176:Z176"/>
    <mergeCell ref="AA176:AG176"/>
    <mergeCell ref="AH176:AK176"/>
    <mergeCell ref="AL176:AM176"/>
    <mergeCell ref="D175:E175"/>
    <mergeCell ref="F175:L175"/>
    <mergeCell ref="M175:P175"/>
    <mergeCell ref="Q175:S175"/>
    <mergeCell ref="AL173:AM174"/>
    <mergeCell ref="M174:P174"/>
    <mergeCell ref="Q174:S174"/>
    <mergeCell ref="T174:Z174"/>
    <mergeCell ref="AA174:AG174"/>
    <mergeCell ref="AH174:AK174"/>
    <mergeCell ref="I171:L171"/>
    <mergeCell ref="M168:Q168"/>
    <mergeCell ref="Q177:S177"/>
    <mergeCell ref="T177:Z177"/>
    <mergeCell ref="AA177:AG177"/>
    <mergeCell ref="AH177:AK177"/>
    <mergeCell ref="AL177:AM177"/>
    <mergeCell ref="AL175:AM175"/>
    <mergeCell ref="D178:E178"/>
    <mergeCell ref="F178:L178"/>
    <mergeCell ref="M178:P178"/>
    <mergeCell ref="Q178:S178"/>
    <mergeCell ref="T178:Z178"/>
    <mergeCell ref="AA178:AG178"/>
    <mergeCell ref="AH178:AK178"/>
    <mergeCell ref="AL178:AM178"/>
    <mergeCell ref="D177:E177"/>
    <mergeCell ref="F177:L177"/>
    <mergeCell ref="M177:P177"/>
    <mergeCell ref="D179:E179"/>
    <mergeCell ref="F179:L179"/>
    <mergeCell ref="M179:P179"/>
    <mergeCell ref="Q179:S179"/>
    <mergeCell ref="T179:Z179"/>
    <mergeCell ref="AA179:AG179"/>
    <mergeCell ref="AH179:AK179"/>
    <mergeCell ref="AL179:AM179"/>
    <mergeCell ref="D180:E180"/>
    <mergeCell ref="F180:L180"/>
    <mergeCell ref="M180:P180"/>
    <mergeCell ref="Q180:S180"/>
    <mergeCell ref="T180:Z180"/>
    <mergeCell ref="AA180:AG180"/>
    <mergeCell ref="AH180:AK180"/>
    <mergeCell ref="AL180:AM180"/>
    <mergeCell ref="D181:E181"/>
    <mergeCell ref="F181:L181"/>
    <mergeCell ref="M181:P181"/>
    <mergeCell ref="Q181:S181"/>
    <mergeCell ref="T181:Z181"/>
    <mergeCell ref="AA181:AG181"/>
    <mergeCell ref="AH181:AK181"/>
    <mergeCell ref="AL181:AM181"/>
    <mergeCell ref="D182:E182"/>
    <mergeCell ref="F182:L182"/>
    <mergeCell ref="M182:P182"/>
    <mergeCell ref="Q182:S182"/>
    <mergeCell ref="T182:Z182"/>
    <mergeCell ref="AA182:AG182"/>
    <mergeCell ref="AH182:AK182"/>
    <mergeCell ref="AL182:AM182"/>
    <mergeCell ref="D183:E183"/>
    <mergeCell ref="F183:L183"/>
    <mergeCell ref="M183:P183"/>
    <mergeCell ref="Q183:S183"/>
    <mergeCell ref="T183:Z183"/>
    <mergeCell ref="AA183:AG183"/>
    <mergeCell ref="AH183:AK183"/>
    <mergeCell ref="AL183:AM183"/>
    <mergeCell ref="D184:E184"/>
    <mergeCell ref="F184:L184"/>
    <mergeCell ref="M184:P184"/>
    <mergeCell ref="Q184:S184"/>
    <mergeCell ref="T184:Z184"/>
    <mergeCell ref="AA184:AG184"/>
    <mergeCell ref="AH184:AK184"/>
    <mergeCell ref="AL184:AM184"/>
    <mergeCell ref="D185:E185"/>
    <mergeCell ref="F185:L185"/>
    <mergeCell ref="M185:P185"/>
    <mergeCell ref="Q185:S185"/>
    <mergeCell ref="T185:Z185"/>
    <mergeCell ref="AA185:AG185"/>
    <mergeCell ref="AH185:AK185"/>
    <mergeCell ref="AL185:AM185"/>
    <mergeCell ref="D186:E186"/>
    <mergeCell ref="F186:L186"/>
    <mergeCell ref="M186:P186"/>
    <mergeCell ref="Q186:S186"/>
    <mergeCell ref="T186:Z186"/>
    <mergeCell ref="AA186:AG186"/>
    <mergeCell ref="AH186:AK186"/>
    <mergeCell ref="AL186:AM186"/>
    <mergeCell ref="D187:E187"/>
    <mergeCell ref="F187:L187"/>
    <mergeCell ref="M187:P187"/>
    <mergeCell ref="Q187:S187"/>
    <mergeCell ref="T187:Z187"/>
    <mergeCell ref="AA187:AG187"/>
    <mergeCell ref="AH187:AK187"/>
    <mergeCell ref="AL187:AM187"/>
    <mergeCell ref="D188:E188"/>
    <mergeCell ref="F188:L188"/>
    <mergeCell ref="M188:P188"/>
    <mergeCell ref="Q188:S188"/>
    <mergeCell ref="T188:Z188"/>
    <mergeCell ref="AA188:AG188"/>
    <mergeCell ref="AH188:AK188"/>
    <mergeCell ref="AL188:AM188"/>
    <mergeCell ref="D189:E189"/>
    <mergeCell ref="F189:L189"/>
    <mergeCell ref="M189:P189"/>
    <mergeCell ref="Q189:S189"/>
    <mergeCell ref="T189:Z189"/>
    <mergeCell ref="AA189:AG189"/>
    <mergeCell ref="AH189:AK189"/>
    <mergeCell ref="AL189:AM189"/>
    <mergeCell ref="D190:E190"/>
    <mergeCell ref="F190:L190"/>
    <mergeCell ref="M190:P190"/>
    <mergeCell ref="Q190:S190"/>
    <mergeCell ref="T190:Z190"/>
    <mergeCell ref="AA190:AG190"/>
    <mergeCell ref="AH190:AK190"/>
    <mergeCell ref="AL190:AM190"/>
    <mergeCell ref="D191:E191"/>
    <mergeCell ref="F191:L191"/>
    <mergeCell ref="M191:P191"/>
    <mergeCell ref="Q191:S191"/>
    <mergeCell ref="T191:Z191"/>
    <mergeCell ref="AA191:AG191"/>
    <mergeCell ref="AH191:AK191"/>
    <mergeCell ref="AL191:AM191"/>
    <mergeCell ref="D192:E192"/>
    <mergeCell ref="F192:L192"/>
    <mergeCell ref="M192:P192"/>
    <mergeCell ref="Q192:S192"/>
    <mergeCell ref="T192:Z192"/>
    <mergeCell ref="AA192:AG192"/>
    <mergeCell ref="AH192:AK192"/>
    <mergeCell ref="AL192:AM192"/>
    <mergeCell ref="D193:E193"/>
    <mergeCell ref="F193:L193"/>
    <mergeCell ref="M193:P193"/>
    <mergeCell ref="Q193:S193"/>
    <mergeCell ref="T193:Z193"/>
    <mergeCell ref="AA193:AG193"/>
    <mergeCell ref="AH193:AK193"/>
    <mergeCell ref="AL193:AM193"/>
    <mergeCell ref="D194:E194"/>
    <mergeCell ref="F194:L194"/>
    <mergeCell ref="M194:P194"/>
    <mergeCell ref="Q194:S194"/>
    <mergeCell ref="T194:Z194"/>
    <mergeCell ref="AA194:AG194"/>
    <mergeCell ref="AH194:AK194"/>
    <mergeCell ref="AL194:AM194"/>
    <mergeCell ref="A198:D198"/>
    <mergeCell ref="F198:L198"/>
    <mergeCell ref="O198:T198"/>
    <mergeCell ref="W198:AC198"/>
    <mergeCell ref="AE198:AJ198"/>
    <mergeCell ref="AK198:AN198"/>
    <mergeCell ref="D195:E195"/>
    <mergeCell ref="F195:L195"/>
    <mergeCell ref="M195:P195"/>
    <mergeCell ref="Q195:S195"/>
    <mergeCell ref="T195:Z195"/>
    <mergeCell ref="AA195:AG195"/>
    <mergeCell ref="AH195:AK195"/>
    <mergeCell ref="AL195:AM195"/>
    <mergeCell ref="AD197:AN197"/>
  </mergeCells>
  <conditionalFormatting sqref="H90 J90:AJ90">
    <cfRule type="expression" dxfId="2" priority="3">
      <formula>#REF!="x"</formula>
    </cfRule>
  </conditionalFormatting>
  <printOptions horizontalCentered="1"/>
  <pageMargins left="0" right="0" top="0.27559055118110237" bottom="0.35433070866141736" header="0.27559055118110237" footer="0.31496062992125984"/>
  <pageSetup paperSize="9" scale="21" orientation="landscape" r:id="rId1"/>
  <headerFooter alignWithMargins="0">
    <oddFooter>Page &amp;P</oddFooter>
  </headerFooter>
  <rowBreaks count="1" manualBreakCount="1">
    <brk id="57" max="38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82727459-F8A2-4C1F-9623-75EC68ADA819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F90:G90 I90</xm:sqref>
        </x14:conditionalFormatting>
        <x14:conditionalFormatting xmlns:xm="http://schemas.microsoft.com/office/excel/2006/main">
          <x14:cfRule type="expression" priority="1" id="{DCCE0C30-0B6E-4D34-8414-D26FAB6CC647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F17:M84 J86:M86 F86:I89 J87:AI89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67"/>
  <sheetViews>
    <sheetView topLeftCell="A7" zoomScale="25" zoomScaleNormal="25" zoomScaleSheetLayoutView="25" zoomScalePageLayoutView="40" workbookViewId="0">
      <selection activeCell="P26" sqref="P26"/>
    </sheetView>
  </sheetViews>
  <sheetFormatPr defaultColWidth="5.28515625" defaultRowHeight="15"/>
  <cols>
    <col min="1" max="1" width="8.42578125" style="421" customWidth="1"/>
    <col min="2" max="2" width="35.5703125" style="421" customWidth="1"/>
    <col min="3" max="30" width="14.28515625" style="421" customWidth="1"/>
    <col min="31" max="31" width="31.28515625" style="421" customWidth="1"/>
    <col min="32" max="32" width="31.140625" style="421" customWidth="1"/>
    <col min="33" max="33" width="30.85546875" style="421" hidden="1" customWidth="1"/>
    <col min="34" max="34" width="30.85546875" style="421" customWidth="1"/>
    <col min="35" max="35" width="31" style="421" customWidth="1"/>
    <col min="36" max="36" width="34.85546875" style="421" customWidth="1"/>
    <col min="37" max="37" width="14.85546875" style="421" hidden="1" customWidth="1"/>
    <col min="38" max="38" width="31.42578125" style="420" customWidth="1"/>
    <col min="39" max="39" width="5.28515625" style="420"/>
    <col min="40" max="40" width="14.5703125" style="420" customWidth="1"/>
    <col min="41" max="16384" width="5.28515625" style="421"/>
  </cols>
  <sheetData>
    <row r="1" spans="1:40" ht="45">
      <c r="A1" s="1444" t="s">
        <v>51</v>
      </c>
      <c r="B1" s="1444"/>
      <c r="C1" s="1444"/>
      <c r="D1" s="1444"/>
      <c r="E1" s="1444"/>
      <c r="F1" s="1444"/>
      <c r="G1" s="1444"/>
      <c r="H1" s="1444"/>
      <c r="I1" s="1444"/>
      <c r="J1" s="1444"/>
      <c r="K1" s="1444"/>
      <c r="L1" s="1444"/>
      <c r="M1" s="1444"/>
      <c r="N1" s="1444"/>
      <c r="O1" s="1444"/>
      <c r="P1" s="1444"/>
      <c r="Q1" s="1444"/>
      <c r="R1" s="1444"/>
      <c r="S1" s="1444"/>
      <c r="T1" s="1444"/>
      <c r="U1" s="1444"/>
      <c r="V1" s="1444"/>
      <c r="W1" s="1444"/>
      <c r="X1" s="1444"/>
      <c r="Y1" s="1444"/>
      <c r="Z1" s="1444"/>
      <c r="AA1" s="1444"/>
      <c r="AB1" s="1444"/>
      <c r="AC1" s="1444"/>
      <c r="AD1" s="1444"/>
      <c r="AE1" s="1444"/>
      <c r="AF1" s="1444"/>
      <c r="AG1" s="1444"/>
      <c r="AH1" s="1444"/>
      <c r="AI1" s="1444"/>
      <c r="AJ1" s="1444"/>
      <c r="AK1" s="1444"/>
      <c r="AL1" s="1444"/>
    </row>
    <row r="2" spans="1:40" ht="44.25" customHeight="1">
      <c r="A2" s="1444" t="s">
        <v>52</v>
      </c>
      <c r="B2" s="1444"/>
      <c r="C2" s="1444"/>
      <c r="D2" s="1444"/>
      <c r="E2" s="1444"/>
      <c r="F2" s="1444"/>
      <c r="G2" s="1444"/>
      <c r="H2" s="1444"/>
      <c r="I2" s="1444"/>
      <c r="J2" s="1444"/>
      <c r="K2" s="1444"/>
      <c r="L2" s="1444"/>
      <c r="M2" s="1444"/>
      <c r="N2" s="1444"/>
      <c r="O2" s="1444"/>
      <c r="P2" s="1444"/>
      <c r="Q2" s="1444"/>
      <c r="R2" s="1444"/>
      <c r="S2" s="1444"/>
      <c r="T2" s="1444"/>
      <c r="U2" s="1444"/>
      <c r="V2" s="1444"/>
      <c r="W2" s="1444"/>
      <c r="X2" s="1444"/>
      <c r="Y2" s="1444"/>
      <c r="Z2" s="1444"/>
      <c r="AA2" s="1444"/>
      <c r="AB2" s="1444"/>
      <c r="AC2" s="1444"/>
      <c r="AD2" s="1444"/>
      <c r="AE2" s="1444"/>
      <c r="AF2" s="1444"/>
      <c r="AG2" s="1444"/>
      <c r="AH2" s="1444"/>
      <c r="AI2" s="1444"/>
      <c r="AJ2" s="1444"/>
      <c r="AK2" s="1444"/>
      <c r="AL2" s="1444"/>
      <c r="AM2" s="421"/>
      <c r="AN2" s="421"/>
    </row>
    <row r="3" spans="1:40" ht="40.5" customHeight="1">
      <c r="A3" s="1445" t="s">
        <v>277</v>
      </c>
      <c r="B3" s="1445"/>
      <c r="C3" s="1445"/>
      <c r="D3" s="1445"/>
      <c r="E3" s="1445"/>
      <c r="F3" s="1445"/>
      <c r="G3" s="1445"/>
      <c r="H3" s="1445"/>
      <c r="I3" s="1445"/>
      <c r="J3" s="1445"/>
      <c r="K3" s="1445"/>
      <c r="L3" s="1445"/>
      <c r="M3" s="1445"/>
      <c r="N3" s="1445"/>
      <c r="O3" s="1445"/>
      <c r="P3" s="1445"/>
      <c r="Q3" s="1445"/>
      <c r="R3" s="1445"/>
      <c r="S3" s="1445"/>
      <c r="T3" s="1445"/>
      <c r="U3" s="1445"/>
      <c r="V3" s="1445"/>
      <c r="W3" s="1445"/>
      <c r="X3" s="1445"/>
      <c r="Y3" s="1445"/>
      <c r="Z3" s="1445"/>
      <c r="AA3" s="1445"/>
      <c r="AB3" s="1445"/>
      <c r="AC3" s="1445"/>
      <c r="AD3" s="1445"/>
      <c r="AE3" s="1445"/>
      <c r="AF3" s="1445"/>
      <c r="AG3" s="1445"/>
      <c r="AH3" s="1445"/>
      <c r="AI3" s="1445"/>
      <c r="AJ3" s="1445"/>
      <c r="AK3" s="1445"/>
      <c r="AL3" s="1445"/>
      <c r="AM3" s="421"/>
      <c r="AN3" s="421"/>
    </row>
    <row r="4" spans="1:40" ht="40.5" customHeight="1">
      <c r="A4" s="638"/>
      <c r="B4" s="638"/>
      <c r="C4" s="638"/>
      <c r="D4" s="638"/>
      <c r="E4" s="638"/>
      <c r="F4" s="638"/>
      <c r="G4" s="638"/>
      <c r="H4" s="638"/>
      <c r="I4" s="638"/>
      <c r="J4" s="638"/>
      <c r="K4" s="638"/>
      <c r="L4" s="638"/>
      <c r="M4" s="639"/>
      <c r="N4" s="639"/>
      <c r="O4" s="639"/>
      <c r="P4" s="639"/>
      <c r="Q4" s="639"/>
      <c r="R4" s="639"/>
      <c r="S4" s="639"/>
      <c r="T4" s="639"/>
      <c r="U4" s="639"/>
      <c r="V4" s="639"/>
      <c r="W4" s="639"/>
      <c r="X4" s="639"/>
      <c r="Y4" s="639"/>
      <c r="Z4" s="639"/>
      <c r="AA4" s="639"/>
      <c r="AB4" s="639"/>
      <c r="AC4" s="639"/>
      <c r="AD4" s="639"/>
      <c r="AE4" s="639"/>
      <c r="AF4" s="639"/>
      <c r="AG4" s="639"/>
      <c r="AH4" s="639"/>
      <c r="AI4" s="639"/>
      <c r="AJ4" s="445"/>
      <c r="AK4" s="446"/>
      <c r="AL4" s="446"/>
      <c r="AM4" s="421"/>
      <c r="AN4" s="421"/>
    </row>
    <row r="5" spans="1:40" ht="40.5" customHeight="1">
      <c r="A5" s="1444" t="s">
        <v>550</v>
      </c>
      <c r="B5" s="1444"/>
      <c r="C5" s="1444"/>
      <c r="D5" s="1444"/>
      <c r="E5" s="1444"/>
      <c r="F5" s="1444"/>
      <c r="G5" s="1444"/>
      <c r="H5" s="1444"/>
      <c r="I5" s="1444"/>
      <c r="J5" s="1444"/>
      <c r="K5" s="1444"/>
      <c r="L5" s="1444"/>
      <c r="M5" s="1444"/>
      <c r="N5" s="1444"/>
      <c r="O5" s="1444"/>
      <c r="P5" s="639"/>
      <c r="Q5" s="639"/>
      <c r="R5" s="639"/>
      <c r="S5" s="639"/>
      <c r="T5" s="639"/>
      <c r="U5" s="639"/>
      <c r="V5" s="639"/>
      <c r="W5" s="639"/>
      <c r="X5" s="639"/>
      <c r="Y5" s="639"/>
      <c r="Z5" s="639"/>
      <c r="AA5" s="639"/>
      <c r="AB5" s="639"/>
      <c r="AC5" s="639"/>
      <c r="AD5" s="639"/>
      <c r="AE5" s="639"/>
      <c r="AF5" s="639"/>
      <c r="AG5" s="639"/>
      <c r="AH5" s="639"/>
      <c r="AI5" s="639"/>
      <c r="AJ5" s="445"/>
      <c r="AK5" s="446"/>
      <c r="AL5" s="446"/>
      <c r="AM5" s="421"/>
      <c r="AN5" s="421"/>
    </row>
    <row r="6" spans="1:40" ht="40.5" customHeight="1">
      <c r="A6" s="1444" t="s">
        <v>540</v>
      </c>
      <c r="B6" s="1444"/>
      <c r="C6" s="1444"/>
      <c r="D6" s="1444"/>
      <c r="E6" s="1444"/>
      <c r="F6" s="1444"/>
      <c r="G6" s="1444"/>
      <c r="H6" s="1444"/>
      <c r="I6" s="1444"/>
      <c r="J6" s="1444"/>
      <c r="K6" s="1444"/>
      <c r="L6" s="1444"/>
      <c r="M6" s="1444"/>
      <c r="N6" s="1444"/>
      <c r="O6" s="1444"/>
      <c r="P6" s="639"/>
      <c r="Q6" s="639"/>
      <c r="R6" s="639"/>
      <c r="S6" s="639"/>
      <c r="T6" s="639"/>
      <c r="U6" s="639"/>
      <c r="V6" s="639"/>
      <c r="W6" s="639"/>
      <c r="X6" s="639"/>
      <c r="Y6" s="639"/>
      <c r="Z6" s="639"/>
      <c r="AA6" s="639"/>
      <c r="AB6" s="639"/>
      <c r="AC6" s="639"/>
      <c r="AD6" s="639"/>
      <c r="AE6" s="639"/>
      <c r="AF6" s="639"/>
      <c r="AG6" s="639"/>
      <c r="AH6" s="639"/>
      <c r="AI6" s="639"/>
      <c r="AJ6" s="445"/>
      <c r="AK6" s="446"/>
      <c r="AL6" s="446"/>
      <c r="AM6" s="421"/>
      <c r="AN6" s="421"/>
    </row>
    <row r="7" spans="1:40" ht="36.75" customHeight="1">
      <c r="A7" s="1444"/>
      <c r="B7" s="1444"/>
      <c r="C7" s="1444"/>
      <c r="D7" s="1444"/>
      <c r="E7" s="1444"/>
      <c r="F7" s="1444"/>
      <c r="G7" s="1444"/>
      <c r="H7" s="1444"/>
      <c r="I7" s="1444"/>
      <c r="J7" s="1444"/>
      <c r="K7" s="1444"/>
      <c r="L7" s="1444"/>
      <c r="M7" s="1444"/>
      <c r="N7" s="1444"/>
      <c r="O7" s="1444"/>
      <c r="P7" s="1444"/>
      <c r="Q7" s="1444"/>
      <c r="R7" s="1444"/>
      <c r="S7" s="1444"/>
      <c r="T7" s="1444"/>
      <c r="U7" s="1444"/>
      <c r="V7" s="1444"/>
      <c r="W7" s="1444"/>
      <c r="X7" s="1444"/>
      <c r="Y7" s="1444"/>
      <c r="Z7" s="1444"/>
      <c r="AA7" s="1444"/>
      <c r="AB7" s="1444"/>
      <c r="AC7" s="1444"/>
      <c r="AD7" s="1444"/>
      <c r="AE7" s="1444"/>
      <c r="AF7" s="1444"/>
      <c r="AG7" s="1444"/>
      <c r="AH7" s="1444"/>
      <c r="AI7" s="1444"/>
      <c r="AJ7" s="1444"/>
      <c r="AK7" s="446"/>
      <c r="AL7" s="446"/>
      <c r="AM7" s="421"/>
      <c r="AN7" s="421"/>
    </row>
    <row r="8" spans="1:40" ht="16.5" customHeight="1">
      <c r="A8" s="638"/>
      <c r="B8" s="638"/>
      <c r="C8" s="638"/>
      <c r="D8" s="638"/>
      <c r="E8" s="638"/>
      <c r="F8" s="638"/>
      <c r="G8" s="638"/>
      <c r="H8" s="638"/>
      <c r="I8" s="638"/>
      <c r="J8" s="638"/>
      <c r="K8" s="638"/>
      <c r="L8" s="638"/>
      <c r="M8" s="639"/>
      <c r="N8" s="639"/>
      <c r="O8" s="639"/>
      <c r="P8" s="639"/>
      <c r="Q8" s="639"/>
      <c r="R8" s="639"/>
      <c r="S8" s="639"/>
      <c r="T8" s="639"/>
      <c r="U8" s="639"/>
      <c r="V8" s="639"/>
      <c r="W8" s="639"/>
      <c r="X8" s="639"/>
      <c r="Y8" s="639"/>
      <c r="Z8" s="639"/>
      <c r="AA8" s="639"/>
      <c r="AB8" s="639"/>
      <c r="AC8" s="639"/>
      <c r="AD8" s="639"/>
      <c r="AE8" s="639"/>
      <c r="AF8" s="639"/>
      <c r="AG8" s="639"/>
      <c r="AH8" s="639"/>
      <c r="AI8" s="639"/>
      <c r="AJ8" s="445"/>
      <c r="AK8" s="446"/>
      <c r="AL8" s="446"/>
      <c r="AM8" s="421"/>
      <c r="AN8" s="421"/>
    </row>
    <row r="9" spans="1:40" ht="42" customHeight="1">
      <c r="A9" s="1444"/>
      <c r="B9" s="1444"/>
      <c r="C9" s="1444"/>
      <c r="D9" s="1444"/>
      <c r="E9" s="1444"/>
      <c r="F9" s="1444"/>
      <c r="G9" s="1444"/>
      <c r="H9" s="1444"/>
      <c r="I9" s="1444"/>
      <c r="J9" s="1444"/>
      <c r="K9" s="1444"/>
      <c r="L9" s="1444"/>
      <c r="M9" s="1444"/>
      <c r="N9" s="1444"/>
      <c r="O9" s="1444"/>
      <c r="P9" s="639"/>
      <c r="Q9" s="639"/>
      <c r="R9" s="639"/>
      <c r="S9" s="639"/>
      <c r="T9" s="639"/>
      <c r="U9" s="639"/>
      <c r="V9" s="639"/>
      <c r="W9" s="639"/>
      <c r="X9" s="639"/>
      <c r="Y9" s="639"/>
      <c r="Z9" s="639"/>
      <c r="AA9" s="639"/>
      <c r="AB9" s="639"/>
      <c r="AC9" s="639"/>
      <c r="AD9" s="639"/>
      <c r="AE9" s="639"/>
      <c r="AF9" s="639"/>
      <c r="AG9" s="639"/>
      <c r="AH9" s="639"/>
      <c r="AI9" s="639"/>
      <c r="AJ9" s="445"/>
      <c r="AK9" s="446"/>
      <c r="AL9" s="446"/>
      <c r="AM9" s="421"/>
      <c r="AN9" s="421"/>
    </row>
    <row r="10" spans="1:40" ht="39" customHeight="1">
      <c r="A10" s="1444"/>
      <c r="B10" s="1444"/>
      <c r="C10" s="1444"/>
      <c r="D10" s="1444"/>
      <c r="E10" s="1444"/>
      <c r="F10" s="1444"/>
      <c r="G10" s="1444"/>
      <c r="H10" s="1444"/>
      <c r="I10" s="1444"/>
      <c r="J10" s="1444"/>
      <c r="K10" s="1444"/>
      <c r="L10" s="1444"/>
      <c r="M10" s="1444"/>
      <c r="N10" s="1444"/>
      <c r="O10" s="1444"/>
      <c r="P10" s="639"/>
      <c r="Q10" s="639"/>
      <c r="R10" s="639"/>
      <c r="S10" s="639"/>
      <c r="T10" s="639"/>
      <c r="U10" s="639"/>
      <c r="V10" s="639"/>
      <c r="W10" s="639"/>
      <c r="X10" s="639"/>
      <c r="Y10" s="639"/>
      <c r="Z10" s="639"/>
      <c r="AA10" s="639"/>
      <c r="AB10" s="639"/>
      <c r="AC10" s="639"/>
      <c r="AD10" s="639"/>
      <c r="AE10" s="639"/>
      <c r="AF10" s="639"/>
      <c r="AG10" s="639"/>
      <c r="AH10" s="639"/>
      <c r="AI10" s="639"/>
      <c r="AJ10" s="445"/>
      <c r="AK10" s="446"/>
      <c r="AL10" s="446"/>
      <c r="AM10" s="421"/>
      <c r="AN10" s="421"/>
    </row>
    <row r="11" spans="1:40" ht="15" customHeight="1">
      <c r="A11" s="1444"/>
      <c r="B11" s="1444"/>
      <c r="C11" s="1444"/>
      <c r="D11" s="1444"/>
      <c r="E11" s="1444"/>
      <c r="F11" s="1444"/>
      <c r="G11" s="1444"/>
      <c r="H11" s="1444"/>
      <c r="I11" s="1444"/>
      <c r="J11" s="1444"/>
      <c r="K11" s="1444"/>
      <c r="L11" s="1444"/>
      <c r="M11" s="1444"/>
      <c r="N11" s="1444"/>
      <c r="O11" s="1444"/>
      <c r="P11" s="1444"/>
      <c r="Q11" s="1444"/>
      <c r="R11" s="1444"/>
      <c r="S11" s="1444"/>
      <c r="T11" s="1444"/>
      <c r="U11" s="1444"/>
      <c r="V11" s="1444"/>
      <c r="W11" s="1444"/>
      <c r="X11" s="1444"/>
      <c r="Y11" s="1444"/>
      <c r="Z11" s="1444"/>
      <c r="AA11" s="1444"/>
      <c r="AB11" s="1444"/>
      <c r="AC11" s="1444"/>
      <c r="AD11" s="1444"/>
      <c r="AE11" s="1444"/>
      <c r="AF11" s="1444"/>
      <c r="AG11" s="1444"/>
      <c r="AH11" s="1444"/>
      <c r="AI11" s="1444"/>
      <c r="AJ11" s="1444"/>
      <c r="AK11" s="446"/>
      <c r="AL11" s="446"/>
      <c r="AM11" s="421"/>
      <c r="AN11" s="421"/>
    </row>
    <row r="12" spans="1:40" ht="89.25" customHeight="1">
      <c r="A12" s="1404" t="s">
        <v>805</v>
      </c>
      <c r="B12" s="1404"/>
      <c r="C12" s="1404"/>
      <c r="D12" s="1404"/>
      <c r="E12" s="1404"/>
      <c r="F12" s="1404"/>
      <c r="G12" s="1404"/>
      <c r="H12" s="1404"/>
      <c r="I12" s="1404"/>
      <c r="J12" s="1404"/>
      <c r="K12" s="1404"/>
      <c r="L12" s="1404"/>
      <c r="M12" s="1404"/>
      <c r="N12" s="1404"/>
      <c r="O12" s="1404"/>
      <c r="P12" s="1404"/>
      <c r="Q12" s="1404"/>
      <c r="R12" s="1404"/>
      <c r="S12" s="1404"/>
      <c r="T12" s="1404"/>
      <c r="U12" s="1404"/>
      <c r="V12" s="1404"/>
      <c r="W12" s="1404"/>
      <c r="X12" s="1404"/>
      <c r="Y12" s="1404"/>
      <c r="Z12" s="1404"/>
      <c r="AA12" s="1404"/>
      <c r="AB12" s="1404"/>
      <c r="AC12" s="1404"/>
      <c r="AD12" s="1404"/>
      <c r="AE12" s="1404"/>
      <c r="AF12" s="1404"/>
      <c r="AG12" s="1404"/>
      <c r="AH12" s="1404"/>
      <c r="AI12" s="1404"/>
      <c r="AJ12" s="1404"/>
      <c r="AL12" s="421"/>
      <c r="AM12" s="421"/>
      <c r="AN12" s="421"/>
    </row>
    <row r="13" spans="1:40" ht="36.75" customHeight="1">
      <c r="A13" s="423"/>
      <c r="B13" s="423"/>
      <c r="C13" s="423"/>
      <c r="D13" s="423"/>
      <c r="E13" s="423"/>
      <c r="F13" s="423"/>
      <c r="G13" s="423"/>
      <c r="H13" s="423"/>
      <c r="I13" s="423"/>
      <c r="J13" s="423"/>
      <c r="K13" s="423"/>
      <c r="L13" s="423"/>
      <c r="M13" s="423"/>
      <c r="N13" s="423"/>
      <c r="O13" s="423"/>
      <c r="P13" s="423"/>
      <c r="Q13" s="423"/>
      <c r="R13" s="423"/>
      <c r="S13" s="423"/>
      <c r="T13" s="423"/>
      <c r="U13" s="423"/>
      <c r="V13" s="423"/>
      <c r="W13" s="423"/>
      <c r="X13" s="423"/>
      <c r="Y13" s="423"/>
      <c r="Z13" s="423"/>
      <c r="AA13" s="423"/>
      <c r="AB13" s="423"/>
      <c r="AC13" s="423"/>
      <c r="AD13" s="423"/>
      <c r="AE13" s="423"/>
      <c r="AF13" s="423"/>
      <c r="AG13" s="423"/>
      <c r="AH13" s="1408"/>
      <c r="AI13" s="1408"/>
      <c r="AJ13" s="496"/>
      <c r="AK13" s="566" t="s">
        <v>475</v>
      </c>
      <c r="AL13" s="567"/>
      <c r="AM13" s="421"/>
      <c r="AN13" s="421"/>
    </row>
    <row r="14" spans="1:40" ht="48" customHeight="1">
      <c r="A14" s="1407" t="s">
        <v>12</v>
      </c>
      <c r="B14" s="1407" t="s">
        <v>13</v>
      </c>
      <c r="C14" s="1407" t="s">
        <v>49</v>
      </c>
      <c r="D14" s="1407"/>
      <c r="E14" s="1407"/>
      <c r="F14" s="1407"/>
      <c r="G14" s="1407"/>
      <c r="H14" s="1407"/>
      <c r="I14" s="1407"/>
      <c r="J14" s="1407"/>
      <c r="K14" s="1407"/>
      <c r="L14" s="1407"/>
      <c r="M14" s="1407"/>
      <c r="N14" s="1407"/>
      <c r="O14" s="1407"/>
      <c r="P14" s="1407"/>
      <c r="Q14" s="1407"/>
      <c r="R14" s="1407"/>
      <c r="S14" s="1407"/>
      <c r="T14" s="1407"/>
      <c r="U14" s="1407"/>
      <c r="V14" s="1407"/>
      <c r="W14" s="1407"/>
      <c r="X14" s="1407"/>
      <c r="Y14" s="1407"/>
      <c r="Z14" s="1407"/>
      <c r="AA14" s="1407"/>
      <c r="AB14" s="1407"/>
      <c r="AC14" s="1407"/>
      <c r="AD14" s="1407"/>
      <c r="AE14" s="1407"/>
      <c r="AF14" s="1407"/>
      <c r="AG14" s="1407"/>
      <c r="AH14" s="1409" t="s">
        <v>487</v>
      </c>
      <c r="AI14" s="1409" t="s">
        <v>390</v>
      </c>
      <c r="AJ14" s="1409" t="s">
        <v>126</v>
      </c>
      <c r="AK14" s="1409" t="s">
        <v>368</v>
      </c>
      <c r="AL14" s="1407" t="s">
        <v>375</v>
      </c>
      <c r="AM14" s="421"/>
      <c r="AN14" s="421"/>
    </row>
    <row r="15" spans="1:40" ht="99" customHeight="1">
      <c r="A15" s="1407"/>
      <c r="B15" s="1407"/>
      <c r="C15" s="640">
        <v>1</v>
      </c>
      <c r="D15" s="640">
        <v>2</v>
      </c>
      <c r="E15" s="640">
        <v>3</v>
      </c>
      <c r="F15" s="640">
        <v>4</v>
      </c>
      <c r="G15" s="640">
        <v>5</v>
      </c>
      <c r="H15" s="640">
        <v>6</v>
      </c>
      <c r="I15" s="640">
        <v>7</v>
      </c>
      <c r="J15" s="640">
        <v>8</v>
      </c>
      <c r="K15" s="640">
        <v>9</v>
      </c>
      <c r="L15" s="640">
        <v>10</v>
      </c>
      <c r="M15" s="640">
        <v>11</v>
      </c>
      <c r="N15" s="640">
        <v>12</v>
      </c>
      <c r="O15" s="640">
        <v>13</v>
      </c>
      <c r="P15" s="640">
        <v>14</v>
      </c>
      <c r="Q15" s="640">
        <v>15</v>
      </c>
      <c r="R15" s="640">
        <v>16</v>
      </c>
      <c r="S15" s="640">
        <v>17</v>
      </c>
      <c r="T15" s="640">
        <v>18</v>
      </c>
      <c r="U15" s="640">
        <v>19</v>
      </c>
      <c r="V15" s="640">
        <v>20</v>
      </c>
      <c r="W15" s="640">
        <v>21</v>
      </c>
      <c r="X15" s="640">
        <v>22</v>
      </c>
      <c r="Y15" s="640">
        <v>23</v>
      </c>
      <c r="Z15" s="640">
        <v>24</v>
      </c>
      <c r="AA15" s="640">
        <v>25</v>
      </c>
      <c r="AB15" s="640">
        <v>26</v>
      </c>
      <c r="AC15" s="640">
        <v>27</v>
      </c>
      <c r="AD15" s="640">
        <v>28</v>
      </c>
      <c r="AE15" s="640">
        <v>29</v>
      </c>
      <c r="AF15" s="640">
        <v>30</v>
      </c>
      <c r="AG15" s="640"/>
      <c r="AH15" s="1409"/>
      <c r="AI15" s="1409"/>
      <c r="AJ15" s="1409"/>
      <c r="AK15" s="1409"/>
      <c r="AL15" s="1407"/>
      <c r="AM15" s="421"/>
      <c r="AN15" s="421"/>
    </row>
    <row r="16" spans="1:40" ht="99" customHeight="1">
      <c r="A16" s="1447" t="s">
        <v>538</v>
      </c>
      <c r="B16" s="1447"/>
      <c r="C16" s="641">
        <f>C17</f>
        <v>0</v>
      </c>
      <c r="D16" s="641">
        <f t="shared" ref="D16:AD16" si="0">D17</f>
        <v>0</v>
      </c>
      <c r="E16" s="641">
        <f t="shared" si="0"/>
        <v>0</v>
      </c>
      <c r="F16" s="641">
        <f t="shared" si="0"/>
        <v>0</v>
      </c>
      <c r="G16" s="641">
        <f t="shared" si="0"/>
        <v>0</v>
      </c>
      <c r="H16" s="641">
        <f t="shared" si="0"/>
        <v>0</v>
      </c>
      <c r="I16" s="642">
        <f t="shared" si="0"/>
        <v>0</v>
      </c>
      <c r="J16" s="642">
        <f t="shared" si="0"/>
        <v>0</v>
      </c>
      <c r="K16" s="642">
        <f t="shared" si="0"/>
        <v>0</v>
      </c>
      <c r="L16" s="642">
        <f t="shared" si="0"/>
        <v>0</v>
      </c>
      <c r="M16" s="642">
        <f t="shared" si="0"/>
        <v>0</v>
      </c>
      <c r="N16" s="642">
        <f t="shared" si="0"/>
        <v>0</v>
      </c>
      <c r="O16" s="642">
        <f t="shared" si="0"/>
        <v>0</v>
      </c>
      <c r="P16" s="642">
        <f t="shared" si="0"/>
        <v>0</v>
      </c>
      <c r="Q16" s="642">
        <f t="shared" si="0"/>
        <v>0</v>
      </c>
      <c r="R16" s="642">
        <f t="shared" si="0"/>
        <v>0</v>
      </c>
      <c r="S16" s="642">
        <f t="shared" si="0"/>
        <v>0</v>
      </c>
      <c r="T16" s="642">
        <f t="shared" si="0"/>
        <v>0</v>
      </c>
      <c r="U16" s="642">
        <f t="shared" si="0"/>
        <v>0</v>
      </c>
      <c r="V16" s="642">
        <f t="shared" si="0"/>
        <v>0</v>
      </c>
      <c r="W16" s="642">
        <f t="shared" si="0"/>
        <v>0</v>
      </c>
      <c r="X16" s="642">
        <f t="shared" si="0"/>
        <v>0</v>
      </c>
      <c r="Y16" s="642">
        <f t="shared" si="0"/>
        <v>0</v>
      </c>
      <c r="Z16" s="642">
        <f t="shared" si="0"/>
        <v>0</v>
      </c>
      <c r="AA16" s="642">
        <f t="shared" si="0"/>
        <v>0</v>
      </c>
      <c r="AB16" s="642">
        <f t="shared" si="0"/>
        <v>0</v>
      </c>
      <c r="AC16" s="642">
        <f t="shared" si="0"/>
        <v>0</v>
      </c>
      <c r="AD16" s="642">
        <f t="shared" si="0"/>
        <v>0</v>
      </c>
      <c r="AE16" s="642">
        <f>AE17</f>
        <v>0</v>
      </c>
      <c r="AF16" s="642">
        <f t="shared" ref="AF16" si="1">AF17</f>
        <v>340</v>
      </c>
      <c r="AG16" s="642"/>
      <c r="AH16" s="642">
        <f>AH17</f>
        <v>340</v>
      </c>
      <c r="AI16" s="701"/>
      <c r="AJ16" s="642">
        <f t="shared" ref="AJ16:AK16" si="2">AJ17</f>
        <v>184.21200000000002</v>
      </c>
      <c r="AK16" s="643">
        <f t="shared" si="2"/>
        <v>0</v>
      </c>
      <c r="AL16" s="640"/>
      <c r="AM16" s="421"/>
      <c r="AN16" s="421"/>
    </row>
    <row r="17" spans="1:44" ht="99" customHeight="1">
      <c r="A17" s="644">
        <v>1</v>
      </c>
      <c r="B17" s="645" t="s">
        <v>393</v>
      </c>
      <c r="C17" s="644"/>
      <c r="D17" s="644"/>
      <c r="E17" s="644"/>
      <c r="F17" s="644"/>
      <c r="G17" s="644"/>
      <c r="H17" s="644"/>
      <c r="I17" s="646"/>
      <c r="J17" s="646"/>
      <c r="K17" s="646"/>
      <c r="L17" s="646"/>
      <c r="M17" s="646"/>
      <c r="N17" s="646"/>
      <c r="O17" s="646"/>
      <c r="P17" s="646"/>
      <c r="Q17" s="646"/>
      <c r="R17" s="646"/>
      <c r="S17" s="646"/>
      <c r="T17" s="646"/>
      <c r="U17" s="646"/>
      <c r="V17" s="646"/>
      <c r="W17" s="646"/>
      <c r="X17" s="646"/>
      <c r="Y17" s="646"/>
      <c r="Z17" s="646"/>
      <c r="AA17" s="646"/>
      <c r="AB17" s="646"/>
      <c r="AC17" s="646"/>
      <c r="AD17" s="646"/>
      <c r="AE17" s="646"/>
      <c r="AF17" s="651">
        <v>340</v>
      </c>
      <c r="AG17" s="646"/>
      <c r="AH17" s="647">
        <f>SUM(C17:AG17)</f>
        <v>340</v>
      </c>
      <c r="AI17" s="648">
        <v>54.18</v>
      </c>
      <c r="AJ17" s="649">
        <f>AH17*AI17/100</f>
        <v>184.21200000000002</v>
      </c>
      <c r="AK17" s="650"/>
      <c r="AL17" s="640"/>
      <c r="AM17" s="421"/>
      <c r="AN17" s="421"/>
    </row>
    <row r="18" spans="1:44" s="422" customFormat="1" ht="99" customHeight="1">
      <c r="A18" s="1447" t="s">
        <v>539</v>
      </c>
      <c r="B18" s="1447"/>
      <c r="C18" s="641">
        <f>C19</f>
        <v>0</v>
      </c>
      <c r="D18" s="641">
        <f t="shared" ref="D18:AJ18" si="3">D19</f>
        <v>0</v>
      </c>
      <c r="E18" s="641">
        <f t="shared" si="3"/>
        <v>0</v>
      </c>
      <c r="F18" s="641">
        <f t="shared" si="3"/>
        <v>0</v>
      </c>
      <c r="G18" s="641">
        <f t="shared" si="3"/>
        <v>0</v>
      </c>
      <c r="H18" s="641">
        <f t="shared" si="3"/>
        <v>0</v>
      </c>
      <c r="I18" s="642">
        <f t="shared" si="3"/>
        <v>0</v>
      </c>
      <c r="J18" s="642">
        <f t="shared" si="3"/>
        <v>0</v>
      </c>
      <c r="K18" s="642">
        <f t="shared" si="3"/>
        <v>0</v>
      </c>
      <c r="L18" s="642">
        <f t="shared" si="3"/>
        <v>0</v>
      </c>
      <c r="M18" s="642">
        <f t="shared" si="3"/>
        <v>0</v>
      </c>
      <c r="N18" s="642">
        <f t="shared" si="3"/>
        <v>0</v>
      </c>
      <c r="O18" s="642">
        <f t="shared" si="3"/>
        <v>0</v>
      </c>
      <c r="P18" s="642">
        <f t="shared" si="3"/>
        <v>0</v>
      </c>
      <c r="Q18" s="642">
        <f t="shared" si="3"/>
        <v>0</v>
      </c>
      <c r="R18" s="642">
        <f t="shared" si="3"/>
        <v>0</v>
      </c>
      <c r="S18" s="642">
        <f t="shared" si="3"/>
        <v>0</v>
      </c>
      <c r="T18" s="642">
        <f t="shared" si="3"/>
        <v>0</v>
      </c>
      <c r="U18" s="642">
        <f t="shared" si="3"/>
        <v>0</v>
      </c>
      <c r="V18" s="642">
        <f t="shared" si="3"/>
        <v>0</v>
      </c>
      <c r="W18" s="642">
        <f t="shared" si="3"/>
        <v>0</v>
      </c>
      <c r="X18" s="642">
        <f t="shared" si="3"/>
        <v>0</v>
      </c>
      <c r="Y18" s="642">
        <f t="shared" si="3"/>
        <v>0</v>
      </c>
      <c r="Z18" s="642">
        <f t="shared" si="3"/>
        <v>0</v>
      </c>
      <c r="AA18" s="642">
        <f t="shared" si="3"/>
        <v>0</v>
      </c>
      <c r="AB18" s="642">
        <f t="shared" si="3"/>
        <v>0</v>
      </c>
      <c r="AC18" s="642">
        <f t="shared" si="3"/>
        <v>0</v>
      </c>
      <c r="AD18" s="642">
        <f t="shared" si="3"/>
        <v>0</v>
      </c>
      <c r="AE18" s="642">
        <f t="shared" si="3"/>
        <v>0</v>
      </c>
      <c r="AF18" s="642">
        <f t="shared" si="3"/>
        <v>630</v>
      </c>
      <c r="AG18" s="642"/>
      <c r="AH18" s="642">
        <f t="shared" si="3"/>
        <v>630</v>
      </c>
      <c r="AI18" s="701"/>
      <c r="AJ18" s="642">
        <f t="shared" si="3"/>
        <v>310.01</v>
      </c>
      <c r="AK18" s="650"/>
      <c r="AL18" s="640"/>
    </row>
    <row r="19" spans="1:44" ht="99" customHeight="1">
      <c r="A19" s="645">
        <v>1</v>
      </c>
      <c r="B19" s="645" t="s">
        <v>393</v>
      </c>
      <c r="C19" s="645"/>
      <c r="D19" s="645"/>
      <c r="E19" s="645"/>
      <c r="F19" s="645"/>
      <c r="G19" s="645"/>
      <c r="H19" s="645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651"/>
      <c r="AB19" s="651"/>
      <c r="AC19" s="651"/>
      <c r="AD19" s="651"/>
      <c r="AE19" s="651"/>
      <c r="AF19" s="651">
        <v>630</v>
      </c>
      <c r="AG19" s="651"/>
      <c r="AH19" s="647">
        <f>SUM(C19:AG19)</f>
        <v>630</v>
      </c>
      <c r="AI19" s="648">
        <v>49.207936507936509</v>
      </c>
      <c r="AJ19" s="649">
        <f>AH19*AI19/100</f>
        <v>310.01</v>
      </c>
      <c r="AK19" s="650"/>
      <c r="AL19" s="640"/>
      <c r="AM19" s="421"/>
      <c r="AN19" s="421"/>
    </row>
    <row r="20" spans="1:44" s="521" customFormat="1" ht="80.25" customHeight="1">
      <c r="A20" s="1407" t="s">
        <v>148</v>
      </c>
      <c r="B20" s="1407"/>
      <c r="C20" s="653"/>
      <c r="D20" s="653"/>
      <c r="E20" s="653"/>
      <c r="F20" s="653"/>
      <c r="G20" s="653"/>
      <c r="H20" s="653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54"/>
      <c r="AB20" s="654"/>
      <c r="AC20" s="654"/>
      <c r="AD20" s="654"/>
      <c r="AE20" s="655">
        <f>AE16+AE18</f>
        <v>0</v>
      </c>
      <c r="AF20" s="655">
        <f t="shared" ref="AF20:AJ20" si="4">AF16+AF18</f>
        <v>970</v>
      </c>
      <c r="AG20" s="655">
        <f t="shared" si="4"/>
        <v>0</v>
      </c>
      <c r="AH20" s="655">
        <f t="shared" si="4"/>
        <v>970</v>
      </c>
      <c r="AI20" s="655">
        <f t="shared" si="4"/>
        <v>0</v>
      </c>
      <c r="AJ20" s="655">
        <f t="shared" si="4"/>
        <v>494.22199999999998</v>
      </c>
      <c r="AK20" s="656" t="e">
        <f>AK16+AK18+#REF!+#REF!</f>
        <v>#REF!</v>
      </c>
      <c r="AL20" s="657"/>
      <c r="AM20" s="421"/>
      <c r="AN20" s="421"/>
      <c r="AO20" s="421"/>
      <c r="AP20" s="421"/>
      <c r="AQ20" s="421"/>
      <c r="AR20" s="421"/>
    </row>
    <row r="21" spans="1:44" ht="41.25" customHeight="1">
      <c r="A21" s="436"/>
      <c r="B21" s="436"/>
      <c r="C21" s="436"/>
      <c r="D21" s="436"/>
      <c r="E21" s="436"/>
      <c r="F21" s="436"/>
      <c r="G21" s="436"/>
      <c r="H21" s="436"/>
      <c r="I21" s="436"/>
      <c r="J21" s="436"/>
      <c r="K21" s="436"/>
      <c r="L21" s="436"/>
      <c r="M21" s="436"/>
      <c r="N21" s="436"/>
      <c r="O21" s="436"/>
      <c r="P21" s="436"/>
      <c r="Q21" s="436"/>
      <c r="R21" s="436"/>
      <c r="S21" s="436"/>
      <c r="T21" s="436"/>
      <c r="U21" s="436"/>
      <c r="V21" s="436"/>
      <c r="W21" s="436"/>
      <c r="X21" s="435"/>
      <c r="Y21" s="435"/>
      <c r="Z21" s="435"/>
      <c r="AA21" s="435"/>
      <c r="AB21" s="435"/>
      <c r="AC21" s="435"/>
      <c r="AD21" s="435"/>
      <c r="AE21" s="435"/>
      <c r="AF21" s="435"/>
      <c r="AG21" s="435"/>
      <c r="AH21" s="435"/>
      <c r="AI21" s="435"/>
      <c r="AJ21" s="435"/>
      <c r="AK21" s="435"/>
      <c r="AL21" s="421"/>
      <c r="AM21" s="421"/>
      <c r="AN21" s="421"/>
    </row>
    <row r="22" spans="1:44" ht="79.5" customHeight="1">
      <c r="A22" s="435"/>
      <c r="B22" s="436"/>
      <c r="C22" s="444"/>
      <c r="D22" s="444"/>
      <c r="E22" s="444"/>
      <c r="F22" s="444"/>
      <c r="G22" s="444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4"/>
      <c r="W22" s="444"/>
      <c r="X22" s="444"/>
      <c r="Y22" s="1428" t="s">
        <v>809</v>
      </c>
      <c r="Z22" s="1428"/>
      <c r="AA22" s="1428"/>
      <c r="AB22" s="1428"/>
      <c r="AC22" s="1428"/>
      <c r="AD22" s="1428"/>
      <c r="AE22" s="1428"/>
      <c r="AF22" s="1428"/>
      <c r="AG22" s="1428"/>
      <c r="AH22" s="1428"/>
      <c r="AI22" s="1428"/>
      <c r="AJ22" s="1428"/>
      <c r="AK22" s="1428"/>
      <c r="AL22" s="1428"/>
      <c r="AM22" s="421"/>
      <c r="AN22" s="421"/>
    </row>
    <row r="23" spans="1:44" ht="106.5" customHeight="1">
      <c r="A23" s="1446" t="s">
        <v>776</v>
      </c>
      <c r="B23" s="1446"/>
      <c r="C23" s="1446"/>
      <c r="D23" s="1446"/>
      <c r="E23" s="1446"/>
      <c r="F23" s="1446"/>
      <c r="G23" s="1446"/>
      <c r="H23" s="1446"/>
      <c r="I23" s="1446"/>
      <c r="J23" s="1446"/>
      <c r="K23" s="1446"/>
      <c r="L23" s="1446"/>
      <c r="M23" s="1446"/>
      <c r="N23" s="1446"/>
      <c r="O23" s="1446"/>
      <c r="P23" s="1446"/>
      <c r="Q23" s="1446"/>
      <c r="R23" s="1446"/>
      <c r="S23" s="1446"/>
      <c r="T23" s="1446"/>
      <c r="U23" s="1446"/>
      <c r="V23" s="1446"/>
      <c r="W23" s="1446"/>
      <c r="X23" s="1446"/>
      <c r="Y23" s="1446"/>
      <c r="Z23" s="1446"/>
      <c r="AA23" s="1446"/>
      <c r="AB23" s="1446"/>
      <c r="AC23" s="1446"/>
      <c r="AD23" s="1446"/>
      <c r="AE23" s="1446"/>
      <c r="AF23" s="1446"/>
      <c r="AG23" s="1446"/>
      <c r="AH23" s="1446"/>
      <c r="AI23" s="1446"/>
      <c r="AJ23" s="1446"/>
      <c r="AK23" s="1446"/>
      <c r="AL23" s="1446"/>
      <c r="AM23" s="1446"/>
      <c r="AN23" s="1446"/>
    </row>
    <row r="24" spans="1:44" ht="28.5" customHeight="1">
      <c r="A24" s="436"/>
      <c r="B24" s="444"/>
      <c r="C24" s="444"/>
      <c r="D24" s="444"/>
      <c r="E24" s="444"/>
      <c r="F24" s="444"/>
      <c r="G24" s="444"/>
      <c r="H24" s="444"/>
      <c r="I24" s="444"/>
      <c r="J24" s="444"/>
      <c r="K24" s="444"/>
      <c r="L24" s="444"/>
      <c r="M24" s="444"/>
      <c r="N24" s="444"/>
      <c r="O24" s="444"/>
      <c r="P24" s="444"/>
      <c r="Q24" s="444"/>
      <c r="R24" s="444"/>
      <c r="S24" s="444"/>
      <c r="T24" s="444"/>
      <c r="U24" s="444"/>
      <c r="V24" s="444"/>
      <c r="W24" s="444"/>
      <c r="X24" s="630"/>
      <c r="Y24" s="630"/>
      <c r="Z24" s="630"/>
      <c r="AA24" s="630"/>
      <c r="AB24" s="630"/>
      <c r="AC24" s="630"/>
      <c r="AD24" s="630"/>
      <c r="AE24" s="630"/>
      <c r="AF24" s="630"/>
      <c r="AG24" s="630"/>
      <c r="AH24" s="630"/>
      <c r="AI24" s="630"/>
      <c r="AJ24" s="630"/>
      <c r="AK24" s="446"/>
      <c r="AL24" s="421"/>
      <c r="AM24" s="421"/>
      <c r="AN24" s="421"/>
    </row>
    <row r="25" spans="1:44" ht="28.5" customHeight="1">
      <c r="A25" s="436"/>
      <c r="B25" s="444"/>
      <c r="C25" s="444"/>
      <c r="D25" s="444"/>
      <c r="E25" s="444"/>
      <c r="F25" s="444"/>
      <c r="G25" s="444"/>
      <c r="H25" s="444"/>
      <c r="I25" s="444"/>
      <c r="J25" s="444"/>
      <c r="K25" s="444"/>
      <c r="L25" s="444"/>
      <c r="M25" s="444"/>
      <c r="N25" s="444"/>
      <c r="O25" s="444"/>
      <c r="P25" s="444"/>
      <c r="Q25" s="444"/>
      <c r="R25" s="444"/>
      <c r="S25" s="444"/>
      <c r="T25" s="444"/>
      <c r="U25" s="444"/>
      <c r="V25" s="444"/>
      <c r="W25" s="444"/>
      <c r="X25" s="630"/>
      <c r="Y25" s="630"/>
      <c r="Z25" s="630"/>
      <c r="AA25" s="630"/>
      <c r="AB25" s="630"/>
      <c r="AC25" s="630"/>
      <c r="AD25" s="630"/>
      <c r="AE25" s="630"/>
      <c r="AF25" s="630"/>
      <c r="AG25" s="630"/>
      <c r="AH25" s="630"/>
      <c r="AI25" s="630"/>
      <c r="AJ25" s="630"/>
      <c r="AK25" s="446"/>
      <c r="AL25" s="421"/>
      <c r="AM25" s="421"/>
      <c r="AN25" s="421"/>
    </row>
    <row r="26" spans="1:44" ht="28.5" customHeight="1">
      <c r="A26" s="436"/>
      <c r="B26" s="444"/>
      <c r="C26" s="444"/>
      <c r="D26" s="444"/>
      <c r="E26" s="444"/>
      <c r="F26" s="444"/>
      <c r="G26" s="444"/>
      <c r="H26" s="444"/>
      <c r="I26" s="444"/>
      <c r="J26" s="444"/>
      <c r="K26" s="444"/>
      <c r="L26" s="444"/>
      <c r="M26" s="444"/>
      <c r="N26" s="444"/>
      <c r="O26" s="444"/>
      <c r="P26" s="444"/>
      <c r="Q26" s="444"/>
      <c r="R26" s="444"/>
      <c r="S26" s="444"/>
      <c r="T26" s="444"/>
      <c r="U26" s="444"/>
      <c r="V26" s="444"/>
      <c r="W26" s="444"/>
      <c r="X26" s="630"/>
      <c r="Y26" s="630"/>
      <c r="Z26" s="630"/>
      <c r="AA26" s="630"/>
      <c r="AB26" s="630"/>
      <c r="AC26" s="630"/>
      <c r="AD26" s="630"/>
      <c r="AE26" s="630"/>
      <c r="AF26" s="630"/>
      <c r="AG26" s="630"/>
      <c r="AH26" s="630"/>
      <c r="AI26" s="630"/>
      <c r="AJ26" s="630"/>
      <c r="AK26" s="446"/>
      <c r="AL26" s="421"/>
      <c r="AM26" s="421"/>
      <c r="AN26" s="421"/>
    </row>
    <row r="27" spans="1:44" ht="28.5" customHeight="1">
      <c r="A27" s="436"/>
      <c r="B27" s="444"/>
      <c r="C27" s="444"/>
      <c r="D27" s="444"/>
      <c r="E27" s="444"/>
      <c r="F27" s="444"/>
      <c r="G27" s="444"/>
      <c r="H27" s="444"/>
      <c r="I27" s="444"/>
      <c r="J27" s="444"/>
      <c r="K27" s="444"/>
      <c r="L27" s="444"/>
      <c r="M27" s="444"/>
      <c r="N27" s="444"/>
      <c r="O27" s="444"/>
      <c r="P27" s="444"/>
      <c r="Q27" s="444"/>
      <c r="R27" s="444"/>
      <c r="S27" s="444"/>
      <c r="T27" s="444"/>
      <c r="U27" s="444"/>
      <c r="V27" s="444"/>
      <c r="W27" s="444"/>
      <c r="X27" s="630"/>
      <c r="Y27" s="630"/>
      <c r="Z27" s="630"/>
      <c r="AA27" s="630"/>
      <c r="AB27" s="630"/>
      <c r="AC27" s="630"/>
      <c r="AD27" s="630"/>
      <c r="AE27" s="630"/>
      <c r="AF27" s="630"/>
      <c r="AG27" s="630"/>
      <c r="AH27" s="630"/>
      <c r="AI27" s="630"/>
      <c r="AJ27" s="630"/>
      <c r="AK27" s="446"/>
      <c r="AL27" s="421"/>
      <c r="AM27" s="421"/>
      <c r="AN27" s="421"/>
    </row>
    <row r="28" spans="1:44" ht="28.5" customHeight="1">
      <c r="A28" s="436"/>
      <c r="B28" s="444"/>
      <c r="C28" s="444"/>
      <c r="D28" s="444"/>
      <c r="E28" s="444"/>
      <c r="F28" s="444"/>
      <c r="G28" s="444"/>
      <c r="H28" s="444"/>
      <c r="I28" s="444"/>
      <c r="J28" s="444"/>
      <c r="K28" s="444"/>
      <c r="L28" s="444"/>
      <c r="M28" s="444"/>
      <c r="N28" s="444"/>
      <c r="O28" s="444"/>
      <c r="P28" s="444"/>
      <c r="Q28" s="444"/>
      <c r="R28" s="444"/>
      <c r="S28" s="444"/>
      <c r="T28" s="444"/>
      <c r="U28" s="444"/>
      <c r="V28" s="444"/>
      <c r="W28" s="444"/>
      <c r="X28" s="630"/>
      <c r="Y28" s="630"/>
      <c r="Z28" s="630"/>
      <c r="AA28" s="630"/>
      <c r="AB28" s="630"/>
      <c r="AC28" s="630"/>
      <c r="AD28" s="630"/>
      <c r="AE28" s="630"/>
      <c r="AF28" s="630"/>
      <c r="AG28" s="630"/>
      <c r="AH28" s="630"/>
      <c r="AI28" s="630"/>
      <c r="AJ28" s="630"/>
      <c r="AK28" s="446"/>
      <c r="AL28" s="421"/>
      <c r="AM28" s="421"/>
      <c r="AN28" s="421"/>
    </row>
    <row r="29" spans="1:44" ht="28.5" customHeight="1">
      <c r="A29" s="436"/>
      <c r="B29" s="444"/>
      <c r="C29" s="444"/>
      <c r="D29" s="444"/>
      <c r="E29" s="444"/>
      <c r="F29" s="444"/>
      <c r="G29" s="444"/>
      <c r="H29" s="444"/>
      <c r="I29" s="444"/>
      <c r="J29" s="444"/>
      <c r="K29" s="444"/>
      <c r="L29" s="444"/>
      <c r="M29" s="444"/>
      <c r="N29" s="444"/>
      <c r="O29" s="444"/>
      <c r="P29" s="444"/>
      <c r="Q29" s="444"/>
      <c r="R29" s="444"/>
      <c r="S29" s="444"/>
      <c r="T29" s="444"/>
      <c r="U29" s="444"/>
      <c r="V29" s="444"/>
      <c r="W29" s="444"/>
      <c r="X29" s="630"/>
      <c r="Y29" s="630"/>
      <c r="Z29" s="630"/>
      <c r="AA29" s="630"/>
      <c r="AB29" s="630"/>
      <c r="AC29" s="630"/>
      <c r="AD29" s="630"/>
      <c r="AE29" s="630"/>
      <c r="AF29" s="630"/>
      <c r="AG29" s="630"/>
      <c r="AH29" s="630"/>
      <c r="AI29" s="630"/>
      <c r="AJ29" s="630"/>
      <c r="AK29" s="446"/>
      <c r="AL29" s="421"/>
      <c r="AM29" s="421"/>
      <c r="AN29" s="421"/>
    </row>
    <row r="30" spans="1:44" ht="28.5" customHeight="1">
      <c r="A30" s="436"/>
      <c r="B30" s="444"/>
      <c r="C30" s="444"/>
      <c r="D30" s="444"/>
      <c r="E30" s="444"/>
      <c r="F30" s="444"/>
      <c r="G30" s="444"/>
      <c r="H30" s="444"/>
      <c r="I30" s="444"/>
      <c r="J30" s="444"/>
      <c r="K30" s="444"/>
      <c r="L30" s="444"/>
      <c r="M30" s="444"/>
      <c r="N30" s="444"/>
      <c r="O30" s="444"/>
      <c r="P30" s="444"/>
      <c r="Q30" s="444"/>
      <c r="R30" s="444"/>
      <c r="S30" s="444"/>
      <c r="T30" s="444"/>
      <c r="U30" s="444"/>
      <c r="V30" s="444"/>
      <c r="W30" s="444"/>
      <c r="X30" s="630"/>
      <c r="Y30" s="630"/>
      <c r="Z30" s="630"/>
      <c r="AA30" s="630"/>
      <c r="AB30" s="630"/>
      <c r="AC30" s="630"/>
      <c r="AD30" s="630"/>
      <c r="AE30" s="630"/>
      <c r="AF30" s="630"/>
      <c r="AG30" s="630"/>
      <c r="AH30" s="630"/>
      <c r="AI30" s="630"/>
      <c r="AJ30" s="630"/>
      <c r="AK30" s="446"/>
      <c r="AL30" s="421"/>
      <c r="AM30" s="421"/>
      <c r="AN30" s="421"/>
    </row>
    <row r="31" spans="1:44" ht="85.5" customHeight="1">
      <c r="A31" s="436"/>
      <c r="B31" s="444"/>
      <c r="C31" s="444"/>
      <c r="D31" s="444"/>
      <c r="E31" s="444"/>
      <c r="F31" s="444"/>
      <c r="G31" s="444"/>
      <c r="H31" s="444"/>
      <c r="I31" s="444"/>
      <c r="J31" s="444"/>
      <c r="K31" s="444"/>
      <c r="L31" s="444"/>
      <c r="M31" s="444"/>
      <c r="N31" s="444"/>
      <c r="O31" s="444"/>
      <c r="P31" s="444"/>
      <c r="Q31" s="444"/>
      <c r="R31" s="444"/>
      <c r="S31" s="444"/>
      <c r="T31" s="444"/>
      <c r="U31" s="444"/>
      <c r="V31" s="444"/>
      <c r="W31" s="444"/>
      <c r="X31" s="630"/>
      <c r="Y31" s="630"/>
      <c r="Z31" s="630"/>
      <c r="AA31" s="630"/>
      <c r="AB31" s="630"/>
      <c r="AC31" s="630"/>
      <c r="AE31" s="446"/>
      <c r="AG31" s="446"/>
      <c r="AH31" s="1441"/>
      <c r="AI31" s="1441"/>
      <c r="AJ31" s="1441"/>
      <c r="AK31" s="1441"/>
      <c r="AL31" s="421"/>
      <c r="AM31" s="421"/>
      <c r="AN31" s="421"/>
    </row>
    <row r="32" spans="1:44" ht="28.5" customHeight="1">
      <c r="A32" s="436"/>
      <c r="B32" s="444"/>
      <c r="C32" s="444"/>
      <c r="D32" s="444"/>
      <c r="E32" s="444"/>
      <c r="F32" s="444"/>
      <c r="G32" s="444"/>
      <c r="H32" s="444"/>
      <c r="I32" s="444"/>
      <c r="J32" s="444"/>
      <c r="K32" s="444"/>
      <c r="L32" s="444"/>
      <c r="M32" s="444"/>
      <c r="N32" s="444"/>
      <c r="O32" s="444"/>
      <c r="P32" s="444"/>
      <c r="Q32" s="444"/>
      <c r="R32" s="444"/>
      <c r="S32" s="444"/>
      <c r="T32" s="444"/>
      <c r="U32" s="444"/>
      <c r="V32" s="444"/>
      <c r="W32" s="444"/>
      <c r="X32" s="630"/>
      <c r="Y32" s="630"/>
      <c r="Z32" s="630"/>
      <c r="AA32" s="630"/>
      <c r="AB32" s="630"/>
      <c r="AC32" s="630"/>
      <c r="AD32" s="630"/>
      <c r="AE32" s="630"/>
      <c r="AF32" s="630"/>
      <c r="AG32" s="630"/>
      <c r="AH32" s="630"/>
      <c r="AI32" s="630"/>
      <c r="AJ32" s="630"/>
      <c r="AK32" s="446"/>
      <c r="AL32" s="421"/>
      <c r="AM32" s="421"/>
      <c r="AN32" s="421"/>
    </row>
    <row r="33" spans="1:40" ht="28.5" customHeight="1">
      <c r="A33" s="428"/>
      <c r="B33" s="444"/>
      <c r="C33" s="444"/>
      <c r="D33" s="444"/>
      <c r="E33" s="444"/>
      <c r="F33" s="444"/>
      <c r="G33" s="444"/>
      <c r="H33" s="444"/>
      <c r="I33" s="444"/>
      <c r="J33" s="444"/>
      <c r="K33" s="444"/>
      <c r="L33" s="444"/>
      <c r="M33" s="444"/>
      <c r="N33" s="444"/>
      <c r="O33" s="444"/>
      <c r="P33" s="444"/>
      <c r="Q33" s="444"/>
      <c r="R33" s="444"/>
      <c r="S33" s="444"/>
      <c r="T33" s="444"/>
      <c r="U33" s="444"/>
      <c r="V33" s="444"/>
      <c r="W33" s="444"/>
      <c r="X33" s="630"/>
      <c r="Y33" s="630"/>
      <c r="Z33" s="630"/>
      <c r="AA33" s="630"/>
      <c r="AB33" s="630"/>
      <c r="AC33" s="630"/>
      <c r="AD33" s="630"/>
      <c r="AE33" s="630"/>
      <c r="AF33" s="630"/>
      <c r="AG33" s="630"/>
      <c r="AH33" s="630"/>
      <c r="AI33" s="630"/>
      <c r="AJ33" s="630"/>
      <c r="AK33" s="446"/>
      <c r="AL33" s="421"/>
      <c r="AM33" s="421"/>
      <c r="AN33" s="421"/>
    </row>
    <row r="34" spans="1:40" ht="28.5" customHeight="1">
      <c r="A34" s="428"/>
      <c r="B34" s="444"/>
      <c r="C34" s="444"/>
      <c r="D34" s="444"/>
      <c r="E34" s="444"/>
      <c r="F34" s="444"/>
      <c r="G34" s="444"/>
      <c r="H34" s="444"/>
      <c r="I34" s="444"/>
      <c r="J34" s="444"/>
      <c r="K34" s="444"/>
      <c r="L34" s="444"/>
      <c r="M34" s="444"/>
      <c r="N34" s="444"/>
      <c r="O34" s="444"/>
      <c r="P34" s="444"/>
      <c r="Q34" s="444"/>
      <c r="R34" s="444"/>
      <c r="S34" s="444"/>
      <c r="T34" s="444"/>
      <c r="U34" s="444"/>
      <c r="V34" s="444"/>
      <c r="W34" s="444"/>
      <c r="X34" s="630"/>
      <c r="Y34" s="630"/>
      <c r="Z34" s="630"/>
      <c r="AA34" s="630"/>
      <c r="AB34" s="1428"/>
      <c r="AC34" s="1428"/>
      <c r="AD34" s="630"/>
      <c r="AE34" s="630"/>
      <c r="AF34" s="630"/>
      <c r="AG34" s="630"/>
      <c r="AH34" s="630"/>
      <c r="AI34" s="630"/>
      <c r="AJ34" s="630"/>
      <c r="AK34" s="446"/>
      <c r="AL34" s="421"/>
      <c r="AM34" s="421"/>
      <c r="AN34" s="421"/>
    </row>
    <row r="35" spans="1:40" ht="28.5" customHeight="1">
      <c r="A35" s="428"/>
      <c r="B35" s="444"/>
      <c r="C35" s="444"/>
      <c r="D35" s="444"/>
      <c r="E35" s="444"/>
      <c r="F35" s="444"/>
      <c r="G35" s="444"/>
      <c r="H35" s="444"/>
      <c r="I35" s="444"/>
      <c r="J35" s="444"/>
      <c r="K35" s="444"/>
      <c r="L35" s="444"/>
      <c r="M35" s="444"/>
      <c r="N35" s="444"/>
      <c r="O35" s="444"/>
      <c r="P35" s="444"/>
      <c r="Q35" s="444"/>
      <c r="R35" s="444"/>
      <c r="S35" s="444"/>
      <c r="T35" s="444"/>
      <c r="U35" s="444"/>
      <c r="V35" s="444"/>
      <c r="W35" s="444"/>
      <c r="X35" s="630"/>
      <c r="Y35" s="630"/>
      <c r="Z35" s="630"/>
      <c r="AA35" s="630"/>
      <c r="AB35" s="630"/>
      <c r="AC35" s="630"/>
      <c r="AD35" s="630"/>
      <c r="AE35" s="630"/>
      <c r="AF35" s="630"/>
      <c r="AG35" s="630"/>
      <c r="AH35" s="630"/>
      <c r="AI35" s="630"/>
      <c r="AJ35" s="630"/>
      <c r="AK35" s="446"/>
      <c r="AL35" s="421"/>
      <c r="AM35" s="421"/>
      <c r="AN35" s="421"/>
    </row>
    <row r="36" spans="1:40" ht="28.5" customHeight="1">
      <c r="A36" s="428"/>
      <c r="B36" s="428"/>
      <c r="C36" s="428"/>
      <c r="D36" s="428"/>
      <c r="E36" s="428"/>
      <c r="F36" s="428"/>
      <c r="G36" s="428"/>
      <c r="H36" s="428"/>
      <c r="I36" s="428"/>
      <c r="J36" s="428"/>
      <c r="K36" s="428"/>
      <c r="L36" s="428"/>
      <c r="M36" s="428"/>
      <c r="N36" s="428"/>
      <c r="O36" s="428"/>
      <c r="P36" s="428"/>
      <c r="Q36" s="428"/>
      <c r="R36" s="428"/>
      <c r="S36" s="428"/>
      <c r="T36" s="428"/>
      <c r="U36" s="428"/>
      <c r="V36" s="428"/>
      <c r="W36" s="428"/>
      <c r="X36" s="497"/>
      <c r="Y36" s="497"/>
      <c r="Z36" s="497"/>
      <c r="AA36" s="497"/>
      <c r="AB36" s="497"/>
      <c r="AC36" s="497"/>
      <c r="AD36" s="497"/>
      <c r="AE36" s="497"/>
      <c r="AF36" s="497"/>
      <c r="AG36" s="497"/>
      <c r="AH36" s="497"/>
      <c r="AI36" s="497"/>
      <c r="AJ36" s="497"/>
      <c r="AK36" s="427"/>
      <c r="AL36" s="421"/>
      <c r="AM36" s="421"/>
      <c r="AN36" s="421"/>
    </row>
    <row r="37" spans="1:40" ht="28.5" customHeight="1">
      <c r="A37" s="428"/>
      <c r="B37" s="428"/>
      <c r="C37" s="428"/>
      <c r="D37" s="428"/>
      <c r="E37" s="428"/>
      <c r="F37" s="428"/>
      <c r="G37" s="428"/>
      <c r="H37" s="428"/>
      <c r="I37" s="428"/>
      <c r="J37" s="428"/>
      <c r="K37" s="428"/>
      <c r="L37" s="428"/>
      <c r="M37" s="428"/>
      <c r="N37" s="428"/>
      <c r="O37" s="428"/>
      <c r="P37" s="428"/>
      <c r="Q37" s="428"/>
      <c r="R37" s="428"/>
      <c r="S37" s="428"/>
      <c r="T37" s="428"/>
      <c r="U37" s="428"/>
      <c r="V37" s="428"/>
      <c r="W37" s="428"/>
      <c r="X37" s="497"/>
      <c r="Y37" s="497"/>
      <c r="Z37" s="497"/>
      <c r="AA37" s="497"/>
      <c r="AB37" s="497"/>
      <c r="AC37" s="497"/>
      <c r="AD37" s="497"/>
      <c r="AE37" s="497"/>
      <c r="AF37" s="497"/>
      <c r="AG37" s="497"/>
      <c r="AH37" s="497"/>
      <c r="AI37" s="497"/>
      <c r="AJ37" s="497"/>
      <c r="AK37" s="427"/>
      <c r="AL37" s="421"/>
      <c r="AM37" s="421"/>
      <c r="AN37" s="421"/>
    </row>
    <row r="38" spans="1:40" ht="28.5" customHeight="1">
      <c r="A38" s="428"/>
      <c r="B38" s="428"/>
      <c r="C38" s="428"/>
      <c r="D38" s="428"/>
      <c r="E38" s="428"/>
      <c r="F38" s="428"/>
      <c r="G38" s="428"/>
      <c r="H38" s="428"/>
      <c r="I38" s="428"/>
      <c r="J38" s="428"/>
      <c r="K38" s="428"/>
      <c r="L38" s="428"/>
      <c r="M38" s="428"/>
      <c r="N38" s="428"/>
      <c r="O38" s="428"/>
      <c r="P38" s="428"/>
      <c r="Q38" s="428"/>
      <c r="R38" s="428"/>
      <c r="S38" s="428"/>
      <c r="T38" s="428"/>
      <c r="U38" s="428"/>
      <c r="V38" s="428"/>
      <c r="W38" s="428"/>
      <c r="X38" s="497"/>
      <c r="Y38" s="497"/>
      <c r="Z38" s="497"/>
      <c r="AA38" s="497"/>
      <c r="AB38" s="497"/>
      <c r="AC38" s="497"/>
      <c r="AD38" s="497"/>
      <c r="AE38" s="497"/>
      <c r="AF38" s="497"/>
      <c r="AG38" s="497"/>
      <c r="AH38" s="497"/>
      <c r="AI38" s="497"/>
      <c r="AJ38" s="497"/>
      <c r="AK38" s="427"/>
      <c r="AL38" s="421"/>
      <c r="AM38" s="421"/>
      <c r="AN38" s="421"/>
    </row>
    <row r="39" spans="1:40" ht="28.5" customHeight="1">
      <c r="A39" s="428"/>
      <c r="B39" s="428"/>
      <c r="C39" s="428"/>
      <c r="D39" s="428"/>
      <c r="E39" s="428"/>
      <c r="F39" s="428"/>
      <c r="G39" s="428"/>
      <c r="H39" s="428"/>
      <c r="I39" s="428"/>
      <c r="J39" s="428"/>
      <c r="K39" s="428"/>
      <c r="L39" s="428"/>
      <c r="M39" s="428"/>
      <c r="N39" s="428"/>
      <c r="O39" s="428"/>
      <c r="P39" s="428"/>
      <c r="Q39" s="428"/>
      <c r="R39" s="428"/>
      <c r="S39" s="428"/>
      <c r="T39" s="428"/>
      <c r="U39" s="428"/>
      <c r="V39" s="428"/>
      <c r="W39" s="428"/>
      <c r="X39" s="497"/>
      <c r="Y39" s="497"/>
      <c r="Z39" s="497"/>
      <c r="AA39" s="497"/>
      <c r="AB39" s="497"/>
      <c r="AC39" s="497"/>
      <c r="AD39" s="497"/>
      <c r="AE39" s="497"/>
      <c r="AF39" s="497"/>
      <c r="AG39" s="497"/>
      <c r="AH39" s="497"/>
      <c r="AI39" s="497"/>
      <c r="AJ39" s="497"/>
      <c r="AK39" s="427"/>
      <c r="AL39" s="421"/>
      <c r="AM39" s="421"/>
      <c r="AN39" s="421"/>
    </row>
    <row r="40" spans="1:40" ht="28.5" customHeight="1">
      <c r="A40" s="428"/>
      <c r="B40" s="428"/>
      <c r="C40" s="428"/>
      <c r="D40" s="428"/>
      <c r="E40" s="428"/>
      <c r="F40" s="428"/>
      <c r="G40" s="428"/>
      <c r="H40" s="428"/>
      <c r="I40" s="428"/>
      <c r="J40" s="428"/>
      <c r="K40" s="428"/>
      <c r="L40" s="428"/>
      <c r="M40" s="428"/>
      <c r="N40" s="428"/>
      <c r="O40" s="428"/>
      <c r="P40" s="428"/>
      <c r="Q40" s="428"/>
      <c r="R40" s="428"/>
      <c r="S40" s="428"/>
      <c r="T40" s="428"/>
      <c r="U40" s="428"/>
      <c r="V40" s="428"/>
      <c r="W40" s="428"/>
      <c r="X40" s="497"/>
      <c r="Y40" s="497"/>
      <c r="Z40" s="497"/>
      <c r="AA40" s="497"/>
      <c r="AB40" s="497"/>
      <c r="AC40" s="497"/>
      <c r="AD40" s="497"/>
      <c r="AE40" s="497"/>
      <c r="AF40" s="497"/>
      <c r="AG40" s="497"/>
      <c r="AH40" s="497"/>
      <c r="AI40" s="497"/>
      <c r="AJ40" s="497"/>
      <c r="AK40" s="427"/>
      <c r="AL40" s="421"/>
      <c r="AM40" s="421"/>
      <c r="AN40" s="421"/>
    </row>
    <row r="41" spans="1:40" ht="28.5" customHeight="1">
      <c r="A41" s="428"/>
      <c r="B41" s="428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8"/>
      <c r="U41" s="428"/>
      <c r="V41" s="428"/>
      <c r="W41" s="428"/>
      <c r="X41" s="497"/>
      <c r="Y41" s="497"/>
      <c r="Z41" s="497"/>
      <c r="AA41" s="497"/>
      <c r="AB41" s="497"/>
      <c r="AC41" s="497"/>
      <c r="AD41" s="497"/>
      <c r="AE41" s="497"/>
      <c r="AF41" s="497"/>
      <c r="AG41" s="497"/>
      <c r="AH41" s="497"/>
      <c r="AI41" s="497"/>
      <c r="AJ41" s="497"/>
      <c r="AK41" s="427"/>
      <c r="AL41" s="421"/>
      <c r="AM41" s="421"/>
      <c r="AN41" s="421"/>
    </row>
    <row r="42" spans="1:40" ht="28.5" customHeight="1">
      <c r="A42" s="428"/>
      <c r="B42" s="428"/>
      <c r="C42" s="428"/>
      <c r="D42" s="428"/>
      <c r="E42" s="428"/>
      <c r="F42" s="428"/>
      <c r="G42" s="428"/>
      <c r="H42" s="428"/>
      <c r="I42" s="428"/>
      <c r="J42" s="428"/>
      <c r="K42" s="428"/>
      <c r="L42" s="428"/>
      <c r="M42" s="428"/>
      <c r="N42" s="428"/>
      <c r="O42" s="428"/>
      <c r="P42" s="428"/>
      <c r="Q42" s="428"/>
      <c r="R42" s="428"/>
      <c r="S42" s="428"/>
      <c r="T42" s="428"/>
      <c r="U42" s="428"/>
      <c r="V42" s="428"/>
      <c r="W42" s="428"/>
      <c r="X42" s="497"/>
      <c r="Y42" s="497"/>
      <c r="Z42" s="497"/>
      <c r="AA42" s="497"/>
      <c r="AB42" s="497"/>
      <c r="AC42" s="497"/>
      <c r="AD42" s="497"/>
      <c r="AE42" s="497"/>
      <c r="AF42" s="497"/>
      <c r="AG42" s="497"/>
      <c r="AH42" s="497"/>
      <c r="AI42" s="497"/>
      <c r="AJ42" s="497"/>
      <c r="AK42" s="427"/>
      <c r="AL42" s="421"/>
      <c r="AM42" s="421"/>
      <c r="AN42" s="421"/>
    </row>
    <row r="43" spans="1:40" ht="28.5" customHeight="1">
      <c r="A43" s="428"/>
      <c r="B43" s="428"/>
      <c r="C43" s="428"/>
      <c r="D43" s="428"/>
      <c r="E43" s="428"/>
      <c r="F43" s="428"/>
      <c r="G43" s="428"/>
      <c r="H43" s="428"/>
      <c r="I43" s="428"/>
      <c r="J43" s="428"/>
      <c r="K43" s="428"/>
      <c r="L43" s="428"/>
      <c r="M43" s="428"/>
      <c r="N43" s="428"/>
      <c r="O43" s="428"/>
      <c r="P43" s="428"/>
      <c r="Q43" s="428"/>
      <c r="R43" s="428"/>
      <c r="S43" s="428"/>
      <c r="T43" s="428"/>
      <c r="U43" s="428"/>
      <c r="V43" s="428"/>
      <c r="W43" s="428"/>
      <c r="X43" s="497"/>
      <c r="Y43" s="497"/>
      <c r="Z43" s="497"/>
      <c r="AA43" s="497"/>
      <c r="AB43" s="497"/>
      <c r="AC43" s="497"/>
      <c r="AD43" s="497"/>
      <c r="AE43" s="497"/>
      <c r="AF43" s="497"/>
      <c r="AG43" s="497"/>
      <c r="AH43" s="497"/>
      <c r="AI43" s="497"/>
      <c r="AJ43" s="497"/>
      <c r="AK43" s="427"/>
      <c r="AL43" s="421"/>
      <c r="AM43" s="421"/>
      <c r="AN43" s="421"/>
    </row>
    <row r="44" spans="1:40" ht="28.5" customHeight="1">
      <c r="A44" s="428"/>
      <c r="B44" s="428"/>
      <c r="C44" s="428"/>
      <c r="D44" s="428"/>
      <c r="E44" s="428"/>
      <c r="F44" s="428"/>
      <c r="G44" s="428"/>
      <c r="H44" s="428"/>
      <c r="I44" s="428"/>
      <c r="J44" s="428"/>
      <c r="K44" s="428"/>
      <c r="L44" s="428"/>
      <c r="M44" s="428"/>
      <c r="N44" s="428"/>
      <c r="O44" s="428"/>
      <c r="P44" s="428"/>
      <c r="Q44" s="428"/>
      <c r="R44" s="428"/>
      <c r="S44" s="428"/>
      <c r="T44" s="428"/>
      <c r="U44" s="428"/>
      <c r="V44" s="428"/>
      <c r="W44" s="428"/>
      <c r="X44" s="497"/>
      <c r="Y44" s="497"/>
      <c r="Z44" s="497"/>
      <c r="AA44" s="497"/>
      <c r="AB44" s="497"/>
      <c r="AC44" s="497"/>
      <c r="AD44" s="497"/>
      <c r="AE44" s="497"/>
      <c r="AF44" s="497"/>
      <c r="AG44" s="497"/>
      <c r="AH44" s="497"/>
      <c r="AI44" s="497"/>
      <c r="AJ44" s="497"/>
      <c r="AK44" s="427"/>
      <c r="AL44" s="421"/>
      <c r="AM44" s="421"/>
      <c r="AN44" s="421"/>
    </row>
    <row r="45" spans="1:40" ht="28.5" customHeight="1">
      <c r="A45" s="428"/>
      <c r="B45" s="428"/>
      <c r="C45" s="428"/>
      <c r="D45" s="428"/>
      <c r="E45" s="428"/>
      <c r="F45" s="428"/>
      <c r="G45" s="428"/>
      <c r="H45" s="428"/>
      <c r="I45" s="428"/>
      <c r="J45" s="428"/>
      <c r="K45" s="428"/>
      <c r="L45" s="428"/>
      <c r="M45" s="428"/>
      <c r="N45" s="428"/>
      <c r="O45" s="428"/>
      <c r="P45" s="428"/>
      <c r="Q45" s="428"/>
      <c r="R45" s="428"/>
      <c r="S45" s="428"/>
      <c r="T45" s="428"/>
      <c r="U45" s="428"/>
      <c r="V45" s="428"/>
      <c r="W45" s="428"/>
      <c r="X45" s="497"/>
      <c r="Y45" s="497"/>
      <c r="Z45" s="497"/>
      <c r="AA45" s="497"/>
      <c r="AB45" s="497"/>
      <c r="AC45" s="497"/>
      <c r="AD45" s="497"/>
      <c r="AE45" s="497"/>
      <c r="AF45" s="497"/>
      <c r="AG45" s="497"/>
      <c r="AH45" s="497"/>
      <c r="AI45" s="497"/>
      <c r="AJ45" s="497"/>
      <c r="AK45" s="427"/>
      <c r="AL45" s="421"/>
      <c r="AM45" s="421"/>
      <c r="AN45" s="421"/>
    </row>
    <row r="46" spans="1:40" ht="28.5" customHeight="1">
      <c r="A46" s="428"/>
      <c r="B46" s="428"/>
      <c r="C46" s="428"/>
      <c r="D46" s="428"/>
      <c r="E46" s="428"/>
      <c r="F46" s="428"/>
      <c r="G46" s="428"/>
      <c r="H46" s="428"/>
      <c r="I46" s="428"/>
      <c r="J46" s="428"/>
      <c r="K46" s="428"/>
      <c r="L46" s="428"/>
      <c r="M46" s="428"/>
      <c r="N46" s="428"/>
      <c r="O46" s="428"/>
      <c r="P46" s="428"/>
      <c r="Q46" s="428"/>
      <c r="R46" s="428"/>
      <c r="S46" s="428"/>
      <c r="T46" s="428"/>
      <c r="U46" s="428"/>
      <c r="V46" s="428"/>
      <c r="W46" s="428"/>
      <c r="X46" s="497"/>
      <c r="Y46" s="497"/>
      <c r="Z46" s="497"/>
      <c r="AA46" s="497"/>
      <c r="AB46" s="497"/>
      <c r="AC46" s="497"/>
      <c r="AD46" s="497"/>
      <c r="AE46" s="497"/>
      <c r="AF46" s="497"/>
      <c r="AG46" s="497"/>
      <c r="AH46" s="497"/>
      <c r="AI46" s="497"/>
      <c r="AJ46" s="497"/>
      <c r="AK46" s="427"/>
      <c r="AL46" s="421"/>
      <c r="AM46" s="421"/>
      <c r="AN46" s="421"/>
    </row>
    <row r="47" spans="1:40">
      <c r="AL47" s="421"/>
      <c r="AM47" s="421"/>
      <c r="AN47" s="421"/>
    </row>
    <row r="48" spans="1:40" ht="16.5">
      <c r="A48" s="631"/>
      <c r="B48" s="631"/>
      <c r="C48" s="427"/>
      <c r="D48" s="427"/>
      <c r="E48" s="427"/>
      <c r="F48" s="427"/>
      <c r="G48" s="427"/>
      <c r="H48" s="427"/>
      <c r="I48" s="427"/>
      <c r="J48" s="427"/>
      <c r="K48" s="427"/>
      <c r="L48" s="427"/>
      <c r="M48" s="427"/>
      <c r="N48" s="427"/>
      <c r="O48" s="427"/>
      <c r="P48" s="427"/>
      <c r="Q48" s="427"/>
      <c r="R48" s="427"/>
      <c r="S48" s="427"/>
      <c r="T48" s="427"/>
      <c r="U48" s="427"/>
      <c r="V48" s="427"/>
      <c r="W48" s="427"/>
      <c r="X48" s="427"/>
      <c r="Y48" s="427"/>
      <c r="Z48" s="427"/>
      <c r="AA48" s="427"/>
      <c r="AB48" s="427"/>
      <c r="AC48" s="427"/>
      <c r="AD48" s="427"/>
      <c r="AE48" s="427"/>
      <c r="AF48" s="427"/>
      <c r="AG48" s="427"/>
      <c r="AH48" s="427"/>
      <c r="AI48" s="427"/>
      <c r="AJ48" s="427"/>
      <c r="AK48" s="427"/>
      <c r="AL48" s="421"/>
      <c r="AM48" s="421"/>
      <c r="AN48" s="421"/>
    </row>
    <row r="49" spans="1:40" ht="16.5">
      <c r="A49" s="631"/>
      <c r="B49" s="631"/>
      <c r="C49" s="427"/>
      <c r="D49" s="427"/>
      <c r="E49" s="427"/>
      <c r="F49" s="427"/>
      <c r="G49" s="427"/>
      <c r="H49" s="427"/>
      <c r="I49" s="427"/>
      <c r="J49" s="427"/>
      <c r="K49" s="427"/>
      <c r="L49" s="427"/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7"/>
      <c r="X49" s="427"/>
      <c r="Y49" s="427"/>
      <c r="Z49" s="427"/>
      <c r="AA49" s="427"/>
      <c r="AB49" s="427"/>
      <c r="AC49" s="427"/>
      <c r="AD49" s="427"/>
      <c r="AE49" s="427"/>
      <c r="AF49" s="427"/>
      <c r="AG49" s="427"/>
      <c r="AH49" s="427"/>
      <c r="AI49" s="427"/>
      <c r="AJ49" s="427"/>
      <c r="AK49" s="427"/>
      <c r="AL49" s="421"/>
      <c r="AM49" s="421"/>
      <c r="AN49" s="421"/>
    </row>
    <row r="50" spans="1:40" ht="16.5">
      <c r="A50" s="631"/>
      <c r="B50" s="631"/>
      <c r="C50" s="427"/>
      <c r="D50" s="427"/>
      <c r="E50" s="427"/>
      <c r="F50" s="427"/>
      <c r="G50" s="427"/>
      <c r="H50" s="427"/>
      <c r="I50" s="427"/>
      <c r="J50" s="427"/>
      <c r="K50" s="427"/>
      <c r="L50" s="427"/>
      <c r="M50" s="427"/>
      <c r="N50" s="427"/>
      <c r="O50" s="427"/>
      <c r="P50" s="427"/>
      <c r="Q50" s="427"/>
      <c r="R50" s="427"/>
      <c r="S50" s="427"/>
      <c r="T50" s="427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1"/>
      <c r="AM50" s="421"/>
      <c r="AN50" s="421"/>
    </row>
    <row r="51" spans="1:40" ht="16.5">
      <c r="A51" s="427"/>
      <c r="B51" s="427"/>
      <c r="C51" s="427"/>
      <c r="D51" s="427"/>
      <c r="E51" s="427"/>
      <c r="F51" s="427"/>
      <c r="G51" s="427"/>
      <c r="H51" s="427"/>
      <c r="I51" s="427"/>
      <c r="J51" s="427"/>
      <c r="K51" s="427"/>
      <c r="L51" s="427"/>
      <c r="M51" s="427"/>
      <c r="N51" s="427"/>
      <c r="O51" s="427"/>
      <c r="P51" s="427"/>
      <c r="Q51" s="427"/>
      <c r="R51" s="427"/>
      <c r="S51" s="427"/>
      <c r="T51" s="427"/>
      <c r="U51" s="427"/>
      <c r="V51" s="427"/>
      <c r="W51" s="427"/>
      <c r="X51" s="427"/>
      <c r="Y51" s="427"/>
      <c r="Z51" s="427"/>
      <c r="AA51" s="427"/>
      <c r="AB51" s="427"/>
      <c r="AC51" s="427"/>
      <c r="AD51" s="427"/>
      <c r="AE51" s="427"/>
      <c r="AF51" s="427"/>
      <c r="AG51" s="427"/>
      <c r="AH51" s="427"/>
      <c r="AI51" s="427"/>
      <c r="AJ51" s="427"/>
      <c r="AK51" s="427"/>
      <c r="AL51" s="421"/>
      <c r="AM51" s="421"/>
      <c r="AN51" s="421"/>
    </row>
    <row r="52" spans="1:40" ht="15.75" customHeight="1">
      <c r="A52" s="427"/>
      <c r="B52" s="427"/>
      <c r="C52" s="427"/>
      <c r="D52" s="427"/>
      <c r="E52" s="427"/>
      <c r="F52" s="427"/>
      <c r="G52" s="427"/>
      <c r="H52" s="427"/>
      <c r="I52" s="427"/>
      <c r="J52" s="427"/>
      <c r="K52" s="427"/>
      <c r="L52" s="427"/>
      <c r="M52" s="427"/>
      <c r="N52" s="427"/>
      <c r="O52" s="427"/>
      <c r="P52" s="427"/>
      <c r="Q52" s="427"/>
      <c r="R52" s="427"/>
      <c r="S52" s="427"/>
      <c r="T52" s="427"/>
      <c r="U52" s="427"/>
      <c r="V52" s="427"/>
      <c r="W52" s="427"/>
      <c r="X52" s="427"/>
      <c r="Y52" s="427"/>
      <c r="Z52" s="427"/>
      <c r="AA52" s="427"/>
      <c r="AB52" s="427"/>
      <c r="AC52" s="427"/>
      <c r="AD52" s="427"/>
      <c r="AE52" s="427"/>
      <c r="AF52" s="427"/>
      <c r="AG52" s="427"/>
      <c r="AH52" s="427"/>
      <c r="AI52" s="427"/>
      <c r="AJ52" s="427"/>
      <c r="AK52" s="427"/>
      <c r="AL52" s="421"/>
      <c r="AM52" s="421"/>
      <c r="AN52" s="421"/>
    </row>
    <row r="53" spans="1:40" ht="16.5">
      <c r="A53" s="427"/>
      <c r="B53" s="427"/>
      <c r="C53" s="427"/>
      <c r="D53" s="427"/>
      <c r="E53" s="427"/>
      <c r="F53" s="427"/>
      <c r="G53" s="427"/>
      <c r="H53" s="427"/>
      <c r="I53" s="427"/>
      <c r="J53" s="427"/>
      <c r="K53" s="427"/>
      <c r="L53" s="427"/>
      <c r="M53" s="427"/>
      <c r="N53" s="427"/>
      <c r="O53" s="427"/>
      <c r="P53" s="427"/>
      <c r="Q53" s="427"/>
      <c r="R53" s="427"/>
      <c r="S53" s="427"/>
      <c r="T53" s="427"/>
      <c r="U53" s="427"/>
      <c r="V53" s="427"/>
      <c r="W53" s="427"/>
      <c r="X53" s="427"/>
      <c r="Y53" s="427"/>
      <c r="Z53" s="427"/>
      <c r="AA53" s="427"/>
      <c r="AB53" s="427"/>
      <c r="AC53" s="427"/>
      <c r="AD53" s="427"/>
      <c r="AE53" s="427"/>
      <c r="AF53" s="427"/>
      <c r="AG53" s="427"/>
      <c r="AH53" s="427"/>
      <c r="AI53" s="427"/>
      <c r="AJ53" s="427"/>
      <c r="AK53" s="427"/>
      <c r="AL53" s="421"/>
      <c r="AM53" s="421"/>
      <c r="AN53" s="421"/>
    </row>
    <row r="54" spans="1:40" ht="16.5">
      <c r="A54" s="427"/>
      <c r="B54" s="427"/>
      <c r="C54" s="427"/>
      <c r="D54" s="1433"/>
      <c r="E54" s="1433"/>
      <c r="F54" s="1433"/>
      <c r="G54" s="1433"/>
      <c r="H54" s="1433"/>
      <c r="I54" s="427"/>
      <c r="J54" s="427"/>
      <c r="K54" s="427"/>
      <c r="L54" s="427"/>
      <c r="M54" s="1433"/>
      <c r="N54" s="1433"/>
      <c r="O54" s="1433"/>
      <c r="P54" s="1433"/>
      <c r="Q54" s="1433"/>
      <c r="R54" s="1433"/>
      <c r="S54" s="1433"/>
      <c r="T54" s="427"/>
      <c r="U54" s="1433"/>
      <c r="V54" s="1433"/>
      <c r="W54" s="1433"/>
      <c r="X54" s="1433"/>
      <c r="Y54" s="1433"/>
      <c r="Z54" s="1433"/>
      <c r="AA54" s="1433"/>
      <c r="AB54" s="1433"/>
      <c r="AC54" s="427"/>
      <c r="AK54" s="427"/>
      <c r="AL54" s="421"/>
      <c r="AM54" s="421"/>
      <c r="AN54" s="421"/>
    </row>
    <row r="55" spans="1:40">
      <c r="L55" s="426"/>
      <c r="M55" s="426"/>
      <c r="N55" s="426"/>
      <c r="O55" s="426"/>
      <c r="P55" s="426"/>
      <c r="AL55" s="421"/>
      <c r="AM55" s="421"/>
      <c r="AN55" s="421"/>
    </row>
    <row r="59" spans="1:40">
      <c r="A59" s="1435"/>
      <c r="B59" s="1435"/>
      <c r="C59" s="1435"/>
      <c r="AL59" s="421"/>
      <c r="AM59" s="421"/>
      <c r="AN59" s="421"/>
    </row>
    <row r="60" spans="1:40">
      <c r="A60" s="424"/>
      <c r="B60" s="425"/>
      <c r="C60" s="1435"/>
      <c r="D60" s="1435"/>
      <c r="E60" s="1435"/>
      <c r="F60" s="1435"/>
      <c r="G60" s="1435"/>
      <c r="H60" s="1435"/>
      <c r="AL60" s="421"/>
      <c r="AM60" s="421"/>
      <c r="AN60" s="421"/>
    </row>
    <row r="61" spans="1:40">
      <c r="A61" s="423"/>
      <c r="B61" s="426"/>
      <c r="C61" s="1434"/>
      <c r="D61" s="1434"/>
      <c r="E61" s="1434"/>
      <c r="F61" s="1434"/>
      <c r="G61" s="1434"/>
      <c r="H61" s="1434"/>
      <c r="AL61" s="421"/>
      <c r="AM61" s="421"/>
      <c r="AN61" s="421"/>
    </row>
    <row r="62" spans="1:40">
      <c r="A62" s="423"/>
      <c r="B62" s="426"/>
      <c r="C62" s="1434"/>
      <c r="D62" s="1434"/>
      <c r="E62" s="1434"/>
      <c r="F62" s="1434"/>
      <c r="G62" s="1434"/>
      <c r="H62" s="1434"/>
      <c r="AL62" s="421"/>
      <c r="AM62" s="421"/>
      <c r="AN62" s="421"/>
    </row>
    <row r="63" spans="1:40">
      <c r="A63" s="423"/>
      <c r="B63" s="426"/>
      <c r="C63" s="1434"/>
      <c r="D63" s="1434"/>
      <c r="E63" s="1434"/>
      <c r="F63" s="1434"/>
      <c r="G63" s="1434"/>
      <c r="H63" s="1434"/>
      <c r="AL63" s="421"/>
      <c r="AM63" s="421"/>
      <c r="AN63" s="421"/>
    </row>
    <row r="64" spans="1:40">
      <c r="A64" s="422"/>
      <c r="C64" s="1434"/>
      <c r="D64" s="1434"/>
      <c r="E64" s="1434"/>
      <c r="F64" s="1434"/>
      <c r="G64" s="1434"/>
      <c r="H64" s="1434"/>
      <c r="AL64" s="421"/>
      <c r="AM64" s="421"/>
      <c r="AN64" s="421"/>
    </row>
    <row r="65" spans="1:40">
      <c r="A65" s="422"/>
      <c r="C65" s="1434"/>
      <c r="D65" s="1434"/>
      <c r="E65" s="1434"/>
      <c r="F65" s="1434"/>
      <c r="G65" s="1434"/>
      <c r="H65" s="1434"/>
      <c r="AL65" s="421"/>
      <c r="AM65" s="421"/>
      <c r="AN65" s="421"/>
    </row>
    <row r="66" spans="1:40">
      <c r="A66" s="422"/>
      <c r="C66" s="1434"/>
      <c r="D66" s="1434"/>
      <c r="E66" s="1434"/>
      <c r="F66" s="1434"/>
      <c r="G66" s="1434"/>
      <c r="H66" s="1434"/>
      <c r="AL66" s="421"/>
      <c r="AM66" s="421"/>
      <c r="AN66" s="421"/>
    </row>
    <row r="67" spans="1:40">
      <c r="A67" s="422"/>
      <c r="C67" s="1434"/>
      <c r="D67" s="1434"/>
      <c r="E67" s="1434"/>
      <c r="F67" s="1434"/>
      <c r="G67" s="1434"/>
      <c r="H67" s="1434"/>
      <c r="AL67" s="421"/>
      <c r="AM67" s="421"/>
      <c r="AN67" s="421"/>
    </row>
  </sheetData>
  <mergeCells count="38">
    <mergeCell ref="AI14:AI15"/>
    <mergeCell ref="AJ14:AJ15"/>
    <mergeCell ref="AH31:AK31"/>
    <mergeCell ref="A16:B16"/>
    <mergeCell ref="A18:B18"/>
    <mergeCell ref="C14:AG14"/>
    <mergeCell ref="AH14:AH15"/>
    <mergeCell ref="U54:AB54"/>
    <mergeCell ref="A59:C59"/>
    <mergeCell ref="C62:H62"/>
    <mergeCell ref="C63:H63"/>
    <mergeCell ref="A20:B20"/>
    <mergeCell ref="C60:H60"/>
    <mergeCell ref="C61:H61"/>
    <mergeCell ref="D54:H54"/>
    <mergeCell ref="AB34:AC34"/>
    <mergeCell ref="A23:AN23"/>
    <mergeCell ref="C64:H64"/>
    <mergeCell ref="C65:H65"/>
    <mergeCell ref="C66:H66"/>
    <mergeCell ref="C67:H67"/>
    <mergeCell ref="M54:S54"/>
    <mergeCell ref="A1:AL1"/>
    <mergeCell ref="A5:O5"/>
    <mergeCell ref="A6:O6"/>
    <mergeCell ref="A7:AJ7"/>
    <mergeCell ref="Y22:AL22"/>
    <mergeCell ref="A9:O9"/>
    <mergeCell ref="A10:O10"/>
    <mergeCell ref="A11:AJ11"/>
    <mergeCell ref="A2:AL2"/>
    <mergeCell ref="A3:AL3"/>
    <mergeCell ref="AK14:AK15"/>
    <mergeCell ref="AL14:AL15"/>
    <mergeCell ref="A12:AJ12"/>
    <mergeCell ref="AH13:AI13"/>
    <mergeCell ref="A14:A15"/>
    <mergeCell ref="B14:B15"/>
  </mergeCells>
  <printOptions horizontalCentered="1"/>
  <pageMargins left="0" right="0" top="0.27559055118110237" bottom="0.35433070866141736" header="0.27559055118110237" footer="0.31496062992125984"/>
  <pageSetup paperSize="9" scale="22" orientation="landscape" r:id="rId1"/>
  <headerFooter alignWithMargins="0"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0000"/>
    <pageSetUpPr fitToPage="1"/>
  </sheetPr>
  <dimension ref="A1:AT210"/>
  <sheetViews>
    <sheetView topLeftCell="A7" zoomScale="55" zoomScaleNormal="55" workbookViewId="0">
      <pane xSplit="1" ySplit="4" topLeftCell="B140" activePane="bottomRight" state="frozen"/>
      <selection activeCell="A7" sqref="A7"/>
      <selection pane="topRight" activeCell="B7" sqref="B7"/>
      <selection pane="bottomLeft" activeCell="A11" sqref="A11"/>
      <selection pane="bottomRight" activeCell="A98" sqref="A98:A162"/>
    </sheetView>
  </sheetViews>
  <sheetFormatPr defaultColWidth="9.140625" defaultRowHeight="15"/>
  <cols>
    <col min="1" max="1" width="3.28515625" style="2" customWidth="1"/>
    <col min="2" max="2" width="11.5703125" style="2" customWidth="1"/>
    <col min="3" max="3" width="15" style="2" customWidth="1"/>
    <col min="4" max="4" width="7.28515625" style="2" customWidth="1"/>
    <col min="5" max="5" width="11.42578125" style="2" customWidth="1"/>
    <col min="6" max="6" width="12" style="2" customWidth="1"/>
    <col min="7" max="7" width="12" style="44" customWidth="1"/>
    <col min="8" max="8" width="11.7109375" style="44" customWidth="1"/>
    <col min="9" max="9" width="8.7109375" style="44" customWidth="1"/>
    <col min="10" max="10" width="12.5703125" style="44" customWidth="1"/>
    <col min="11" max="12" width="12.7109375" style="44" customWidth="1"/>
    <col min="13" max="13" width="9.42578125" style="44" customWidth="1"/>
    <col min="14" max="15" width="9.5703125" style="44" customWidth="1"/>
    <col min="16" max="16" width="10.28515625" style="44" customWidth="1"/>
    <col min="17" max="17" width="14" style="2" customWidth="1"/>
    <col min="18" max="18" width="16.42578125" style="59" bestFit="1" customWidth="1"/>
    <col min="19" max="19" width="12.85546875" style="57" customWidth="1"/>
    <col min="20" max="20" width="12.28515625" style="2" customWidth="1"/>
    <col min="21" max="21" width="15.140625" style="2" customWidth="1"/>
    <col min="22" max="28" width="10.140625" style="2" customWidth="1"/>
    <col min="29" max="29" width="13.42578125" style="60" customWidth="1"/>
    <col min="30" max="30" width="10" style="2" customWidth="1"/>
    <col min="31" max="31" width="14.28515625" style="2" customWidth="1"/>
    <col min="32" max="32" width="15.28515625" style="2" bestFit="1" customWidth="1"/>
    <col min="33" max="33" width="12.5703125" style="2" customWidth="1"/>
    <col min="34" max="34" width="10.85546875" style="2" customWidth="1"/>
    <col min="35" max="35" width="12.42578125" style="2" bestFit="1" customWidth="1"/>
    <col min="36" max="36" width="10.140625" style="2" customWidth="1"/>
    <col min="37" max="37" width="11.85546875" style="2" customWidth="1"/>
    <col min="38" max="38" width="13.140625" style="2" customWidth="1"/>
    <col min="39" max="40" width="10.140625" style="2" customWidth="1"/>
    <col min="41" max="16384" width="9.140625" style="2"/>
  </cols>
  <sheetData>
    <row r="1" spans="1:46" ht="8.25" customHeight="1"/>
    <row r="2" spans="1:46" ht="15.75">
      <c r="A2" s="1456" t="s">
        <v>3</v>
      </c>
      <c r="B2" s="1456"/>
      <c r="C2" s="1456"/>
      <c r="D2" s="1456"/>
      <c r="E2" s="1456"/>
      <c r="F2" s="1456"/>
      <c r="G2" s="1456"/>
      <c r="H2" s="419"/>
      <c r="I2" s="419"/>
      <c r="J2" s="419"/>
      <c r="K2" s="419"/>
      <c r="L2" s="419"/>
      <c r="M2" s="419"/>
      <c r="N2" s="419"/>
      <c r="O2" s="419"/>
      <c r="P2" s="419"/>
      <c r="R2" s="1455" t="s">
        <v>51</v>
      </c>
      <c r="S2" s="1455"/>
      <c r="T2" s="1455"/>
      <c r="U2" s="1455"/>
      <c r="V2" s="1455"/>
      <c r="W2" s="1455"/>
      <c r="X2" s="1455"/>
      <c r="Y2" s="1455"/>
      <c r="Z2" s="1455"/>
      <c r="AA2" s="1455"/>
      <c r="AB2" s="1455"/>
      <c r="AC2" s="1455"/>
      <c r="AD2" s="1455"/>
      <c r="AE2" s="1455"/>
    </row>
    <row r="3" spans="1:46" ht="15.75">
      <c r="A3" s="1457" t="s">
        <v>60</v>
      </c>
      <c r="B3" s="1457"/>
      <c r="C3" s="1457"/>
      <c r="D3" s="1457"/>
      <c r="E3" s="1457"/>
      <c r="F3" s="1457"/>
      <c r="G3" s="1457"/>
      <c r="H3" s="557"/>
      <c r="I3" s="557"/>
      <c r="J3" s="392"/>
      <c r="K3" s="557"/>
      <c r="L3" s="557"/>
      <c r="M3" s="557"/>
      <c r="N3" s="557">
        <f>144/0.67</f>
        <v>214.92537313432834</v>
      </c>
      <c r="O3" s="557"/>
      <c r="P3" s="557"/>
      <c r="Q3" s="61"/>
      <c r="R3" s="1459" t="s">
        <v>38</v>
      </c>
      <c r="S3" s="1459"/>
      <c r="T3" s="1459"/>
      <c r="U3" s="1459"/>
      <c r="V3" s="1459"/>
      <c r="W3" s="1459"/>
      <c r="X3" s="1459"/>
      <c r="Y3" s="1459"/>
      <c r="Z3" s="1459"/>
      <c r="AA3" s="1459"/>
      <c r="AB3" s="1459"/>
      <c r="AC3" s="1459"/>
      <c r="AD3" s="1459"/>
      <c r="AE3" s="1459"/>
    </row>
    <row r="4" spans="1:46" ht="15.75">
      <c r="A4" s="1458" t="s">
        <v>109</v>
      </c>
      <c r="B4" s="1458"/>
      <c r="C4" s="1458"/>
      <c r="D4" s="1458"/>
      <c r="E4" s="1458"/>
      <c r="F4" s="1458"/>
      <c r="G4" s="1458"/>
      <c r="H4" s="448"/>
      <c r="I4" s="448"/>
      <c r="J4" s="448">
        <f>F11*25000</f>
        <v>0</v>
      </c>
      <c r="K4" s="393">
        <f>G11*25000</f>
        <v>0</v>
      </c>
      <c r="L4" s="448"/>
      <c r="M4" s="448"/>
      <c r="N4" s="448"/>
      <c r="O4" s="448"/>
      <c r="P4" s="448"/>
      <c r="Q4" s="62"/>
      <c r="R4" s="63"/>
      <c r="S4" s="64"/>
      <c r="T4" s="520">
        <f>Q9-19035.02</f>
        <v>-11682.29</v>
      </c>
      <c r="U4" s="65"/>
      <c r="V4" s="65"/>
      <c r="W4" s="65"/>
      <c r="X4" s="65"/>
      <c r="Y4" s="65"/>
      <c r="Z4" s="65"/>
      <c r="AA4" s="65"/>
      <c r="AB4" s="65"/>
      <c r="AC4" s="66"/>
      <c r="AD4" s="65"/>
      <c r="AE4" s="5"/>
    </row>
    <row r="5" spans="1:46" ht="19.5" customHeight="1">
      <c r="A5" s="1460" t="s">
        <v>764</v>
      </c>
      <c r="B5" s="1460"/>
      <c r="C5" s="1460"/>
      <c r="D5" s="1460"/>
      <c r="E5" s="1460"/>
      <c r="F5" s="1460"/>
      <c r="G5" s="1460"/>
      <c r="H5" s="1460"/>
      <c r="I5" s="1460"/>
      <c r="J5" s="1460"/>
      <c r="K5" s="1460"/>
      <c r="L5" s="1460"/>
      <c r="M5" s="1460"/>
      <c r="N5" s="1460"/>
      <c r="O5" s="1460"/>
      <c r="P5" s="1460"/>
      <c r="Q5" s="1460"/>
      <c r="R5" s="1460"/>
      <c r="S5" s="1460"/>
      <c r="T5" s="1460"/>
      <c r="U5" s="1460"/>
      <c r="V5" s="1460"/>
      <c r="W5" s="1460"/>
      <c r="X5" s="1460"/>
      <c r="Y5" s="1460"/>
      <c r="Z5" s="1460"/>
      <c r="AA5" s="1460"/>
      <c r="AB5" s="1460"/>
      <c r="AC5" s="1460"/>
      <c r="AD5" s="1460"/>
      <c r="AE5" s="1460"/>
      <c r="AG5" s="49"/>
    </row>
    <row r="6" spans="1:46" ht="16.5" customHeight="1">
      <c r="A6" s="1355" t="s">
        <v>4</v>
      </c>
      <c r="B6" s="1342" t="s">
        <v>89</v>
      </c>
      <c r="C6" s="1355" t="s">
        <v>30</v>
      </c>
      <c r="D6" s="1342" t="s">
        <v>6</v>
      </c>
      <c r="E6" s="1342"/>
      <c r="F6" s="1342"/>
      <c r="G6" s="1342"/>
      <c r="H6" s="1342"/>
      <c r="I6" s="1342"/>
      <c r="J6" s="1342"/>
      <c r="K6" s="1342"/>
      <c r="L6" s="1342"/>
      <c r="M6" s="1342"/>
      <c r="N6" s="1342"/>
      <c r="O6" s="1342"/>
      <c r="P6" s="1342"/>
      <c r="Q6" s="1342"/>
      <c r="R6" s="1342"/>
      <c r="S6" s="1342"/>
      <c r="T6" s="1342"/>
      <c r="U6" s="1342"/>
      <c r="V6" s="1342"/>
      <c r="W6" s="1342"/>
      <c r="X6" s="1342"/>
      <c r="Y6" s="1342"/>
      <c r="Z6" s="1342"/>
      <c r="AA6" s="1342"/>
      <c r="AB6" s="1342"/>
      <c r="AC6" s="1342"/>
      <c r="AD6" s="1342"/>
      <c r="AE6" s="1342"/>
    </row>
    <row r="7" spans="1:46" ht="15.75" customHeight="1">
      <c r="A7" s="1355"/>
      <c r="B7" s="1342"/>
      <c r="C7" s="1355"/>
      <c r="D7" s="1342"/>
      <c r="E7" s="1454" t="s">
        <v>215</v>
      </c>
      <c r="F7" s="1454" t="s">
        <v>743</v>
      </c>
      <c r="G7" s="1342" t="s">
        <v>744</v>
      </c>
      <c r="H7" s="1342" t="s">
        <v>261</v>
      </c>
      <c r="I7" s="1342" t="s">
        <v>507</v>
      </c>
      <c r="J7" s="1452" t="s">
        <v>765</v>
      </c>
      <c r="K7" s="1452" t="s">
        <v>766</v>
      </c>
      <c r="L7" s="1452" t="s">
        <v>508</v>
      </c>
      <c r="M7" s="1452" t="s">
        <v>261</v>
      </c>
      <c r="N7" s="1342" t="s">
        <v>509</v>
      </c>
      <c r="O7" s="554"/>
      <c r="P7" s="1342" t="s">
        <v>503</v>
      </c>
      <c r="Q7" s="1453" t="s">
        <v>118</v>
      </c>
      <c r="R7" s="1355" t="s">
        <v>57</v>
      </c>
      <c r="S7" s="1355"/>
      <c r="T7" s="1355"/>
      <c r="U7" s="556"/>
      <c r="V7" s="1450" t="s">
        <v>58</v>
      </c>
      <c r="W7" s="1451"/>
      <c r="X7" s="1451"/>
      <c r="Y7" s="553"/>
      <c r="Z7" s="553"/>
      <c r="AA7" s="553"/>
      <c r="AB7" s="559"/>
      <c r="AC7" s="1462" t="s">
        <v>117</v>
      </c>
      <c r="AD7" s="1465" t="s">
        <v>37</v>
      </c>
      <c r="AE7" s="1342" t="s">
        <v>34</v>
      </c>
      <c r="AF7" s="70"/>
    </row>
    <row r="8" spans="1:46" ht="88.5" customHeight="1">
      <c r="A8" s="1355"/>
      <c r="B8" s="1342"/>
      <c r="C8" s="1355"/>
      <c r="D8" s="1342"/>
      <c r="E8" s="1454"/>
      <c r="F8" s="1454"/>
      <c r="G8" s="1342"/>
      <c r="H8" s="1342"/>
      <c r="I8" s="1342"/>
      <c r="J8" s="1452"/>
      <c r="K8" s="1452"/>
      <c r="L8" s="1452"/>
      <c r="M8" s="1452"/>
      <c r="N8" s="1342"/>
      <c r="O8" s="554"/>
      <c r="P8" s="1342"/>
      <c r="Q8" s="1453"/>
      <c r="R8" s="67" t="s">
        <v>32</v>
      </c>
      <c r="S8" s="68" t="s">
        <v>393</v>
      </c>
      <c r="T8" s="555" t="s">
        <v>119</v>
      </c>
      <c r="U8" s="555" t="s">
        <v>129</v>
      </c>
      <c r="V8" s="524" t="s">
        <v>244</v>
      </c>
      <c r="W8" s="524" t="s">
        <v>245</v>
      </c>
      <c r="X8" s="524" t="s">
        <v>433</v>
      </c>
      <c r="Y8" s="524" t="s">
        <v>438</v>
      </c>
      <c r="Z8" s="524" t="s">
        <v>431</v>
      </c>
      <c r="AA8" s="524" t="s">
        <v>432</v>
      </c>
      <c r="AB8" s="555" t="s">
        <v>264</v>
      </c>
      <c r="AC8" s="1463"/>
      <c r="AD8" s="1466"/>
      <c r="AE8" s="1461"/>
      <c r="AG8" s="44"/>
      <c r="AI8" s="60">
        <f>5308.01-Q9</f>
        <v>-2044.7199999999993</v>
      </c>
    </row>
    <row r="9" spans="1:46" s="31" customFormat="1" ht="31.5" customHeight="1">
      <c r="A9" s="560" t="s">
        <v>66</v>
      </c>
      <c r="B9" s="1355" t="s">
        <v>121</v>
      </c>
      <c r="C9" s="1355"/>
      <c r="D9" s="1355"/>
      <c r="E9" s="916">
        <f t="shared" ref="E9:AC9" si="0">E10+E96</f>
        <v>419.19999999999953</v>
      </c>
      <c r="F9" s="417">
        <f t="shared" si="0"/>
        <v>0</v>
      </c>
      <c r="G9" s="417">
        <f t="shared" si="0"/>
        <v>645.04999999999995</v>
      </c>
      <c r="H9" s="916">
        <f t="shared" si="0"/>
        <v>6252.4800000000005</v>
      </c>
      <c r="I9" s="417">
        <f t="shared" si="0"/>
        <v>36</v>
      </c>
      <c r="J9" s="916">
        <f t="shared" si="0"/>
        <v>0</v>
      </c>
      <c r="K9" s="417">
        <f t="shared" si="0"/>
        <v>0</v>
      </c>
      <c r="L9" s="417">
        <f t="shared" si="0"/>
        <v>0</v>
      </c>
      <c r="M9" s="417">
        <f t="shared" si="0"/>
        <v>0</v>
      </c>
      <c r="N9" s="859">
        <f t="shared" si="0"/>
        <v>0</v>
      </c>
      <c r="O9" s="417">
        <f t="shared" si="0"/>
        <v>0</v>
      </c>
      <c r="P9" s="417">
        <f t="shared" si="0"/>
        <v>0</v>
      </c>
      <c r="Q9" s="864">
        <f t="shared" si="0"/>
        <v>7352.73</v>
      </c>
      <c r="R9" s="417">
        <f t="shared" si="0"/>
        <v>540469</v>
      </c>
      <c r="S9" s="417">
        <f t="shared" si="0"/>
        <v>0</v>
      </c>
      <c r="T9" s="417">
        <f t="shared" si="0"/>
        <v>0</v>
      </c>
      <c r="U9" s="417">
        <f t="shared" si="0"/>
        <v>540469</v>
      </c>
      <c r="V9" s="417">
        <f t="shared" si="0"/>
        <v>3255</v>
      </c>
      <c r="W9" s="417">
        <f t="shared" si="0"/>
        <v>373</v>
      </c>
      <c r="X9" s="417">
        <f t="shared" si="0"/>
        <v>116</v>
      </c>
      <c r="Y9" s="417">
        <f t="shared" si="0"/>
        <v>146</v>
      </c>
      <c r="Z9" s="417">
        <f t="shared" si="0"/>
        <v>0</v>
      </c>
      <c r="AA9" s="417">
        <f t="shared" si="0"/>
        <v>0</v>
      </c>
      <c r="AB9" s="417">
        <f t="shared" si="0"/>
        <v>0</v>
      </c>
      <c r="AC9" s="417">
        <f t="shared" si="0"/>
        <v>7352.73</v>
      </c>
      <c r="AD9" s="400"/>
      <c r="AE9" s="559"/>
      <c r="AF9" s="69">
        <v>6716.8</v>
      </c>
      <c r="AG9" s="70">
        <f>6716.8-Q9</f>
        <v>-635.92999999999938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s="663" customFormat="1" ht="18.75" customHeight="1">
      <c r="A10" s="659" t="s">
        <v>36</v>
      </c>
      <c r="B10" s="1469" t="s">
        <v>65</v>
      </c>
      <c r="C10" s="1469"/>
      <c r="D10" s="1469"/>
      <c r="E10" s="578">
        <f>SUM(E11:E94)</f>
        <v>233.59999999999968</v>
      </c>
      <c r="F10" s="578">
        <f>SUM(F11:F95)</f>
        <v>0</v>
      </c>
      <c r="G10" s="578">
        <f t="shared" ref="G10:AC10" si="1">SUM(G11:G95)</f>
        <v>214.46</v>
      </c>
      <c r="H10" s="578">
        <f t="shared" si="1"/>
        <v>4166.5600000000004</v>
      </c>
      <c r="I10" s="578">
        <f t="shared" si="1"/>
        <v>36</v>
      </c>
      <c r="J10" s="578">
        <f t="shared" si="1"/>
        <v>0</v>
      </c>
      <c r="K10" s="578">
        <f t="shared" si="1"/>
        <v>0</v>
      </c>
      <c r="L10" s="578">
        <f t="shared" si="1"/>
        <v>0</v>
      </c>
      <c r="M10" s="578">
        <f t="shared" si="1"/>
        <v>0</v>
      </c>
      <c r="N10" s="578">
        <f t="shared" si="1"/>
        <v>0</v>
      </c>
      <c r="O10" s="578">
        <f t="shared" si="1"/>
        <v>0</v>
      </c>
      <c r="P10" s="578">
        <f t="shared" si="1"/>
        <v>0</v>
      </c>
      <c r="Q10" s="578">
        <f t="shared" si="1"/>
        <v>4650.62</v>
      </c>
      <c r="R10" s="578">
        <f t="shared" si="1"/>
        <v>291671</v>
      </c>
      <c r="S10" s="578">
        <f t="shared" si="1"/>
        <v>0</v>
      </c>
      <c r="T10" s="578">
        <f t="shared" si="1"/>
        <v>0</v>
      </c>
      <c r="U10" s="578">
        <f t="shared" si="1"/>
        <v>291671</v>
      </c>
      <c r="V10" s="578">
        <f t="shared" si="1"/>
        <v>1865</v>
      </c>
      <c r="W10" s="578">
        <f t="shared" si="1"/>
        <v>143</v>
      </c>
      <c r="X10" s="578">
        <f t="shared" si="1"/>
        <v>0</v>
      </c>
      <c r="Y10" s="578">
        <f t="shared" si="1"/>
        <v>146</v>
      </c>
      <c r="Z10" s="578">
        <f t="shared" si="1"/>
        <v>0</v>
      </c>
      <c r="AA10" s="578">
        <f t="shared" si="1"/>
        <v>0</v>
      </c>
      <c r="AB10" s="578">
        <f t="shared" si="1"/>
        <v>0</v>
      </c>
      <c r="AC10" s="578">
        <f t="shared" si="1"/>
        <v>4650.62</v>
      </c>
      <c r="AD10" s="578"/>
      <c r="AE10" s="578"/>
      <c r="AF10" s="660">
        <v>1618</v>
      </c>
      <c r="AG10" s="661">
        <v>194</v>
      </c>
      <c r="AH10" s="662"/>
      <c r="AI10" s="662"/>
      <c r="AJ10" s="662"/>
      <c r="AK10" s="635"/>
      <c r="AL10" s="635"/>
      <c r="AM10" s="635"/>
      <c r="AN10" s="635"/>
      <c r="AO10" s="635"/>
      <c r="AP10" s="635"/>
      <c r="AQ10" s="635"/>
      <c r="AR10" s="635"/>
      <c r="AS10" s="635"/>
      <c r="AT10" s="635"/>
    </row>
    <row r="11" spans="1:46" s="31" customFormat="1" ht="18.75" customHeight="1">
      <c r="A11" s="188">
        <v>1</v>
      </c>
      <c r="B11" s="221">
        <f>'Chấm công KT'!C13</f>
        <v>0</v>
      </c>
      <c r="C11" s="189" t="str">
        <f>'Chấm công KT'!D13</f>
        <v xml:space="preserve">T. Lăm  </v>
      </c>
      <c r="D11" s="103" t="s">
        <v>35</v>
      </c>
      <c r="E11" s="231">
        <f>4/1.25</f>
        <v>3.2</v>
      </c>
      <c r="F11" s="231"/>
      <c r="G11" s="231"/>
      <c r="H11" s="231"/>
      <c r="I11" s="231">
        <f>14+8+14</f>
        <v>36</v>
      </c>
      <c r="J11" s="222"/>
      <c r="K11" s="172"/>
      <c r="L11" s="172"/>
      <c r="M11" s="222"/>
      <c r="N11" s="222"/>
      <c r="O11" s="222"/>
      <c r="P11" s="222"/>
      <c r="Q11" s="223">
        <f>SUM(E11:P11)</f>
        <v>39.200000000000003</v>
      </c>
      <c r="R11" s="569">
        <f>VLOOKUP(C11,'BTH mủ tạp'!D17:AK97,34,0)</f>
        <v>4389</v>
      </c>
      <c r="S11" s="222"/>
      <c r="T11" s="164">
        <f>S11*50/100</f>
        <v>0</v>
      </c>
      <c r="U11" s="225">
        <f>R11</f>
        <v>4389</v>
      </c>
      <c r="V11" s="522">
        <f>VLOOKUP(C11,'Chấm công KT'!D13:AK93,34,0)</f>
        <v>24</v>
      </c>
      <c r="W11" s="522">
        <f>VLOOKUP(C11,'Chấm công KT'!D13:AL93,35,0)</f>
        <v>1</v>
      </c>
      <c r="X11" s="523"/>
      <c r="Y11" s="522">
        <f>VLOOKUP(C11,'Chấm công KT'!D13:AN93,37,0)</f>
        <v>2</v>
      </c>
      <c r="Z11" s="522">
        <f>VLOOKUP(C11,'Chấm công KT'!$D$13:$AO$92,38,0)</f>
        <v>0</v>
      </c>
      <c r="AA11" s="522">
        <f>VLOOKUP(C11,'Chấm công KT'!$D$13:$AP$92,39,0)</f>
        <v>0</v>
      </c>
      <c r="AB11" s="226"/>
      <c r="AC11" s="224">
        <f>Q11</f>
        <v>39.200000000000003</v>
      </c>
      <c r="AD11" s="105" t="str">
        <f>VLOOKUP(C11,'BTH mủ tạp'!$D$17:$AN$160,37,0)</f>
        <v>A</v>
      </c>
      <c r="AE11" s="222"/>
      <c r="AF11" s="219"/>
      <c r="AG11" s="220"/>
      <c r="AH11" s="85"/>
      <c r="AI11" s="85"/>
      <c r="AJ11" s="85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 s="31" customFormat="1" ht="18.75" customHeight="1">
      <c r="A12" s="103">
        <v>2</v>
      </c>
      <c r="B12" s="221" t="str">
        <f>'Chấm công KT'!C14</f>
        <v>04052</v>
      </c>
      <c r="C12" s="189" t="str">
        <f>'Chấm công KT'!D14</f>
        <v>T. Feng</v>
      </c>
      <c r="D12" s="103" t="s">
        <v>35</v>
      </c>
      <c r="E12" s="231">
        <f t="shared" ref="E12:E75" si="2">4/1.25</f>
        <v>3.2</v>
      </c>
      <c r="F12" s="231"/>
      <c r="G12" s="231"/>
      <c r="H12" s="231"/>
      <c r="I12" s="231"/>
      <c r="J12" s="222"/>
      <c r="K12" s="172"/>
      <c r="L12" s="172"/>
      <c r="M12" s="222"/>
      <c r="N12" s="222"/>
      <c r="O12" s="232"/>
      <c r="P12" s="104"/>
      <c r="Q12" s="223">
        <f t="shared" ref="Q12:Q75" si="3">SUM(E12:P12)</f>
        <v>3.2</v>
      </c>
      <c r="R12" s="569">
        <f>VLOOKUP(C12,'BTH mủ tạp'!D18:AK98,34,0)</f>
        <v>3838</v>
      </c>
      <c r="S12" s="222"/>
      <c r="T12" s="164">
        <f>S12*50/100</f>
        <v>0</v>
      </c>
      <c r="U12" s="225">
        <f t="shared" ref="U12:U75" si="4">R12</f>
        <v>3838</v>
      </c>
      <c r="V12" s="522">
        <f>VLOOKUP(C12,'Chấm công KT'!D14:AK94,34,0)</f>
        <v>24</v>
      </c>
      <c r="W12" s="522">
        <f>VLOOKUP(C12,'Chấm công KT'!D14:AL94,35,0)</f>
        <v>1</v>
      </c>
      <c r="X12" s="523"/>
      <c r="Y12" s="522">
        <f>VLOOKUP(C12,'Chấm công KT'!D14:AN94,37,0)</f>
        <v>2</v>
      </c>
      <c r="Z12" s="522">
        <f>VLOOKUP(C12,'Chấm công KT'!$D$13:$AO$92,38,0)</f>
        <v>0</v>
      </c>
      <c r="AA12" s="522">
        <f>VLOOKUP(C12,'Chấm công KT'!$D$13:$AP$92,39,0)</f>
        <v>0</v>
      </c>
      <c r="AB12" s="226"/>
      <c r="AC12" s="227">
        <f>Q12</f>
        <v>3.2</v>
      </c>
      <c r="AD12" s="105" t="str">
        <f>VLOOKUP(C12,'BTH mủ tạp'!$D$17:$AN$160,37,0)</f>
        <v>A</v>
      </c>
      <c r="AE12" s="106"/>
      <c r="AF12" s="98"/>
      <c r="AG12" s="85"/>
      <c r="AH12" s="95"/>
      <c r="AI12" s="96"/>
      <c r="AJ12" s="85"/>
      <c r="AK12" s="73"/>
      <c r="AL12" s="73"/>
      <c r="AM12" s="73"/>
      <c r="AN12" s="73"/>
      <c r="AO12" s="73"/>
      <c r="AP12" s="2"/>
      <c r="AQ12" s="2"/>
      <c r="AR12" s="2"/>
      <c r="AS12" s="2"/>
      <c r="AT12" s="2"/>
    </row>
    <row r="13" spans="1:46" s="31" customFormat="1" ht="18.75" customHeight="1">
      <c r="A13" s="188">
        <v>3</v>
      </c>
      <c r="B13" s="221" t="str">
        <f>'Chấm công KT'!C15</f>
        <v>02725</v>
      </c>
      <c r="C13" s="189" t="str">
        <f>'Chấm công KT'!D15</f>
        <v>T. Sa Văn</v>
      </c>
      <c r="D13" s="103" t="s">
        <v>35</v>
      </c>
      <c r="E13" s="231">
        <f t="shared" si="2"/>
        <v>3.2</v>
      </c>
      <c r="F13" s="231"/>
      <c r="G13" s="231"/>
      <c r="H13" s="231"/>
      <c r="I13" s="231"/>
      <c r="J13" s="222"/>
      <c r="K13" s="172"/>
      <c r="L13" s="108"/>
      <c r="M13" s="108"/>
      <c r="N13" s="104"/>
      <c r="O13" s="104"/>
      <c r="P13" s="104"/>
      <c r="Q13" s="223">
        <f t="shared" si="3"/>
        <v>3.2</v>
      </c>
      <c r="R13" s="569">
        <f>VLOOKUP(C13,'BTH mủ tạp'!D19:AK99,34,0)</f>
        <v>3396</v>
      </c>
      <c r="S13" s="222"/>
      <c r="T13" s="164">
        <f>S13*50/100</f>
        <v>0</v>
      </c>
      <c r="U13" s="225">
        <f t="shared" si="4"/>
        <v>3396</v>
      </c>
      <c r="V13" s="522">
        <f>VLOOKUP(C13,'Chấm công KT'!D15:AK95,34,0)</f>
        <v>24</v>
      </c>
      <c r="W13" s="522">
        <f>VLOOKUP(C13,'Chấm công KT'!D15:AL95,35,0)</f>
        <v>2</v>
      </c>
      <c r="X13" s="523"/>
      <c r="Y13" s="522">
        <f>VLOOKUP(C13,'Chấm công KT'!D15:AN95,37,0)</f>
        <v>2</v>
      </c>
      <c r="Z13" s="522">
        <f>VLOOKUP(C13,'Chấm công KT'!$D$13:$AO$92,38,0)</f>
        <v>0</v>
      </c>
      <c r="AA13" s="522">
        <f>VLOOKUP(C13,'Chấm công KT'!$D$13:$AP$92,39,0)</f>
        <v>0</v>
      </c>
      <c r="AB13" s="226"/>
      <c r="AC13" s="227">
        <f t="shared" ref="AC13:AC76" si="5">Q13</f>
        <v>3.2</v>
      </c>
      <c r="AD13" s="105" t="str">
        <f>VLOOKUP(C13,'BTH mủ tạp'!$D$17:$AN$160,37,0)</f>
        <v>A</v>
      </c>
      <c r="AE13" s="106"/>
      <c r="AF13" s="98"/>
      <c r="AG13" s="98">
        <v>119657</v>
      </c>
      <c r="AH13" s="98">
        <v>197</v>
      </c>
      <c r="AI13" s="98"/>
      <c r="AJ13" s="98"/>
      <c r="AK13" s="73"/>
      <c r="AL13" s="73"/>
      <c r="AM13" s="73"/>
      <c r="AN13" s="73"/>
      <c r="AO13" s="73"/>
      <c r="AP13" s="99"/>
      <c r="AQ13" s="99"/>
      <c r="AR13" s="99"/>
      <c r="AS13" s="99"/>
      <c r="AT13" s="99"/>
    </row>
    <row r="14" spans="1:46" ht="18.75" customHeight="1">
      <c r="A14" s="103">
        <v>4</v>
      </c>
      <c r="B14" s="221" t="str">
        <f>'Chấm công KT'!C16</f>
        <v>04053</v>
      </c>
      <c r="C14" s="189" t="str">
        <f>'Chấm công KT'!D16</f>
        <v>Lăm Ma Thu</v>
      </c>
      <c r="D14" s="103" t="s">
        <v>35</v>
      </c>
      <c r="E14" s="231">
        <f t="shared" si="2"/>
        <v>3.2</v>
      </c>
      <c r="F14" s="231"/>
      <c r="G14" s="231"/>
      <c r="H14" s="231"/>
      <c r="I14" s="231"/>
      <c r="J14" s="222"/>
      <c r="K14" s="172"/>
      <c r="L14" s="172"/>
      <c r="M14" s="222"/>
      <c r="N14" s="222"/>
      <c r="O14" s="232"/>
      <c r="P14" s="104"/>
      <c r="Q14" s="223">
        <f t="shared" si="3"/>
        <v>3.2</v>
      </c>
      <c r="R14" s="569">
        <f>VLOOKUP(C14,'BTH mủ tạp'!D20:AK100,34,0)</f>
        <v>3625</v>
      </c>
      <c r="S14" s="222"/>
      <c r="T14" s="164">
        <f t="shared" ref="T14:T75" si="6">S14*50/100</f>
        <v>0</v>
      </c>
      <c r="U14" s="225">
        <f t="shared" si="4"/>
        <v>3625</v>
      </c>
      <c r="V14" s="522">
        <f>VLOOKUP(C14,'Chấm công KT'!D16:AK96,34,0)</f>
        <v>26</v>
      </c>
      <c r="W14" s="522">
        <f>VLOOKUP(C14,'Chấm công KT'!D16:AL96,35,0)</f>
        <v>2</v>
      </c>
      <c r="X14" s="523"/>
      <c r="Y14" s="522">
        <f>VLOOKUP(C14,'Chấm công KT'!D16:AN96,37,0)</f>
        <v>2</v>
      </c>
      <c r="Z14" s="522">
        <f>VLOOKUP(C14,'Chấm công KT'!$D$13:$AO$92,38,0)</f>
        <v>0</v>
      </c>
      <c r="AA14" s="522">
        <f>VLOOKUP(C14,'Chấm công KT'!$D$13:$AP$92,39,0)</f>
        <v>0</v>
      </c>
      <c r="AB14" s="226"/>
      <c r="AC14" s="227">
        <f t="shared" si="5"/>
        <v>3.2</v>
      </c>
      <c r="AD14" s="105" t="str">
        <f>VLOOKUP(C14,'BTH mủ tạp'!$D$17:$AN$160,37,0)</f>
        <v>A</v>
      </c>
      <c r="AE14" s="106"/>
      <c r="AF14" s="90"/>
      <c r="AG14" s="74">
        <v>125408</v>
      </c>
      <c r="AH14" s="71">
        <v>554</v>
      </c>
      <c r="AI14" s="72"/>
      <c r="AJ14" s="73"/>
      <c r="AK14" s="73"/>
      <c r="AL14" s="73"/>
      <c r="AM14" s="73"/>
      <c r="AN14" s="73"/>
      <c r="AO14" s="73"/>
    </row>
    <row r="15" spans="1:46" ht="18.75" customHeight="1">
      <c r="A15" s="188">
        <v>5</v>
      </c>
      <c r="B15" s="221" t="str">
        <f>'Chấm công KT'!C17</f>
        <v>03459</v>
      </c>
      <c r="C15" s="189" t="str">
        <f>'Chấm công KT'!D17</f>
        <v>N. Vạt</v>
      </c>
      <c r="D15" s="103" t="s">
        <v>35</v>
      </c>
      <c r="E15" s="231">
        <f t="shared" si="2"/>
        <v>3.2</v>
      </c>
      <c r="F15" s="231"/>
      <c r="G15" s="231"/>
      <c r="H15" s="231"/>
      <c r="I15" s="231"/>
      <c r="J15" s="222"/>
      <c r="K15" s="172"/>
      <c r="L15" s="108"/>
      <c r="M15" s="222"/>
      <c r="N15" s="104"/>
      <c r="O15" s="104"/>
      <c r="P15" s="104"/>
      <c r="Q15" s="223">
        <f t="shared" si="3"/>
        <v>3.2</v>
      </c>
      <c r="R15" s="569">
        <f>VLOOKUP(C15,'BTH mủ tạp'!D21:AK101,34,0)</f>
        <v>3228</v>
      </c>
      <c r="S15" s="222"/>
      <c r="T15" s="164">
        <f t="shared" si="6"/>
        <v>0</v>
      </c>
      <c r="U15" s="225">
        <f t="shared" si="4"/>
        <v>3228</v>
      </c>
      <c r="V15" s="522">
        <f>VLOOKUP(C15,'Chấm công KT'!D17:AK97,34,0)</f>
        <v>24</v>
      </c>
      <c r="W15" s="522">
        <f>VLOOKUP(C15,'Chấm công KT'!D17:AL97,35,0)</f>
        <v>2</v>
      </c>
      <c r="X15" s="523"/>
      <c r="Y15" s="522">
        <f>VLOOKUP(C15,'Chấm công KT'!D17:AN97,37,0)</f>
        <v>2</v>
      </c>
      <c r="Z15" s="522">
        <f>VLOOKUP(C15,'Chấm công KT'!$D$13:$AO$92,38,0)</f>
        <v>0</v>
      </c>
      <c r="AA15" s="522">
        <f>VLOOKUP(C15,'Chấm công KT'!$D$13:$AP$92,39,0)</f>
        <v>0</v>
      </c>
      <c r="AB15" s="226"/>
      <c r="AC15" s="227">
        <f t="shared" si="5"/>
        <v>3.2</v>
      </c>
      <c r="AD15" s="105" t="str">
        <f>VLOOKUP(C15,'BTH mủ tạp'!$D$17:$AN$160,37,0)</f>
        <v>A</v>
      </c>
      <c r="AE15" s="106"/>
      <c r="AF15" s="90"/>
      <c r="AG15" s="86">
        <v>97048</v>
      </c>
      <c r="AH15" s="86">
        <v>92</v>
      </c>
      <c r="AI15" s="72"/>
      <c r="AJ15" s="73"/>
      <c r="AK15" s="73"/>
      <c r="AL15" s="73"/>
      <c r="AM15" s="73"/>
      <c r="AN15" s="73"/>
      <c r="AO15" s="73"/>
    </row>
    <row r="16" spans="1:46" ht="18.75" customHeight="1">
      <c r="A16" s="103">
        <v>6</v>
      </c>
      <c r="B16" s="221" t="str">
        <f>'Chấm công KT'!C18</f>
        <v>04054</v>
      </c>
      <c r="C16" s="189" t="str">
        <f>'Chấm công KT'!D18</f>
        <v>N. Kay Son</v>
      </c>
      <c r="D16" s="103" t="s">
        <v>35</v>
      </c>
      <c r="E16" s="231">
        <f t="shared" si="2"/>
        <v>3.2</v>
      </c>
      <c r="F16" s="231"/>
      <c r="G16" s="231"/>
      <c r="H16" s="231"/>
      <c r="I16" s="231"/>
      <c r="J16" s="222"/>
      <c r="K16" s="172"/>
      <c r="L16" s="172"/>
      <c r="M16" s="222"/>
      <c r="N16" s="222"/>
      <c r="O16" s="232"/>
      <c r="P16" s="104"/>
      <c r="Q16" s="223">
        <f t="shared" si="3"/>
        <v>3.2</v>
      </c>
      <c r="R16" s="569">
        <f>VLOOKUP(C16,'BTH mủ tạp'!D22:AK102,34,0)</f>
        <v>4093</v>
      </c>
      <c r="S16" s="222"/>
      <c r="T16" s="164">
        <f t="shared" si="6"/>
        <v>0</v>
      </c>
      <c r="U16" s="225">
        <f t="shared" si="4"/>
        <v>4093</v>
      </c>
      <c r="V16" s="522">
        <f>VLOOKUP(C16,'Chấm công KT'!D18:AK98,34,0)</f>
        <v>25</v>
      </c>
      <c r="W16" s="522">
        <f>VLOOKUP(C16,'Chấm công KT'!D18:AL98,35,0)</f>
        <v>2</v>
      </c>
      <c r="X16" s="523"/>
      <c r="Y16" s="522">
        <f>VLOOKUP(C16,'Chấm công KT'!D18:AN98,37,0)</f>
        <v>2</v>
      </c>
      <c r="Z16" s="522">
        <f>VLOOKUP(C16,'Chấm công KT'!$D$13:$AO$92,38,0)</f>
        <v>0</v>
      </c>
      <c r="AA16" s="522">
        <f>VLOOKUP(C16,'Chấm công KT'!$D$13:$AP$92,39,0)</f>
        <v>0</v>
      </c>
      <c r="AB16" s="226"/>
      <c r="AC16" s="227">
        <f t="shared" si="5"/>
        <v>3.2</v>
      </c>
      <c r="AD16" s="105" t="str">
        <f>VLOOKUP(C16,'BTH mủ tạp'!$D$17:$AN$160,37,0)</f>
        <v>A</v>
      </c>
      <c r="AE16" s="106"/>
      <c r="AF16" s="90"/>
      <c r="AG16" s="2">
        <v>46179</v>
      </c>
      <c r="AH16" s="75"/>
      <c r="AI16" s="85"/>
      <c r="AJ16" s="85"/>
      <c r="AK16" s="73"/>
      <c r="AL16" s="73"/>
      <c r="AM16" s="73"/>
      <c r="AN16" s="73"/>
      <c r="AO16" s="73"/>
    </row>
    <row r="17" spans="1:41" ht="18.75" customHeight="1">
      <c r="A17" s="188">
        <v>7</v>
      </c>
      <c r="B17" s="221" t="str">
        <f>'Chấm công KT'!C19</f>
        <v>04055</v>
      </c>
      <c r="C17" s="189" t="str">
        <f>'Chấm công KT'!D19</f>
        <v>T. Đèng 1</v>
      </c>
      <c r="D17" s="103" t="s">
        <v>35</v>
      </c>
      <c r="E17" s="231">
        <f t="shared" si="2"/>
        <v>3.2</v>
      </c>
      <c r="F17" s="231"/>
      <c r="G17" s="231"/>
      <c r="H17" s="231"/>
      <c r="I17" s="231"/>
      <c r="J17" s="222"/>
      <c r="K17" s="172"/>
      <c r="L17" s="172"/>
      <c r="M17" s="222"/>
      <c r="N17" s="222"/>
      <c r="O17" s="232"/>
      <c r="P17" s="104"/>
      <c r="Q17" s="223">
        <f t="shared" si="3"/>
        <v>3.2</v>
      </c>
      <c r="R17" s="569">
        <f>VLOOKUP(C17,'BTH mủ tạp'!D23:AK103,34,0)</f>
        <v>3646</v>
      </c>
      <c r="S17" s="222"/>
      <c r="T17" s="164">
        <f t="shared" si="6"/>
        <v>0</v>
      </c>
      <c r="U17" s="225">
        <f t="shared" si="4"/>
        <v>3646</v>
      </c>
      <c r="V17" s="522">
        <f>VLOOKUP(C17,'Chấm công KT'!D19:AK99,34,0)</f>
        <v>26</v>
      </c>
      <c r="W17" s="522">
        <f>VLOOKUP(C17,'Chấm công KT'!D19:AL99,35,0)</f>
        <v>2</v>
      </c>
      <c r="X17" s="523"/>
      <c r="Y17" s="522">
        <f>VLOOKUP(C17,'Chấm công KT'!D19:AN99,37,0)</f>
        <v>2</v>
      </c>
      <c r="Z17" s="522">
        <f>VLOOKUP(C17,'Chấm công KT'!$D$13:$AO$92,38,0)</f>
        <v>0</v>
      </c>
      <c r="AA17" s="522">
        <f>VLOOKUP(C17,'Chấm công KT'!$D$13:$AP$92,39,0)</f>
        <v>0</v>
      </c>
      <c r="AB17" s="226"/>
      <c r="AC17" s="227">
        <f t="shared" si="5"/>
        <v>3.2</v>
      </c>
      <c r="AD17" s="105" t="str">
        <f>VLOOKUP(C17,'BTH mủ tạp'!$D$17:$AN$160,37,0)</f>
        <v>A</v>
      </c>
      <c r="AE17" s="106"/>
      <c r="AF17" s="98"/>
      <c r="AG17" s="85"/>
      <c r="AH17" s="93"/>
      <c r="AI17" s="94"/>
      <c r="AJ17" s="73"/>
      <c r="AK17" s="73"/>
      <c r="AL17" s="73"/>
      <c r="AM17" s="73"/>
      <c r="AN17" s="73"/>
      <c r="AO17" s="73"/>
    </row>
    <row r="18" spans="1:41" ht="18.75" customHeight="1">
      <c r="A18" s="103">
        <v>8</v>
      </c>
      <c r="B18" s="221" t="str">
        <f>'Chấm công KT'!C20</f>
        <v>03462</v>
      </c>
      <c r="C18" s="189" t="str">
        <f>'Chấm công KT'!D20</f>
        <v>T . Bua Ngân</v>
      </c>
      <c r="D18" s="103" t="s">
        <v>35</v>
      </c>
      <c r="E18" s="231">
        <f t="shared" si="2"/>
        <v>3.2</v>
      </c>
      <c r="F18" s="231"/>
      <c r="G18" s="231"/>
      <c r="H18" s="231"/>
      <c r="I18" s="231"/>
      <c r="J18" s="222"/>
      <c r="K18" s="172"/>
      <c r="L18" s="172"/>
      <c r="M18" s="222"/>
      <c r="N18" s="222"/>
      <c r="O18" s="232"/>
      <c r="P18" s="104"/>
      <c r="Q18" s="223">
        <f t="shared" si="3"/>
        <v>3.2</v>
      </c>
      <c r="R18" s="569">
        <f>VLOOKUP(C18,'BTH mủ tạp'!D24:AK104,34,0)</f>
        <v>3674</v>
      </c>
      <c r="S18" s="222"/>
      <c r="T18" s="164">
        <f t="shared" si="6"/>
        <v>0</v>
      </c>
      <c r="U18" s="225">
        <f t="shared" si="4"/>
        <v>3674</v>
      </c>
      <c r="V18" s="522">
        <f>VLOOKUP(C18,'Chấm công KT'!D20:AK100,34,0)</f>
        <v>25</v>
      </c>
      <c r="W18" s="522">
        <f>VLOOKUP(C18,'Chấm công KT'!D20:AL100,35,0)</f>
        <v>2</v>
      </c>
      <c r="X18" s="523"/>
      <c r="Y18" s="522">
        <f>VLOOKUP(C18,'Chấm công KT'!D20:AN100,37,0)</f>
        <v>2</v>
      </c>
      <c r="Z18" s="522">
        <f>VLOOKUP(C18,'Chấm công KT'!$D$13:$AO$92,38,0)</f>
        <v>0</v>
      </c>
      <c r="AA18" s="522">
        <f>VLOOKUP(C18,'Chấm công KT'!$D$13:$AP$92,39,0)</f>
        <v>0</v>
      </c>
      <c r="AB18" s="226"/>
      <c r="AC18" s="227">
        <f t="shared" si="5"/>
        <v>3.2</v>
      </c>
      <c r="AD18" s="105" t="str">
        <f>VLOOKUP(C18,'BTH mủ tạp'!$D$17:$AN$160,37,0)</f>
        <v>A</v>
      </c>
      <c r="AE18" s="106"/>
      <c r="AF18" s="98"/>
      <c r="AG18" s="102"/>
      <c r="AH18" s="93"/>
      <c r="AI18" s="92">
        <f>1155.43-Q9</f>
        <v>-6197.2999999999993</v>
      </c>
      <c r="AJ18" s="73"/>
      <c r="AK18" s="73"/>
      <c r="AL18" s="73"/>
      <c r="AM18" s="73"/>
      <c r="AN18" s="73"/>
      <c r="AO18" s="73"/>
    </row>
    <row r="19" spans="1:41" ht="18.75" customHeight="1">
      <c r="A19" s="188">
        <v>9</v>
      </c>
      <c r="B19" s="221" t="str">
        <f>'Chấm công KT'!C21</f>
        <v>03463</v>
      </c>
      <c r="C19" s="189" t="str">
        <f>'Chấm công KT'!D21</f>
        <v>T Căng</v>
      </c>
      <c r="D19" s="103" t="s">
        <v>35</v>
      </c>
      <c r="E19" s="231">
        <f t="shared" si="2"/>
        <v>3.2</v>
      </c>
      <c r="F19" s="231"/>
      <c r="G19" s="231"/>
      <c r="H19" s="231"/>
      <c r="I19" s="231"/>
      <c r="J19" s="222"/>
      <c r="K19" s="172"/>
      <c r="L19" s="172"/>
      <c r="M19" s="222"/>
      <c r="N19" s="222"/>
      <c r="O19" s="232"/>
      <c r="P19" s="104"/>
      <c r="Q19" s="223">
        <f t="shared" si="3"/>
        <v>3.2</v>
      </c>
      <c r="R19" s="569">
        <f>VLOOKUP(C19,'BTH mủ tạp'!D25:AK105,34,0)</f>
        <v>4580</v>
      </c>
      <c r="S19" s="222"/>
      <c r="T19" s="164">
        <f t="shared" si="6"/>
        <v>0</v>
      </c>
      <c r="U19" s="225">
        <f t="shared" si="4"/>
        <v>4580</v>
      </c>
      <c r="V19" s="522">
        <f>VLOOKUP(C19,'Chấm công KT'!D21:AK101,34,0)</f>
        <v>25</v>
      </c>
      <c r="W19" s="522">
        <f>VLOOKUP(C19,'Chấm công KT'!D21:AL101,35,0)</f>
        <v>2</v>
      </c>
      <c r="X19" s="523"/>
      <c r="Y19" s="522">
        <f>VLOOKUP(C19,'Chấm công KT'!D21:AN101,37,0)</f>
        <v>2</v>
      </c>
      <c r="Z19" s="522">
        <f>VLOOKUP(C19,'Chấm công KT'!$D$13:$AO$92,38,0)</f>
        <v>0</v>
      </c>
      <c r="AA19" s="522">
        <f>VLOOKUP(C19,'Chấm công KT'!$D$13:$AP$92,39,0)</f>
        <v>0</v>
      </c>
      <c r="AB19" s="226"/>
      <c r="AC19" s="227">
        <f t="shared" si="5"/>
        <v>3.2</v>
      </c>
      <c r="AD19" s="105" t="str">
        <f>VLOOKUP(C19,'BTH mủ tạp'!$D$17:$AN$160,37,0)</f>
        <v>A</v>
      </c>
      <c r="AE19" s="106"/>
      <c r="AF19" s="98"/>
      <c r="AG19" s="98"/>
      <c r="AH19" s="98"/>
      <c r="AI19" s="98"/>
      <c r="AJ19" s="73"/>
      <c r="AK19" s="73"/>
      <c r="AL19" s="73"/>
      <c r="AM19" s="73"/>
      <c r="AN19" s="73"/>
      <c r="AO19" s="73"/>
    </row>
    <row r="20" spans="1:41" ht="18.75" customHeight="1">
      <c r="A20" s="103">
        <v>10</v>
      </c>
      <c r="B20" s="221" t="str">
        <f>'Chấm công KT'!C22</f>
        <v>03464</v>
      </c>
      <c r="C20" s="189" t="str">
        <f>'Chấm công KT'!D22</f>
        <v>N. Phôn 1</v>
      </c>
      <c r="D20" s="103" t="s">
        <v>35</v>
      </c>
      <c r="E20" s="231">
        <f t="shared" si="2"/>
        <v>3.2</v>
      </c>
      <c r="F20" s="231"/>
      <c r="G20" s="231"/>
      <c r="H20" s="231"/>
      <c r="I20" s="231"/>
      <c r="J20" s="222"/>
      <c r="K20" s="172"/>
      <c r="L20" s="108"/>
      <c r="M20" s="108"/>
      <c r="N20" s="104"/>
      <c r="O20" s="104"/>
      <c r="P20" s="104"/>
      <c r="Q20" s="223">
        <f t="shared" si="3"/>
        <v>3.2</v>
      </c>
      <c r="R20" s="569">
        <f>VLOOKUP(C20,'BTH mủ tạp'!D26:AK106,34,0)</f>
        <v>4638</v>
      </c>
      <c r="S20" s="222"/>
      <c r="T20" s="164">
        <f t="shared" si="6"/>
        <v>0</v>
      </c>
      <c r="U20" s="225">
        <f t="shared" si="4"/>
        <v>4638</v>
      </c>
      <c r="V20" s="522">
        <f>VLOOKUP(C20,'Chấm công KT'!D22:AK102,34,0)</f>
        <v>25</v>
      </c>
      <c r="W20" s="522">
        <f>VLOOKUP(C20,'Chấm công KT'!D22:AL102,35,0)</f>
        <v>2</v>
      </c>
      <c r="X20" s="523"/>
      <c r="Y20" s="522">
        <f>VLOOKUP(C20,'Chấm công KT'!D22:AN102,37,0)</f>
        <v>2</v>
      </c>
      <c r="Z20" s="522">
        <f>VLOOKUP(C20,'Chấm công KT'!$D$13:$AO$92,38,0)</f>
        <v>0</v>
      </c>
      <c r="AA20" s="522">
        <f>VLOOKUP(C20,'Chấm công KT'!$D$13:$AP$92,39,0)</f>
        <v>0</v>
      </c>
      <c r="AB20" s="226"/>
      <c r="AC20" s="227">
        <f t="shared" si="5"/>
        <v>3.2</v>
      </c>
      <c r="AD20" s="105" t="str">
        <f>VLOOKUP(C20,'BTH mủ tạp'!$D$17:$AN$160,37,0)</f>
        <v>A</v>
      </c>
      <c r="AE20" s="106"/>
      <c r="AF20" s="90"/>
      <c r="AG20" s="60">
        <f>Q9</f>
        <v>7352.73</v>
      </c>
      <c r="AH20" s="101"/>
      <c r="AI20" s="76"/>
      <c r="AJ20" s="73"/>
      <c r="AK20" s="73"/>
      <c r="AL20" s="73"/>
      <c r="AM20" s="73"/>
      <c r="AN20" s="73"/>
      <c r="AO20" s="73"/>
    </row>
    <row r="21" spans="1:41" ht="18.75" customHeight="1">
      <c r="A21" s="188">
        <v>11</v>
      </c>
      <c r="B21" s="221" t="str">
        <f>'Chấm công KT'!C23</f>
        <v>03465</v>
      </c>
      <c r="C21" s="189" t="str">
        <f>'Chấm công KT'!D23</f>
        <v>T. In Păn</v>
      </c>
      <c r="D21" s="103" t="s">
        <v>35</v>
      </c>
      <c r="E21" s="231">
        <f t="shared" si="2"/>
        <v>3.2</v>
      </c>
      <c r="F21" s="231"/>
      <c r="G21" s="231"/>
      <c r="H21" s="231"/>
      <c r="I21" s="231"/>
      <c r="J21" s="222"/>
      <c r="K21" s="172"/>
      <c r="L21" s="172"/>
      <c r="M21" s="222"/>
      <c r="N21" s="222"/>
      <c r="O21" s="232"/>
      <c r="P21" s="104"/>
      <c r="Q21" s="223">
        <f t="shared" si="3"/>
        <v>3.2</v>
      </c>
      <c r="R21" s="569">
        <f>VLOOKUP(C21,'BTH mủ tạp'!D27:AK107,34,0)</f>
        <v>3595</v>
      </c>
      <c r="S21" s="222"/>
      <c r="T21" s="164">
        <f t="shared" si="6"/>
        <v>0</v>
      </c>
      <c r="U21" s="225">
        <f t="shared" si="4"/>
        <v>3595</v>
      </c>
      <c r="V21" s="522">
        <f>VLOOKUP(C21,'Chấm công KT'!D23:AK103,34,0)</f>
        <v>25</v>
      </c>
      <c r="W21" s="522">
        <f>VLOOKUP(C21,'Chấm công KT'!D23:AL103,35,0)</f>
        <v>2</v>
      </c>
      <c r="X21" s="523"/>
      <c r="Y21" s="522">
        <f>VLOOKUP(C21,'Chấm công KT'!D23:AN103,37,0)</f>
        <v>2</v>
      </c>
      <c r="Z21" s="522">
        <f>VLOOKUP(C21,'Chấm công KT'!$D$13:$AO$92,38,0)</f>
        <v>0</v>
      </c>
      <c r="AA21" s="522">
        <f>VLOOKUP(C21,'Chấm công KT'!$D$13:$AP$92,39,0)</f>
        <v>0</v>
      </c>
      <c r="AB21" s="226"/>
      <c r="AC21" s="227">
        <f t="shared" si="5"/>
        <v>3.2</v>
      </c>
      <c r="AD21" s="105" t="str">
        <f>VLOOKUP(C21,'BTH mủ tạp'!$D$17:$AN$160,37,0)</f>
        <v>A</v>
      </c>
      <c r="AE21" s="106"/>
      <c r="AF21" s="90"/>
      <c r="AG21" s="60">
        <f>AG20-2544.38</f>
        <v>4808.3499999999995</v>
      </c>
      <c r="AH21" s="75"/>
      <c r="AI21" s="76"/>
      <c r="AJ21" s="73"/>
      <c r="AK21" s="73"/>
      <c r="AL21" s="73"/>
      <c r="AM21" s="73"/>
      <c r="AN21" s="73"/>
      <c r="AO21" s="73"/>
    </row>
    <row r="22" spans="1:41" ht="18.75" customHeight="1">
      <c r="A22" s="103">
        <v>12</v>
      </c>
      <c r="B22" s="221" t="str">
        <f>'Chấm công KT'!C24</f>
        <v>03466</v>
      </c>
      <c r="C22" s="189" t="str">
        <f>'Chấm công KT'!D24</f>
        <v>N. Keo</v>
      </c>
      <c r="D22" s="103" t="s">
        <v>35</v>
      </c>
      <c r="E22" s="231">
        <f t="shared" si="2"/>
        <v>3.2</v>
      </c>
      <c r="F22" s="231"/>
      <c r="G22" s="231"/>
      <c r="H22" s="231"/>
      <c r="I22" s="231"/>
      <c r="J22" s="222"/>
      <c r="K22" s="172"/>
      <c r="L22" s="108"/>
      <c r="M22" s="108"/>
      <c r="N22" s="104"/>
      <c r="O22" s="104"/>
      <c r="P22" s="104"/>
      <c r="Q22" s="223">
        <f t="shared" si="3"/>
        <v>3.2</v>
      </c>
      <c r="R22" s="569">
        <f>VLOOKUP(C22,'BTH mủ tạp'!D28:AK108,34,0)</f>
        <v>4351</v>
      </c>
      <c r="S22" s="222"/>
      <c r="T22" s="164">
        <f t="shared" si="6"/>
        <v>0</v>
      </c>
      <c r="U22" s="225">
        <f t="shared" si="4"/>
        <v>4351</v>
      </c>
      <c r="V22" s="522">
        <f>VLOOKUP(C22,'Chấm công KT'!D24:AK104,34,0)</f>
        <v>26</v>
      </c>
      <c r="W22" s="522">
        <f>VLOOKUP(C22,'Chấm công KT'!D24:AL104,35,0)</f>
        <v>2</v>
      </c>
      <c r="X22" s="523"/>
      <c r="Y22" s="522">
        <f>VLOOKUP(C22,'Chấm công KT'!D24:AN104,37,0)</f>
        <v>2</v>
      </c>
      <c r="Z22" s="522">
        <f>VLOOKUP(C22,'Chấm công KT'!$D$13:$AO$92,38,0)</f>
        <v>0</v>
      </c>
      <c r="AA22" s="522">
        <f>VLOOKUP(C22,'Chấm công KT'!$D$13:$AP$92,39,0)</f>
        <v>0</v>
      </c>
      <c r="AB22" s="226"/>
      <c r="AC22" s="227">
        <f t="shared" si="5"/>
        <v>3.2</v>
      </c>
      <c r="AD22" s="105" t="str">
        <f>VLOOKUP(C22,'BTH mủ tạp'!$D$17:$AN$160,37,0)</f>
        <v>A</v>
      </c>
      <c r="AE22" s="106"/>
      <c r="AF22" s="90"/>
      <c r="AG22" s="44">
        <f>AG21-6.33</f>
        <v>4802.0199999999995</v>
      </c>
      <c r="AH22" s="75"/>
      <c r="AI22" s="76"/>
      <c r="AJ22" s="73"/>
      <c r="AK22" s="73"/>
      <c r="AL22" s="73"/>
      <c r="AM22" s="73"/>
      <c r="AN22" s="73"/>
      <c r="AO22" s="73"/>
    </row>
    <row r="23" spans="1:41" ht="18.75" customHeight="1">
      <c r="A23" s="188">
        <v>13</v>
      </c>
      <c r="B23" s="221" t="str">
        <f>'Chấm công KT'!C25</f>
        <v>02727</v>
      </c>
      <c r="C23" s="189" t="str">
        <f>'Chấm công KT'!D25</f>
        <v>T. Thong Đon</v>
      </c>
      <c r="D23" s="103" t="s">
        <v>35</v>
      </c>
      <c r="E23" s="231">
        <f t="shared" si="2"/>
        <v>3.2</v>
      </c>
      <c r="F23" s="231"/>
      <c r="G23" s="231"/>
      <c r="H23" s="231"/>
      <c r="I23" s="231"/>
      <c r="J23" s="222"/>
      <c r="K23" s="172"/>
      <c r="L23" s="172"/>
      <c r="M23" s="222"/>
      <c r="N23" s="222"/>
      <c r="O23" s="232"/>
      <c r="P23" s="104"/>
      <c r="Q23" s="223">
        <f t="shared" si="3"/>
        <v>3.2</v>
      </c>
      <c r="R23" s="569">
        <f>VLOOKUP(C23,'BTH mủ tạp'!D29:AK109,34,0)</f>
        <v>4260</v>
      </c>
      <c r="S23" s="222"/>
      <c r="T23" s="164">
        <f t="shared" si="6"/>
        <v>0</v>
      </c>
      <c r="U23" s="225">
        <f t="shared" si="4"/>
        <v>4260</v>
      </c>
      <c r="V23" s="522">
        <f>VLOOKUP(C23,'Chấm công KT'!D25:AK105,34,0)</f>
        <v>25</v>
      </c>
      <c r="W23" s="522">
        <f>VLOOKUP(C23,'Chấm công KT'!D25:AL105,35,0)</f>
        <v>2</v>
      </c>
      <c r="X23" s="523"/>
      <c r="Y23" s="522">
        <f>VLOOKUP(C23,'Chấm công KT'!D25:AN105,37,0)</f>
        <v>2</v>
      </c>
      <c r="Z23" s="522">
        <f>VLOOKUP(C23,'Chấm công KT'!$D$13:$AO$92,38,0)</f>
        <v>0</v>
      </c>
      <c r="AA23" s="522">
        <f>VLOOKUP(C23,'Chấm công KT'!$D$13:$AP$92,39,0)</f>
        <v>0</v>
      </c>
      <c r="AB23" s="226"/>
      <c r="AC23" s="227">
        <f t="shared" si="5"/>
        <v>3.2</v>
      </c>
      <c r="AD23" s="105" t="str">
        <f>VLOOKUP(C23,'BTH mủ tạp'!$D$17:$AN$160,37,0)</f>
        <v>A</v>
      </c>
      <c r="AE23" s="106"/>
      <c r="AF23" s="90"/>
      <c r="AG23" s="44"/>
      <c r="AH23" s="75"/>
      <c r="AI23" s="76"/>
      <c r="AJ23" s="73"/>
      <c r="AK23" s="73"/>
      <c r="AL23" s="73"/>
      <c r="AM23" s="73"/>
      <c r="AN23" s="73"/>
      <c r="AO23" s="73"/>
    </row>
    <row r="24" spans="1:41" ht="18.75" customHeight="1">
      <c r="A24" s="103">
        <v>14</v>
      </c>
      <c r="B24" s="221" t="str">
        <f>'Chấm công KT'!C26</f>
        <v>03467</v>
      </c>
      <c r="C24" s="189" t="str">
        <f>'Chấm công KT'!D26</f>
        <v>T. Hin</v>
      </c>
      <c r="D24" s="103" t="s">
        <v>35</v>
      </c>
      <c r="E24" s="231">
        <f t="shared" si="2"/>
        <v>3.2</v>
      </c>
      <c r="F24" s="231"/>
      <c r="G24" s="231"/>
      <c r="H24" s="231"/>
      <c r="I24" s="231"/>
      <c r="J24" s="222"/>
      <c r="K24" s="172"/>
      <c r="L24" s="108"/>
      <c r="M24" s="108"/>
      <c r="N24" s="104"/>
      <c r="O24" s="104"/>
      <c r="P24" s="104"/>
      <c r="Q24" s="223">
        <f t="shared" si="3"/>
        <v>3.2</v>
      </c>
      <c r="R24" s="569">
        <f>VLOOKUP(C24,'BTH mủ tạp'!D30:AK110,34,0)</f>
        <v>4134</v>
      </c>
      <c r="S24" s="222"/>
      <c r="T24" s="164">
        <f t="shared" si="6"/>
        <v>0</v>
      </c>
      <c r="U24" s="225">
        <f t="shared" si="4"/>
        <v>4134</v>
      </c>
      <c r="V24" s="522">
        <f>VLOOKUP(C24,'Chấm công KT'!D26:AK106,34,0)</f>
        <v>26</v>
      </c>
      <c r="W24" s="522">
        <f>VLOOKUP(C24,'Chấm công KT'!D26:AL106,35,0)</f>
        <v>2</v>
      </c>
      <c r="X24" s="523"/>
      <c r="Y24" s="522">
        <f>VLOOKUP(C24,'Chấm công KT'!D26:AN106,37,0)</f>
        <v>2</v>
      </c>
      <c r="Z24" s="522">
        <f>VLOOKUP(C24,'Chấm công KT'!$D$13:$AO$92,38,0)</f>
        <v>0</v>
      </c>
      <c r="AA24" s="522">
        <f>VLOOKUP(C24,'Chấm công KT'!$D$13:$AP$92,39,0)</f>
        <v>0</v>
      </c>
      <c r="AB24" s="226"/>
      <c r="AC24" s="227">
        <f t="shared" si="5"/>
        <v>3.2</v>
      </c>
      <c r="AD24" s="105" t="str">
        <f>VLOOKUP(C24,'BTH mủ tạp'!$D$17:$AN$160,37,0)</f>
        <v>A</v>
      </c>
      <c r="AE24" s="106"/>
      <c r="AF24" s="90"/>
      <c r="AH24" s="75"/>
      <c r="AI24" s="76"/>
      <c r="AJ24" s="73"/>
      <c r="AK24" s="73"/>
      <c r="AL24" s="73"/>
      <c r="AM24" s="73"/>
      <c r="AN24" s="73"/>
      <c r="AO24" s="73"/>
    </row>
    <row r="25" spans="1:41" ht="18.75" customHeight="1">
      <c r="A25" s="188">
        <v>15</v>
      </c>
      <c r="B25" s="221" t="str">
        <f>'Chấm công KT'!C27</f>
        <v>04056</v>
      </c>
      <c r="C25" s="189" t="str">
        <f>'Chấm công KT'!D27</f>
        <v>N. Ly Phon</v>
      </c>
      <c r="D25" s="103" t="s">
        <v>35</v>
      </c>
      <c r="E25" s="231">
        <f t="shared" si="2"/>
        <v>3.2</v>
      </c>
      <c r="F25" s="231"/>
      <c r="G25" s="231"/>
      <c r="H25" s="231"/>
      <c r="I25" s="231"/>
      <c r="J25" s="222"/>
      <c r="K25" s="172"/>
      <c r="L25" s="108"/>
      <c r="M25" s="108"/>
      <c r="N25" s="104"/>
      <c r="O25" s="104"/>
      <c r="P25" s="104"/>
      <c r="Q25" s="223">
        <f t="shared" si="3"/>
        <v>3.2</v>
      </c>
      <c r="R25" s="569">
        <f>VLOOKUP(C25,'BTH mủ tạp'!D31:AK111,34,0)</f>
        <v>4003</v>
      </c>
      <c r="S25" s="222"/>
      <c r="T25" s="164">
        <f t="shared" si="6"/>
        <v>0</v>
      </c>
      <c r="U25" s="225">
        <f t="shared" si="4"/>
        <v>4003</v>
      </c>
      <c r="V25" s="522">
        <f>VLOOKUP(C25,'Chấm công KT'!D27:AK107,34,0)</f>
        <v>26</v>
      </c>
      <c r="W25" s="522">
        <f>VLOOKUP(C25,'Chấm công KT'!D27:AL107,35,0)</f>
        <v>2</v>
      </c>
      <c r="X25" s="523"/>
      <c r="Y25" s="522">
        <f>VLOOKUP(C25,'Chấm công KT'!D27:AN107,37,0)</f>
        <v>2</v>
      </c>
      <c r="Z25" s="522">
        <f>VLOOKUP(C25,'Chấm công KT'!$D$13:$AO$92,38,0)</f>
        <v>0</v>
      </c>
      <c r="AA25" s="522">
        <f>VLOOKUP(C25,'Chấm công KT'!$D$13:$AP$92,39,0)</f>
        <v>0</v>
      </c>
      <c r="AB25" s="226"/>
      <c r="AC25" s="227">
        <f t="shared" si="5"/>
        <v>3.2</v>
      </c>
      <c r="AD25" s="105" t="str">
        <f>VLOOKUP(C25,'BTH mủ tạp'!$D$17:$AN$160,37,0)</f>
        <v>B</v>
      </c>
      <c r="AE25" s="106"/>
      <c r="AF25" s="90"/>
      <c r="AH25" s="75"/>
      <c r="AI25" s="72"/>
      <c r="AJ25" s="73"/>
      <c r="AK25" s="73"/>
      <c r="AL25" s="73"/>
      <c r="AM25" s="73"/>
      <c r="AN25" s="73"/>
      <c r="AO25" s="73"/>
    </row>
    <row r="26" spans="1:41" ht="18.75" customHeight="1">
      <c r="A26" s="103">
        <v>16</v>
      </c>
      <c r="B26" s="221" t="str">
        <f>'Chấm công KT'!C28</f>
        <v>03469</v>
      </c>
      <c r="C26" s="189" t="str">
        <f>'Chấm công KT'!D28</f>
        <v>T. Xôm Va Nít</v>
      </c>
      <c r="D26" s="103" t="s">
        <v>35</v>
      </c>
      <c r="E26" s="231">
        <f t="shared" si="2"/>
        <v>3.2</v>
      </c>
      <c r="F26" s="231"/>
      <c r="G26" s="231"/>
      <c r="H26" s="231"/>
      <c r="I26" s="231"/>
      <c r="J26" s="222"/>
      <c r="K26" s="172"/>
      <c r="L26" s="108"/>
      <c r="M26" s="108"/>
      <c r="N26" s="104"/>
      <c r="O26" s="104"/>
      <c r="P26" s="104"/>
      <c r="Q26" s="223">
        <f t="shared" si="3"/>
        <v>3.2</v>
      </c>
      <c r="R26" s="569">
        <f>VLOOKUP(C26,'BTH mủ tạp'!D32:AK112,34,0)</f>
        <v>4506</v>
      </c>
      <c r="S26" s="222"/>
      <c r="T26" s="164">
        <f t="shared" si="6"/>
        <v>0</v>
      </c>
      <c r="U26" s="225">
        <f t="shared" si="4"/>
        <v>4506</v>
      </c>
      <c r="V26" s="522">
        <f>VLOOKUP(C26,'Chấm công KT'!D28:AK108,34,0)</f>
        <v>25</v>
      </c>
      <c r="W26" s="522">
        <f>VLOOKUP(C26,'Chấm công KT'!D28:AL108,35,0)</f>
        <v>2</v>
      </c>
      <c r="X26" s="523"/>
      <c r="Y26" s="522">
        <f>VLOOKUP(C26,'Chấm công KT'!D28:AN108,37,0)</f>
        <v>2</v>
      </c>
      <c r="Z26" s="522">
        <f>VLOOKUP(C26,'Chấm công KT'!$D$13:$AO$92,38,0)</f>
        <v>0</v>
      </c>
      <c r="AA26" s="522">
        <f>VLOOKUP(C26,'Chấm công KT'!$D$13:$AP$92,39,0)</f>
        <v>0</v>
      </c>
      <c r="AB26" s="226"/>
      <c r="AC26" s="227">
        <f t="shared" si="5"/>
        <v>3.2</v>
      </c>
      <c r="AD26" s="105" t="str">
        <f>VLOOKUP(C26,'BTH mủ tạp'!$D$17:$AN$160,37,0)</f>
        <v>A</v>
      </c>
      <c r="AE26" s="106"/>
      <c r="AF26" s="90"/>
      <c r="AG26" s="75"/>
      <c r="AH26" s="75"/>
      <c r="AI26" s="72"/>
      <c r="AJ26" s="73"/>
      <c r="AK26" s="73"/>
      <c r="AL26" s="73"/>
      <c r="AM26" s="73"/>
      <c r="AN26" s="73"/>
      <c r="AO26" s="73"/>
    </row>
    <row r="27" spans="1:41" ht="18.75" customHeight="1">
      <c r="A27" s="188">
        <v>17</v>
      </c>
      <c r="B27" s="221" t="str">
        <f>'Chấm công KT'!C29</f>
        <v>03470</v>
      </c>
      <c r="C27" s="189" t="str">
        <f>'Chấm công KT'!D29</f>
        <v>T. Lọi</v>
      </c>
      <c r="D27" s="103" t="s">
        <v>35</v>
      </c>
      <c r="E27" s="231">
        <f t="shared" si="2"/>
        <v>3.2</v>
      </c>
      <c r="F27" s="231"/>
      <c r="G27" s="231"/>
      <c r="H27" s="231"/>
      <c r="I27" s="231"/>
      <c r="J27" s="222"/>
      <c r="K27" s="172"/>
      <c r="L27" s="108"/>
      <c r="M27" s="108"/>
      <c r="N27" s="104"/>
      <c r="O27" s="104"/>
      <c r="P27" s="104"/>
      <c r="Q27" s="223">
        <f t="shared" si="3"/>
        <v>3.2</v>
      </c>
      <c r="R27" s="569">
        <f>VLOOKUP(C27,'BTH mủ tạp'!D33:AK113,34,0)</f>
        <v>3459</v>
      </c>
      <c r="S27" s="222"/>
      <c r="T27" s="164">
        <f t="shared" si="6"/>
        <v>0</v>
      </c>
      <c r="U27" s="225">
        <f t="shared" si="4"/>
        <v>3459</v>
      </c>
      <c r="V27" s="522">
        <f>VLOOKUP(C27,'Chấm công KT'!D29:AK109,34,0)</f>
        <v>25</v>
      </c>
      <c r="W27" s="522">
        <f>VLOOKUP(C27,'Chấm công KT'!D29:AL109,35,0)</f>
        <v>2</v>
      </c>
      <c r="X27" s="523"/>
      <c r="Y27" s="522">
        <f>VLOOKUP(C27,'Chấm công KT'!D29:AN109,37,0)</f>
        <v>2</v>
      </c>
      <c r="Z27" s="522">
        <f>VLOOKUP(C27,'Chấm công KT'!$D$13:$AO$92,38,0)</f>
        <v>0</v>
      </c>
      <c r="AA27" s="522">
        <f>VLOOKUP(C27,'Chấm công KT'!$D$13:$AP$92,39,0)</f>
        <v>0</v>
      </c>
      <c r="AB27" s="226"/>
      <c r="AC27" s="227">
        <f t="shared" si="5"/>
        <v>3.2</v>
      </c>
      <c r="AD27" s="105" t="str">
        <f>VLOOKUP(C27,'BTH mủ tạp'!$D$17:$AN$160,37,0)</f>
        <v>A</v>
      </c>
      <c r="AE27" s="106"/>
      <c r="AF27" s="90"/>
      <c r="AH27" s="75"/>
      <c r="AI27" s="72"/>
      <c r="AJ27" s="73"/>
      <c r="AK27" s="73"/>
      <c r="AL27" s="73"/>
      <c r="AM27" s="73"/>
      <c r="AN27" s="73"/>
      <c r="AO27" s="73"/>
    </row>
    <row r="28" spans="1:41" ht="18.75" customHeight="1">
      <c r="A28" s="103">
        <v>18</v>
      </c>
      <c r="B28" s="221" t="str">
        <f>'Chấm công KT'!C30</f>
        <v>03471</v>
      </c>
      <c r="C28" s="189" t="str">
        <f>'Chấm công KT'!D30</f>
        <v>T. Phô Thong</v>
      </c>
      <c r="D28" s="103" t="s">
        <v>35</v>
      </c>
      <c r="E28" s="231">
        <f t="shared" si="2"/>
        <v>3.2</v>
      </c>
      <c r="F28" s="231"/>
      <c r="G28" s="231"/>
      <c r="H28" s="231"/>
      <c r="I28" s="231"/>
      <c r="J28" s="222"/>
      <c r="K28" s="172"/>
      <c r="L28" s="108"/>
      <c r="M28" s="108"/>
      <c r="N28" s="104"/>
      <c r="O28" s="104"/>
      <c r="P28" s="104"/>
      <c r="Q28" s="223">
        <f t="shared" si="3"/>
        <v>3.2</v>
      </c>
      <c r="R28" s="569">
        <f>VLOOKUP(C28,'BTH mủ tạp'!D34:AK114,34,0)</f>
        <v>5064</v>
      </c>
      <c r="S28" s="222"/>
      <c r="T28" s="164">
        <f t="shared" si="6"/>
        <v>0</v>
      </c>
      <c r="U28" s="225">
        <f t="shared" si="4"/>
        <v>5064</v>
      </c>
      <c r="V28" s="522">
        <f>VLOOKUP(C28,'Chấm công KT'!D30:AK110,34,0)</f>
        <v>26</v>
      </c>
      <c r="W28" s="522">
        <f>VLOOKUP(C28,'Chấm công KT'!D30:AL110,35,0)</f>
        <v>2</v>
      </c>
      <c r="X28" s="523"/>
      <c r="Y28" s="522">
        <f>VLOOKUP(C28,'Chấm công KT'!D30:AN110,37,0)</f>
        <v>2</v>
      </c>
      <c r="Z28" s="522">
        <f>VLOOKUP(C28,'Chấm công KT'!$D$13:$AO$92,38,0)</f>
        <v>0</v>
      </c>
      <c r="AA28" s="522">
        <f>VLOOKUP(C28,'Chấm công KT'!$D$13:$AP$92,39,0)</f>
        <v>0</v>
      </c>
      <c r="AB28" s="226"/>
      <c r="AC28" s="227">
        <f t="shared" si="5"/>
        <v>3.2</v>
      </c>
      <c r="AD28" s="105" t="str">
        <f>VLOOKUP(C28,'BTH mủ tạp'!$D$17:$AN$160,37,0)</f>
        <v>A</v>
      </c>
      <c r="AE28" s="106"/>
      <c r="AF28" s="90">
        <f>Q9-3223.96</f>
        <v>4128.7699999999995</v>
      </c>
      <c r="AH28" s="75"/>
      <c r="AI28" s="72"/>
      <c r="AJ28" s="73"/>
      <c r="AK28" s="73"/>
      <c r="AL28" s="73"/>
      <c r="AM28" s="73"/>
      <c r="AN28" s="73"/>
      <c r="AO28" s="73"/>
    </row>
    <row r="29" spans="1:41" ht="18.75" customHeight="1">
      <c r="A29" s="188">
        <v>19</v>
      </c>
      <c r="B29" s="221" t="str">
        <f>'Chấm công KT'!C31</f>
        <v>03472</v>
      </c>
      <c r="C29" s="189" t="str">
        <f>'Chấm công KT'!D31</f>
        <v>N. Soi</v>
      </c>
      <c r="D29" s="103" t="s">
        <v>35</v>
      </c>
      <c r="E29" s="231">
        <f t="shared" si="2"/>
        <v>3.2</v>
      </c>
      <c r="F29" s="231"/>
      <c r="G29" s="231"/>
      <c r="H29" s="231"/>
      <c r="I29" s="231"/>
      <c r="J29" s="222"/>
      <c r="K29" s="172"/>
      <c r="L29" s="172"/>
      <c r="M29" s="222"/>
      <c r="N29" s="222"/>
      <c r="O29" s="232"/>
      <c r="P29" s="104"/>
      <c r="Q29" s="223">
        <f t="shared" si="3"/>
        <v>3.2</v>
      </c>
      <c r="R29" s="569">
        <f>VLOOKUP(C29,'BTH mủ tạp'!D35:AK115,34,0)</f>
        <v>4063</v>
      </c>
      <c r="S29" s="222"/>
      <c r="T29" s="164">
        <f t="shared" si="6"/>
        <v>0</v>
      </c>
      <c r="U29" s="225">
        <f t="shared" si="4"/>
        <v>4063</v>
      </c>
      <c r="V29" s="522">
        <f>VLOOKUP(C29,'Chấm công KT'!D31:AK111,34,0)</f>
        <v>24</v>
      </c>
      <c r="W29" s="522">
        <f>VLOOKUP(C29,'Chấm công KT'!D31:AL111,35,0)</f>
        <v>2</v>
      </c>
      <c r="X29" s="523"/>
      <c r="Y29" s="522">
        <f>VLOOKUP(C29,'Chấm công KT'!D31:AN111,37,0)</f>
        <v>2</v>
      </c>
      <c r="Z29" s="522">
        <f>VLOOKUP(C29,'Chấm công KT'!$D$13:$AO$92,38,0)</f>
        <v>0</v>
      </c>
      <c r="AA29" s="522">
        <f>VLOOKUP(C29,'Chấm công KT'!$D$13:$AP$92,39,0)</f>
        <v>0</v>
      </c>
      <c r="AB29" s="226"/>
      <c r="AC29" s="227">
        <f t="shared" si="5"/>
        <v>3.2</v>
      </c>
      <c r="AD29" s="105" t="str">
        <f>VLOOKUP(C29,'BTH mủ tạp'!$D$17:$AN$160,37,0)</f>
        <v>A</v>
      </c>
      <c r="AE29" s="106"/>
      <c r="AF29" s="90"/>
      <c r="AH29" s="75"/>
      <c r="AI29" s="72"/>
      <c r="AJ29" s="73"/>
      <c r="AK29" s="73"/>
      <c r="AL29" s="73"/>
      <c r="AM29" s="73"/>
      <c r="AN29" s="73"/>
      <c r="AO29" s="73"/>
    </row>
    <row r="30" spans="1:41" ht="18.75" customHeight="1">
      <c r="A30" s="103">
        <v>20</v>
      </c>
      <c r="B30" s="221" t="str">
        <f>'Chấm công KT'!C32</f>
        <v>03473</v>
      </c>
      <c r="C30" s="189" t="str">
        <f>'Chấm công KT'!D32</f>
        <v>N. Me Kha La</v>
      </c>
      <c r="D30" s="103" t="s">
        <v>35</v>
      </c>
      <c r="E30" s="231">
        <f t="shared" si="2"/>
        <v>3.2</v>
      </c>
      <c r="F30" s="231"/>
      <c r="G30" s="231"/>
      <c r="H30" s="231"/>
      <c r="I30" s="231"/>
      <c r="J30" s="222"/>
      <c r="K30" s="172"/>
      <c r="L30" s="172"/>
      <c r="M30" s="222"/>
      <c r="N30" s="222"/>
      <c r="O30" s="232"/>
      <c r="P30" s="104"/>
      <c r="Q30" s="223">
        <f t="shared" si="3"/>
        <v>3.2</v>
      </c>
      <c r="R30" s="569">
        <f>VLOOKUP(C30,'BTH mủ tạp'!D36:AK116,34,0)</f>
        <v>3609</v>
      </c>
      <c r="S30" s="222"/>
      <c r="T30" s="164">
        <f t="shared" si="6"/>
        <v>0</v>
      </c>
      <c r="U30" s="225">
        <f t="shared" si="4"/>
        <v>3609</v>
      </c>
      <c r="V30" s="522">
        <f>VLOOKUP(C30,'Chấm công KT'!D32:AK112,34,0)</f>
        <v>25</v>
      </c>
      <c r="W30" s="522">
        <f>VLOOKUP(C30,'Chấm công KT'!D32:AL112,35,0)</f>
        <v>2</v>
      </c>
      <c r="X30" s="523"/>
      <c r="Y30" s="522">
        <f>VLOOKUP(C30,'Chấm công KT'!D32:AN112,37,0)</f>
        <v>2</v>
      </c>
      <c r="Z30" s="522">
        <f>VLOOKUP(C30,'Chấm công KT'!$D$13:$AO$92,38,0)</f>
        <v>0</v>
      </c>
      <c r="AA30" s="522">
        <f>VLOOKUP(C30,'Chấm công KT'!$D$13:$AP$92,39,0)</f>
        <v>0</v>
      </c>
      <c r="AB30" s="226"/>
      <c r="AC30" s="227">
        <f t="shared" si="5"/>
        <v>3.2</v>
      </c>
      <c r="AD30" s="105" t="str">
        <f>VLOOKUP(C30,'BTH mủ tạp'!$D$17:$AN$160,37,0)</f>
        <v>A</v>
      </c>
      <c r="AE30" s="106"/>
      <c r="AF30" s="90"/>
      <c r="AH30" s="75"/>
      <c r="AI30" s="72"/>
      <c r="AJ30" s="73"/>
      <c r="AK30" s="73"/>
      <c r="AL30" s="73"/>
      <c r="AM30" s="73"/>
      <c r="AN30" s="73"/>
      <c r="AO30" s="73"/>
    </row>
    <row r="31" spans="1:41" ht="18.75" customHeight="1">
      <c r="A31" s="188">
        <v>21</v>
      </c>
      <c r="B31" s="221" t="str">
        <f>'Chấm công KT'!C33</f>
        <v>03474</v>
      </c>
      <c r="C31" s="189" t="str">
        <f>'Chấm công KT'!D33</f>
        <v>N. Mon Khăm</v>
      </c>
      <c r="D31" s="103" t="s">
        <v>35</v>
      </c>
      <c r="E31" s="231">
        <f t="shared" si="2"/>
        <v>3.2</v>
      </c>
      <c r="F31" s="231"/>
      <c r="G31" s="231"/>
      <c r="H31" s="231"/>
      <c r="I31" s="231"/>
      <c r="J31" s="222"/>
      <c r="K31" s="172"/>
      <c r="L31" s="172"/>
      <c r="M31" s="222"/>
      <c r="N31" s="222"/>
      <c r="O31" s="232"/>
      <c r="P31" s="104"/>
      <c r="Q31" s="223">
        <f t="shared" si="3"/>
        <v>3.2</v>
      </c>
      <c r="R31" s="569">
        <f>VLOOKUP(C31,'BTH mủ tạp'!D37:AK117,34,0)</f>
        <v>3808</v>
      </c>
      <c r="S31" s="222"/>
      <c r="T31" s="164">
        <f t="shared" si="6"/>
        <v>0</v>
      </c>
      <c r="U31" s="225">
        <f t="shared" si="4"/>
        <v>3808</v>
      </c>
      <c r="V31" s="522">
        <f>VLOOKUP(C31,'Chấm công KT'!D33:AK113,34,0)</f>
        <v>24</v>
      </c>
      <c r="W31" s="522">
        <f>VLOOKUP(C31,'Chấm công KT'!D33:AL113,35,0)</f>
        <v>2</v>
      </c>
      <c r="X31" s="523"/>
      <c r="Y31" s="522">
        <f>VLOOKUP(C31,'Chấm công KT'!D33:AN113,37,0)</f>
        <v>2</v>
      </c>
      <c r="Z31" s="522">
        <f>VLOOKUP(C31,'Chấm công KT'!$D$13:$AO$92,38,0)</f>
        <v>0</v>
      </c>
      <c r="AA31" s="522">
        <f>VLOOKUP(C31,'Chấm công KT'!$D$13:$AP$92,39,0)</f>
        <v>0</v>
      </c>
      <c r="AB31" s="226"/>
      <c r="AC31" s="227">
        <f t="shared" si="5"/>
        <v>3.2</v>
      </c>
      <c r="AD31" s="105" t="str">
        <f>VLOOKUP(C31,'BTH mủ tạp'!$D$17:$AN$160,37,0)</f>
        <v>A</v>
      </c>
      <c r="AE31" s="106"/>
      <c r="AF31" s="90"/>
      <c r="AH31" s="75"/>
      <c r="AI31" s="72"/>
      <c r="AJ31" s="73"/>
      <c r="AK31" s="73"/>
      <c r="AL31" s="73"/>
      <c r="AM31" s="73"/>
      <c r="AN31" s="73"/>
      <c r="AO31" s="73"/>
    </row>
    <row r="32" spans="1:41" ht="18.75" customHeight="1">
      <c r="A32" s="103">
        <v>22</v>
      </c>
      <c r="B32" s="221">
        <f>'Chấm công KT'!C34</f>
        <v>0</v>
      </c>
      <c r="C32" s="189" t="str">
        <f>'Chấm công KT'!D34</f>
        <v>N.Choi</v>
      </c>
      <c r="D32" s="103" t="s">
        <v>35</v>
      </c>
      <c r="E32" s="231">
        <f t="shared" si="2"/>
        <v>3.2</v>
      </c>
      <c r="F32" s="231"/>
      <c r="G32" s="231"/>
      <c r="H32" s="231"/>
      <c r="I32" s="231"/>
      <c r="J32" s="222"/>
      <c r="K32" s="172"/>
      <c r="L32" s="108"/>
      <c r="M32" s="222"/>
      <c r="N32" s="104"/>
      <c r="O32" s="104"/>
      <c r="P32" s="104"/>
      <c r="Q32" s="223">
        <f t="shared" si="3"/>
        <v>3.2</v>
      </c>
      <c r="R32" s="569">
        <f>VLOOKUP(C32,'BTH mủ tạp'!D38:AK118,34,0)</f>
        <v>3490</v>
      </c>
      <c r="S32" s="222"/>
      <c r="T32" s="164">
        <f t="shared" si="6"/>
        <v>0</v>
      </c>
      <c r="U32" s="225">
        <f t="shared" si="4"/>
        <v>3490</v>
      </c>
      <c r="V32" s="522">
        <f>VLOOKUP(C32,'Chấm công KT'!D34:AK114,34,0)</f>
        <v>26</v>
      </c>
      <c r="W32" s="522">
        <f>VLOOKUP(C32,'Chấm công KT'!D34:AL114,35,0)</f>
        <v>2</v>
      </c>
      <c r="X32" s="523"/>
      <c r="Y32" s="522">
        <f>VLOOKUP(C32,'Chấm công KT'!D34:AN114,37,0)</f>
        <v>2</v>
      </c>
      <c r="Z32" s="522">
        <f>VLOOKUP(C32,'Chấm công KT'!$D$13:$AO$92,38,0)</f>
        <v>0</v>
      </c>
      <c r="AA32" s="522">
        <f>VLOOKUP(C32,'Chấm công KT'!$D$13:$AP$92,39,0)</f>
        <v>0</v>
      </c>
      <c r="AB32" s="226"/>
      <c r="AC32" s="227">
        <f t="shared" si="5"/>
        <v>3.2</v>
      </c>
      <c r="AD32" s="105" t="str">
        <f>VLOOKUP(C32,'BTH mủ tạp'!$D$17:$AN$160,37,0)</f>
        <v>A</v>
      </c>
      <c r="AE32" s="106"/>
      <c r="AF32" s="90"/>
      <c r="AH32" s="75"/>
      <c r="AI32" s="72"/>
      <c r="AJ32" s="73"/>
      <c r="AK32" s="73"/>
      <c r="AL32" s="73"/>
      <c r="AM32" s="73"/>
      <c r="AN32" s="73"/>
      <c r="AO32" s="73"/>
    </row>
    <row r="33" spans="1:41" ht="18.75" customHeight="1">
      <c r="A33" s="188">
        <v>23</v>
      </c>
      <c r="B33" s="221" t="str">
        <f>'Chấm công KT'!C35</f>
        <v>03476</v>
      </c>
      <c r="C33" s="189" t="str">
        <f>'Chấm công KT'!D35</f>
        <v>T. Bin Ly.</v>
      </c>
      <c r="D33" s="103" t="s">
        <v>35</v>
      </c>
      <c r="E33" s="231">
        <f t="shared" si="2"/>
        <v>3.2</v>
      </c>
      <c r="F33" s="231"/>
      <c r="G33" s="231"/>
      <c r="H33" s="231"/>
      <c r="I33" s="231"/>
      <c r="J33" s="222"/>
      <c r="K33" s="172"/>
      <c r="L33" s="172"/>
      <c r="M33" s="222"/>
      <c r="N33" s="222"/>
      <c r="O33" s="232"/>
      <c r="P33" s="104"/>
      <c r="Q33" s="223">
        <f t="shared" si="3"/>
        <v>3.2</v>
      </c>
      <c r="R33" s="569">
        <f>VLOOKUP(C33,'BTH mủ tạp'!D39:AK119,34,0)</f>
        <v>4267</v>
      </c>
      <c r="S33" s="222"/>
      <c r="T33" s="164">
        <f t="shared" si="6"/>
        <v>0</v>
      </c>
      <c r="U33" s="225">
        <f t="shared" si="4"/>
        <v>4267</v>
      </c>
      <c r="V33" s="522">
        <f>VLOOKUP(C33,'Chấm công KT'!D35:AK115,34,0)</f>
        <v>26</v>
      </c>
      <c r="W33" s="522">
        <f>VLOOKUP(C33,'Chấm công KT'!D35:AL115,35,0)</f>
        <v>2</v>
      </c>
      <c r="X33" s="523"/>
      <c r="Y33" s="522">
        <f>VLOOKUP(C33,'Chấm công KT'!D35:AN115,37,0)</f>
        <v>2</v>
      </c>
      <c r="Z33" s="522">
        <f>VLOOKUP(C33,'Chấm công KT'!$D$13:$AO$92,38,0)</f>
        <v>0</v>
      </c>
      <c r="AA33" s="522">
        <f>VLOOKUP(C33,'Chấm công KT'!$D$13:$AP$92,39,0)</f>
        <v>0</v>
      </c>
      <c r="AB33" s="226"/>
      <c r="AC33" s="227">
        <f t="shared" si="5"/>
        <v>3.2</v>
      </c>
      <c r="AD33" s="105" t="str">
        <f>VLOOKUP(C33,'BTH mủ tạp'!$D$17:$AN$160,37,0)</f>
        <v>A</v>
      </c>
      <c r="AE33" s="106"/>
      <c r="AF33" s="90"/>
      <c r="AH33" s="75"/>
      <c r="AI33" s="72"/>
      <c r="AJ33" s="73"/>
      <c r="AK33" s="73"/>
      <c r="AL33" s="73"/>
      <c r="AM33" s="73"/>
      <c r="AN33" s="73"/>
      <c r="AO33" s="73"/>
    </row>
    <row r="34" spans="1:41" ht="18.75" customHeight="1">
      <c r="A34" s="103">
        <v>24</v>
      </c>
      <c r="B34" s="221">
        <f>'Chấm công KT'!C36</f>
        <v>0</v>
      </c>
      <c r="C34" s="189" t="str">
        <f>'Chấm công KT'!D36</f>
        <v>N. Tinh</v>
      </c>
      <c r="D34" s="103" t="s">
        <v>35</v>
      </c>
      <c r="E34" s="231">
        <f t="shared" si="2"/>
        <v>3.2</v>
      </c>
      <c r="F34" s="231"/>
      <c r="G34" s="231"/>
      <c r="H34" s="231"/>
      <c r="I34" s="231"/>
      <c r="J34" s="222"/>
      <c r="K34" s="172"/>
      <c r="L34" s="172"/>
      <c r="M34" s="222"/>
      <c r="N34" s="222"/>
      <c r="O34" s="232"/>
      <c r="P34" s="104"/>
      <c r="Q34" s="223">
        <f t="shared" si="3"/>
        <v>3.2</v>
      </c>
      <c r="R34" s="569">
        <f>VLOOKUP(C34,'BTH mủ tạp'!D40:AK120,34,0)</f>
        <v>3721</v>
      </c>
      <c r="S34" s="222"/>
      <c r="T34" s="164">
        <f t="shared" si="6"/>
        <v>0</v>
      </c>
      <c r="U34" s="225">
        <f t="shared" si="4"/>
        <v>3721</v>
      </c>
      <c r="V34" s="522">
        <f>VLOOKUP(C34,'Chấm công KT'!D36:AK116,34,0)</f>
        <v>26</v>
      </c>
      <c r="W34" s="522">
        <f>VLOOKUP(C34,'Chấm công KT'!D36:AL116,35,0)</f>
        <v>2</v>
      </c>
      <c r="X34" s="523"/>
      <c r="Y34" s="522">
        <f>VLOOKUP(C34,'Chấm công KT'!D36:AN116,37,0)</f>
        <v>2</v>
      </c>
      <c r="Z34" s="522">
        <f>VLOOKUP(C34,'Chấm công KT'!$D$13:$AO$92,38,0)</f>
        <v>0</v>
      </c>
      <c r="AA34" s="522">
        <f>VLOOKUP(C34,'Chấm công KT'!$D$13:$AP$92,39,0)</f>
        <v>0</v>
      </c>
      <c r="AB34" s="226"/>
      <c r="AC34" s="227">
        <f t="shared" si="5"/>
        <v>3.2</v>
      </c>
      <c r="AD34" s="105" t="str">
        <f>VLOOKUP(C34,'BTH mủ tạp'!$D$17:$AN$160,37,0)</f>
        <v>A</v>
      </c>
      <c r="AE34" s="106"/>
      <c r="AF34" s="90"/>
      <c r="AH34" s="75"/>
      <c r="AI34" s="72"/>
      <c r="AJ34" s="73"/>
      <c r="AK34" s="73"/>
      <c r="AL34" s="73"/>
      <c r="AM34" s="73"/>
      <c r="AN34" s="73"/>
      <c r="AO34" s="73"/>
    </row>
    <row r="35" spans="1:41" ht="18.75" customHeight="1">
      <c r="A35" s="188">
        <v>25</v>
      </c>
      <c r="B35" s="221" t="str">
        <f>'Chấm công KT'!C37</f>
        <v>03478</v>
      </c>
      <c r="C35" s="189" t="str">
        <f>'Chấm công KT'!D37</f>
        <v>N. Nong</v>
      </c>
      <c r="D35" s="103" t="s">
        <v>35</v>
      </c>
      <c r="E35" s="231">
        <f t="shared" si="2"/>
        <v>3.2</v>
      </c>
      <c r="F35" s="231"/>
      <c r="G35" s="231"/>
      <c r="H35" s="231"/>
      <c r="I35" s="231"/>
      <c r="J35" s="222"/>
      <c r="K35" s="172"/>
      <c r="L35" s="108"/>
      <c r="M35" s="108"/>
      <c r="N35" s="104"/>
      <c r="O35" s="104"/>
      <c r="P35" s="104"/>
      <c r="Q35" s="223">
        <f t="shared" si="3"/>
        <v>3.2</v>
      </c>
      <c r="R35" s="569">
        <f>VLOOKUP(C35,'BTH mủ tạp'!D41:AK121,34,0)</f>
        <v>4018</v>
      </c>
      <c r="S35" s="222"/>
      <c r="T35" s="164">
        <f t="shared" si="6"/>
        <v>0</v>
      </c>
      <c r="U35" s="225">
        <f t="shared" si="4"/>
        <v>4018</v>
      </c>
      <c r="V35" s="522">
        <f>VLOOKUP(C35,'Chấm công KT'!D37:AK117,34,0)</f>
        <v>26</v>
      </c>
      <c r="W35" s="522">
        <f>VLOOKUP(C35,'Chấm công KT'!D37:AL117,35,0)</f>
        <v>2</v>
      </c>
      <c r="X35" s="523"/>
      <c r="Y35" s="522">
        <f>VLOOKUP(C35,'Chấm công KT'!D37:AN117,37,0)</f>
        <v>2</v>
      </c>
      <c r="Z35" s="522">
        <f>VLOOKUP(C35,'Chấm công KT'!$D$13:$AO$92,38,0)</f>
        <v>0</v>
      </c>
      <c r="AA35" s="522">
        <f>VLOOKUP(C35,'Chấm công KT'!$D$13:$AP$92,39,0)</f>
        <v>0</v>
      </c>
      <c r="AB35" s="226"/>
      <c r="AC35" s="227">
        <f t="shared" si="5"/>
        <v>3.2</v>
      </c>
      <c r="AD35" s="105" t="str">
        <f>VLOOKUP(C35,'BTH mủ tạp'!$D$17:$AN$160,37,0)</f>
        <v>B</v>
      </c>
      <c r="AE35" s="106"/>
      <c r="AF35" s="90"/>
      <c r="AH35" s="75"/>
      <c r="AI35" s="72"/>
      <c r="AJ35" s="73"/>
      <c r="AK35" s="73"/>
      <c r="AL35" s="73"/>
      <c r="AM35" s="73"/>
      <c r="AN35" s="73"/>
      <c r="AO35" s="73"/>
    </row>
    <row r="36" spans="1:41" ht="18.75" customHeight="1">
      <c r="A36" s="103">
        <v>26</v>
      </c>
      <c r="B36" s="221" t="str">
        <f>'Chấm công KT'!C38</f>
        <v>03479</v>
      </c>
      <c r="C36" s="189" t="str">
        <f>'Chấm công KT'!D38</f>
        <v>N. Tun 1</v>
      </c>
      <c r="D36" s="103" t="s">
        <v>35</v>
      </c>
      <c r="E36" s="231">
        <f t="shared" si="2"/>
        <v>3.2</v>
      </c>
      <c r="F36" s="231"/>
      <c r="G36" s="231"/>
      <c r="H36" s="231"/>
      <c r="I36" s="231"/>
      <c r="J36" s="222"/>
      <c r="K36" s="172"/>
      <c r="L36" s="108"/>
      <c r="M36" s="108"/>
      <c r="N36" s="104"/>
      <c r="O36" s="104"/>
      <c r="P36" s="104"/>
      <c r="Q36" s="223">
        <f t="shared" si="3"/>
        <v>3.2</v>
      </c>
      <c r="R36" s="569">
        <f>VLOOKUP(C36,'BTH mủ tạp'!D42:AK122,34,0)</f>
        <v>4131</v>
      </c>
      <c r="S36" s="222"/>
      <c r="T36" s="164">
        <f t="shared" si="6"/>
        <v>0</v>
      </c>
      <c r="U36" s="225">
        <f t="shared" si="4"/>
        <v>4131</v>
      </c>
      <c r="V36" s="522">
        <f>VLOOKUP(C36,'Chấm công KT'!D38:AK118,34,0)</f>
        <v>26</v>
      </c>
      <c r="W36" s="522">
        <f>VLOOKUP(C36,'Chấm công KT'!D38:AL118,35,0)</f>
        <v>2</v>
      </c>
      <c r="X36" s="523"/>
      <c r="Y36" s="522">
        <f>VLOOKUP(C36,'Chấm công KT'!D38:AN118,37,0)</f>
        <v>2</v>
      </c>
      <c r="Z36" s="522">
        <f>VLOOKUP(C36,'Chấm công KT'!$D$13:$AO$92,38,0)</f>
        <v>0</v>
      </c>
      <c r="AA36" s="522">
        <f>VLOOKUP(C36,'Chấm công KT'!$D$13:$AP$92,39,0)</f>
        <v>0</v>
      </c>
      <c r="AB36" s="226"/>
      <c r="AC36" s="227">
        <f t="shared" si="5"/>
        <v>3.2</v>
      </c>
      <c r="AD36" s="105" t="str">
        <f>VLOOKUP(C36,'BTH mủ tạp'!$D$17:$AN$160,37,0)</f>
        <v>A</v>
      </c>
      <c r="AE36" s="106"/>
      <c r="AF36" s="90"/>
      <c r="AH36" s="75"/>
      <c r="AI36" s="72"/>
      <c r="AJ36" s="73"/>
      <c r="AK36" s="73"/>
      <c r="AL36" s="73"/>
      <c r="AM36" s="73"/>
      <c r="AN36" s="73"/>
      <c r="AO36" s="73"/>
    </row>
    <row r="37" spans="1:41" ht="18.75" customHeight="1">
      <c r="A37" s="188">
        <v>27</v>
      </c>
      <c r="B37" s="221" t="str">
        <f>'Chấm công KT'!C39</f>
        <v>03480</v>
      </c>
      <c r="C37" s="189" t="str">
        <f>'Chấm công KT'!D39</f>
        <v>T . Lốc</v>
      </c>
      <c r="D37" s="103" t="s">
        <v>35</v>
      </c>
      <c r="E37" s="231">
        <f t="shared" si="2"/>
        <v>3.2</v>
      </c>
      <c r="F37" s="231"/>
      <c r="G37" s="231"/>
      <c r="H37" s="231"/>
      <c r="I37" s="231"/>
      <c r="J37" s="222"/>
      <c r="K37" s="172"/>
      <c r="L37" s="108"/>
      <c r="M37" s="108"/>
      <c r="N37" s="104"/>
      <c r="O37" s="104"/>
      <c r="P37" s="104"/>
      <c r="Q37" s="223">
        <f t="shared" si="3"/>
        <v>3.2</v>
      </c>
      <c r="R37" s="569">
        <f>VLOOKUP(C37,'BTH mủ tạp'!D43:AK123,34,0)</f>
        <v>4118</v>
      </c>
      <c r="S37" s="222"/>
      <c r="T37" s="164">
        <f t="shared" si="6"/>
        <v>0</v>
      </c>
      <c r="U37" s="225">
        <f t="shared" si="4"/>
        <v>4118</v>
      </c>
      <c r="V37" s="522">
        <f>VLOOKUP(C37,'Chấm công KT'!D39:AK119,34,0)</f>
        <v>26</v>
      </c>
      <c r="W37" s="522">
        <f>VLOOKUP(C37,'Chấm công KT'!D39:AL119,35,0)</f>
        <v>2</v>
      </c>
      <c r="X37" s="523"/>
      <c r="Y37" s="522">
        <f>VLOOKUP(C37,'Chấm công KT'!D39:AN119,37,0)</f>
        <v>2</v>
      </c>
      <c r="Z37" s="522">
        <f>VLOOKUP(C37,'Chấm công KT'!$D$13:$AO$92,38,0)</f>
        <v>0</v>
      </c>
      <c r="AA37" s="522">
        <f>VLOOKUP(C37,'Chấm công KT'!$D$13:$AP$92,39,0)</f>
        <v>0</v>
      </c>
      <c r="AB37" s="226"/>
      <c r="AC37" s="227">
        <f t="shared" si="5"/>
        <v>3.2</v>
      </c>
      <c r="AD37" s="105" t="str">
        <f>VLOOKUP(C37,'BTH mủ tạp'!$D$17:$AN$160,37,0)</f>
        <v>A</v>
      </c>
      <c r="AE37" s="106"/>
      <c r="AF37" s="90"/>
      <c r="AH37" s="75"/>
      <c r="AI37" s="72"/>
      <c r="AJ37" s="73"/>
      <c r="AK37" s="73"/>
      <c r="AL37" s="73"/>
      <c r="AM37" s="73"/>
      <c r="AN37" s="73"/>
      <c r="AO37" s="73"/>
    </row>
    <row r="38" spans="1:41" ht="18.75" customHeight="1">
      <c r="A38" s="103">
        <v>28</v>
      </c>
      <c r="B38" s="221" t="str">
        <f>'Chấm công KT'!C40</f>
        <v>03481</v>
      </c>
      <c r="C38" s="189" t="str">
        <f>'Chấm công KT'!D40</f>
        <v>N . Khâm (1)</v>
      </c>
      <c r="D38" s="103" t="s">
        <v>35</v>
      </c>
      <c r="E38" s="231">
        <f t="shared" si="2"/>
        <v>3.2</v>
      </c>
      <c r="F38" s="231"/>
      <c r="G38" s="231"/>
      <c r="H38" s="231"/>
      <c r="I38" s="231"/>
      <c r="J38" s="222"/>
      <c r="K38" s="172"/>
      <c r="L38" s="108"/>
      <c r="M38" s="108"/>
      <c r="N38" s="104"/>
      <c r="O38" s="104"/>
      <c r="P38" s="104"/>
      <c r="Q38" s="223">
        <f t="shared" si="3"/>
        <v>3.2</v>
      </c>
      <c r="R38" s="569">
        <f>VLOOKUP(C38,'BTH mủ tạp'!D44:AK124,34,0)</f>
        <v>4380</v>
      </c>
      <c r="S38" s="222"/>
      <c r="T38" s="164">
        <f t="shared" si="6"/>
        <v>0</v>
      </c>
      <c r="U38" s="225">
        <f t="shared" si="4"/>
        <v>4380</v>
      </c>
      <c r="V38" s="522">
        <f>VLOOKUP(C38,'Chấm công KT'!D40:AK120,34,0)</f>
        <v>24</v>
      </c>
      <c r="W38" s="522">
        <f>VLOOKUP(C38,'Chấm công KT'!D40:AL120,35,0)</f>
        <v>2</v>
      </c>
      <c r="X38" s="523"/>
      <c r="Y38" s="522">
        <f>VLOOKUP(C38,'Chấm công KT'!D40:AN120,37,0)</f>
        <v>2</v>
      </c>
      <c r="Z38" s="522">
        <f>VLOOKUP(C38,'Chấm công KT'!$D$13:$AO$92,38,0)</f>
        <v>0</v>
      </c>
      <c r="AA38" s="522">
        <f>VLOOKUP(C38,'Chấm công KT'!$D$13:$AP$92,39,0)</f>
        <v>0</v>
      </c>
      <c r="AB38" s="226"/>
      <c r="AC38" s="227">
        <f t="shared" si="5"/>
        <v>3.2</v>
      </c>
      <c r="AD38" s="105" t="str">
        <f>VLOOKUP(C38,'BTH mủ tạp'!$D$17:$AN$160,37,0)</f>
        <v>A</v>
      </c>
      <c r="AE38" s="106"/>
      <c r="AF38" s="90"/>
      <c r="AH38" s="75"/>
      <c r="AI38" s="72"/>
      <c r="AJ38" s="73"/>
      <c r="AK38" s="73"/>
      <c r="AL38" s="73"/>
      <c r="AM38" s="73"/>
      <c r="AN38" s="73"/>
      <c r="AO38" s="73"/>
    </row>
    <row r="39" spans="1:41" ht="18.75" customHeight="1">
      <c r="A39" s="188">
        <v>29</v>
      </c>
      <c r="B39" s="221" t="str">
        <f>'Chấm công KT'!C41</f>
        <v>03482</v>
      </c>
      <c r="C39" s="189" t="str">
        <f>'Chấm công KT'!D41</f>
        <v>T . Phết</v>
      </c>
      <c r="D39" s="103" t="s">
        <v>35</v>
      </c>
      <c r="E39" s="231">
        <f t="shared" si="2"/>
        <v>3.2</v>
      </c>
      <c r="F39" s="231"/>
      <c r="G39" s="231"/>
      <c r="H39" s="231"/>
      <c r="I39" s="231"/>
      <c r="J39" s="222"/>
      <c r="K39" s="172"/>
      <c r="L39" s="108"/>
      <c r="M39" s="108"/>
      <c r="N39" s="104"/>
      <c r="O39" s="104"/>
      <c r="P39" s="104"/>
      <c r="Q39" s="223">
        <f t="shared" si="3"/>
        <v>3.2</v>
      </c>
      <c r="R39" s="569">
        <f>VLOOKUP(C39,'BTH mủ tạp'!D45:AK125,34,0)</f>
        <v>4288</v>
      </c>
      <c r="S39" s="222"/>
      <c r="T39" s="164">
        <f t="shared" si="6"/>
        <v>0</v>
      </c>
      <c r="U39" s="225">
        <f t="shared" si="4"/>
        <v>4288</v>
      </c>
      <c r="V39" s="522">
        <f>VLOOKUP(C39,'Chấm công KT'!D41:AK121,34,0)</f>
        <v>24</v>
      </c>
      <c r="W39" s="522">
        <f>VLOOKUP(C39,'Chấm công KT'!D41:AL121,35,0)</f>
        <v>2</v>
      </c>
      <c r="X39" s="523"/>
      <c r="Y39" s="522">
        <f>VLOOKUP(C39,'Chấm công KT'!D41:AN121,37,0)</f>
        <v>2</v>
      </c>
      <c r="Z39" s="522">
        <f>VLOOKUP(C39,'Chấm công KT'!$D$13:$AO$92,38,0)</f>
        <v>0</v>
      </c>
      <c r="AA39" s="522">
        <f>VLOOKUP(C39,'Chấm công KT'!$D$13:$AP$92,39,0)</f>
        <v>0</v>
      </c>
      <c r="AB39" s="226"/>
      <c r="AC39" s="227">
        <f t="shared" si="5"/>
        <v>3.2</v>
      </c>
      <c r="AD39" s="105" t="str">
        <f>VLOOKUP(C39,'BTH mủ tạp'!$D$17:$AN$160,37,0)</f>
        <v>A</v>
      </c>
      <c r="AE39" s="106"/>
      <c r="AF39" s="90"/>
      <c r="AH39" s="75"/>
      <c r="AI39" s="72"/>
      <c r="AJ39" s="73"/>
      <c r="AK39" s="73"/>
      <c r="AL39" s="73"/>
      <c r="AM39" s="73"/>
      <c r="AN39" s="73"/>
      <c r="AO39" s="73"/>
    </row>
    <row r="40" spans="1:41" ht="18.75" customHeight="1">
      <c r="A40" s="103">
        <v>30</v>
      </c>
      <c r="B40" s="221" t="str">
        <f>'Chấm công KT'!C42</f>
        <v>03483</v>
      </c>
      <c r="C40" s="189" t="str">
        <f>'Chấm công KT'!D42</f>
        <v>T. Viêng Sa Văn</v>
      </c>
      <c r="D40" s="103" t="s">
        <v>35</v>
      </c>
      <c r="E40" s="231">
        <f t="shared" si="2"/>
        <v>3.2</v>
      </c>
      <c r="F40" s="231"/>
      <c r="G40" s="231"/>
      <c r="H40" s="231"/>
      <c r="I40" s="231"/>
      <c r="J40" s="222"/>
      <c r="K40" s="172"/>
      <c r="L40" s="172"/>
      <c r="M40" s="222"/>
      <c r="N40" s="222"/>
      <c r="O40" s="232"/>
      <c r="P40" s="104"/>
      <c r="Q40" s="223">
        <f t="shared" si="3"/>
        <v>3.2</v>
      </c>
      <c r="R40" s="569">
        <f>VLOOKUP(C40,'BTH mủ tạp'!D46:AK126,34,0)</f>
        <v>4448</v>
      </c>
      <c r="S40" s="222"/>
      <c r="T40" s="164">
        <f t="shared" si="6"/>
        <v>0</v>
      </c>
      <c r="U40" s="225">
        <f t="shared" si="4"/>
        <v>4448</v>
      </c>
      <c r="V40" s="522">
        <f>VLOOKUP(C40,'Chấm công KT'!D42:AK122,34,0)</f>
        <v>25</v>
      </c>
      <c r="W40" s="522">
        <f>VLOOKUP(C40,'Chấm công KT'!D42:AL122,35,0)</f>
        <v>2</v>
      </c>
      <c r="X40" s="523"/>
      <c r="Y40" s="522">
        <f>VLOOKUP(C40,'Chấm công KT'!D42:AN122,37,0)</f>
        <v>2</v>
      </c>
      <c r="Z40" s="522">
        <f>VLOOKUP(C40,'Chấm công KT'!$D$13:$AO$92,38,0)</f>
        <v>0</v>
      </c>
      <c r="AA40" s="522">
        <f>VLOOKUP(C40,'Chấm công KT'!$D$13:$AP$92,39,0)</f>
        <v>0</v>
      </c>
      <c r="AB40" s="226"/>
      <c r="AC40" s="227">
        <f t="shared" si="5"/>
        <v>3.2</v>
      </c>
      <c r="AD40" s="105" t="str">
        <f>VLOOKUP(C40,'BTH mủ tạp'!$D$17:$AN$160,37,0)</f>
        <v>A</v>
      </c>
      <c r="AE40" s="106"/>
      <c r="AF40" s="90"/>
      <c r="AH40" s="75"/>
      <c r="AI40" s="72"/>
      <c r="AJ40" s="73"/>
      <c r="AK40" s="73"/>
      <c r="AL40" s="73"/>
      <c r="AM40" s="73"/>
      <c r="AN40" s="73"/>
      <c r="AO40" s="73"/>
    </row>
    <row r="41" spans="1:41" ht="18.75" customHeight="1">
      <c r="A41" s="188">
        <v>31</v>
      </c>
      <c r="B41" s="221" t="str">
        <f>'Chấm công KT'!C43</f>
        <v>03484</v>
      </c>
      <c r="C41" s="189" t="str">
        <f>'Chấm công KT'!D43</f>
        <v>T. Ca Te</v>
      </c>
      <c r="D41" s="103" t="s">
        <v>35</v>
      </c>
      <c r="E41" s="231">
        <f t="shared" si="2"/>
        <v>3.2</v>
      </c>
      <c r="F41" s="231"/>
      <c r="G41" s="231"/>
      <c r="H41" s="231"/>
      <c r="I41" s="231"/>
      <c r="J41" s="222"/>
      <c r="K41" s="172"/>
      <c r="L41" s="108"/>
      <c r="M41" s="108"/>
      <c r="N41" s="104"/>
      <c r="O41" s="104"/>
      <c r="P41" s="104"/>
      <c r="Q41" s="223">
        <f t="shared" si="3"/>
        <v>3.2</v>
      </c>
      <c r="R41" s="569">
        <f>VLOOKUP(C41,'BTH mủ tạp'!D47:AK127,34,0)</f>
        <v>4236</v>
      </c>
      <c r="S41" s="222"/>
      <c r="T41" s="164">
        <f t="shared" si="6"/>
        <v>0</v>
      </c>
      <c r="U41" s="225">
        <f t="shared" si="4"/>
        <v>4236</v>
      </c>
      <c r="V41" s="522">
        <f>VLOOKUP(C41,'Chấm công KT'!D43:AK123,34,0)</f>
        <v>26</v>
      </c>
      <c r="W41" s="522">
        <f>VLOOKUP(C41,'Chấm công KT'!D43:AL123,35,0)</f>
        <v>2</v>
      </c>
      <c r="X41" s="523"/>
      <c r="Y41" s="522">
        <f>VLOOKUP(C41,'Chấm công KT'!D43:AN123,37,0)</f>
        <v>2</v>
      </c>
      <c r="Z41" s="522">
        <f>VLOOKUP(C41,'Chấm công KT'!$D$13:$AO$92,38,0)</f>
        <v>0</v>
      </c>
      <c r="AA41" s="522">
        <f>VLOOKUP(C41,'Chấm công KT'!$D$13:$AP$92,39,0)</f>
        <v>0</v>
      </c>
      <c r="AB41" s="226"/>
      <c r="AC41" s="227">
        <f t="shared" si="5"/>
        <v>3.2</v>
      </c>
      <c r="AD41" s="105" t="str">
        <f>VLOOKUP(C41,'BTH mủ tạp'!$D$17:$AN$160,37,0)</f>
        <v>A</v>
      </c>
      <c r="AE41" s="106"/>
      <c r="AF41" s="90"/>
      <c r="AH41" s="75"/>
      <c r="AI41" s="72"/>
      <c r="AJ41" s="73"/>
      <c r="AK41" s="73"/>
      <c r="AL41" s="73"/>
      <c r="AM41" s="73"/>
      <c r="AN41" s="73"/>
      <c r="AO41" s="73"/>
    </row>
    <row r="42" spans="1:41" ht="18.75" customHeight="1">
      <c r="A42" s="103">
        <v>32</v>
      </c>
      <c r="B42" s="221" t="str">
        <f>'Chấm công KT'!C44</f>
        <v>03485</v>
      </c>
      <c r="C42" s="189" t="str">
        <f>'Chấm công KT'!D44</f>
        <v>T. Lâm Phon</v>
      </c>
      <c r="D42" s="103" t="s">
        <v>35</v>
      </c>
      <c r="E42" s="231">
        <f t="shared" si="2"/>
        <v>3.2</v>
      </c>
      <c r="F42" s="231"/>
      <c r="G42" s="231"/>
      <c r="H42" s="231"/>
      <c r="I42" s="231"/>
      <c r="J42" s="222"/>
      <c r="K42" s="172"/>
      <c r="L42" s="172"/>
      <c r="M42" s="222"/>
      <c r="N42" s="222"/>
      <c r="O42" s="232"/>
      <c r="P42" s="104"/>
      <c r="Q42" s="223">
        <f t="shared" si="3"/>
        <v>3.2</v>
      </c>
      <c r="R42" s="569">
        <f>VLOOKUP(C42,'BTH mủ tạp'!D48:AK128,34,0)</f>
        <v>4573</v>
      </c>
      <c r="S42" s="222"/>
      <c r="T42" s="164">
        <f t="shared" si="6"/>
        <v>0</v>
      </c>
      <c r="U42" s="225">
        <f t="shared" si="4"/>
        <v>4573</v>
      </c>
      <c r="V42" s="522">
        <f>VLOOKUP(C42,'Chấm công KT'!D44:AK124,34,0)</f>
        <v>26</v>
      </c>
      <c r="W42" s="522">
        <f>VLOOKUP(C42,'Chấm công KT'!D44:AL124,35,0)</f>
        <v>2</v>
      </c>
      <c r="X42" s="523"/>
      <c r="Y42" s="522">
        <f>VLOOKUP(C42,'Chấm công KT'!D44:AN124,37,0)</f>
        <v>2</v>
      </c>
      <c r="Z42" s="522">
        <f>VLOOKUP(C42,'Chấm công KT'!$D$13:$AO$92,38,0)</f>
        <v>0</v>
      </c>
      <c r="AA42" s="522">
        <f>VLOOKUP(C42,'Chấm công KT'!$D$13:$AP$92,39,0)</f>
        <v>0</v>
      </c>
      <c r="AB42" s="226"/>
      <c r="AC42" s="227">
        <f t="shared" si="5"/>
        <v>3.2</v>
      </c>
      <c r="AD42" s="105" t="str">
        <f>VLOOKUP(C42,'BTH mủ tạp'!$D$17:$AN$160,37,0)</f>
        <v>A</v>
      </c>
      <c r="AE42" s="106"/>
      <c r="AF42" s="90"/>
      <c r="AH42" s="75"/>
      <c r="AI42" s="72"/>
      <c r="AJ42" s="73"/>
      <c r="AK42" s="73"/>
      <c r="AL42" s="73"/>
      <c r="AM42" s="73"/>
      <c r="AN42" s="73"/>
      <c r="AO42" s="73"/>
    </row>
    <row r="43" spans="1:41" ht="18.75" customHeight="1">
      <c r="A43" s="188">
        <v>33</v>
      </c>
      <c r="B43" s="221" t="str">
        <f>'Chấm công KT'!C45</f>
        <v>02712</v>
      </c>
      <c r="C43" s="189" t="str">
        <f>'Chấm công KT'!D45</f>
        <v>T. Sô Đa</v>
      </c>
      <c r="D43" s="103" t="s">
        <v>35</v>
      </c>
      <c r="E43" s="231">
        <f t="shared" si="2"/>
        <v>3.2</v>
      </c>
      <c r="F43" s="231"/>
      <c r="G43" s="231"/>
      <c r="H43" s="231"/>
      <c r="I43" s="231"/>
      <c r="J43" s="222"/>
      <c r="K43" s="172"/>
      <c r="L43" s="108"/>
      <c r="M43" s="108"/>
      <c r="N43" s="104"/>
      <c r="O43" s="104"/>
      <c r="P43" s="104"/>
      <c r="Q43" s="223">
        <f t="shared" si="3"/>
        <v>3.2</v>
      </c>
      <c r="R43" s="569">
        <f>VLOOKUP(C43,'BTH mủ tạp'!D49:AK129,34,0)</f>
        <v>3971</v>
      </c>
      <c r="S43" s="222"/>
      <c r="T43" s="164">
        <f t="shared" si="6"/>
        <v>0</v>
      </c>
      <c r="U43" s="225">
        <f t="shared" si="4"/>
        <v>3971</v>
      </c>
      <c r="V43" s="522">
        <f>VLOOKUP(C43,'Chấm công KT'!D45:AK125,34,0)</f>
        <v>26</v>
      </c>
      <c r="W43" s="522">
        <f>VLOOKUP(C43,'Chấm công KT'!D45:AL125,35,0)</f>
        <v>2</v>
      </c>
      <c r="X43" s="523"/>
      <c r="Y43" s="522">
        <f>VLOOKUP(C43,'Chấm công KT'!D45:AN125,37,0)</f>
        <v>2</v>
      </c>
      <c r="Z43" s="522">
        <f>VLOOKUP(C43,'Chấm công KT'!$D$13:$AO$92,38,0)</f>
        <v>0</v>
      </c>
      <c r="AA43" s="522">
        <f>VLOOKUP(C43,'Chấm công KT'!$D$13:$AP$92,39,0)</f>
        <v>0</v>
      </c>
      <c r="AB43" s="226"/>
      <c r="AC43" s="227">
        <f t="shared" si="5"/>
        <v>3.2</v>
      </c>
      <c r="AD43" s="105" t="str">
        <f>VLOOKUP(C43,'BTH mủ tạp'!$D$17:$AN$160,37,0)</f>
        <v>A</v>
      </c>
      <c r="AE43" s="106"/>
      <c r="AF43" s="90"/>
      <c r="AH43" s="75"/>
      <c r="AI43" s="72"/>
      <c r="AJ43" s="73"/>
      <c r="AK43" s="73"/>
      <c r="AL43" s="73"/>
      <c r="AM43" s="73"/>
      <c r="AN43" s="73"/>
      <c r="AO43" s="73"/>
    </row>
    <row r="44" spans="1:41" ht="18.75" customHeight="1">
      <c r="A44" s="103">
        <v>34</v>
      </c>
      <c r="B44" s="221">
        <f>'Chấm công KT'!C46</f>
        <v>0</v>
      </c>
      <c r="C44" s="189" t="str">
        <f>'Chấm công KT'!D46</f>
        <v>N. Pheng Mi</v>
      </c>
      <c r="D44" s="103" t="s">
        <v>35</v>
      </c>
      <c r="E44" s="231">
        <f t="shared" si="2"/>
        <v>3.2</v>
      </c>
      <c r="F44" s="231"/>
      <c r="G44" s="231"/>
      <c r="H44" s="231"/>
      <c r="I44" s="231"/>
      <c r="J44" s="222"/>
      <c r="K44" s="172"/>
      <c r="L44" s="108"/>
      <c r="M44" s="108"/>
      <c r="N44" s="104"/>
      <c r="O44" s="104"/>
      <c r="P44" s="104"/>
      <c r="Q44" s="223">
        <f t="shared" si="3"/>
        <v>3.2</v>
      </c>
      <c r="R44" s="569">
        <f>VLOOKUP(C44,'BTH mủ tạp'!D50:AK130,34,0)</f>
        <v>4804</v>
      </c>
      <c r="S44" s="222"/>
      <c r="T44" s="164">
        <f t="shared" si="6"/>
        <v>0</v>
      </c>
      <c r="U44" s="225">
        <f t="shared" si="4"/>
        <v>4804</v>
      </c>
      <c r="V44" s="522">
        <f>VLOOKUP(C44,'Chấm công KT'!D46:AK126,34,0)</f>
        <v>26</v>
      </c>
      <c r="W44" s="522">
        <f>VLOOKUP(C44,'Chấm công KT'!D46:AL126,35,0)</f>
        <v>2</v>
      </c>
      <c r="X44" s="523"/>
      <c r="Y44" s="522">
        <f>VLOOKUP(C44,'Chấm công KT'!D46:AN126,37,0)</f>
        <v>2</v>
      </c>
      <c r="Z44" s="522">
        <f>VLOOKUP(C44,'Chấm công KT'!$D$13:$AO$92,38,0)</f>
        <v>0</v>
      </c>
      <c r="AA44" s="522">
        <f>VLOOKUP(C44,'Chấm công KT'!$D$13:$AP$92,39,0)</f>
        <v>0</v>
      </c>
      <c r="AB44" s="226"/>
      <c r="AC44" s="227">
        <f t="shared" si="5"/>
        <v>3.2</v>
      </c>
      <c r="AD44" s="105" t="str">
        <f>VLOOKUP(C44,'BTH mủ tạp'!$D$17:$AN$160,37,0)</f>
        <v>A</v>
      </c>
      <c r="AE44" s="106"/>
      <c r="AF44" s="90"/>
      <c r="AH44" s="75"/>
      <c r="AI44" s="72"/>
      <c r="AJ44" s="73"/>
      <c r="AK44" s="73"/>
      <c r="AL44" s="73"/>
      <c r="AM44" s="73"/>
      <c r="AN44" s="73"/>
      <c r="AO44" s="73"/>
    </row>
    <row r="45" spans="1:41" ht="18.75" customHeight="1">
      <c r="A45" s="188">
        <v>35</v>
      </c>
      <c r="B45" s="221" t="str">
        <f>'Chấm công KT'!C47</f>
        <v>02714</v>
      </c>
      <c r="C45" s="189" t="str">
        <f>'Chấm công KT'!D47</f>
        <v>N. Tủn</v>
      </c>
      <c r="D45" s="103" t="s">
        <v>35</v>
      </c>
      <c r="E45" s="231">
        <f t="shared" si="2"/>
        <v>3.2</v>
      </c>
      <c r="F45" s="231"/>
      <c r="G45" s="231"/>
      <c r="H45" s="231"/>
      <c r="I45" s="231"/>
      <c r="J45" s="222"/>
      <c r="K45" s="172"/>
      <c r="L45" s="108"/>
      <c r="M45" s="108"/>
      <c r="N45" s="104"/>
      <c r="O45" s="104"/>
      <c r="P45" s="104"/>
      <c r="Q45" s="223">
        <f t="shared" si="3"/>
        <v>3.2</v>
      </c>
      <c r="R45" s="569">
        <f>VLOOKUP(C45,'BTH mủ tạp'!D51:AK131,34,0)</f>
        <v>3751</v>
      </c>
      <c r="S45" s="222"/>
      <c r="T45" s="164">
        <f t="shared" si="6"/>
        <v>0</v>
      </c>
      <c r="U45" s="225">
        <f t="shared" si="4"/>
        <v>3751</v>
      </c>
      <c r="V45" s="522">
        <f>VLOOKUP(C45,'Chấm công KT'!D47:AK127,34,0)</f>
        <v>25</v>
      </c>
      <c r="W45" s="522">
        <f>VLOOKUP(C45,'Chấm công KT'!D47:AL127,35,0)</f>
        <v>2</v>
      </c>
      <c r="X45" s="523"/>
      <c r="Y45" s="522">
        <f>VLOOKUP(C45,'Chấm công KT'!D47:AN127,37,0)</f>
        <v>2</v>
      </c>
      <c r="Z45" s="522">
        <f>VLOOKUP(C45,'Chấm công KT'!$D$13:$AO$92,38,0)</f>
        <v>0</v>
      </c>
      <c r="AA45" s="522">
        <f>VLOOKUP(C45,'Chấm công KT'!$D$13:$AP$92,39,0)</f>
        <v>0</v>
      </c>
      <c r="AB45" s="226"/>
      <c r="AC45" s="227">
        <f t="shared" si="5"/>
        <v>3.2</v>
      </c>
      <c r="AD45" s="105" t="str">
        <f>VLOOKUP(C45,'BTH mủ tạp'!$D$17:$AN$160,37,0)</f>
        <v>A</v>
      </c>
      <c r="AE45" s="106"/>
      <c r="AF45" s="90"/>
      <c r="AH45" s="75"/>
      <c r="AI45" s="72"/>
      <c r="AJ45" s="73"/>
      <c r="AK45" s="73"/>
      <c r="AL45" s="73"/>
      <c r="AM45" s="73"/>
      <c r="AN45" s="73"/>
      <c r="AO45" s="73"/>
    </row>
    <row r="46" spans="1:41" ht="18.75" customHeight="1">
      <c r="A46" s="103">
        <v>36</v>
      </c>
      <c r="B46" s="221" t="str">
        <f>'Chấm công KT'!C48</f>
        <v>02713</v>
      </c>
      <c r="C46" s="189" t="str">
        <f>'Chấm công KT'!D48</f>
        <v>T. Lung</v>
      </c>
      <c r="D46" s="103" t="s">
        <v>35</v>
      </c>
      <c r="E46" s="231">
        <f t="shared" si="2"/>
        <v>3.2</v>
      </c>
      <c r="F46" s="231"/>
      <c r="G46" s="231"/>
      <c r="H46" s="231"/>
      <c r="I46" s="231"/>
      <c r="J46" s="222"/>
      <c r="K46" s="172"/>
      <c r="L46" s="108"/>
      <c r="M46" s="108"/>
      <c r="N46" s="104"/>
      <c r="O46" s="104"/>
      <c r="P46" s="104"/>
      <c r="Q46" s="223">
        <f t="shared" si="3"/>
        <v>3.2</v>
      </c>
      <c r="R46" s="569">
        <f>VLOOKUP(C46,'BTH mủ tạp'!D52:AK132,34,0)</f>
        <v>3826</v>
      </c>
      <c r="S46" s="222"/>
      <c r="T46" s="164">
        <f t="shared" si="6"/>
        <v>0</v>
      </c>
      <c r="U46" s="225">
        <f t="shared" si="4"/>
        <v>3826</v>
      </c>
      <c r="V46" s="522">
        <f>VLOOKUP(C46,'Chấm công KT'!D48:AK128,34,0)</f>
        <v>25</v>
      </c>
      <c r="W46" s="522">
        <f>VLOOKUP(C46,'Chấm công KT'!D48:AL128,35,0)</f>
        <v>2</v>
      </c>
      <c r="X46" s="523"/>
      <c r="Y46" s="522">
        <f>VLOOKUP(C46,'Chấm công KT'!D48:AN128,37,0)</f>
        <v>2</v>
      </c>
      <c r="Z46" s="522">
        <f>VLOOKUP(C46,'Chấm công KT'!$D$13:$AO$92,38,0)</f>
        <v>0</v>
      </c>
      <c r="AA46" s="522">
        <f>VLOOKUP(C46,'Chấm công KT'!$D$13:$AP$92,39,0)</f>
        <v>0</v>
      </c>
      <c r="AB46" s="226"/>
      <c r="AC46" s="227">
        <f t="shared" si="5"/>
        <v>3.2</v>
      </c>
      <c r="AD46" s="105" t="str">
        <f>VLOOKUP(C46,'BTH mủ tạp'!$D$17:$AN$160,37,0)</f>
        <v>A</v>
      </c>
      <c r="AE46" s="106"/>
      <c r="AF46" s="90"/>
      <c r="AH46" s="75"/>
      <c r="AI46" s="72"/>
      <c r="AJ46" s="73"/>
      <c r="AK46" s="73"/>
      <c r="AL46" s="73"/>
      <c r="AM46" s="73"/>
      <c r="AN46" s="73"/>
      <c r="AO46" s="73"/>
    </row>
    <row r="47" spans="1:41" ht="18.75" customHeight="1">
      <c r="A47" s="188">
        <v>37</v>
      </c>
      <c r="B47" s="221" t="str">
        <f>'Chấm công KT'!C49</f>
        <v>04058</v>
      </c>
      <c r="C47" s="189" t="str">
        <f>'Chấm công KT'!D49</f>
        <v>T. Bi Ly (2)</v>
      </c>
      <c r="D47" s="103" t="s">
        <v>35</v>
      </c>
      <c r="E47" s="231">
        <f t="shared" si="2"/>
        <v>3.2</v>
      </c>
      <c r="F47" s="231"/>
      <c r="G47" s="231"/>
      <c r="H47" s="231"/>
      <c r="I47" s="231"/>
      <c r="J47" s="222"/>
      <c r="K47" s="172"/>
      <c r="L47" s="108"/>
      <c r="M47" s="222"/>
      <c r="N47" s="104"/>
      <c r="O47" s="104"/>
      <c r="P47" s="104"/>
      <c r="Q47" s="223">
        <f t="shared" si="3"/>
        <v>3.2</v>
      </c>
      <c r="R47" s="569">
        <f>VLOOKUP(C47,'BTH mủ tạp'!D53:AK133,34,0)</f>
        <v>4137</v>
      </c>
      <c r="S47" s="222"/>
      <c r="T47" s="164">
        <f t="shared" si="6"/>
        <v>0</v>
      </c>
      <c r="U47" s="225">
        <f t="shared" si="4"/>
        <v>4137</v>
      </c>
      <c r="V47" s="522">
        <f>VLOOKUP(C47,'Chấm công KT'!D49:AK129,34,0)</f>
        <v>26</v>
      </c>
      <c r="W47" s="522">
        <f>VLOOKUP(C47,'Chấm công KT'!D49:AL129,35,0)</f>
        <v>2</v>
      </c>
      <c r="X47" s="523"/>
      <c r="Y47" s="522">
        <f>VLOOKUP(C47,'Chấm công KT'!D49:AN129,37,0)</f>
        <v>2</v>
      </c>
      <c r="Z47" s="522">
        <f>VLOOKUP(C47,'Chấm công KT'!$D$13:$AO$92,38,0)</f>
        <v>0</v>
      </c>
      <c r="AA47" s="522">
        <f>VLOOKUP(C47,'Chấm công KT'!$D$13:$AP$92,39,0)</f>
        <v>0</v>
      </c>
      <c r="AB47" s="226"/>
      <c r="AC47" s="227">
        <f t="shared" si="5"/>
        <v>3.2</v>
      </c>
      <c r="AD47" s="105" t="str">
        <f>VLOOKUP(C47,'BTH mủ tạp'!$D$17:$AN$160,37,0)</f>
        <v>A</v>
      </c>
      <c r="AE47" s="106"/>
      <c r="AF47" s="90"/>
      <c r="AH47" s="75"/>
      <c r="AI47" s="72"/>
      <c r="AJ47" s="73"/>
      <c r="AK47" s="73"/>
      <c r="AL47" s="73"/>
      <c r="AM47" s="73"/>
      <c r="AN47" s="73"/>
      <c r="AO47" s="73"/>
    </row>
    <row r="48" spans="1:41" ht="18.75" customHeight="1">
      <c r="A48" s="103">
        <v>38</v>
      </c>
      <c r="B48" s="221" t="str">
        <f>'Chấm công KT'!C50</f>
        <v>03487</v>
      </c>
      <c r="C48" s="189" t="str">
        <f>'Chấm công KT'!D50</f>
        <v>N. Ba Say</v>
      </c>
      <c r="D48" s="103" t="s">
        <v>35</v>
      </c>
      <c r="E48" s="231">
        <f t="shared" si="2"/>
        <v>3.2</v>
      </c>
      <c r="F48" s="231"/>
      <c r="G48" s="231"/>
      <c r="H48" s="231"/>
      <c r="I48" s="231"/>
      <c r="J48" s="222"/>
      <c r="K48" s="172"/>
      <c r="L48" s="172"/>
      <c r="M48" s="222"/>
      <c r="N48" s="222"/>
      <c r="O48" s="232"/>
      <c r="P48" s="104"/>
      <c r="Q48" s="223">
        <f t="shared" si="3"/>
        <v>3.2</v>
      </c>
      <c r="R48" s="569">
        <f>VLOOKUP(C48,'BTH mủ tạp'!D54:AK134,34,0)</f>
        <v>2934</v>
      </c>
      <c r="S48" s="222"/>
      <c r="T48" s="164">
        <f t="shared" si="6"/>
        <v>0</v>
      </c>
      <c r="U48" s="225">
        <f t="shared" si="4"/>
        <v>2934</v>
      </c>
      <c r="V48" s="522">
        <f>VLOOKUP(C48,'Chấm công KT'!D50:AK130,34,0)</f>
        <v>24</v>
      </c>
      <c r="W48" s="522">
        <f>VLOOKUP(C48,'Chấm công KT'!D50:AL130,35,0)</f>
        <v>2</v>
      </c>
      <c r="X48" s="523"/>
      <c r="Y48" s="522">
        <f>VLOOKUP(C48,'Chấm công KT'!D50:AN130,37,0)</f>
        <v>2</v>
      </c>
      <c r="Z48" s="522">
        <f>VLOOKUP(C48,'Chấm công KT'!$D$13:$AO$92,38,0)</f>
        <v>0</v>
      </c>
      <c r="AA48" s="522">
        <f>VLOOKUP(C48,'Chấm công KT'!$D$13:$AP$92,39,0)</f>
        <v>0</v>
      </c>
      <c r="AB48" s="226"/>
      <c r="AC48" s="227">
        <f t="shared" si="5"/>
        <v>3.2</v>
      </c>
      <c r="AD48" s="105" t="str">
        <f>VLOOKUP(C48,'BTH mủ tạp'!$D$17:$AN$160,37,0)</f>
        <v>A</v>
      </c>
      <c r="AE48" s="106"/>
      <c r="AF48" s="90"/>
      <c r="AH48" s="75"/>
      <c r="AI48" s="72"/>
      <c r="AJ48" s="73"/>
      <c r="AK48" s="73"/>
      <c r="AL48" s="73"/>
      <c r="AM48" s="73"/>
      <c r="AN48" s="73"/>
      <c r="AO48" s="73"/>
    </row>
    <row r="49" spans="1:41" ht="18.75" customHeight="1">
      <c r="A49" s="188">
        <v>39</v>
      </c>
      <c r="B49" s="221" t="str">
        <f>'Chấm công KT'!C51</f>
        <v>03488</v>
      </c>
      <c r="C49" s="189" t="str">
        <f>'Chấm công KT'!D51</f>
        <v>N. Đeng</v>
      </c>
      <c r="D49" s="103" t="s">
        <v>35</v>
      </c>
      <c r="E49" s="231">
        <f t="shared" si="2"/>
        <v>3.2</v>
      </c>
      <c r="F49" s="231"/>
      <c r="G49" s="231"/>
      <c r="H49" s="231"/>
      <c r="I49" s="231"/>
      <c r="J49" s="222"/>
      <c r="K49" s="172"/>
      <c r="L49" s="172"/>
      <c r="M49" s="222"/>
      <c r="N49" s="222"/>
      <c r="O49" s="232"/>
      <c r="P49" s="104"/>
      <c r="Q49" s="223">
        <f t="shared" si="3"/>
        <v>3.2</v>
      </c>
      <c r="R49" s="569">
        <f>VLOOKUP(C49,'BTH mủ tạp'!D55:AK135,34,0)</f>
        <v>4028</v>
      </c>
      <c r="S49" s="222"/>
      <c r="T49" s="164">
        <f t="shared" si="6"/>
        <v>0</v>
      </c>
      <c r="U49" s="225">
        <f t="shared" si="4"/>
        <v>4028</v>
      </c>
      <c r="V49" s="522">
        <f>VLOOKUP(C49,'Chấm công KT'!D51:AK131,34,0)</f>
        <v>25</v>
      </c>
      <c r="W49" s="522">
        <f>VLOOKUP(C49,'Chấm công KT'!D51:AL131,35,0)</f>
        <v>2</v>
      </c>
      <c r="X49" s="523"/>
      <c r="Y49" s="522">
        <f>VLOOKUP(C49,'Chấm công KT'!D51:AN131,37,0)</f>
        <v>2</v>
      </c>
      <c r="Z49" s="522">
        <f>VLOOKUP(C49,'Chấm công KT'!$D$13:$AO$92,38,0)</f>
        <v>0</v>
      </c>
      <c r="AA49" s="522">
        <f>VLOOKUP(C49,'Chấm công KT'!$D$13:$AP$92,39,0)</f>
        <v>0</v>
      </c>
      <c r="AB49" s="226"/>
      <c r="AC49" s="227">
        <f t="shared" si="5"/>
        <v>3.2</v>
      </c>
      <c r="AD49" s="105" t="str">
        <f>VLOOKUP(C49,'BTH mủ tạp'!$D$17:$AN$160,37,0)</f>
        <v>A</v>
      </c>
      <c r="AE49" s="106"/>
      <c r="AF49" s="90"/>
      <c r="AH49" s="75"/>
      <c r="AI49" s="72"/>
      <c r="AJ49" s="73"/>
      <c r="AK49" s="73"/>
      <c r="AL49" s="73"/>
      <c r="AM49" s="73"/>
      <c r="AN49" s="73"/>
      <c r="AO49" s="73"/>
    </row>
    <row r="50" spans="1:41" ht="18.75" customHeight="1">
      <c r="A50" s="103">
        <v>40</v>
      </c>
      <c r="B50" s="221" t="str">
        <f>'Chấm công KT'!C52</f>
        <v>03489</v>
      </c>
      <c r="C50" s="189" t="str">
        <f>'Chấm công KT'!D52</f>
        <v>T. Tinh</v>
      </c>
      <c r="D50" s="103" t="s">
        <v>35</v>
      </c>
      <c r="E50" s="231">
        <f t="shared" si="2"/>
        <v>3.2</v>
      </c>
      <c r="F50" s="231"/>
      <c r="G50" s="231"/>
      <c r="H50" s="231"/>
      <c r="I50" s="231"/>
      <c r="J50" s="222"/>
      <c r="K50" s="172"/>
      <c r="L50" s="172"/>
      <c r="M50" s="222"/>
      <c r="N50" s="222"/>
      <c r="O50" s="232"/>
      <c r="P50" s="104"/>
      <c r="Q50" s="223">
        <f t="shared" si="3"/>
        <v>3.2</v>
      </c>
      <c r="R50" s="569">
        <f>VLOOKUP(C50,'BTH mủ tạp'!D56:AK136,34,0)</f>
        <v>2833</v>
      </c>
      <c r="S50" s="222"/>
      <c r="T50" s="164">
        <f t="shared" si="6"/>
        <v>0</v>
      </c>
      <c r="U50" s="225">
        <f t="shared" si="4"/>
        <v>2833</v>
      </c>
      <c r="V50" s="522">
        <f>VLOOKUP(C50,'Chấm công KT'!D52:AK132,34,0)</f>
        <v>24</v>
      </c>
      <c r="W50" s="522">
        <f>VLOOKUP(C50,'Chấm công KT'!D52:AL132,35,0)</f>
        <v>2</v>
      </c>
      <c r="X50" s="523"/>
      <c r="Y50" s="522">
        <f>VLOOKUP(C50,'Chấm công KT'!D52:AN132,37,0)</f>
        <v>2</v>
      </c>
      <c r="Z50" s="522">
        <f>VLOOKUP(C50,'Chấm công KT'!$D$13:$AO$92,38,0)</f>
        <v>0</v>
      </c>
      <c r="AA50" s="522">
        <f>VLOOKUP(C50,'Chấm công KT'!$D$13:$AP$92,39,0)</f>
        <v>0</v>
      </c>
      <c r="AB50" s="226"/>
      <c r="AC50" s="227">
        <f t="shared" si="5"/>
        <v>3.2</v>
      </c>
      <c r="AD50" s="105" t="str">
        <f>VLOOKUP(C50,'BTH mủ tạp'!$D$17:$AN$160,37,0)</f>
        <v>B</v>
      </c>
      <c r="AE50" s="106"/>
      <c r="AF50" s="90"/>
      <c r="AH50" s="75"/>
      <c r="AI50" s="72"/>
      <c r="AJ50" s="73"/>
      <c r="AK50" s="73"/>
      <c r="AL50" s="73"/>
      <c r="AM50" s="73"/>
      <c r="AN50" s="73"/>
      <c r="AO50" s="73"/>
    </row>
    <row r="51" spans="1:41" ht="18.75" customHeight="1">
      <c r="A51" s="188">
        <v>41</v>
      </c>
      <c r="B51" s="221" t="str">
        <f>'Chấm công KT'!C53</f>
        <v>04059</v>
      </c>
      <c r="C51" s="189" t="str">
        <f>'Chấm công KT'!D53</f>
        <v>T. Khăm Pỏi</v>
      </c>
      <c r="D51" s="103" t="s">
        <v>35</v>
      </c>
      <c r="E51" s="231">
        <f t="shared" si="2"/>
        <v>3.2</v>
      </c>
      <c r="F51" s="231"/>
      <c r="G51" s="231"/>
      <c r="H51" s="231"/>
      <c r="I51" s="231"/>
      <c r="J51" s="222"/>
      <c r="K51" s="172"/>
      <c r="L51" s="172"/>
      <c r="M51" s="222"/>
      <c r="N51" s="104"/>
      <c r="O51" s="104"/>
      <c r="P51" s="104"/>
      <c r="Q51" s="223">
        <f t="shared" si="3"/>
        <v>3.2</v>
      </c>
      <c r="R51" s="569">
        <f>VLOOKUP(C51,'BTH mủ tạp'!D57:AK137,34,0)</f>
        <v>3793</v>
      </c>
      <c r="S51" s="222"/>
      <c r="T51" s="164">
        <f t="shared" si="6"/>
        <v>0</v>
      </c>
      <c r="U51" s="225">
        <f t="shared" si="4"/>
        <v>3793</v>
      </c>
      <c r="V51" s="522">
        <f>VLOOKUP(C51,'Chấm công KT'!D53:AK133,34,0)</f>
        <v>26</v>
      </c>
      <c r="W51" s="522">
        <f>VLOOKUP(C51,'Chấm công KT'!D53:AL133,35,0)</f>
        <v>2</v>
      </c>
      <c r="X51" s="523"/>
      <c r="Y51" s="522">
        <f>VLOOKUP(C51,'Chấm công KT'!D53:AN133,37,0)</f>
        <v>2</v>
      </c>
      <c r="Z51" s="522">
        <f>VLOOKUP(C51,'Chấm công KT'!$D$13:$AO$92,38,0)</f>
        <v>0</v>
      </c>
      <c r="AA51" s="522">
        <f>VLOOKUP(C51,'Chấm công KT'!$D$13:$AP$92,39,0)</f>
        <v>0</v>
      </c>
      <c r="AB51" s="226"/>
      <c r="AC51" s="227">
        <f t="shared" si="5"/>
        <v>3.2</v>
      </c>
      <c r="AD51" s="105" t="str">
        <f>VLOOKUP(C51,'BTH mủ tạp'!$D$17:$AN$160,37,0)</f>
        <v>A</v>
      </c>
      <c r="AE51" s="106"/>
      <c r="AF51" s="90"/>
      <c r="AH51" s="75"/>
      <c r="AI51" s="72"/>
      <c r="AJ51" s="73"/>
      <c r="AK51" s="73"/>
      <c r="AL51" s="73"/>
      <c r="AM51" s="73"/>
      <c r="AN51" s="73"/>
      <c r="AO51" s="73"/>
    </row>
    <row r="52" spans="1:41" ht="18.75" customHeight="1">
      <c r="A52" s="103">
        <v>42</v>
      </c>
      <c r="B52" s="221" t="str">
        <f>'Chấm công KT'!C54</f>
        <v>03491</v>
      </c>
      <c r="C52" s="189" t="str">
        <f>'Chấm công KT'!D54</f>
        <v>Lăm Ngân</v>
      </c>
      <c r="D52" s="103" t="s">
        <v>35</v>
      </c>
      <c r="E52" s="231">
        <f t="shared" si="2"/>
        <v>3.2</v>
      </c>
      <c r="F52" s="231"/>
      <c r="G52" s="231"/>
      <c r="H52" s="231"/>
      <c r="I52" s="231"/>
      <c r="J52" s="222"/>
      <c r="K52" s="172"/>
      <c r="L52" s="172"/>
      <c r="M52" s="108"/>
      <c r="N52" s="104"/>
      <c r="O52" s="104"/>
      <c r="P52" s="104"/>
      <c r="Q52" s="223">
        <f t="shared" si="3"/>
        <v>3.2</v>
      </c>
      <c r="R52" s="569">
        <f>VLOOKUP(C52,'BTH mủ tạp'!D58:AK138,34,0)</f>
        <v>4100</v>
      </c>
      <c r="S52" s="222"/>
      <c r="T52" s="164">
        <f t="shared" si="6"/>
        <v>0</v>
      </c>
      <c r="U52" s="225">
        <f t="shared" si="4"/>
        <v>4100</v>
      </c>
      <c r="V52" s="522">
        <f>VLOOKUP(C52,'Chấm công KT'!D54:AK134,34,0)</f>
        <v>25</v>
      </c>
      <c r="W52" s="522">
        <f>VLOOKUP(C52,'Chấm công KT'!D54:AL134,35,0)</f>
        <v>2</v>
      </c>
      <c r="X52" s="523"/>
      <c r="Y52" s="522">
        <f>VLOOKUP(C52,'Chấm công KT'!D54:AN134,37,0)</f>
        <v>2</v>
      </c>
      <c r="Z52" s="522">
        <f>VLOOKUP(C52,'Chấm công KT'!$D$13:$AO$92,38,0)</f>
        <v>0</v>
      </c>
      <c r="AA52" s="522">
        <f>VLOOKUP(C52,'Chấm công KT'!$D$13:$AP$92,39,0)</f>
        <v>0</v>
      </c>
      <c r="AB52" s="226"/>
      <c r="AC52" s="227">
        <f t="shared" si="5"/>
        <v>3.2</v>
      </c>
      <c r="AD52" s="105" t="str">
        <f>VLOOKUP(C52,'BTH mủ tạp'!$D$17:$AN$160,37,0)</f>
        <v>A</v>
      </c>
      <c r="AE52" s="106"/>
      <c r="AF52" s="90"/>
      <c r="AG52" s="73"/>
      <c r="AH52" s="75"/>
      <c r="AI52" s="72"/>
      <c r="AJ52" s="73"/>
      <c r="AK52" s="73"/>
      <c r="AL52" s="73"/>
      <c r="AM52" s="73"/>
      <c r="AN52" s="73"/>
      <c r="AO52" s="73"/>
    </row>
    <row r="53" spans="1:41" ht="18.75" customHeight="1">
      <c r="A53" s="188">
        <v>43</v>
      </c>
      <c r="B53" s="221" t="str">
        <f>'Chấm công KT'!C55</f>
        <v>04060</v>
      </c>
      <c r="C53" s="189" t="str">
        <f>'Chấm công KT'!D55</f>
        <v>T. Không</v>
      </c>
      <c r="D53" s="103" t="s">
        <v>35</v>
      </c>
      <c r="E53" s="231">
        <f t="shared" si="2"/>
        <v>3.2</v>
      </c>
      <c r="F53" s="231"/>
      <c r="G53" s="231"/>
      <c r="H53" s="231"/>
      <c r="I53" s="231"/>
      <c r="J53" s="222"/>
      <c r="K53" s="172"/>
      <c r="L53" s="172"/>
      <c r="M53" s="108"/>
      <c r="N53" s="104"/>
      <c r="O53" s="104"/>
      <c r="P53" s="104"/>
      <c r="Q53" s="223">
        <f t="shared" si="3"/>
        <v>3.2</v>
      </c>
      <c r="R53" s="569">
        <f>VLOOKUP(C53,'BTH mủ tạp'!D59:AK139,34,0)</f>
        <v>4272</v>
      </c>
      <c r="S53" s="222"/>
      <c r="T53" s="164">
        <f t="shared" si="6"/>
        <v>0</v>
      </c>
      <c r="U53" s="225">
        <f t="shared" si="4"/>
        <v>4272</v>
      </c>
      <c r="V53" s="522">
        <f>VLOOKUP(C53,'Chấm công KT'!D55:AK135,34,0)</f>
        <v>26</v>
      </c>
      <c r="W53" s="522">
        <f>VLOOKUP(C53,'Chấm công KT'!D55:AL135,35,0)</f>
        <v>2</v>
      </c>
      <c r="X53" s="523"/>
      <c r="Y53" s="522">
        <f>VLOOKUP(C53,'Chấm công KT'!D55:AN135,37,0)</f>
        <v>2</v>
      </c>
      <c r="Z53" s="522">
        <f>VLOOKUP(C53,'Chấm công KT'!$D$13:$AO$92,38,0)</f>
        <v>0</v>
      </c>
      <c r="AA53" s="522">
        <f>VLOOKUP(C53,'Chấm công KT'!$D$13:$AP$92,39,0)</f>
        <v>0</v>
      </c>
      <c r="AB53" s="226"/>
      <c r="AC53" s="227">
        <f t="shared" si="5"/>
        <v>3.2</v>
      </c>
      <c r="AD53" s="105" t="str">
        <f>VLOOKUP(C53,'BTH mủ tạp'!$D$17:$AN$160,37,0)</f>
        <v>A</v>
      </c>
      <c r="AE53" s="106"/>
      <c r="AF53" s="90"/>
      <c r="AH53" s="75"/>
      <c r="AI53" s="72"/>
      <c r="AJ53" s="73"/>
      <c r="AK53" s="73"/>
      <c r="AL53" s="73"/>
      <c r="AM53" s="73"/>
      <c r="AN53" s="73"/>
      <c r="AO53" s="73"/>
    </row>
    <row r="54" spans="1:41" ht="18.75" customHeight="1">
      <c r="A54" s="103">
        <v>44</v>
      </c>
      <c r="B54" s="221" t="str">
        <f>'Chấm công KT'!C56</f>
        <v>03492</v>
      </c>
      <c r="C54" s="189" t="str">
        <f>'Chấm công KT'!D56</f>
        <v>T. Lem</v>
      </c>
      <c r="D54" s="103" t="s">
        <v>35</v>
      </c>
      <c r="E54" s="231">
        <f t="shared" si="2"/>
        <v>3.2</v>
      </c>
      <c r="F54" s="231"/>
      <c r="G54" s="231"/>
      <c r="H54" s="231"/>
      <c r="I54" s="231"/>
      <c r="J54" s="222"/>
      <c r="K54" s="172"/>
      <c r="L54" s="108"/>
      <c r="M54" s="222"/>
      <c r="N54" s="104"/>
      <c r="O54" s="104"/>
      <c r="P54" s="104"/>
      <c r="Q54" s="223">
        <f t="shared" si="3"/>
        <v>3.2</v>
      </c>
      <c r="R54" s="569">
        <f>VLOOKUP(C54,'BTH mủ tạp'!D60:AK140,34,0)</f>
        <v>4440</v>
      </c>
      <c r="S54" s="222"/>
      <c r="T54" s="164">
        <f t="shared" si="6"/>
        <v>0</v>
      </c>
      <c r="U54" s="225">
        <f t="shared" si="4"/>
        <v>4440</v>
      </c>
      <c r="V54" s="522">
        <f>VLOOKUP(C54,'Chấm công KT'!D56:AK136,34,0)</f>
        <v>26</v>
      </c>
      <c r="W54" s="522">
        <f>VLOOKUP(C54,'Chấm công KT'!D56:AL136,35,0)</f>
        <v>2</v>
      </c>
      <c r="X54" s="523"/>
      <c r="Y54" s="522">
        <f>VLOOKUP(C54,'Chấm công KT'!D56:AN136,37,0)</f>
        <v>2</v>
      </c>
      <c r="Z54" s="522">
        <f>VLOOKUP(C54,'Chấm công KT'!$D$13:$AO$92,38,0)</f>
        <v>0</v>
      </c>
      <c r="AA54" s="522">
        <f>VLOOKUP(C54,'Chấm công KT'!$D$13:$AP$92,39,0)</f>
        <v>0</v>
      </c>
      <c r="AB54" s="226"/>
      <c r="AC54" s="227">
        <f t="shared" si="5"/>
        <v>3.2</v>
      </c>
      <c r="AD54" s="105" t="str">
        <f>VLOOKUP(C54,'BTH mủ tạp'!$D$17:$AN$160,37,0)</f>
        <v>A</v>
      </c>
      <c r="AE54" s="106"/>
      <c r="AF54" s="90"/>
      <c r="AH54" s="75"/>
      <c r="AI54" s="72"/>
      <c r="AJ54" s="73"/>
      <c r="AK54" s="73"/>
      <c r="AL54" s="73"/>
      <c r="AM54" s="73"/>
      <c r="AN54" s="73"/>
      <c r="AO54" s="73"/>
    </row>
    <row r="55" spans="1:41" ht="18.75" customHeight="1">
      <c r="A55" s="188">
        <v>45</v>
      </c>
      <c r="B55" s="221" t="str">
        <f>'Chấm công KT'!C57</f>
        <v>03493</v>
      </c>
      <c r="C55" s="189" t="str">
        <f>'Chấm công KT'!D57</f>
        <v>T. Pông</v>
      </c>
      <c r="D55" s="103" t="s">
        <v>35</v>
      </c>
      <c r="E55" s="231">
        <f t="shared" si="2"/>
        <v>3.2</v>
      </c>
      <c r="F55" s="231"/>
      <c r="G55" s="231"/>
      <c r="H55" s="231"/>
      <c r="I55" s="231"/>
      <c r="J55" s="222"/>
      <c r="K55" s="172"/>
      <c r="L55" s="172"/>
      <c r="M55" s="222"/>
      <c r="N55" s="222"/>
      <c r="O55" s="232"/>
      <c r="P55" s="104"/>
      <c r="Q55" s="223">
        <f t="shared" si="3"/>
        <v>3.2</v>
      </c>
      <c r="R55" s="569">
        <f>VLOOKUP(C55,'BTH mủ tạp'!D61:AK141,34,0)</f>
        <v>4718</v>
      </c>
      <c r="S55" s="222"/>
      <c r="T55" s="164">
        <f t="shared" si="6"/>
        <v>0</v>
      </c>
      <c r="U55" s="225">
        <f t="shared" si="4"/>
        <v>4718</v>
      </c>
      <c r="V55" s="522">
        <f>VLOOKUP(C55,'Chấm công KT'!D57:AK137,34,0)</f>
        <v>26</v>
      </c>
      <c r="W55" s="522">
        <f>VLOOKUP(C55,'Chấm công KT'!D57:AL137,35,0)</f>
        <v>2</v>
      </c>
      <c r="X55" s="523"/>
      <c r="Y55" s="522">
        <f>VLOOKUP(C55,'Chấm công KT'!D57:AN137,37,0)</f>
        <v>2</v>
      </c>
      <c r="Z55" s="522">
        <f>VLOOKUP(C55,'Chấm công KT'!$D$13:$AO$92,38,0)</f>
        <v>0</v>
      </c>
      <c r="AA55" s="522">
        <f>VLOOKUP(C55,'Chấm công KT'!$D$13:$AP$92,39,0)</f>
        <v>0</v>
      </c>
      <c r="AB55" s="226"/>
      <c r="AC55" s="227">
        <f t="shared" si="5"/>
        <v>3.2</v>
      </c>
      <c r="AD55" s="105" t="str">
        <f>VLOOKUP(C55,'BTH mủ tạp'!$D$17:$AN$160,37,0)</f>
        <v>A</v>
      </c>
      <c r="AE55" s="106"/>
      <c r="AF55" s="90"/>
      <c r="AH55" s="75"/>
      <c r="AI55" s="72"/>
      <c r="AJ55" s="73"/>
      <c r="AK55" s="73"/>
      <c r="AL55" s="73"/>
      <c r="AM55" s="73"/>
      <c r="AN55" s="73"/>
      <c r="AO55" s="73"/>
    </row>
    <row r="56" spans="1:41" ht="18.75" customHeight="1">
      <c r="A56" s="103">
        <v>46</v>
      </c>
      <c r="B56" s="221" t="str">
        <f>'Chấm công KT'!C58</f>
        <v>03496</v>
      </c>
      <c r="C56" s="189" t="str">
        <f>'Chấm công KT'!D58</f>
        <v>T. Lốp</v>
      </c>
      <c r="D56" s="103" t="s">
        <v>35</v>
      </c>
      <c r="E56" s="231">
        <f t="shared" si="2"/>
        <v>3.2</v>
      </c>
      <c r="F56" s="231"/>
      <c r="G56" s="231"/>
      <c r="H56" s="231"/>
      <c r="I56" s="231"/>
      <c r="J56" s="222"/>
      <c r="K56" s="172"/>
      <c r="L56" s="172"/>
      <c r="M56" s="222"/>
      <c r="N56" s="222"/>
      <c r="O56" s="232"/>
      <c r="P56" s="104"/>
      <c r="Q56" s="223">
        <f t="shared" si="3"/>
        <v>3.2</v>
      </c>
      <c r="R56" s="569">
        <f>VLOOKUP(C56,'BTH mủ tạp'!D62:AK142,34,0)</f>
        <v>5229</v>
      </c>
      <c r="S56" s="222"/>
      <c r="T56" s="164">
        <f t="shared" si="6"/>
        <v>0</v>
      </c>
      <c r="U56" s="225">
        <f t="shared" si="4"/>
        <v>5229</v>
      </c>
      <c r="V56" s="522">
        <f>VLOOKUP(C56,'Chấm công KT'!D58:AK138,34,0)</f>
        <v>26</v>
      </c>
      <c r="W56" s="522">
        <f>VLOOKUP(C56,'Chấm công KT'!D58:AL138,35,0)</f>
        <v>2</v>
      </c>
      <c r="X56" s="523"/>
      <c r="Y56" s="522">
        <f>VLOOKUP(C56,'Chấm công KT'!D58:AN138,37,0)</f>
        <v>2</v>
      </c>
      <c r="Z56" s="522">
        <f>VLOOKUP(C56,'Chấm công KT'!$D$13:$AO$92,38,0)</f>
        <v>0</v>
      </c>
      <c r="AA56" s="522">
        <f>VLOOKUP(C56,'Chấm công KT'!$D$13:$AP$92,39,0)</f>
        <v>0</v>
      </c>
      <c r="AB56" s="226"/>
      <c r="AC56" s="227">
        <f t="shared" si="5"/>
        <v>3.2</v>
      </c>
      <c r="AD56" s="105" t="str">
        <f>VLOOKUP(C56,'BTH mủ tạp'!$D$17:$AN$160,37,0)</f>
        <v>A</v>
      </c>
      <c r="AE56" s="106"/>
      <c r="AF56" s="90"/>
      <c r="AH56" s="75"/>
      <c r="AI56" s="72"/>
      <c r="AJ56" s="73"/>
      <c r="AK56" s="73"/>
      <c r="AL56" s="73"/>
      <c r="AM56" s="73"/>
      <c r="AN56" s="73"/>
      <c r="AO56" s="73"/>
    </row>
    <row r="57" spans="1:41" ht="18.75" customHeight="1">
      <c r="A57" s="188">
        <v>47</v>
      </c>
      <c r="B57" s="221" t="str">
        <f>'Chấm công KT'!C59</f>
        <v>04061</v>
      </c>
      <c r="C57" s="189" t="str">
        <f>'Chấm công KT'!D59</f>
        <v>N. Nu Ni</v>
      </c>
      <c r="D57" s="103" t="s">
        <v>35</v>
      </c>
      <c r="E57" s="231">
        <f t="shared" si="2"/>
        <v>3.2</v>
      </c>
      <c r="F57" s="231"/>
      <c r="G57" s="231"/>
      <c r="H57" s="231"/>
      <c r="I57" s="231"/>
      <c r="J57" s="222"/>
      <c r="K57" s="172"/>
      <c r="L57" s="172"/>
      <c r="M57" s="222"/>
      <c r="N57" s="222"/>
      <c r="O57" s="232"/>
      <c r="P57" s="104"/>
      <c r="Q57" s="223">
        <f t="shared" si="3"/>
        <v>3.2</v>
      </c>
      <c r="R57" s="569">
        <f>VLOOKUP(C57,'BTH mủ tạp'!D63:AK143,34,0)</f>
        <v>4918</v>
      </c>
      <c r="S57" s="222"/>
      <c r="T57" s="164">
        <f t="shared" si="6"/>
        <v>0</v>
      </c>
      <c r="U57" s="225">
        <f t="shared" si="4"/>
        <v>4918</v>
      </c>
      <c r="V57" s="522">
        <f>VLOOKUP(C57,'Chấm công KT'!D59:AK139,34,0)</f>
        <v>26</v>
      </c>
      <c r="W57" s="522">
        <f>VLOOKUP(C57,'Chấm công KT'!D59:AL139,35,0)</f>
        <v>2</v>
      </c>
      <c r="X57" s="523"/>
      <c r="Y57" s="522">
        <f>VLOOKUP(C57,'Chấm công KT'!D59:AN139,37,0)</f>
        <v>2</v>
      </c>
      <c r="Z57" s="522">
        <f>VLOOKUP(C57,'Chấm công KT'!$D$13:$AO$92,38,0)</f>
        <v>0</v>
      </c>
      <c r="AA57" s="522">
        <f>VLOOKUP(C57,'Chấm công KT'!$D$13:$AP$92,39,0)</f>
        <v>0</v>
      </c>
      <c r="AB57" s="226"/>
      <c r="AC57" s="227">
        <f t="shared" si="5"/>
        <v>3.2</v>
      </c>
      <c r="AD57" s="105" t="str">
        <f>VLOOKUP(C57,'BTH mủ tạp'!$D$17:$AN$160,37,0)</f>
        <v>A</v>
      </c>
      <c r="AE57" s="106"/>
      <c r="AF57" s="90"/>
      <c r="AG57" s="73"/>
      <c r="AH57" s="73"/>
      <c r="AI57" s="72"/>
      <c r="AJ57" s="73"/>
      <c r="AK57" s="73"/>
      <c r="AL57" s="73"/>
      <c r="AM57" s="73"/>
      <c r="AN57" s="73"/>
      <c r="AO57" s="73"/>
    </row>
    <row r="58" spans="1:41" ht="18.75" customHeight="1">
      <c r="A58" s="103">
        <v>48</v>
      </c>
      <c r="B58" s="221" t="str">
        <f>'Chấm công KT'!C60</f>
        <v>03494</v>
      </c>
      <c r="C58" s="189" t="str">
        <f>'Chấm công KT'!D60</f>
        <v>T. Đi</v>
      </c>
      <c r="D58" s="103" t="s">
        <v>35</v>
      </c>
      <c r="E58" s="231">
        <f t="shared" si="2"/>
        <v>3.2</v>
      </c>
      <c r="F58" s="231"/>
      <c r="G58" s="231"/>
      <c r="H58" s="231"/>
      <c r="I58" s="231"/>
      <c r="J58" s="222"/>
      <c r="K58" s="172"/>
      <c r="L58" s="172"/>
      <c r="M58" s="222"/>
      <c r="N58" s="222"/>
      <c r="O58" s="232"/>
      <c r="P58" s="104"/>
      <c r="Q58" s="223">
        <f t="shared" si="3"/>
        <v>3.2</v>
      </c>
      <c r="R58" s="569">
        <f>VLOOKUP(C58,'BTH mủ tạp'!D64:AK144,34,0)</f>
        <v>3767</v>
      </c>
      <c r="S58" s="222"/>
      <c r="T58" s="164">
        <f t="shared" si="6"/>
        <v>0</v>
      </c>
      <c r="U58" s="225">
        <f t="shared" si="4"/>
        <v>3767</v>
      </c>
      <c r="V58" s="522">
        <f>VLOOKUP(C58,'Chấm công KT'!D60:AK140,34,0)</f>
        <v>26</v>
      </c>
      <c r="W58" s="522">
        <f>VLOOKUP(C58,'Chấm công KT'!D60:AL140,35,0)</f>
        <v>2</v>
      </c>
      <c r="X58" s="523"/>
      <c r="Y58" s="522">
        <f>VLOOKUP(C58,'Chấm công KT'!D60:AN140,37,0)</f>
        <v>2</v>
      </c>
      <c r="Z58" s="522">
        <f>VLOOKUP(C58,'Chấm công KT'!$D$13:$AO$92,38,0)</f>
        <v>0</v>
      </c>
      <c r="AA58" s="522">
        <f>VLOOKUP(C58,'Chấm công KT'!$D$13:$AP$92,39,0)</f>
        <v>0</v>
      </c>
      <c r="AB58" s="226"/>
      <c r="AC58" s="227">
        <f t="shared" si="5"/>
        <v>3.2</v>
      </c>
      <c r="AD58" s="105" t="str">
        <f>VLOOKUP(C58,'BTH mủ tạp'!$D$17:$AN$160,37,0)</f>
        <v>A</v>
      </c>
      <c r="AE58" s="106"/>
      <c r="AF58" s="90"/>
      <c r="AH58" s="73"/>
      <c r="AI58" s="72"/>
      <c r="AJ58" s="73"/>
      <c r="AK58" s="73"/>
      <c r="AL58" s="73"/>
      <c r="AM58" s="73"/>
      <c r="AN58" s="73"/>
      <c r="AO58" s="73"/>
    </row>
    <row r="59" spans="1:41" ht="18.75" customHeight="1">
      <c r="A59" s="188">
        <v>49</v>
      </c>
      <c r="B59" s="221" t="str">
        <f>'Chấm công KT'!C61</f>
        <v>03495</v>
      </c>
      <c r="C59" s="189" t="str">
        <f>'Chấm công KT'!D61</f>
        <v>N. On Xi</v>
      </c>
      <c r="D59" s="103" t="s">
        <v>35</v>
      </c>
      <c r="E59" s="231">
        <f t="shared" si="2"/>
        <v>3.2</v>
      </c>
      <c r="F59" s="231"/>
      <c r="G59" s="231"/>
      <c r="H59" s="231"/>
      <c r="I59" s="231"/>
      <c r="J59" s="222"/>
      <c r="K59" s="172"/>
      <c r="L59" s="172"/>
      <c r="M59" s="222"/>
      <c r="N59" s="222"/>
      <c r="O59" s="232"/>
      <c r="P59" s="104"/>
      <c r="Q59" s="223">
        <f t="shared" si="3"/>
        <v>3.2</v>
      </c>
      <c r="R59" s="569">
        <f>VLOOKUP(C59,'BTH mủ tạp'!D65:AK145,34,0)</f>
        <v>4077</v>
      </c>
      <c r="S59" s="222"/>
      <c r="T59" s="164">
        <f t="shared" si="6"/>
        <v>0</v>
      </c>
      <c r="U59" s="225">
        <f t="shared" si="4"/>
        <v>4077</v>
      </c>
      <c r="V59" s="522">
        <f>VLOOKUP(C59,'Chấm công KT'!D61:AK141,34,0)</f>
        <v>25</v>
      </c>
      <c r="W59" s="522">
        <f>VLOOKUP(C59,'Chấm công KT'!D61:AL141,35,0)</f>
        <v>1</v>
      </c>
      <c r="X59" s="523"/>
      <c r="Y59" s="522">
        <f>VLOOKUP(C59,'Chấm công KT'!D61:AN141,37,0)</f>
        <v>2</v>
      </c>
      <c r="Z59" s="522">
        <f>VLOOKUP(C59,'Chấm công KT'!$D$13:$AO$92,38,0)</f>
        <v>0</v>
      </c>
      <c r="AA59" s="522">
        <f>VLOOKUP(C59,'Chấm công KT'!$D$13:$AP$92,39,0)</f>
        <v>0</v>
      </c>
      <c r="AB59" s="226"/>
      <c r="AC59" s="227">
        <f t="shared" si="5"/>
        <v>3.2</v>
      </c>
      <c r="AD59" s="105" t="str">
        <f>VLOOKUP(C59,'BTH mủ tạp'!$D$17:$AN$160,37,0)</f>
        <v>A</v>
      </c>
      <c r="AE59" s="106"/>
      <c r="AF59" s="90"/>
      <c r="AH59" s="73"/>
      <c r="AI59" s="72"/>
      <c r="AJ59" s="73"/>
      <c r="AK59" s="73"/>
      <c r="AL59" s="73"/>
      <c r="AM59" s="73"/>
      <c r="AN59" s="73"/>
      <c r="AO59" s="73"/>
    </row>
    <row r="60" spans="1:41" ht="18.75" customHeight="1">
      <c r="A60" s="103">
        <v>50</v>
      </c>
      <c r="B60" s="221" t="str">
        <f>'Chấm công KT'!C62</f>
        <v>04062</v>
      </c>
      <c r="C60" s="189" t="str">
        <f>'Chấm công KT'!D62</f>
        <v>N. Thông La</v>
      </c>
      <c r="D60" s="103" t="s">
        <v>35</v>
      </c>
      <c r="E60" s="231">
        <f t="shared" si="2"/>
        <v>3.2</v>
      </c>
      <c r="F60" s="231"/>
      <c r="G60" s="231"/>
      <c r="H60" s="231"/>
      <c r="I60" s="231"/>
      <c r="J60" s="222"/>
      <c r="K60" s="172"/>
      <c r="L60" s="172"/>
      <c r="M60" s="108"/>
      <c r="N60" s="222"/>
      <c r="O60" s="232"/>
      <c r="P60" s="104"/>
      <c r="Q60" s="223">
        <f t="shared" si="3"/>
        <v>3.2</v>
      </c>
      <c r="R60" s="569">
        <f>VLOOKUP(C60,'BTH mủ tạp'!D66:AK146,34,0)</f>
        <v>4948</v>
      </c>
      <c r="S60" s="222"/>
      <c r="T60" s="164">
        <f t="shared" si="6"/>
        <v>0</v>
      </c>
      <c r="U60" s="225">
        <f t="shared" si="4"/>
        <v>4948</v>
      </c>
      <c r="V60" s="522">
        <f>VLOOKUP(C60,'Chấm công KT'!D62:AK142,34,0)</f>
        <v>26</v>
      </c>
      <c r="W60" s="522">
        <f>VLOOKUP(C60,'Chấm công KT'!D62:AL142,35,0)</f>
        <v>2</v>
      </c>
      <c r="X60" s="523"/>
      <c r="Y60" s="522">
        <f>VLOOKUP(C60,'Chấm công KT'!D62:AN142,37,0)</f>
        <v>2</v>
      </c>
      <c r="Z60" s="522">
        <f>VLOOKUP(C60,'Chấm công KT'!$D$13:$AO$92,38,0)</f>
        <v>0</v>
      </c>
      <c r="AA60" s="522">
        <f>VLOOKUP(C60,'Chấm công KT'!$D$13:$AP$92,39,0)</f>
        <v>0</v>
      </c>
      <c r="AB60" s="226"/>
      <c r="AC60" s="227">
        <f t="shared" si="5"/>
        <v>3.2</v>
      </c>
      <c r="AD60" s="105" t="str">
        <f>VLOOKUP(C60,'BTH mủ tạp'!$D$17:$AN$160,37,0)</f>
        <v>A</v>
      </c>
      <c r="AE60" s="106"/>
      <c r="AF60" s="90"/>
      <c r="AH60" s="73"/>
      <c r="AI60" s="72"/>
      <c r="AJ60" s="73"/>
      <c r="AK60" s="73"/>
      <c r="AL60" s="73"/>
      <c r="AM60" s="73"/>
      <c r="AN60" s="73"/>
      <c r="AO60" s="73"/>
    </row>
    <row r="61" spans="1:41" ht="18.75" customHeight="1">
      <c r="A61" s="188">
        <v>51</v>
      </c>
      <c r="B61" s="221" t="str">
        <f>'Chấm công KT'!C63</f>
        <v>03497</v>
      </c>
      <c r="C61" s="189" t="str">
        <f>'Chấm công KT'!D63</f>
        <v>T. Son Xay</v>
      </c>
      <c r="D61" s="103" t="s">
        <v>35</v>
      </c>
      <c r="E61" s="231">
        <f t="shared" si="2"/>
        <v>3.2</v>
      </c>
      <c r="F61" s="231"/>
      <c r="G61" s="231"/>
      <c r="H61" s="231"/>
      <c r="I61" s="231"/>
      <c r="J61" s="222"/>
      <c r="K61" s="172"/>
      <c r="L61" s="172"/>
      <c r="M61" s="222"/>
      <c r="N61" s="222"/>
      <c r="O61" s="232"/>
      <c r="P61" s="104"/>
      <c r="Q61" s="223">
        <f t="shared" si="3"/>
        <v>3.2</v>
      </c>
      <c r="R61" s="569">
        <f>VLOOKUP(C61,'BTH mủ tạp'!D67:AK147,34,0)</f>
        <v>4745</v>
      </c>
      <c r="S61" s="222"/>
      <c r="T61" s="164">
        <f t="shared" si="6"/>
        <v>0</v>
      </c>
      <c r="U61" s="225">
        <f t="shared" si="4"/>
        <v>4745</v>
      </c>
      <c r="V61" s="522">
        <f>VLOOKUP(C61,'Chấm công KT'!D63:AK143,34,0)</f>
        <v>24</v>
      </c>
      <c r="W61" s="522">
        <f>VLOOKUP(C61,'Chấm công KT'!D63:AL143,35,0)</f>
        <v>2</v>
      </c>
      <c r="X61" s="523"/>
      <c r="Y61" s="522">
        <f>VLOOKUP(C61,'Chấm công KT'!D63:AN143,37,0)</f>
        <v>2</v>
      </c>
      <c r="Z61" s="522">
        <f>VLOOKUP(C61,'Chấm công KT'!$D$13:$AO$92,38,0)</f>
        <v>0</v>
      </c>
      <c r="AA61" s="522">
        <f>VLOOKUP(C61,'Chấm công KT'!$D$13:$AP$92,39,0)</f>
        <v>0</v>
      </c>
      <c r="AB61" s="226"/>
      <c r="AC61" s="227">
        <f t="shared" si="5"/>
        <v>3.2</v>
      </c>
      <c r="AD61" s="105" t="str">
        <f>VLOOKUP(C61,'BTH mủ tạp'!$D$17:$AN$160,37,0)</f>
        <v>A</v>
      </c>
      <c r="AE61" s="106"/>
      <c r="AF61" s="90"/>
      <c r="AH61" s="73"/>
      <c r="AI61" s="72"/>
      <c r="AJ61" s="73"/>
      <c r="AK61" s="73"/>
      <c r="AL61" s="73"/>
      <c r="AM61" s="73"/>
      <c r="AN61" s="73"/>
      <c r="AO61" s="73"/>
    </row>
    <row r="62" spans="1:41" ht="18.75" customHeight="1">
      <c r="A62" s="103">
        <v>52</v>
      </c>
      <c r="B62" s="221" t="str">
        <f>'Chấm công KT'!C64</f>
        <v>03498</v>
      </c>
      <c r="C62" s="189" t="str">
        <f>'Chấm công KT'!D64</f>
        <v>N. Lăm Phay</v>
      </c>
      <c r="D62" s="103" t="s">
        <v>35</v>
      </c>
      <c r="E62" s="231">
        <f t="shared" si="2"/>
        <v>3.2</v>
      </c>
      <c r="F62" s="231"/>
      <c r="G62" s="231"/>
      <c r="H62" s="231"/>
      <c r="I62" s="231"/>
      <c r="J62" s="222"/>
      <c r="K62" s="172"/>
      <c r="L62" s="108"/>
      <c r="M62" s="108"/>
      <c r="N62" s="104"/>
      <c r="O62" s="104"/>
      <c r="P62" s="104"/>
      <c r="Q62" s="223">
        <f t="shared" si="3"/>
        <v>3.2</v>
      </c>
      <c r="R62" s="569">
        <f>VLOOKUP(C62,'BTH mủ tạp'!D68:AK148,34,0)</f>
        <v>4624</v>
      </c>
      <c r="S62" s="222"/>
      <c r="T62" s="164">
        <f t="shared" si="6"/>
        <v>0</v>
      </c>
      <c r="U62" s="225">
        <f t="shared" si="4"/>
        <v>4624</v>
      </c>
      <c r="V62" s="522">
        <f>VLOOKUP(C62,'Chấm công KT'!D64:AK144,34,0)</f>
        <v>25</v>
      </c>
      <c r="W62" s="522">
        <f>VLOOKUP(C62,'Chấm công KT'!D64:AL144,35,0)</f>
        <v>2</v>
      </c>
      <c r="X62" s="523"/>
      <c r="Y62" s="522">
        <f>VLOOKUP(C62,'Chấm công KT'!D64:AN144,37,0)</f>
        <v>2</v>
      </c>
      <c r="Z62" s="522">
        <f>VLOOKUP(C62,'Chấm công KT'!$D$13:$AO$92,38,0)</f>
        <v>0</v>
      </c>
      <c r="AA62" s="522">
        <f>VLOOKUP(C62,'Chấm công KT'!$D$13:$AP$92,39,0)</f>
        <v>0</v>
      </c>
      <c r="AB62" s="226"/>
      <c r="AC62" s="227">
        <f t="shared" si="5"/>
        <v>3.2</v>
      </c>
      <c r="AD62" s="105" t="str">
        <f>VLOOKUP(C62,'BTH mủ tạp'!$D$17:$AN$160,37,0)</f>
        <v>A</v>
      </c>
      <c r="AE62" s="106"/>
      <c r="AF62" s="90"/>
      <c r="AH62" s="73"/>
      <c r="AI62" s="72"/>
      <c r="AJ62" s="73"/>
      <c r="AK62" s="73"/>
      <c r="AL62" s="73"/>
      <c r="AM62" s="73"/>
      <c r="AN62" s="73"/>
      <c r="AO62" s="73"/>
    </row>
    <row r="63" spans="1:41" ht="18.75" customHeight="1">
      <c r="A63" s="188">
        <v>53</v>
      </c>
      <c r="B63" s="221" t="str">
        <f>'Chấm công KT'!C65</f>
        <v>02706</v>
      </c>
      <c r="C63" s="189" t="str">
        <f>'Chấm công KT'!D65</f>
        <v>T. Nhung</v>
      </c>
      <c r="D63" s="103" t="s">
        <v>35</v>
      </c>
      <c r="E63" s="231">
        <f t="shared" si="2"/>
        <v>3.2</v>
      </c>
      <c r="F63" s="231"/>
      <c r="G63" s="231"/>
      <c r="H63" s="231"/>
      <c r="I63" s="231"/>
      <c r="J63" s="222"/>
      <c r="K63" s="172"/>
      <c r="L63" s="172"/>
      <c r="M63" s="222"/>
      <c r="N63" s="222"/>
      <c r="O63" s="232"/>
      <c r="P63" s="104"/>
      <c r="Q63" s="223">
        <f t="shared" si="3"/>
        <v>3.2</v>
      </c>
      <c r="R63" s="569">
        <f>VLOOKUP(C63,'BTH mủ tạp'!D69:AK149,34,0)</f>
        <v>4380</v>
      </c>
      <c r="S63" s="222"/>
      <c r="T63" s="164">
        <f>S63*50/100</f>
        <v>0</v>
      </c>
      <c r="U63" s="225">
        <f t="shared" si="4"/>
        <v>4380</v>
      </c>
      <c r="V63" s="522">
        <f>VLOOKUP(C63,'Chấm công KT'!D65:AK145,34,0)</f>
        <v>26</v>
      </c>
      <c r="W63" s="522">
        <f>VLOOKUP(C63,'Chấm công KT'!D65:AL145,35,0)</f>
        <v>2</v>
      </c>
      <c r="X63" s="523"/>
      <c r="Y63" s="522">
        <f>VLOOKUP(C63,'Chấm công KT'!D65:AN145,37,0)</f>
        <v>2</v>
      </c>
      <c r="Z63" s="522">
        <f>VLOOKUP(C63,'Chấm công KT'!$D$13:$AO$92,38,0)</f>
        <v>0</v>
      </c>
      <c r="AA63" s="522">
        <f>VLOOKUP(C63,'Chấm công KT'!$D$13:$AP$92,39,0)</f>
        <v>0</v>
      </c>
      <c r="AB63" s="226"/>
      <c r="AC63" s="227">
        <f t="shared" si="5"/>
        <v>3.2</v>
      </c>
      <c r="AD63" s="105" t="str">
        <f>VLOOKUP(C63,'BTH mủ tạp'!$D$17:$AN$160,37,0)</f>
        <v>A</v>
      </c>
      <c r="AE63" s="106"/>
      <c r="AF63" s="90"/>
      <c r="AH63" s="73"/>
      <c r="AI63" s="72"/>
      <c r="AJ63" s="73"/>
      <c r="AK63" s="73"/>
      <c r="AL63" s="73"/>
      <c r="AM63" s="73"/>
      <c r="AN63" s="73"/>
      <c r="AO63" s="73"/>
    </row>
    <row r="64" spans="1:41" ht="18.75" customHeight="1">
      <c r="A64" s="103">
        <v>54</v>
      </c>
      <c r="B64" s="221">
        <f>'Chấm công KT'!C66</f>
        <v>0</v>
      </c>
      <c r="C64" s="189" t="str">
        <f>'Chấm công KT'!D66</f>
        <v>N. In Ton</v>
      </c>
      <c r="D64" s="103" t="s">
        <v>35</v>
      </c>
      <c r="E64" s="231">
        <f t="shared" si="2"/>
        <v>3.2</v>
      </c>
      <c r="F64" s="231"/>
      <c r="G64" s="231"/>
      <c r="H64" s="231"/>
      <c r="I64" s="231"/>
      <c r="J64" s="222"/>
      <c r="K64" s="172"/>
      <c r="L64" s="172"/>
      <c r="M64" s="222"/>
      <c r="N64" s="222"/>
      <c r="O64" s="232"/>
      <c r="P64" s="104"/>
      <c r="Q64" s="223">
        <f t="shared" si="3"/>
        <v>3.2</v>
      </c>
      <c r="R64" s="569">
        <f>VLOOKUP(C64,'BTH mủ tạp'!D70:AK150,34,0)</f>
        <v>3829</v>
      </c>
      <c r="S64" s="222"/>
      <c r="T64" s="164">
        <f t="shared" si="6"/>
        <v>0</v>
      </c>
      <c r="U64" s="225">
        <f t="shared" si="4"/>
        <v>3829</v>
      </c>
      <c r="V64" s="522">
        <f>VLOOKUP(C64,'Chấm công KT'!D66:AK146,34,0)</f>
        <v>26</v>
      </c>
      <c r="W64" s="522">
        <f>VLOOKUP(C64,'Chấm công KT'!D66:AL146,35,0)</f>
        <v>2</v>
      </c>
      <c r="X64" s="523"/>
      <c r="Y64" s="522">
        <f>VLOOKUP(C64,'Chấm công KT'!D66:AN146,37,0)</f>
        <v>2</v>
      </c>
      <c r="Z64" s="522">
        <f>VLOOKUP(C64,'Chấm công KT'!$D$13:$AO$92,38,0)</f>
        <v>0</v>
      </c>
      <c r="AA64" s="522">
        <f>VLOOKUP(C64,'Chấm công KT'!$D$13:$AP$92,39,0)</f>
        <v>0</v>
      </c>
      <c r="AB64" s="226"/>
      <c r="AC64" s="227">
        <f t="shared" si="5"/>
        <v>3.2</v>
      </c>
      <c r="AD64" s="105" t="str">
        <f>VLOOKUP(C64,'BTH mủ tạp'!$D$17:$AN$160,37,0)</f>
        <v>A</v>
      </c>
      <c r="AE64" s="106"/>
      <c r="AF64" s="90"/>
      <c r="AH64" s="73"/>
      <c r="AI64" s="72"/>
      <c r="AJ64" s="73"/>
      <c r="AK64" s="73"/>
      <c r="AL64" s="73"/>
      <c r="AM64" s="73"/>
      <c r="AN64" s="73"/>
      <c r="AO64" s="73"/>
    </row>
    <row r="65" spans="1:41" ht="18.75" customHeight="1">
      <c r="A65" s="188">
        <v>55</v>
      </c>
      <c r="B65" s="221" t="str">
        <f>'Chấm công KT'!C67</f>
        <v>04064</v>
      </c>
      <c r="C65" s="189" t="str">
        <f>'Chấm công KT'!D67</f>
        <v>N. Khay Chăn</v>
      </c>
      <c r="D65" s="103" t="s">
        <v>35</v>
      </c>
      <c r="E65" s="231">
        <f t="shared" si="2"/>
        <v>3.2</v>
      </c>
      <c r="F65" s="231"/>
      <c r="G65" s="231"/>
      <c r="H65" s="231"/>
      <c r="I65" s="231"/>
      <c r="J65" s="222"/>
      <c r="K65" s="172"/>
      <c r="L65" s="108"/>
      <c r="M65" s="108"/>
      <c r="N65" s="104"/>
      <c r="O65" s="104"/>
      <c r="P65" s="104"/>
      <c r="Q65" s="223">
        <f t="shared" si="3"/>
        <v>3.2</v>
      </c>
      <c r="R65" s="569">
        <f>VLOOKUP(C65,'BTH mủ tạp'!D71:AK151,34,0)</f>
        <v>4903</v>
      </c>
      <c r="S65" s="222"/>
      <c r="T65" s="164">
        <f t="shared" si="6"/>
        <v>0</v>
      </c>
      <c r="U65" s="225">
        <f t="shared" si="4"/>
        <v>4903</v>
      </c>
      <c r="V65" s="522">
        <f>VLOOKUP(C65,'Chấm công KT'!D67:AK147,34,0)</f>
        <v>26</v>
      </c>
      <c r="W65" s="522">
        <f>VLOOKUP(C65,'Chấm công KT'!D67:AL147,35,0)</f>
        <v>2</v>
      </c>
      <c r="X65" s="523"/>
      <c r="Y65" s="522">
        <f>VLOOKUP(C65,'Chấm công KT'!D67:AN147,37,0)</f>
        <v>2</v>
      </c>
      <c r="Z65" s="522">
        <f>VLOOKUP(C65,'Chấm công KT'!$D$13:$AO$92,38,0)</f>
        <v>0</v>
      </c>
      <c r="AA65" s="522">
        <f>VLOOKUP(C65,'Chấm công KT'!$D$13:$AP$92,39,0)</f>
        <v>0</v>
      </c>
      <c r="AB65" s="226"/>
      <c r="AC65" s="227">
        <f t="shared" si="5"/>
        <v>3.2</v>
      </c>
      <c r="AD65" s="105" t="str">
        <f>VLOOKUP(C65,'BTH mủ tạp'!$D$17:$AN$160,37,0)</f>
        <v>A</v>
      </c>
      <c r="AE65" s="106"/>
      <c r="AF65" s="90"/>
      <c r="AH65" s="73"/>
      <c r="AI65" s="72"/>
      <c r="AJ65" s="73"/>
      <c r="AK65" s="73"/>
      <c r="AL65" s="73"/>
      <c r="AM65" s="73"/>
      <c r="AN65" s="73"/>
      <c r="AO65" s="73"/>
    </row>
    <row r="66" spans="1:41" ht="18.75" customHeight="1">
      <c r="A66" s="103">
        <v>56</v>
      </c>
      <c r="B66" s="221" t="str">
        <f>'Chấm công KT'!C68</f>
        <v>03501</v>
      </c>
      <c r="C66" s="189" t="str">
        <f>'Chấm công KT'!D68</f>
        <v>T Dăn</v>
      </c>
      <c r="D66" s="103" t="s">
        <v>35</v>
      </c>
      <c r="E66" s="231">
        <f t="shared" si="2"/>
        <v>3.2</v>
      </c>
      <c r="F66" s="231"/>
      <c r="G66" s="231"/>
      <c r="H66" s="231"/>
      <c r="I66" s="231"/>
      <c r="J66" s="222"/>
      <c r="K66" s="172"/>
      <c r="L66" s="172"/>
      <c r="M66" s="222"/>
      <c r="N66" s="222"/>
      <c r="O66" s="232"/>
      <c r="P66" s="104"/>
      <c r="Q66" s="223">
        <f t="shared" si="3"/>
        <v>3.2</v>
      </c>
      <c r="R66" s="569">
        <f>VLOOKUP(C66,'BTH mủ tạp'!D72:AK152,34,0)</f>
        <v>3499</v>
      </c>
      <c r="S66" s="222"/>
      <c r="T66" s="164">
        <f t="shared" si="6"/>
        <v>0</v>
      </c>
      <c r="U66" s="225">
        <f t="shared" si="4"/>
        <v>3499</v>
      </c>
      <c r="V66" s="522">
        <f>VLOOKUP(C66,'Chấm công KT'!D68:AK148,34,0)</f>
        <v>25</v>
      </c>
      <c r="W66" s="522">
        <f>VLOOKUP(C66,'Chấm công KT'!D68:AL148,35,0)</f>
        <v>2</v>
      </c>
      <c r="X66" s="523"/>
      <c r="Y66" s="522">
        <f>VLOOKUP(C66,'Chấm công KT'!D68:AN148,37,0)</f>
        <v>2</v>
      </c>
      <c r="Z66" s="522">
        <f>VLOOKUP(C66,'Chấm công KT'!$D$13:$AO$92,38,0)</f>
        <v>0</v>
      </c>
      <c r="AA66" s="522">
        <f>VLOOKUP(C66,'Chấm công KT'!$D$13:$AP$92,39,0)</f>
        <v>0</v>
      </c>
      <c r="AB66" s="226"/>
      <c r="AC66" s="227">
        <f t="shared" si="5"/>
        <v>3.2</v>
      </c>
      <c r="AD66" s="105" t="str">
        <f>VLOOKUP(C66,'BTH mủ tạp'!$D$17:$AN$160,37,0)</f>
        <v>A</v>
      </c>
      <c r="AE66" s="106"/>
      <c r="AF66" s="90"/>
      <c r="AH66" s="73"/>
      <c r="AI66" s="76"/>
      <c r="AJ66" s="73"/>
      <c r="AK66" s="73"/>
      <c r="AL66" s="73"/>
      <c r="AM66" s="73"/>
      <c r="AN66" s="73"/>
      <c r="AO66" s="73"/>
    </row>
    <row r="67" spans="1:41" ht="18.75" customHeight="1">
      <c r="A67" s="188">
        <v>57</v>
      </c>
      <c r="B67" s="221" t="str">
        <f>'Chấm công KT'!C69</f>
        <v>03502</v>
      </c>
      <c r="C67" s="189" t="str">
        <f>'Chấm công KT'!D69</f>
        <v>T. Xợt</v>
      </c>
      <c r="D67" s="103" t="s">
        <v>35</v>
      </c>
      <c r="E67" s="231">
        <f t="shared" si="2"/>
        <v>3.2</v>
      </c>
      <c r="F67" s="231"/>
      <c r="G67" s="231"/>
      <c r="H67" s="231"/>
      <c r="I67" s="231"/>
      <c r="J67" s="222"/>
      <c r="K67" s="172"/>
      <c r="L67" s="172"/>
      <c r="M67" s="222"/>
      <c r="N67" s="222"/>
      <c r="O67" s="232"/>
      <c r="P67" s="104"/>
      <c r="Q67" s="223">
        <f t="shared" si="3"/>
        <v>3.2</v>
      </c>
      <c r="R67" s="569">
        <f>VLOOKUP(C67,'BTH mủ tạp'!D73:AK153,34,0)</f>
        <v>3833</v>
      </c>
      <c r="S67" s="222"/>
      <c r="T67" s="164">
        <f t="shared" si="6"/>
        <v>0</v>
      </c>
      <c r="U67" s="225">
        <f t="shared" si="4"/>
        <v>3833</v>
      </c>
      <c r="V67" s="522">
        <f>VLOOKUP(C67,'Chấm công KT'!D69:AK149,34,0)</f>
        <v>26</v>
      </c>
      <c r="W67" s="522">
        <f>VLOOKUP(C67,'Chấm công KT'!D69:AL149,35,0)</f>
        <v>2</v>
      </c>
      <c r="X67" s="523"/>
      <c r="Y67" s="522">
        <f>VLOOKUP(C67,'Chấm công KT'!D69:AN149,37,0)</f>
        <v>2</v>
      </c>
      <c r="Z67" s="522">
        <f>VLOOKUP(C67,'Chấm công KT'!$D$13:$AO$92,38,0)</f>
        <v>0</v>
      </c>
      <c r="AA67" s="522">
        <f>VLOOKUP(C67,'Chấm công KT'!$D$13:$AP$92,39,0)</f>
        <v>0</v>
      </c>
      <c r="AB67" s="226"/>
      <c r="AC67" s="227">
        <f t="shared" si="5"/>
        <v>3.2</v>
      </c>
      <c r="AD67" s="105" t="str">
        <f>VLOOKUP(C67,'BTH mủ tạp'!$D$17:$AN$160,37,0)</f>
        <v>A</v>
      </c>
      <c r="AE67" s="106"/>
      <c r="AF67" s="90"/>
      <c r="AH67" s="73"/>
      <c r="AI67" s="72"/>
      <c r="AJ67" s="73"/>
      <c r="AK67" s="73"/>
      <c r="AL67" s="73"/>
      <c r="AM67" s="73"/>
      <c r="AN67" s="73"/>
      <c r="AO67" s="73"/>
    </row>
    <row r="68" spans="1:41" ht="18.75" customHeight="1">
      <c r="A68" s="103">
        <v>58</v>
      </c>
      <c r="B68" s="221" t="str">
        <f>'Chấm công KT'!C70</f>
        <v>04065</v>
      </c>
      <c r="C68" s="189" t="str">
        <f>'Chấm công KT'!D70</f>
        <v>N. Phết 2</v>
      </c>
      <c r="D68" s="103" t="s">
        <v>35</v>
      </c>
      <c r="E68" s="231">
        <f t="shared" si="2"/>
        <v>3.2</v>
      </c>
      <c r="F68" s="231"/>
      <c r="G68" s="231"/>
      <c r="H68" s="231"/>
      <c r="I68" s="231"/>
      <c r="J68" s="222"/>
      <c r="K68" s="172"/>
      <c r="L68" s="172"/>
      <c r="M68" s="222"/>
      <c r="N68" s="222"/>
      <c r="O68" s="232"/>
      <c r="P68" s="104"/>
      <c r="Q68" s="223">
        <f t="shared" si="3"/>
        <v>3.2</v>
      </c>
      <c r="R68" s="569">
        <f>VLOOKUP(C68,'BTH mủ tạp'!D74:AK154,34,0)</f>
        <v>4120</v>
      </c>
      <c r="S68" s="222"/>
      <c r="T68" s="164">
        <f t="shared" si="6"/>
        <v>0</v>
      </c>
      <c r="U68" s="225">
        <f t="shared" si="4"/>
        <v>4120</v>
      </c>
      <c r="V68" s="522">
        <f>VLOOKUP(C68,'Chấm công KT'!D70:AK150,34,0)</f>
        <v>26</v>
      </c>
      <c r="W68" s="522">
        <f>VLOOKUP(C68,'Chấm công KT'!D70:AL150,35,0)</f>
        <v>2</v>
      </c>
      <c r="X68" s="523"/>
      <c r="Y68" s="522">
        <f>VLOOKUP(C68,'Chấm công KT'!D70:AN150,37,0)</f>
        <v>2</v>
      </c>
      <c r="Z68" s="522">
        <f>VLOOKUP(C68,'Chấm công KT'!$D$13:$AO$92,38,0)</f>
        <v>0</v>
      </c>
      <c r="AA68" s="522">
        <f>VLOOKUP(C68,'Chấm công KT'!$D$13:$AP$92,39,0)</f>
        <v>0</v>
      </c>
      <c r="AB68" s="226"/>
      <c r="AC68" s="227">
        <f t="shared" si="5"/>
        <v>3.2</v>
      </c>
      <c r="AD68" s="105" t="str">
        <f>VLOOKUP(C68,'BTH mủ tạp'!$D$17:$AN$160,37,0)</f>
        <v>A</v>
      </c>
      <c r="AE68" s="106"/>
      <c r="AF68" s="90"/>
      <c r="AH68" s="77"/>
      <c r="AI68" s="78"/>
      <c r="AJ68" s="77"/>
      <c r="AK68" s="77"/>
      <c r="AL68" s="73"/>
      <c r="AM68" s="77"/>
      <c r="AN68" s="77"/>
      <c r="AO68" s="73"/>
    </row>
    <row r="69" spans="1:41" ht="18.75" customHeight="1">
      <c r="A69" s="188">
        <v>59</v>
      </c>
      <c r="B69" s="221" t="str">
        <f>'Chấm công KT'!C71</f>
        <v>03504</v>
      </c>
      <c r="C69" s="189" t="str">
        <f>'Chấm công KT'!D71</f>
        <v>T. Cạp</v>
      </c>
      <c r="D69" s="103" t="s">
        <v>35</v>
      </c>
      <c r="E69" s="231">
        <f t="shared" si="2"/>
        <v>3.2</v>
      </c>
      <c r="F69" s="231"/>
      <c r="G69" s="231"/>
      <c r="H69" s="231"/>
      <c r="I69" s="231"/>
      <c r="J69" s="222"/>
      <c r="K69" s="172"/>
      <c r="L69" s="172"/>
      <c r="M69" s="222"/>
      <c r="N69" s="222"/>
      <c r="O69" s="232"/>
      <c r="P69" s="104"/>
      <c r="Q69" s="223">
        <f t="shared" si="3"/>
        <v>3.2</v>
      </c>
      <c r="R69" s="569">
        <f>VLOOKUP(C69,'BTH mủ tạp'!D75:AK155,34,0)</f>
        <v>3308</v>
      </c>
      <c r="S69" s="222"/>
      <c r="T69" s="164">
        <f t="shared" si="6"/>
        <v>0</v>
      </c>
      <c r="U69" s="225">
        <f t="shared" si="4"/>
        <v>3308</v>
      </c>
      <c r="V69" s="522">
        <f>VLOOKUP(C69,'Chấm công KT'!D71:AK151,34,0)</f>
        <v>25</v>
      </c>
      <c r="W69" s="522">
        <f>VLOOKUP(C69,'Chấm công KT'!D71:AL151,35,0)</f>
        <v>2</v>
      </c>
      <c r="X69" s="523"/>
      <c r="Y69" s="522">
        <f>VLOOKUP(C69,'Chấm công KT'!D71:AN151,37,0)</f>
        <v>2</v>
      </c>
      <c r="Z69" s="522">
        <f>VLOOKUP(C69,'Chấm công KT'!$D$13:$AO$92,38,0)</f>
        <v>0</v>
      </c>
      <c r="AA69" s="522">
        <f>VLOOKUP(C69,'Chấm công KT'!$D$13:$AP$92,39,0)</f>
        <v>0</v>
      </c>
      <c r="AB69" s="226"/>
      <c r="AC69" s="227">
        <f t="shared" si="5"/>
        <v>3.2</v>
      </c>
      <c r="AD69" s="105" t="str">
        <f>VLOOKUP(C69,'BTH mủ tạp'!$D$17:$AN$160,37,0)</f>
        <v>A</v>
      </c>
      <c r="AE69" s="106"/>
      <c r="AF69" s="90"/>
      <c r="AH69" s="75"/>
      <c r="AI69" s="72"/>
      <c r="AJ69" s="73"/>
      <c r="AK69" s="73"/>
      <c r="AL69" s="73"/>
      <c r="AM69" s="73"/>
      <c r="AN69" s="73"/>
      <c r="AO69" s="73"/>
    </row>
    <row r="70" spans="1:41" ht="18.75" customHeight="1">
      <c r="A70" s="103">
        <v>60</v>
      </c>
      <c r="B70" s="221">
        <f>'Chấm công KT'!C72</f>
        <v>0</v>
      </c>
      <c r="C70" s="189" t="str">
        <f>'Chấm công KT'!D72</f>
        <v>N. Ních</v>
      </c>
      <c r="D70" s="103" t="s">
        <v>35</v>
      </c>
      <c r="E70" s="231">
        <f>4/1.25</f>
        <v>3.2</v>
      </c>
      <c r="F70" s="231"/>
      <c r="G70" s="231"/>
      <c r="H70" s="231"/>
      <c r="I70" s="231"/>
      <c r="J70" s="222"/>
      <c r="K70" s="172"/>
      <c r="L70" s="108"/>
      <c r="M70" s="108"/>
      <c r="N70" s="104"/>
      <c r="O70" s="104"/>
      <c r="P70" s="104"/>
      <c r="Q70" s="223">
        <f t="shared" si="3"/>
        <v>3.2</v>
      </c>
      <c r="R70" s="569">
        <f>VLOOKUP(C70,'BTH mủ tạp'!D76:AK156,34,0)</f>
        <v>3423</v>
      </c>
      <c r="S70" s="222"/>
      <c r="T70" s="164">
        <f t="shared" si="6"/>
        <v>0</v>
      </c>
      <c r="U70" s="225">
        <f t="shared" si="4"/>
        <v>3423</v>
      </c>
      <c r="V70" s="522">
        <f>VLOOKUP(C70,'Chấm công KT'!D72:AK152,34,0)</f>
        <v>25</v>
      </c>
      <c r="W70" s="522">
        <f>VLOOKUP(C70,'Chấm công KT'!D72:AL152,35,0)</f>
        <v>2</v>
      </c>
      <c r="X70" s="523"/>
      <c r="Y70" s="522">
        <f>VLOOKUP(C70,'Chấm công KT'!D72:AN152,37,0)</f>
        <v>2</v>
      </c>
      <c r="Z70" s="522">
        <f>VLOOKUP(C70,'Chấm công KT'!$D$13:$AO$92,38,0)</f>
        <v>0</v>
      </c>
      <c r="AA70" s="522">
        <f>VLOOKUP(C70,'Chấm công KT'!$D$13:$AP$92,39,0)</f>
        <v>0</v>
      </c>
      <c r="AB70" s="226"/>
      <c r="AC70" s="227">
        <f t="shared" si="5"/>
        <v>3.2</v>
      </c>
      <c r="AD70" s="105" t="str">
        <f>VLOOKUP(C70,'BTH mủ tạp'!$D$17:$AN$160,37,0)</f>
        <v>B</v>
      </c>
      <c r="AE70" s="106"/>
      <c r="AF70" s="90"/>
      <c r="AH70" s="75"/>
      <c r="AI70" s="72"/>
      <c r="AJ70" s="73"/>
      <c r="AK70" s="73"/>
      <c r="AL70" s="73"/>
      <c r="AM70" s="73"/>
      <c r="AN70" s="73"/>
      <c r="AO70" s="73"/>
    </row>
    <row r="71" spans="1:41" ht="18.75" customHeight="1">
      <c r="A71" s="188">
        <v>61</v>
      </c>
      <c r="B71" s="221" t="str">
        <f>'Chấm công KT'!C73</f>
        <v>03506</v>
      </c>
      <c r="C71" s="189" t="str">
        <f>'Chấm công KT'!D73</f>
        <v>N. Bua Hom</v>
      </c>
      <c r="D71" s="103" t="s">
        <v>35</v>
      </c>
      <c r="E71" s="231">
        <f t="shared" si="2"/>
        <v>3.2</v>
      </c>
      <c r="F71" s="231"/>
      <c r="G71" s="231"/>
      <c r="H71" s="231"/>
      <c r="I71" s="231"/>
      <c r="J71" s="222"/>
      <c r="K71" s="172"/>
      <c r="L71" s="108"/>
      <c r="M71" s="108"/>
      <c r="N71" s="104"/>
      <c r="O71" s="104"/>
      <c r="P71" s="104"/>
      <c r="Q71" s="223">
        <f t="shared" si="3"/>
        <v>3.2</v>
      </c>
      <c r="R71" s="569">
        <f>VLOOKUP(C71,'BTH mủ tạp'!D77:AK157,34,0)</f>
        <v>4295</v>
      </c>
      <c r="S71" s="222"/>
      <c r="T71" s="164">
        <f t="shared" si="6"/>
        <v>0</v>
      </c>
      <c r="U71" s="225">
        <f t="shared" si="4"/>
        <v>4295</v>
      </c>
      <c r="V71" s="522">
        <f>VLOOKUP(C71,'Chấm công KT'!D73:AK153,34,0)</f>
        <v>25</v>
      </c>
      <c r="W71" s="522">
        <f>VLOOKUP(C71,'Chấm công KT'!D73:AL153,35,0)</f>
        <v>2</v>
      </c>
      <c r="X71" s="523"/>
      <c r="Y71" s="522">
        <f>VLOOKUP(C71,'Chấm công KT'!D73:AN153,37,0)</f>
        <v>2</v>
      </c>
      <c r="Z71" s="522">
        <f>VLOOKUP(C71,'Chấm công KT'!$D$13:$AO$92,38,0)</f>
        <v>0</v>
      </c>
      <c r="AA71" s="522">
        <f>VLOOKUP(C71,'Chấm công KT'!$D$13:$AP$92,39,0)</f>
        <v>0</v>
      </c>
      <c r="AB71" s="226"/>
      <c r="AC71" s="227">
        <f t="shared" si="5"/>
        <v>3.2</v>
      </c>
      <c r="AD71" s="105" t="str">
        <f>VLOOKUP(C71,'BTH mủ tạp'!$D$17:$AN$160,37,0)</f>
        <v>A</v>
      </c>
      <c r="AE71" s="106"/>
      <c r="AF71" s="90"/>
      <c r="AH71" s="75"/>
      <c r="AI71" s="72"/>
      <c r="AJ71" s="73"/>
      <c r="AK71" s="73"/>
      <c r="AL71" s="73"/>
      <c r="AM71" s="73"/>
      <c r="AN71" s="73"/>
      <c r="AO71" s="73"/>
    </row>
    <row r="72" spans="1:41" ht="18.75" customHeight="1">
      <c r="A72" s="103">
        <v>62</v>
      </c>
      <c r="B72" s="221" t="str">
        <f>'Chấm công KT'!C74</f>
        <v>04067</v>
      </c>
      <c r="C72" s="189" t="str">
        <f>'Chấm công KT'!D74</f>
        <v>N. Lăm Phay (2)</v>
      </c>
      <c r="D72" s="103" t="s">
        <v>35</v>
      </c>
      <c r="E72" s="231">
        <f t="shared" si="2"/>
        <v>3.2</v>
      </c>
      <c r="F72" s="231"/>
      <c r="G72" s="231"/>
      <c r="H72" s="231"/>
      <c r="I72" s="231"/>
      <c r="J72" s="222"/>
      <c r="K72" s="172"/>
      <c r="L72" s="108"/>
      <c r="M72" s="108"/>
      <c r="N72" s="104"/>
      <c r="O72" s="104"/>
      <c r="P72" s="104"/>
      <c r="Q72" s="223">
        <f t="shared" si="3"/>
        <v>3.2</v>
      </c>
      <c r="R72" s="569">
        <f>VLOOKUP(C72,'BTH mủ tạp'!D78:AK158,34,0)</f>
        <v>3508</v>
      </c>
      <c r="S72" s="222"/>
      <c r="T72" s="164">
        <f t="shared" si="6"/>
        <v>0</v>
      </c>
      <c r="U72" s="225">
        <f t="shared" si="4"/>
        <v>3508</v>
      </c>
      <c r="V72" s="522">
        <f>VLOOKUP(C72,'Chấm công KT'!D74:AK154,34,0)</f>
        <v>26</v>
      </c>
      <c r="W72" s="522">
        <f>VLOOKUP(C72,'Chấm công KT'!D74:AL154,35,0)</f>
        <v>2</v>
      </c>
      <c r="X72" s="523"/>
      <c r="Y72" s="522">
        <f>VLOOKUP(C72,'Chấm công KT'!D74:AN154,37,0)</f>
        <v>2</v>
      </c>
      <c r="Z72" s="522">
        <f>VLOOKUP(C72,'Chấm công KT'!$D$13:$AO$92,38,0)</f>
        <v>0</v>
      </c>
      <c r="AA72" s="522">
        <f>VLOOKUP(C72,'Chấm công KT'!$D$13:$AP$92,39,0)</f>
        <v>0</v>
      </c>
      <c r="AB72" s="226"/>
      <c r="AC72" s="227">
        <f t="shared" si="5"/>
        <v>3.2</v>
      </c>
      <c r="AD72" s="105" t="str">
        <f>VLOOKUP(C72,'BTH mủ tạp'!$D$17:$AN$160,37,0)</f>
        <v>A</v>
      </c>
      <c r="AE72" s="106"/>
      <c r="AF72" s="90"/>
      <c r="AG72" s="60"/>
      <c r="AH72" s="75"/>
      <c r="AI72" s="72"/>
      <c r="AJ72" s="73"/>
      <c r="AK72" s="73"/>
      <c r="AL72" s="73"/>
      <c r="AM72" s="73"/>
      <c r="AN72" s="73"/>
      <c r="AO72" s="73"/>
    </row>
    <row r="73" spans="1:41" ht="18.75" customHeight="1">
      <c r="A73" s="188">
        <v>63</v>
      </c>
      <c r="B73" s="221" t="str">
        <f>'Chấm công KT'!C75</f>
        <v>03508</v>
      </c>
      <c r="C73" s="189" t="str">
        <f>'Chấm công KT'!D75</f>
        <v>T. Đèng</v>
      </c>
      <c r="D73" s="103" t="s">
        <v>35</v>
      </c>
      <c r="E73" s="231">
        <f t="shared" si="2"/>
        <v>3.2</v>
      </c>
      <c r="F73" s="231"/>
      <c r="G73" s="231"/>
      <c r="H73" s="231"/>
      <c r="I73" s="231"/>
      <c r="J73" s="222"/>
      <c r="K73" s="172"/>
      <c r="L73" s="108"/>
      <c r="M73" s="108"/>
      <c r="N73" s="104"/>
      <c r="O73" s="104"/>
      <c r="P73" s="104"/>
      <c r="Q73" s="223">
        <f t="shared" si="3"/>
        <v>3.2</v>
      </c>
      <c r="R73" s="569">
        <f>VLOOKUP(C73,'BTH mủ tạp'!D79:AK160,34,0)</f>
        <v>3189</v>
      </c>
      <c r="S73" s="222"/>
      <c r="T73" s="164">
        <f t="shared" si="6"/>
        <v>0</v>
      </c>
      <c r="U73" s="225">
        <f t="shared" si="4"/>
        <v>3189</v>
      </c>
      <c r="V73" s="522">
        <f>VLOOKUP(C73,'Chấm công KT'!D75:AK155,34,0)</f>
        <v>26</v>
      </c>
      <c r="W73" s="522">
        <f>VLOOKUP(C73,'Chấm công KT'!D75:AL155,35,0)</f>
        <v>2</v>
      </c>
      <c r="X73" s="523"/>
      <c r="Y73" s="522">
        <f>VLOOKUP(C73,'Chấm công KT'!D75:AN155,37,0)</f>
        <v>2</v>
      </c>
      <c r="Z73" s="522">
        <f>VLOOKUP(C73,'Chấm công KT'!$D$13:$AO$92,38,0)</f>
        <v>0</v>
      </c>
      <c r="AA73" s="522">
        <f>VLOOKUP(C73,'Chấm công KT'!$D$13:$AP$92,39,0)</f>
        <v>0</v>
      </c>
      <c r="AB73" s="226"/>
      <c r="AC73" s="227">
        <f t="shared" si="5"/>
        <v>3.2</v>
      </c>
      <c r="AD73" s="105" t="str">
        <f>VLOOKUP(C73,'BTH mủ tạp'!$D$17:$AN$160,37,0)</f>
        <v>B</v>
      </c>
      <c r="AE73" s="106"/>
      <c r="AF73" s="90"/>
      <c r="AH73" s="75"/>
      <c r="AI73" s="72"/>
      <c r="AJ73" s="73"/>
      <c r="AK73" s="73"/>
      <c r="AL73" s="73"/>
      <c r="AM73" s="73"/>
      <c r="AN73" s="73"/>
      <c r="AO73" s="73"/>
    </row>
    <row r="74" spans="1:41" ht="18.75" customHeight="1">
      <c r="A74" s="103">
        <v>64</v>
      </c>
      <c r="B74" s="221" t="str">
        <f>'Chấm công KT'!C76</f>
        <v>03512</v>
      </c>
      <c r="C74" s="189" t="str">
        <f>'Chấm công KT'!D76</f>
        <v>N. Đon</v>
      </c>
      <c r="D74" s="103" t="s">
        <v>35</v>
      </c>
      <c r="E74" s="231">
        <f t="shared" si="2"/>
        <v>3.2</v>
      </c>
      <c r="F74" s="231"/>
      <c r="G74" s="231"/>
      <c r="H74" s="231"/>
      <c r="I74" s="231"/>
      <c r="J74" s="222"/>
      <c r="K74" s="172"/>
      <c r="L74" s="108"/>
      <c r="M74" s="108"/>
      <c r="N74" s="104"/>
      <c r="O74" s="104"/>
      <c r="P74" s="104"/>
      <c r="Q74" s="223">
        <f t="shared" si="3"/>
        <v>3.2</v>
      </c>
      <c r="R74" s="569">
        <f>VLOOKUP(C74,'BTH mủ tạp'!D80:AK160,34,0)</f>
        <v>3620</v>
      </c>
      <c r="S74" s="222"/>
      <c r="T74" s="164">
        <f t="shared" si="6"/>
        <v>0</v>
      </c>
      <c r="U74" s="225">
        <f t="shared" si="4"/>
        <v>3620</v>
      </c>
      <c r="V74" s="522">
        <f>VLOOKUP(C74,'Chấm công KT'!D76:AK156,34,0)</f>
        <v>25</v>
      </c>
      <c r="W74" s="522">
        <f>VLOOKUP(C74,'Chấm công KT'!D76:AL156,35,0)</f>
        <v>2</v>
      </c>
      <c r="X74" s="523"/>
      <c r="Y74" s="522">
        <f>VLOOKUP(C74,'Chấm công KT'!D76:AN156,37,0)</f>
        <v>2</v>
      </c>
      <c r="Z74" s="522">
        <f>VLOOKUP(C74,'Chấm công KT'!$D$13:$AO$92,38,0)</f>
        <v>0</v>
      </c>
      <c r="AA74" s="522">
        <f>VLOOKUP(C74,'Chấm công KT'!$D$13:$AP$92,39,0)</f>
        <v>0</v>
      </c>
      <c r="AB74" s="226"/>
      <c r="AC74" s="227">
        <f t="shared" si="5"/>
        <v>3.2</v>
      </c>
      <c r="AD74" s="105" t="str">
        <f>VLOOKUP(C74,'BTH mủ tạp'!$D$17:$AN$160,37,0)</f>
        <v>B</v>
      </c>
      <c r="AE74" s="106"/>
      <c r="AF74" s="90"/>
      <c r="AH74" s="75"/>
      <c r="AI74" s="72"/>
      <c r="AJ74" s="73"/>
      <c r="AK74" s="73"/>
      <c r="AL74" s="73"/>
      <c r="AM74" s="73"/>
      <c r="AN74" s="73"/>
      <c r="AO74" s="73"/>
    </row>
    <row r="75" spans="1:41" ht="18.75" customHeight="1">
      <c r="A75" s="188">
        <v>65</v>
      </c>
      <c r="B75" s="221" t="str">
        <f>'Chấm công KT'!C77</f>
        <v>04068</v>
      </c>
      <c r="C75" s="189" t="str">
        <f>'Chấm công KT'!D77</f>
        <v xml:space="preserve">T. La </v>
      </c>
      <c r="D75" s="103" t="s">
        <v>35</v>
      </c>
      <c r="E75" s="231">
        <f t="shared" si="2"/>
        <v>3.2</v>
      </c>
      <c r="F75" s="231"/>
      <c r="G75" s="231"/>
      <c r="H75" s="231"/>
      <c r="I75" s="231"/>
      <c r="J75" s="222"/>
      <c r="K75" s="172"/>
      <c r="L75" s="108"/>
      <c r="M75" s="108"/>
      <c r="N75" s="104"/>
      <c r="O75" s="104"/>
      <c r="P75" s="104"/>
      <c r="Q75" s="223">
        <f t="shared" si="3"/>
        <v>3.2</v>
      </c>
      <c r="R75" s="569">
        <f>VLOOKUP(C75,'BTH mủ tạp'!D81:AK161,34,0)</f>
        <v>3728</v>
      </c>
      <c r="S75" s="222"/>
      <c r="T75" s="164">
        <f t="shared" si="6"/>
        <v>0</v>
      </c>
      <c r="U75" s="225">
        <f t="shared" si="4"/>
        <v>3728</v>
      </c>
      <c r="V75" s="522">
        <f>VLOOKUP(C75,'Chấm công KT'!D77:AK157,34,0)</f>
        <v>25</v>
      </c>
      <c r="W75" s="522">
        <f>VLOOKUP(C75,'Chấm công KT'!D77:AL157,35,0)</f>
        <v>2</v>
      </c>
      <c r="X75" s="523"/>
      <c r="Y75" s="522">
        <f>VLOOKUP(C75,'Chấm công KT'!D77:AN157,37,0)</f>
        <v>2</v>
      </c>
      <c r="Z75" s="522">
        <f>VLOOKUP(C75,'Chấm công KT'!$D$13:$AO$92,38,0)</f>
        <v>0</v>
      </c>
      <c r="AA75" s="522">
        <f>VLOOKUP(C75,'Chấm công KT'!$D$13:$AP$92,39,0)</f>
        <v>0</v>
      </c>
      <c r="AB75" s="226"/>
      <c r="AC75" s="227">
        <f t="shared" si="5"/>
        <v>3.2</v>
      </c>
      <c r="AD75" s="105" t="str">
        <f>VLOOKUP(C75,'BTH mủ tạp'!$D$17:$AN$160,37,0)</f>
        <v>B</v>
      </c>
      <c r="AE75" s="106"/>
      <c r="AF75" s="90"/>
      <c r="AH75" s="75"/>
      <c r="AI75" s="72"/>
      <c r="AJ75" s="73"/>
      <c r="AK75" s="73"/>
      <c r="AL75" s="73"/>
      <c r="AM75" s="73"/>
      <c r="AN75" s="73"/>
      <c r="AO75" s="73"/>
    </row>
    <row r="76" spans="1:41" ht="18.75" customHeight="1">
      <c r="A76" s="103">
        <v>66</v>
      </c>
      <c r="B76" s="221" t="str">
        <f>'Chấm công KT'!C78</f>
        <v>04069</v>
      </c>
      <c r="C76" s="189" t="str">
        <f>'Chấm công KT'!D78</f>
        <v>T. Bờm</v>
      </c>
      <c r="D76" s="103" t="s">
        <v>35</v>
      </c>
      <c r="E76" s="231">
        <f t="shared" ref="E76:E83" si="7">4/1.25</f>
        <v>3.2</v>
      </c>
      <c r="F76" s="231"/>
      <c r="G76" s="231"/>
      <c r="H76" s="231"/>
      <c r="I76" s="231"/>
      <c r="J76" s="222"/>
      <c r="K76" s="172"/>
      <c r="L76" s="108"/>
      <c r="M76" s="108"/>
      <c r="N76" s="104"/>
      <c r="O76" s="104"/>
      <c r="P76" s="104"/>
      <c r="Q76" s="223">
        <f t="shared" ref="Q76:Q95" si="8">SUM(E76:P76)</f>
        <v>3.2</v>
      </c>
      <c r="R76" s="569">
        <f>VLOOKUP(C76,'BTH mủ tạp'!D82:AK162,34,0)</f>
        <v>3502</v>
      </c>
      <c r="S76" s="222"/>
      <c r="T76" s="164">
        <f>S76*50/100</f>
        <v>0</v>
      </c>
      <c r="U76" s="225">
        <f t="shared" ref="U76:U93" si="9">R76</f>
        <v>3502</v>
      </c>
      <c r="V76" s="522">
        <f>VLOOKUP(C76,'Chấm công KT'!D78:AK158,34,0)</f>
        <v>24</v>
      </c>
      <c r="W76" s="522">
        <f>VLOOKUP(C76,'Chấm công KT'!D78:AL158,35,0)</f>
        <v>2</v>
      </c>
      <c r="X76" s="523"/>
      <c r="Y76" s="522">
        <f>VLOOKUP(C76,'Chấm công KT'!D78:AN158,37,0)</f>
        <v>2</v>
      </c>
      <c r="Z76" s="522">
        <f>VLOOKUP(C76,'Chấm công KT'!$D$13:$AO$92,38,0)</f>
        <v>0</v>
      </c>
      <c r="AA76" s="522">
        <f>VLOOKUP(C76,'Chấm công KT'!$D$13:$AP$92,39,0)</f>
        <v>0</v>
      </c>
      <c r="AB76" s="226"/>
      <c r="AC76" s="227">
        <f t="shared" si="5"/>
        <v>3.2</v>
      </c>
      <c r="AD76" s="105" t="str">
        <f>VLOOKUP(C76,'BTH mủ tạp'!$D$17:$AN$160,37,0)</f>
        <v>A</v>
      </c>
      <c r="AE76" s="106"/>
      <c r="AF76" s="90"/>
      <c r="AH76" s="75"/>
      <c r="AI76" s="72"/>
      <c r="AJ76" s="73"/>
      <c r="AK76" s="73"/>
      <c r="AL76" s="73"/>
      <c r="AM76" s="73"/>
      <c r="AN76" s="73"/>
      <c r="AO76" s="73"/>
    </row>
    <row r="77" spans="1:41" ht="18.75" customHeight="1">
      <c r="A77" s="188">
        <v>67</v>
      </c>
      <c r="B77" s="221" t="str">
        <f>'Chấm công KT'!C79</f>
        <v>03546</v>
      </c>
      <c r="C77" s="189" t="str">
        <f>'Chấm công KT'!D79</f>
        <v>T. Nọi</v>
      </c>
      <c r="D77" s="103" t="s">
        <v>35</v>
      </c>
      <c r="E77" s="231">
        <f t="shared" si="7"/>
        <v>3.2</v>
      </c>
      <c r="F77" s="231"/>
      <c r="G77" s="231"/>
      <c r="H77" s="231"/>
      <c r="I77" s="231"/>
      <c r="J77" s="222"/>
      <c r="K77" s="172"/>
      <c r="L77" s="108"/>
      <c r="M77" s="108"/>
      <c r="N77" s="104"/>
      <c r="O77" s="104"/>
      <c r="P77" s="104"/>
      <c r="Q77" s="223">
        <f t="shared" si="8"/>
        <v>3.2</v>
      </c>
      <c r="R77" s="569">
        <f>VLOOKUP(C77,'BTH mủ tạp'!D83:AK163,34,0)</f>
        <v>3573</v>
      </c>
      <c r="S77" s="222"/>
      <c r="T77" s="164">
        <f t="shared" ref="T77:T79" si="10">S77*50/100</f>
        <v>0</v>
      </c>
      <c r="U77" s="225">
        <f t="shared" si="9"/>
        <v>3573</v>
      </c>
      <c r="V77" s="522">
        <f>VLOOKUP(C77,'Chấm công KT'!D79:AK159,34,0)</f>
        <v>26</v>
      </c>
      <c r="W77" s="522">
        <f>VLOOKUP(C77,'Chấm công KT'!D79:AL159,35,0)</f>
        <v>2</v>
      </c>
      <c r="X77" s="523"/>
      <c r="Y77" s="522">
        <f>VLOOKUP(C77,'Chấm công KT'!D79:AN159,37,0)</f>
        <v>2</v>
      </c>
      <c r="Z77" s="522">
        <f>VLOOKUP(C77,'Chấm công KT'!$D$13:$AO$92,38,0)</f>
        <v>0</v>
      </c>
      <c r="AA77" s="522">
        <f>VLOOKUP(C77,'Chấm công KT'!$D$13:$AP$92,39,0)</f>
        <v>0</v>
      </c>
      <c r="AB77" s="226"/>
      <c r="AC77" s="227">
        <f t="shared" ref="AC77:AC79" si="11">Q77</f>
        <v>3.2</v>
      </c>
      <c r="AD77" s="105" t="str">
        <f>VLOOKUP(C77,'BTH mủ tạp'!$D$17:$AN$160,37,0)</f>
        <v>A</v>
      </c>
      <c r="AE77" s="106"/>
      <c r="AF77" s="90"/>
      <c r="AH77" s="75"/>
      <c r="AI77" s="72"/>
      <c r="AJ77" s="73"/>
      <c r="AK77" s="73"/>
      <c r="AL77" s="73"/>
      <c r="AM77" s="73"/>
      <c r="AN77" s="73"/>
      <c r="AO77" s="73"/>
    </row>
    <row r="78" spans="1:41" ht="18.75" customHeight="1">
      <c r="A78" s="103">
        <v>68</v>
      </c>
      <c r="B78" s="221" t="str">
        <f>'Chấm công KT'!C80</f>
        <v>03571</v>
      </c>
      <c r="C78" s="189" t="str">
        <f>'Chấm công KT'!D80</f>
        <v>T. Ê</v>
      </c>
      <c r="D78" s="103" t="s">
        <v>35</v>
      </c>
      <c r="E78" s="231">
        <f t="shared" si="7"/>
        <v>3.2</v>
      </c>
      <c r="F78" s="231"/>
      <c r="G78" s="231"/>
      <c r="H78" s="231"/>
      <c r="I78" s="231"/>
      <c r="J78" s="222"/>
      <c r="K78" s="172"/>
      <c r="L78" s="108"/>
      <c r="M78" s="108"/>
      <c r="N78" s="104"/>
      <c r="O78" s="104"/>
      <c r="P78" s="104"/>
      <c r="Q78" s="223">
        <f t="shared" si="8"/>
        <v>3.2</v>
      </c>
      <c r="R78" s="569">
        <f>VLOOKUP(C78,'BTH mủ tạp'!D84:AK164,34,0)</f>
        <v>2956</v>
      </c>
      <c r="S78" s="222"/>
      <c r="T78" s="164">
        <f t="shared" si="10"/>
        <v>0</v>
      </c>
      <c r="U78" s="225">
        <f t="shared" si="9"/>
        <v>2956</v>
      </c>
      <c r="V78" s="522">
        <f>VLOOKUP(C78,'Chấm công KT'!D80:AK160,34,0)</f>
        <v>26</v>
      </c>
      <c r="W78" s="522">
        <f>VLOOKUP(C78,'Chấm công KT'!D80:AL160,35,0)</f>
        <v>2</v>
      </c>
      <c r="X78" s="523"/>
      <c r="Y78" s="522">
        <f>VLOOKUP(C78,'Chấm công KT'!D80:AN160,37,0)</f>
        <v>2</v>
      </c>
      <c r="Z78" s="522">
        <f>VLOOKUP(C78,'Chấm công KT'!$D$13:$AO$92,38,0)</f>
        <v>0</v>
      </c>
      <c r="AA78" s="522">
        <f>VLOOKUP(C78,'Chấm công KT'!$D$13:$AP$92,39,0)</f>
        <v>0</v>
      </c>
      <c r="AB78" s="226"/>
      <c r="AC78" s="227">
        <f t="shared" si="11"/>
        <v>3.2</v>
      </c>
      <c r="AD78" s="105" t="str">
        <f>VLOOKUP(C78,'BTH mủ tạp'!$D$17:$AN$160,37,0)</f>
        <v>B</v>
      </c>
      <c r="AE78" s="106"/>
      <c r="AF78" s="90"/>
      <c r="AH78" s="75"/>
      <c r="AI78" s="72"/>
      <c r="AJ78" s="73"/>
      <c r="AK78" s="73"/>
      <c r="AL78" s="73"/>
      <c r="AM78" s="73"/>
      <c r="AN78" s="73"/>
      <c r="AO78" s="73"/>
    </row>
    <row r="79" spans="1:41" ht="18.75" customHeight="1">
      <c r="A79" s="188">
        <v>69</v>
      </c>
      <c r="B79" s="221">
        <f>'Chấm công KT'!C81</f>
        <v>0</v>
      </c>
      <c r="C79" s="189" t="str">
        <f>'Chấm công KT'!D81</f>
        <v>T. Tu</v>
      </c>
      <c r="D79" s="103" t="s">
        <v>35</v>
      </c>
      <c r="E79" s="231">
        <f t="shared" si="7"/>
        <v>3.2</v>
      </c>
      <c r="F79" s="231"/>
      <c r="G79" s="231"/>
      <c r="H79" s="231"/>
      <c r="I79" s="231"/>
      <c r="J79" s="222"/>
      <c r="K79" s="172"/>
      <c r="L79" s="108"/>
      <c r="M79" s="108"/>
      <c r="N79" s="104"/>
      <c r="O79" s="104"/>
      <c r="P79" s="104"/>
      <c r="Q79" s="223">
        <f t="shared" si="8"/>
        <v>3.2</v>
      </c>
      <c r="R79" s="569">
        <f>VLOOKUP(C79,'BTH mủ tạp'!D85:AK165,34,0)</f>
        <v>4795</v>
      </c>
      <c r="S79" s="222"/>
      <c r="T79" s="164">
        <f t="shared" si="10"/>
        <v>0</v>
      </c>
      <c r="U79" s="225">
        <f t="shared" si="9"/>
        <v>4795</v>
      </c>
      <c r="V79" s="522">
        <f>VLOOKUP(C79,'Chấm công KT'!D81:AK161,34,0)</f>
        <v>25</v>
      </c>
      <c r="W79" s="522">
        <f>VLOOKUP(C79,'Chấm công KT'!D81:AL161,35,0)</f>
        <v>2</v>
      </c>
      <c r="X79" s="523"/>
      <c r="Y79" s="522">
        <f>VLOOKUP(C79,'Chấm công KT'!D81:AN161,37,0)</f>
        <v>2</v>
      </c>
      <c r="Z79" s="522">
        <f>VLOOKUP(C79,'Chấm công KT'!$D$13:$AO$92,38,0)</f>
        <v>0</v>
      </c>
      <c r="AA79" s="522">
        <f>VLOOKUP(C79,'Chấm công KT'!$D$13:$AP$92,39,0)</f>
        <v>0</v>
      </c>
      <c r="AB79" s="226"/>
      <c r="AC79" s="227">
        <f t="shared" si="11"/>
        <v>3.2</v>
      </c>
      <c r="AD79" s="105" t="str">
        <f>VLOOKUP(C79,'BTH mủ tạp'!$D$17:$AN$160,37,0)</f>
        <v>B</v>
      </c>
      <c r="AE79" s="106"/>
      <c r="AF79" s="90"/>
      <c r="AH79" s="75"/>
      <c r="AI79" s="72"/>
      <c r="AJ79" s="73"/>
      <c r="AK79" s="73"/>
      <c r="AL79" s="73"/>
      <c r="AM79" s="73"/>
      <c r="AN79" s="73"/>
      <c r="AO79" s="73"/>
    </row>
    <row r="80" spans="1:41" ht="18.75" customHeight="1">
      <c r="A80" s="103">
        <v>70</v>
      </c>
      <c r="B80" s="221" t="str">
        <f>'Chấm công KT'!C82</f>
        <v>03515</v>
      </c>
      <c r="C80" s="189" t="str">
        <f>'Chấm công KT'!D82</f>
        <v>N. Xi</v>
      </c>
      <c r="D80" s="103" t="s">
        <v>35</v>
      </c>
      <c r="E80" s="231">
        <f t="shared" si="7"/>
        <v>3.2</v>
      </c>
      <c r="F80" s="231"/>
      <c r="G80" s="231"/>
      <c r="H80" s="231"/>
      <c r="I80" s="231"/>
      <c r="J80" s="222"/>
      <c r="K80" s="172"/>
      <c r="L80" s="108"/>
      <c r="M80" s="108"/>
      <c r="N80" s="104"/>
      <c r="O80" s="104"/>
      <c r="P80" s="104"/>
      <c r="Q80" s="223">
        <f t="shared" si="8"/>
        <v>3.2</v>
      </c>
      <c r="R80" s="569">
        <f>VLOOKUP(C80,'BTH mủ tạp'!D86:AK166,34,0)</f>
        <v>3743</v>
      </c>
      <c r="S80" s="222"/>
      <c r="T80" s="164">
        <f t="shared" ref="T80:T84" si="12">S80*50/100</f>
        <v>0</v>
      </c>
      <c r="U80" s="225">
        <f t="shared" si="9"/>
        <v>3743</v>
      </c>
      <c r="V80" s="522">
        <f>VLOOKUP(C80,'Chấm công KT'!D82:AK163,34,0)</f>
        <v>26</v>
      </c>
      <c r="W80" s="522">
        <f>VLOOKUP(C80,'Chấm công KT'!D82:AL163,35,0)</f>
        <v>2</v>
      </c>
      <c r="X80" s="523"/>
      <c r="Y80" s="522">
        <f>VLOOKUP(C80,'Chấm công KT'!D82:AN162,37,0)</f>
        <v>2</v>
      </c>
      <c r="Z80" s="522">
        <f>VLOOKUP(C80,'Chấm công KT'!$D$13:$AO$92,38,0)</f>
        <v>0</v>
      </c>
      <c r="AA80" s="522">
        <f>VLOOKUP(C80,'Chấm công KT'!$D$13:$AP$92,39,0)</f>
        <v>0</v>
      </c>
      <c r="AB80" s="226"/>
      <c r="AC80" s="227">
        <f>Q80</f>
        <v>3.2</v>
      </c>
      <c r="AD80" s="105" t="str">
        <f>VLOOKUP(C80,'BTH mủ tạp'!$D$17:$AN$160,37,0)</f>
        <v>A</v>
      </c>
      <c r="AE80" s="106"/>
      <c r="AF80" s="90"/>
      <c r="AH80" s="75"/>
      <c r="AI80" s="72"/>
      <c r="AJ80" s="73"/>
      <c r="AK80" s="73"/>
      <c r="AL80" s="73"/>
      <c r="AM80" s="73"/>
      <c r="AN80" s="73"/>
      <c r="AO80" s="73"/>
    </row>
    <row r="81" spans="1:41" ht="18.75" customHeight="1">
      <c r="A81" s="188">
        <v>71</v>
      </c>
      <c r="B81" s="221" t="str">
        <f>'Chấm công KT'!C83</f>
        <v>03516</v>
      </c>
      <c r="C81" s="189" t="str">
        <f>'Chấm công KT'!D83</f>
        <v>N. Chay</v>
      </c>
      <c r="D81" s="103" t="s">
        <v>35</v>
      </c>
      <c r="E81" s="231">
        <f t="shared" si="7"/>
        <v>3.2</v>
      </c>
      <c r="F81" s="231"/>
      <c r="G81" s="231"/>
      <c r="H81" s="231"/>
      <c r="I81" s="231"/>
      <c r="J81" s="222"/>
      <c r="K81" s="172"/>
      <c r="L81" s="108"/>
      <c r="M81" s="222"/>
      <c r="N81" s="104"/>
      <c r="O81" s="104"/>
      <c r="P81" s="104"/>
      <c r="Q81" s="223">
        <f t="shared" si="8"/>
        <v>3.2</v>
      </c>
      <c r="R81" s="569">
        <f>VLOOKUP(C81,'BTH mủ tạp'!D87:AK167,34,0)</f>
        <v>3943</v>
      </c>
      <c r="S81" s="222"/>
      <c r="T81" s="164">
        <f t="shared" si="12"/>
        <v>0</v>
      </c>
      <c r="U81" s="225">
        <f t="shared" si="9"/>
        <v>3943</v>
      </c>
      <c r="V81" s="522">
        <f>VLOOKUP(C81,'Chấm công KT'!D83:AK164,34,0)</f>
        <v>26</v>
      </c>
      <c r="W81" s="522">
        <f>VLOOKUP(C81,'Chấm công KT'!D83:AL164,35,0)</f>
        <v>2</v>
      </c>
      <c r="X81" s="523"/>
      <c r="Y81" s="522">
        <f>VLOOKUP(C81,'Chấm công KT'!D83:AN163,37,0)</f>
        <v>2</v>
      </c>
      <c r="Z81" s="522">
        <f>VLOOKUP(C81,'Chấm công KT'!$D$13:$AO$92,38,0)</f>
        <v>0</v>
      </c>
      <c r="AA81" s="522">
        <f>VLOOKUP(C81,'Chấm công KT'!$D$13:$AP$92,39,0)</f>
        <v>0</v>
      </c>
      <c r="AB81" s="226"/>
      <c r="AC81" s="227">
        <f>Q81</f>
        <v>3.2</v>
      </c>
      <c r="AD81" s="105" t="str">
        <f>VLOOKUP(C81,'BTH mủ tạp'!$D$17:$AN$160,37,0)</f>
        <v>A</v>
      </c>
      <c r="AE81" s="106"/>
      <c r="AF81" s="90"/>
      <c r="AH81" s="75"/>
      <c r="AI81" s="72"/>
      <c r="AJ81" s="73"/>
      <c r="AK81" s="73"/>
      <c r="AL81" s="73"/>
      <c r="AM81" s="73"/>
      <c r="AN81" s="73"/>
      <c r="AO81" s="73"/>
    </row>
    <row r="82" spans="1:41" ht="18.75" customHeight="1">
      <c r="A82" s="103">
        <v>72</v>
      </c>
      <c r="B82" s="221" t="str">
        <f>'Chấm công KT'!C84</f>
        <v>03544</v>
      </c>
      <c r="C82" s="189" t="str">
        <f>'Chấm công KT'!D84</f>
        <v>T. Ta</v>
      </c>
      <c r="D82" s="103" t="s">
        <v>35</v>
      </c>
      <c r="E82" s="231">
        <f t="shared" si="7"/>
        <v>3.2</v>
      </c>
      <c r="F82" s="231"/>
      <c r="G82" s="231"/>
      <c r="H82" s="231"/>
      <c r="I82" s="231"/>
      <c r="J82" s="222"/>
      <c r="K82" s="172"/>
      <c r="L82" s="108"/>
      <c r="M82" s="222"/>
      <c r="N82" s="104"/>
      <c r="O82" s="104"/>
      <c r="P82" s="104"/>
      <c r="Q82" s="223">
        <f t="shared" si="8"/>
        <v>3.2</v>
      </c>
      <c r="R82" s="569">
        <f>VLOOKUP(C82,'BTH mủ tạp'!D88:AK168,34,0)</f>
        <v>2557</v>
      </c>
      <c r="S82" s="222"/>
      <c r="T82" s="164">
        <f t="shared" si="12"/>
        <v>0</v>
      </c>
      <c r="U82" s="225">
        <f t="shared" si="9"/>
        <v>2557</v>
      </c>
      <c r="V82" s="522">
        <f>VLOOKUP(C82,'Chấm công KT'!D84:AK165,34,0)</f>
        <v>26</v>
      </c>
      <c r="W82" s="522">
        <f>VLOOKUP(C82,'Chấm công KT'!D84:AL165,35,0)</f>
        <v>2</v>
      </c>
      <c r="X82" s="523"/>
      <c r="Y82" s="522">
        <f>VLOOKUP(C82,'Chấm công KT'!D84:AN164,37,0)</f>
        <v>2</v>
      </c>
      <c r="Z82" s="522">
        <f>VLOOKUP(C82,'Chấm công KT'!$D$13:$AO$92,38,0)</f>
        <v>0</v>
      </c>
      <c r="AA82" s="522">
        <f>VLOOKUP(C82,'Chấm công KT'!$D$13:$AP$92,39,0)</f>
        <v>0</v>
      </c>
      <c r="AB82" s="226"/>
      <c r="AC82" s="227">
        <f>Q82</f>
        <v>3.2</v>
      </c>
      <c r="AD82" s="105" t="str">
        <f>VLOOKUP(C82,'BTH mủ tạp'!$D$17:$AN$160,37,0)</f>
        <v>A</v>
      </c>
      <c r="AE82" s="106"/>
      <c r="AF82" s="90"/>
      <c r="AH82" s="75"/>
      <c r="AI82" s="72"/>
      <c r="AJ82" s="73"/>
      <c r="AK82" s="73"/>
      <c r="AL82" s="73"/>
      <c r="AM82" s="73"/>
      <c r="AN82" s="73"/>
      <c r="AO82" s="73"/>
    </row>
    <row r="83" spans="1:41" ht="18.75" customHeight="1">
      <c r="A83" s="188">
        <v>73</v>
      </c>
      <c r="B83" s="221" t="str">
        <f>'Chấm công KT'!C85</f>
        <v>04071</v>
      </c>
      <c r="C83" s="189" t="str">
        <f>'Chấm công KT'!D85</f>
        <v>T. Ne</v>
      </c>
      <c r="D83" s="103" t="s">
        <v>35</v>
      </c>
      <c r="E83" s="231">
        <f t="shared" si="7"/>
        <v>3.2</v>
      </c>
      <c r="F83" s="231"/>
      <c r="G83" s="231"/>
      <c r="H83" s="231"/>
      <c r="I83" s="231"/>
      <c r="J83" s="222"/>
      <c r="K83" s="172"/>
      <c r="L83" s="172"/>
      <c r="M83" s="222"/>
      <c r="N83" s="222"/>
      <c r="O83" s="232"/>
      <c r="P83" s="104"/>
      <c r="Q83" s="223">
        <f t="shared" si="8"/>
        <v>3.2</v>
      </c>
      <c r="R83" s="569">
        <f>VLOOKUP(C83,'BTH mủ tạp'!D89:AK169,34,0)</f>
        <v>2621</v>
      </c>
      <c r="S83" s="222"/>
      <c r="T83" s="164">
        <f t="shared" si="12"/>
        <v>0</v>
      </c>
      <c r="U83" s="225">
        <f t="shared" si="9"/>
        <v>2621</v>
      </c>
      <c r="V83" s="522">
        <f>VLOOKUP(C83,'Chấm công KT'!D85:AK166,34,0)</f>
        <v>26</v>
      </c>
      <c r="W83" s="522">
        <f>VLOOKUP(C83,'Chấm công KT'!D85:AL166,35,0)</f>
        <v>2</v>
      </c>
      <c r="X83" s="523"/>
      <c r="Y83" s="522">
        <f>VLOOKUP(C83,'Chấm công KT'!D85:AN165,37,0)</f>
        <v>2</v>
      </c>
      <c r="Z83" s="522">
        <f>VLOOKUP(C83,'Chấm công KT'!$D$13:$AO$92,38,0)</f>
        <v>0</v>
      </c>
      <c r="AA83" s="522">
        <f>VLOOKUP(C83,'Chấm công KT'!$D$13:$AP$92,39,0)</f>
        <v>0</v>
      </c>
      <c r="AB83" s="226"/>
      <c r="AC83" s="227">
        <f>Q83</f>
        <v>3.2</v>
      </c>
      <c r="AD83" s="105" t="str">
        <f>VLOOKUP(C83,'BTH mủ tạp'!$D$17:$AN$160,37,0)</f>
        <v>A</v>
      </c>
      <c r="AE83" s="106"/>
      <c r="AF83" s="90"/>
      <c r="AH83" s="75"/>
      <c r="AI83" s="72"/>
      <c r="AJ83" s="73"/>
      <c r="AK83" s="73"/>
      <c r="AL83" s="73"/>
      <c r="AM83" s="73"/>
      <c r="AN83" s="73"/>
      <c r="AO83" s="73"/>
    </row>
    <row r="84" spans="1:41" s="465" customFormat="1" ht="18.75" customHeight="1">
      <c r="A84" s="103">
        <v>74</v>
      </c>
      <c r="B84" s="480"/>
      <c r="C84" s="189" t="str">
        <f>'Chấm công KT'!D86</f>
        <v>T. Tý</v>
      </c>
      <c r="D84" s="479" t="s">
        <v>35</v>
      </c>
      <c r="E84" s="455"/>
      <c r="F84" s="455"/>
      <c r="G84" s="455"/>
      <c r="H84" s="455"/>
      <c r="I84" s="455"/>
      <c r="J84" s="456"/>
      <c r="K84" s="454"/>
      <c r="L84" s="454"/>
      <c r="M84" s="456"/>
      <c r="N84" s="456"/>
      <c r="O84" s="481"/>
      <c r="P84" s="482"/>
      <c r="Q84" s="223">
        <f t="shared" si="8"/>
        <v>0</v>
      </c>
      <c r="R84" s="569">
        <f>VLOOKUP(C84,'BTH mủ tạp'!D90:AK170,34,0)</f>
        <v>137</v>
      </c>
      <c r="S84" s="222"/>
      <c r="T84" s="470">
        <f t="shared" si="12"/>
        <v>0</v>
      </c>
      <c r="U84" s="225">
        <f t="shared" si="9"/>
        <v>137</v>
      </c>
      <c r="V84" s="522">
        <f>VLOOKUP(C84,'Chấm công KT'!D86:AK167,34,0)</f>
        <v>7</v>
      </c>
      <c r="W84" s="522">
        <f>VLOOKUP(C84,'Chấm công KT'!D86:AL167,35,0)</f>
        <v>0</v>
      </c>
      <c r="X84" s="523"/>
      <c r="Y84" s="522">
        <f>VLOOKUP(C84,'Chấm công KT'!D86:AN166,37,0)</f>
        <v>0</v>
      </c>
      <c r="Z84" s="522">
        <f>VLOOKUP(C84,'Chấm công KT'!$D$13:$AO$92,38,0)</f>
        <v>0</v>
      </c>
      <c r="AA84" s="522">
        <f>VLOOKUP(C84,'Chấm công KT'!$D$13:$AP$92,39,0)</f>
        <v>0</v>
      </c>
      <c r="AB84" s="483"/>
      <c r="AC84" s="484">
        <f>Q84</f>
        <v>0</v>
      </c>
      <c r="AD84" s="105" t="str">
        <f>VLOOKUP(C84,'BTH mủ tạp'!$D$17:$AN$160,37,0)</f>
        <v>C.</v>
      </c>
      <c r="AE84" s="472"/>
      <c r="AF84" s="464"/>
      <c r="AH84" s="473"/>
      <c r="AI84" s="485"/>
      <c r="AJ84" s="474"/>
      <c r="AK84" s="474"/>
      <c r="AL84" s="474"/>
      <c r="AM84" s="474"/>
      <c r="AN84" s="474"/>
      <c r="AO84" s="474"/>
    </row>
    <row r="85" spans="1:41" s="465" customFormat="1" ht="18.75" customHeight="1">
      <c r="A85" s="188">
        <v>75</v>
      </c>
      <c r="B85" s="453"/>
      <c r="C85" s="189" t="str">
        <f>'Chấm công KT'!D87</f>
        <v>T. Lã</v>
      </c>
      <c r="D85" s="479" t="s">
        <v>35</v>
      </c>
      <c r="E85" s="455"/>
      <c r="F85" s="455"/>
      <c r="G85" s="455"/>
      <c r="H85" s="455"/>
      <c r="I85" s="455"/>
      <c r="J85" s="456"/>
      <c r="K85" s="454"/>
      <c r="L85" s="454"/>
      <c r="M85" s="456"/>
      <c r="N85" s="456"/>
      <c r="O85" s="481"/>
      <c r="P85" s="482"/>
      <c r="Q85" s="223">
        <f t="shared" si="8"/>
        <v>0</v>
      </c>
      <c r="R85" s="569">
        <f>VLOOKUP(C85,'BTH mủ tạp'!D91:AK171,34,0)</f>
        <v>270</v>
      </c>
      <c r="S85" s="222"/>
      <c r="T85" s="470">
        <f t="shared" ref="T85:T93" si="13">S85*50/100</f>
        <v>0</v>
      </c>
      <c r="U85" s="225">
        <f t="shared" si="9"/>
        <v>270</v>
      </c>
      <c r="V85" s="522">
        <f>VLOOKUP(C85,'Chấm công KT'!D87:AK168,34,0)</f>
        <v>3</v>
      </c>
      <c r="W85" s="522">
        <f>VLOOKUP(C85,'Chấm công KT'!D87:AL168,35,0)</f>
        <v>0</v>
      </c>
      <c r="X85" s="523"/>
      <c r="Y85" s="522">
        <f>VLOOKUP(C85,'Chấm công KT'!D87:AN167,37,0)</f>
        <v>0</v>
      </c>
      <c r="Z85" s="522">
        <f>VLOOKUP(C85,'Chấm công KT'!$D$13:$AO$92,38,0)</f>
        <v>0</v>
      </c>
      <c r="AA85" s="522">
        <f>VLOOKUP(C85,'Chấm công KT'!$D$13:$AP$92,39,0)</f>
        <v>0</v>
      </c>
      <c r="AB85" s="483"/>
      <c r="AC85" s="484">
        <f t="shared" ref="AC85:AC95" si="14">Q85</f>
        <v>0</v>
      </c>
      <c r="AD85" s="105" t="str">
        <f>VLOOKUP(C85,'BTH mủ tạp'!$D$17:$AN$160,37,0)</f>
        <v>C.</v>
      </c>
      <c r="AE85" s="472"/>
      <c r="AF85" s="464"/>
      <c r="AH85" s="473"/>
      <c r="AI85" s="485"/>
      <c r="AJ85" s="474"/>
      <c r="AK85" s="474"/>
      <c r="AL85" s="474"/>
      <c r="AM85" s="474"/>
      <c r="AN85" s="474"/>
      <c r="AO85" s="474"/>
    </row>
    <row r="86" spans="1:41" s="465" customFormat="1" ht="18.75" customHeight="1">
      <c r="A86" s="103">
        <v>76</v>
      </c>
      <c r="B86" s="453"/>
      <c r="C86" s="189" t="str">
        <f>'Chấm công KT'!D88</f>
        <v>N. Veo</v>
      </c>
      <c r="D86" s="479" t="s">
        <v>35</v>
      </c>
      <c r="E86" s="455"/>
      <c r="F86" s="455"/>
      <c r="G86" s="455"/>
      <c r="H86" s="455"/>
      <c r="I86" s="455"/>
      <c r="J86" s="456"/>
      <c r="K86" s="454"/>
      <c r="L86" s="454"/>
      <c r="M86" s="456"/>
      <c r="N86" s="456"/>
      <c r="O86" s="481"/>
      <c r="P86" s="482"/>
      <c r="Q86" s="223">
        <f t="shared" si="8"/>
        <v>0</v>
      </c>
      <c r="R86" s="569">
        <f>VLOOKUP(C86,'BTH mủ tạp'!D92:AK172,34,0)</f>
        <v>133</v>
      </c>
      <c r="S86" s="222"/>
      <c r="T86" s="470">
        <f t="shared" si="13"/>
        <v>0</v>
      </c>
      <c r="U86" s="225">
        <f t="shared" si="9"/>
        <v>133</v>
      </c>
      <c r="V86" s="522">
        <f>VLOOKUP(C86,'Chấm công KT'!D88:AK169,34,0)</f>
        <v>2</v>
      </c>
      <c r="W86" s="522">
        <f>VLOOKUP(C86,'Chấm công KT'!D88:AL169,35,0)</f>
        <v>0</v>
      </c>
      <c r="X86" s="523"/>
      <c r="Y86" s="522">
        <f>VLOOKUP(C86,'Chấm công KT'!D88:AN168,37,0)</f>
        <v>0</v>
      </c>
      <c r="Z86" s="522">
        <f>VLOOKUP(C86,'Chấm công KT'!$D$13:$AO$92,38,0)</f>
        <v>0</v>
      </c>
      <c r="AA86" s="522">
        <f>VLOOKUP(C86,'Chấm công KT'!$D$13:$AP$92,39,0)</f>
        <v>0</v>
      </c>
      <c r="AB86" s="483"/>
      <c r="AC86" s="484">
        <f t="shared" si="14"/>
        <v>0</v>
      </c>
      <c r="AD86" s="105" t="str">
        <f>VLOOKUP(C86,'BTH mủ tạp'!$D$17:$AN$160,37,0)</f>
        <v>C.</v>
      </c>
      <c r="AE86" s="472"/>
      <c r="AF86" s="464"/>
      <c r="AH86" s="473"/>
      <c r="AI86" s="485"/>
      <c r="AJ86" s="474"/>
      <c r="AK86" s="474"/>
      <c r="AL86" s="474"/>
      <c r="AM86" s="474"/>
      <c r="AN86" s="474"/>
      <c r="AO86" s="474"/>
    </row>
    <row r="87" spans="1:41" s="465" customFormat="1" ht="18.75" customHeight="1">
      <c r="A87" s="188">
        <v>77</v>
      </c>
      <c r="B87" s="453"/>
      <c r="C87" s="189" t="str">
        <f>'Chấm công KT'!D89</f>
        <v>T. Pu</v>
      </c>
      <c r="D87" s="479" t="s">
        <v>35</v>
      </c>
      <c r="E87" s="467"/>
      <c r="F87" s="467"/>
      <c r="G87" s="467"/>
      <c r="H87" s="467"/>
      <c r="I87" s="467"/>
      <c r="J87" s="468"/>
      <c r="K87" s="457"/>
      <c r="L87" s="457"/>
      <c r="M87" s="468"/>
      <c r="N87" s="468"/>
      <c r="O87" s="486"/>
      <c r="P87" s="458"/>
      <c r="Q87" s="223">
        <f t="shared" si="8"/>
        <v>0</v>
      </c>
      <c r="R87" s="569">
        <f>VLOOKUP(C87,'BTH mủ tạp'!D93:AK173,34,0)</f>
        <v>262</v>
      </c>
      <c r="S87" s="222"/>
      <c r="T87" s="470"/>
      <c r="U87" s="225">
        <f t="shared" si="9"/>
        <v>262</v>
      </c>
      <c r="V87" s="522">
        <f>VLOOKUP(C87,'Chấm công KT'!D89:AK170,34,0)</f>
        <v>2</v>
      </c>
      <c r="W87" s="522">
        <f>VLOOKUP(C87,'Chấm công KT'!D89:AL170,35,0)</f>
        <v>0</v>
      </c>
      <c r="X87" s="523"/>
      <c r="Y87" s="522">
        <f>VLOOKUP(C87,'Chấm công KT'!D89:AN169,37,0)</f>
        <v>0</v>
      </c>
      <c r="Z87" s="522">
        <f>VLOOKUP(C87,'Chấm công KT'!$D$13:$AO$92,38,0)</f>
        <v>0</v>
      </c>
      <c r="AA87" s="522">
        <f>VLOOKUP(C87,'Chấm công KT'!$D$13:$AP$92,39,0)</f>
        <v>0</v>
      </c>
      <c r="AB87" s="483"/>
      <c r="AC87" s="484">
        <f t="shared" si="14"/>
        <v>0</v>
      </c>
      <c r="AD87" s="105" t="str">
        <f>VLOOKUP(C87,'BTH mủ tạp'!$D$17:$AN$160,37,0)</f>
        <v>C.</v>
      </c>
      <c r="AE87" s="472"/>
      <c r="AF87" s="464"/>
      <c r="AH87" s="473"/>
      <c r="AI87" s="485"/>
      <c r="AJ87" s="474"/>
      <c r="AK87" s="474"/>
      <c r="AL87" s="474"/>
      <c r="AM87" s="474"/>
      <c r="AN87" s="474"/>
      <c r="AO87" s="474"/>
    </row>
    <row r="88" spans="1:41" s="465" customFormat="1" ht="18.75" hidden="1" customHeight="1">
      <c r="A88" s="103">
        <v>78</v>
      </c>
      <c r="B88" s="453"/>
      <c r="C88" s="189" t="str">
        <f>'Chấm công KT'!D90</f>
        <v>T. Ta.</v>
      </c>
      <c r="D88" s="479" t="s">
        <v>35</v>
      </c>
      <c r="E88" s="467"/>
      <c r="F88" s="467"/>
      <c r="G88" s="467"/>
      <c r="H88" s="467"/>
      <c r="I88" s="467"/>
      <c r="J88" s="468"/>
      <c r="K88" s="457"/>
      <c r="L88" s="457"/>
      <c r="M88" s="468"/>
      <c r="N88" s="468"/>
      <c r="O88" s="486"/>
      <c r="P88" s="458"/>
      <c r="Q88" s="223">
        <f t="shared" si="8"/>
        <v>0</v>
      </c>
      <c r="R88" s="569">
        <f>VLOOKUP(C88,'BTH mủ tạp'!D94:AK174,34,0)</f>
        <v>0</v>
      </c>
      <c r="S88" s="222"/>
      <c r="T88" s="470"/>
      <c r="U88" s="225">
        <f t="shared" si="9"/>
        <v>0</v>
      </c>
      <c r="V88" s="522">
        <f>VLOOKUP(C88,'Chấm công KT'!D90:AK171,34,0)</f>
        <v>0</v>
      </c>
      <c r="W88" s="522">
        <f>VLOOKUP(C88,'Chấm công KT'!D90:AL171,35,0)</f>
        <v>0</v>
      </c>
      <c r="X88" s="523"/>
      <c r="Y88" s="522">
        <f>VLOOKUP(C88,'Chấm công KT'!D90:AN170,37,0)</f>
        <v>0</v>
      </c>
      <c r="Z88" s="522">
        <f>VLOOKUP(C88,'Chấm công KT'!$D$13:$AO$92,38,0)</f>
        <v>0</v>
      </c>
      <c r="AA88" s="522">
        <f>VLOOKUP(C88,'Chấm công KT'!$D$13:$AP$92,39,0)</f>
        <v>0</v>
      </c>
      <c r="AB88" s="483"/>
      <c r="AC88" s="484">
        <f t="shared" si="14"/>
        <v>0</v>
      </c>
      <c r="AD88" s="105" t="str">
        <f>VLOOKUP(C88,'BTH mủ tạp'!$D$17:$AN$160,37,0)</f>
        <v>C.</v>
      </c>
      <c r="AE88" s="472"/>
      <c r="AF88" s="464"/>
      <c r="AH88" s="473"/>
      <c r="AI88" s="485"/>
      <c r="AJ88" s="474"/>
      <c r="AK88" s="474"/>
      <c r="AL88" s="474"/>
      <c r="AM88" s="474"/>
      <c r="AN88" s="474"/>
      <c r="AO88" s="474"/>
    </row>
    <row r="89" spans="1:41" s="465" customFormat="1" ht="18.75" hidden="1" customHeight="1">
      <c r="A89" s="188">
        <v>79</v>
      </c>
      <c r="B89" s="453"/>
      <c r="C89" s="189" t="str">
        <f>'Chấm công KT'!D91</f>
        <v>N. Nang</v>
      </c>
      <c r="D89" s="479" t="s">
        <v>35</v>
      </c>
      <c r="E89" s="467"/>
      <c r="F89" s="467"/>
      <c r="G89" s="467"/>
      <c r="H89" s="467"/>
      <c r="I89" s="467"/>
      <c r="J89" s="468"/>
      <c r="K89" s="457"/>
      <c r="L89" s="457"/>
      <c r="M89" s="468"/>
      <c r="N89" s="468"/>
      <c r="O89" s="486"/>
      <c r="P89" s="458"/>
      <c r="Q89" s="223">
        <f t="shared" si="8"/>
        <v>0</v>
      </c>
      <c r="R89" s="569">
        <f>VLOOKUP(C89,'BTH mủ tạp'!D95:AK175,34,0)</f>
        <v>0</v>
      </c>
      <c r="S89" s="222"/>
      <c r="T89" s="470"/>
      <c r="U89" s="225">
        <f t="shared" si="9"/>
        <v>0</v>
      </c>
      <c r="V89" s="522">
        <f>VLOOKUP(C89,'Chấm công KT'!D91:AK172,34,0)</f>
        <v>0</v>
      </c>
      <c r="W89" s="522">
        <f>VLOOKUP(C89,'Chấm công KT'!D91:AL172,35,0)</f>
        <v>0</v>
      </c>
      <c r="X89" s="523"/>
      <c r="Y89" s="522">
        <f>VLOOKUP(C89,'Chấm công KT'!D91:AN171,37,0)</f>
        <v>0</v>
      </c>
      <c r="Z89" s="522">
        <f>VLOOKUP(C89,'Chấm công KT'!$D$13:$AO$92,38,0)</f>
        <v>0</v>
      </c>
      <c r="AA89" s="522">
        <f>VLOOKUP(C89,'Chấm công KT'!$D$13:$AP$92,39,0)</f>
        <v>0</v>
      </c>
      <c r="AB89" s="483"/>
      <c r="AC89" s="484">
        <f t="shared" si="14"/>
        <v>0</v>
      </c>
      <c r="AD89" s="105" t="str">
        <f>VLOOKUP(C89,'BTH mủ tạp'!$D$17:$AN$160,37,0)</f>
        <v>C.</v>
      </c>
      <c r="AE89" s="472"/>
      <c r="AF89" s="464"/>
      <c r="AH89" s="473"/>
      <c r="AI89" s="485"/>
      <c r="AJ89" s="474"/>
      <c r="AK89" s="474"/>
      <c r="AL89" s="474"/>
      <c r="AM89" s="474"/>
      <c r="AN89" s="474"/>
      <c r="AO89" s="474"/>
    </row>
    <row r="90" spans="1:41" s="465" customFormat="1" ht="18.75" hidden="1" customHeight="1">
      <c r="A90" s="103">
        <v>80</v>
      </c>
      <c r="B90" s="453"/>
      <c r="C90" s="189" t="str">
        <f>'Chấm công KT'!D92</f>
        <v>T. Tan</v>
      </c>
      <c r="D90" s="479" t="s">
        <v>350</v>
      </c>
      <c r="E90" s="467"/>
      <c r="F90" s="467"/>
      <c r="G90" s="467"/>
      <c r="H90" s="467"/>
      <c r="I90" s="467"/>
      <c r="J90" s="468"/>
      <c r="K90" s="457"/>
      <c r="L90" s="457"/>
      <c r="M90" s="468"/>
      <c r="N90" s="468"/>
      <c r="O90" s="486"/>
      <c r="P90" s="458"/>
      <c r="Q90" s="223">
        <f t="shared" si="8"/>
        <v>0</v>
      </c>
      <c r="R90" s="569">
        <f>VLOOKUP(C90,'BTH mủ tạp'!D96:AK176,34,0)</f>
        <v>0</v>
      </c>
      <c r="S90" s="222"/>
      <c r="T90" s="470"/>
      <c r="U90" s="225">
        <f t="shared" si="9"/>
        <v>0</v>
      </c>
      <c r="V90" s="522">
        <f>VLOOKUP(C90,'Chấm công KT'!D92:AK173,34,0)</f>
        <v>0</v>
      </c>
      <c r="W90" s="522">
        <f>VLOOKUP(C90,'Chấm công KT'!D92:AL173,35,0)</f>
        <v>0</v>
      </c>
      <c r="X90" s="523"/>
      <c r="Y90" s="522">
        <f>VLOOKUP(C90,'Chấm công KT'!D92:AN172,37,0)</f>
        <v>0</v>
      </c>
      <c r="Z90" s="522">
        <f>VLOOKUP(C90,'Chấm công KT'!$D$13:$AO$92,38,0)</f>
        <v>0</v>
      </c>
      <c r="AA90" s="522">
        <f>VLOOKUP(C90,'Chấm công KT'!$D$13:$AP$92,39,0)</f>
        <v>0</v>
      </c>
      <c r="AB90" s="483"/>
      <c r="AC90" s="484">
        <f t="shared" si="14"/>
        <v>0</v>
      </c>
      <c r="AD90" s="105" t="str">
        <f>VLOOKUP(C90,'BTH mủ tạp'!$D$17:$AN$160,37,0)</f>
        <v>C.</v>
      </c>
      <c r="AE90" s="472"/>
      <c r="AF90" s="464"/>
      <c r="AH90" s="473"/>
      <c r="AI90" s="485"/>
      <c r="AJ90" s="474"/>
      <c r="AK90" s="474"/>
      <c r="AL90" s="474"/>
      <c r="AM90" s="474"/>
      <c r="AN90" s="474"/>
      <c r="AO90" s="474"/>
    </row>
    <row r="91" spans="1:41" s="465" customFormat="1" ht="18.75" hidden="1" customHeight="1">
      <c r="A91" s="188">
        <v>81</v>
      </c>
      <c r="B91" s="453"/>
      <c r="C91" s="189">
        <f>'Chấm công KT'!D93</f>
        <v>0</v>
      </c>
      <c r="D91" s="479" t="s">
        <v>350</v>
      </c>
      <c r="E91" s="231"/>
      <c r="F91" s="467"/>
      <c r="G91" s="467"/>
      <c r="H91" s="467"/>
      <c r="I91" s="467"/>
      <c r="J91" s="468"/>
      <c r="K91" s="457"/>
      <c r="L91" s="457"/>
      <c r="M91" s="468"/>
      <c r="N91" s="468"/>
      <c r="O91" s="486"/>
      <c r="P91" s="458"/>
      <c r="Q91" s="223">
        <f t="shared" si="8"/>
        <v>0</v>
      </c>
      <c r="R91" s="569">
        <f>VLOOKUP(C91,'BTH mủ tạp'!D97:AK177,34,0)</f>
        <v>0</v>
      </c>
      <c r="S91" s="515"/>
      <c r="T91" s="470"/>
      <c r="U91" s="225">
        <f t="shared" si="9"/>
        <v>0</v>
      </c>
      <c r="V91" s="522"/>
      <c r="W91" s="522"/>
      <c r="X91" s="523"/>
      <c r="Y91" s="522"/>
      <c r="Z91" s="522"/>
      <c r="AA91" s="522"/>
      <c r="AB91" s="483"/>
      <c r="AC91" s="484">
        <f t="shared" si="14"/>
        <v>0</v>
      </c>
      <c r="AD91" s="105" t="str">
        <f>VLOOKUP(C91,'BTH mủ tạp'!$D$17:$AN$160,37,0)</f>
        <v>C.</v>
      </c>
      <c r="AE91" s="472"/>
      <c r="AF91" s="464"/>
      <c r="AH91" s="473"/>
      <c r="AI91" s="485"/>
      <c r="AJ91" s="474"/>
      <c r="AK91" s="474"/>
      <c r="AL91" s="474"/>
      <c r="AM91" s="474"/>
      <c r="AN91" s="474"/>
      <c r="AO91" s="474"/>
    </row>
    <row r="92" spans="1:41" s="465" customFormat="1" ht="18.75" customHeight="1">
      <c r="A92" s="103">
        <v>78</v>
      </c>
      <c r="B92" s="453"/>
      <c r="C92" s="189" t="s">
        <v>843</v>
      </c>
      <c r="D92" s="479" t="s">
        <v>350</v>
      </c>
      <c r="E92" s="467"/>
      <c r="F92" s="467"/>
      <c r="G92" s="467"/>
      <c r="H92" s="467"/>
      <c r="I92" s="467"/>
      <c r="J92" s="468"/>
      <c r="K92" s="457"/>
      <c r="L92" s="457"/>
      <c r="M92" s="467"/>
      <c r="N92" s="468"/>
      <c r="O92" s="486"/>
      <c r="P92" s="458"/>
      <c r="Q92" s="223">
        <f t="shared" si="8"/>
        <v>0</v>
      </c>
      <c r="R92" s="569"/>
      <c r="S92" s="456"/>
      <c r="T92" s="470"/>
      <c r="U92" s="581">
        <f t="shared" si="9"/>
        <v>0</v>
      </c>
      <c r="V92" s="522"/>
      <c r="W92" s="522"/>
      <c r="X92" s="523"/>
      <c r="Y92" s="522"/>
      <c r="Z92" s="522"/>
      <c r="AA92" s="522"/>
      <c r="AB92" s="483"/>
      <c r="AC92" s="484">
        <f t="shared" si="14"/>
        <v>0</v>
      </c>
      <c r="AD92" s="105"/>
      <c r="AE92" s="472"/>
      <c r="AF92" s="464"/>
      <c r="AH92" s="473"/>
      <c r="AI92" s="485"/>
      <c r="AJ92" s="474"/>
      <c r="AK92" s="474"/>
      <c r="AL92" s="474"/>
      <c r="AM92" s="474"/>
      <c r="AN92" s="474"/>
      <c r="AO92" s="474"/>
    </row>
    <row r="93" spans="1:41" s="465" customFormat="1" ht="18.75" customHeight="1">
      <c r="A93" s="188">
        <v>79</v>
      </c>
      <c r="B93" s="453"/>
      <c r="C93" s="189" t="s">
        <v>783</v>
      </c>
      <c r="D93" s="479" t="s">
        <v>350</v>
      </c>
      <c r="E93" s="467"/>
      <c r="F93" s="467"/>
      <c r="G93" s="467">
        <v>214.46</v>
      </c>
      <c r="H93" s="467"/>
      <c r="I93" s="467"/>
      <c r="J93" s="468"/>
      <c r="K93" s="457"/>
      <c r="L93" s="457"/>
      <c r="M93" s="468"/>
      <c r="N93" s="468"/>
      <c r="O93" s="486"/>
      <c r="P93" s="458"/>
      <c r="Q93" s="223">
        <f t="shared" si="8"/>
        <v>214.46</v>
      </c>
      <c r="R93" s="580"/>
      <c r="S93" s="456"/>
      <c r="T93" s="470">
        <f t="shared" si="13"/>
        <v>0</v>
      </c>
      <c r="U93" s="581">
        <f t="shared" si="9"/>
        <v>0</v>
      </c>
      <c r="V93" s="522"/>
      <c r="W93" s="522"/>
      <c r="X93" s="523"/>
      <c r="Y93" s="522"/>
      <c r="Z93" s="522"/>
      <c r="AA93" s="522"/>
      <c r="AB93" s="483"/>
      <c r="AC93" s="484">
        <f t="shared" si="14"/>
        <v>214.46</v>
      </c>
      <c r="AD93" s="582"/>
      <c r="AE93" s="472"/>
      <c r="AF93" s="464"/>
      <c r="AH93" s="473"/>
      <c r="AI93" s="485"/>
      <c r="AJ93" s="474"/>
      <c r="AK93" s="474"/>
      <c r="AL93" s="474"/>
      <c r="AM93" s="474"/>
      <c r="AN93" s="474"/>
      <c r="AO93" s="474"/>
    </row>
    <row r="94" spans="1:41" s="465" customFormat="1" ht="18.75" customHeight="1">
      <c r="A94" s="103">
        <v>80</v>
      </c>
      <c r="B94" s="453"/>
      <c r="C94" s="583" t="s">
        <v>752</v>
      </c>
      <c r="D94" s="479" t="s">
        <v>350</v>
      </c>
      <c r="E94" s="467"/>
      <c r="F94" s="467"/>
      <c r="H94" s="467">
        <f>100.32-0.03</f>
        <v>100.28999999999999</v>
      </c>
      <c r="I94" s="467"/>
      <c r="J94" s="468"/>
      <c r="K94" s="457"/>
      <c r="L94" s="457"/>
      <c r="M94" s="468"/>
      <c r="N94" s="468"/>
      <c r="O94" s="486"/>
      <c r="P94" s="458"/>
      <c r="Q94" s="223">
        <f t="shared" si="8"/>
        <v>100.28999999999999</v>
      </c>
      <c r="R94" s="468"/>
      <c r="S94" s="468"/>
      <c r="T94" s="475"/>
      <c r="U94" s="584"/>
      <c r="V94" s="522"/>
      <c r="W94" s="522"/>
      <c r="X94" s="523"/>
      <c r="Y94" s="522"/>
      <c r="Z94" s="522"/>
      <c r="AA94" s="522"/>
      <c r="AB94" s="478"/>
      <c r="AC94" s="484">
        <f t="shared" si="14"/>
        <v>100.28999999999999</v>
      </c>
      <c r="AD94" s="582"/>
      <c r="AE94" s="472"/>
      <c r="AF94" s="464"/>
      <c r="AH94" s="473"/>
      <c r="AI94" s="485"/>
      <c r="AJ94" s="474"/>
      <c r="AK94" s="474"/>
      <c r="AL94" s="474"/>
      <c r="AM94" s="474"/>
      <c r="AN94" s="474"/>
      <c r="AO94" s="474"/>
    </row>
    <row r="95" spans="1:41" s="465" customFormat="1" ht="18.75" customHeight="1">
      <c r="A95" s="188">
        <v>81</v>
      </c>
      <c r="B95" s="453"/>
      <c r="C95" s="583" t="s">
        <v>834</v>
      </c>
      <c r="D95" s="466"/>
      <c r="E95" s="467"/>
      <c r="F95" s="467"/>
      <c r="H95" s="467">
        <f>454.11+1952.64+1659.52</f>
        <v>4066.27</v>
      </c>
      <c r="I95" s="467"/>
      <c r="J95" s="468"/>
      <c r="K95" s="457"/>
      <c r="L95" s="457"/>
      <c r="M95" s="468"/>
      <c r="N95" s="468"/>
      <c r="O95" s="486"/>
      <c r="P95" s="458"/>
      <c r="Q95" s="223">
        <f t="shared" si="8"/>
        <v>4066.27</v>
      </c>
      <c r="R95" s="468"/>
      <c r="S95" s="468"/>
      <c r="T95" s="475"/>
      <c r="U95" s="584"/>
      <c r="V95" s="476"/>
      <c r="W95" s="476"/>
      <c r="X95" s="1114"/>
      <c r="Y95" s="476"/>
      <c r="Z95" s="476"/>
      <c r="AA95" s="476"/>
      <c r="AB95" s="478"/>
      <c r="AC95" s="484">
        <f t="shared" si="14"/>
        <v>4066.27</v>
      </c>
      <c r="AD95" s="582"/>
      <c r="AE95" s="472"/>
      <c r="AF95" s="464"/>
      <c r="AH95" s="473"/>
      <c r="AI95" s="485"/>
      <c r="AJ95" s="474"/>
      <c r="AK95" s="474"/>
      <c r="AL95" s="474"/>
      <c r="AM95" s="474"/>
      <c r="AN95" s="474"/>
      <c r="AO95" s="474"/>
    </row>
    <row r="96" spans="1:41" s="635" customFormat="1" ht="18.75" customHeight="1">
      <c r="A96" s="664"/>
      <c r="B96" s="1468" t="s">
        <v>539</v>
      </c>
      <c r="C96" s="1468"/>
      <c r="D96" s="1468"/>
      <c r="E96" s="579">
        <f>SUM(E97:E162)</f>
        <v>185.59999999999985</v>
      </c>
      <c r="F96" s="579">
        <f t="shared" ref="F96:AC96" si="15">SUM(F97:F162)</f>
        <v>0</v>
      </c>
      <c r="G96" s="579">
        <f t="shared" si="15"/>
        <v>430.59</v>
      </c>
      <c r="H96" s="579">
        <f t="shared" si="15"/>
        <v>2085.92</v>
      </c>
      <c r="I96" s="579">
        <f t="shared" si="15"/>
        <v>0</v>
      </c>
      <c r="J96" s="579">
        <f t="shared" si="15"/>
        <v>0</v>
      </c>
      <c r="K96" s="579">
        <f t="shared" si="15"/>
        <v>0</v>
      </c>
      <c r="L96" s="579">
        <f t="shared" si="15"/>
        <v>0</v>
      </c>
      <c r="M96" s="579">
        <f t="shared" si="15"/>
        <v>0</v>
      </c>
      <c r="N96" s="579">
        <f t="shared" si="15"/>
        <v>0</v>
      </c>
      <c r="O96" s="579">
        <f t="shared" si="15"/>
        <v>0</v>
      </c>
      <c r="P96" s="579">
        <f t="shared" si="15"/>
        <v>0</v>
      </c>
      <c r="Q96" s="579">
        <f t="shared" si="15"/>
        <v>2702.1099999999997</v>
      </c>
      <c r="R96" s="579">
        <f t="shared" si="15"/>
        <v>248798</v>
      </c>
      <c r="S96" s="579">
        <f t="shared" si="15"/>
        <v>0</v>
      </c>
      <c r="T96" s="579">
        <f t="shared" si="15"/>
        <v>0</v>
      </c>
      <c r="U96" s="579">
        <f t="shared" si="15"/>
        <v>248798</v>
      </c>
      <c r="V96" s="579">
        <f t="shared" si="15"/>
        <v>1390</v>
      </c>
      <c r="W96" s="579">
        <f t="shared" si="15"/>
        <v>230</v>
      </c>
      <c r="X96" s="579">
        <f t="shared" si="15"/>
        <v>116</v>
      </c>
      <c r="Y96" s="579">
        <f t="shared" si="15"/>
        <v>0</v>
      </c>
      <c r="Z96" s="579">
        <f t="shared" si="15"/>
        <v>0</v>
      </c>
      <c r="AA96" s="579">
        <f t="shared" si="15"/>
        <v>0</v>
      </c>
      <c r="AB96" s="579">
        <f t="shared" si="15"/>
        <v>0</v>
      </c>
      <c r="AC96" s="579">
        <f t="shared" si="15"/>
        <v>2702.1099999999997</v>
      </c>
      <c r="AD96" s="665"/>
      <c r="AE96" s="579">
        <f>SUM(AE97:AE160)</f>
        <v>0</v>
      </c>
      <c r="AF96" s="666">
        <v>1121</v>
      </c>
      <c r="AG96" s="667">
        <v>135</v>
      </c>
      <c r="AH96" s="668">
        <v>1191</v>
      </c>
      <c r="AI96" s="669">
        <v>173</v>
      </c>
      <c r="AJ96" s="670"/>
      <c r="AK96" s="670"/>
      <c r="AL96" s="670"/>
      <c r="AM96" s="670"/>
      <c r="AN96" s="670"/>
      <c r="AO96" s="670"/>
    </row>
    <row r="97" spans="1:41" ht="18.75" customHeight="1">
      <c r="A97" s="165">
        <v>1</v>
      </c>
      <c r="B97" s="221" t="str">
        <f>'Chấm công KT'!C95</f>
        <v>04072</v>
      </c>
      <c r="C97" s="170" t="str">
        <f>'Chấm công KT'!D95</f>
        <v xml:space="preserve">T. Lun </v>
      </c>
      <c r="D97" s="165" t="s">
        <v>26</v>
      </c>
      <c r="E97" s="231">
        <f t="shared" ref="E97:E154" si="16">4/1.25</f>
        <v>3.2</v>
      </c>
      <c r="F97" s="231"/>
      <c r="G97" s="231"/>
      <c r="H97" s="231"/>
      <c r="I97" s="231"/>
      <c r="J97" s="222"/>
      <c r="K97" s="172"/>
      <c r="L97" s="172"/>
      <c r="M97" s="108"/>
      <c r="N97" s="104"/>
      <c r="O97" s="186"/>
      <c r="P97" s="161"/>
      <c r="Q97" s="168">
        <f>SUM(E97:P97)</f>
        <v>3.2</v>
      </c>
      <c r="R97" s="163">
        <f>VLOOKUP(C97,'BTH mủ tạp'!$D$99:$AK$160,34,0)</f>
        <v>4005</v>
      </c>
      <c r="S97" s="171"/>
      <c r="T97" s="162">
        <f t="shared" ref="T97" si="17">S97*50/100</f>
        <v>0</v>
      </c>
      <c r="U97" s="225">
        <f t="shared" ref="U97:U158" si="18">R97</f>
        <v>4005</v>
      </c>
      <c r="V97" s="471">
        <f>VLOOKUP(C97,'Chấm công KT'!$D$95:$AK$156,34,0)</f>
        <v>24</v>
      </c>
      <c r="W97" s="471">
        <f>VLOOKUP(C97,'Chấm công KT'!$D$95:$AL$156,35,0)</f>
        <v>4</v>
      </c>
      <c r="X97" s="471">
        <f>VLOOKUP(C97,'Chấm công KT'!D95:AM156,36,0)</f>
        <v>2</v>
      </c>
      <c r="Y97" s="522"/>
      <c r="Z97" s="522"/>
      <c r="AA97" s="522"/>
      <c r="AB97" s="173"/>
      <c r="AC97" s="169">
        <f t="shared" ref="AC97:AC153" si="19">Q97</f>
        <v>3.2</v>
      </c>
      <c r="AD97" s="105" t="str">
        <f>VLOOKUP(C97,'BTH mủ tạp'!$D$17:$AN$160,37,0)</f>
        <v>A</v>
      </c>
      <c r="AE97" s="166"/>
      <c r="AF97" s="90"/>
      <c r="AH97" s="75"/>
      <c r="AI97" s="72"/>
      <c r="AJ97" s="73"/>
      <c r="AK97" s="73"/>
      <c r="AL97" s="73"/>
      <c r="AM97" s="73"/>
      <c r="AN97" s="73"/>
      <c r="AO97" s="73"/>
    </row>
    <row r="98" spans="1:41" ht="18.75" customHeight="1">
      <c r="A98" s="160">
        <v>2</v>
      </c>
      <c r="B98" s="221" t="str">
        <f>'Chấm công KT'!C96</f>
        <v>03466</v>
      </c>
      <c r="C98" s="170" t="str">
        <f>'Chấm công KT'!D96</f>
        <v>N. Keo</v>
      </c>
      <c r="D98" s="160" t="s">
        <v>26</v>
      </c>
      <c r="E98" s="231">
        <f t="shared" si="16"/>
        <v>3.2</v>
      </c>
      <c r="F98" s="231"/>
      <c r="G98" s="231"/>
      <c r="H98" s="231"/>
      <c r="I98" s="231"/>
      <c r="J98" s="222"/>
      <c r="K98" s="172"/>
      <c r="L98" s="172"/>
      <c r="M98" s="108"/>
      <c r="N98" s="104"/>
      <c r="O98" s="186"/>
      <c r="P98" s="161"/>
      <c r="Q98" s="168">
        <f t="shared" ref="Q98:Q162" si="20">SUM(E98:P98)</f>
        <v>3.2</v>
      </c>
      <c r="R98" s="163">
        <f>VLOOKUP(C98,'BTH mủ tạp'!$D$99:$AK$160,34,0)</f>
        <v>3645</v>
      </c>
      <c r="S98" s="171"/>
      <c r="T98" s="162">
        <f t="shared" ref="T98:T157" si="21">S98*50/100</f>
        <v>0</v>
      </c>
      <c r="U98" s="225">
        <f t="shared" si="18"/>
        <v>3645</v>
      </c>
      <c r="V98" s="471">
        <f>VLOOKUP(C98,'Chấm công KT'!$D$95:$AK$156,34,0)</f>
        <v>23</v>
      </c>
      <c r="W98" s="471">
        <f>VLOOKUP(C98,'Chấm công KT'!$D$95:$AL$156,35,0)</f>
        <v>4</v>
      </c>
      <c r="X98" s="471">
        <f>VLOOKUP(C98,'Chấm công KT'!D96:AM156,36,0)</f>
        <v>2</v>
      </c>
      <c r="Y98" s="522"/>
      <c r="Z98" s="522"/>
      <c r="AA98" s="522"/>
      <c r="AB98" s="173"/>
      <c r="AC98" s="169">
        <f t="shared" si="19"/>
        <v>3.2</v>
      </c>
      <c r="AD98" s="105" t="str">
        <f>VLOOKUP(C98,'BTH mủ tạp'!$D$17:$AN$160,37,0)</f>
        <v>A</v>
      </c>
      <c r="AE98" s="170"/>
      <c r="AF98" s="90"/>
      <c r="AH98" s="79"/>
      <c r="AI98" s="78"/>
      <c r="AJ98" s="77"/>
      <c r="AK98" s="77"/>
      <c r="AL98" s="77"/>
      <c r="AM98" s="77"/>
      <c r="AN98" s="77"/>
      <c r="AO98" s="73"/>
    </row>
    <row r="99" spans="1:41" ht="18.75" customHeight="1">
      <c r="A99" s="160">
        <v>3</v>
      </c>
      <c r="B99" s="221" t="str">
        <f>'Chấm công KT'!C97</f>
        <v>03590</v>
      </c>
      <c r="C99" s="170" t="str">
        <f>'Chấm công KT'!D97</f>
        <v>T .Nhum</v>
      </c>
      <c r="D99" s="160" t="s">
        <v>26</v>
      </c>
      <c r="E99" s="231">
        <f t="shared" si="16"/>
        <v>3.2</v>
      </c>
      <c r="F99" s="231"/>
      <c r="G99" s="231"/>
      <c r="H99" s="231"/>
      <c r="I99" s="231"/>
      <c r="J99" s="222"/>
      <c r="K99" s="172"/>
      <c r="L99" s="172"/>
      <c r="M99" s="108"/>
      <c r="N99" s="104"/>
      <c r="O99" s="186"/>
      <c r="P99" s="161"/>
      <c r="Q99" s="168">
        <f t="shared" si="20"/>
        <v>3.2</v>
      </c>
      <c r="R99" s="163">
        <f>VLOOKUP(C99,'BTH mủ tạp'!$D$99:$AK$160,34,0)</f>
        <v>3643</v>
      </c>
      <c r="S99" s="171"/>
      <c r="T99" s="162">
        <f t="shared" si="21"/>
        <v>0</v>
      </c>
      <c r="U99" s="225">
        <f t="shared" si="18"/>
        <v>3643</v>
      </c>
      <c r="V99" s="471">
        <f>VLOOKUP(C99,'Chấm công KT'!$D$95:$AK$156,34,0)</f>
        <v>24</v>
      </c>
      <c r="W99" s="471">
        <f>VLOOKUP(C99,'Chấm công KT'!$D$95:$AL$156,35,0)</f>
        <v>4</v>
      </c>
      <c r="X99" s="471">
        <f>VLOOKUP(C99,'Chấm công KT'!D97:AM156,36,0)</f>
        <v>2</v>
      </c>
      <c r="Y99" s="522"/>
      <c r="Z99" s="522"/>
      <c r="AA99" s="522"/>
      <c r="AB99" s="173"/>
      <c r="AC99" s="169">
        <f t="shared" si="19"/>
        <v>3.2</v>
      </c>
      <c r="AD99" s="105" t="str">
        <f>VLOOKUP(C99,'BTH mủ tạp'!$D$17:$AN$160,37,0)</f>
        <v>A</v>
      </c>
      <c r="AE99" s="170"/>
      <c r="AF99" s="90"/>
      <c r="AG99" s="87"/>
      <c r="AH99" s="87"/>
    </row>
    <row r="100" spans="1:41" ht="18.75" customHeight="1">
      <c r="A100" s="160">
        <v>4</v>
      </c>
      <c r="B100" s="221" t="str">
        <f>'Chấm công KT'!C98</f>
        <v>03591</v>
      </c>
      <c r="C100" s="170" t="str">
        <f>'Chấm công KT'!D98</f>
        <v>N.Vông Ma Ni</v>
      </c>
      <c r="D100" s="160" t="s">
        <v>26</v>
      </c>
      <c r="E100" s="231">
        <f t="shared" si="16"/>
        <v>3.2</v>
      </c>
      <c r="F100" s="231"/>
      <c r="G100" s="231"/>
      <c r="H100" s="231"/>
      <c r="I100" s="231"/>
      <c r="J100" s="222"/>
      <c r="K100" s="172"/>
      <c r="L100" s="172"/>
      <c r="M100" s="108"/>
      <c r="N100" s="104"/>
      <c r="O100" s="186"/>
      <c r="P100" s="161"/>
      <c r="Q100" s="168">
        <f t="shared" si="20"/>
        <v>3.2</v>
      </c>
      <c r="R100" s="163">
        <f>VLOOKUP(C100,'BTH mủ tạp'!$D$99:$AK$160,34,0)</f>
        <v>4069</v>
      </c>
      <c r="S100" s="171"/>
      <c r="T100" s="162">
        <f t="shared" si="21"/>
        <v>0</v>
      </c>
      <c r="U100" s="225">
        <f t="shared" si="18"/>
        <v>4069</v>
      </c>
      <c r="V100" s="471">
        <f>VLOOKUP(C100,'Chấm công KT'!$D$95:$AK$156,34,0)</f>
        <v>24</v>
      </c>
      <c r="W100" s="471">
        <f>VLOOKUP(C100,'Chấm công KT'!$D$95:$AL$156,35,0)</f>
        <v>4</v>
      </c>
      <c r="X100" s="471">
        <f>VLOOKUP(C100,'Chấm công KT'!D98:AM156,36,0)</f>
        <v>2</v>
      </c>
      <c r="Y100" s="522"/>
      <c r="Z100" s="522"/>
      <c r="AA100" s="522"/>
      <c r="AB100" s="173"/>
      <c r="AC100" s="169">
        <f t="shared" si="19"/>
        <v>3.2</v>
      </c>
      <c r="AD100" s="105" t="str">
        <f>VLOOKUP(C100,'BTH mủ tạp'!$D$17:$AN$160,37,0)</f>
        <v>A</v>
      </c>
      <c r="AE100" s="170"/>
      <c r="AF100" s="90"/>
    </row>
    <row r="101" spans="1:41" ht="18.75" customHeight="1">
      <c r="A101" s="160">
        <v>5</v>
      </c>
      <c r="B101" s="221" t="str">
        <f>'Chấm công KT'!C99</f>
        <v>03592</v>
      </c>
      <c r="C101" s="170" t="str">
        <f>'Chấm công KT'!D99</f>
        <v>Đao Hương</v>
      </c>
      <c r="D101" s="160" t="s">
        <v>26</v>
      </c>
      <c r="E101" s="231">
        <f t="shared" si="16"/>
        <v>3.2</v>
      </c>
      <c r="F101" s="231"/>
      <c r="G101" s="231"/>
      <c r="H101" s="231"/>
      <c r="I101" s="231"/>
      <c r="J101" s="222"/>
      <c r="K101" s="172"/>
      <c r="L101" s="172"/>
      <c r="M101" s="108"/>
      <c r="N101" s="104"/>
      <c r="O101" s="186"/>
      <c r="P101" s="161"/>
      <c r="Q101" s="168">
        <f t="shared" si="20"/>
        <v>3.2</v>
      </c>
      <c r="R101" s="163">
        <f>VLOOKUP(C101,'BTH mủ tạp'!$D$99:$AK$160,34,0)</f>
        <v>3738</v>
      </c>
      <c r="S101" s="171"/>
      <c r="T101" s="162">
        <f t="shared" si="21"/>
        <v>0</v>
      </c>
      <c r="U101" s="225">
        <f t="shared" si="18"/>
        <v>3738</v>
      </c>
      <c r="V101" s="471">
        <f>VLOOKUP(C101,'Chấm công KT'!$D$95:$AK$156,34,0)</f>
        <v>24</v>
      </c>
      <c r="W101" s="471">
        <f>VLOOKUP(C101,'Chấm công KT'!$D$95:$AL$156,35,0)</f>
        <v>4</v>
      </c>
      <c r="X101" s="471">
        <f>VLOOKUP(C101,'Chấm công KT'!D99:AM156,36,0)</f>
        <v>2</v>
      </c>
      <c r="Y101" s="522"/>
      <c r="Z101" s="522"/>
      <c r="AA101" s="522"/>
      <c r="AB101" s="173"/>
      <c r="AC101" s="169">
        <f t="shared" si="19"/>
        <v>3.2</v>
      </c>
      <c r="AD101" s="105" t="str">
        <f>VLOOKUP(C101,'BTH mủ tạp'!$D$17:$AN$160,37,0)</f>
        <v>A</v>
      </c>
      <c r="AE101" s="170"/>
      <c r="AF101" s="90">
        <f>241.33-E96</f>
        <v>55.73000000000016</v>
      </c>
    </row>
    <row r="102" spans="1:41" ht="18.75" customHeight="1">
      <c r="A102" s="160">
        <v>6</v>
      </c>
      <c r="B102" s="221" t="str">
        <f>'Chấm công KT'!C100</f>
        <v>03593</v>
      </c>
      <c r="C102" s="170" t="str">
        <f>'Chấm công KT'!D100</f>
        <v>T. Xi Nun</v>
      </c>
      <c r="D102" s="160" t="s">
        <v>26</v>
      </c>
      <c r="E102" s="231">
        <f t="shared" si="16"/>
        <v>3.2</v>
      </c>
      <c r="F102" s="231"/>
      <c r="G102" s="231"/>
      <c r="H102" s="231"/>
      <c r="I102" s="231"/>
      <c r="J102" s="222"/>
      <c r="K102" s="172"/>
      <c r="L102" s="172"/>
      <c r="M102" s="108"/>
      <c r="N102" s="104"/>
      <c r="O102" s="186"/>
      <c r="P102" s="161"/>
      <c r="Q102" s="168">
        <f t="shared" si="20"/>
        <v>3.2</v>
      </c>
      <c r="R102" s="163">
        <f>VLOOKUP(C102,'BTH mủ tạp'!$D$99:$AK$160,34,0)</f>
        <v>5007</v>
      </c>
      <c r="S102" s="171"/>
      <c r="T102" s="162">
        <f t="shared" si="21"/>
        <v>0</v>
      </c>
      <c r="U102" s="225">
        <f t="shared" si="18"/>
        <v>5007</v>
      </c>
      <c r="V102" s="471">
        <f>VLOOKUP(C102,'Chấm công KT'!$D$95:$AK$156,34,0)</f>
        <v>22</v>
      </c>
      <c r="W102" s="471">
        <f>VLOOKUP(C102,'Chấm công KT'!$D$95:$AL$156,35,0)</f>
        <v>4</v>
      </c>
      <c r="X102" s="471">
        <f>VLOOKUP(C102,'Chấm công KT'!D100:AM156,36,0)</f>
        <v>2</v>
      </c>
      <c r="Y102" s="522"/>
      <c r="Z102" s="522"/>
      <c r="AA102" s="522"/>
      <c r="AB102" s="173"/>
      <c r="AC102" s="169">
        <f t="shared" si="19"/>
        <v>3.2</v>
      </c>
      <c r="AD102" s="105" t="str">
        <f>VLOOKUP(C102,'BTH mủ tạp'!$D$17:$AN$160,37,0)</f>
        <v>B</v>
      </c>
      <c r="AE102" s="170"/>
      <c r="AF102" s="90"/>
      <c r="AG102" s="88">
        <f>183*0.5</f>
        <v>91.5</v>
      </c>
    </row>
    <row r="103" spans="1:41" ht="18.75" customHeight="1">
      <c r="A103" s="160">
        <v>7</v>
      </c>
      <c r="B103" s="221" t="str">
        <f>'Chấm công KT'!C101</f>
        <v>03594</v>
      </c>
      <c r="C103" s="170" t="str">
        <f>'Chấm công KT'!D101</f>
        <v>T. Bun Hinh</v>
      </c>
      <c r="D103" s="160" t="s">
        <v>26</v>
      </c>
      <c r="E103" s="231">
        <f t="shared" si="16"/>
        <v>3.2</v>
      </c>
      <c r="F103" s="231"/>
      <c r="G103" s="231"/>
      <c r="H103" s="231"/>
      <c r="I103" s="231"/>
      <c r="J103" s="222"/>
      <c r="K103" s="172"/>
      <c r="L103" s="172"/>
      <c r="M103" s="108"/>
      <c r="N103" s="104"/>
      <c r="O103" s="186"/>
      <c r="P103" s="161"/>
      <c r="Q103" s="168">
        <f t="shared" si="20"/>
        <v>3.2</v>
      </c>
      <c r="R103" s="163">
        <f>VLOOKUP(C103,'BTH mủ tạp'!$D$99:$AK$160,34,0)</f>
        <v>3159</v>
      </c>
      <c r="S103" s="171"/>
      <c r="T103" s="162">
        <f t="shared" si="21"/>
        <v>0</v>
      </c>
      <c r="U103" s="225">
        <f t="shared" si="18"/>
        <v>3159</v>
      </c>
      <c r="V103" s="471">
        <f>VLOOKUP(C103,'Chấm công KT'!$D$95:$AK$156,34,0)</f>
        <v>24</v>
      </c>
      <c r="W103" s="471">
        <f>VLOOKUP(C103,'Chấm công KT'!$D$95:$AL$156,35,0)</f>
        <v>4</v>
      </c>
      <c r="X103" s="471">
        <f>VLOOKUP(C103,'Chấm công KT'!D101:AM156,36,0)</f>
        <v>2</v>
      </c>
      <c r="Y103" s="522"/>
      <c r="Z103" s="522"/>
      <c r="AA103" s="522"/>
      <c r="AB103" s="173"/>
      <c r="AC103" s="169">
        <f t="shared" si="19"/>
        <v>3.2</v>
      </c>
      <c r="AD103" s="105" t="str">
        <f>VLOOKUP(C103,'BTH mủ tạp'!$D$17:$AN$160,37,0)</f>
        <v>A</v>
      </c>
      <c r="AE103" s="170"/>
      <c r="AF103" s="90"/>
    </row>
    <row r="104" spans="1:41" ht="18.75" customHeight="1">
      <c r="A104" s="160">
        <v>8</v>
      </c>
      <c r="B104" s="221" t="str">
        <f>'Chấm công KT'!C102</f>
        <v>04073</v>
      </c>
      <c r="C104" s="170" t="str">
        <f>'Chấm công KT'!D102</f>
        <v>T. Miềng</v>
      </c>
      <c r="D104" s="160" t="s">
        <v>26</v>
      </c>
      <c r="E104" s="231">
        <f t="shared" si="16"/>
        <v>3.2</v>
      </c>
      <c r="F104" s="231"/>
      <c r="G104" s="231"/>
      <c r="H104" s="231"/>
      <c r="I104" s="231"/>
      <c r="J104" s="222"/>
      <c r="K104" s="172"/>
      <c r="L104" s="172"/>
      <c r="M104" s="231"/>
      <c r="N104" s="167"/>
      <c r="O104" s="239"/>
      <c r="P104" s="161"/>
      <c r="Q104" s="168">
        <f t="shared" si="20"/>
        <v>3.2</v>
      </c>
      <c r="R104" s="163">
        <f>VLOOKUP(C104,'BTH mủ tạp'!$D$99:$AK$160,34,0)</f>
        <v>2961</v>
      </c>
      <c r="S104" s="171"/>
      <c r="T104" s="162">
        <f t="shared" si="21"/>
        <v>0</v>
      </c>
      <c r="U104" s="225">
        <f t="shared" si="18"/>
        <v>2961</v>
      </c>
      <c r="V104" s="471">
        <f>VLOOKUP(C104,'Chấm công KT'!$D$95:$AK$156,34,0)</f>
        <v>22</v>
      </c>
      <c r="W104" s="471">
        <f>VLOOKUP(C104,'Chấm công KT'!$D$95:$AL$156,35,0)</f>
        <v>4</v>
      </c>
      <c r="X104" s="471">
        <f>VLOOKUP(C104,'Chấm công KT'!D102:AM156,36,0)</f>
        <v>2</v>
      </c>
      <c r="Y104" s="522"/>
      <c r="Z104" s="522"/>
      <c r="AA104" s="522"/>
      <c r="AB104" s="173"/>
      <c r="AC104" s="169">
        <f t="shared" si="19"/>
        <v>3.2</v>
      </c>
      <c r="AD104" s="105" t="str">
        <f>VLOOKUP(C104,'BTH mủ tạp'!$D$17:$AN$160,37,0)</f>
        <v>B</v>
      </c>
      <c r="AE104" s="170"/>
      <c r="AF104" s="90"/>
    </row>
    <row r="105" spans="1:41" ht="18.75" customHeight="1">
      <c r="A105" s="160">
        <v>9</v>
      </c>
      <c r="B105" s="221" t="str">
        <f>'Chấm công KT'!C103</f>
        <v>03596</v>
      </c>
      <c r="C105" s="170" t="str">
        <f>'Chấm công KT'!D103</f>
        <v>N. Xúc</v>
      </c>
      <c r="D105" s="160" t="s">
        <v>26</v>
      </c>
      <c r="E105" s="231">
        <f t="shared" si="16"/>
        <v>3.2</v>
      </c>
      <c r="F105" s="231"/>
      <c r="G105" s="231"/>
      <c r="H105" s="231"/>
      <c r="I105" s="231"/>
      <c r="J105" s="222"/>
      <c r="K105" s="172"/>
      <c r="L105" s="172"/>
      <c r="M105" s="167"/>
      <c r="N105" s="167"/>
      <c r="O105" s="239"/>
      <c r="P105" s="161"/>
      <c r="Q105" s="168">
        <f t="shared" si="20"/>
        <v>3.2</v>
      </c>
      <c r="R105" s="163">
        <f>VLOOKUP(C105,'BTH mủ tạp'!$D$99:$AK$160,34,0)</f>
        <v>3504</v>
      </c>
      <c r="S105" s="171"/>
      <c r="T105" s="162">
        <f t="shared" si="21"/>
        <v>0</v>
      </c>
      <c r="U105" s="225">
        <f t="shared" si="18"/>
        <v>3504</v>
      </c>
      <c r="V105" s="471">
        <f>VLOOKUP(C105,'Chấm công KT'!$D$95:$AK$156,34,0)</f>
        <v>23</v>
      </c>
      <c r="W105" s="471">
        <f>VLOOKUP(C105,'Chấm công KT'!$D$95:$AL$156,35,0)</f>
        <v>3</v>
      </c>
      <c r="X105" s="471">
        <f>VLOOKUP(C105,'Chấm công KT'!D103:AM156,36,0)</f>
        <v>2</v>
      </c>
      <c r="Y105" s="522"/>
      <c r="Z105" s="522"/>
      <c r="AA105" s="522"/>
      <c r="AB105" s="173"/>
      <c r="AC105" s="169">
        <f t="shared" si="19"/>
        <v>3.2</v>
      </c>
      <c r="AD105" s="105" t="str">
        <f>VLOOKUP(C105,'BTH mủ tạp'!$D$17:$AN$160,37,0)</f>
        <v>B</v>
      </c>
      <c r="AE105" s="170"/>
      <c r="AF105" s="90"/>
    </row>
    <row r="106" spans="1:41" ht="18.75" customHeight="1">
      <c r="A106" s="160">
        <v>10</v>
      </c>
      <c r="B106" s="221" t="str">
        <f>'Chấm công KT'!C104</f>
        <v>03597</v>
      </c>
      <c r="C106" s="170" t="str">
        <f>'Chấm công KT'!D104</f>
        <v>N. Lẹ</v>
      </c>
      <c r="D106" s="160" t="s">
        <v>26</v>
      </c>
      <c r="E106" s="231">
        <f t="shared" si="16"/>
        <v>3.2</v>
      </c>
      <c r="F106" s="231"/>
      <c r="G106" s="231"/>
      <c r="H106" s="231"/>
      <c r="I106" s="231"/>
      <c r="J106" s="222"/>
      <c r="K106" s="172"/>
      <c r="L106" s="172"/>
      <c r="M106" s="222"/>
      <c r="N106" s="104"/>
      <c r="O106" s="186"/>
      <c r="P106" s="161"/>
      <c r="Q106" s="168">
        <f t="shared" si="20"/>
        <v>3.2</v>
      </c>
      <c r="R106" s="163">
        <f>VLOOKUP(C106,'BTH mủ tạp'!$D$99:$AK$160,34,0)</f>
        <v>3777</v>
      </c>
      <c r="S106" s="171"/>
      <c r="T106" s="162">
        <f t="shared" si="21"/>
        <v>0</v>
      </c>
      <c r="U106" s="225">
        <f t="shared" si="18"/>
        <v>3777</v>
      </c>
      <c r="V106" s="471">
        <f>VLOOKUP(C106,'Chấm công KT'!$D$95:$AK$156,34,0)</f>
        <v>24</v>
      </c>
      <c r="W106" s="471">
        <f>VLOOKUP(C106,'Chấm công KT'!$D$95:$AL$156,35,0)</f>
        <v>4</v>
      </c>
      <c r="X106" s="471">
        <f>VLOOKUP(C106,'Chấm công KT'!D104:AM156,36,0)</f>
        <v>2</v>
      </c>
      <c r="Y106" s="522"/>
      <c r="Z106" s="522"/>
      <c r="AA106" s="522"/>
      <c r="AB106" s="173"/>
      <c r="AC106" s="169">
        <f t="shared" si="19"/>
        <v>3.2</v>
      </c>
      <c r="AD106" s="105" t="str">
        <f>VLOOKUP(C106,'BTH mủ tạp'!$D$17:$AN$160,37,0)</f>
        <v>A</v>
      </c>
      <c r="AE106" s="170"/>
      <c r="AF106" s="90"/>
    </row>
    <row r="107" spans="1:41" ht="18.75" customHeight="1">
      <c r="A107" s="160">
        <v>11</v>
      </c>
      <c r="B107" s="221" t="str">
        <f>'Chấm công KT'!C105</f>
        <v>03598</v>
      </c>
      <c r="C107" s="170" t="str">
        <f>'Chấm công KT'!D105</f>
        <v>N . Thích</v>
      </c>
      <c r="D107" s="160" t="s">
        <v>26</v>
      </c>
      <c r="E107" s="231">
        <f t="shared" si="16"/>
        <v>3.2</v>
      </c>
      <c r="F107" s="231"/>
      <c r="G107" s="231"/>
      <c r="H107" s="231"/>
      <c r="I107" s="231"/>
      <c r="J107" s="222"/>
      <c r="K107" s="172"/>
      <c r="L107" s="172"/>
      <c r="M107" s="108"/>
      <c r="N107" s="104"/>
      <c r="O107" s="186"/>
      <c r="P107" s="161"/>
      <c r="Q107" s="168">
        <f t="shared" si="20"/>
        <v>3.2</v>
      </c>
      <c r="R107" s="163">
        <f>VLOOKUP(C107,'BTH mủ tạp'!$D$99:$AK$160,34,0)</f>
        <v>3807</v>
      </c>
      <c r="S107" s="171"/>
      <c r="T107" s="162">
        <f t="shared" si="21"/>
        <v>0</v>
      </c>
      <c r="U107" s="225">
        <f t="shared" si="18"/>
        <v>3807</v>
      </c>
      <c r="V107" s="471">
        <f>VLOOKUP(C107,'Chấm công KT'!$D$95:$AK$156,34,0)</f>
        <v>24</v>
      </c>
      <c r="W107" s="471">
        <f>VLOOKUP(C107,'Chấm công KT'!$D$95:$AL$156,35,0)</f>
        <v>4</v>
      </c>
      <c r="X107" s="471">
        <f>VLOOKUP(C107,'Chấm công KT'!D105:AM156,36,0)</f>
        <v>2</v>
      </c>
      <c r="Y107" s="522"/>
      <c r="Z107" s="522"/>
      <c r="AA107" s="522"/>
      <c r="AB107" s="173"/>
      <c r="AC107" s="169">
        <f t="shared" si="19"/>
        <v>3.2</v>
      </c>
      <c r="AD107" s="105" t="str">
        <f>VLOOKUP(C107,'BTH mủ tạp'!$D$17:$AN$160,37,0)</f>
        <v>A</v>
      </c>
      <c r="AE107" s="170"/>
      <c r="AF107" s="90"/>
    </row>
    <row r="108" spans="1:41" ht="18.75" customHeight="1">
      <c r="A108" s="160">
        <v>12</v>
      </c>
      <c r="B108" s="221" t="str">
        <f>'Chấm công KT'!C106</f>
        <v>03599</v>
      </c>
      <c r="C108" s="170" t="str">
        <f>'Chấm công KT'!D106</f>
        <v>N. Cong Mi</v>
      </c>
      <c r="D108" s="160" t="s">
        <v>26</v>
      </c>
      <c r="E108" s="231">
        <f t="shared" si="16"/>
        <v>3.2</v>
      </c>
      <c r="F108" s="231"/>
      <c r="G108" s="231"/>
      <c r="H108" s="231"/>
      <c r="I108" s="231"/>
      <c r="J108" s="222"/>
      <c r="K108" s="172"/>
      <c r="L108" s="172"/>
      <c r="M108" s="108"/>
      <c r="N108" s="104"/>
      <c r="O108" s="186"/>
      <c r="P108" s="161"/>
      <c r="Q108" s="168">
        <f t="shared" si="20"/>
        <v>3.2</v>
      </c>
      <c r="R108" s="163">
        <f>VLOOKUP(C108,'BTH mủ tạp'!$D$99:$AK$160,34,0)</f>
        <v>3349</v>
      </c>
      <c r="S108" s="171"/>
      <c r="T108" s="162">
        <f t="shared" si="21"/>
        <v>0</v>
      </c>
      <c r="U108" s="225">
        <f t="shared" si="18"/>
        <v>3349</v>
      </c>
      <c r="V108" s="471">
        <f>VLOOKUP(C108,'Chấm công KT'!$D$95:$AK$156,34,0)</f>
        <v>24</v>
      </c>
      <c r="W108" s="471">
        <f>VLOOKUP(C108,'Chấm công KT'!$D$95:$AL$156,35,0)</f>
        <v>4</v>
      </c>
      <c r="X108" s="471">
        <f>VLOOKUP(C108,'Chấm công KT'!D106:AM156,36,0)</f>
        <v>2</v>
      </c>
      <c r="Y108" s="522"/>
      <c r="Z108" s="522"/>
      <c r="AA108" s="522"/>
      <c r="AB108" s="173"/>
      <c r="AC108" s="169">
        <f t="shared" si="19"/>
        <v>3.2</v>
      </c>
      <c r="AD108" s="105" t="str">
        <f>VLOOKUP(C108,'BTH mủ tạp'!$D$17:$AN$160,37,0)</f>
        <v>A</v>
      </c>
      <c r="AE108" s="170"/>
      <c r="AF108" s="90"/>
    </row>
    <row r="109" spans="1:41" ht="18.75" customHeight="1">
      <c r="A109" s="160">
        <v>13</v>
      </c>
      <c r="B109" s="221" t="str">
        <f>'Chấm công KT'!C107</f>
        <v>04074</v>
      </c>
      <c r="C109" s="170" t="str">
        <f>'Chấm công KT'!D107</f>
        <v>T. Na</v>
      </c>
      <c r="D109" s="160" t="s">
        <v>26</v>
      </c>
      <c r="E109" s="231">
        <f t="shared" si="16"/>
        <v>3.2</v>
      </c>
      <c r="F109" s="231"/>
      <c r="G109" s="231"/>
      <c r="H109" s="231"/>
      <c r="I109" s="231"/>
      <c r="J109" s="222"/>
      <c r="K109" s="172"/>
      <c r="L109" s="172"/>
      <c r="M109" s="108"/>
      <c r="N109" s="104"/>
      <c r="O109" s="186"/>
      <c r="P109" s="161"/>
      <c r="Q109" s="168">
        <f t="shared" si="20"/>
        <v>3.2</v>
      </c>
      <c r="R109" s="163">
        <f>VLOOKUP(C109,'BTH mủ tạp'!$D$99:$AK$160,34,0)</f>
        <v>3122</v>
      </c>
      <c r="S109" s="171"/>
      <c r="T109" s="162">
        <f t="shared" si="21"/>
        <v>0</v>
      </c>
      <c r="U109" s="225">
        <f t="shared" si="18"/>
        <v>3122</v>
      </c>
      <c r="V109" s="471">
        <f>VLOOKUP(C109,'Chấm công KT'!$D$95:$AK$156,34,0)</f>
        <v>22</v>
      </c>
      <c r="W109" s="471">
        <f>VLOOKUP(C109,'Chấm công KT'!$D$95:$AL$156,35,0)</f>
        <v>4</v>
      </c>
      <c r="X109" s="471">
        <f>VLOOKUP(C109,'Chấm công KT'!D107:AM156,36,0)</f>
        <v>2</v>
      </c>
      <c r="Y109" s="522"/>
      <c r="Z109" s="522"/>
      <c r="AA109" s="522"/>
      <c r="AB109" s="173"/>
      <c r="AC109" s="169">
        <f t="shared" si="19"/>
        <v>3.2</v>
      </c>
      <c r="AD109" s="105" t="str">
        <f>VLOOKUP(C109,'BTH mủ tạp'!$D$17:$AN$160,37,0)</f>
        <v>A</v>
      </c>
      <c r="AE109" s="170"/>
      <c r="AF109" s="90"/>
    </row>
    <row r="110" spans="1:41" ht="18.75" customHeight="1">
      <c r="A110" s="160">
        <v>14</v>
      </c>
      <c r="B110" s="221" t="str">
        <f>'Chấm công KT'!C108</f>
        <v>03601</v>
      </c>
      <c r="C110" s="170" t="str">
        <f>'Chấm công KT'!D108</f>
        <v>T. Khăm Mặn</v>
      </c>
      <c r="D110" s="160" t="s">
        <v>26</v>
      </c>
      <c r="E110" s="231">
        <f t="shared" si="16"/>
        <v>3.2</v>
      </c>
      <c r="F110" s="231"/>
      <c r="G110" s="231"/>
      <c r="H110" s="231"/>
      <c r="I110" s="231"/>
      <c r="J110" s="222"/>
      <c r="K110" s="172"/>
      <c r="L110" s="172"/>
      <c r="M110" s="222"/>
      <c r="N110" s="167"/>
      <c r="O110" s="239"/>
      <c r="P110" s="161"/>
      <c r="Q110" s="168">
        <f t="shared" si="20"/>
        <v>3.2</v>
      </c>
      <c r="R110" s="163">
        <f>VLOOKUP(C110,'BTH mủ tạp'!$D$99:$AK$160,34,0)</f>
        <v>5050</v>
      </c>
      <c r="S110" s="171"/>
      <c r="T110" s="162">
        <f t="shared" si="21"/>
        <v>0</v>
      </c>
      <c r="U110" s="225">
        <f t="shared" si="18"/>
        <v>5050</v>
      </c>
      <c r="V110" s="471">
        <f>VLOOKUP(C110,'Chấm công KT'!$D$95:$AK$156,34,0)</f>
        <v>24</v>
      </c>
      <c r="W110" s="471">
        <f>VLOOKUP(C110,'Chấm công KT'!$D$95:$AL$156,35,0)</f>
        <v>4</v>
      </c>
      <c r="X110" s="471">
        <f>VLOOKUP(C110,'Chấm công KT'!D108:AM156,36,0)</f>
        <v>2</v>
      </c>
      <c r="Y110" s="522"/>
      <c r="Z110" s="522"/>
      <c r="AA110" s="522"/>
      <c r="AB110" s="173"/>
      <c r="AC110" s="169">
        <f t="shared" si="19"/>
        <v>3.2</v>
      </c>
      <c r="AD110" s="105" t="str">
        <f>VLOOKUP(C110,'BTH mủ tạp'!$D$17:$AN$160,37,0)</f>
        <v>A</v>
      </c>
      <c r="AE110" s="170"/>
      <c r="AF110" s="90"/>
      <c r="AG110" s="70"/>
    </row>
    <row r="111" spans="1:41" ht="18.75" customHeight="1">
      <c r="A111" s="160">
        <v>15</v>
      </c>
      <c r="B111" s="221" t="str">
        <f>'Chấm công KT'!C109</f>
        <v>03602</v>
      </c>
      <c r="C111" s="170" t="str">
        <f>'Chấm công KT'!D109</f>
        <v>T . In Tong</v>
      </c>
      <c r="D111" s="160" t="s">
        <v>26</v>
      </c>
      <c r="E111" s="231">
        <f t="shared" si="16"/>
        <v>3.2</v>
      </c>
      <c r="F111" s="231"/>
      <c r="G111" s="231"/>
      <c r="H111" s="231"/>
      <c r="I111" s="231"/>
      <c r="J111" s="222"/>
      <c r="K111" s="172"/>
      <c r="L111" s="172"/>
      <c r="M111" s="108"/>
      <c r="N111" s="104"/>
      <c r="O111" s="186"/>
      <c r="P111" s="161"/>
      <c r="Q111" s="168">
        <f t="shared" si="20"/>
        <v>3.2</v>
      </c>
      <c r="R111" s="163">
        <f>VLOOKUP(C111,'BTH mủ tạp'!$D$99:$AK$160,34,0)</f>
        <v>3873</v>
      </c>
      <c r="S111" s="171"/>
      <c r="T111" s="162">
        <f t="shared" si="21"/>
        <v>0</v>
      </c>
      <c r="U111" s="225">
        <f t="shared" si="18"/>
        <v>3873</v>
      </c>
      <c r="V111" s="471">
        <f>VLOOKUP(C111,'Chấm công KT'!$D$95:$AK$156,34,0)</f>
        <v>24</v>
      </c>
      <c r="W111" s="471">
        <f>VLOOKUP(C111,'Chấm công KT'!$D$95:$AL$156,35,0)</f>
        <v>4</v>
      </c>
      <c r="X111" s="471">
        <f>VLOOKUP(C111,'Chấm công KT'!D109:AM156,36,0)</f>
        <v>2</v>
      </c>
      <c r="Y111" s="522"/>
      <c r="Z111" s="522"/>
      <c r="AA111" s="522"/>
      <c r="AB111" s="173"/>
      <c r="AC111" s="169">
        <f t="shared" si="19"/>
        <v>3.2</v>
      </c>
      <c r="AD111" s="105" t="str">
        <f>VLOOKUP(C111,'BTH mủ tạp'!$D$17:$AN$160,37,0)</f>
        <v>A</v>
      </c>
      <c r="AE111" s="170"/>
      <c r="AF111" s="90"/>
    </row>
    <row r="112" spans="1:41" ht="18.75" customHeight="1">
      <c r="A112" s="160">
        <v>16</v>
      </c>
      <c r="B112" s="221" t="str">
        <f>'Chấm công KT'!C110</f>
        <v>03496</v>
      </c>
      <c r="C112" s="170" t="str">
        <f>'Chấm công KT'!D110</f>
        <v>T. Lốp</v>
      </c>
      <c r="D112" s="160" t="s">
        <v>26</v>
      </c>
      <c r="E112" s="231">
        <f t="shared" si="16"/>
        <v>3.2</v>
      </c>
      <c r="F112" s="231"/>
      <c r="G112" s="231"/>
      <c r="H112" s="231"/>
      <c r="I112" s="231"/>
      <c r="J112" s="222"/>
      <c r="K112" s="172"/>
      <c r="L112" s="172"/>
      <c r="M112" s="108"/>
      <c r="N112" s="104"/>
      <c r="O112" s="186"/>
      <c r="P112" s="161"/>
      <c r="Q112" s="168">
        <f t="shared" si="20"/>
        <v>3.2</v>
      </c>
      <c r="R112" s="163">
        <f>VLOOKUP(C112,'BTH mủ tạp'!$D$99:$AK$160,34,0)</f>
        <v>3944</v>
      </c>
      <c r="S112" s="171"/>
      <c r="T112" s="162">
        <f t="shared" si="21"/>
        <v>0</v>
      </c>
      <c r="U112" s="225">
        <f t="shared" si="18"/>
        <v>3944</v>
      </c>
      <c r="V112" s="471">
        <f>VLOOKUP(C112,'Chấm công KT'!$D$95:$AK$156,34,0)</f>
        <v>24</v>
      </c>
      <c r="W112" s="471">
        <f>VLOOKUP(C112,'Chấm công KT'!$D$95:$AL$156,35,0)</f>
        <v>4</v>
      </c>
      <c r="X112" s="471">
        <f>VLOOKUP(C112,'Chấm công KT'!D110:AM156,36,0)</f>
        <v>2</v>
      </c>
      <c r="Y112" s="522"/>
      <c r="Z112" s="522"/>
      <c r="AA112" s="522"/>
      <c r="AB112" s="173"/>
      <c r="AC112" s="169">
        <f t="shared" si="19"/>
        <v>3.2</v>
      </c>
      <c r="AD112" s="105" t="str">
        <f>VLOOKUP(C112,'BTH mủ tạp'!$D$17:$AN$160,37,0)</f>
        <v>A</v>
      </c>
      <c r="AE112" s="170"/>
      <c r="AF112" s="90"/>
    </row>
    <row r="113" spans="1:32" ht="18.75" customHeight="1">
      <c r="A113" s="160">
        <v>17</v>
      </c>
      <c r="B113" s="221" t="str">
        <f>'Chấm công KT'!C111</f>
        <v>03604</v>
      </c>
      <c r="C113" s="170" t="str">
        <f>'Chấm công KT'!D111</f>
        <v>T. Lăm Phêng</v>
      </c>
      <c r="D113" s="160" t="s">
        <v>26</v>
      </c>
      <c r="E113" s="231">
        <f t="shared" si="16"/>
        <v>3.2</v>
      </c>
      <c r="F113" s="231"/>
      <c r="G113" s="231"/>
      <c r="H113" s="231"/>
      <c r="I113" s="231"/>
      <c r="J113" s="222"/>
      <c r="K113" s="172"/>
      <c r="L113" s="172"/>
      <c r="M113" s="222"/>
      <c r="N113" s="167"/>
      <c r="O113" s="239"/>
      <c r="P113" s="161"/>
      <c r="Q113" s="168">
        <f t="shared" si="20"/>
        <v>3.2</v>
      </c>
      <c r="R113" s="163">
        <f>VLOOKUP(C113,'BTH mủ tạp'!$D$99:$AK$160,34,0)</f>
        <v>6421</v>
      </c>
      <c r="S113" s="171"/>
      <c r="T113" s="162">
        <f t="shared" si="21"/>
        <v>0</v>
      </c>
      <c r="U113" s="225">
        <f t="shared" si="18"/>
        <v>6421</v>
      </c>
      <c r="V113" s="471">
        <f>VLOOKUP(C113,'Chấm công KT'!$D$95:$AK$156,34,0)</f>
        <v>24</v>
      </c>
      <c r="W113" s="471">
        <f>VLOOKUP(C113,'Chấm công KT'!$D$95:$AL$156,35,0)</f>
        <v>4</v>
      </c>
      <c r="X113" s="471">
        <f>VLOOKUP(C113,'Chấm công KT'!D111:AM156,36,0)</f>
        <v>2</v>
      </c>
      <c r="Y113" s="522"/>
      <c r="Z113" s="522"/>
      <c r="AA113" s="522"/>
      <c r="AB113" s="173"/>
      <c r="AC113" s="169">
        <f t="shared" si="19"/>
        <v>3.2</v>
      </c>
      <c r="AD113" s="105" t="str">
        <f>VLOOKUP(C113,'BTH mủ tạp'!$D$17:$AN$160,37,0)</f>
        <v>A</v>
      </c>
      <c r="AE113" s="170"/>
      <c r="AF113" s="90"/>
    </row>
    <row r="114" spans="1:32" ht="18.75" customHeight="1">
      <c r="A114" s="160">
        <v>18</v>
      </c>
      <c r="B114" s="221" t="str">
        <f>'Chấm công KT'!C112</f>
        <v>04075</v>
      </c>
      <c r="C114" s="170" t="str">
        <f>'Chấm công KT'!D112</f>
        <v>T Xèng</v>
      </c>
      <c r="D114" s="160" t="s">
        <v>26</v>
      </c>
      <c r="E114" s="231">
        <f t="shared" si="16"/>
        <v>3.2</v>
      </c>
      <c r="F114" s="231"/>
      <c r="G114" s="231"/>
      <c r="H114" s="231"/>
      <c r="I114" s="231"/>
      <c r="J114" s="222"/>
      <c r="K114" s="172"/>
      <c r="L114" s="172"/>
      <c r="M114" s="222"/>
      <c r="N114" s="167"/>
      <c r="O114" s="239"/>
      <c r="P114" s="161"/>
      <c r="Q114" s="168">
        <f t="shared" si="20"/>
        <v>3.2</v>
      </c>
      <c r="R114" s="163">
        <f>VLOOKUP(C114,'BTH mủ tạp'!$D$99:$AK$160,34,0)</f>
        <v>4782</v>
      </c>
      <c r="S114" s="171"/>
      <c r="T114" s="162">
        <f t="shared" si="21"/>
        <v>0</v>
      </c>
      <c r="U114" s="225">
        <f t="shared" si="18"/>
        <v>4782</v>
      </c>
      <c r="V114" s="471">
        <f>VLOOKUP(C114,'Chấm công KT'!$D$95:$AK$156,34,0)</f>
        <v>24</v>
      </c>
      <c r="W114" s="471">
        <f>VLOOKUP(C114,'Chấm công KT'!$D$95:$AL$156,35,0)</f>
        <v>4</v>
      </c>
      <c r="X114" s="471">
        <f>VLOOKUP(C114,'Chấm công KT'!D112:AM156,36,0)</f>
        <v>2</v>
      </c>
      <c r="Y114" s="522"/>
      <c r="Z114" s="522"/>
      <c r="AA114" s="522"/>
      <c r="AB114" s="173"/>
      <c r="AC114" s="169">
        <f t="shared" si="19"/>
        <v>3.2</v>
      </c>
      <c r="AD114" s="105" t="str">
        <f>VLOOKUP(C114,'BTH mủ tạp'!$D$17:$AN$160,37,0)</f>
        <v>A</v>
      </c>
      <c r="AE114" s="170"/>
      <c r="AF114" s="90"/>
    </row>
    <row r="115" spans="1:32" ht="18.75" customHeight="1">
      <c r="A115" s="160">
        <v>19</v>
      </c>
      <c r="B115" s="221" t="str">
        <f>'Chấm công KT'!C113</f>
        <v>03509</v>
      </c>
      <c r="C115" s="170" t="str">
        <f>'Chấm công KT'!D113</f>
        <v>T. May</v>
      </c>
      <c r="D115" s="160" t="s">
        <v>26</v>
      </c>
      <c r="E115" s="231">
        <f t="shared" si="16"/>
        <v>3.2</v>
      </c>
      <c r="F115" s="231"/>
      <c r="G115" s="231"/>
      <c r="H115" s="231"/>
      <c r="I115" s="231"/>
      <c r="J115" s="222"/>
      <c r="K115" s="172"/>
      <c r="L115" s="172"/>
      <c r="M115" s="108"/>
      <c r="N115" s="104"/>
      <c r="O115" s="186"/>
      <c r="P115" s="161"/>
      <c r="Q115" s="168">
        <f t="shared" si="20"/>
        <v>3.2</v>
      </c>
      <c r="R115" s="163">
        <f>VLOOKUP(C115,'BTH mủ tạp'!$D$99:$AK$160,34,0)</f>
        <v>4545</v>
      </c>
      <c r="S115" s="171"/>
      <c r="T115" s="162">
        <f t="shared" si="21"/>
        <v>0</v>
      </c>
      <c r="U115" s="225">
        <f t="shared" si="18"/>
        <v>4545</v>
      </c>
      <c r="V115" s="471">
        <f>VLOOKUP(C115,'Chấm công KT'!$D$95:$AK$156,34,0)</f>
        <v>24</v>
      </c>
      <c r="W115" s="471">
        <f>VLOOKUP(C115,'Chấm công KT'!$D$95:$AL$156,35,0)</f>
        <v>3</v>
      </c>
      <c r="X115" s="471">
        <f>VLOOKUP(C115,'Chấm công KT'!D113:AM156,36,0)</f>
        <v>2</v>
      </c>
      <c r="Y115" s="522"/>
      <c r="Z115" s="522"/>
      <c r="AA115" s="522"/>
      <c r="AB115" s="173"/>
      <c r="AC115" s="169">
        <f t="shared" si="19"/>
        <v>3.2</v>
      </c>
      <c r="AD115" s="105" t="str">
        <f>VLOOKUP(C115,'BTH mủ tạp'!$D$17:$AN$160,37,0)</f>
        <v>A</v>
      </c>
      <c r="AE115" s="170"/>
      <c r="AF115" s="90"/>
    </row>
    <row r="116" spans="1:32" ht="18.75" customHeight="1">
      <c r="A116" s="160">
        <v>20</v>
      </c>
      <c r="B116" s="221" t="str">
        <f>'Chấm công KT'!C114</f>
        <v>03607</v>
      </c>
      <c r="C116" s="170" t="str">
        <f>'Chấm công KT'!D114</f>
        <v>T. Huôn</v>
      </c>
      <c r="D116" s="160" t="s">
        <v>26</v>
      </c>
      <c r="E116" s="231">
        <f t="shared" si="16"/>
        <v>3.2</v>
      </c>
      <c r="F116" s="231"/>
      <c r="G116" s="231"/>
      <c r="H116" s="231"/>
      <c r="I116" s="231"/>
      <c r="J116" s="222"/>
      <c r="K116" s="172"/>
      <c r="L116" s="172"/>
      <c r="M116" s="108"/>
      <c r="N116" s="104"/>
      <c r="O116" s="186"/>
      <c r="P116" s="161"/>
      <c r="Q116" s="168">
        <f t="shared" si="20"/>
        <v>3.2</v>
      </c>
      <c r="R116" s="163">
        <f>VLOOKUP(C116,'BTH mủ tạp'!$D$99:$AK$160,34,0)</f>
        <v>3436</v>
      </c>
      <c r="S116" s="171"/>
      <c r="T116" s="162">
        <f t="shared" si="21"/>
        <v>0</v>
      </c>
      <c r="U116" s="225">
        <f t="shared" si="18"/>
        <v>3436</v>
      </c>
      <c r="V116" s="471">
        <f>VLOOKUP(C116,'Chấm công KT'!$D$95:$AK$156,34,0)</f>
        <v>23</v>
      </c>
      <c r="W116" s="471">
        <f>VLOOKUP(C116,'Chấm công KT'!$D$95:$AL$156,35,0)</f>
        <v>3</v>
      </c>
      <c r="X116" s="471">
        <f>VLOOKUP(C116,'Chấm công KT'!D114:AM156,36,0)</f>
        <v>2</v>
      </c>
      <c r="Y116" s="522"/>
      <c r="Z116" s="522"/>
      <c r="AA116" s="522"/>
      <c r="AB116" s="173"/>
      <c r="AC116" s="169">
        <f t="shared" si="19"/>
        <v>3.2</v>
      </c>
      <c r="AD116" s="105" t="str">
        <f>VLOOKUP(C116,'BTH mủ tạp'!$D$17:$AN$160,37,0)</f>
        <v>A</v>
      </c>
      <c r="AE116" s="170"/>
      <c r="AF116" s="90"/>
    </row>
    <row r="117" spans="1:32" ht="18.75" customHeight="1">
      <c r="A117" s="160">
        <v>21</v>
      </c>
      <c r="B117" s="221" t="str">
        <f>'Chấm công KT'!C115</f>
        <v>02729</v>
      </c>
      <c r="C117" s="170" t="str">
        <f>'Chấm công KT'!D115</f>
        <v>N. Lay</v>
      </c>
      <c r="D117" s="160" t="s">
        <v>26</v>
      </c>
      <c r="E117" s="231">
        <f t="shared" si="16"/>
        <v>3.2</v>
      </c>
      <c r="F117" s="231"/>
      <c r="G117" s="231"/>
      <c r="H117" s="231"/>
      <c r="I117" s="231"/>
      <c r="J117" s="222"/>
      <c r="K117" s="172"/>
      <c r="L117" s="172"/>
      <c r="M117" s="222"/>
      <c r="N117" s="167"/>
      <c r="O117" s="239"/>
      <c r="P117" s="161"/>
      <c r="Q117" s="168">
        <f t="shared" si="20"/>
        <v>3.2</v>
      </c>
      <c r="R117" s="163">
        <f>VLOOKUP(C117,'BTH mủ tạp'!$D$99:$AK$160,34,0)</f>
        <v>3427</v>
      </c>
      <c r="S117" s="171"/>
      <c r="T117" s="162">
        <f t="shared" si="21"/>
        <v>0</v>
      </c>
      <c r="U117" s="225">
        <f t="shared" si="18"/>
        <v>3427</v>
      </c>
      <c r="V117" s="471">
        <f>VLOOKUP(C117,'Chấm công KT'!$D$95:$AK$156,34,0)</f>
        <v>22</v>
      </c>
      <c r="W117" s="471">
        <f>VLOOKUP(C117,'Chấm công KT'!$D$95:$AL$156,35,0)</f>
        <v>3</v>
      </c>
      <c r="X117" s="471">
        <f>VLOOKUP(C117,'Chấm công KT'!D115:AM156,36,0)</f>
        <v>2</v>
      </c>
      <c r="Y117" s="522"/>
      <c r="Z117" s="522"/>
      <c r="AA117" s="522"/>
      <c r="AB117" s="173"/>
      <c r="AC117" s="169">
        <f t="shared" si="19"/>
        <v>3.2</v>
      </c>
      <c r="AD117" s="105" t="str">
        <f>VLOOKUP(C117,'BTH mủ tạp'!$D$17:$AN$160,37,0)</f>
        <v>A</v>
      </c>
      <c r="AE117" s="170"/>
      <c r="AF117" s="90"/>
    </row>
    <row r="118" spans="1:32" ht="18.75" customHeight="1">
      <c r="A118" s="160">
        <v>22</v>
      </c>
      <c r="B118" s="221" t="str">
        <f>'Chấm công KT'!C116</f>
        <v>03608</v>
      </c>
      <c r="C118" s="170" t="str">
        <f>'Chấm công KT'!D116</f>
        <v>N. Pon</v>
      </c>
      <c r="D118" s="160" t="s">
        <v>26</v>
      </c>
      <c r="E118" s="231">
        <f t="shared" si="16"/>
        <v>3.2</v>
      </c>
      <c r="F118" s="231"/>
      <c r="G118" s="231"/>
      <c r="H118" s="231"/>
      <c r="I118" s="231"/>
      <c r="J118" s="222"/>
      <c r="K118" s="172"/>
      <c r="L118" s="172"/>
      <c r="M118" s="108"/>
      <c r="N118" s="104"/>
      <c r="O118" s="186"/>
      <c r="P118" s="161"/>
      <c r="Q118" s="168">
        <f t="shared" si="20"/>
        <v>3.2</v>
      </c>
      <c r="R118" s="163">
        <f>VLOOKUP(C118,'BTH mủ tạp'!$D$99:$AK$160,34,0)</f>
        <v>4685</v>
      </c>
      <c r="S118" s="171"/>
      <c r="T118" s="162">
        <f t="shared" si="21"/>
        <v>0</v>
      </c>
      <c r="U118" s="225">
        <f t="shared" si="18"/>
        <v>4685</v>
      </c>
      <c r="V118" s="471">
        <f>VLOOKUP(C118,'Chấm công KT'!$D$95:$AK$156,34,0)</f>
        <v>24</v>
      </c>
      <c r="W118" s="471">
        <f>VLOOKUP(C118,'Chấm công KT'!$D$95:$AL$156,35,0)</f>
        <v>4</v>
      </c>
      <c r="X118" s="471">
        <f>VLOOKUP(C118,'Chấm công KT'!D116:AM156,36,0)</f>
        <v>2</v>
      </c>
      <c r="Y118" s="522"/>
      <c r="Z118" s="522"/>
      <c r="AA118" s="522"/>
      <c r="AB118" s="173"/>
      <c r="AC118" s="169">
        <f t="shared" si="19"/>
        <v>3.2</v>
      </c>
      <c r="AD118" s="105" t="str">
        <f>VLOOKUP(C118,'BTH mủ tạp'!$D$17:$AN$160,37,0)</f>
        <v>A</v>
      </c>
      <c r="AE118" s="170"/>
      <c r="AF118" s="90"/>
    </row>
    <row r="119" spans="1:32" ht="18.75" customHeight="1">
      <c r="A119" s="160">
        <v>23</v>
      </c>
      <c r="B119" s="221" t="str">
        <f>'Chấm công KT'!C117</f>
        <v>03609</v>
      </c>
      <c r="C119" s="170" t="str">
        <f>'Chấm công KT'!D117</f>
        <v>N. Bun Đi</v>
      </c>
      <c r="D119" s="160" t="s">
        <v>26</v>
      </c>
      <c r="E119" s="231">
        <f t="shared" si="16"/>
        <v>3.2</v>
      </c>
      <c r="F119" s="231"/>
      <c r="G119" s="231"/>
      <c r="H119" s="231"/>
      <c r="I119" s="231"/>
      <c r="J119" s="222"/>
      <c r="K119" s="172"/>
      <c r="L119" s="172"/>
      <c r="M119" s="108"/>
      <c r="N119" s="104"/>
      <c r="O119" s="186"/>
      <c r="P119" s="161"/>
      <c r="Q119" s="168">
        <f t="shared" si="20"/>
        <v>3.2</v>
      </c>
      <c r="R119" s="163">
        <f>VLOOKUP(C119,'BTH mủ tạp'!$D$99:$AK$160,34,0)</f>
        <v>3807</v>
      </c>
      <c r="S119" s="171"/>
      <c r="T119" s="162">
        <f t="shared" si="21"/>
        <v>0</v>
      </c>
      <c r="U119" s="225">
        <f t="shared" si="18"/>
        <v>3807</v>
      </c>
      <c r="V119" s="471">
        <f>VLOOKUP(C119,'Chấm công KT'!$D$95:$AK$156,34,0)</f>
        <v>24</v>
      </c>
      <c r="W119" s="471">
        <f>VLOOKUP(C119,'Chấm công KT'!$D$95:$AL$156,35,0)</f>
        <v>4</v>
      </c>
      <c r="X119" s="471">
        <f>VLOOKUP(C119,'Chấm công KT'!D117:AM156,36,0)</f>
        <v>2</v>
      </c>
      <c r="Y119" s="522"/>
      <c r="Z119" s="522"/>
      <c r="AA119" s="522"/>
      <c r="AB119" s="173"/>
      <c r="AC119" s="169">
        <f t="shared" si="19"/>
        <v>3.2</v>
      </c>
      <c r="AD119" s="105" t="str">
        <f>VLOOKUP(C119,'BTH mủ tạp'!$D$17:$AN$160,37,0)</f>
        <v>A</v>
      </c>
      <c r="AE119" s="170"/>
      <c r="AF119" s="90"/>
    </row>
    <row r="120" spans="1:32" ht="18.75" customHeight="1">
      <c r="A120" s="160">
        <v>24</v>
      </c>
      <c r="B120" s="221" t="str">
        <f>'Chấm công KT'!C118</f>
        <v>03610</v>
      </c>
      <c r="C120" s="170" t="str">
        <f>'Chấm công KT'!D118</f>
        <v>N. Phon</v>
      </c>
      <c r="D120" s="160" t="s">
        <v>26</v>
      </c>
      <c r="E120" s="231">
        <f t="shared" si="16"/>
        <v>3.2</v>
      </c>
      <c r="F120" s="231"/>
      <c r="G120" s="231"/>
      <c r="H120" s="231"/>
      <c r="I120" s="231"/>
      <c r="J120" s="222"/>
      <c r="K120" s="172"/>
      <c r="L120" s="172"/>
      <c r="M120" s="108"/>
      <c r="N120" s="104"/>
      <c r="O120" s="186"/>
      <c r="P120" s="161"/>
      <c r="Q120" s="168">
        <f t="shared" si="20"/>
        <v>3.2</v>
      </c>
      <c r="R120" s="163">
        <f>VLOOKUP(C120,'BTH mủ tạp'!$D$99:$AK$160,34,0)</f>
        <v>3891</v>
      </c>
      <c r="S120" s="171"/>
      <c r="T120" s="162">
        <f t="shared" si="21"/>
        <v>0</v>
      </c>
      <c r="U120" s="225">
        <f t="shared" si="18"/>
        <v>3891</v>
      </c>
      <c r="V120" s="471">
        <f>VLOOKUP(C120,'Chấm công KT'!$D$95:$AK$156,34,0)</f>
        <v>24</v>
      </c>
      <c r="W120" s="471">
        <f>VLOOKUP(C120,'Chấm công KT'!$D$95:$AL$156,35,0)</f>
        <v>4</v>
      </c>
      <c r="X120" s="471">
        <f>VLOOKUP(C120,'Chấm công KT'!D118:AM156,36,0)</f>
        <v>2</v>
      </c>
      <c r="Y120" s="522"/>
      <c r="Z120" s="522"/>
      <c r="AA120" s="522"/>
      <c r="AB120" s="173"/>
      <c r="AC120" s="169">
        <f t="shared" si="19"/>
        <v>3.2</v>
      </c>
      <c r="AD120" s="105" t="str">
        <f>VLOOKUP(C120,'BTH mủ tạp'!$D$17:$AN$160,37,0)</f>
        <v>B</v>
      </c>
      <c r="AE120" s="170"/>
      <c r="AF120" s="90"/>
    </row>
    <row r="121" spans="1:32" ht="18.75" customHeight="1">
      <c r="A121" s="160">
        <v>25</v>
      </c>
      <c r="B121" s="221" t="str">
        <f>'Chấm công KT'!C119</f>
        <v>04076</v>
      </c>
      <c r="C121" s="170" t="str">
        <f>'Chấm công KT'!D119</f>
        <v xml:space="preserve">N. Bun </v>
      </c>
      <c r="D121" s="160" t="s">
        <v>26</v>
      </c>
      <c r="E121" s="231">
        <f t="shared" si="16"/>
        <v>3.2</v>
      </c>
      <c r="F121" s="231"/>
      <c r="G121" s="231"/>
      <c r="H121" s="231"/>
      <c r="I121" s="231"/>
      <c r="J121" s="222"/>
      <c r="K121" s="172"/>
      <c r="L121" s="172"/>
      <c r="M121" s="108"/>
      <c r="N121" s="104"/>
      <c r="O121" s="186"/>
      <c r="P121" s="161"/>
      <c r="Q121" s="168">
        <f t="shared" si="20"/>
        <v>3.2</v>
      </c>
      <c r="R121" s="163">
        <f>VLOOKUP(C121,'BTH mủ tạp'!$D$99:$AK$160,34,0)</f>
        <v>4862</v>
      </c>
      <c r="S121" s="171"/>
      <c r="T121" s="162">
        <f t="shared" si="21"/>
        <v>0</v>
      </c>
      <c r="U121" s="225">
        <f t="shared" si="18"/>
        <v>4862</v>
      </c>
      <c r="V121" s="471">
        <f>VLOOKUP(C121,'Chấm công KT'!$D$95:$AK$156,34,0)</f>
        <v>24</v>
      </c>
      <c r="W121" s="471">
        <f>VLOOKUP(C121,'Chấm công KT'!$D$95:$AL$156,35,0)</f>
        <v>4</v>
      </c>
      <c r="X121" s="471">
        <f>VLOOKUP(C121,'Chấm công KT'!D119:AM156,36,0)</f>
        <v>2</v>
      </c>
      <c r="Y121" s="522"/>
      <c r="Z121" s="522"/>
      <c r="AA121" s="522"/>
      <c r="AB121" s="173"/>
      <c r="AC121" s="169">
        <f t="shared" si="19"/>
        <v>3.2</v>
      </c>
      <c r="AD121" s="105" t="str">
        <f>VLOOKUP(C121,'BTH mủ tạp'!$D$17:$AN$160,37,0)</f>
        <v>A</v>
      </c>
      <c r="AE121" s="170"/>
      <c r="AF121" s="90"/>
    </row>
    <row r="122" spans="1:32" ht="18.75" customHeight="1">
      <c r="A122" s="160">
        <v>26</v>
      </c>
      <c r="B122" s="221" t="str">
        <f>'Chấm công KT'!C120</f>
        <v>03612</v>
      </c>
      <c r="C122" s="170" t="str">
        <f>'Chấm công KT'!D120</f>
        <v>N. Phu Văn</v>
      </c>
      <c r="D122" s="160" t="s">
        <v>26</v>
      </c>
      <c r="E122" s="231">
        <f t="shared" si="16"/>
        <v>3.2</v>
      </c>
      <c r="F122" s="231"/>
      <c r="G122" s="231"/>
      <c r="H122" s="231"/>
      <c r="I122" s="231"/>
      <c r="J122" s="222"/>
      <c r="K122" s="172"/>
      <c r="L122" s="172"/>
      <c r="M122" s="222"/>
      <c r="N122" s="167"/>
      <c r="O122" s="239"/>
      <c r="P122" s="161"/>
      <c r="Q122" s="168">
        <f t="shared" si="20"/>
        <v>3.2</v>
      </c>
      <c r="R122" s="163">
        <f>VLOOKUP(C122,'BTH mủ tạp'!$D$99:$AK$160,34,0)</f>
        <v>4904</v>
      </c>
      <c r="S122" s="171"/>
      <c r="T122" s="162">
        <f t="shared" si="21"/>
        <v>0</v>
      </c>
      <c r="U122" s="225">
        <f t="shared" si="18"/>
        <v>4904</v>
      </c>
      <c r="V122" s="471">
        <f>VLOOKUP(C122,'Chấm công KT'!$D$95:$AK$156,34,0)</f>
        <v>24</v>
      </c>
      <c r="W122" s="471">
        <f>VLOOKUP(C122,'Chấm công KT'!$D$95:$AL$156,35,0)</f>
        <v>4</v>
      </c>
      <c r="X122" s="471">
        <f>VLOOKUP(C122,'Chấm công KT'!D120:AM156,36,0)</f>
        <v>2</v>
      </c>
      <c r="Y122" s="522"/>
      <c r="Z122" s="522"/>
      <c r="AA122" s="522"/>
      <c r="AB122" s="173"/>
      <c r="AC122" s="169">
        <f t="shared" si="19"/>
        <v>3.2</v>
      </c>
      <c r="AD122" s="105" t="str">
        <f>VLOOKUP(C122,'BTH mủ tạp'!$D$17:$AN$160,37,0)</f>
        <v>A</v>
      </c>
      <c r="AE122" s="170"/>
      <c r="AF122" s="90"/>
    </row>
    <row r="123" spans="1:32" ht="18.75" customHeight="1">
      <c r="A123" s="160">
        <v>27</v>
      </c>
      <c r="B123" s="221" t="str">
        <f>'Chấm công KT'!C121</f>
        <v>03613</v>
      </c>
      <c r="C123" s="170" t="str">
        <f>'Chấm công KT'!D121</f>
        <v>N. Lỷ</v>
      </c>
      <c r="D123" s="160" t="s">
        <v>26</v>
      </c>
      <c r="E123" s="231">
        <f t="shared" si="16"/>
        <v>3.2</v>
      </c>
      <c r="F123" s="231"/>
      <c r="G123" s="231"/>
      <c r="H123" s="231"/>
      <c r="I123" s="231"/>
      <c r="J123" s="222"/>
      <c r="K123" s="172"/>
      <c r="L123" s="172"/>
      <c r="M123" s="222"/>
      <c r="N123" s="167"/>
      <c r="O123" s="239"/>
      <c r="P123" s="161"/>
      <c r="Q123" s="168">
        <f t="shared" si="20"/>
        <v>3.2</v>
      </c>
      <c r="R123" s="163">
        <f>VLOOKUP(C123,'BTH mủ tạp'!$D$99:$AK$160,34,0)</f>
        <v>5601</v>
      </c>
      <c r="S123" s="171"/>
      <c r="T123" s="162">
        <f t="shared" si="21"/>
        <v>0</v>
      </c>
      <c r="U123" s="225">
        <f t="shared" si="18"/>
        <v>5601</v>
      </c>
      <c r="V123" s="471">
        <f>VLOOKUP(C123,'Chấm công KT'!$D$95:$AK$156,34,0)</f>
        <v>24</v>
      </c>
      <c r="W123" s="471">
        <f>VLOOKUP(C123,'Chấm công KT'!$D$95:$AL$156,35,0)</f>
        <v>4</v>
      </c>
      <c r="X123" s="471">
        <f>VLOOKUP(C123,'Chấm công KT'!D121:AM156,36,0)</f>
        <v>2</v>
      </c>
      <c r="Y123" s="522"/>
      <c r="Z123" s="522"/>
      <c r="AA123" s="522"/>
      <c r="AB123" s="173"/>
      <c r="AC123" s="169">
        <f>Q123</f>
        <v>3.2</v>
      </c>
      <c r="AD123" s="105" t="str">
        <f>VLOOKUP(C123,'BTH mủ tạp'!$D$17:$AN$160,37,0)</f>
        <v>A</v>
      </c>
      <c r="AE123" s="170"/>
      <c r="AF123" s="90"/>
    </row>
    <row r="124" spans="1:32" ht="18.75" customHeight="1">
      <c r="A124" s="160">
        <v>28</v>
      </c>
      <c r="B124" s="221" t="str">
        <f>'Chấm công KT'!C122</f>
        <v>04077</v>
      </c>
      <c r="C124" s="170" t="str">
        <f>'Chấm công KT'!D122</f>
        <v>N. Quen</v>
      </c>
      <c r="D124" s="160" t="s">
        <v>26</v>
      </c>
      <c r="E124" s="231">
        <f t="shared" si="16"/>
        <v>3.2</v>
      </c>
      <c r="F124" s="231"/>
      <c r="G124" s="231"/>
      <c r="H124" s="231"/>
      <c r="I124" s="231"/>
      <c r="J124" s="222"/>
      <c r="K124" s="172"/>
      <c r="L124" s="172"/>
      <c r="M124" s="167"/>
      <c r="N124" s="167"/>
      <c r="O124" s="239"/>
      <c r="P124" s="161"/>
      <c r="Q124" s="168">
        <f t="shared" si="20"/>
        <v>3.2</v>
      </c>
      <c r="R124" s="163">
        <f>VLOOKUP(C124,'BTH mủ tạp'!$D$99:$AK$160,34,0)</f>
        <v>4775</v>
      </c>
      <c r="S124" s="171"/>
      <c r="T124" s="162">
        <f t="shared" si="21"/>
        <v>0</v>
      </c>
      <c r="U124" s="225">
        <f t="shared" si="18"/>
        <v>4775</v>
      </c>
      <c r="V124" s="471">
        <f>VLOOKUP(C124,'Chấm công KT'!$D$95:$AK$156,34,0)</f>
        <v>24</v>
      </c>
      <c r="W124" s="471">
        <f>VLOOKUP(C124,'Chấm công KT'!$D$95:$AL$156,35,0)</f>
        <v>4</v>
      </c>
      <c r="X124" s="471">
        <f>VLOOKUP(C124,'Chấm công KT'!D122:AM156,36,0)</f>
        <v>2</v>
      </c>
      <c r="Y124" s="522"/>
      <c r="Z124" s="522"/>
      <c r="AA124" s="522"/>
      <c r="AB124" s="173"/>
      <c r="AC124" s="169">
        <f t="shared" si="19"/>
        <v>3.2</v>
      </c>
      <c r="AD124" s="105" t="str">
        <f>VLOOKUP(C124,'BTH mủ tạp'!$D$17:$AN$160,37,0)</f>
        <v>A</v>
      </c>
      <c r="AE124" s="170"/>
      <c r="AF124" s="90"/>
    </row>
    <row r="125" spans="1:32" ht="18.75" customHeight="1">
      <c r="A125" s="160">
        <v>29</v>
      </c>
      <c r="B125" s="221" t="str">
        <f>'Chấm công KT'!C123</f>
        <v>03615</v>
      </c>
      <c r="C125" s="170" t="str">
        <f>'Chấm công KT'!D123</f>
        <v>T. Xi Nuôn</v>
      </c>
      <c r="D125" s="160" t="s">
        <v>26</v>
      </c>
      <c r="E125" s="231">
        <f t="shared" si="16"/>
        <v>3.2</v>
      </c>
      <c r="F125" s="231"/>
      <c r="G125" s="231"/>
      <c r="H125" s="231"/>
      <c r="I125" s="231"/>
      <c r="J125" s="222"/>
      <c r="K125" s="172"/>
      <c r="L125" s="172"/>
      <c r="M125" s="108"/>
      <c r="N125" s="167"/>
      <c r="O125" s="239"/>
      <c r="P125" s="161"/>
      <c r="Q125" s="168">
        <f t="shared" si="20"/>
        <v>3.2</v>
      </c>
      <c r="R125" s="163">
        <f>VLOOKUP(C125,'BTH mủ tạp'!$D$99:$AK$160,34,0)</f>
        <v>3395</v>
      </c>
      <c r="S125" s="171"/>
      <c r="T125" s="162">
        <f t="shared" si="21"/>
        <v>0</v>
      </c>
      <c r="U125" s="225">
        <f t="shared" si="18"/>
        <v>3395</v>
      </c>
      <c r="V125" s="471">
        <f>VLOOKUP(C125,'Chấm công KT'!$D$95:$AK$156,34,0)</f>
        <v>22</v>
      </c>
      <c r="W125" s="471">
        <f>VLOOKUP(C125,'Chấm công KT'!$D$95:$AL$156,35,0)</f>
        <v>4</v>
      </c>
      <c r="X125" s="471">
        <f>VLOOKUP(C125,'Chấm công KT'!D123:AM156,36,0)</f>
        <v>2</v>
      </c>
      <c r="Y125" s="522"/>
      <c r="Z125" s="522"/>
      <c r="AA125" s="522"/>
      <c r="AB125" s="173"/>
      <c r="AC125" s="169">
        <f t="shared" si="19"/>
        <v>3.2</v>
      </c>
      <c r="AD125" s="105" t="str">
        <f>VLOOKUP(C125,'BTH mủ tạp'!$D$17:$AN$160,37,0)</f>
        <v>A</v>
      </c>
      <c r="AE125" s="170"/>
      <c r="AF125" s="90"/>
    </row>
    <row r="126" spans="1:32" ht="18.75" customHeight="1">
      <c r="A126" s="160">
        <v>30</v>
      </c>
      <c r="B126" s="221" t="str">
        <f>'Chấm công KT'!C124</f>
        <v>03616</v>
      </c>
      <c r="C126" s="170" t="str">
        <f>'Chấm công KT'!D124</f>
        <v>N. Ốc</v>
      </c>
      <c r="D126" s="160" t="s">
        <v>26</v>
      </c>
      <c r="E126" s="231">
        <f t="shared" si="16"/>
        <v>3.2</v>
      </c>
      <c r="F126" s="231"/>
      <c r="G126" s="231"/>
      <c r="H126" s="231"/>
      <c r="I126" s="231"/>
      <c r="J126" s="222"/>
      <c r="K126" s="172"/>
      <c r="L126" s="172"/>
      <c r="M126" s="108"/>
      <c r="N126" s="104"/>
      <c r="O126" s="186"/>
      <c r="P126" s="161"/>
      <c r="Q126" s="168">
        <f t="shared" si="20"/>
        <v>3.2</v>
      </c>
      <c r="R126" s="163">
        <f>VLOOKUP(C126,'BTH mủ tạp'!$D$99:$AK$160,34,0)</f>
        <v>5368</v>
      </c>
      <c r="S126" s="171"/>
      <c r="T126" s="162">
        <f t="shared" si="21"/>
        <v>0</v>
      </c>
      <c r="U126" s="225">
        <f t="shared" si="18"/>
        <v>5368</v>
      </c>
      <c r="V126" s="471">
        <f>VLOOKUP(C126,'Chấm công KT'!$D$95:$AK$156,34,0)</f>
        <v>24</v>
      </c>
      <c r="W126" s="471">
        <f>VLOOKUP(C126,'Chấm công KT'!$D$95:$AL$156,35,0)</f>
        <v>4</v>
      </c>
      <c r="X126" s="471">
        <f>VLOOKUP(C126,'Chấm công KT'!D124:AM156,36,0)</f>
        <v>2</v>
      </c>
      <c r="Y126" s="522"/>
      <c r="Z126" s="522"/>
      <c r="AA126" s="522"/>
      <c r="AB126" s="173"/>
      <c r="AC126" s="169">
        <f t="shared" si="19"/>
        <v>3.2</v>
      </c>
      <c r="AD126" s="105" t="str">
        <f>VLOOKUP(C126,'BTH mủ tạp'!$D$17:$AN$160,37,0)</f>
        <v>A</v>
      </c>
      <c r="AE126" s="170"/>
      <c r="AF126" s="90"/>
    </row>
    <row r="127" spans="1:32" ht="18.75" customHeight="1">
      <c r="A127" s="160">
        <v>31</v>
      </c>
      <c r="B127" s="221" t="str">
        <f>'Chấm công KT'!C125</f>
        <v>03617</v>
      </c>
      <c r="C127" s="170" t="str">
        <f>'Chấm công KT'!D125</f>
        <v>T. Văn Nô</v>
      </c>
      <c r="D127" s="160" t="s">
        <v>26</v>
      </c>
      <c r="E127" s="231">
        <f t="shared" si="16"/>
        <v>3.2</v>
      </c>
      <c r="F127" s="231"/>
      <c r="G127" s="231"/>
      <c r="H127" s="231"/>
      <c r="I127" s="231"/>
      <c r="J127" s="222"/>
      <c r="K127" s="172"/>
      <c r="L127" s="172"/>
      <c r="M127" s="108"/>
      <c r="N127" s="104"/>
      <c r="O127" s="186"/>
      <c r="P127" s="161"/>
      <c r="Q127" s="168">
        <f t="shared" si="20"/>
        <v>3.2</v>
      </c>
      <c r="R127" s="163">
        <f>VLOOKUP(C127,'BTH mủ tạp'!$D$99:$AK$160,34,0)</f>
        <v>4616</v>
      </c>
      <c r="S127" s="171"/>
      <c r="T127" s="162">
        <f t="shared" si="21"/>
        <v>0</v>
      </c>
      <c r="U127" s="225">
        <f t="shared" si="18"/>
        <v>4616</v>
      </c>
      <c r="V127" s="471">
        <f>VLOOKUP(C127,'Chấm công KT'!$D$95:$AK$156,34,0)</f>
        <v>24</v>
      </c>
      <c r="W127" s="471">
        <f>VLOOKUP(C127,'Chấm công KT'!$D$95:$AL$156,35,0)</f>
        <v>4</v>
      </c>
      <c r="X127" s="471">
        <f>VLOOKUP(C127,'Chấm công KT'!D125:AM156,36,0)</f>
        <v>2</v>
      </c>
      <c r="Y127" s="522"/>
      <c r="Z127" s="522"/>
      <c r="AA127" s="522"/>
      <c r="AB127" s="173"/>
      <c r="AC127" s="169">
        <f t="shared" si="19"/>
        <v>3.2</v>
      </c>
      <c r="AD127" s="105" t="str">
        <f>VLOOKUP(C127,'BTH mủ tạp'!$D$17:$AN$160,37,0)</f>
        <v>A</v>
      </c>
      <c r="AE127" s="170"/>
      <c r="AF127" s="90"/>
    </row>
    <row r="128" spans="1:32" ht="18.75" customHeight="1">
      <c r="A128" s="160">
        <v>32</v>
      </c>
      <c r="B128" s="221" t="str">
        <f>'Chấm công KT'!C126</f>
        <v>03618</v>
      </c>
      <c r="C128" s="170" t="str">
        <f>'Chấm công KT'!D126</f>
        <v>N. Văn Ta</v>
      </c>
      <c r="D128" s="160" t="s">
        <v>26</v>
      </c>
      <c r="E128" s="231">
        <f t="shared" si="16"/>
        <v>3.2</v>
      </c>
      <c r="F128" s="231"/>
      <c r="G128" s="231"/>
      <c r="H128" s="231"/>
      <c r="I128" s="231"/>
      <c r="J128" s="222"/>
      <c r="K128" s="172"/>
      <c r="L128" s="172"/>
      <c r="M128" s="222"/>
      <c r="N128" s="167"/>
      <c r="O128" s="239"/>
      <c r="P128" s="161"/>
      <c r="Q128" s="168">
        <f t="shared" si="20"/>
        <v>3.2</v>
      </c>
      <c r="R128" s="163">
        <f>VLOOKUP(C128,'BTH mủ tạp'!$D$99:$AK$160,34,0)</f>
        <v>4951</v>
      </c>
      <c r="S128" s="171"/>
      <c r="T128" s="162">
        <f t="shared" si="21"/>
        <v>0</v>
      </c>
      <c r="U128" s="225">
        <f t="shared" si="18"/>
        <v>4951</v>
      </c>
      <c r="V128" s="471">
        <f>VLOOKUP(C128,'Chấm công KT'!$D$95:$AK$156,34,0)</f>
        <v>23</v>
      </c>
      <c r="W128" s="471">
        <f>VLOOKUP(C128,'Chấm công KT'!$D$95:$AL$156,35,0)</f>
        <v>4</v>
      </c>
      <c r="X128" s="471">
        <f>VLOOKUP(C128,'Chấm công KT'!D126:AM156,36,0)</f>
        <v>2</v>
      </c>
      <c r="Y128" s="522"/>
      <c r="Z128" s="522"/>
      <c r="AA128" s="522"/>
      <c r="AB128" s="173"/>
      <c r="AC128" s="169">
        <f t="shared" si="19"/>
        <v>3.2</v>
      </c>
      <c r="AD128" s="105" t="str">
        <f>VLOOKUP(C128,'BTH mủ tạp'!$D$17:$AN$160,37,0)</f>
        <v>A</v>
      </c>
      <c r="AE128" s="170"/>
      <c r="AF128" s="90"/>
    </row>
    <row r="129" spans="1:33" ht="18.75" customHeight="1">
      <c r="A129" s="160">
        <v>33</v>
      </c>
      <c r="B129" s="221" t="str">
        <f>'Chấm công KT'!C127</f>
        <v>03619</v>
      </c>
      <c r="C129" s="170" t="str">
        <f>'Chấm công KT'!D127</f>
        <v>T. Thon</v>
      </c>
      <c r="D129" s="160" t="s">
        <v>26</v>
      </c>
      <c r="E129" s="231">
        <f t="shared" si="16"/>
        <v>3.2</v>
      </c>
      <c r="F129" s="231"/>
      <c r="G129" s="231"/>
      <c r="H129" s="231"/>
      <c r="I129" s="231"/>
      <c r="J129" s="222"/>
      <c r="K129" s="172"/>
      <c r="L129" s="172"/>
      <c r="M129" s="108"/>
      <c r="N129" s="104"/>
      <c r="O129" s="186"/>
      <c r="P129" s="161"/>
      <c r="Q129" s="168">
        <f t="shared" si="20"/>
        <v>3.2</v>
      </c>
      <c r="R129" s="163">
        <f>VLOOKUP(C129,'BTH mủ tạp'!$D$99:$AK$160,34,0)</f>
        <v>4008</v>
      </c>
      <c r="S129" s="171"/>
      <c r="T129" s="162">
        <f t="shared" si="21"/>
        <v>0</v>
      </c>
      <c r="U129" s="225">
        <f t="shared" si="18"/>
        <v>4008</v>
      </c>
      <c r="V129" s="471">
        <f>VLOOKUP(C129,'Chấm công KT'!$D$95:$AK$156,34,0)</f>
        <v>21</v>
      </c>
      <c r="W129" s="471">
        <f>VLOOKUP(C129,'Chấm công KT'!$D$95:$AL$156,35,0)</f>
        <v>4</v>
      </c>
      <c r="X129" s="471">
        <f>VLOOKUP(C129,'Chấm công KT'!D127:AM156,36,0)</f>
        <v>2</v>
      </c>
      <c r="Y129" s="522"/>
      <c r="Z129" s="522"/>
      <c r="AA129" s="522"/>
      <c r="AB129" s="173"/>
      <c r="AC129" s="169">
        <f t="shared" si="19"/>
        <v>3.2</v>
      </c>
      <c r="AD129" s="105" t="str">
        <f>VLOOKUP(C129,'BTH mủ tạp'!$D$17:$AN$160,37,0)</f>
        <v>A</v>
      </c>
      <c r="AE129" s="170"/>
      <c r="AF129" s="90"/>
    </row>
    <row r="130" spans="1:33" ht="18.75" customHeight="1">
      <c r="A130" s="160">
        <v>34</v>
      </c>
      <c r="B130" s="221" t="str">
        <f>'Chấm công KT'!C128</f>
        <v>03620</v>
      </c>
      <c r="C130" s="170" t="str">
        <f>'Chấm công KT'!D128</f>
        <v>Bun Thon</v>
      </c>
      <c r="D130" s="160" t="s">
        <v>26</v>
      </c>
      <c r="E130" s="231">
        <f t="shared" si="16"/>
        <v>3.2</v>
      </c>
      <c r="F130" s="231"/>
      <c r="G130" s="231"/>
      <c r="H130" s="231"/>
      <c r="I130" s="231"/>
      <c r="J130" s="222"/>
      <c r="K130" s="172"/>
      <c r="L130" s="172"/>
      <c r="M130" s="108"/>
      <c r="N130" s="104"/>
      <c r="O130" s="186"/>
      <c r="P130" s="161"/>
      <c r="Q130" s="168">
        <f t="shared" si="20"/>
        <v>3.2</v>
      </c>
      <c r="R130" s="163">
        <f>VLOOKUP(C130,'BTH mủ tạp'!$D$99:$AK$160,34,0)</f>
        <v>3951</v>
      </c>
      <c r="S130" s="171"/>
      <c r="T130" s="162">
        <f t="shared" si="21"/>
        <v>0</v>
      </c>
      <c r="U130" s="225">
        <f t="shared" si="18"/>
        <v>3951</v>
      </c>
      <c r="V130" s="471">
        <f>VLOOKUP(C130,'Chấm công KT'!$D$95:$AK$156,34,0)</f>
        <v>24</v>
      </c>
      <c r="W130" s="471">
        <f>VLOOKUP(C130,'Chấm công KT'!$D$95:$AL$156,35,0)</f>
        <v>4</v>
      </c>
      <c r="X130" s="471">
        <f>VLOOKUP(C130,'Chấm công KT'!D128:AM156,36,0)</f>
        <v>2</v>
      </c>
      <c r="Y130" s="522"/>
      <c r="Z130" s="522"/>
      <c r="AA130" s="522"/>
      <c r="AB130" s="173"/>
      <c r="AC130" s="169">
        <f t="shared" si="19"/>
        <v>3.2</v>
      </c>
      <c r="AD130" s="105" t="str">
        <f>VLOOKUP(C130,'BTH mủ tạp'!$D$17:$AN$160,37,0)</f>
        <v>A</v>
      </c>
      <c r="AE130" s="170"/>
      <c r="AF130" s="90"/>
    </row>
    <row r="131" spans="1:33" ht="18.75" customHeight="1">
      <c r="A131" s="160">
        <v>35</v>
      </c>
      <c r="B131" s="221" t="str">
        <f>'Chấm công KT'!C129</f>
        <v>04078</v>
      </c>
      <c r="C131" s="170" t="str">
        <f>'Chấm công KT'!D129</f>
        <v>Lăm Thong</v>
      </c>
      <c r="D131" s="160" t="s">
        <v>26</v>
      </c>
      <c r="E131" s="231">
        <f t="shared" si="16"/>
        <v>3.2</v>
      </c>
      <c r="F131" s="231"/>
      <c r="G131" s="231"/>
      <c r="H131" s="231"/>
      <c r="I131" s="231"/>
      <c r="J131" s="222"/>
      <c r="K131" s="172"/>
      <c r="L131" s="172"/>
      <c r="M131" s="108"/>
      <c r="N131" s="104"/>
      <c r="O131" s="186"/>
      <c r="P131" s="161"/>
      <c r="Q131" s="168">
        <f t="shared" si="20"/>
        <v>3.2</v>
      </c>
      <c r="R131" s="163">
        <f>VLOOKUP(C131,'BTH mủ tạp'!$D$99:$AK$160,34,0)</f>
        <v>3837</v>
      </c>
      <c r="S131" s="171"/>
      <c r="T131" s="162">
        <f t="shared" si="21"/>
        <v>0</v>
      </c>
      <c r="U131" s="225">
        <f t="shared" si="18"/>
        <v>3837</v>
      </c>
      <c r="V131" s="471">
        <f>VLOOKUP(C131,'Chấm công KT'!$D$95:$AK$156,34,0)</f>
        <v>23</v>
      </c>
      <c r="W131" s="471">
        <f>VLOOKUP(C131,'Chấm công KT'!$D$95:$AL$156,35,0)</f>
        <v>3</v>
      </c>
      <c r="X131" s="471">
        <f>VLOOKUP(C131,'Chấm công KT'!D129:AM156,36,0)</f>
        <v>2</v>
      </c>
      <c r="Y131" s="522"/>
      <c r="Z131" s="522"/>
      <c r="AA131" s="522"/>
      <c r="AB131" s="173"/>
      <c r="AC131" s="169">
        <f t="shared" si="19"/>
        <v>3.2</v>
      </c>
      <c r="AD131" s="105" t="str">
        <f>VLOOKUP(C131,'BTH mủ tạp'!$D$17:$AN$160,37,0)</f>
        <v>B</v>
      </c>
      <c r="AE131" s="170"/>
      <c r="AF131" s="90"/>
    </row>
    <row r="132" spans="1:33" ht="18.75" customHeight="1">
      <c r="A132" s="160">
        <v>36</v>
      </c>
      <c r="B132" s="221" t="str">
        <f>'Chấm công KT'!C130</f>
        <v>03622</v>
      </c>
      <c r="C132" s="170" t="str">
        <f>'Chấm công KT'!D130</f>
        <v>N. Xeo Khăm</v>
      </c>
      <c r="D132" s="160" t="s">
        <v>26</v>
      </c>
      <c r="E132" s="231">
        <f t="shared" si="16"/>
        <v>3.2</v>
      </c>
      <c r="F132" s="231"/>
      <c r="G132" s="231"/>
      <c r="H132" s="231"/>
      <c r="I132" s="231"/>
      <c r="J132" s="222"/>
      <c r="K132" s="172"/>
      <c r="L132" s="172"/>
      <c r="M132" s="108"/>
      <c r="N132" s="104"/>
      <c r="O132" s="186"/>
      <c r="P132" s="161"/>
      <c r="Q132" s="168">
        <f t="shared" si="20"/>
        <v>3.2</v>
      </c>
      <c r="R132" s="163">
        <f>VLOOKUP(C132,'BTH mủ tạp'!$D$99:$AK$160,34,0)</f>
        <v>4495</v>
      </c>
      <c r="S132" s="171"/>
      <c r="T132" s="162">
        <f t="shared" si="21"/>
        <v>0</v>
      </c>
      <c r="U132" s="225">
        <f t="shared" si="18"/>
        <v>4495</v>
      </c>
      <c r="V132" s="471">
        <f>VLOOKUP(C132,'Chấm công KT'!$D$95:$AK$156,34,0)</f>
        <v>24</v>
      </c>
      <c r="W132" s="471">
        <f>VLOOKUP(C132,'Chấm công KT'!$D$95:$AL$156,35,0)</f>
        <v>4</v>
      </c>
      <c r="X132" s="471">
        <f>VLOOKUP(C132,'Chấm công KT'!D130:AM156,36,0)</f>
        <v>2</v>
      </c>
      <c r="Y132" s="522"/>
      <c r="Z132" s="522"/>
      <c r="AA132" s="522"/>
      <c r="AB132" s="173"/>
      <c r="AC132" s="169">
        <f t="shared" si="19"/>
        <v>3.2</v>
      </c>
      <c r="AD132" s="105" t="str">
        <f>VLOOKUP(C132,'BTH mủ tạp'!$D$17:$AN$160,37,0)</f>
        <v>A</v>
      </c>
      <c r="AE132" s="170"/>
      <c r="AF132" s="90"/>
    </row>
    <row r="133" spans="1:33" ht="18.75" customHeight="1">
      <c r="A133" s="160">
        <v>37</v>
      </c>
      <c r="B133" s="221" t="str">
        <f>'Chấm công KT'!C131</f>
        <v>03623</v>
      </c>
      <c r="C133" s="170" t="str">
        <f>'Chấm công KT'!D131</f>
        <v>T. Khăm...</v>
      </c>
      <c r="D133" s="160" t="s">
        <v>26</v>
      </c>
      <c r="E133" s="231">
        <f t="shared" si="16"/>
        <v>3.2</v>
      </c>
      <c r="F133" s="231"/>
      <c r="G133" s="231"/>
      <c r="H133" s="231"/>
      <c r="I133" s="231"/>
      <c r="J133" s="222"/>
      <c r="K133" s="172"/>
      <c r="L133" s="172"/>
      <c r="M133" s="108"/>
      <c r="N133" s="104"/>
      <c r="O133" s="186"/>
      <c r="P133" s="161"/>
      <c r="Q133" s="168">
        <f t="shared" si="20"/>
        <v>3.2</v>
      </c>
      <c r="R133" s="163">
        <f>VLOOKUP(C133,'BTH mủ tạp'!$D$99:$AK$160,34,0)</f>
        <v>5063</v>
      </c>
      <c r="S133" s="171"/>
      <c r="T133" s="162">
        <f t="shared" si="21"/>
        <v>0</v>
      </c>
      <c r="U133" s="225">
        <f t="shared" si="18"/>
        <v>5063</v>
      </c>
      <c r="V133" s="471">
        <f>VLOOKUP(C133,'Chấm công KT'!$D$95:$AK$156,34,0)</f>
        <v>24</v>
      </c>
      <c r="W133" s="471">
        <f>VLOOKUP(C133,'Chấm công KT'!$D$95:$AL$156,35,0)</f>
        <v>4</v>
      </c>
      <c r="X133" s="471">
        <f>VLOOKUP(C133,'Chấm công KT'!D131:AM156,36,0)</f>
        <v>2</v>
      </c>
      <c r="Y133" s="522"/>
      <c r="Z133" s="522"/>
      <c r="AA133" s="522"/>
      <c r="AB133" s="173"/>
      <c r="AC133" s="169">
        <f t="shared" si="19"/>
        <v>3.2</v>
      </c>
      <c r="AD133" s="105" t="str">
        <f>VLOOKUP(C133,'BTH mủ tạp'!$D$17:$AN$160,37,0)</f>
        <v>A</v>
      </c>
      <c r="AE133" s="170"/>
      <c r="AF133" s="90"/>
    </row>
    <row r="134" spans="1:33" ht="18.75" customHeight="1">
      <c r="A134" s="160">
        <v>38</v>
      </c>
      <c r="B134" s="221" t="str">
        <f>'Chấm công KT'!C132</f>
        <v>03532</v>
      </c>
      <c r="C134" s="170" t="str">
        <f>'Chấm công KT'!D132</f>
        <v>N. Túc</v>
      </c>
      <c r="D134" s="160" t="s">
        <v>26</v>
      </c>
      <c r="E134" s="231">
        <f t="shared" si="16"/>
        <v>3.2</v>
      </c>
      <c r="F134" s="231"/>
      <c r="G134" s="231"/>
      <c r="H134" s="231"/>
      <c r="I134" s="231"/>
      <c r="J134" s="222"/>
      <c r="K134" s="172"/>
      <c r="L134" s="172"/>
      <c r="M134" s="108"/>
      <c r="N134" s="104"/>
      <c r="O134" s="186"/>
      <c r="P134" s="161"/>
      <c r="Q134" s="168">
        <f t="shared" si="20"/>
        <v>3.2</v>
      </c>
      <c r="R134" s="163">
        <f>VLOOKUP(C134,'BTH mủ tạp'!$D$99:$AK$160,34,0)</f>
        <v>4701</v>
      </c>
      <c r="S134" s="171"/>
      <c r="T134" s="162">
        <f t="shared" si="21"/>
        <v>0</v>
      </c>
      <c r="U134" s="225">
        <f t="shared" si="18"/>
        <v>4701</v>
      </c>
      <c r="V134" s="471">
        <f>VLOOKUP(C134,'Chấm công KT'!$D$95:$AK$156,34,0)</f>
        <v>24</v>
      </c>
      <c r="W134" s="471">
        <f>VLOOKUP(C134,'Chấm công KT'!$D$95:$AL$156,35,0)</f>
        <v>4</v>
      </c>
      <c r="X134" s="471">
        <f>VLOOKUP(C134,'Chấm công KT'!D132:AM156,36,0)</f>
        <v>2</v>
      </c>
      <c r="Y134" s="522"/>
      <c r="Z134" s="522"/>
      <c r="AA134" s="522"/>
      <c r="AB134" s="173"/>
      <c r="AC134" s="169">
        <f t="shared" si="19"/>
        <v>3.2</v>
      </c>
      <c r="AD134" s="105" t="str">
        <f>VLOOKUP(C134,'BTH mủ tạp'!$D$17:$AN$160,37,0)</f>
        <v>A</v>
      </c>
      <c r="AE134" s="170"/>
      <c r="AF134" s="90"/>
    </row>
    <row r="135" spans="1:33" ht="18.75" customHeight="1">
      <c r="A135" s="160">
        <v>39</v>
      </c>
      <c r="B135" s="221" t="str">
        <f>'Chấm công KT'!C133</f>
        <v>03625</v>
      </c>
      <c r="C135" s="170" t="str">
        <f>'Chấm công KT'!D133</f>
        <v>N. Pheng</v>
      </c>
      <c r="D135" s="160" t="s">
        <v>26</v>
      </c>
      <c r="E135" s="231">
        <f t="shared" si="16"/>
        <v>3.2</v>
      </c>
      <c r="F135" s="231"/>
      <c r="G135" s="231"/>
      <c r="H135" s="231"/>
      <c r="I135" s="231"/>
      <c r="J135" s="222"/>
      <c r="K135" s="172"/>
      <c r="L135" s="172"/>
      <c r="M135" s="108"/>
      <c r="N135" s="167"/>
      <c r="O135" s="239"/>
      <c r="P135" s="161"/>
      <c r="Q135" s="168">
        <f t="shared" si="20"/>
        <v>3.2</v>
      </c>
      <c r="R135" s="163">
        <f>VLOOKUP(C135,'BTH mủ tạp'!$D$99:$AK$160,34,0)</f>
        <v>5219</v>
      </c>
      <c r="S135" s="171"/>
      <c r="T135" s="162">
        <f t="shared" si="21"/>
        <v>0</v>
      </c>
      <c r="U135" s="225">
        <f t="shared" si="18"/>
        <v>5219</v>
      </c>
      <c r="V135" s="471">
        <f>VLOOKUP(C135,'Chấm công KT'!$D$95:$AK$156,34,0)</f>
        <v>24</v>
      </c>
      <c r="W135" s="471">
        <f>VLOOKUP(C135,'Chấm công KT'!$D$95:$AL$156,35,0)</f>
        <v>4</v>
      </c>
      <c r="X135" s="471">
        <f>VLOOKUP(C135,'Chấm công KT'!D133:AM156,36,0)</f>
        <v>2</v>
      </c>
      <c r="Y135" s="522"/>
      <c r="Z135" s="522"/>
      <c r="AA135" s="522"/>
      <c r="AB135" s="173"/>
      <c r="AC135" s="169">
        <f t="shared" si="19"/>
        <v>3.2</v>
      </c>
      <c r="AD135" s="105" t="str">
        <f>VLOOKUP(C135,'BTH mủ tạp'!$D$17:$AN$160,37,0)</f>
        <v>A</v>
      </c>
      <c r="AE135" s="170"/>
      <c r="AF135" s="90"/>
    </row>
    <row r="136" spans="1:33" ht="18.75" customHeight="1">
      <c r="A136" s="160">
        <v>40</v>
      </c>
      <c r="B136" s="221" t="str">
        <f>'Chấm công KT'!C134</f>
        <v>03587</v>
      </c>
      <c r="C136" s="170" t="str">
        <f>'Chấm công KT'!D134</f>
        <v>N. Mom</v>
      </c>
      <c r="D136" s="160" t="s">
        <v>26</v>
      </c>
      <c r="E136" s="231">
        <f t="shared" si="16"/>
        <v>3.2</v>
      </c>
      <c r="F136" s="231"/>
      <c r="G136" s="231"/>
      <c r="H136" s="231"/>
      <c r="I136" s="231"/>
      <c r="J136" s="222"/>
      <c r="K136" s="172"/>
      <c r="L136" s="172"/>
      <c r="M136" s="108"/>
      <c r="N136" s="167"/>
      <c r="O136" s="239"/>
      <c r="P136" s="161"/>
      <c r="Q136" s="168">
        <f t="shared" si="20"/>
        <v>3.2</v>
      </c>
      <c r="R136" s="163">
        <f>VLOOKUP(C136,'BTH mủ tạp'!$D$99:$AK$160,34,0)</f>
        <v>4609</v>
      </c>
      <c r="S136" s="171"/>
      <c r="T136" s="162">
        <f t="shared" si="21"/>
        <v>0</v>
      </c>
      <c r="U136" s="225">
        <f t="shared" si="18"/>
        <v>4609</v>
      </c>
      <c r="V136" s="471">
        <f>VLOOKUP(C136,'Chấm công KT'!$D$95:$AK$156,34,0)</f>
        <v>24</v>
      </c>
      <c r="W136" s="471">
        <f>VLOOKUP(C136,'Chấm công KT'!$D$95:$AL$156,35,0)</f>
        <v>4</v>
      </c>
      <c r="X136" s="471">
        <f>VLOOKUP(C136,'Chấm công KT'!D134:AM156,36,0)</f>
        <v>2</v>
      </c>
      <c r="Y136" s="522"/>
      <c r="Z136" s="522"/>
      <c r="AA136" s="522"/>
      <c r="AB136" s="173"/>
      <c r="AC136" s="169">
        <f t="shared" si="19"/>
        <v>3.2</v>
      </c>
      <c r="AD136" s="105" t="str">
        <f>VLOOKUP(C136,'BTH mủ tạp'!$D$17:$AN$160,37,0)</f>
        <v>A</v>
      </c>
      <c r="AE136" s="170"/>
      <c r="AF136" s="90"/>
    </row>
    <row r="137" spans="1:33" ht="18.75" customHeight="1">
      <c r="A137" s="160">
        <v>41</v>
      </c>
      <c r="B137" s="221" t="str">
        <f>'Chấm công KT'!C135</f>
        <v>04079</v>
      </c>
      <c r="C137" s="170" t="str">
        <f>'Chấm công KT'!D135</f>
        <v>T. Môn</v>
      </c>
      <c r="D137" s="160" t="s">
        <v>26</v>
      </c>
      <c r="E137" s="231">
        <f t="shared" si="16"/>
        <v>3.2</v>
      </c>
      <c r="F137" s="231"/>
      <c r="G137" s="231"/>
      <c r="H137" s="231"/>
      <c r="I137" s="231"/>
      <c r="J137" s="222"/>
      <c r="K137" s="172"/>
      <c r="L137" s="172"/>
      <c r="M137" s="222"/>
      <c r="N137" s="167"/>
      <c r="O137" s="239"/>
      <c r="P137" s="161"/>
      <c r="Q137" s="168">
        <f t="shared" si="20"/>
        <v>3.2</v>
      </c>
      <c r="R137" s="163">
        <f>VLOOKUP(C137,'BTH mủ tạp'!$D$99:$AK$160,34,0)</f>
        <v>3579</v>
      </c>
      <c r="S137" s="171"/>
      <c r="T137" s="162">
        <f t="shared" si="21"/>
        <v>0</v>
      </c>
      <c r="U137" s="225">
        <f t="shared" si="18"/>
        <v>3579</v>
      </c>
      <c r="V137" s="471">
        <f>VLOOKUP(C137,'Chấm công KT'!$D$95:$AK$156,34,0)</f>
        <v>24</v>
      </c>
      <c r="W137" s="471">
        <f>VLOOKUP(C137,'Chấm công KT'!$D$95:$AL$156,35,0)</f>
        <v>4</v>
      </c>
      <c r="X137" s="471">
        <f>VLOOKUP(C137,'Chấm công KT'!D135:AM156,36,0)</f>
        <v>2</v>
      </c>
      <c r="Y137" s="522"/>
      <c r="Z137" s="522"/>
      <c r="AA137" s="522"/>
      <c r="AB137" s="173"/>
      <c r="AC137" s="169">
        <f t="shared" si="19"/>
        <v>3.2</v>
      </c>
      <c r="AD137" s="105" t="str">
        <f>VLOOKUP(C137,'BTH mủ tạp'!$D$17:$AN$160,37,0)</f>
        <v>B</v>
      </c>
      <c r="AE137" s="170"/>
      <c r="AF137" s="90"/>
    </row>
    <row r="138" spans="1:33" ht="18.75" customHeight="1">
      <c r="A138" s="160">
        <v>42</v>
      </c>
      <c r="B138" s="221" t="str">
        <f>'Chấm công KT'!C136</f>
        <v>03628</v>
      </c>
      <c r="C138" s="170" t="str">
        <f>'Chấm công KT'!D136</f>
        <v>Khăn Hạ</v>
      </c>
      <c r="D138" s="160" t="s">
        <v>26</v>
      </c>
      <c r="E138" s="231">
        <f t="shared" si="16"/>
        <v>3.2</v>
      </c>
      <c r="F138" s="231"/>
      <c r="G138" s="231"/>
      <c r="H138" s="231"/>
      <c r="I138" s="231"/>
      <c r="J138" s="222"/>
      <c r="K138" s="172"/>
      <c r="L138" s="172"/>
      <c r="M138" s="108"/>
      <c r="N138" s="104"/>
      <c r="O138" s="186"/>
      <c r="P138" s="161"/>
      <c r="Q138" s="168">
        <f t="shared" si="20"/>
        <v>3.2</v>
      </c>
      <c r="R138" s="163">
        <f>VLOOKUP(C138,'BTH mủ tạp'!$D$99:$AK$160,34,0)</f>
        <v>3414</v>
      </c>
      <c r="S138" s="171"/>
      <c r="T138" s="162">
        <f t="shared" si="21"/>
        <v>0</v>
      </c>
      <c r="U138" s="225">
        <f t="shared" si="18"/>
        <v>3414</v>
      </c>
      <c r="V138" s="471">
        <f>VLOOKUP(C138,'Chấm công KT'!$D$95:$AK$156,34,0)</f>
        <v>22</v>
      </c>
      <c r="W138" s="471">
        <f>VLOOKUP(C138,'Chấm công KT'!$D$95:$AL$156,35,0)</f>
        <v>3</v>
      </c>
      <c r="X138" s="471">
        <f>VLOOKUP(C138,'Chấm công KT'!D136:AM156,36,0)</f>
        <v>2</v>
      </c>
      <c r="Y138" s="522"/>
      <c r="Z138" s="522"/>
      <c r="AA138" s="522"/>
      <c r="AB138" s="173"/>
      <c r="AC138" s="169">
        <f t="shared" si="19"/>
        <v>3.2</v>
      </c>
      <c r="AD138" s="105" t="str">
        <f>VLOOKUP(C138,'BTH mủ tạp'!$D$17:$AN$160,37,0)</f>
        <v>B</v>
      </c>
      <c r="AE138" s="170"/>
      <c r="AF138" s="90"/>
    </row>
    <row r="139" spans="1:33" ht="18.75" customHeight="1">
      <c r="A139" s="160">
        <v>43</v>
      </c>
      <c r="B139" s="221" t="str">
        <f>'Chấm công KT'!C137</f>
        <v>03629</v>
      </c>
      <c r="C139" s="170" t="str">
        <f>'Chấm công KT'!D137</f>
        <v>T. Chăn La .</v>
      </c>
      <c r="D139" s="160" t="s">
        <v>26</v>
      </c>
      <c r="E139" s="231">
        <f t="shared" si="16"/>
        <v>3.2</v>
      </c>
      <c r="F139" s="231"/>
      <c r="G139" s="231"/>
      <c r="H139" s="231"/>
      <c r="I139" s="231"/>
      <c r="J139" s="222"/>
      <c r="K139" s="172"/>
      <c r="L139" s="172"/>
      <c r="M139" s="108"/>
      <c r="N139" s="167"/>
      <c r="O139" s="239"/>
      <c r="P139" s="161"/>
      <c r="Q139" s="168">
        <f t="shared" si="20"/>
        <v>3.2</v>
      </c>
      <c r="R139" s="163">
        <f>VLOOKUP(C139,'BTH mủ tạp'!$D$99:$AK$160,34,0)</f>
        <v>3661</v>
      </c>
      <c r="S139" s="171"/>
      <c r="T139" s="162">
        <f t="shared" si="21"/>
        <v>0</v>
      </c>
      <c r="U139" s="225">
        <f t="shared" si="18"/>
        <v>3661</v>
      </c>
      <c r="V139" s="471">
        <f>VLOOKUP(C139,'Chấm công KT'!$D$95:$AK$156,34,0)</f>
        <v>24</v>
      </c>
      <c r="W139" s="471">
        <f>VLOOKUP(C139,'Chấm công KT'!$D$95:$AL$156,35,0)</f>
        <v>4</v>
      </c>
      <c r="X139" s="471">
        <f>VLOOKUP(C139,'Chấm công KT'!D137:AM156,36,0)</f>
        <v>2</v>
      </c>
      <c r="Y139" s="522"/>
      <c r="Z139" s="522"/>
      <c r="AA139" s="522"/>
      <c r="AB139" s="173"/>
      <c r="AC139" s="169">
        <f t="shared" si="19"/>
        <v>3.2</v>
      </c>
      <c r="AD139" s="105" t="str">
        <f>VLOOKUP(C139,'BTH mủ tạp'!$D$17:$AN$160,37,0)</f>
        <v>A</v>
      </c>
      <c r="AE139" s="170"/>
      <c r="AF139" s="90"/>
    </row>
    <row r="140" spans="1:33" ht="18.75" customHeight="1">
      <c r="A140" s="160">
        <v>44</v>
      </c>
      <c r="B140" s="221" t="str">
        <f>'Chấm công KT'!C138</f>
        <v>03630</v>
      </c>
      <c r="C140" s="170" t="str">
        <f>'Chấm công KT'!D138</f>
        <v>T. Nú</v>
      </c>
      <c r="D140" s="160" t="s">
        <v>26</v>
      </c>
      <c r="E140" s="231">
        <f t="shared" si="16"/>
        <v>3.2</v>
      </c>
      <c r="F140" s="231"/>
      <c r="G140" s="231"/>
      <c r="H140" s="231"/>
      <c r="I140" s="231"/>
      <c r="J140" s="222"/>
      <c r="K140" s="172"/>
      <c r="L140" s="172"/>
      <c r="M140" s="108"/>
      <c r="N140" s="104"/>
      <c r="O140" s="186"/>
      <c r="P140" s="161"/>
      <c r="Q140" s="168">
        <f t="shared" si="20"/>
        <v>3.2</v>
      </c>
      <c r="R140" s="163">
        <f>VLOOKUP(C140,'BTH mủ tạp'!$D$99:$AK$160,34,0)</f>
        <v>3370</v>
      </c>
      <c r="S140" s="171"/>
      <c r="T140" s="162">
        <f t="shared" si="21"/>
        <v>0</v>
      </c>
      <c r="U140" s="225">
        <f t="shared" si="18"/>
        <v>3370</v>
      </c>
      <c r="V140" s="471">
        <f>VLOOKUP(C140,'Chấm công KT'!$D$95:$AK$156,34,0)</f>
        <v>22</v>
      </c>
      <c r="W140" s="471">
        <f>VLOOKUP(C140,'Chấm công KT'!$D$95:$AL$156,35,0)</f>
        <v>3</v>
      </c>
      <c r="X140" s="471">
        <f>VLOOKUP(C140,'Chấm công KT'!D138:AM156,36,0)</f>
        <v>2</v>
      </c>
      <c r="Y140" s="522"/>
      <c r="Z140" s="522"/>
      <c r="AA140" s="522"/>
      <c r="AB140" s="173"/>
      <c r="AC140" s="169">
        <f t="shared" si="19"/>
        <v>3.2</v>
      </c>
      <c r="AD140" s="105" t="str">
        <f>VLOOKUP(C140,'BTH mủ tạp'!$D$17:$AN$160,37,0)</f>
        <v>B</v>
      </c>
      <c r="AE140" s="170"/>
      <c r="AF140" s="90" t="s">
        <v>149</v>
      </c>
      <c r="AG140" s="2">
        <f>1.1-3.19</f>
        <v>-2.09</v>
      </c>
    </row>
    <row r="141" spans="1:33" ht="18.75" customHeight="1">
      <c r="A141" s="160">
        <v>45</v>
      </c>
      <c r="B141" s="221" t="str">
        <f>'Chấm công KT'!C139</f>
        <v>03631</v>
      </c>
      <c r="C141" s="170" t="str">
        <f>'Chấm công KT'!D139</f>
        <v>T. Xan Nha</v>
      </c>
      <c r="D141" s="160" t="s">
        <v>26</v>
      </c>
      <c r="E141" s="231">
        <f t="shared" si="16"/>
        <v>3.2</v>
      </c>
      <c r="F141" s="231"/>
      <c r="G141" s="231"/>
      <c r="H141" s="231"/>
      <c r="I141" s="231"/>
      <c r="J141" s="222"/>
      <c r="K141" s="172"/>
      <c r="L141" s="172"/>
      <c r="M141" s="108"/>
      <c r="N141" s="167"/>
      <c r="O141" s="239"/>
      <c r="P141" s="161"/>
      <c r="Q141" s="168">
        <f t="shared" si="20"/>
        <v>3.2</v>
      </c>
      <c r="R141" s="163">
        <f>VLOOKUP(C141,'BTH mủ tạp'!$D$99:$AK$160,34,0)</f>
        <v>3493</v>
      </c>
      <c r="S141" s="171"/>
      <c r="T141" s="162">
        <f t="shared" si="21"/>
        <v>0</v>
      </c>
      <c r="U141" s="225">
        <f t="shared" si="18"/>
        <v>3493</v>
      </c>
      <c r="V141" s="471">
        <f>VLOOKUP(C141,'Chấm công KT'!$D$95:$AK$156,34,0)</f>
        <v>24</v>
      </c>
      <c r="W141" s="471">
        <f>VLOOKUP(C141,'Chấm công KT'!$D$95:$AL$156,35,0)</f>
        <v>4</v>
      </c>
      <c r="X141" s="471">
        <f>VLOOKUP(C141,'Chấm công KT'!D139:AM156,36,0)</f>
        <v>2</v>
      </c>
      <c r="Y141" s="522"/>
      <c r="Z141" s="522"/>
      <c r="AA141" s="522"/>
      <c r="AB141" s="173"/>
      <c r="AC141" s="169">
        <f t="shared" si="19"/>
        <v>3.2</v>
      </c>
      <c r="AD141" s="105" t="str">
        <f>VLOOKUP(C141,'BTH mủ tạp'!$D$17:$AN$160,37,0)</f>
        <v>B</v>
      </c>
      <c r="AE141" s="170"/>
      <c r="AF141" s="90"/>
    </row>
    <row r="142" spans="1:33" ht="18.75" customHeight="1">
      <c r="A142" s="160">
        <v>46</v>
      </c>
      <c r="B142" s="221" t="str">
        <f>'Chấm công KT'!C140</f>
        <v>03632</v>
      </c>
      <c r="C142" s="170" t="str">
        <f>'Chấm công KT'!D140</f>
        <v>T. A lem</v>
      </c>
      <c r="D142" s="160" t="s">
        <v>26</v>
      </c>
      <c r="E142" s="231">
        <f t="shared" si="16"/>
        <v>3.2</v>
      </c>
      <c r="F142" s="231"/>
      <c r="G142" s="231"/>
      <c r="H142" s="231"/>
      <c r="I142" s="231"/>
      <c r="J142" s="222"/>
      <c r="K142" s="172"/>
      <c r="L142" s="172"/>
      <c r="M142" s="108"/>
      <c r="N142" s="167"/>
      <c r="O142" s="239"/>
      <c r="P142" s="161"/>
      <c r="Q142" s="168">
        <f t="shared" si="20"/>
        <v>3.2</v>
      </c>
      <c r="R142" s="163">
        <f>VLOOKUP(C142,'BTH mủ tạp'!$D$99:$AK$160,34,0)</f>
        <v>5684</v>
      </c>
      <c r="S142" s="171"/>
      <c r="T142" s="162">
        <f t="shared" si="21"/>
        <v>0</v>
      </c>
      <c r="U142" s="225">
        <f t="shared" si="18"/>
        <v>5684</v>
      </c>
      <c r="V142" s="471">
        <f>VLOOKUP(C142,'Chấm công KT'!$D$95:$AK$156,34,0)</f>
        <v>24</v>
      </c>
      <c r="W142" s="471">
        <f>VLOOKUP(C142,'Chấm công KT'!$D$95:$AL$156,35,0)</f>
        <v>4</v>
      </c>
      <c r="X142" s="471">
        <f>VLOOKUP(C142,'Chấm công KT'!D140:AM156,36,0)</f>
        <v>2</v>
      </c>
      <c r="Y142" s="522"/>
      <c r="Z142" s="522"/>
      <c r="AA142" s="522"/>
      <c r="AB142" s="173"/>
      <c r="AC142" s="169">
        <f t="shared" si="19"/>
        <v>3.2</v>
      </c>
      <c r="AD142" s="105" t="str">
        <f>VLOOKUP(C142,'BTH mủ tạp'!$D$17:$AN$160,37,0)</f>
        <v>A</v>
      </c>
      <c r="AE142" s="170"/>
      <c r="AF142" s="90"/>
    </row>
    <row r="143" spans="1:33" ht="18.75" customHeight="1">
      <c r="A143" s="160">
        <v>47</v>
      </c>
      <c r="B143" s="221" t="str">
        <f>'Chấm công KT'!C141</f>
        <v>04080</v>
      </c>
      <c r="C143" s="170" t="str">
        <f>'Chấm công KT'!D141</f>
        <v>T. Phan</v>
      </c>
      <c r="D143" s="160" t="s">
        <v>26</v>
      </c>
      <c r="E143" s="231">
        <f t="shared" si="16"/>
        <v>3.2</v>
      </c>
      <c r="F143" s="231"/>
      <c r="G143" s="231"/>
      <c r="H143" s="231"/>
      <c r="I143" s="231"/>
      <c r="J143" s="222"/>
      <c r="K143" s="172"/>
      <c r="L143" s="172"/>
      <c r="M143" s="108"/>
      <c r="N143" s="167"/>
      <c r="O143" s="239"/>
      <c r="P143" s="161"/>
      <c r="Q143" s="168">
        <f t="shared" si="20"/>
        <v>3.2</v>
      </c>
      <c r="R143" s="163">
        <f>VLOOKUP(C143,'BTH mủ tạp'!$D$99:$AK$160,34,0)</f>
        <v>4333</v>
      </c>
      <c r="S143" s="171"/>
      <c r="T143" s="162">
        <f t="shared" si="21"/>
        <v>0</v>
      </c>
      <c r="U143" s="225">
        <f t="shared" si="18"/>
        <v>4333</v>
      </c>
      <c r="V143" s="471">
        <f>VLOOKUP(C143,'Chấm công KT'!$D$95:$AK$156,34,0)</f>
        <v>24</v>
      </c>
      <c r="W143" s="471">
        <f>VLOOKUP(C143,'Chấm công KT'!$D$95:$AL$156,35,0)</f>
        <v>4</v>
      </c>
      <c r="X143" s="471">
        <f>VLOOKUP(C143,'Chấm công KT'!D141:AM156,36,0)</f>
        <v>2</v>
      </c>
      <c r="Y143" s="522"/>
      <c r="Z143" s="522"/>
      <c r="AA143" s="522"/>
      <c r="AB143" s="173"/>
      <c r="AC143" s="169">
        <f t="shared" si="19"/>
        <v>3.2</v>
      </c>
      <c r="AD143" s="105" t="str">
        <f>VLOOKUP(C143,'BTH mủ tạp'!$D$17:$AN$160,37,0)</f>
        <v>A</v>
      </c>
      <c r="AE143" s="187"/>
      <c r="AF143" s="90"/>
    </row>
    <row r="144" spans="1:33" ht="18.75" customHeight="1">
      <c r="A144" s="160">
        <v>48</v>
      </c>
      <c r="B144" s="221" t="str">
        <f>'Chấm công KT'!C142</f>
        <v>03634</v>
      </c>
      <c r="C144" s="170" t="str">
        <f>'Chấm công KT'!D142</f>
        <v>T . Cổ</v>
      </c>
      <c r="D144" s="160" t="s">
        <v>26</v>
      </c>
      <c r="E144" s="231">
        <f t="shared" si="16"/>
        <v>3.2</v>
      </c>
      <c r="F144" s="231"/>
      <c r="G144" s="231"/>
      <c r="H144" s="231"/>
      <c r="I144" s="231"/>
      <c r="J144" s="222"/>
      <c r="K144" s="172"/>
      <c r="L144" s="172"/>
      <c r="M144" s="108"/>
      <c r="N144" s="167"/>
      <c r="O144" s="239"/>
      <c r="P144" s="161"/>
      <c r="Q144" s="168">
        <f t="shared" si="20"/>
        <v>3.2</v>
      </c>
      <c r="R144" s="163">
        <f>VLOOKUP(C144,'BTH mủ tạp'!$D$99:$AK$160,34,0)</f>
        <v>6313</v>
      </c>
      <c r="S144" s="171"/>
      <c r="T144" s="162">
        <f t="shared" si="21"/>
        <v>0</v>
      </c>
      <c r="U144" s="225">
        <f t="shared" si="18"/>
        <v>6313</v>
      </c>
      <c r="V144" s="471">
        <f>VLOOKUP(C144,'Chấm công KT'!$D$95:$AK$156,34,0)</f>
        <v>23</v>
      </c>
      <c r="W144" s="471">
        <f>VLOOKUP(C144,'Chấm công KT'!$D$95:$AL$156,35,0)</f>
        <v>4</v>
      </c>
      <c r="X144" s="471">
        <f>VLOOKUP(C144,'Chấm công KT'!D142:AM156,36,0)</f>
        <v>2</v>
      </c>
      <c r="Y144" s="522"/>
      <c r="Z144" s="522"/>
      <c r="AA144" s="522"/>
      <c r="AB144" s="173"/>
      <c r="AC144" s="169">
        <f t="shared" si="19"/>
        <v>3.2</v>
      </c>
      <c r="AD144" s="105" t="str">
        <f>VLOOKUP(C144,'BTH mủ tạp'!$D$17:$AN$160,37,0)</f>
        <v>B</v>
      </c>
      <c r="AE144" s="187"/>
      <c r="AF144" s="90"/>
    </row>
    <row r="145" spans="1:32" ht="18.75" customHeight="1">
      <c r="A145" s="160">
        <v>49</v>
      </c>
      <c r="B145" s="221" t="str">
        <f>'Chấm công KT'!C143</f>
        <v>03635</v>
      </c>
      <c r="C145" s="170" t="str">
        <f>'Chấm công KT'!D143</f>
        <v>N. Phim Pha</v>
      </c>
      <c r="D145" s="160" t="s">
        <v>26</v>
      </c>
      <c r="E145" s="231">
        <f t="shared" si="16"/>
        <v>3.2</v>
      </c>
      <c r="F145" s="231"/>
      <c r="G145" s="231"/>
      <c r="H145" s="231"/>
      <c r="I145" s="231"/>
      <c r="J145" s="222"/>
      <c r="K145" s="172"/>
      <c r="L145" s="172"/>
      <c r="M145" s="108"/>
      <c r="N145" s="104"/>
      <c r="O145" s="186"/>
      <c r="P145" s="161"/>
      <c r="Q145" s="168">
        <f t="shared" si="20"/>
        <v>3.2</v>
      </c>
      <c r="R145" s="163">
        <f>VLOOKUP(C145,'BTH mủ tạp'!$D$99:$AK$160,34,0)</f>
        <v>3924</v>
      </c>
      <c r="S145" s="171"/>
      <c r="T145" s="162">
        <f t="shared" si="21"/>
        <v>0</v>
      </c>
      <c r="U145" s="225">
        <f t="shared" si="18"/>
        <v>3924</v>
      </c>
      <c r="V145" s="471">
        <f>VLOOKUP(C145,'Chấm công KT'!$D$95:$AK$156,34,0)</f>
        <v>21</v>
      </c>
      <c r="W145" s="471">
        <f>VLOOKUP(C145,'Chấm công KT'!$D$95:$AL$156,35,0)</f>
        <v>3</v>
      </c>
      <c r="X145" s="471">
        <f>VLOOKUP(C145,'Chấm công KT'!D143:AM156,36,0)</f>
        <v>2</v>
      </c>
      <c r="Y145" s="522"/>
      <c r="Z145" s="522"/>
      <c r="AA145" s="522"/>
      <c r="AB145" s="173"/>
      <c r="AC145" s="169">
        <f t="shared" si="19"/>
        <v>3.2</v>
      </c>
      <c r="AD145" s="105" t="str">
        <f>VLOOKUP(C145,'BTH mủ tạp'!$D$17:$AN$160,37,0)</f>
        <v>B</v>
      </c>
      <c r="AE145" s="187"/>
      <c r="AF145" s="90"/>
    </row>
    <row r="146" spans="1:32" ht="18.75" customHeight="1">
      <c r="A146" s="160">
        <v>50</v>
      </c>
      <c r="B146" s="221" t="str">
        <f>'Chấm công KT'!C144</f>
        <v>03636</v>
      </c>
      <c r="C146" s="170" t="str">
        <f>'Chấm công KT'!D144</f>
        <v xml:space="preserve">T. Xeng </v>
      </c>
      <c r="D146" s="160" t="s">
        <v>26</v>
      </c>
      <c r="E146" s="231">
        <f t="shared" si="16"/>
        <v>3.2</v>
      </c>
      <c r="F146" s="231"/>
      <c r="G146" s="231"/>
      <c r="H146" s="231"/>
      <c r="I146" s="231"/>
      <c r="J146" s="222"/>
      <c r="K146" s="172"/>
      <c r="L146" s="172"/>
      <c r="M146" s="108"/>
      <c r="N146" s="167"/>
      <c r="O146" s="239"/>
      <c r="P146" s="161"/>
      <c r="Q146" s="168">
        <f t="shared" si="20"/>
        <v>3.2</v>
      </c>
      <c r="R146" s="163">
        <f>VLOOKUP(C146,'BTH mủ tạp'!$D$99:$AK$160,34,0)</f>
        <v>4460</v>
      </c>
      <c r="S146" s="171"/>
      <c r="T146" s="162">
        <f t="shared" si="21"/>
        <v>0</v>
      </c>
      <c r="U146" s="225">
        <f t="shared" si="18"/>
        <v>4460</v>
      </c>
      <c r="V146" s="471">
        <f>VLOOKUP(C146,'Chấm công KT'!$D$95:$AK$156,34,0)</f>
        <v>24</v>
      </c>
      <c r="W146" s="471">
        <f>VLOOKUP(C146,'Chấm công KT'!$D$95:$AL$156,35,0)</f>
        <v>4</v>
      </c>
      <c r="X146" s="471">
        <f>VLOOKUP(C146,'Chấm công KT'!D144:AM156,36,0)</f>
        <v>2</v>
      </c>
      <c r="Y146" s="522"/>
      <c r="Z146" s="522"/>
      <c r="AA146" s="522"/>
      <c r="AB146" s="173"/>
      <c r="AC146" s="169">
        <f t="shared" si="19"/>
        <v>3.2</v>
      </c>
      <c r="AD146" s="105" t="str">
        <f>VLOOKUP(C146,'BTH mủ tạp'!$D$17:$AN$160,37,0)</f>
        <v>B</v>
      </c>
      <c r="AE146" s="187"/>
      <c r="AF146" s="90"/>
    </row>
    <row r="147" spans="1:32" ht="18.75" customHeight="1">
      <c r="A147" s="160">
        <v>51</v>
      </c>
      <c r="B147" s="221" t="str">
        <f>'Chấm công KT'!C145</f>
        <v>03637</v>
      </c>
      <c r="C147" s="170" t="str">
        <f>'Chấm công KT'!D145</f>
        <v>T. Vạt</v>
      </c>
      <c r="D147" s="160" t="s">
        <v>26</v>
      </c>
      <c r="E147" s="231">
        <f t="shared" si="16"/>
        <v>3.2</v>
      </c>
      <c r="F147" s="231"/>
      <c r="G147" s="231"/>
      <c r="H147" s="231"/>
      <c r="I147" s="231"/>
      <c r="J147" s="222"/>
      <c r="K147" s="172"/>
      <c r="L147" s="172"/>
      <c r="M147" s="108"/>
      <c r="N147" s="167"/>
      <c r="O147" s="239"/>
      <c r="P147" s="161"/>
      <c r="Q147" s="168">
        <f t="shared" si="20"/>
        <v>3.2</v>
      </c>
      <c r="R147" s="163">
        <f>VLOOKUP(C147,'BTH mủ tạp'!$D$99:$AK$160,34,0)</f>
        <v>4547</v>
      </c>
      <c r="S147" s="171"/>
      <c r="T147" s="162">
        <f t="shared" si="21"/>
        <v>0</v>
      </c>
      <c r="U147" s="225">
        <f t="shared" si="18"/>
        <v>4547</v>
      </c>
      <c r="V147" s="471">
        <f>VLOOKUP(C147,'Chấm công KT'!$D$95:$AK$156,34,0)</f>
        <v>24</v>
      </c>
      <c r="W147" s="471">
        <f>VLOOKUP(C147,'Chấm công KT'!$D$95:$AL$156,35,0)</f>
        <v>4</v>
      </c>
      <c r="X147" s="471">
        <f>VLOOKUP(C147,'Chấm công KT'!D145:AM156,36,0)</f>
        <v>2</v>
      </c>
      <c r="Y147" s="522"/>
      <c r="Z147" s="522"/>
      <c r="AA147" s="522"/>
      <c r="AB147" s="173"/>
      <c r="AC147" s="169">
        <f t="shared" si="19"/>
        <v>3.2</v>
      </c>
      <c r="AD147" s="105" t="str">
        <f>VLOOKUP(C147,'BTH mủ tạp'!$D$17:$AN$160,37,0)</f>
        <v>B</v>
      </c>
      <c r="AE147" s="187"/>
      <c r="AF147" s="90"/>
    </row>
    <row r="148" spans="1:32" ht="18.75" customHeight="1">
      <c r="A148" s="160">
        <v>52</v>
      </c>
      <c r="B148" s="221" t="str">
        <f>'Chấm công KT'!C146</f>
        <v>03638</v>
      </c>
      <c r="C148" s="170" t="str">
        <f>'Chấm công KT'!D146</f>
        <v>T. Lay</v>
      </c>
      <c r="D148" s="160" t="s">
        <v>26</v>
      </c>
      <c r="E148" s="231">
        <f t="shared" si="16"/>
        <v>3.2</v>
      </c>
      <c r="F148" s="231"/>
      <c r="G148" s="231"/>
      <c r="H148" s="231"/>
      <c r="I148" s="231"/>
      <c r="J148" s="222"/>
      <c r="K148" s="172"/>
      <c r="L148" s="172"/>
      <c r="M148" s="108"/>
      <c r="N148" s="167"/>
      <c r="O148" s="239"/>
      <c r="P148" s="161"/>
      <c r="Q148" s="168">
        <f t="shared" si="20"/>
        <v>3.2</v>
      </c>
      <c r="R148" s="163">
        <f>VLOOKUP(C148,'BTH mủ tạp'!$D$99:$AK$160,34,0)</f>
        <v>4087</v>
      </c>
      <c r="S148" s="171"/>
      <c r="T148" s="162">
        <f t="shared" si="21"/>
        <v>0</v>
      </c>
      <c r="U148" s="225">
        <f t="shared" si="18"/>
        <v>4087</v>
      </c>
      <c r="V148" s="471">
        <f>VLOOKUP(C148,'Chấm công KT'!$D$95:$AK$156,34,0)</f>
        <v>24</v>
      </c>
      <c r="W148" s="471">
        <f>VLOOKUP(C148,'Chấm công KT'!$D$95:$AL$156,35,0)</f>
        <v>4</v>
      </c>
      <c r="X148" s="471">
        <f>VLOOKUP(C148,'Chấm công KT'!D146:AM156,36,0)</f>
        <v>2</v>
      </c>
      <c r="Y148" s="522"/>
      <c r="Z148" s="522"/>
      <c r="AA148" s="522"/>
      <c r="AB148" s="173"/>
      <c r="AC148" s="169">
        <f t="shared" si="19"/>
        <v>3.2</v>
      </c>
      <c r="AD148" s="105" t="str">
        <f>VLOOKUP(C148,'BTH mủ tạp'!$D$17:$AN$160,37,0)</f>
        <v>A</v>
      </c>
      <c r="AE148" s="187"/>
      <c r="AF148" s="90"/>
    </row>
    <row r="149" spans="1:32" ht="18.75" customHeight="1">
      <c r="A149" s="160">
        <v>53</v>
      </c>
      <c r="B149" s="221" t="str">
        <f>'Chấm công KT'!C147</f>
        <v>04081</v>
      </c>
      <c r="C149" s="170" t="str">
        <f>'Chấm công KT'!D147</f>
        <v>N. Nọi</v>
      </c>
      <c r="D149" s="160" t="s">
        <v>26</v>
      </c>
      <c r="E149" s="231">
        <f t="shared" si="16"/>
        <v>3.2</v>
      </c>
      <c r="F149" s="231"/>
      <c r="G149" s="231"/>
      <c r="H149" s="231"/>
      <c r="I149" s="231"/>
      <c r="J149" s="222"/>
      <c r="K149" s="172"/>
      <c r="L149" s="172"/>
      <c r="M149" s="108"/>
      <c r="N149" s="167"/>
      <c r="O149" s="239"/>
      <c r="P149" s="161"/>
      <c r="Q149" s="168">
        <f t="shared" si="20"/>
        <v>3.2</v>
      </c>
      <c r="R149" s="163">
        <f>VLOOKUP(C149,'BTH mủ tạp'!$D$99:$AK$160,34,0)</f>
        <v>4165</v>
      </c>
      <c r="S149" s="171"/>
      <c r="T149" s="162">
        <f t="shared" si="21"/>
        <v>0</v>
      </c>
      <c r="U149" s="225">
        <f t="shared" si="18"/>
        <v>4165</v>
      </c>
      <c r="V149" s="471">
        <f>VLOOKUP(C149,'Chấm công KT'!$D$95:$AK$156,34,0)</f>
        <v>24</v>
      </c>
      <c r="W149" s="471">
        <f>VLOOKUP(C149,'Chấm công KT'!$D$95:$AL$156,35,0)</f>
        <v>4</v>
      </c>
      <c r="X149" s="471">
        <f>VLOOKUP(C149,'Chấm công KT'!D147:AM156,36,0)</f>
        <v>2</v>
      </c>
      <c r="Y149" s="522"/>
      <c r="Z149" s="522"/>
      <c r="AA149" s="522"/>
      <c r="AB149" s="173"/>
      <c r="AC149" s="169">
        <f t="shared" si="19"/>
        <v>3.2</v>
      </c>
      <c r="AD149" s="105" t="str">
        <f>VLOOKUP(C149,'BTH mủ tạp'!$D$17:$AN$160,37,0)</f>
        <v>A</v>
      </c>
      <c r="AE149" s="187"/>
      <c r="AF149" s="90"/>
    </row>
    <row r="150" spans="1:32" ht="18.75" customHeight="1">
      <c r="A150" s="160">
        <v>54</v>
      </c>
      <c r="B150" s="221" t="str">
        <f>'Chấm công KT'!C148</f>
        <v>04082</v>
      </c>
      <c r="C150" s="170" t="str">
        <f>'Chấm công KT'!D148</f>
        <v>T Bun Xi</v>
      </c>
      <c r="D150" s="160" t="s">
        <v>26</v>
      </c>
      <c r="E150" s="231">
        <f t="shared" si="16"/>
        <v>3.2</v>
      </c>
      <c r="F150" s="231"/>
      <c r="G150" s="231"/>
      <c r="H150" s="231"/>
      <c r="I150" s="231"/>
      <c r="J150" s="222"/>
      <c r="K150" s="172"/>
      <c r="L150" s="172"/>
      <c r="M150" s="222"/>
      <c r="N150" s="167"/>
      <c r="O150" s="239"/>
      <c r="P150" s="161"/>
      <c r="Q150" s="168">
        <f t="shared" si="20"/>
        <v>3.2</v>
      </c>
      <c r="R150" s="163">
        <f>VLOOKUP(C150,'BTH mủ tạp'!$D$99:$AK$160,34,0)</f>
        <v>4270</v>
      </c>
      <c r="S150" s="171"/>
      <c r="T150" s="162">
        <f t="shared" si="21"/>
        <v>0</v>
      </c>
      <c r="U150" s="225">
        <f t="shared" si="18"/>
        <v>4270</v>
      </c>
      <c r="V150" s="471">
        <f>VLOOKUP(C150,'Chấm công KT'!$D$95:$AK$156,34,0)</f>
        <v>23</v>
      </c>
      <c r="W150" s="471">
        <f>VLOOKUP(C150,'Chấm công KT'!$D$95:$AL$156,35,0)</f>
        <v>3</v>
      </c>
      <c r="X150" s="471">
        <f>VLOOKUP(C150,'Chấm công KT'!D148:AM156,36,0)</f>
        <v>2</v>
      </c>
      <c r="Y150" s="522"/>
      <c r="Z150" s="522"/>
      <c r="AA150" s="522"/>
      <c r="AB150" s="173"/>
      <c r="AC150" s="169">
        <f t="shared" si="19"/>
        <v>3.2</v>
      </c>
      <c r="AD150" s="105" t="str">
        <f>VLOOKUP(C150,'BTH mủ tạp'!$D$17:$AN$160,37,0)</f>
        <v>B</v>
      </c>
      <c r="AE150" s="187"/>
      <c r="AF150" s="90"/>
    </row>
    <row r="151" spans="1:32" ht="18.75" customHeight="1">
      <c r="A151" s="160">
        <v>55</v>
      </c>
      <c r="B151" s="221" t="str">
        <f>'Chấm công KT'!C149</f>
        <v>04083</v>
      </c>
      <c r="C151" s="170" t="str">
        <f>'Chấm công KT'!D149</f>
        <v>N. Bù</v>
      </c>
      <c r="D151" s="160" t="s">
        <v>26</v>
      </c>
      <c r="E151" s="231">
        <f t="shared" si="16"/>
        <v>3.2</v>
      </c>
      <c r="F151" s="231"/>
      <c r="G151" s="231"/>
      <c r="H151" s="231"/>
      <c r="I151" s="231"/>
      <c r="J151" s="222"/>
      <c r="K151" s="172"/>
      <c r="L151" s="172"/>
      <c r="M151" s="108"/>
      <c r="N151" s="167"/>
      <c r="O151" s="239"/>
      <c r="P151" s="161"/>
      <c r="Q151" s="168">
        <f t="shared" si="20"/>
        <v>3.2</v>
      </c>
      <c r="R151" s="163">
        <f>VLOOKUP(C151,'BTH mủ tạp'!$D$99:$AK$160,34,0)</f>
        <v>3799</v>
      </c>
      <c r="S151" s="171"/>
      <c r="T151" s="162">
        <f t="shared" si="21"/>
        <v>0</v>
      </c>
      <c r="U151" s="225">
        <f t="shared" si="18"/>
        <v>3799</v>
      </c>
      <c r="V151" s="471">
        <f>VLOOKUP(C151,'Chấm công KT'!$D$95:$AK$156,34,0)</f>
        <v>23</v>
      </c>
      <c r="W151" s="471">
        <f>VLOOKUP(C151,'Chấm công KT'!$D$95:$AL$156,35,0)</f>
        <v>2</v>
      </c>
      <c r="X151" s="471">
        <f>VLOOKUP(C151,'Chấm công KT'!D149:AM156,36,0)</f>
        <v>2</v>
      </c>
      <c r="Y151" s="522"/>
      <c r="Z151" s="522"/>
      <c r="AA151" s="522"/>
      <c r="AB151" s="173"/>
      <c r="AC151" s="169">
        <f t="shared" si="19"/>
        <v>3.2</v>
      </c>
      <c r="AD151" s="105" t="str">
        <f>VLOOKUP(C151,'BTH mủ tạp'!$D$17:$AN$160,37,0)</f>
        <v>A</v>
      </c>
      <c r="AE151" s="187"/>
      <c r="AF151" s="90"/>
    </row>
    <row r="152" spans="1:32" ht="18.75" customHeight="1">
      <c r="A152" s="160">
        <v>56</v>
      </c>
      <c r="B152" s="221" t="str">
        <f>'Chấm công KT'!C150</f>
        <v>03642</v>
      </c>
      <c r="C152" s="170" t="str">
        <f>'Chấm công KT'!D150</f>
        <v>T. Xơn</v>
      </c>
      <c r="D152" s="160" t="s">
        <v>26</v>
      </c>
      <c r="E152" s="231">
        <f t="shared" si="16"/>
        <v>3.2</v>
      </c>
      <c r="F152" s="231"/>
      <c r="G152" s="231"/>
      <c r="H152" s="231"/>
      <c r="I152" s="231"/>
      <c r="J152" s="222"/>
      <c r="K152" s="172"/>
      <c r="L152" s="172"/>
      <c r="M152" s="222"/>
      <c r="N152" s="186"/>
      <c r="O152" s="186"/>
      <c r="P152" s="186"/>
      <c r="Q152" s="168">
        <f t="shared" si="20"/>
        <v>3.2</v>
      </c>
      <c r="R152" s="163">
        <f>VLOOKUP(C152,'BTH mủ tạp'!$D$99:$AK$160,34,0)</f>
        <v>4201</v>
      </c>
      <c r="S152" s="171"/>
      <c r="T152" s="162">
        <f t="shared" si="21"/>
        <v>0</v>
      </c>
      <c r="U152" s="225">
        <f t="shared" si="18"/>
        <v>4201</v>
      </c>
      <c r="V152" s="471">
        <f>VLOOKUP(C152,'Chấm công KT'!$D$95:$AK$156,34,0)</f>
        <v>23</v>
      </c>
      <c r="W152" s="471">
        <f>VLOOKUP(C152,'Chấm công KT'!$D$95:$AL$156,35,0)</f>
        <v>3</v>
      </c>
      <c r="X152" s="471">
        <f>VLOOKUP(C152,'Chấm công KT'!D150:AM156,36,0)</f>
        <v>2</v>
      </c>
      <c r="Y152" s="522"/>
      <c r="Z152" s="522"/>
      <c r="AA152" s="522"/>
      <c r="AB152" s="173"/>
      <c r="AC152" s="169">
        <f t="shared" si="19"/>
        <v>3.2</v>
      </c>
      <c r="AD152" s="105" t="str">
        <f>VLOOKUP(C152,'BTH mủ tạp'!$D$17:$AN$160,37,0)</f>
        <v>A</v>
      </c>
      <c r="AE152" s="187"/>
      <c r="AF152" s="90"/>
    </row>
    <row r="153" spans="1:32" ht="18.75" customHeight="1">
      <c r="A153" s="160">
        <v>57</v>
      </c>
      <c r="B153" s="221" t="str">
        <f>'Chấm công KT'!C151</f>
        <v>04084</v>
      </c>
      <c r="C153" s="170" t="str">
        <f>'Chấm công KT'!D151</f>
        <v>T. Thi</v>
      </c>
      <c r="D153" s="160" t="s">
        <v>26</v>
      </c>
      <c r="E153" s="231">
        <f t="shared" si="16"/>
        <v>3.2</v>
      </c>
      <c r="F153" s="231"/>
      <c r="G153" s="231"/>
      <c r="H153" s="231"/>
      <c r="I153" s="231"/>
      <c r="J153" s="222"/>
      <c r="K153" s="172"/>
      <c r="L153" s="172"/>
      <c r="M153" s="222"/>
      <c r="N153" s="186"/>
      <c r="O153" s="186"/>
      <c r="P153" s="186"/>
      <c r="Q153" s="168">
        <f t="shared" si="20"/>
        <v>3.2</v>
      </c>
      <c r="R153" s="163">
        <f>VLOOKUP(C153,'BTH mủ tạp'!$D$99:$AK$160,34,0)</f>
        <v>4872</v>
      </c>
      <c r="S153" s="171"/>
      <c r="T153" s="162">
        <f t="shared" si="21"/>
        <v>0</v>
      </c>
      <c r="U153" s="225">
        <f t="shared" si="18"/>
        <v>4872</v>
      </c>
      <c r="V153" s="471">
        <f>VLOOKUP(C153,'Chấm công KT'!$D$95:$AK$156,34,0)</f>
        <v>24</v>
      </c>
      <c r="W153" s="471">
        <f>VLOOKUP(C153,'Chấm công KT'!$D$95:$AL$156,35,0)</f>
        <v>4</v>
      </c>
      <c r="X153" s="471">
        <f>VLOOKUP(C153,'Chấm công KT'!D151:AM156,36,0)</f>
        <v>2</v>
      </c>
      <c r="Y153" s="522"/>
      <c r="Z153" s="522"/>
      <c r="AA153" s="522"/>
      <c r="AB153" s="173"/>
      <c r="AC153" s="169">
        <f t="shared" si="19"/>
        <v>3.2</v>
      </c>
      <c r="AD153" s="105" t="str">
        <f>VLOOKUP(C153,'BTH mủ tạp'!$D$17:$AN$160,37,0)</f>
        <v>A</v>
      </c>
      <c r="AE153" s="187"/>
      <c r="AF153" s="90"/>
    </row>
    <row r="154" spans="1:32" ht="18.75" customHeight="1">
      <c r="A154" s="160">
        <v>58</v>
      </c>
      <c r="B154" s="221" t="str">
        <f>'Chấm công KT'!C152</f>
        <v>04085</v>
      </c>
      <c r="C154" s="170" t="str">
        <f>'Chấm công KT'!D152</f>
        <v>On chay</v>
      </c>
      <c r="D154" s="160" t="s">
        <v>26</v>
      </c>
      <c r="E154" s="231">
        <f t="shared" si="16"/>
        <v>3.2</v>
      </c>
      <c r="F154" s="231"/>
      <c r="G154" s="231"/>
      <c r="H154" s="231"/>
      <c r="I154" s="231"/>
      <c r="J154" s="222"/>
      <c r="K154" s="172"/>
      <c r="L154" s="172"/>
      <c r="M154" s="222"/>
      <c r="N154" s="186"/>
      <c r="O154" s="186"/>
      <c r="P154" s="186"/>
      <c r="Q154" s="168">
        <f t="shared" si="20"/>
        <v>3.2</v>
      </c>
      <c r="R154" s="163">
        <f>VLOOKUP(C154,'BTH mủ tạp'!$D$99:$AK$160,34,0)</f>
        <v>4473</v>
      </c>
      <c r="S154" s="171"/>
      <c r="T154" s="162">
        <f t="shared" si="21"/>
        <v>0</v>
      </c>
      <c r="U154" s="225">
        <f t="shared" si="18"/>
        <v>4473</v>
      </c>
      <c r="V154" s="471">
        <f>VLOOKUP(C154,'Chấm công KT'!$D$95:$AK$156,34,0)</f>
        <v>24</v>
      </c>
      <c r="W154" s="471">
        <f>VLOOKUP(C154,'Chấm công KT'!$D$95:$AL$156,35,0)</f>
        <v>4</v>
      </c>
      <c r="X154" s="471">
        <f>VLOOKUP(C154,'Chấm công KT'!D152:AM156,36,0)</f>
        <v>2</v>
      </c>
      <c r="Y154" s="522"/>
      <c r="Z154" s="522"/>
      <c r="AA154" s="522"/>
      <c r="AB154" s="173"/>
      <c r="AC154" s="169">
        <f t="shared" ref="AC154:AC162" si="22">Q154</f>
        <v>3.2</v>
      </c>
      <c r="AD154" s="105" t="str">
        <f>VLOOKUP(C154,'BTH mủ tạp'!$D$17:$AN$160,37,0)</f>
        <v>A</v>
      </c>
      <c r="AE154" s="187"/>
      <c r="AF154" s="90"/>
    </row>
    <row r="155" spans="1:32" ht="18.75" customHeight="1">
      <c r="A155" s="160">
        <v>59</v>
      </c>
      <c r="B155" s="494"/>
      <c r="C155" s="170" t="str">
        <f>'Chấm công KT'!D153</f>
        <v>T. Thong</v>
      </c>
      <c r="D155" s="160" t="s">
        <v>26</v>
      </c>
      <c r="E155" s="172"/>
      <c r="F155" s="231"/>
      <c r="G155" s="231"/>
      <c r="H155" s="231"/>
      <c r="I155" s="231"/>
      <c r="J155" s="222"/>
      <c r="K155" s="185"/>
      <c r="L155" s="185"/>
      <c r="M155" s="222"/>
      <c r="N155" s="186"/>
      <c r="O155" s="186"/>
      <c r="P155" s="186"/>
      <c r="Q155" s="168">
        <f t="shared" si="20"/>
        <v>0</v>
      </c>
      <c r="R155" s="163">
        <f>VLOOKUP(C155,'BTH mủ tạp'!$D$99:$AK$160,34,0)</f>
        <v>995</v>
      </c>
      <c r="S155" s="171"/>
      <c r="T155" s="162">
        <f t="shared" si="21"/>
        <v>0</v>
      </c>
      <c r="U155" s="225">
        <f t="shared" si="18"/>
        <v>995</v>
      </c>
      <c r="V155" s="471">
        <f>VLOOKUP(C155,'Chấm công KT'!$D$95:$AK$156,34,0)</f>
        <v>11</v>
      </c>
      <c r="W155" s="471">
        <f>VLOOKUP(C155,'Chấm công KT'!$D$95:$AL$156,35,0)</f>
        <v>3</v>
      </c>
      <c r="X155" s="471">
        <f>VLOOKUP(C155,'Chấm công KT'!D153:AM156,36,0)</f>
        <v>0</v>
      </c>
      <c r="Y155" s="522"/>
      <c r="Z155" s="522"/>
      <c r="AA155" s="522"/>
      <c r="AB155" s="173"/>
      <c r="AC155" s="169">
        <f t="shared" si="22"/>
        <v>0</v>
      </c>
      <c r="AD155" s="105" t="str">
        <f>VLOOKUP(C155,'BTH mủ tạp'!$D$17:$AN$160,37,0)</f>
        <v>C.</v>
      </c>
      <c r="AE155" s="187"/>
      <c r="AF155" s="90"/>
    </row>
    <row r="156" spans="1:32" ht="18.75" customHeight="1">
      <c r="A156" s="160">
        <v>60</v>
      </c>
      <c r="B156" s="494"/>
      <c r="C156" s="170" t="str">
        <f>'Chấm công KT'!D154</f>
        <v>T. Khách</v>
      </c>
      <c r="D156" s="160" t="s">
        <v>26</v>
      </c>
      <c r="E156" s="172"/>
      <c r="F156" s="231"/>
      <c r="G156" s="231"/>
      <c r="H156" s="231"/>
      <c r="I156" s="231"/>
      <c r="J156" s="222"/>
      <c r="K156" s="185"/>
      <c r="L156" s="185"/>
      <c r="M156" s="222"/>
      <c r="N156" s="186"/>
      <c r="O156" s="186"/>
      <c r="P156" s="186"/>
      <c r="Q156" s="168">
        <f t="shared" si="20"/>
        <v>0</v>
      </c>
      <c r="R156" s="163">
        <f>VLOOKUP(C156,'BTH mủ tạp'!$D$99:$AK$160,34,0)</f>
        <v>610</v>
      </c>
      <c r="S156" s="171"/>
      <c r="T156" s="162">
        <f t="shared" si="21"/>
        <v>0</v>
      </c>
      <c r="U156" s="225">
        <f t="shared" si="18"/>
        <v>610</v>
      </c>
      <c r="V156" s="471">
        <f>VLOOKUP(C156,'Chấm công KT'!$D$95:$AK$156,34,0)</f>
        <v>9</v>
      </c>
      <c r="W156" s="471">
        <f>VLOOKUP(C156,'Chấm công KT'!$D$95:$AL$156,35,0)</f>
        <v>3</v>
      </c>
      <c r="X156" s="471">
        <f>VLOOKUP(C156,'Chấm công KT'!D154:AM156,36,0)</f>
        <v>0</v>
      </c>
      <c r="Y156" s="522"/>
      <c r="Z156" s="522"/>
      <c r="AA156" s="522"/>
      <c r="AB156" s="173"/>
      <c r="AC156" s="169">
        <f t="shared" si="22"/>
        <v>0</v>
      </c>
      <c r="AD156" s="105" t="str">
        <f>VLOOKUP(C156,'BTH mủ tạp'!$D$17:$AN$160,37,0)</f>
        <v>C.</v>
      </c>
      <c r="AE156" s="187"/>
      <c r="AF156" s="90"/>
    </row>
    <row r="157" spans="1:32" ht="18.75" customHeight="1">
      <c r="A157" s="160">
        <v>61</v>
      </c>
      <c r="B157" s="494"/>
      <c r="C157" s="170" t="str">
        <f>'Chấm công KT'!D155</f>
        <v>Nang On Xi</v>
      </c>
      <c r="D157" s="160" t="s">
        <v>26</v>
      </c>
      <c r="E157" s="172"/>
      <c r="F157" s="231"/>
      <c r="G157" s="231"/>
      <c r="H157" s="231"/>
      <c r="I157" s="231"/>
      <c r="J157" s="222"/>
      <c r="K157" s="185"/>
      <c r="L157" s="185"/>
      <c r="M157" s="222"/>
      <c r="N157" s="186"/>
      <c r="O157" s="186"/>
      <c r="P157" s="186"/>
      <c r="Q157" s="168">
        <f t="shared" si="20"/>
        <v>0</v>
      </c>
      <c r="R157" s="163">
        <f>VLOOKUP(C157,'BTH mủ tạp'!$D$99:$AK$160,34,0)</f>
        <v>322</v>
      </c>
      <c r="S157" s="171"/>
      <c r="T157" s="162">
        <f t="shared" si="21"/>
        <v>0</v>
      </c>
      <c r="U157" s="225">
        <f t="shared" si="18"/>
        <v>322</v>
      </c>
      <c r="V157" s="471">
        <f>VLOOKUP(C157,'Chấm công KT'!$D$95:$AK$156,34,0)</f>
        <v>4</v>
      </c>
      <c r="W157" s="471">
        <f>VLOOKUP(C157,'Chấm công KT'!$D$95:$AL$156,35,0)</f>
        <v>3</v>
      </c>
      <c r="X157" s="471">
        <f>VLOOKUP(C157,'Chấm công KT'!D155:AM156,36,0)</f>
        <v>0</v>
      </c>
      <c r="Y157" s="522"/>
      <c r="Z157" s="522"/>
      <c r="AA157" s="522"/>
      <c r="AB157" s="173"/>
      <c r="AC157" s="169">
        <f t="shared" si="22"/>
        <v>0</v>
      </c>
      <c r="AD157" s="105" t="str">
        <f>VLOOKUP(C157,'BTH mủ tạp'!$D$17:$AN$160,37,0)</f>
        <v>C.</v>
      </c>
      <c r="AE157" s="187"/>
      <c r="AF157" s="90"/>
    </row>
    <row r="158" spans="1:32" ht="18.75" customHeight="1">
      <c r="A158" s="160">
        <v>62</v>
      </c>
      <c r="B158" s="494"/>
      <c r="C158" s="170" t="str">
        <f>'Chấm công KT'!D156</f>
        <v>Thảo Túc</v>
      </c>
      <c r="D158" s="488"/>
      <c r="E158" s="185"/>
      <c r="F158" s="514"/>
      <c r="G158" s="514"/>
      <c r="H158" s="514"/>
      <c r="I158" s="514"/>
      <c r="J158" s="513"/>
      <c r="K158" s="185"/>
      <c r="L158" s="185"/>
      <c r="M158" s="700"/>
      <c r="N158" s="186"/>
      <c r="O158" s="186"/>
      <c r="P158" s="186"/>
      <c r="Q158" s="168">
        <f t="shared" si="20"/>
        <v>0</v>
      </c>
      <c r="R158" s="163">
        <f>VLOOKUP(C158,'BTH mủ tạp'!$D$99:$AK$161,34,0)</f>
        <v>224</v>
      </c>
      <c r="S158" s="171"/>
      <c r="T158" s="162"/>
      <c r="U158" s="225">
        <f t="shared" si="18"/>
        <v>224</v>
      </c>
      <c r="V158" s="471">
        <f>VLOOKUP(C158,'Chấm công KT'!$D$95:$AK$156,34,0)</f>
        <v>3</v>
      </c>
      <c r="W158" s="471">
        <f>VLOOKUP(C158,'Chấm công KT'!$D$95:$AL$156,35,0)</f>
        <v>1</v>
      </c>
      <c r="X158" s="471">
        <f>VLOOKUP(C158,'Chấm công KT'!D156:AM156,36,0)</f>
        <v>0</v>
      </c>
      <c r="Y158" s="522"/>
      <c r="Z158" s="522"/>
      <c r="AA158" s="522"/>
      <c r="AB158" s="173"/>
      <c r="AC158" s="169">
        <f t="shared" si="22"/>
        <v>0</v>
      </c>
      <c r="AD158" s="105"/>
      <c r="AE158" s="187"/>
      <c r="AF158" s="90"/>
    </row>
    <row r="159" spans="1:32" s="465" customFormat="1" ht="18.75" customHeight="1">
      <c r="A159" s="160">
        <v>63</v>
      </c>
      <c r="B159" s="585"/>
      <c r="C159" s="463" t="s">
        <v>844</v>
      </c>
      <c r="D159" s="466"/>
      <c r="E159" s="457"/>
      <c r="F159" s="467"/>
      <c r="G159" s="467"/>
      <c r="H159" s="467"/>
      <c r="I159" s="467"/>
      <c r="J159" s="468"/>
      <c r="K159" s="457"/>
      <c r="L159" s="457"/>
      <c r="M159" s="486"/>
      <c r="N159" s="458"/>
      <c r="O159" s="458"/>
      <c r="P159" s="458"/>
      <c r="Q159" s="168">
        <f t="shared" si="20"/>
        <v>0</v>
      </c>
      <c r="R159" s="163"/>
      <c r="S159" s="460"/>
      <c r="T159" s="461"/>
      <c r="U159" s="581"/>
      <c r="V159" s="471"/>
      <c r="W159" s="471"/>
      <c r="X159" s="523"/>
      <c r="Y159" s="522"/>
      <c r="Z159" s="522"/>
      <c r="AA159" s="522"/>
      <c r="AB159" s="462"/>
      <c r="AC159" s="587">
        <f t="shared" ref="AC159" si="23">Q159</f>
        <v>0</v>
      </c>
      <c r="AD159" s="105"/>
      <c r="AE159" s="463"/>
      <c r="AF159" s="464"/>
    </row>
    <row r="160" spans="1:32" s="465" customFormat="1" ht="18.75" customHeight="1">
      <c r="A160" s="160">
        <v>64</v>
      </c>
      <c r="B160" s="453"/>
      <c r="C160" s="469" t="s">
        <v>422</v>
      </c>
      <c r="D160" s="466"/>
      <c r="E160" s="457"/>
      <c r="F160" s="467"/>
      <c r="G160" s="467"/>
      <c r="H160" s="467">
        <v>446.24</v>
      </c>
      <c r="I160" s="467"/>
      <c r="J160" s="468"/>
      <c r="K160" s="457"/>
      <c r="L160" s="457"/>
      <c r="M160" s="457"/>
      <c r="N160" s="458"/>
      <c r="O160" s="458"/>
      <c r="P160" s="458"/>
      <c r="Q160" s="168">
        <f t="shared" si="20"/>
        <v>446.24</v>
      </c>
      <c r="R160" s="586"/>
      <c r="S160" s="460"/>
      <c r="T160" s="461"/>
      <c r="U160" s="581"/>
      <c r="V160" s="471"/>
      <c r="W160" s="471"/>
      <c r="X160" s="523"/>
      <c r="Y160" s="522"/>
      <c r="Z160" s="568"/>
      <c r="AA160" s="568"/>
      <c r="AB160" s="462"/>
      <c r="AC160" s="587">
        <f t="shared" si="22"/>
        <v>446.24</v>
      </c>
      <c r="AD160" s="582"/>
      <c r="AE160" s="463"/>
      <c r="AF160" s="464"/>
    </row>
    <row r="161" spans="1:41" s="465" customFormat="1" ht="18.75" customHeight="1">
      <c r="A161" s="160">
        <v>65</v>
      </c>
      <c r="B161" s="453"/>
      <c r="C161" s="583" t="s">
        <v>745</v>
      </c>
      <c r="D161" s="466"/>
      <c r="E161" s="457"/>
      <c r="F161" s="467"/>
      <c r="G161" s="467">
        <v>430.59</v>
      </c>
      <c r="H161" s="467"/>
      <c r="I161" s="467"/>
      <c r="J161" s="468"/>
      <c r="K161" s="915"/>
      <c r="L161" s="457"/>
      <c r="M161" s="468"/>
      <c r="N161" s="458"/>
      <c r="O161" s="458"/>
      <c r="P161" s="458"/>
      <c r="Q161" s="459">
        <f t="shared" si="20"/>
        <v>430.59</v>
      </c>
      <c r="R161" s="586"/>
      <c r="S161" s="519"/>
      <c r="T161" s="475"/>
      <c r="U161" s="584"/>
      <c r="V161" s="476"/>
      <c r="W161" s="476"/>
      <c r="X161" s="477"/>
      <c r="Y161" s="476"/>
      <c r="Z161" s="568"/>
      <c r="AA161" s="568"/>
      <c r="AB161" s="478"/>
      <c r="AC161" s="587">
        <f t="shared" si="22"/>
        <v>430.59</v>
      </c>
      <c r="AD161" s="582"/>
      <c r="AE161" s="463"/>
      <c r="AF161" s="464"/>
    </row>
    <row r="162" spans="1:41" s="465" customFormat="1" ht="18.75" customHeight="1">
      <c r="A162" s="160">
        <v>66</v>
      </c>
      <c r="B162" s="453"/>
      <c r="C162" s="583" t="s">
        <v>835</v>
      </c>
      <c r="D162" s="466"/>
      <c r="E162" s="457"/>
      <c r="F162" s="467"/>
      <c r="G162" s="467"/>
      <c r="H162" s="467">
        <f>1639.68</f>
        <v>1639.68</v>
      </c>
      <c r="I162" s="467"/>
      <c r="J162" s="468"/>
      <c r="K162" s="915"/>
      <c r="L162" s="457"/>
      <c r="M162" s="468"/>
      <c r="N162" s="458"/>
      <c r="O162" s="458"/>
      <c r="P162" s="458"/>
      <c r="Q162" s="459">
        <f t="shared" si="20"/>
        <v>1639.68</v>
      </c>
      <c r="R162" s="1115"/>
      <c r="S162" s="519"/>
      <c r="T162" s="475"/>
      <c r="U162" s="584"/>
      <c r="V162" s="476"/>
      <c r="W162" s="476"/>
      <c r="X162" s="477"/>
      <c r="Y162" s="476"/>
      <c r="Z162" s="568"/>
      <c r="AA162" s="568"/>
      <c r="AB162" s="478"/>
      <c r="AC162" s="587">
        <f t="shared" si="22"/>
        <v>1639.68</v>
      </c>
      <c r="AD162" s="1116"/>
      <c r="AE162" s="463"/>
      <c r="AF162" s="464"/>
    </row>
    <row r="163" spans="1:41" ht="18.75" customHeight="1">
      <c r="A163" s="1467" t="s">
        <v>55</v>
      </c>
      <c r="B163" s="1467"/>
      <c r="C163" s="1467"/>
      <c r="D163" s="1467"/>
      <c r="E163" s="238">
        <f>E9</f>
        <v>419.19999999999953</v>
      </c>
      <c r="F163" s="620">
        <f t="shared" ref="F163:AC163" si="24">F9</f>
        <v>0</v>
      </c>
      <c r="G163" s="238">
        <f t="shared" si="24"/>
        <v>645.04999999999995</v>
      </c>
      <c r="H163" s="238">
        <f t="shared" si="24"/>
        <v>6252.4800000000005</v>
      </c>
      <c r="I163" s="238">
        <f t="shared" si="24"/>
        <v>36</v>
      </c>
      <c r="J163" s="238">
        <f t="shared" si="24"/>
        <v>0</v>
      </c>
      <c r="K163" s="238">
        <f t="shared" si="24"/>
        <v>0</v>
      </c>
      <c r="L163" s="238">
        <f t="shared" si="24"/>
        <v>0</v>
      </c>
      <c r="M163" s="238">
        <f t="shared" si="24"/>
        <v>0</v>
      </c>
      <c r="N163" s="238">
        <f t="shared" si="24"/>
        <v>0</v>
      </c>
      <c r="O163" s="238">
        <f t="shared" si="24"/>
        <v>0</v>
      </c>
      <c r="P163" s="154">
        <f t="shared" si="24"/>
        <v>0</v>
      </c>
      <c r="Q163" s="154">
        <f t="shared" si="24"/>
        <v>7352.73</v>
      </c>
      <c r="R163" s="238">
        <f t="shared" si="24"/>
        <v>540469</v>
      </c>
      <c r="S163" s="154">
        <f t="shared" si="24"/>
        <v>0</v>
      </c>
      <c r="T163" s="154">
        <f t="shared" si="24"/>
        <v>0</v>
      </c>
      <c r="U163" s="238">
        <f t="shared" si="24"/>
        <v>540469</v>
      </c>
      <c r="V163" s="998">
        <f t="shared" si="24"/>
        <v>3255</v>
      </c>
      <c r="W163" s="998">
        <f t="shared" si="24"/>
        <v>373</v>
      </c>
      <c r="X163" s="998">
        <f t="shared" si="24"/>
        <v>116</v>
      </c>
      <c r="Y163" s="570">
        <f t="shared" si="24"/>
        <v>146</v>
      </c>
      <c r="Z163" s="570">
        <f t="shared" si="24"/>
        <v>0</v>
      </c>
      <c r="AA163" s="570">
        <f t="shared" si="24"/>
        <v>0</v>
      </c>
      <c r="AB163" s="238">
        <f t="shared" si="24"/>
        <v>0</v>
      </c>
      <c r="AC163" s="154">
        <f t="shared" si="24"/>
        <v>7352.73</v>
      </c>
      <c r="AD163" s="155"/>
      <c r="AE163" s="146"/>
      <c r="AF163" s="147">
        <f>6262+211</f>
        <v>6473</v>
      </c>
      <c r="AG163" s="86"/>
      <c r="AO163" s="2">
        <v>64.900000000000006</v>
      </c>
    </row>
    <row r="164" spans="1:41" ht="18" customHeight="1">
      <c r="R164" s="116"/>
      <c r="V164" s="80" t="s">
        <v>183</v>
      </c>
      <c r="W164" s="80"/>
      <c r="AF164" s="100"/>
      <c r="AG164" s="87">
        <f>89-22</f>
        <v>67</v>
      </c>
      <c r="AO164" s="2">
        <v>27.48</v>
      </c>
    </row>
    <row r="165" spans="1:41" ht="15.75">
      <c r="C165" s="1456" t="s">
        <v>116</v>
      </c>
      <c r="D165" s="1456"/>
      <c r="E165" s="1456"/>
      <c r="F165" s="419"/>
      <c r="G165" s="3"/>
      <c r="H165" s="3"/>
      <c r="I165" s="3"/>
      <c r="J165" s="3"/>
      <c r="K165" s="3"/>
      <c r="L165" s="3"/>
      <c r="M165" s="3"/>
      <c r="N165" s="3"/>
      <c r="O165" s="1449"/>
      <c r="P165" s="1449"/>
      <c r="Q165" s="1449"/>
      <c r="R165" s="116"/>
      <c r="S165" s="58"/>
      <c r="T165" s="3"/>
      <c r="U165" s="1456" t="s">
        <v>134</v>
      </c>
      <c r="V165" s="1456"/>
      <c r="W165" s="1456"/>
      <c r="X165" s="1456"/>
      <c r="Y165" s="1456"/>
      <c r="Z165" s="1456"/>
      <c r="AA165" s="1456"/>
      <c r="AB165" s="1456"/>
      <c r="AC165" s="1456"/>
      <c r="AD165" s="3"/>
      <c r="AE165" s="3"/>
      <c r="AF165" s="49">
        <f>SUM(COUNTIF(AD12:AD161,"A"))</f>
        <v>107</v>
      </c>
      <c r="AG165" s="47"/>
      <c r="AH165" s="2">
        <v>2.21</v>
      </c>
      <c r="AI165" s="2">
        <v>4.6100000000000003</v>
      </c>
      <c r="AJ165" s="2">
        <v>34.04</v>
      </c>
      <c r="AK165" s="2">
        <v>19.05</v>
      </c>
      <c r="AO165" s="2">
        <v>103.6</v>
      </c>
    </row>
    <row r="166" spans="1:41">
      <c r="R166" s="116"/>
      <c r="AF166" s="49">
        <f>SUM(COUNTIF(AD12:AD161,"B"))</f>
        <v>23</v>
      </c>
      <c r="AG166" s="47"/>
      <c r="AH166" s="2">
        <v>2.4900000000000002</v>
      </c>
      <c r="AI166" s="2">
        <v>4.9000000000000004</v>
      </c>
      <c r="AO166" s="2">
        <v>1329.51</v>
      </c>
    </row>
    <row r="167" spans="1:41">
      <c r="G167" s="1448" t="e">
        <f>#REF!*25000</f>
        <v>#REF!</v>
      </c>
      <c r="H167" s="1448"/>
      <c r="I167" s="1448" t="e">
        <f>#REF!*25000</f>
        <v>#REF!</v>
      </c>
      <c r="J167" s="1448"/>
      <c r="R167" s="116"/>
      <c r="AF167" s="49">
        <f>SUM(COUNTIF(AD14:AD164,"C"))</f>
        <v>0</v>
      </c>
      <c r="AG167" s="47"/>
      <c r="AH167" s="2">
        <v>1.64</v>
      </c>
      <c r="AI167" s="2">
        <v>20.7</v>
      </c>
      <c r="AO167" s="2">
        <v>204.12</v>
      </c>
    </row>
    <row r="168" spans="1:41">
      <c r="L168" s="1448"/>
      <c r="M168" s="1448"/>
      <c r="Q168" s="44">
        <f>P163-13726.58</f>
        <v>-13726.58</v>
      </c>
      <c r="R168" s="380"/>
      <c r="AG168" s="47"/>
      <c r="AH168" s="2">
        <v>9.7799999999999994</v>
      </c>
      <c r="AO168" s="2">
        <v>927.08</v>
      </c>
    </row>
    <row r="169" spans="1:41">
      <c r="R169" s="116"/>
      <c r="AG169" s="47"/>
      <c r="AH169" s="2">
        <f>SUM(AH165:AH168)</f>
        <v>16.119999999999997</v>
      </c>
      <c r="AI169" s="2">
        <f>SUM(AI165:AI168)</f>
        <v>30.21</v>
      </c>
      <c r="AJ169" s="2">
        <f>SUM(AJ165:AJ168)</f>
        <v>34.04</v>
      </c>
      <c r="AK169" s="2">
        <f>SUM(AK165:AK168)</f>
        <v>19.05</v>
      </c>
      <c r="AO169" s="2">
        <v>90.76</v>
      </c>
    </row>
    <row r="170" spans="1:41">
      <c r="C170" s="1464" t="s">
        <v>128</v>
      </c>
      <c r="D170" s="1464"/>
      <c r="E170" s="1464"/>
      <c r="F170" s="558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117"/>
      <c r="R170" s="116"/>
      <c r="S170" s="81"/>
      <c r="T170" s="42"/>
      <c r="U170" s="1464" t="s">
        <v>40</v>
      </c>
      <c r="V170" s="1464"/>
      <c r="W170" s="1464"/>
      <c r="X170" s="1464"/>
      <c r="Y170" s="1464"/>
      <c r="Z170" s="1464"/>
      <c r="AA170" s="1464"/>
      <c r="AB170" s="1464"/>
      <c r="AC170" s="1464"/>
      <c r="AD170" s="42"/>
      <c r="AE170" s="42"/>
      <c r="AH170" s="2">
        <f>AH169/0.17</f>
        <v>94.823529411764682</v>
      </c>
      <c r="AI170" s="2">
        <f>AI169/0.2</f>
        <v>151.04999999999998</v>
      </c>
      <c r="AJ170" s="2">
        <f>AJ169/0.25</f>
        <v>136.16</v>
      </c>
      <c r="AK170" s="2">
        <f>AK169/0.18</f>
        <v>105.83333333333334</v>
      </c>
      <c r="AO170" s="2">
        <v>32.67</v>
      </c>
    </row>
    <row r="171" spans="1:41">
      <c r="R171" s="116"/>
      <c r="AO171" s="2">
        <v>11.24</v>
      </c>
    </row>
    <row r="172" spans="1:41">
      <c r="R172" s="116"/>
      <c r="AO172" s="2">
        <f>SUM(AO163:AO171)</f>
        <v>2791.36</v>
      </c>
    </row>
    <row r="173" spans="1:41">
      <c r="R173" s="116"/>
    </row>
    <row r="174" spans="1:41">
      <c r="R174" s="116"/>
    </row>
    <row r="175" spans="1:41">
      <c r="R175" s="116"/>
    </row>
    <row r="176" spans="1:41">
      <c r="O176" s="44">
        <v>16</v>
      </c>
      <c r="P176" s="44">
        <v>4.9000000000000004</v>
      </c>
      <c r="Q176" s="88">
        <v>292.44</v>
      </c>
      <c r="R176" s="860">
        <v>3.2</v>
      </c>
      <c r="T176" s="861">
        <f>Q9-2107.91</f>
        <v>5244.82</v>
      </c>
    </row>
    <row r="177" spans="15:18">
      <c r="O177" s="44">
        <v>10.4</v>
      </c>
      <c r="P177" s="44">
        <v>249.83</v>
      </c>
      <c r="Q177" s="2">
        <v>244.2</v>
      </c>
      <c r="R177" s="116">
        <v>47.2</v>
      </c>
    </row>
    <row r="178" spans="15:18">
      <c r="O178" s="44">
        <v>298.39999999999998</v>
      </c>
      <c r="Q178" s="2">
        <v>202.24</v>
      </c>
      <c r="R178" s="116"/>
    </row>
    <row r="179" spans="15:18">
      <c r="O179" s="44">
        <v>94.4</v>
      </c>
      <c r="Q179" s="2">
        <v>601.91999999999996</v>
      </c>
      <c r="R179" s="116"/>
    </row>
    <row r="180" spans="15:18">
      <c r="O180" s="88">
        <f>SUM(O176:O179)</f>
        <v>419.19999999999993</v>
      </c>
      <c r="P180" s="88">
        <f>SUM(P176:P179)</f>
        <v>254.73000000000002</v>
      </c>
      <c r="Q180" s="88">
        <f>SUM(Q176:Q179)</f>
        <v>1340.8</v>
      </c>
      <c r="R180" s="88">
        <f>SUM(R176:R179)</f>
        <v>50.400000000000006</v>
      </c>
    </row>
    <row r="181" spans="15:18">
      <c r="R181" s="116"/>
    </row>
    <row r="182" spans="15:18">
      <c r="P182" s="44">
        <f>G163-P180</f>
        <v>390.31999999999994</v>
      </c>
      <c r="R182" s="116"/>
    </row>
    <row r="183" spans="15:18">
      <c r="Q183" s="88"/>
      <c r="R183" s="116"/>
    </row>
    <row r="184" spans="15:18">
      <c r="R184" s="116"/>
    </row>
    <row r="185" spans="15:18">
      <c r="R185" s="116"/>
    </row>
    <row r="186" spans="15:18">
      <c r="R186" s="116"/>
    </row>
    <row r="187" spans="15:18">
      <c r="R187" s="116"/>
    </row>
    <row r="188" spans="15:18">
      <c r="R188" s="116"/>
    </row>
    <row r="189" spans="15:18">
      <c r="R189" s="116"/>
    </row>
    <row r="190" spans="15:18">
      <c r="R190" s="116"/>
    </row>
    <row r="191" spans="15:18">
      <c r="R191" s="116"/>
    </row>
    <row r="192" spans="15:18">
      <c r="R192" s="116"/>
    </row>
    <row r="193" spans="18:18">
      <c r="R193" s="116"/>
    </row>
    <row r="194" spans="18:18">
      <c r="R194" s="116"/>
    </row>
    <row r="195" spans="18:18">
      <c r="R195" s="116"/>
    </row>
    <row r="196" spans="18:18">
      <c r="R196" s="116"/>
    </row>
    <row r="197" spans="18:18">
      <c r="R197" s="116"/>
    </row>
    <row r="198" spans="18:18">
      <c r="R198" s="116"/>
    </row>
    <row r="199" spans="18:18">
      <c r="R199" s="116"/>
    </row>
    <row r="200" spans="18:18">
      <c r="R200" s="116"/>
    </row>
    <row r="201" spans="18:18">
      <c r="R201" s="116"/>
    </row>
    <row r="202" spans="18:18">
      <c r="R202" s="116"/>
    </row>
    <row r="203" spans="18:18">
      <c r="R203" s="116"/>
    </row>
    <row r="204" spans="18:18">
      <c r="R204" s="116"/>
    </row>
    <row r="205" spans="18:18">
      <c r="R205" s="116"/>
    </row>
    <row r="206" spans="18:18">
      <c r="R206" s="116"/>
    </row>
    <row r="207" spans="18:18">
      <c r="R207" s="116"/>
    </row>
    <row r="208" spans="18:18">
      <c r="R208" s="116"/>
    </row>
    <row r="209" spans="18:18">
      <c r="R209" s="116"/>
    </row>
    <row r="210" spans="18:18">
      <c r="R210" s="116"/>
    </row>
  </sheetData>
  <mergeCells count="40">
    <mergeCell ref="C170:E170"/>
    <mergeCell ref="E6:AE6"/>
    <mergeCell ref="G7:G8"/>
    <mergeCell ref="C6:C8"/>
    <mergeCell ref="AD7:AD8"/>
    <mergeCell ref="U165:AC165"/>
    <mergeCell ref="C165:E165"/>
    <mergeCell ref="U170:AC170"/>
    <mergeCell ref="F7:F8"/>
    <mergeCell ref="B9:D9"/>
    <mergeCell ref="A163:D163"/>
    <mergeCell ref="B6:B8"/>
    <mergeCell ref="A6:A8"/>
    <mergeCell ref="D6:D8"/>
    <mergeCell ref="B96:D96"/>
    <mergeCell ref="B10:D10"/>
    <mergeCell ref="E7:E8"/>
    <mergeCell ref="R2:AE2"/>
    <mergeCell ref="A2:G2"/>
    <mergeCell ref="A3:G3"/>
    <mergeCell ref="A4:G4"/>
    <mergeCell ref="R3:AE3"/>
    <mergeCell ref="A5:AE5"/>
    <mergeCell ref="R7:T7"/>
    <mergeCell ref="H7:H8"/>
    <mergeCell ref="AE7:AE8"/>
    <mergeCell ref="N7:N8"/>
    <mergeCell ref="AC7:AC8"/>
    <mergeCell ref="M7:M8"/>
    <mergeCell ref="L168:M168"/>
    <mergeCell ref="G167:H167"/>
    <mergeCell ref="I167:J167"/>
    <mergeCell ref="O165:Q165"/>
    <mergeCell ref="V7:X7"/>
    <mergeCell ref="J7:J8"/>
    <mergeCell ref="K7:K8"/>
    <mergeCell ref="P7:P8"/>
    <mergeCell ref="Q7:Q8"/>
    <mergeCell ref="L7:L8"/>
    <mergeCell ref="I7:I8"/>
  </mergeCells>
  <phoneticPr fontId="25" type="noConversion"/>
  <pageMargins left="0.35433070866141736" right="0.19685039370078741" top="0.15748031496062992" bottom="0.15748031496062992" header="0.15748031496062992" footer="0.19685039370078741"/>
  <pageSetup paperSize="9" scale="40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92D050"/>
  </sheetPr>
  <dimension ref="A1:AC200"/>
  <sheetViews>
    <sheetView topLeftCell="A88" zoomScale="40" zoomScaleNormal="40" zoomScaleSheetLayoutView="50" workbookViewId="0">
      <selection activeCell="G22" sqref="G22"/>
    </sheetView>
  </sheetViews>
  <sheetFormatPr defaultColWidth="9.42578125" defaultRowHeight="23.25"/>
  <cols>
    <col min="1" max="1" width="7.5703125" style="1215" customWidth="1"/>
    <col min="2" max="2" width="15.5703125" style="1215" customWidth="1"/>
    <col min="3" max="3" width="23" style="1286" customWidth="1"/>
    <col min="4" max="4" width="28.7109375" style="1245" customWidth="1"/>
    <col min="5" max="5" width="17.85546875" style="342" customWidth="1"/>
    <col min="6" max="6" width="21.85546875" style="1245" customWidth="1"/>
    <col min="7" max="7" width="21" style="1245" customWidth="1"/>
    <col min="8" max="8" width="16" style="1245" hidden="1" customWidth="1"/>
    <col min="9" max="9" width="16" style="1245" customWidth="1"/>
    <col min="10" max="10" width="20.140625" style="304" customWidth="1"/>
    <col min="11" max="11" width="12.42578125" style="305" customWidth="1"/>
    <col min="12" max="12" width="23.7109375" style="306" customWidth="1"/>
    <col min="13" max="13" width="18" style="1245" customWidth="1"/>
    <col min="14" max="14" width="16.28515625" style="1245" customWidth="1"/>
    <col min="15" max="15" width="19.85546875" style="1245" customWidth="1"/>
    <col min="16" max="16" width="16.7109375" style="1245" customWidth="1"/>
    <col min="17" max="17" width="17.85546875" style="1245" customWidth="1"/>
    <col min="18" max="18" width="14.140625" style="1245" customWidth="1"/>
    <col min="19" max="19" width="19.85546875" style="1245" customWidth="1"/>
    <col min="20" max="20" width="16.7109375" style="1245" customWidth="1"/>
    <col min="21" max="22" width="16" style="1245" customWidth="1"/>
    <col min="23" max="23" width="21.5703125" style="1245" customWidth="1"/>
    <col min="24" max="24" width="25.140625" style="1245" customWidth="1"/>
    <col min="25" max="25" width="16.7109375" style="1245" hidden="1" customWidth="1"/>
    <col min="26" max="26" width="22.5703125" style="1245" customWidth="1"/>
    <col min="27" max="27" width="25.28515625" style="1245" customWidth="1"/>
    <col min="28" max="28" width="25.5703125" style="1245" customWidth="1"/>
    <col min="29" max="29" width="22.28515625" style="1245" bestFit="1" customWidth="1"/>
    <col min="30" max="33" width="9.42578125" style="1245"/>
    <col min="34" max="34" width="9.5703125" style="1245" bestFit="1" customWidth="1"/>
    <col min="35" max="16384" width="9.42578125" style="1245"/>
  </cols>
  <sheetData>
    <row r="1" spans="1:29" ht="25.5">
      <c r="A1" s="1471" t="s">
        <v>51</v>
      </c>
      <c r="B1" s="1471"/>
      <c r="C1" s="1471"/>
      <c r="D1" s="1471"/>
      <c r="E1" s="1471"/>
      <c r="F1" s="1471"/>
      <c r="G1" s="1471"/>
      <c r="H1" s="1471"/>
      <c r="I1" s="1471"/>
      <c r="J1" s="1471"/>
      <c r="K1" s="1471"/>
      <c r="L1" s="1471"/>
      <c r="M1" s="1471"/>
      <c r="N1" s="1471"/>
      <c r="O1" s="1471"/>
      <c r="P1" s="1471"/>
      <c r="Q1" s="1471"/>
      <c r="R1" s="1471"/>
      <c r="S1" s="1471"/>
      <c r="T1" s="1471"/>
      <c r="U1" s="1471"/>
      <c r="V1" s="1471"/>
      <c r="W1" s="1471"/>
      <c r="X1" s="1471"/>
      <c r="Y1" s="1471"/>
      <c r="Z1" s="1471"/>
    </row>
    <row r="2" spans="1:29" ht="21.75" customHeight="1">
      <c r="A2" s="1471" t="s">
        <v>38</v>
      </c>
      <c r="B2" s="1471"/>
      <c r="C2" s="1471"/>
      <c r="D2" s="1471"/>
      <c r="E2" s="1471"/>
      <c r="F2" s="1471"/>
      <c r="G2" s="1471"/>
      <c r="H2" s="1471"/>
      <c r="I2" s="1471"/>
      <c r="J2" s="1471"/>
      <c r="K2" s="1471"/>
      <c r="L2" s="1471"/>
      <c r="M2" s="1471"/>
      <c r="N2" s="1471"/>
      <c r="O2" s="1471"/>
      <c r="P2" s="1471"/>
      <c r="Q2" s="1471"/>
      <c r="R2" s="1471"/>
      <c r="S2" s="1471"/>
      <c r="T2" s="1471"/>
      <c r="U2" s="1471"/>
      <c r="V2" s="1471"/>
      <c r="W2" s="1471"/>
      <c r="X2" s="1471"/>
      <c r="Y2" s="1471"/>
      <c r="Z2" s="1471"/>
    </row>
    <row r="3" spans="1:29" ht="26.25" customHeight="1">
      <c r="A3" s="1478" t="s">
        <v>277</v>
      </c>
      <c r="B3" s="1478"/>
      <c r="C3" s="1479"/>
      <c r="D3" s="1479"/>
      <c r="E3" s="1479"/>
      <c r="F3" s="1479"/>
      <c r="G3" s="1479"/>
      <c r="H3" s="1479"/>
      <c r="I3" s="1479"/>
      <c r="J3" s="1479"/>
      <c r="K3" s="1479"/>
      <c r="L3" s="1479"/>
      <c r="M3" s="1479"/>
      <c r="N3" s="1479"/>
      <c r="O3" s="1479"/>
      <c r="P3" s="1479"/>
      <c r="Q3" s="1479"/>
      <c r="R3" s="1479"/>
      <c r="S3" s="1479"/>
      <c r="T3" s="1479"/>
      <c r="U3" s="1479"/>
      <c r="V3" s="1479"/>
      <c r="W3" s="1479"/>
      <c r="X3" s="1479"/>
      <c r="Y3" s="1479"/>
      <c r="Z3" s="1479"/>
    </row>
    <row r="4" spans="1:29" ht="26.25" customHeight="1">
      <c r="A4" s="766"/>
      <c r="B4" s="766"/>
      <c r="C4" s="766"/>
      <c r="D4" s="766"/>
      <c r="E4" s="766"/>
      <c r="F4" s="766"/>
      <c r="G4" s="766"/>
      <c r="H4" s="766"/>
      <c r="I4" s="766"/>
      <c r="J4" s="766"/>
      <c r="K4" s="766"/>
      <c r="L4" s="766"/>
      <c r="M4" s="766"/>
      <c r="N4" s="766"/>
      <c r="O4" s="766"/>
      <c r="P4" s="766"/>
      <c r="Q4" s="766"/>
      <c r="R4" s="766"/>
      <c r="S4" s="766"/>
      <c r="T4" s="766"/>
      <c r="U4" s="766"/>
      <c r="V4" s="766"/>
      <c r="W4" s="766"/>
      <c r="X4" s="766"/>
      <c r="Y4" s="766"/>
      <c r="Z4" s="766"/>
    </row>
    <row r="5" spans="1:29" ht="26.25" customHeight="1">
      <c r="A5" s="1472" t="s">
        <v>550</v>
      </c>
      <c r="B5" s="1472"/>
      <c r="C5" s="1472"/>
      <c r="D5" s="1472"/>
      <c r="E5" s="1472"/>
      <c r="F5" s="1472"/>
      <c r="G5" s="1472"/>
      <c r="H5" s="1472"/>
      <c r="I5" s="1472"/>
      <c r="J5" s="1472"/>
      <c r="K5" s="516"/>
      <c r="L5" s="516"/>
      <c r="M5" s="516"/>
      <c r="N5" s="516"/>
      <c r="O5" s="516"/>
      <c r="P5" s="516"/>
      <c r="Q5" s="516"/>
      <c r="R5" s="516"/>
      <c r="S5" s="516"/>
      <c r="T5" s="516"/>
      <c r="U5" s="516"/>
      <c r="V5" s="516"/>
      <c r="W5" s="517"/>
      <c r="X5" s="517"/>
      <c r="Y5" s="517"/>
      <c r="Z5" s="517"/>
    </row>
    <row r="6" spans="1:29" ht="25.5">
      <c r="A6" s="1482" t="s">
        <v>540</v>
      </c>
      <c r="B6" s="1482"/>
      <c r="C6" s="1482"/>
      <c r="D6" s="1482"/>
      <c r="E6" s="1482"/>
      <c r="F6" s="1482"/>
      <c r="G6" s="1482"/>
      <c r="H6" s="1482"/>
      <c r="I6" s="1482"/>
      <c r="J6" s="1482"/>
      <c r="K6" s="516"/>
      <c r="L6" s="516"/>
      <c r="M6" s="516"/>
      <c r="N6" s="516"/>
      <c r="O6" s="516"/>
      <c r="P6" s="516"/>
      <c r="Q6" s="516"/>
      <c r="R6" s="516"/>
      <c r="S6" s="516"/>
      <c r="T6" s="516"/>
      <c r="U6" s="516"/>
      <c r="V6" s="516"/>
      <c r="W6" s="517"/>
      <c r="X6" s="517"/>
      <c r="Y6" s="517"/>
      <c r="Z6" s="517"/>
    </row>
    <row r="7" spans="1:29" ht="25.5">
      <c r="A7" s="1289"/>
      <c r="B7" s="1289"/>
      <c r="C7" s="1289"/>
      <c r="D7" s="1289"/>
      <c r="E7" s="1289"/>
      <c r="F7" s="1289"/>
      <c r="G7" s="1289"/>
      <c r="H7" s="1289"/>
      <c r="I7" s="1289"/>
      <c r="J7" s="1289"/>
      <c r="K7" s="516"/>
      <c r="L7" s="516"/>
      <c r="M7" s="516"/>
      <c r="N7" s="516"/>
      <c r="O7" s="516"/>
      <c r="P7" s="516"/>
      <c r="Q7" s="516"/>
      <c r="R7" s="516"/>
      <c r="S7" s="516"/>
      <c r="T7" s="516"/>
      <c r="U7" s="516"/>
      <c r="V7" s="516"/>
      <c r="W7" s="517"/>
      <c r="X7" s="517"/>
      <c r="Y7" s="517"/>
      <c r="Z7" s="517"/>
    </row>
    <row r="8" spans="1:29" ht="33">
      <c r="A8" s="1473" t="s">
        <v>813</v>
      </c>
      <c r="B8" s="1473"/>
      <c r="C8" s="1473"/>
      <c r="D8" s="1473"/>
      <c r="E8" s="1473"/>
      <c r="F8" s="1473"/>
      <c r="G8" s="1473"/>
      <c r="H8" s="1473"/>
      <c r="I8" s="1473"/>
      <c r="J8" s="1473"/>
      <c r="K8" s="1473"/>
      <c r="L8" s="1473"/>
      <c r="M8" s="1473"/>
      <c r="N8" s="1473"/>
      <c r="O8" s="1473"/>
      <c r="P8" s="1473"/>
      <c r="Q8" s="1473"/>
      <c r="R8" s="1473"/>
      <c r="S8" s="1473"/>
      <c r="T8" s="1473"/>
      <c r="U8" s="1473"/>
      <c r="V8" s="1473"/>
      <c r="W8" s="1473"/>
      <c r="X8" s="1473"/>
      <c r="Y8" s="1473"/>
      <c r="Z8" s="1473"/>
    </row>
    <row r="9" spans="1:29" s="1248" customFormat="1" ht="27.75" customHeight="1">
      <c r="A9" s="1480"/>
      <c r="B9" s="1480"/>
      <c r="C9" s="1480"/>
      <c r="D9" s="1480"/>
      <c r="E9" s="1480"/>
      <c r="F9" s="1480"/>
      <c r="G9" s="1480"/>
      <c r="H9" s="1480"/>
      <c r="I9" s="1480"/>
      <c r="J9" s="1480"/>
      <c r="K9" s="1480"/>
      <c r="L9" s="1480"/>
      <c r="M9" s="1480"/>
      <c r="N9" s="1480"/>
      <c r="O9" s="1480"/>
      <c r="P9" s="1480"/>
      <c r="Q9" s="1480"/>
      <c r="R9" s="1480"/>
      <c r="S9" s="1480"/>
      <c r="T9" s="1480"/>
      <c r="U9" s="1480"/>
      <c r="V9" s="1480"/>
      <c r="W9" s="1480"/>
      <c r="X9" s="1480"/>
      <c r="Y9" s="1480"/>
      <c r="Z9" s="1480"/>
      <c r="AA9" s="1247" t="s">
        <v>32</v>
      </c>
      <c r="AB9" s="1168">
        <f>'BTH mủ tạp'!$AK$16</f>
        <v>291671</v>
      </c>
    </row>
    <row r="10" spans="1:29" s="1248" customFormat="1" ht="27.75" customHeight="1">
      <c r="A10" s="1481"/>
      <c r="B10" s="1481"/>
      <c r="C10" s="1481"/>
      <c r="D10" s="1481"/>
      <c r="E10" s="1481"/>
      <c r="F10" s="1481"/>
      <c r="G10" s="1481"/>
      <c r="H10" s="1481"/>
      <c r="I10" s="1481"/>
      <c r="J10" s="1481"/>
      <c r="K10" s="1481"/>
      <c r="L10" s="1481"/>
      <c r="M10" s="1481"/>
      <c r="N10" s="1481"/>
      <c r="O10" s="1481"/>
      <c r="P10" s="1481"/>
      <c r="Q10" s="1481"/>
      <c r="R10" s="1481"/>
      <c r="S10" s="1481"/>
      <c r="T10" s="1481"/>
      <c r="U10" s="1481"/>
      <c r="V10" s="1481"/>
      <c r="W10" s="1481"/>
      <c r="X10" s="1481"/>
      <c r="Y10" s="1481"/>
      <c r="Z10" s="1481"/>
      <c r="AA10" s="1247" t="s">
        <v>394</v>
      </c>
      <c r="AB10" s="1168">
        <f>'BTH mủ tạp'!$AM$16</f>
        <v>124584.01000000001</v>
      </c>
    </row>
    <row r="11" spans="1:29" s="1248" customFormat="1" ht="27" customHeight="1">
      <c r="A11" s="1290"/>
      <c r="B11" s="1290"/>
      <c r="C11" s="1276"/>
      <c r="D11" s="1276"/>
      <c r="E11" s="1291">
        <v>655.8</v>
      </c>
      <c r="F11" s="1292"/>
      <c r="G11" s="1292"/>
      <c r="H11" s="1292"/>
      <c r="I11" s="1292"/>
      <c r="J11" s="1293"/>
      <c r="K11" s="1294"/>
      <c r="L11" s="1294"/>
      <c r="M11" s="1294"/>
      <c r="N11" s="1294"/>
      <c r="O11" s="1294"/>
      <c r="P11" s="1294"/>
      <c r="Q11" s="1294"/>
      <c r="R11" s="1294"/>
      <c r="S11" s="1294"/>
      <c r="T11" s="1294"/>
      <c r="U11" s="1294"/>
      <c r="V11" s="1294"/>
      <c r="W11" s="1294"/>
      <c r="X11" s="1294"/>
      <c r="Y11" s="1294"/>
      <c r="Z11" s="1294"/>
      <c r="AA11" s="1252" t="s">
        <v>395</v>
      </c>
      <c r="AB11" s="710">
        <v>0.5</v>
      </c>
    </row>
    <row r="12" spans="1:29" ht="30.75" customHeight="1">
      <c r="A12" s="1273"/>
      <c r="B12" s="1273"/>
      <c r="C12" s="1483" t="s">
        <v>281</v>
      </c>
      <c r="D12" s="1483"/>
      <c r="E12" s="1295">
        <f>'CNKT '!F11</f>
        <v>670.76</v>
      </c>
      <c r="F12" s="1296"/>
      <c r="G12" s="1296"/>
      <c r="H12" s="1296"/>
      <c r="I12" s="1296"/>
      <c r="J12" s="877"/>
      <c r="K12" s="878"/>
      <c r="L12" s="879"/>
      <c r="M12" s="880"/>
      <c r="N12" s="880"/>
      <c r="O12" s="880"/>
      <c r="P12" s="880"/>
      <c r="Q12" s="880"/>
      <c r="R12" s="880"/>
      <c r="S12" s="880"/>
      <c r="T12" s="880"/>
      <c r="U12" s="880"/>
      <c r="V12" s="880"/>
      <c r="W12" s="880"/>
      <c r="X12" s="1484"/>
      <c r="Y12" s="1484"/>
      <c r="Z12" s="881">
        <f>AB10/AB9</f>
        <v>0.42713883108022399</v>
      </c>
      <c r="AA12" s="1252" t="s">
        <v>396</v>
      </c>
      <c r="AB12" s="1110">
        <v>0.54179999999999995</v>
      </c>
    </row>
    <row r="13" spans="1:29" s="1163" customFormat="1" ht="26.25" customHeight="1">
      <c r="A13" s="1485" t="s">
        <v>4</v>
      </c>
      <c r="B13" s="1485" t="s">
        <v>89</v>
      </c>
      <c r="C13" s="1486" t="s">
        <v>13</v>
      </c>
      <c r="D13" s="1485" t="s">
        <v>223</v>
      </c>
      <c r="E13" s="1477" t="s">
        <v>18</v>
      </c>
      <c r="F13" s="1477"/>
      <c r="G13" s="1477"/>
      <c r="H13" s="1477"/>
      <c r="I13" s="1477"/>
      <c r="J13" s="1477"/>
      <c r="K13" s="1477"/>
      <c r="L13" s="1477"/>
      <c r="M13" s="1477"/>
      <c r="N13" s="1477"/>
      <c r="O13" s="1477"/>
      <c r="P13" s="1477"/>
      <c r="Q13" s="1477"/>
      <c r="R13" s="1477"/>
      <c r="S13" s="1477"/>
      <c r="T13" s="1477"/>
      <c r="U13" s="1477"/>
      <c r="V13" s="1477"/>
      <c r="W13" s="1477"/>
      <c r="X13" s="1470" t="s">
        <v>344</v>
      </c>
      <c r="Y13" s="1470" t="s">
        <v>154</v>
      </c>
      <c r="Z13" s="1470" t="s">
        <v>346</v>
      </c>
    </row>
    <row r="14" spans="1:29" s="1163" customFormat="1" ht="57" customHeight="1">
      <c r="A14" s="1485"/>
      <c r="B14" s="1485"/>
      <c r="C14" s="1486"/>
      <c r="D14" s="1485"/>
      <c r="E14" s="1487" t="s">
        <v>345</v>
      </c>
      <c r="F14" s="1488"/>
      <c r="G14" s="1297"/>
      <c r="H14" s="1297"/>
      <c r="I14" s="1297"/>
      <c r="J14" s="1470" t="s">
        <v>21</v>
      </c>
      <c r="K14" s="1470"/>
      <c r="L14" s="1470"/>
      <c r="M14" s="1470" t="s">
        <v>22</v>
      </c>
      <c r="N14" s="1470"/>
      <c r="O14" s="1470"/>
      <c r="P14" s="1470"/>
      <c r="Q14" s="1470"/>
      <c r="R14" s="1470"/>
      <c r="S14" s="1470"/>
      <c r="T14" s="1470"/>
      <c r="U14" s="1470"/>
      <c r="V14" s="1470"/>
      <c r="W14" s="1470"/>
      <c r="X14" s="1470"/>
      <c r="Y14" s="1470"/>
      <c r="Z14" s="1470"/>
    </row>
    <row r="15" spans="1:29" s="1258" customFormat="1" ht="159.75" customHeight="1">
      <c r="A15" s="1485"/>
      <c r="B15" s="1485"/>
      <c r="C15" s="1486"/>
      <c r="D15" s="1485"/>
      <c r="E15" s="883" t="s">
        <v>67</v>
      </c>
      <c r="F15" s="1256" t="s">
        <v>23</v>
      </c>
      <c r="G15" s="1256" t="s">
        <v>343</v>
      </c>
      <c r="H15" s="1256" t="s">
        <v>388</v>
      </c>
      <c r="I15" s="884" t="s">
        <v>397</v>
      </c>
      <c r="J15" s="885" t="s">
        <v>389</v>
      </c>
      <c r="K15" s="882" t="s">
        <v>24</v>
      </c>
      <c r="L15" s="882" t="s">
        <v>25</v>
      </c>
      <c r="M15" s="886" t="s">
        <v>416</v>
      </c>
      <c r="N15" s="1257" t="s">
        <v>441</v>
      </c>
      <c r="O15" s="1257" t="s">
        <v>442</v>
      </c>
      <c r="P15" s="1257" t="s">
        <v>443</v>
      </c>
      <c r="Q15" s="1257" t="s">
        <v>510</v>
      </c>
      <c r="R15" s="1257" t="s">
        <v>445</v>
      </c>
      <c r="S15" s="1257" t="s">
        <v>510</v>
      </c>
      <c r="T15" s="887" t="s">
        <v>841</v>
      </c>
      <c r="U15" s="887" t="s">
        <v>505</v>
      </c>
      <c r="V15" s="887"/>
      <c r="W15" s="882" t="s">
        <v>16</v>
      </c>
      <c r="X15" s="1470"/>
      <c r="Y15" s="1470"/>
      <c r="Z15" s="1470"/>
      <c r="AB15" s="1258">
        <f>5.5*E12</f>
        <v>3689.18</v>
      </c>
      <c r="AC15" s="1258">
        <f>265*AB15</f>
        <v>977632.7</v>
      </c>
    </row>
    <row r="16" spans="1:29" s="1258" customFormat="1" ht="57.6" customHeight="1">
      <c r="A16" s="1259">
        <v>1</v>
      </c>
      <c r="B16" s="1259">
        <f>'Chấm công KT'!C13</f>
        <v>0</v>
      </c>
      <c r="C16" s="1262" t="str">
        <f>TONGHOPCONGDOI!C11</f>
        <v xml:space="preserve">T. Lăm  </v>
      </c>
      <c r="D16" s="1262"/>
      <c r="E16" s="1263"/>
      <c r="F16" s="1262">
        <f>E16*25000</f>
        <v>0</v>
      </c>
      <c r="G16" s="1262">
        <f>VLOOKUP(C16,TONGHOPCONGDOI!C11:AE93,16,0)</f>
        <v>4389</v>
      </c>
      <c r="H16" s="1262">
        <f>VLOOKUP(C16,TONGHOPCONGDOI!C11:AE93,17,0)</f>
        <v>0</v>
      </c>
      <c r="I16" s="1262"/>
      <c r="J16" s="888">
        <f>$AB$10/$AB$9*G16+H16*$AB$11+I16*$AB$12</f>
        <v>1874.7123296111031</v>
      </c>
      <c r="K16" s="1259" t="str">
        <f>VLOOKUP(C16,'BTH mủ tạp'!D17:AN95,37,0)</f>
        <v>A</v>
      </c>
      <c r="L16" s="889">
        <f>ROUND((IF(K16="A",(G16*$Z$12*6.1),IF(K16="B",(G16*$Z$12*5.8),IF(K16="C",(G16*$Z$12*5.5),IF(K16="C.",(G16*$Z$12*5.5),IF(K16="D",(G16*$Z$12*5.2),0)))))*$E$12+(H16*$AB$11*$E$12*6.1)+I16*$E$12*$AB$12*6.1),0)</f>
        <v>7670640</v>
      </c>
      <c r="M16" s="1262">
        <f>VLOOKUP(C16,TONGHOPCONGDOI!$C$11:$V$91,20,0)</f>
        <v>24</v>
      </c>
      <c r="N16" s="1262">
        <f>VLOOKUP(C16,TONGHOPCONGDOI!$C$11:$W$91,21,0)</f>
        <v>1</v>
      </c>
      <c r="O16" s="1262">
        <f>VLOOKUP(C16,TONGHOPCONGDOI!$C$11:$AD$93,22,0)</f>
        <v>0</v>
      </c>
      <c r="P16" s="1262">
        <f>VLOOKUP(C16,TONGHOPCONGDOI!$C$11:$AD$93,23,0)</f>
        <v>2</v>
      </c>
      <c r="Q16" s="1262">
        <f>VLOOKUP(C16,TONGHOPCONGDOI!$C$11:$AD$93,24,0)</f>
        <v>0</v>
      </c>
      <c r="R16" s="1262">
        <f>VLOOKUP(C16,TONGHOPCONGDOI!$C$11:$AD$93,25,0)</f>
        <v>0</v>
      </c>
      <c r="S16" s="1262"/>
      <c r="T16" s="1262">
        <f>P16</f>
        <v>2</v>
      </c>
      <c r="U16" s="1263"/>
      <c r="V16" s="1263"/>
      <c r="W16" s="890">
        <f>ROUND(((M16*46.1)+(N16*76.9)+(O16*92.2)+(P16*153.8)+(Q16*92.2)+(R16*153.8))*$E$12+(S16*25000)+(T16*100000),0)</f>
        <v>1200036</v>
      </c>
      <c r="X16" s="1262">
        <f t="shared" ref="X16:X47" si="0">F16+L16+W16</f>
        <v>8870676</v>
      </c>
      <c r="Y16" s="1262"/>
      <c r="Z16" s="1262">
        <f>VLOOKUP(C16,'CNKT '!D16:AA93,24,0)</f>
        <v>8870676</v>
      </c>
      <c r="AA16" s="1258">
        <f>Z16-X16</f>
        <v>0</v>
      </c>
    </row>
    <row r="17" spans="1:27" s="1258" customFormat="1" ht="50.25" customHeight="1">
      <c r="A17" s="1259">
        <v>2</v>
      </c>
      <c r="B17" s="1259" t="str">
        <f>'Chấm công KT'!C14</f>
        <v>04052</v>
      </c>
      <c r="C17" s="1262" t="str">
        <f>TONGHOPCONGDOI!C12</f>
        <v>T. Feng</v>
      </c>
      <c r="D17" s="1262"/>
      <c r="E17" s="1263"/>
      <c r="F17" s="1262">
        <f t="shared" ref="F17:F80" si="1">E17*25000</f>
        <v>0</v>
      </c>
      <c r="G17" s="1262">
        <f>VLOOKUP(C17,TONGHOPCONGDOI!C12:AE94,16,0)</f>
        <v>3838</v>
      </c>
      <c r="H17" s="1262">
        <f>VLOOKUP(C17,TONGHOPCONGDOI!C12:AE94,17,0)</f>
        <v>0</v>
      </c>
      <c r="I17" s="1262"/>
      <c r="J17" s="888">
        <f>$AB$10/$AB$9*G17+H17*$AB$11+I17*$AB$12</f>
        <v>1639.3588336858998</v>
      </c>
      <c r="K17" s="1259" t="str">
        <f>VLOOKUP(C17,'BTH mủ tạp'!D18:AN96,37,0)</f>
        <v>A</v>
      </c>
      <c r="L17" s="889">
        <f>ROUND((IF(K17="A",(G17*$Z$12*6.1),IF(K17="B",(G17*$Z$12*5.8),IF(K17="C",(G17*$Z$12*5.5),IF(K17="C.",(G17*$Z$12*5.5),IF(K17="D",(G17*$Z$12*5.2),0)))))*$E$12+(H17*$AB$11*$E$12*6.1)+I17*$E$12*$AB$12*6.1),0)</f>
        <v>6707660</v>
      </c>
      <c r="M17" s="1262">
        <f>VLOOKUP(C17,TONGHOPCONGDOI!$C$11:$V$91,20,0)</f>
        <v>24</v>
      </c>
      <c r="N17" s="1262">
        <f>VLOOKUP(C17,TONGHOPCONGDOI!$C$11:$W$91,21,0)</f>
        <v>1</v>
      </c>
      <c r="O17" s="1262">
        <f>VLOOKUP(C17,TONGHOPCONGDOI!$C$11:$AD$93,22,0)</f>
        <v>0</v>
      </c>
      <c r="P17" s="1262">
        <f>VLOOKUP(C17,TONGHOPCONGDOI!$C$11:$AD$93,23,0)</f>
        <v>2</v>
      </c>
      <c r="Q17" s="1262">
        <f>VLOOKUP(C17,TONGHOPCONGDOI!$C$11:$AD$93,24,0)</f>
        <v>0</v>
      </c>
      <c r="R17" s="1262">
        <f>VLOOKUP(C17,TONGHOPCONGDOI!$C$11:$AD$93,25,0)</f>
        <v>0</v>
      </c>
      <c r="S17" s="1262"/>
      <c r="T17" s="1262">
        <f t="shared" ref="T17:T80" si="2">P17</f>
        <v>2</v>
      </c>
      <c r="U17" s="1263"/>
      <c r="V17" s="1263"/>
      <c r="W17" s="890">
        <f>ROUND(((M17*46.1)+(N17*76.9)+(O17*92.2)+(P17*153.8)+(Q17*92.2)+(R17*153.8))*$E$12+(S17*25000)+(T17*100000),0)</f>
        <v>1200036</v>
      </c>
      <c r="X17" s="1262">
        <f t="shared" si="0"/>
        <v>7907696</v>
      </c>
      <c r="Y17" s="1262"/>
      <c r="Z17" s="1262">
        <f>VLOOKUP(C17,'CNKT '!D17:AA94,24,0)</f>
        <v>7907696</v>
      </c>
      <c r="AA17" s="1258">
        <f t="shared" ref="AA17:AA79" si="3">Z17-X17</f>
        <v>0</v>
      </c>
    </row>
    <row r="18" spans="1:27" s="1258" customFormat="1" ht="50.25" customHeight="1">
      <c r="A18" s="1259">
        <v>3</v>
      </c>
      <c r="B18" s="1259" t="str">
        <f>'Chấm công KT'!C15</f>
        <v>02725</v>
      </c>
      <c r="C18" s="1262" t="str">
        <f>TONGHOPCONGDOI!C13</f>
        <v>T. Sa Văn</v>
      </c>
      <c r="D18" s="1262"/>
      <c r="E18" s="1263"/>
      <c r="F18" s="1262">
        <f t="shared" si="1"/>
        <v>0</v>
      </c>
      <c r="G18" s="1262">
        <f>VLOOKUP(C18,TONGHOPCONGDOI!C13:AE94,16,0)</f>
        <v>3396</v>
      </c>
      <c r="H18" s="1262">
        <f>VLOOKUP(C18,TONGHOPCONGDOI!C13:AE94,17,0)</f>
        <v>0</v>
      </c>
      <c r="I18" s="1262"/>
      <c r="J18" s="888">
        <f t="shared" ref="J18:J47" si="4">$AB$10/$AB$9*G18+H18*$AB$11+I18*$AB$12</f>
        <v>1450.5634703484407</v>
      </c>
      <c r="K18" s="1259" t="str">
        <f>VLOOKUP(C18,'BTH mủ tạp'!D19:AN97,37,0)</f>
        <v>A</v>
      </c>
      <c r="L18" s="889">
        <f t="shared" ref="L18:L80" si="5">ROUND((IF(K18="A",(G18*$Z$12*6.1),IF(K18="B",(G18*$Z$12*5.8),IF(K18="C",(G18*$Z$12*5.5),IF(K18="C.",(G18*$Z$12*5.5),IF(K18="D",(G18*$Z$12*5.2),0)))))*$E$12+(H18*$AB$11*$E$12*6.1)+I18*$E$12*$AB$12*6.1),0)</f>
        <v>5935178</v>
      </c>
      <c r="M18" s="1262">
        <f>VLOOKUP(C18,TONGHOPCONGDOI!$C$11:$V$91,20,0)</f>
        <v>24</v>
      </c>
      <c r="N18" s="1262">
        <f>VLOOKUP(C18,TONGHOPCONGDOI!$C$11:$W$91,21,0)</f>
        <v>2</v>
      </c>
      <c r="O18" s="1262">
        <f>VLOOKUP(C18,TONGHOPCONGDOI!$C$11:$AD$93,22,0)</f>
        <v>0</v>
      </c>
      <c r="P18" s="1262">
        <f>VLOOKUP(C18,TONGHOPCONGDOI!$C$11:$AD$93,23,0)</f>
        <v>2</v>
      </c>
      <c r="Q18" s="1262">
        <f>VLOOKUP(C18,TONGHOPCONGDOI!$C$11:$AD$93,24,0)</f>
        <v>0</v>
      </c>
      <c r="R18" s="1262">
        <f>VLOOKUP(C18,TONGHOPCONGDOI!$C$11:$AD$93,25,0)</f>
        <v>0</v>
      </c>
      <c r="S18" s="1262"/>
      <c r="T18" s="1262">
        <f t="shared" si="2"/>
        <v>2</v>
      </c>
      <c r="U18" s="1263"/>
      <c r="V18" s="1263"/>
      <c r="W18" s="890">
        <f t="shared" ref="W18:W81" si="6">ROUND(((M18*46.1)+(N18*76.9)+(O18*92.2)+(P18*153.8)+(Q18*92.2)+(R18*153.8))*$E$12+(S18*25000)+(T18*100000),0)</f>
        <v>1251618</v>
      </c>
      <c r="X18" s="1262">
        <f t="shared" si="0"/>
        <v>7186796</v>
      </c>
      <c r="Y18" s="1262"/>
      <c r="Z18" s="1262">
        <f>VLOOKUP(C18,'CNKT '!D18:AA95,24,0)</f>
        <v>7186796</v>
      </c>
      <c r="AA18" s="1258">
        <f t="shared" si="3"/>
        <v>0</v>
      </c>
    </row>
    <row r="19" spans="1:27" s="1258" customFormat="1" ht="50.25" customHeight="1">
      <c r="A19" s="1259">
        <v>4</v>
      </c>
      <c r="B19" s="1259" t="str">
        <f>'Chấm công KT'!C16</f>
        <v>04053</v>
      </c>
      <c r="C19" s="1262" t="str">
        <f>TONGHOPCONGDOI!C14</f>
        <v>Lăm Ma Thu</v>
      </c>
      <c r="D19" s="1262"/>
      <c r="E19" s="1263"/>
      <c r="F19" s="1262">
        <f t="shared" si="1"/>
        <v>0</v>
      </c>
      <c r="G19" s="1262">
        <f>VLOOKUP(C19,TONGHOPCONGDOI!C14:AE94,16,0)</f>
        <v>3625</v>
      </c>
      <c r="H19" s="1262">
        <f>VLOOKUP(C19,TONGHOPCONGDOI!C14:AE94,17,0)</f>
        <v>0</v>
      </c>
      <c r="I19" s="1262"/>
      <c r="J19" s="888">
        <f t="shared" si="4"/>
        <v>1548.3782626658119</v>
      </c>
      <c r="K19" s="1259" t="str">
        <f>VLOOKUP(C19,'BTH mủ tạp'!D20:AN98,37,0)</f>
        <v>A</v>
      </c>
      <c r="L19" s="889">
        <f t="shared" si="5"/>
        <v>6335400</v>
      </c>
      <c r="M19" s="1262">
        <f>VLOOKUP(C19,TONGHOPCONGDOI!$C$11:$V$91,20,0)</f>
        <v>26</v>
      </c>
      <c r="N19" s="1262">
        <f>VLOOKUP(C19,TONGHOPCONGDOI!$C$11:$W$91,21,0)</f>
        <v>2</v>
      </c>
      <c r="O19" s="1262">
        <f>VLOOKUP(C19,TONGHOPCONGDOI!$C$11:$AD$93,22,0)</f>
        <v>0</v>
      </c>
      <c r="P19" s="1262">
        <f>VLOOKUP(C19,TONGHOPCONGDOI!$C$11:$AD$93,23,0)</f>
        <v>2</v>
      </c>
      <c r="Q19" s="1262">
        <f>VLOOKUP(C19,TONGHOPCONGDOI!$C$11:$AD$93,24,0)</f>
        <v>0</v>
      </c>
      <c r="R19" s="1262">
        <f>VLOOKUP(C19,TONGHOPCONGDOI!$C$11:$AD$93,25,0)</f>
        <v>0</v>
      </c>
      <c r="S19" s="1262"/>
      <c r="T19" s="1262">
        <f t="shared" si="2"/>
        <v>2</v>
      </c>
      <c r="U19" s="1263"/>
      <c r="V19" s="1263"/>
      <c r="W19" s="890">
        <f t="shared" si="6"/>
        <v>1313462</v>
      </c>
      <c r="X19" s="1262">
        <f t="shared" si="0"/>
        <v>7648862</v>
      </c>
      <c r="Y19" s="1262"/>
      <c r="Z19" s="1262">
        <f>VLOOKUP(C19,'CNKT '!D19:AA96,24,0)</f>
        <v>7648862</v>
      </c>
      <c r="AA19" s="1258">
        <f t="shared" si="3"/>
        <v>0</v>
      </c>
    </row>
    <row r="20" spans="1:27" s="1258" customFormat="1" ht="50.25" customHeight="1">
      <c r="A20" s="1259">
        <v>5</v>
      </c>
      <c r="B20" s="1259" t="str">
        <f>'Chấm công KT'!C17</f>
        <v>03459</v>
      </c>
      <c r="C20" s="1262" t="str">
        <f>TONGHOPCONGDOI!C15</f>
        <v>N. Vạt</v>
      </c>
      <c r="D20" s="1262"/>
      <c r="E20" s="1263"/>
      <c r="F20" s="1262">
        <f t="shared" si="1"/>
        <v>0</v>
      </c>
      <c r="G20" s="1262">
        <f>VLOOKUP(C20,TONGHOPCONGDOI!C15:AE94,16,0)</f>
        <v>3228</v>
      </c>
      <c r="H20" s="1262">
        <f>VLOOKUP(C20,TONGHOPCONGDOI!C15:AE94,17,0)</f>
        <v>0</v>
      </c>
      <c r="I20" s="1262"/>
      <c r="J20" s="888">
        <f t="shared" si="4"/>
        <v>1378.8041467269632</v>
      </c>
      <c r="K20" s="1259" t="str">
        <f>VLOOKUP(C20,'BTH mủ tạp'!D21:AN99,37,0)</f>
        <v>A</v>
      </c>
      <c r="L20" s="889">
        <f t="shared" si="5"/>
        <v>5641565</v>
      </c>
      <c r="M20" s="1262">
        <f>VLOOKUP(C20,TONGHOPCONGDOI!$C$11:$V$91,20,0)</f>
        <v>24</v>
      </c>
      <c r="N20" s="1262">
        <f>VLOOKUP(C20,TONGHOPCONGDOI!$C$11:$W$91,21,0)</f>
        <v>2</v>
      </c>
      <c r="O20" s="1262">
        <f>VLOOKUP(C20,TONGHOPCONGDOI!$C$11:$AD$93,22,0)</f>
        <v>0</v>
      </c>
      <c r="P20" s="1262">
        <f>VLOOKUP(C20,TONGHOPCONGDOI!$C$11:$AD$93,23,0)</f>
        <v>2</v>
      </c>
      <c r="Q20" s="1262">
        <f>VLOOKUP(C20,TONGHOPCONGDOI!$C$11:$AD$93,24,0)</f>
        <v>0</v>
      </c>
      <c r="R20" s="1262">
        <f>VLOOKUP(C20,TONGHOPCONGDOI!$C$11:$AD$93,25,0)</f>
        <v>0</v>
      </c>
      <c r="S20" s="1262"/>
      <c r="T20" s="1262">
        <f t="shared" si="2"/>
        <v>2</v>
      </c>
      <c r="U20" s="1263"/>
      <c r="V20" s="1263"/>
      <c r="W20" s="890">
        <f t="shared" si="6"/>
        <v>1251618</v>
      </c>
      <c r="X20" s="1262">
        <f t="shared" si="0"/>
        <v>6893183</v>
      </c>
      <c r="Y20" s="1262"/>
      <c r="Z20" s="1262">
        <f>VLOOKUP(C20,'CNKT '!D20:AA97,24,0)</f>
        <v>6893183</v>
      </c>
      <c r="AA20" s="1258">
        <f t="shared" si="3"/>
        <v>0</v>
      </c>
    </row>
    <row r="21" spans="1:27" s="1258" customFormat="1" ht="50.25" customHeight="1">
      <c r="A21" s="1259">
        <v>6</v>
      </c>
      <c r="B21" s="1259" t="str">
        <f>'Chấm công KT'!C18</f>
        <v>04054</v>
      </c>
      <c r="C21" s="1262" t="str">
        <f>TONGHOPCONGDOI!C16</f>
        <v>N. Kay Son</v>
      </c>
      <c r="D21" s="1262"/>
      <c r="E21" s="1263"/>
      <c r="F21" s="1262">
        <f t="shared" si="1"/>
        <v>0</v>
      </c>
      <c r="G21" s="1262">
        <f>VLOOKUP(C21,TONGHOPCONGDOI!C16:AE94,16,0)</f>
        <v>4093</v>
      </c>
      <c r="H21" s="1262">
        <f>VLOOKUP(C21,TONGHOPCONGDOI!C16:AE94,17,0)</f>
        <v>0</v>
      </c>
      <c r="I21" s="1262"/>
      <c r="J21" s="888">
        <f t="shared" si="4"/>
        <v>1748.2792356113569</v>
      </c>
      <c r="K21" s="1259" t="str">
        <f>VLOOKUP(C21,'BTH mủ tạp'!D22:AN100,37,0)</f>
        <v>A</v>
      </c>
      <c r="L21" s="889">
        <f t="shared" si="5"/>
        <v>7153322</v>
      </c>
      <c r="M21" s="1262">
        <f>VLOOKUP(C21,TONGHOPCONGDOI!$C$11:$V$91,20,0)</f>
        <v>25</v>
      </c>
      <c r="N21" s="1262">
        <f>VLOOKUP(C21,TONGHOPCONGDOI!$C$11:$W$91,21,0)</f>
        <v>2</v>
      </c>
      <c r="O21" s="1262">
        <f>VLOOKUP(C21,TONGHOPCONGDOI!$C$11:$AD$93,22,0)</f>
        <v>0</v>
      </c>
      <c r="P21" s="1262">
        <f>VLOOKUP(C21,TONGHOPCONGDOI!$C$11:$AD$93,23,0)</f>
        <v>2</v>
      </c>
      <c r="Q21" s="1262">
        <f>VLOOKUP(C21,TONGHOPCONGDOI!$C$11:$AD$93,24,0)</f>
        <v>0</v>
      </c>
      <c r="R21" s="1262">
        <f>VLOOKUP(C21,TONGHOPCONGDOI!$C$11:$AD$93,25,0)</f>
        <v>0</v>
      </c>
      <c r="S21" s="1262"/>
      <c r="T21" s="1262">
        <f t="shared" si="2"/>
        <v>2</v>
      </c>
      <c r="U21" s="1263"/>
      <c r="V21" s="1263"/>
      <c r="W21" s="890">
        <f t="shared" si="6"/>
        <v>1282540</v>
      </c>
      <c r="X21" s="1262">
        <f t="shared" si="0"/>
        <v>8435862</v>
      </c>
      <c r="Y21" s="1262"/>
      <c r="Z21" s="1262">
        <f>VLOOKUP(C21,'CNKT '!D21:AA97,24,0)</f>
        <v>8435862</v>
      </c>
      <c r="AA21" s="1258">
        <f t="shared" si="3"/>
        <v>0</v>
      </c>
    </row>
    <row r="22" spans="1:27" s="1258" customFormat="1" ht="50.25" customHeight="1">
      <c r="A22" s="1259">
        <v>7</v>
      </c>
      <c r="B22" s="1259" t="str">
        <f>'Chấm công KT'!C19</f>
        <v>04055</v>
      </c>
      <c r="C22" s="1262" t="str">
        <f>TONGHOPCONGDOI!C17</f>
        <v>T. Đèng 1</v>
      </c>
      <c r="D22" s="1262"/>
      <c r="E22" s="1263"/>
      <c r="F22" s="1262">
        <f t="shared" si="1"/>
        <v>0</v>
      </c>
      <c r="G22" s="1262">
        <f>VLOOKUP(C22,TONGHOPCONGDOI!C17:AE94,16,0)</f>
        <v>3646</v>
      </c>
      <c r="H22" s="1262">
        <f>VLOOKUP(C22,TONGHOPCONGDOI!C17:AE94,17,0)</f>
        <v>0</v>
      </c>
      <c r="I22" s="1262"/>
      <c r="J22" s="888">
        <f t="shared" si="4"/>
        <v>1557.3481781184967</v>
      </c>
      <c r="K22" s="1259" t="str">
        <f>VLOOKUP(C22,'BTH mủ tạp'!D23:AN101,37,0)</f>
        <v>A</v>
      </c>
      <c r="L22" s="889">
        <f t="shared" si="5"/>
        <v>6372102</v>
      </c>
      <c r="M22" s="1262">
        <f>VLOOKUP(C22,TONGHOPCONGDOI!$C$11:$V$91,20,0)</f>
        <v>26</v>
      </c>
      <c r="N22" s="1262">
        <f>VLOOKUP(C22,TONGHOPCONGDOI!$C$11:$W$91,21,0)</f>
        <v>2</v>
      </c>
      <c r="O22" s="1262">
        <f>VLOOKUP(C22,TONGHOPCONGDOI!$C$11:$AD$93,22,0)</f>
        <v>0</v>
      </c>
      <c r="P22" s="1262">
        <f>VLOOKUP(C22,TONGHOPCONGDOI!$C$11:$AD$93,23,0)</f>
        <v>2</v>
      </c>
      <c r="Q22" s="1262">
        <f>VLOOKUP(C22,TONGHOPCONGDOI!$C$11:$AD$93,24,0)</f>
        <v>0</v>
      </c>
      <c r="R22" s="1262">
        <f>VLOOKUP(C22,TONGHOPCONGDOI!$C$11:$AD$93,25,0)</f>
        <v>0</v>
      </c>
      <c r="S22" s="1262"/>
      <c r="T22" s="1262">
        <f t="shared" si="2"/>
        <v>2</v>
      </c>
      <c r="U22" s="1263"/>
      <c r="V22" s="1263"/>
      <c r="W22" s="890">
        <f t="shared" si="6"/>
        <v>1313462</v>
      </c>
      <c r="X22" s="1262">
        <f t="shared" si="0"/>
        <v>7685564</v>
      </c>
      <c r="Y22" s="1262"/>
      <c r="Z22" s="1262">
        <f>VLOOKUP(C22,'CNKT '!D22:AA98,24,0)</f>
        <v>7685564</v>
      </c>
      <c r="AA22" s="1258">
        <f t="shared" si="3"/>
        <v>0</v>
      </c>
    </row>
    <row r="23" spans="1:27" s="1258" customFormat="1" ht="50.25" customHeight="1">
      <c r="A23" s="1259">
        <v>8</v>
      </c>
      <c r="B23" s="1259" t="str">
        <f>'Chấm công KT'!C20</f>
        <v>03462</v>
      </c>
      <c r="C23" s="1262" t="str">
        <f>TONGHOPCONGDOI!C18</f>
        <v>T . Bua Ngân</v>
      </c>
      <c r="D23" s="1262"/>
      <c r="E23" s="1263"/>
      <c r="F23" s="1262">
        <f t="shared" si="1"/>
        <v>0</v>
      </c>
      <c r="G23" s="1262">
        <f>VLOOKUP(C23,TONGHOPCONGDOI!C18:AE94,16,0)</f>
        <v>3674</v>
      </c>
      <c r="H23" s="1262">
        <f>VLOOKUP(C23,TONGHOPCONGDOI!C18:AE94,17,0)</f>
        <v>0</v>
      </c>
      <c r="I23" s="1262"/>
      <c r="J23" s="888">
        <f t="shared" si="4"/>
        <v>1569.308065388743</v>
      </c>
      <c r="K23" s="1259" t="str">
        <f>VLOOKUP(C23,'BTH mủ tạp'!D24:AN102,37,0)</f>
        <v>A</v>
      </c>
      <c r="L23" s="889">
        <f t="shared" si="5"/>
        <v>6421037</v>
      </c>
      <c r="M23" s="1262">
        <f>VLOOKUP(C23,TONGHOPCONGDOI!$C$11:$V$91,20,0)</f>
        <v>25</v>
      </c>
      <c r="N23" s="1262">
        <f>VLOOKUP(C23,TONGHOPCONGDOI!$C$11:$W$91,21,0)</f>
        <v>2</v>
      </c>
      <c r="O23" s="1262">
        <f>VLOOKUP(C23,TONGHOPCONGDOI!$C$11:$AD$93,22,0)</f>
        <v>0</v>
      </c>
      <c r="P23" s="1262">
        <f>VLOOKUP(C23,TONGHOPCONGDOI!$C$11:$AD$93,23,0)</f>
        <v>2</v>
      </c>
      <c r="Q23" s="1262">
        <f>VLOOKUP(C23,TONGHOPCONGDOI!$C$11:$AD$93,24,0)</f>
        <v>0</v>
      </c>
      <c r="R23" s="1262">
        <f>VLOOKUP(C23,TONGHOPCONGDOI!$C$11:$AD$93,25,0)</f>
        <v>0</v>
      </c>
      <c r="S23" s="1262"/>
      <c r="T23" s="1262">
        <f t="shared" si="2"/>
        <v>2</v>
      </c>
      <c r="U23" s="1263"/>
      <c r="V23" s="1263"/>
      <c r="W23" s="890">
        <f t="shared" si="6"/>
        <v>1282540</v>
      </c>
      <c r="X23" s="1262">
        <f t="shared" si="0"/>
        <v>7703577</v>
      </c>
      <c r="Y23" s="1262"/>
      <c r="Z23" s="1262">
        <f>VLOOKUP(C23,'CNKT '!D23:AA98,24,0)</f>
        <v>7703577</v>
      </c>
      <c r="AA23" s="1258">
        <f t="shared" si="3"/>
        <v>0</v>
      </c>
    </row>
    <row r="24" spans="1:27" s="1258" customFormat="1" ht="50.25" customHeight="1">
      <c r="A24" s="1259">
        <v>9</v>
      </c>
      <c r="B24" s="1259" t="str">
        <f>'Chấm công KT'!C21</f>
        <v>03463</v>
      </c>
      <c r="C24" s="1262" t="str">
        <f>TONGHOPCONGDOI!C19</f>
        <v>T Căng</v>
      </c>
      <c r="D24" s="1262"/>
      <c r="E24" s="1263"/>
      <c r="F24" s="1262">
        <f t="shared" si="1"/>
        <v>0</v>
      </c>
      <c r="G24" s="1262">
        <f>VLOOKUP(C24,TONGHOPCONGDOI!C19:AE94,16,0)</f>
        <v>4580</v>
      </c>
      <c r="H24" s="1262">
        <f>VLOOKUP(C24,TONGHOPCONGDOI!C19:AE94,17,0)</f>
        <v>0</v>
      </c>
      <c r="I24" s="1262"/>
      <c r="J24" s="888">
        <f t="shared" si="4"/>
        <v>1956.2958463474258</v>
      </c>
      <c r="K24" s="1259" t="str">
        <f>VLOOKUP(C24,'BTH mủ tạp'!D25:AN103,37,0)</f>
        <v>A</v>
      </c>
      <c r="L24" s="889">
        <f t="shared" si="5"/>
        <v>8004451</v>
      </c>
      <c r="M24" s="1262">
        <f>VLOOKUP(C24,TONGHOPCONGDOI!$C$11:$V$91,20,0)</f>
        <v>25</v>
      </c>
      <c r="N24" s="1262">
        <f>VLOOKUP(C24,TONGHOPCONGDOI!$C$11:$W$91,21,0)</f>
        <v>2</v>
      </c>
      <c r="O24" s="1262">
        <f>VLOOKUP(C24,TONGHOPCONGDOI!$C$11:$AD$93,22,0)</f>
        <v>0</v>
      </c>
      <c r="P24" s="1262">
        <f>VLOOKUP(C24,TONGHOPCONGDOI!$C$11:$AD$93,23,0)</f>
        <v>2</v>
      </c>
      <c r="Q24" s="1262">
        <f>VLOOKUP(C24,TONGHOPCONGDOI!$C$11:$AD$93,24,0)</f>
        <v>0</v>
      </c>
      <c r="R24" s="1262">
        <f>VLOOKUP(C24,TONGHOPCONGDOI!$C$11:$AD$93,25,0)</f>
        <v>0</v>
      </c>
      <c r="S24" s="1262"/>
      <c r="T24" s="1262">
        <f t="shared" si="2"/>
        <v>2</v>
      </c>
      <c r="U24" s="1263"/>
      <c r="V24" s="1263"/>
      <c r="W24" s="890">
        <f t="shared" si="6"/>
        <v>1282540</v>
      </c>
      <c r="X24" s="1262">
        <f t="shared" si="0"/>
        <v>9286991</v>
      </c>
      <c r="Y24" s="1262"/>
      <c r="Z24" s="1262">
        <f>VLOOKUP(C24,'CNKT '!D24:AA98,24,0)</f>
        <v>9286991</v>
      </c>
      <c r="AA24" s="1258">
        <f t="shared" si="3"/>
        <v>0</v>
      </c>
    </row>
    <row r="25" spans="1:27" s="1258" customFormat="1" ht="50.25" customHeight="1">
      <c r="A25" s="1259">
        <v>10</v>
      </c>
      <c r="B25" s="1259" t="str">
        <f>'Chấm công KT'!C22</f>
        <v>03464</v>
      </c>
      <c r="C25" s="1262" t="str">
        <f>TONGHOPCONGDOI!C20</f>
        <v>N. Phôn 1</v>
      </c>
      <c r="D25" s="1262"/>
      <c r="E25" s="1263"/>
      <c r="F25" s="1262">
        <f t="shared" si="1"/>
        <v>0</v>
      </c>
      <c r="G25" s="1262">
        <f>VLOOKUP(C25,TONGHOPCONGDOI!C20:AE94,16,0)</f>
        <v>4638</v>
      </c>
      <c r="H25" s="1262">
        <f>VLOOKUP(C25,TONGHOPCONGDOI!C20:AE94,17,0)</f>
        <v>0</v>
      </c>
      <c r="I25" s="1262"/>
      <c r="J25" s="888">
        <f t="shared" si="4"/>
        <v>1981.069898550079</v>
      </c>
      <c r="K25" s="1259" t="str">
        <f>VLOOKUP(C25,'BTH mủ tạp'!D26:AN104,37,0)</f>
        <v>A</v>
      </c>
      <c r="L25" s="889">
        <f t="shared" si="5"/>
        <v>8105817</v>
      </c>
      <c r="M25" s="1262">
        <f>VLOOKUP(C25,TONGHOPCONGDOI!$C$11:$V$91,20,0)</f>
        <v>25</v>
      </c>
      <c r="N25" s="1262">
        <f>VLOOKUP(C25,TONGHOPCONGDOI!$C$11:$W$91,21,0)</f>
        <v>2</v>
      </c>
      <c r="O25" s="1262">
        <f>VLOOKUP(C25,TONGHOPCONGDOI!$C$11:$AD$93,22,0)</f>
        <v>0</v>
      </c>
      <c r="P25" s="1262">
        <f>VLOOKUP(C25,TONGHOPCONGDOI!$C$11:$AD$93,23,0)</f>
        <v>2</v>
      </c>
      <c r="Q25" s="1262">
        <f>VLOOKUP(C25,TONGHOPCONGDOI!$C$11:$AD$93,24,0)</f>
        <v>0</v>
      </c>
      <c r="R25" s="1262">
        <f>VLOOKUP(C25,TONGHOPCONGDOI!$C$11:$AD$93,25,0)</f>
        <v>0</v>
      </c>
      <c r="S25" s="1262"/>
      <c r="T25" s="1262">
        <f t="shared" si="2"/>
        <v>2</v>
      </c>
      <c r="U25" s="1263"/>
      <c r="V25" s="1263"/>
      <c r="W25" s="890">
        <f t="shared" si="6"/>
        <v>1282540</v>
      </c>
      <c r="X25" s="1262">
        <f t="shared" si="0"/>
        <v>9388357</v>
      </c>
      <c r="Y25" s="1262"/>
      <c r="Z25" s="1262">
        <f>VLOOKUP(C25,'CNKT '!D25:AA98,24,0)</f>
        <v>9388357</v>
      </c>
      <c r="AA25" s="1258">
        <f t="shared" si="3"/>
        <v>0</v>
      </c>
    </row>
    <row r="26" spans="1:27" s="1258" customFormat="1" ht="50.25" customHeight="1">
      <c r="A26" s="1259">
        <v>11</v>
      </c>
      <c r="B26" s="1259" t="str">
        <f>'Chấm công KT'!C23</f>
        <v>03465</v>
      </c>
      <c r="C26" s="1262" t="str">
        <f>TONGHOPCONGDOI!C21</f>
        <v>T. In Păn</v>
      </c>
      <c r="D26" s="1262"/>
      <c r="E26" s="1263"/>
      <c r="F26" s="1262">
        <f t="shared" si="1"/>
        <v>0</v>
      </c>
      <c r="G26" s="1262">
        <f>VLOOKUP(C26,TONGHOPCONGDOI!C21:AE94,16,0)</f>
        <v>3595</v>
      </c>
      <c r="H26" s="1262">
        <f>VLOOKUP(C26,TONGHOPCONGDOI!C21:AE94,17,0)</f>
        <v>0</v>
      </c>
      <c r="I26" s="1262"/>
      <c r="J26" s="888">
        <f t="shared" si="4"/>
        <v>1535.5640977334053</v>
      </c>
      <c r="K26" s="1259" t="str">
        <f>VLOOKUP(C26,'BTH mủ tạp'!D27:AN105,37,0)</f>
        <v>A</v>
      </c>
      <c r="L26" s="889">
        <f t="shared" si="5"/>
        <v>6282969</v>
      </c>
      <c r="M26" s="1262">
        <f>VLOOKUP(C26,TONGHOPCONGDOI!$C$11:$V$91,20,0)</f>
        <v>25</v>
      </c>
      <c r="N26" s="1262">
        <f>VLOOKUP(C26,TONGHOPCONGDOI!$C$11:$W$91,21,0)</f>
        <v>2</v>
      </c>
      <c r="O26" s="1262">
        <f>VLOOKUP(C26,TONGHOPCONGDOI!$C$11:$AD$93,22,0)</f>
        <v>0</v>
      </c>
      <c r="P26" s="1262">
        <f>VLOOKUP(C26,TONGHOPCONGDOI!$C$11:$AD$93,23,0)</f>
        <v>2</v>
      </c>
      <c r="Q26" s="1262">
        <f>VLOOKUP(C26,TONGHOPCONGDOI!$C$11:$AD$93,24,0)</f>
        <v>0</v>
      </c>
      <c r="R26" s="1262">
        <f>VLOOKUP(C26,TONGHOPCONGDOI!$C$11:$AD$93,25,0)</f>
        <v>0</v>
      </c>
      <c r="S26" s="1262"/>
      <c r="T26" s="1262">
        <f t="shared" si="2"/>
        <v>2</v>
      </c>
      <c r="U26" s="1263"/>
      <c r="V26" s="1263"/>
      <c r="W26" s="890">
        <f t="shared" si="6"/>
        <v>1282540</v>
      </c>
      <c r="X26" s="1262">
        <f t="shared" si="0"/>
        <v>7565509</v>
      </c>
      <c r="Y26" s="1262"/>
      <c r="Z26" s="1262">
        <f>VLOOKUP(C26,'CNKT '!D26:AA98,24,0)</f>
        <v>7565509</v>
      </c>
      <c r="AA26" s="1258">
        <f t="shared" si="3"/>
        <v>0</v>
      </c>
    </row>
    <row r="27" spans="1:27" s="1258" customFormat="1" ht="50.25" customHeight="1">
      <c r="A27" s="1259">
        <v>12</v>
      </c>
      <c r="B27" s="1259" t="str">
        <f>'Chấm công KT'!C24</f>
        <v>03466</v>
      </c>
      <c r="C27" s="1262" t="str">
        <f>TONGHOPCONGDOI!C22</f>
        <v>N. Keo</v>
      </c>
      <c r="D27" s="1262"/>
      <c r="E27" s="1263"/>
      <c r="F27" s="1262">
        <f t="shared" si="1"/>
        <v>0</v>
      </c>
      <c r="G27" s="1262">
        <f>VLOOKUP(C27,TONGHOPCONGDOI!C22:AE94,16,0)</f>
        <v>4351</v>
      </c>
      <c r="H27" s="1262">
        <f>VLOOKUP(C27,TONGHOPCONGDOI!C22:AE94,17,0)</f>
        <v>0</v>
      </c>
      <c r="I27" s="1262"/>
      <c r="J27" s="888">
        <f t="shared" si="4"/>
        <v>1858.4810540300546</v>
      </c>
      <c r="K27" s="1259" t="str">
        <f>VLOOKUP(C27,'BTH mủ tạp'!D28:AN106,37,0)</f>
        <v>A</v>
      </c>
      <c r="L27" s="889">
        <f t="shared" si="5"/>
        <v>7604228</v>
      </c>
      <c r="M27" s="1262">
        <f>VLOOKUP(C27,TONGHOPCONGDOI!$C$11:$V$91,20,0)</f>
        <v>26</v>
      </c>
      <c r="N27" s="1262">
        <f>VLOOKUP(C27,TONGHOPCONGDOI!$C$11:$W$91,21,0)</f>
        <v>2</v>
      </c>
      <c r="O27" s="1262">
        <f>VLOOKUP(C27,TONGHOPCONGDOI!$C$11:$AD$93,22,0)</f>
        <v>0</v>
      </c>
      <c r="P27" s="1262">
        <f>VLOOKUP(C27,TONGHOPCONGDOI!$C$11:$AD$93,23,0)</f>
        <v>2</v>
      </c>
      <c r="Q27" s="1262">
        <f>VLOOKUP(C27,TONGHOPCONGDOI!$C$11:$AD$93,24,0)</f>
        <v>0</v>
      </c>
      <c r="R27" s="1262">
        <f>VLOOKUP(C27,TONGHOPCONGDOI!$C$11:$AD$93,25,0)</f>
        <v>0</v>
      </c>
      <c r="S27" s="1262"/>
      <c r="T27" s="1262">
        <f t="shared" si="2"/>
        <v>2</v>
      </c>
      <c r="U27" s="1263"/>
      <c r="V27" s="1263"/>
      <c r="W27" s="890">
        <f t="shared" si="6"/>
        <v>1313462</v>
      </c>
      <c r="X27" s="1262">
        <f t="shared" si="0"/>
        <v>8917690</v>
      </c>
      <c r="Y27" s="1262"/>
      <c r="Z27" s="1262">
        <f>VLOOKUP(C27,'CNKT '!D27:AA98,24,0)</f>
        <v>8917690</v>
      </c>
      <c r="AA27" s="1258">
        <f t="shared" si="3"/>
        <v>0</v>
      </c>
    </row>
    <row r="28" spans="1:27" s="1258" customFormat="1" ht="50.25" customHeight="1">
      <c r="A28" s="1259">
        <v>13</v>
      </c>
      <c r="B28" s="1259" t="str">
        <f>'Chấm công KT'!C25</f>
        <v>02727</v>
      </c>
      <c r="C28" s="1262" t="str">
        <f>TONGHOPCONGDOI!C23</f>
        <v>T. Thong Đon</v>
      </c>
      <c r="D28" s="1262"/>
      <c r="E28" s="1263"/>
      <c r="F28" s="1262">
        <f t="shared" si="1"/>
        <v>0</v>
      </c>
      <c r="G28" s="1262">
        <f>VLOOKUP(C28,TONGHOPCONGDOI!C23:AE94,16,0)</f>
        <v>4260</v>
      </c>
      <c r="H28" s="1262">
        <f>VLOOKUP(C28,TONGHOPCONGDOI!C23:AE94,17,0)</f>
        <v>0</v>
      </c>
      <c r="I28" s="1262"/>
      <c r="J28" s="888">
        <f t="shared" si="4"/>
        <v>1819.6114204017542</v>
      </c>
      <c r="K28" s="1259" t="str">
        <f>VLOOKUP(C28,'BTH mủ tạp'!D29:AN107,37,0)</f>
        <v>A</v>
      </c>
      <c r="L28" s="889">
        <f t="shared" si="5"/>
        <v>7445188</v>
      </c>
      <c r="M28" s="1262">
        <f>VLOOKUP(C28,TONGHOPCONGDOI!$C$11:$V$91,20,0)</f>
        <v>25</v>
      </c>
      <c r="N28" s="1262">
        <f>VLOOKUP(C28,TONGHOPCONGDOI!$C$11:$W$91,21,0)</f>
        <v>2</v>
      </c>
      <c r="O28" s="1262">
        <f>VLOOKUP(C28,TONGHOPCONGDOI!$C$11:$AD$93,22,0)</f>
        <v>0</v>
      </c>
      <c r="P28" s="1262">
        <f>VLOOKUP(C28,TONGHOPCONGDOI!$C$11:$AD$93,23,0)</f>
        <v>2</v>
      </c>
      <c r="Q28" s="1262">
        <f>VLOOKUP(C28,TONGHOPCONGDOI!$C$11:$AD$93,24,0)</f>
        <v>0</v>
      </c>
      <c r="R28" s="1262">
        <f>VLOOKUP(C28,TONGHOPCONGDOI!$C$11:$AD$93,25,0)</f>
        <v>0</v>
      </c>
      <c r="S28" s="1262"/>
      <c r="T28" s="1262">
        <f t="shared" si="2"/>
        <v>2</v>
      </c>
      <c r="U28" s="1263"/>
      <c r="V28" s="1263"/>
      <c r="W28" s="890">
        <f t="shared" si="6"/>
        <v>1282540</v>
      </c>
      <c r="X28" s="1262">
        <f t="shared" si="0"/>
        <v>8727728</v>
      </c>
      <c r="Y28" s="1262"/>
      <c r="Z28" s="1262">
        <f>VLOOKUP(C28,'CNKT '!D28:AA98,24,0)</f>
        <v>8727728</v>
      </c>
      <c r="AA28" s="1258">
        <f t="shared" si="3"/>
        <v>0</v>
      </c>
    </row>
    <row r="29" spans="1:27" s="1258" customFormat="1" ht="50.25" customHeight="1">
      <c r="A29" s="1259">
        <v>14</v>
      </c>
      <c r="B29" s="1259" t="str">
        <f>'Chấm công KT'!C26</f>
        <v>03467</v>
      </c>
      <c r="C29" s="1262" t="str">
        <f>TONGHOPCONGDOI!C24</f>
        <v>T. Hin</v>
      </c>
      <c r="D29" s="1262"/>
      <c r="E29" s="1263"/>
      <c r="F29" s="1262">
        <f t="shared" si="1"/>
        <v>0</v>
      </c>
      <c r="G29" s="1262">
        <f>VLOOKUP(C29,TONGHOPCONGDOI!C24:AE94,16,0)</f>
        <v>4134</v>
      </c>
      <c r="H29" s="1262">
        <f>VLOOKUP(C29,TONGHOPCONGDOI!C24:AE94,17,0)</f>
        <v>0</v>
      </c>
      <c r="I29" s="1262"/>
      <c r="J29" s="888">
        <f t="shared" si="4"/>
        <v>1765.791927685646</v>
      </c>
      <c r="K29" s="1259" t="str">
        <f>VLOOKUP(C29,'BTH mủ tạp'!D30:AN108,37,0)</f>
        <v>A</v>
      </c>
      <c r="L29" s="889">
        <f t="shared" si="5"/>
        <v>7224978</v>
      </c>
      <c r="M29" s="1262">
        <f>VLOOKUP(C29,TONGHOPCONGDOI!$C$11:$V$91,20,0)</f>
        <v>26</v>
      </c>
      <c r="N29" s="1262">
        <f>VLOOKUP(C29,TONGHOPCONGDOI!$C$11:$W$91,21,0)</f>
        <v>2</v>
      </c>
      <c r="O29" s="1262">
        <f>VLOOKUP(C29,TONGHOPCONGDOI!$C$11:$AD$93,22,0)</f>
        <v>0</v>
      </c>
      <c r="P29" s="1262">
        <f>VLOOKUP(C29,TONGHOPCONGDOI!$C$11:$AD$93,23,0)</f>
        <v>2</v>
      </c>
      <c r="Q29" s="1262">
        <f>VLOOKUP(C29,TONGHOPCONGDOI!$C$11:$AD$93,24,0)</f>
        <v>0</v>
      </c>
      <c r="R29" s="1262">
        <f>VLOOKUP(C29,TONGHOPCONGDOI!$C$11:$AD$93,25,0)</f>
        <v>0</v>
      </c>
      <c r="S29" s="1262"/>
      <c r="T29" s="1262">
        <f t="shared" si="2"/>
        <v>2</v>
      </c>
      <c r="U29" s="1263"/>
      <c r="V29" s="1263"/>
      <c r="W29" s="890">
        <f t="shared" si="6"/>
        <v>1313462</v>
      </c>
      <c r="X29" s="1262">
        <f t="shared" si="0"/>
        <v>8538440</v>
      </c>
      <c r="Y29" s="1262"/>
      <c r="Z29" s="1262">
        <f>VLOOKUP(C29,'CNKT '!D29:AA98,24,0)</f>
        <v>8538440</v>
      </c>
      <c r="AA29" s="1258">
        <f t="shared" si="3"/>
        <v>0</v>
      </c>
    </row>
    <row r="30" spans="1:27" s="1258" customFormat="1" ht="50.25" customHeight="1">
      <c r="A30" s="1259">
        <v>15</v>
      </c>
      <c r="B30" s="1259" t="str">
        <f>'Chấm công KT'!C27</f>
        <v>04056</v>
      </c>
      <c r="C30" s="1262" t="str">
        <f>TONGHOPCONGDOI!C25</f>
        <v>N. Ly Phon</v>
      </c>
      <c r="D30" s="1262"/>
      <c r="E30" s="1263"/>
      <c r="F30" s="1262">
        <f t="shared" si="1"/>
        <v>0</v>
      </c>
      <c r="G30" s="1262">
        <f>VLOOKUP(C30,TONGHOPCONGDOI!C25:AE94,16,0)</f>
        <v>4003</v>
      </c>
      <c r="H30" s="1262">
        <f>VLOOKUP(C30,TONGHOPCONGDOI!C25:AE94,17,0)</f>
        <v>0</v>
      </c>
      <c r="I30" s="1262"/>
      <c r="J30" s="888">
        <f t="shared" si="4"/>
        <v>1709.8367408141366</v>
      </c>
      <c r="K30" s="1259" t="str">
        <f>VLOOKUP(C30,'BTH mủ tạp'!D31:AN109,37,0)</f>
        <v>B</v>
      </c>
      <c r="L30" s="889">
        <f t="shared" si="5"/>
        <v>6651963</v>
      </c>
      <c r="M30" s="1262">
        <f>VLOOKUP(C30,TONGHOPCONGDOI!$C$11:$V$91,20,0)</f>
        <v>26</v>
      </c>
      <c r="N30" s="1262">
        <f>VLOOKUP(C30,TONGHOPCONGDOI!$C$11:$W$91,21,0)</f>
        <v>2</v>
      </c>
      <c r="O30" s="1262">
        <f>VLOOKUP(C30,TONGHOPCONGDOI!$C$11:$AD$93,22,0)</f>
        <v>0</v>
      </c>
      <c r="P30" s="1262">
        <f>VLOOKUP(C30,TONGHOPCONGDOI!$C$11:$AD$93,23,0)</f>
        <v>2</v>
      </c>
      <c r="Q30" s="1262">
        <f>VLOOKUP(C30,TONGHOPCONGDOI!$C$11:$AD$93,24,0)</f>
        <v>0</v>
      </c>
      <c r="R30" s="1262">
        <f>VLOOKUP(C30,TONGHOPCONGDOI!$C$11:$AD$93,25,0)</f>
        <v>0</v>
      </c>
      <c r="S30" s="1262"/>
      <c r="T30" s="1262">
        <f t="shared" si="2"/>
        <v>2</v>
      </c>
      <c r="U30" s="1263"/>
      <c r="V30" s="1263"/>
      <c r="W30" s="890">
        <f t="shared" si="6"/>
        <v>1313462</v>
      </c>
      <c r="X30" s="1262">
        <f t="shared" si="0"/>
        <v>7965425</v>
      </c>
      <c r="Y30" s="1262"/>
      <c r="Z30" s="1262">
        <f>VLOOKUP(C30,'CNKT '!D30:AA98,24,0)</f>
        <v>7965425</v>
      </c>
      <c r="AA30" s="1258">
        <f t="shared" si="3"/>
        <v>0</v>
      </c>
    </row>
    <row r="31" spans="1:27" s="1258" customFormat="1" ht="50.25" customHeight="1">
      <c r="A31" s="1259">
        <v>16</v>
      </c>
      <c r="B31" s="1259" t="str">
        <f>'Chấm công KT'!C28</f>
        <v>03469</v>
      </c>
      <c r="C31" s="1262" t="str">
        <f>TONGHOPCONGDOI!C26</f>
        <v>T. Xôm Va Nít</v>
      </c>
      <c r="D31" s="1262"/>
      <c r="E31" s="1263"/>
      <c r="F31" s="1262">
        <f t="shared" si="1"/>
        <v>0</v>
      </c>
      <c r="G31" s="1262">
        <f>VLOOKUP(C31,TONGHOPCONGDOI!C26:AE94,16,0)</f>
        <v>4506</v>
      </c>
      <c r="H31" s="1262">
        <f>VLOOKUP(C31,TONGHOPCONGDOI!C26:AE94,17,0)</f>
        <v>0</v>
      </c>
      <c r="I31" s="1262"/>
      <c r="J31" s="888">
        <f t="shared" si="4"/>
        <v>1924.6875728474893</v>
      </c>
      <c r="K31" s="1259" t="str">
        <f>VLOOKUP(C31,'BTH mủ tạp'!D32:AN110,37,0)</f>
        <v>A</v>
      </c>
      <c r="L31" s="889">
        <f t="shared" si="5"/>
        <v>7875121</v>
      </c>
      <c r="M31" s="1262">
        <f>VLOOKUP(C31,TONGHOPCONGDOI!$C$11:$V$91,20,0)</f>
        <v>25</v>
      </c>
      <c r="N31" s="1262">
        <f>VLOOKUP(C31,TONGHOPCONGDOI!$C$11:$W$91,21,0)</f>
        <v>2</v>
      </c>
      <c r="O31" s="1262">
        <f>VLOOKUP(C31,TONGHOPCONGDOI!$C$11:$AD$93,22,0)</f>
        <v>0</v>
      </c>
      <c r="P31" s="1262">
        <f>VLOOKUP(C31,TONGHOPCONGDOI!$C$11:$AD$93,23,0)</f>
        <v>2</v>
      </c>
      <c r="Q31" s="1262">
        <f>VLOOKUP(C31,TONGHOPCONGDOI!$C$11:$AD$93,24,0)</f>
        <v>0</v>
      </c>
      <c r="R31" s="1262">
        <f>VLOOKUP(C31,TONGHOPCONGDOI!$C$11:$AD$93,25,0)</f>
        <v>0</v>
      </c>
      <c r="S31" s="1262"/>
      <c r="T31" s="1262">
        <f t="shared" si="2"/>
        <v>2</v>
      </c>
      <c r="U31" s="1263"/>
      <c r="V31" s="1263"/>
      <c r="W31" s="890">
        <f t="shared" si="6"/>
        <v>1282540</v>
      </c>
      <c r="X31" s="1262">
        <f t="shared" si="0"/>
        <v>9157661</v>
      </c>
      <c r="Y31" s="1262"/>
      <c r="Z31" s="1262">
        <f>VLOOKUP(C31,'CNKT '!D31:AA98,24,0)</f>
        <v>9157661</v>
      </c>
      <c r="AA31" s="1258">
        <f t="shared" si="3"/>
        <v>0</v>
      </c>
    </row>
    <row r="32" spans="1:27" s="1258" customFormat="1" ht="50.25" customHeight="1">
      <c r="A32" s="1259">
        <v>17</v>
      </c>
      <c r="B32" s="1259" t="str">
        <f>'Chấm công KT'!C29</f>
        <v>03470</v>
      </c>
      <c r="C32" s="1262" t="str">
        <f>TONGHOPCONGDOI!C27</f>
        <v>T. Lọi</v>
      </c>
      <c r="D32" s="1262"/>
      <c r="E32" s="1263"/>
      <c r="F32" s="1262">
        <f t="shared" si="1"/>
        <v>0</v>
      </c>
      <c r="G32" s="1262">
        <f>VLOOKUP(C32,TONGHOPCONGDOI!C27:AE94,16,0)</f>
        <v>3459</v>
      </c>
      <c r="H32" s="1262">
        <f>VLOOKUP(C32,TONGHOPCONGDOI!C27:AE94,17,0)</f>
        <v>0</v>
      </c>
      <c r="I32" s="1262"/>
      <c r="J32" s="888">
        <f t="shared" si="4"/>
        <v>1477.4732167064949</v>
      </c>
      <c r="K32" s="1259" t="str">
        <f>VLOOKUP(C32,'BTH mủ tạp'!D33:AN111,37,0)</f>
        <v>A</v>
      </c>
      <c r="L32" s="889">
        <f t="shared" si="5"/>
        <v>6045283</v>
      </c>
      <c r="M32" s="1262">
        <f>VLOOKUP(C32,TONGHOPCONGDOI!$C$11:$V$91,20,0)</f>
        <v>25</v>
      </c>
      <c r="N32" s="1262">
        <f>VLOOKUP(C32,TONGHOPCONGDOI!$C$11:$W$91,21,0)</f>
        <v>2</v>
      </c>
      <c r="O32" s="1262">
        <f>VLOOKUP(C32,TONGHOPCONGDOI!$C$11:$AD$93,22,0)</f>
        <v>0</v>
      </c>
      <c r="P32" s="1262">
        <f>VLOOKUP(C32,TONGHOPCONGDOI!$C$11:$AD$93,23,0)</f>
        <v>2</v>
      </c>
      <c r="Q32" s="1262">
        <f>VLOOKUP(C32,TONGHOPCONGDOI!$C$11:$AD$93,24,0)</f>
        <v>0</v>
      </c>
      <c r="R32" s="1262">
        <f>VLOOKUP(C32,TONGHOPCONGDOI!$C$11:$AD$93,25,0)</f>
        <v>0</v>
      </c>
      <c r="S32" s="1262"/>
      <c r="T32" s="1262">
        <f t="shared" si="2"/>
        <v>2</v>
      </c>
      <c r="U32" s="1263"/>
      <c r="V32" s="1263"/>
      <c r="W32" s="890">
        <f t="shared" si="6"/>
        <v>1282540</v>
      </c>
      <c r="X32" s="1262">
        <f t="shared" si="0"/>
        <v>7327823</v>
      </c>
      <c r="Y32" s="1262"/>
      <c r="Z32" s="1262">
        <f>VLOOKUP(C32,'CNKT '!D32:AA98,24,0)</f>
        <v>7327823</v>
      </c>
      <c r="AA32" s="1258">
        <f t="shared" si="3"/>
        <v>0</v>
      </c>
    </row>
    <row r="33" spans="1:27" s="1258" customFormat="1" ht="50.25" customHeight="1">
      <c r="A33" s="1259">
        <v>18</v>
      </c>
      <c r="B33" s="1259" t="str">
        <f>'Chấm công KT'!C30</f>
        <v>03471</v>
      </c>
      <c r="C33" s="1262" t="str">
        <f>TONGHOPCONGDOI!C28</f>
        <v>T. Phô Thong</v>
      </c>
      <c r="D33" s="1262"/>
      <c r="E33" s="1263"/>
      <c r="F33" s="1262">
        <f t="shared" si="1"/>
        <v>0</v>
      </c>
      <c r="G33" s="1262">
        <f>VLOOKUP(C33,TONGHOPCONGDOI!C28:AE94,16,0)</f>
        <v>5064</v>
      </c>
      <c r="H33" s="1262">
        <f>VLOOKUP(C33,TONGHOPCONGDOI!C28:AE94,17,0)</f>
        <v>0</v>
      </c>
      <c r="I33" s="1262"/>
      <c r="J33" s="888">
        <f t="shared" si="4"/>
        <v>2163.0310405902542</v>
      </c>
      <c r="K33" s="1259" t="str">
        <f>VLOOKUP(C33,'BTH mủ tạp'!D34:AN112,37,0)</f>
        <v>A</v>
      </c>
      <c r="L33" s="889">
        <f t="shared" si="5"/>
        <v>8850336</v>
      </c>
      <c r="M33" s="1262">
        <f>VLOOKUP(C33,TONGHOPCONGDOI!$C$11:$V$91,20,0)</f>
        <v>26</v>
      </c>
      <c r="N33" s="1262">
        <f>VLOOKUP(C33,TONGHOPCONGDOI!$C$11:$W$91,21,0)</f>
        <v>2</v>
      </c>
      <c r="O33" s="1262">
        <f>VLOOKUP(C33,TONGHOPCONGDOI!$C$11:$AD$93,22,0)</f>
        <v>0</v>
      </c>
      <c r="P33" s="1262">
        <f>VLOOKUP(C33,TONGHOPCONGDOI!$C$11:$AD$93,23,0)</f>
        <v>2</v>
      </c>
      <c r="Q33" s="1262">
        <f>VLOOKUP(C33,TONGHOPCONGDOI!$C$11:$AD$93,24,0)</f>
        <v>0</v>
      </c>
      <c r="R33" s="1262">
        <f>VLOOKUP(C33,TONGHOPCONGDOI!$C$11:$AD$93,25,0)</f>
        <v>0</v>
      </c>
      <c r="S33" s="1262"/>
      <c r="T33" s="1262">
        <f t="shared" si="2"/>
        <v>2</v>
      </c>
      <c r="U33" s="1263"/>
      <c r="V33" s="1263"/>
      <c r="W33" s="890">
        <f t="shared" si="6"/>
        <v>1313462</v>
      </c>
      <c r="X33" s="1262">
        <f t="shared" si="0"/>
        <v>10163798</v>
      </c>
      <c r="Y33" s="1262"/>
      <c r="Z33" s="1262">
        <f>VLOOKUP(C33,'CNKT '!D33:AA98,24,0)</f>
        <v>10163798</v>
      </c>
      <c r="AA33" s="1258">
        <f t="shared" si="3"/>
        <v>0</v>
      </c>
    </row>
    <row r="34" spans="1:27" s="1258" customFormat="1" ht="50.25" customHeight="1">
      <c r="A34" s="1259">
        <v>19</v>
      </c>
      <c r="B34" s="1259" t="str">
        <f>'Chấm công KT'!C31</f>
        <v>03472</v>
      </c>
      <c r="C34" s="1262" t="str">
        <f>TONGHOPCONGDOI!C29</f>
        <v>N. Soi</v>
      </c>
      <c r="D34" s="1262"/>
      <c r="E34" s="1263"/>
      <c r="F34" s="1262">
        <f t="shared" si="1"/>
        <v>0</v>
      </c>
      <c r="G34" s="1262">
        <f>VLOOKUP(C34,TONGHOPCONGDOI!C29:AE94,16,0)</f>
        <v>4063</v>
      </c>
      <c r="H34" s="1262">
        <f>VLOOKUP(C34,TONGHOPCONGDOI!C29:AE94,17,0)</f>
        <v>0</v>
      </c>
      <c r="I34" s="1262"/>
      <c r="J34" s="888">
        <f t="shared" si="4"/>
        <v>1735.46507067895</v>
      </c>
      <c r="K34" s="1259" t="str">
        <f>VLOOKUP(C34,'BTH mủ tạp'!D35:AN113,37,0)</f>
        <v>A</v>
      </c>
      <c r="L34" s="889">
        <f t="shared" si="5"/>
        <v>7100891</v>
      </c>
      <c r="M34" s="1262">
        <f>VLOOKUP(C34,TONGHOPCONGDOI!$C$11:$V$91,20,0)</f>
        <v>24</v>
      </c>
      <c r="N34" s="1262">
        <f>VLOOKUP(C34,TONGHOPCONGDOI!$C$11:$W$91,21,0)</f>
        <v>2</v>
      </c>
      <c r="O34" s="1262">
        <f>VLOOKUP(C34,TONGHOPCONGDOI!$C$11:$AD$93,22,0)</f>
        <v>0</v>
      </c>
      <c r="P34" s="1262">
        <f>VLOOKUP(C34,TONGHOPCONGDOI!$C$11:$AD$93,23,0)</f>
        <v>2</v>
      </c>
      <c r="Q34" s="1262">
        <f>VLOOKUP(C34,TONGHOPCONGDOI!$C$11:$AD$93,24,0)</f>
        <v>0</v>
      </c>
      <c r="R34" s="1262">
        <f>VLOOKUP(C34,TONGHOPCONGDOI!$C$11:$AD$93,25,0)</f>
        <v>0</v>
      </c>
      <c r="S34" s="1262"/>
      <c r="T34" s="1262">
        <f t="shared" si="2"/>
        <v>2</v>
      </c>
      <c r="U34" s="1263"/>
      <c r="V34" s="1263"/>
      <c r="W34" s="890">
        <f t="shared" si="6"/>
        <v>1251618</v>
      </c>
      <c r="X34" s="1262">
        <f t="shared" si="0"/>
        <v>8352509</v>
      </c>
      <c r="Y34" s="1262"/>
      <c r="Z34" s="1262">
        <f>VLOOKUP(C34,'CNKT '!D34:AA98,24,0)</f>
        <v>8352509</v>
      </c>
      <c r="AA34" s="1258">
        <f t="shared" si="3"/>
        <v>0</v>
      </c>
    </row>
    <row r="35" spans="1:27" s="1258" customFormat="1" ht="50.25" customHeight="1">
      <c r="A35" s="1259">
        <v>20</v>
      </c>
      <c r="B35" s="1259" t="str">
        <f>'Chấm công KT'!C32</f>
        <v>03473</v>
      </c>
      <c r="C35" s="1262" t="str">
        <f>TONGHOPCONGDOI!C30</f>
        <v>N. Me Kha La</v>
      </c>
      <c r="D35" s="1262"/>
      <c r="E35" s="1263"/>
      <c r="F35" s="1262">
        <f t="shared" si="1"/>
        <v>0</v>
      </c>
      <c r="G35" s="1262">
        <f>VLOOKUP(C35,TONGHOPCONGDOI!C30:AE94,16,0)</f>
        <v>3609</v>
      </c>
      <c r="H35" s="1262">
        <f>VLOOKUP(C35,TONGHOPCONGDOI!C30:AE94,17,0)</f>
        <v>0</v>
      </c>
      <c r="I35" s="1262"/>
      <c r="J35" s="888">
        <f t="shared" si="4"/>
        <v>1541.5440413685283</v>
      </c>
      <c r="K35" s="1259" t="str">
        <f>VLOOKUP(C35,'BTH mủ tạp'!D36:AN114,37,0)</f>
        <v>A</v>
      </c>
      <c r="L35" s="889">
        <f t="shared" si="5"/>
        <v>6307437</v>
      </c>
      <c r="M35" s="1262">
        <f>VLOOKUP(C35,TONGHOPCONGDOI!$C$11:$V$91,20,0)</f>
        <v>25</v>
      </c>
      <c r="N35" s="1262">
        <f>VLOOKUP(C35,TONGHOPCONGDOI!$C$11:$W$91,21,0)</f>
        <v>2</v>
      </c>
      <c r="O35" s="1262">
        <f>VLOOKUP(C35,TONGHOPCONGDOI!$C$11:$AD$93,22,0)</f>
        <v>0</v>
      </c>
      <c r="P35" s="1262">
        <f>VLOOKUP(C35,TONGHOPCONGDOI!$C$11:$AD$93,23,0)</f>
        <v>2</v>
      </c>
      <c r="Q35" s="1262">
        <f>VLOOKUP(C35,TONGHOPCONGDOI!$C$11:$AD$93,24,0)</f>
        <v>0</v>
      </c>
      <c r="R35" s="1262">
        <f>VLOOKUP(C35,TONGHOPCONGDOI!$C$11:$AD$93,25,0)</f>
        <v>0</v>
      </c>
      <c r="S35" s="1262"/>
      <c r="T35" s="1262">
        <f t="shared" si="2"/>
        <v>2</v>
      </c>
      <c r="U35" s="1263"/>
      <c r="V35" s="1263"/>
      <c r="W35" s="890">
        <f t="shared" si="6"/>
        <v>1282540</v>
      </c>
      <c r="X35" s="1262">
        <f t="shared" si="0"/>
        <v>7589977</v>
      </c>
      <c r="Y35" s="1262"/>
      <c r="Z35" s="1262">
        <f>VLOOKUP(C35,'CNKT '!D35:AA98,24,0)</f>
        <v>7589977</v>
      </c>
      <c r="AA35" s="1258">
        <f t="shared" si="3"/>
        <v>0</v>
      </c>
    </row>
    <row r="36" spans="1:27" s="1258" customFormat="1" ht="50.25" customHeight="1">
      <c r="A36" s="1259">
        <v>21</v>
      </c>
      <c r="B36" s="1259" t="str">
        <f>'Chấm công KT'!C33</f>
        <v>03474</v>
      </c>
      <c r="C36" s="1262" t="str">
        <f>TONGHOPCONGDOI!C31</f>
        <v>N. Mon Khăm</v>
      </c>
      <c r="D36" s="1262"/>
      <c r="E36" s="1263"/>
      <c r="F36" s="1262">
        <f t="shared" si="1"/>
        <v>0</v>
      </c>
      <c r="G36" s="1262">
        <f>VLOOKUP(C36,TONGHOPCONGDOI!C31:AE94,16,0)</f>
        <v>3808</v>
      </c>
      <c r="H36" s="1262">
        <f>VLOOKUP(C36,TONGHOPCONGDOI!C31:AE94,17,0)</f>
        <v>0</v>
      </c>
      <c r="I36" s="1262"/>
      <c r="J36" s="888">
        <f t="shared" si="4"/>
        <v>1626.5446687534929</v>
      </c>
      <c r="K36" s="1259" t="str">
        <f>VLOOKUP(C36,'BTH mủ tạp'!D37:AN115,37,0)</f>
        <v>A</v>
      </c>
      <c r="L36" s="889">
        <f t="shared" si="5"/>
        <v>6655229</v>
      </c>
      <c r="M36" s="1262">
        <f>VLOOKUP(C36,TONGHOPCONGDOI!$C$11:$V$91,20,0)</f>
        <v>24</v>
      </c>
      <c r="N36" s="1262">
        <f>VLOOKUP(C36,TONGHOPCONGDOI!$C$11:$W$91,21,0)</f>
        <v>2</v>
      </c>
      <c r="O36" s="1262">
        <f>VLOOKUP(C36,TONGHOPCONGDOI!$C$11:$AD$93,22,0)</f>
        <v>0</v>
      </c>
      <c r="P36" s="1262">
        <f>VLOOKUP(C36,TONGHOPCONGDOI!$C$11:$AD$93,23,0)</f>
        <v>2</v>
      </c>
      <c r="Q36" s="1262">
        <f>VLOOKUP(C36,TONGHOPCONGDOI!$C$11:$AD$93,24,0)</f>
        <v>0</v>
      </c>
      <c r="R36" s="1262">
        <f>VLOOKUP(C36,TONGHOPCONGDOI!$C$11:$AD$93,25,0)</f>
        <v>0</v>
      </c>
      <c r="S36" s="1262"/>
      <c r="T36" s="1262">
        <f t="shared" si="2"/>
        <v>2</v>
      </c>
      <c r="U36" s="1263"/>
      <c r="V36" s="1263"/>
      <c r="W36" s="890">
        <f t="shared" si="6"/>
        <v>1251618</v>
      </c>
      <c r="X36" s="1262">
        <f t="shared" si="0"/>
        <v>7906847</v>
      </c>
      <c r="Y36" s="1262"/>
      <c r="Z36" s="1262">
        <f>VLOOKUP(C36,'CNKT '!D36:AA98,24,0)</f>
        <v>7906847</v>
      </c>
      <c r="AA36" s="1258">
        <f t="shared" si="3"/>
        <v>0</v>
      </c>
    </row>
    <row r="37" spans="1:27" s="1258" customFormat="1" ht="50.25" customHeight="1">
      <c r="A37" s="1259">
        <v>22</v>
      </c>
      <c r="B37" s="1259">
        <f>'Chấm công KT'!C34</f>
        <v>0</v>
      </c>
      <c r="C37" s="1262" t="str">
        <f>TONGHOPCONGDOI!C32</f>
        <v>N.Choi</v>
      </c>
      <c r="D37" s="1262"/>
      <c r="E37" s="1263"/>
      <c r="F37" s="1262">
        <f t="shared" si="1"/>
        <v>0</v>
      </c>
      <c r="G37" s="1262">
        <f>VLOOKUP(C37,TONGHOPCONGDOI!C32:AE94,16,0)</f>
        <v>3490</v>
      </c>
      <c r="H37" s="1262">
        <f>VLOOKUP(C37,TONGHOPCONGDOI!C32:AE94,17,0)</f>
        <v>0</v>
      </c>
      <c r="I37" s="1262"/>
      <c r="J37" s="888">
        <f t="shared" si="4"/>
        <v>1490.7145204699818</v>
      </c>
      <c r="K37" s="1259" t="str">
        <f>VLOOKUP(C37,'BTH mủ tạp'!D38:AN116,37,0)</f>
        <v>A</v>
      </c>
      <c r="L37" s="889">
        <f t="shared" si="5"/>
        <v>6099461</v>
      </c>
      <c r="M37" s="1262">
        <f>VLOOKUP(C37,TONGHOPCONGDOI!$C$11:$V$91,20,0)</f>
        <v>26</v>
      </c>
      <c r="N37" s="1262">
        <f>VLOOKUP(C37,TONGHOPCONGDOI!$C$11:$W$91,21,0)</f>
        <v>2</v>
      </c>
      <c r="O37" s="1262">
        <f>VLOOKUP(C37,TONGHOPCONGDOI!$C$11:$AD$93,22,0)</f>
        <v>0</v>
      </c>
      <c r="P37" s="1262">
        <f>VLOOKUP(C37,TONGHOPCONGDOI!$C$11:$AD$93,23,0)</f>
        <v>2</v>
      </c>
      <c r="Q37" s="1262">
        <f>VLOOKUP(C37,TONGHOPCONGDOI!$C$11:$AD$93,24,0)</f>
        <v>0</v>
      </c>
      <c r="R37" s="1262">
        <f>VLOOKUP(C37,TONGHOPCONGDOI!$C$11:$AD$93,25,0)</f>
        <v>0</v>
      </c>
      <c r="S37" s="1262"/>
      <c r="T37" s="1262">
        <f t="shared" si="2"/>
        <v>2</v>
      </c>
      <c r="U37" s="1263"/>
      <c r="V37" s="1263"/>
      <c r="W37" s="890">
        <f t="shared" si="6"/>
        <v>1313462</v>
      </c>
      <c r="X37" s="1262">
        <f t="shared" si="0"/>
        <v>7412923</v>
      </c>
      <c r="Y37" s="1262"/>
      <c r="Z37" s="1262">
        <f>VLOOKUP(C37,'CNKT '!D37:AA98,24,0)</f>
        <v>7412923</v>
      </c>
      <c r="AA37" s="1258">
        <f t="shared" si="3"/>
        <v>0</v>
      </c>
    </row>
    <row r="38" spans="1:27" s="1258" customFormat="1" ht="50.25" customHeight="1">
      <c r="A38" s="1259">
        <v>23</v>
      </c>
      <c r="B38" s="1259" t="str">
        <f>'Chấm công KT'!C35</f>
        <v>03476</v>
      </c>
      <c r="C38" s="1262" t="str">
        <f>TONGHOPCONGDOI!C33</f>
        <v>T. Bin Ly.</v>
      </c>
      <c r="D38" s="1262"/>
      <c r="E38" s="1263"/>
      <c r="F38" s="1262">
        <f t="shared" si="1"/>
        <v>0</v>
      </c>
      <c r="G38" s="1262">
        <f>VLOOKUP(C38,TONGHOPCONGDOI!C33:AE94,16,0)</f>
        <v>4267</v>
      </c>
      <c r="H38" s="1262">
        <f>VLOOKUP(C38,TONGHOPCONGDOI!C33:AE94,17,0)</f>
        <v>0</v>
      </c>
      <c r="I38" s="1262"/>
      <c r="J38" s="888">
        <f t="shared" si="4"/>
        <v>1822.6013922193158</v>
      </c>
      <c r="K38" s="1259" t="str">
        <f>VLOOKUP(C38,'BTH mủ tạp'!D39:AN117,37,0)</f>
        <v>A</v>
      </c>
      <c r="L38" s="889">
        <f t="shared" si="5"/>
        <v>7457421</v>
      </c>
      <c r="M38" s="1262">
        <f>VLOOKUP(C38,TONGHOPCONGDOI!$C$11:$V$91,20,0)</f>
        <v>26</v>
      </c>
      <c r="N38" s="1262">
        <f>VLOOKUP(C38,TONGHOPCONGDOI!$C$11:$W$91,21,0)</f>
        <v>2</v>
      </c>
      <c r="O38" s="1262">
        <f>VLOOKUP(C38,TONGHOPCONGDOI!$C$11:$AD$93,22,0)</f>
        <v>0</v>
      </c>
      <c r="P38" s="1262">
        <f>VLOOKUP(C38,TONGHOPCONGDOI!$C$11:$AD$93,23,0)</f>
        <v>2</v>
      </c>
      <c r="Q38" s="1262">
        <f>VLOOKUP(C38,TONGHOPCONGDOI!$C$11:$AD$93,24,0)</f>
        <v>0</v>
      </c>
      <c r="R38" s="1262">
        <f>VLOOKUP(C38,TONGHOPCONGDOI!$C$11:$AD$93,25,0)</f>
        <v>0</v>
      </c>
      <c r="S38" s="1262"/>
      <c r="T38" s="1262">
        <f t="shared" si="2"/>
        <v>2</v>
      </c>
      <c r="U38" s="1263"/>
      <c r="V38" s="1263"/>
      <c r="W38" s="890">
        <f t="shared" si="6"/>
        <v>1313462</v>
      </c>
      <c r="X38" s="1262">
        <f t="shared" si="0"/>
        <v>8770883</v>
      </c>
      <c r="Y38" s="1262"/>
      <c r="Z38" s="1262">
        <f>VLOOKUP(C38,'CNKT '!D38:AA98,24,0)</f>
        <v>8770883</v>
      </c>
      <c r="AA38" s="1258">
        <f t="shared" si="3"/>
        <v>0</v>
      </c>
    </row>
    <row r="39" spans="1:27" s="1258" customFormat="1" ht="50.25" customHeight="1">
      <c r="A39" s="1259">
        <v>24</v>
      </c>
      <c r="B39" s="1259">
        <f>'Chấm công KT'!C36</f>
        <v>0</v>
      </c>
      <c r="C39" s="1262" t="str">
        <f>TONGHOPCONGDOI!C34</f>
        <v>N. Tinh</v>
      </c>
      <c r="D39" s="1262"/>
      <c r="E39" s="1263"/>
      <c r="F39" s="1262">
        <f t="shared" si="1"/>
        <v>0</v>
      </c>
      <c r="G39" s="1262">
        <f>VLOOKUP(C39,TONGHOPCONGDOI!C34:AE94,16,0)</f>
        <v>3721</v>
      </c>
      <c r="H39" s="1262">
        <f>VLOOKUP(C39,TONGHOPCONGDOI!C34:AE94,17,0)</f>
        <v>0</v>
      </c>
      <c r="I39" s="1262"/>
      <c r="J39" s="888">
        <f t="shared" si="4"/>
        <v>1589.3835904495136</v>
      </c>
      <c r="K39" s="1259" t="str">
        <f>VLOOKUP(C39,'BTH mủ tạp'!D40:AN118,37,0)</f>
        <v>A</v>
      </c>
      <c r="L39" s="889">
        <f t="shared" si="5"/>
        <v>6503179</v>
      </c>
      <c r="M39" s="1262">
        <f>VLOOKUP(C39,TONGHOPCONGDOI!$C$11:$V$91,20,0)</f>
        <v>26</v>
      </c>
      <c r="N39" s="1262">
        <f>VLOOKUP(C39,TONGHOPCONGDOI!$C$11:$W$91,21,0)</f>
        <v>2</v>
      </c>
      <c r="O39" s="1262">
        <f>VLOOKUP(C39,TONGHOPCONGDOI!$C$11:$AD$93,22,0)</f>
        <v>0</v>
      </c>
      <c r="P39" s="1262">
        <f>VLOOKUP(C39,TONGHOPCONGDOI!$C$11:$AD$93,23,0)</f>
        <v>2</v>
      </c>
      <c r="Q39" s="1262">
        <f>VLOOKUP(C39,TONGHOPCONGDOI!$C$11:$AD$93,24,0)</f>
        <v>0</v>
      </c>
      <c r="R39" s="1262">
        <f>VLOOKUP(C39,TONGHOPCONGDOI!$C$11:$AD$93,25,0)</f>
        <v>0</v>
      </c>
      <c r="S39" s="1262"/>
      <c r="T39" s="1262">
        <f t="shared" si="2"/>
        <v>2</v>
      </c>
      <c r="U39" s="1263"/>
      <c r="V39" s="1263"/>
      <c r="W39" s="890">
        <f t="shared" si="6"/>
        <v>1313462</v>
      </c>
      <c r="X39" s="1262">
        <f t="shared" si="0"/>
        <v>7816641</v>
      </c>
      <c r="Y39" s="1262"/>
      <c r="Z39" s="1262">
        <f>VLOOKUP(C39,'CNKT '!D39:AA98,24,0)</f>
        <v>7816641</v>
      </c>
      <c r="AA39" s="1258">
        <f t="shared" si="3"/>
        <v>0</v>
      </c>
    </row>
    <row r="40" spans="1:27" s="1258" customFormat="1" ht="50.25" customHeight="1">
      <c r="A40" s="1259">
        <v>25</v>
      </c>
      <c r="B40" s="1259" t="str">
        <f>'Chấm công KT'!C37</f>
        <v>03478</v>
      </c>
      <c r="C40" s="1262" t="str">
        <f>TONGHOPCONGDOI!C35</f>
        <v>N. Nong</v>
      </c>
      <c r="D40" s="1262"/>
      <c r="E40" s="1263"/>
      <c r="F40" s="1262">
        <f t="shared" si="1"/>
        <v>0</v>
      </c>
      <c r="G40" s="1262">
        <f>VLOOKUP(C40,TONGHOPCONGDOI!C35:AE94,16,0)</f>
        <v>4018</v>
      </c>
      <c r="H40" s="1262">
        <f>VLOOKUP(C40,TONGHOPCONGDOI!C35:AE94,17,0)</f>
        <v>0</v>
      </c>
      <c r="I40" s="1262"/>
      <c r="J40" s="888">
        <f t="shared" si="4"/>
        <v>1716.2438232803399</v>
      </c>
      <c r="K40" s="1259" t="str">
        <f>VLOOKUP(C40,'BTH mủ tạp'!D41:AN119,37,0)</f>
        <v>B</v>
      </c>
      <c r="L40" s="889">
        <f t="shared" si="5"/>
        <v>6676889</v>
      </c>
      <c r="M40" s="1262">
        <f>VLOOKUP(C40,TONGHOPCONGDOI!$C$11:$V$91,20,0)</f>
        <v>26</v>
      </c>
      <c r="N40" s="1262">
        <f>VLOOKUP(C40,TONGHOPCONGDOI!$C$11:$W$91,21,0)</f>
        <v>2</v>
      </c>
      <c r="O40" s="1262">
        <f>VLOOKUP(C40,TONGHOPCONGDOI!$C$11:$AD$93,22,0)</f>
        <v>0</v>
      </c>
      <c r="P40" s="1262">
        <f>VLOOKUP(C40,TONGHOPCONGDOI!$C$11:$AD$93,23,0)</f>
        <v>2</v>
      </c>
      <c r="Q40" s="1262">
        <f>VLOOKUP(C40,TONGHOPCONGDOI!$C$11:$AD$93,24,0)</f>
        <v>0</v>
      </c>
      <c r="R40" s="1262">
        <f>VLOOKUP(C40,TONGHOPCONGDOI!$C$11:$AD$93,25,0)</f>
        <v>0</v>
      </c>
      <c r="S40" s="1262"/>
      <c r="T40" s="1262">
        <f t="shared" si="2"/>
        <v>2</v>
      </c>
      <c r="U40" s="1263"/>
      <c r="V40" s="1263"/>
      <c r="W40" s="890">
        <f t="shared" si="6"/>
        <v>1313462</v>
      </c>
      <c r="X40" s="1262">
        <f t="shared" si="0"/>
        <v>7990351</v>
      </c>
      <c r="Y40" s="1262"/>
      <c r="Z40" s="1262">
        <f>VLOOKUP(C40,'CNKT '!D40:AA98,24,0)</f>
        <v>7990351</v>
      </c>
      <c r="AA40" s="1258">
        <f t="shared" si="3"/>
        <v>0</v>
      </c>
    </row>
    <row r="41" spans="1:27" s="1258" customFormat="1" ht="50.25" customHeight="1">
      <c r="A41" s="1259">
        <v>26</v>
      </c>
      <c r="B41" s="1259" t="str">
        <f>'Chấm công KT'!C38</f>
        <v>03479</v>
      </c>
      <c r="C41" s="1262" t="str">
        <f>TONGHOPCONGDOI!C36</f>
        <v>N. Tun 1</v>
      </c>
      <c r="D41" s="1262"/>
      <c r="E41" s="1263"/>
      <c r="F41" s="1262">
        <f t="shared" si="1"/>
        <v>0</v>
      </c>
      <c r="G41" s="1262">
        <f>VLOOKUP(C41,TONGHOPCONGDOI!C36:AE94,16,0)</f>
        <v>4131</v>
      </c>
      <c r="H41" s="1262">
        <f>VLOOKUP(C41,TONGHOPCONGDOI!C36:AE94,17,0)</f>
        <v>0</v>
      </c>
      <c r="I41" s="1262"/>
      <c r="J41" s="888">
        <f t="shared" si="4"/>
        <v>1764.5105111924054</v>
      </c>
      <c r="K41" s="1259" t="str">
        <f>VLOOKUP(C41,'BTH mủ tạp'!D42:AN120,37,0)</f>
        <v>A</v>
      </c>
      <c r="L41" s="889">
        <f t="shared" si="5"/>
        <v>7219735</v>
      </c>
      <c r="M41" s="1262">
        <f>VLOOKUP(C41,TONGHOPCONGDOI!$C$11:$V$91,20,0)</f>
        <v>26</v>
      </c>
      <c r="N41" s="1262">
        <f>VLOOKUP(C41,TONGHOPCONGDOI!$C$11:$W$91,21,0)</f>
        <v>2</v>
      </c>
      <c r="O41" s="1262">
        <f>VLOOKUP(C41,TONGHOPCONGDOI!$C$11:$AD$93,22,0)</f>
        <v>0</v>
      </c>
      <c r="P41" s="1262">
        <f>VLOOKUP(C41,TONGHOPCONGDOI!$C$11:$AD$93,23,0)</f>
        <v>2</v>
      </c>
      <c r="Q41" s="1262">
        <f>VLOOKUP(C41,TONGHOPCONGDOI!$C$11:$AD$93,24,0)</f>
        <v>0</v>
      </c>
      <c r="R41" s="1262">
        <f>VLOOKUP(C41,TONGHOPCONGDOI!$C$11:$AD$93,25,0)</f>
        <v>0</v>
      </c>
      <c r="S41" s="1262"/>
      <c r="T41" s="1262">
        <f t="shared" si="2"/>
        <v>2</v>
      </c>
      <c r="U41" s="1263"/>
      <c r="V41" s="1263"/>
      <c r="W41" s="890">
        <f t="shared" si="6"/>
        <v>1313462</v>
      </c>
      <c r="X41" s="1262">
        <f t="shared" si="0"/>
        <v>8533197</v>
      </c>
      <c r="Y41" s="1262"/>
      <c r="Z41" s="1262">
        <f>VLOOKUP(C41,'CNKT '!D41:AA98,24,0)</f>
        <v>8533197</v>
      </c>
      <c r="AA41" s="1258">
        <f t="shared" si="3"/>
        <v>0</v>
      </c>
    </row>
    <row r="42" spans="1:27" s="1258" customFormat="1" ht="50.25" customHeight="1">
      <c r="A42" s="1259">
        <v>27</v>
      </c>
      <c r="B42" s="1259" t="str">
        <f>'Chấm công KT'!C39</f>
        <v>03480</v>
      </c>
      <c r="C42" s="1262" t="str">
        <f>TONGHOPCONGDOI!C37</f>
        <v>T . Lốc</v>
      </c>
      <c r="D42" s="1262"/>
      <c r="E42" s="1263"/>
      <c r="F42" s="1262">
        <f t="shared" si="1"/>
        <v>0</v>
      </c>
      <c r="G42" s="1262">
        <f>VLOOKUP(C42,TONGHOPCONGDOI!C37:AE94,16,0)</f>
        <v>4118</v>
      </c>
      <c r="H42" s="1262">
        <f>VLOOKUP(C42,TONGHOPCONGDOI!C37:AE94,17,0)</f>
        <v>0</v>
      </c>
      <c r="I42" s="1262"/>
      <c r="J42" s="888">
        <f t="shared" si="4"/>
        <v>1758.9577063883623</v>
      </c>
      <c r="K42" s="1259" t="str">
        <f>VLOOKUP(C42,'BTH mủ tạp'!D43:AN121,37,0)</f>
        <v>A</v>
      </c>
      <c r="L42" s="889">
        <f t="shared" si="5"/>
        <v>7197015</v>
      </c>
      <c r="M42" s="1262">
        <f>VLOOKUP(C42,TONGHOPCONGDOI!$C$11:$V$91,20,0)</f>
        <v>26</v>
      </c>
      <c r="N42" s="1262">
        <f>VLOOKUP(C42,TONGHOPCONGDOI!$C$11:$W$91,21,0)</f>
        <v>2</v>
      </c>
      <c r="O42" s="1262">
        <f>VLOOKUP(C42,TONGHOPCONGDOI!$C$11:$AD$93,22,0)</f>
        <v>0</v>
      </c>
      <c r="P42" s="1262">
        <f>VLOOKUP(C42,TONGHOPCONGDOI!$C$11:$AD$93,23,0)</f>
        <v>2</v>
      </c>
      <c r="Q42" s="1262">
        <f>VLOOKUP(C42,TONGHOPCONGDOI!$C$11:$AD$93,24,0)</f>
        <v>0</v>
      </c>
      <c r="R42" s="1262">
        <f>VLOOKUP(C42,TONGHOPCONGDOI!$C$11:$AD$93,25,0)</f>
        <v>0</v>
      </c>
      <c r="S42" s="1262"/>
      <c r="T42" s="1262">
        <f t="shared" si="2"/>
        <v>2</v>
      </c>
      <c r="U42" s="1263"/>
      <c r="V42" s="1263"/>
      <c r="W42" s="890">
        <f t="shared" si="6"/>
        <v>1313462</v>
      </c>
      <c r="X42" s="1262">
        <f t="shared" si="0"/>
        <v>8510477</v>
      </c>
      <c r="Y42" s="1262"/>
      <c r="Z42" s="1262">
        <f>VLOOKUP(C42,'CNKT '!D42:AA98,24,0)</f>
        <v>8510477</v>
      </c>
      <c r="AA42" s="1258">
        <f t="shared" si="3"/>
        <v>0</v>
      </c>
    </row>
    <row r="43" spans="1:27" s="1258" customFormat="1" ht="50.25" customHeight="1">
      <c r="A43" s="1259">
        <v>28</v>
      </c>
      <c r="B43" s="1259" t="str">
        <f>'Chấm công KT'!C40</f>
        <v>03481</v>
      </c>
      <c r="C43" s="1262" t="str">
        <f>TONGHOPCONGDOI!C38</f>
        <v>N . Khâm (1)</v>
      </c>
      <c r="D43" s="1262"/>
      <c r="E43" s="1263"/>
      <c r="F43" s="1262">
        <f t="shared" si="1"/>
        <v>0</v>
      </c>
      <c r="G43" s="1262">
        <f>VLOOKUP(C43,TONGHOPCONGDOI!C38:AE94,16,0)</f>
        <v>4380</v>
      </c>
      <c r="H43" s="1262">
        <f>VLOOKUP(C43,TONGHOPCONGDOI!C38:AE94,17,0)</f>
        <v>0</v>
      </c>
      <c r="I43" s="1262"/>
      <c r="J43" s="888">
        <f t="shared" si="4"/>
        <v>1870.868080131381</v>
      </c>
      <c r="K43" s="1259" t="str">
        <f>VLOOKUP(C43,'BTH mủ tạp'!D44:AN122,37,0)</f>
        <v>A</v>
      </c>
      <c r="L43" s="889">
        <f t="shared" si="5"/>
        <v>7654911</v>
      </c>
      <c r="M43" s="1262">
        <f>VLOOKUP(C43,TONGHOPCONGDOI!$C$11:$V$91,20,0)</f>
        <v>24</v>
      </c>
      <c r="N43" s="1262">
        <f>VLOOKUP(C43,TONGHOPCONGDOI!$C$11:$W$91,21,0)</f>
        <v>2</v>
      </c>
      <c r="O43" s="1262">
        <f>VLOOKUP(C43,TONGHOPCONGDOI!$C$11:$AD$93,22,0)</f>
        <v>0</v>
      </c>
      <c r="P43" s="1262">
        <f>VLOOKUP(C43,TONGHOPCONGDOI!$C$11:$AD$93,23,0)</f>
        <v>2</v>
      </c>
      <c r="Q43" s="1262">
        <f>VLOOKUP(C43,TONGHOPCONGDOI!$C$11:$AD$93,24,0)</f>
        <v>0</v>
      </c>
      <c r="R43" s="1262">
        <f>VLOOKUP(C43,TONGHOPCONGDOI!$C$11:$AD$93,25,0)</f>
        <v>0</v>
      </c>
      <c r="S43" s="1262"/>
      <c r="T43" s="1262">
        <f t="shared" si="2"/>
        <v>2</v>
      </c>
      <c r="U43" s="1263"/>
      <c r="V43" s="1263"/>
      <c r="W43" s="890">
        <f t="shared" si="6"/>
        <v>1251618</v>
      </c>
      <c r="X43" s="1262">
        <f t="shared" si="0"/>
        <v>8906529</v>
      </c>
      <c r="Y43" s="1262"/>
      <c r="Z43" s="1262">
        <f>VLOOKUP(C43,'CNKT '!D43:AA98,24,0)</f>
        <v>8906529</v>
      </c>
      <c r="AA43" s="1258">
        <f t="shared" si="3"/>
        <v>0</v>
      </c>
    </row>
    <row r="44" spans="1:27" s="1258" customFormat="1" ht="50.25" customHeight="1">
      <c r="A44" s="1259">
        <v>29</v>
      </c>
      <c r="B44" s="1259" t="str">
        <f>'Chấm công KT'!C41</f>
        <v>03482</v>
      </c>
      <c r="C44" s="1262" t="str">
        <f>TONGHOPCONGDOI!C39</f>
        <v>T . Phết</v>
      </c>
      <c r="D44" s="1262"/>
      <c r="E44" s="1263"/>
      <c r="F44" s="1262">
        <f t="shared" si="1"/>
        <v>0</v>
      </c>
      <c r="G44" s="1262">
        <f>VLOOKUP(C44,TONGHOPCONGDOI!C39:AE94,16,0)</f>
        <v>4288</v>
      </c>
      <c r="H44" s="1262">
        <f>VLOOKUP(C44,TONGHOPCONGDOI!C39:AE94,17,0)</f>
        <v>0</v>
      </c>
      <c r="I44" s="1262"/>
      <c r="J44" s="888">
        <f t="shared" si="4"/>
        <v>1831.5713076720006</v>
      </c>
      <c r="K44" s="1259" t="str">
        <f>VLOOKUP(C44,'BTH mủ tạp'!D45:AN123,37,0)</f>
        <v>A</v>
      </c>
      <c r="L44" s="889">
        <f t="shared" si="5"/>
        <v>7494123</v>
      </c>
      <c r="M44" s="1262">
        <f>VLOOKUP(C44,TONGHOPCONGDOI!$C$11:$V$91,20,0)</f>
        <v>24</v>
      </c>
      <c r="N44" s="1262">
        <f>VLOOKUP(C44,TONGHOPCONGDOI!$C$11:$W$91,21,0)</f>
        <v>2</v>
      </c>
      <c r="O44" s="1262">
        <f>VLOOKUP(C44,TONGHOPCONGDOI!$C$11:$AD$93,22,0)</f>
        <v>0</v>
      </c>
      <c r="P44" s="1262">
        <f>VLOOKUP(C44,TONGHOPCONGDOI!$C$11:$AD$93,23,0)</f>
        <v>2</v>
      </c>
      <c r="Q44" s="1262">
        <f>VLOOKUP(C44,TONGHOPCONGDOI!$C$11:$AD$93,24,0)</f>
        <v>0</v>
      </c>
      <c r="R44" s="1262">
        <f>VLOOKUP(C44,TONGHOPCONGDOI!$C$11:$AD$93,25,0)</f>
        <v>0</v>
      </c>
      <c r="S44" s="1262"/>
      <c r="T44" s="1262">
        <f t="shared" si="2"/>
        <v>2</v>
      </c>
      <c r="U44" s="1263"/>
      <c r="V44" s="1263"/>
      <c r="W44" s="890">
        <f t="shared" si="6"/>
        <v>1251618</v>
      </c>
      <c r="X44" s="1262">
        <f t="shared" si="0"/>
        <v>8745741</v>
      </c>
      <c r="Y44" s="1262"/>
      <c r="Z44" s="1262">
        <f>VLOOKUP(C44,'CNKT '!D44:AA98,24,0)</f>
        <v>8745741</v>
      </c>
      <c r="AA44" s="1258">
        <f t="shared" si="3"/>
        <v>0</v>
      </c>
    </row>
    <row r="45" spans="1:27" s="1258" customFormat="1" ht="50.25" customHeight="1">
      <c r="A45" s="1259">
        <v>30</v>
      </c>
      <c r="B45" s="1259" t="str">
        <f>'Chấm công KT'!C42</f>
        <v>03483</v>
      </c>
      <c r="C45" s="1262" t="str">
        <f>TONGHOPCONGDOI!C40</f>
        <v>T. Viêng Sa Văn</v>
      </c>
      <c r="D45" s="1262"/>
      <c r="E45" s="1263"/>
      <c r="F45" s="1262">
        <f t="shared" si="1"/>
        <v>0</v>
      </c>
      <c r="G45" s="1262">
        <f>VLOOKUP(C45,TONGHOPCONGDOI!C40:AE94,16,0)</f>
        <v>4448</v>
      </c>
      <c r="H45" s="1262">
        <f>VLOOKUP(C45,TONGHOPCONGDOI!C40:AE94,17,0)</f>
        <v>0</v>
      </c>
      <c r="I45" s="1262"/>
      <c r="J45" s="888">
        <f t="shared" si="4"/>
        <v>1899.9135206448364</v>
      </c>
      <c r="K45" s="1259" t="str">
        <f>VLOOKUP(C45,'BTH mủ tạp'!D46:AN124,37,0)</f>
        <v>A</v>
      </c>
      <c r="L45" s="889">
        <f t="shared" si="5"/>
        <v>7773755</v>
      </c>
      <c r="M45" s="1262">
        <f>VLOOKUP(C45,TONGHOPCONGDOI!$C$11:$V$91,20,0)</f>
        <v>25</v>
      </c>
      <c r="N45" s="1262">
        <f>VLOOKUP(C45,TONGHOPCONGDOI!$C$11:$W$91,21,0)</f>
        <v>2</v>
      </c>
      <c r="O45" s="1262">
        <f>VLOOKUP(C45,TONGHOPCONGDOI!$C$11:$AD$93,22,0)</f>
        <v>0</v>
      </c>
      <c r="P45" s="1262">
        <f>VLOOKUP(C45,TONGHOPCONGDOI!$C$11:$AD$93,23,0)</f>
        <v>2</v>
      </c>
      <c r="Q45" s="1262">
        <f>VLOOKUP(C45,TONGHOPCONGDOI!$C$11:$AD$93,24,0)</f>
        <v>0</v>
      </c>
      <c r="R45" s="1262">
        <f>VLOOKUP(C45,TONGHOPCONGDOI!$C$11:$AD$93,25,0)</f>
        <v>0</v>
      </c>
      <c r="S45" s="1262"/>
      <c r="T45" s="1262">
        <f t="shared" si="2"/>
        <v>2</v>
      </c>
      <c r="U45" s="1263"/>
      <c r="V45" s="1263"/>
      <c r="W45" s="890">
        <f t="shared" si="6"/>
        <v>1282540</v>
      </c>
      <c r="X45" s="1262">
        <f t="shared" si="0"/>
        <v>9056295</v>
      </c>
      <c r="Y45" s="1262"/>
      <c r="Z45" s="1262">
        <f>VLOOKUP(C45,'CNKT '!D45:AA98,24,0)</f>
        <v>9056295</v>
      </c>
      <c r="AA45" s="1258">
        <f t="shared" si="3"/>
        <v>0</v>
      </c>
    </row>
    <row r="46" spans="1:27" s="1258" customFormat="1" ht="50.25" customHeight="1">
      <c r="A46" s="1259">
        <v>31</v>
      </c>
      <c r="B46" s="1259" t="str">
        <f>'Chấm công KT'!C43</f>
        <v>03484</v>
      </c>
      <c r="C46" s="1262" t="str">
        <f>TONGHOPCONGDOI!C41</f>
        <v>T. Ca Te</v>
      </c>
      <c r="D46" s="1262"/>
      <c r="E46" s="1263"/>
      <c r="F46" s="1262">
        <f t="shared" si="1"/>
        <v>0</v>
      </c>
      <c r="G46" s="1262">
        <f>VLOOKUP(C46,TONGHOPCONGDOI!C41:AE94,16,0)</f>
        <v>4236</v>
      </c>
      <c r="H46" s="1262">
        <f>VLOOKUP(C46,TONGHOPCONGDOI!C41:AE94,17,0)</f>
        <v>0</v>
      </c>
      <c r="I46" s="1262"/>
      <c r="J46" s="888">
        <f t="shared" si="4"/>
        <v>1809.3600884558289</v>
      </c>
      <c r="K46" s="1259" t="str">
        <f>VLOOKUP(C46,'BTH mủ tạp'!D47:AN125,37,0)</f>
        <v>A</v>
      </c>
      <c r="L46" s="889">
        <f t="shared" si="5"/>
        <v>7403243</v>
      </c>
      <c r="M46" s="1262">
        <f>VLOOKUP(C46,TONGHOPCONGDOI!$C$11:$V$91,20,0)</f>
        <v>26</v>
      </c>
      <c r="N46" s="1262">
        <f>VLOOKUP(C46,TONGHOPCONGDOI!$C$11:$W$91,21,0)</f>
        <v>2</v>
      </c>
      <c r="O46" s="1262">
        <f>VLOOKUP(C46,TONGHOPCONGDOI!$C$11:$AD$93,22,0)</f>
        <v>0</v>
      </c>
      <c r="P46" s="1262">
        <f>VLOOKUP(C46,TONGHOPCONGDOI!$C$11:$AD$93,23,0)</f>
        <v>2</v>
      </c>
      <c r="Q46" s="1262">
        <f>VLOOKUP(C46,TONGHOPCONGDOI!$C$11:$AD$93,24,0)</f>
        <v>0</v>
      </c>
      <c r="R46" s="1262">
        <f>VLOOKUP(C46,TONGHOPCONGDOI!$C$11:$AD$93,25,0)</f>
        <v>0</v>
      </c>
      <c r="S46" s="1262"/>
      <c r="T46" s="1262">
        <f t="shared" si="2"/>
        <v>2</v>
      </c>
      <c r="U46" s="1263"/>
      <c r="V46" s="1263"/>
      <c r="W46" s="890">
        <f t="shared" si="6"/>
        <v>1313462</v>
      </c>
      <c r="X46" s="1262">
        <f t="shared" si="0"/>
        <v>8716705</v>
      </c>
      <c r="Y46" s="1262"/>
      <c r="Z46" s="1262">
        <f>VLOOKUP(C46,'CNKT '!D46:AA98,24,0)</f>
        <v>8716705</v>
      </c>
      <c r="AA46" s="1258">
        <f t="shared" si="3"/>
        <v>0</v>
      </c>
    </row>
    <row r="47" spans="1:27" s="1258" customFormat="1" ht="50.25" customHeight="1">
      <c r="A47" s="1259">
        <v>32</v>
      </c>
      <c r="B47" s="1259" t="str">
        <f>'Chấm công KT'!C44</f>
        <v>03485</v>
      </c>
      <c r="C47" s="1262" t="str">
        <f>TONGHOPCONGDOI!C42</f>
        <v>T. Lâm Phon</v>
      </c>
      <c r="D47" s="1262"/>
      <c r="E47" s="1263"/>
      <c r="F47" s="1262">
        <f t="shared" si="1"/>
        <v>0</v>
      </c>
      <c r="G47" s="1262">
        <f>VLOOKUP(C47,TONGHOPCONGDOI!C42:AE94,16,0)</f>
        <v>4573</v>
      </c>
      <c r="H47" s="1262">
        <f>VLOOKUP(C47,TONGHOPCONGDOI!C42:AE94,17,0)</f>
        <v>0</v>
      </c>
      <c r="I47" s="1262"/>
      <c r="J47" s="888">
        <f t="shared" si="4"/>
        <v>1953.3058745298642</v>
      </c>
      <c r="K47" s="1259" t="str">
        <f>VLOOKUP(C47,'BTH mủ tạp'!D48:AN126,37,0)</f>
        <v>A</v>
      </c>
      <c r="L47" s="889">
        <f t="shared" si="5"/>
        <v>7992217</v>
      </c>
      <c r="M47" s="1262">
        <f>VLOOKUP(C47,TONGHOPCONGDOI!$C$11:$V$91,20,0)</f>
        <v>26</v>
      </c>
      <c r="N47" s="1262">
        <f>VLOOKUP(C47,TONGHOPCONGDOI!$C$11:$W$91,21,0)</f>
        <v>2</v>
      </c>
      <c r="O47" s="1262">
        <f>VLOOKUP(C47,TONGHOPCONGDOI!$C$11:$AD$93,22,0)</f>
        <v>0</v>
      </c>
      <c r="P47" s="1262">
        <f>VLOOKUP(C47,TONGHOPCONGDOI!$C$11:$AD$93,23,0)</f>
        <v>2</v>
      </c>
      <c r="Q47" s="1262">
        <f>VLOOKUP(C47,TONGHOPCONGDOI!$C$11:$AD$93,24,0)</f>
        <v>0</v>
      </c>
      <c r="R47" s="1262">
        <f>VLOOKUP(C47,TONGHOPCONGDOI!$C$11:$AD$93,25,0)</f>
        <v>0</v>
      </c>
      <c r="S47" s="1262"/>
      <c r="T47" s="1262">
        <f t="shared" si="2"/>
        <v>2</v>
      </c>
      <c r="U47" s="1263"/>
      <c r="V47" s="1263"/>
      <c r="W47" s="890">
        <f t="shared" si="6"/>
        <v>1313462</v>
      </c>
      <c r="X47" s="1262">
        <f t="shared" si="0"/>
        <v>9305679</v>
      </c>
      <c r="Y47" s="1262"/>
      <c r="Z47" s="1262">
        <f>VLOOKUP(C47,'CNKT '!D47:AA98,24,0)</f>
        <v>9305679</v>
      </c>
      <c r="AA47" s="1258">
        <f t="shared" si="3"/>
        <v>0</v>
      </c>
    </row>
    <row r="48" spans="1:27" s="1258" customFormat="1" ht="50.25" customHeight="1">
      <c r="A48" s="1259">
        <v>33</v>
      </c>
      <c r="B48" s="1259" t="str">
        <f>'Chấm công KT'!C45</f>
        <v>02712</v>
      </c>
      <c r="C48" s="1262" t="str">
        <f>TONGHOPCONGDOI!C43</f>
        <v>T. Sô Đa</v>
      </c>
      <c r="D48" s="1262"/>
      <c r="E48" s="1263"/>
      <c r="F48" s="1262">
        <f t="shared" si="1"/>
        <v>0</v>
      </c>
      <c r="G48" s="1262">
        <f>VLOOKUP(C48,TONGHOPCONGDOI!C43:AE94,16,0)</f>
        <v>3971</v>
      </c>
      <c r="H48" s="1262">
        <f>VLOOKUP(C48,TONGHOPCONGDOI!C43:AE94,17,0)</f>
        <v>0</v>
      </c>
      <c r="I48" s="1262"/>
      <c r="J48" s="888">
        <f t="shared" ref="J48:J79" si="7">$AB$10/$AB$9*G48+H48*$AB$11+I48*$AB$12</f>
        <v>1696.1682982195696</v>
      </c>
      <c r="K48" s="1259" t="str">
        <f>VLOOKUP(C48,'BTH mủ tạp'!D49:AN127,37,0)</f>
        <v>A</v>
      </c>
      <c r="L48" s="889">
        <f t="shared" si="5"/>
        <v>6940103</v>
      </c>
      <c r="M48" s="1262">
        <f>VLOOKUP(C48,TONGHOPCONGDOI!$C$11:$V$91,20,0)</f>
        <v>26</v>
      </c>
      <c r="N48" s="1262">
        <f>VLOOKUP(C48,TONGHOPCONGDOI!$C$11:$W$91,21,0)</f>
        <v>2</v>
      </c>
      <c r="O48" s="1262">
        <f>VLOOKUP(C48,TONGHOPCONGDOI!$C$11:$AD$93,22,0)</f>
        <v>0</v>
      </c>
      <c r="P48" s="1262">
        <f>VLOOKUP(C48,TONGHOPCONGDOI!$C$11:$AD$93,23,0)</f>
        <v>2</v>
      </c>
      <c r="Q48" s="1262">
        <f>VLOOKUP(C48,TONGHOPCONGDOI!$C$11:$AD$93,24,0)</f>
        <v>0</v>
      </c>
      <c r="R48" s="1262">
        <f>VLOOKUP(C48,TONGHOPCONGDOI!$C$11:$AD$93,25,0)</f>
        <v>0</v>
      </c>
      <c r="S48" s="1262"/>
      <c r="T48" s="1262">
        <f t="shared" si="2"/>
        <v>2</v>
      </c>
      <c r="U48" s="1263"/>
      <c r="V48" s="1263"/>
      <c r="W48" s="890">
        <f t="shared" si="6"/>
        <v>1313462</v>
      </c>
      <c r="X48" s="1262">
        <f t="shared" ref="X48:X79" si="8">F48+L48+W48</f>
        <v>8253565</v>
      </c>
      <c r="Y48" s="1262"/>
      <c r="Z48" s="1262">
        <f>VLOOKUP(C48,'CNKT '!D48:AA98,24,0)</f>
        <v>8253565</v>
      </c>
      <c r="AA48" s="1258">
        <f t="shared" si="3"/>
        <v>0</v>
      </c>
    </row>
    <row r="49" spans="1:27" s="1258" customFormat="1" ht="50.25" customHeight="1">
      <c r="A49" s="1259">
        <v>34</v>
      </c>
      <c r="B49" s="1259">
        <f>'Chấm công KT'!C46</f>
        <v>0</v>
      </c>
      <c r="C49" s="1262" t="str">
        <f>TONGHOPCONGDOI!C44</f>
        <v>N. Pheng Mi</v>
      </c>
      <c r="D49" s="1262"/>
      <c r="E49" s="1263"/>
      <c r="F49" s="1262">
        <f t="shared" si="1"/>
        <v>0</v>
      </c>
      <c r="G49" s="1262">
        <f>VLOOKUP(C49,TONGHOPCONGDOI!C44:AE94,16,0)</f>
        <v>4804</v>
      </c>
      <c r="H49" s="1262">
        <f>VLOOKUP(C49,TONGHOPCONGDOI!C44:AE94,17,0)</f>
        <v>0</v>
      </c>
      <c r="I49" s="1262"/>
      <c r="J49" s="888">
        <f t="shared" si="7"/>
        <v>2051.9749445093962</v>
      </c>
      <c r="K49" s="1259" t="str">
        <f>VLOOKUP(C49,'BTH mủ tạp'!D50:AN128,37,0)</f>
        <v>A</v>
      </c>
      <c r="L49" s="889">
        <f t="shared" si="5"/>
        <v>8395935</v>
      </c>
      <c r="M49" s="1262">
        <f>VLOOKUP(C49,TONGHOPCONGDOI!$C$11:$V$91,20,0)</f>
        <v>26</v>
      </c>
      <c r="N49" s="1262">
        <f>VLOOKUP(C49,TONGHOPCONGDOI!$C$11:$W$91,21,0)</f>
        <v>2</v>
      </c>
      <c r="O49" s="1262">
        <f>VLOOKUP(C49,TONGHOPCONGDOI!$C$11:$AD$93,22,0)</f>
        <v>0</v>
      </c>
      <c r="P49" s="1262">
        <f>VLOOKUP(C49,TONGHOPCONGDOI!$C$11:$AD$93,23,0)</f>
        <v>2</v>
      </c>
      <c r="Q49" s="1262">
        <f>VLOOKUP(C49,TONGHOPCONGDOI!$C$11:$AD$93,24,0)</f>
        <v>0</v>
      </c>
      <c r="R49" s="1262">
        <f>VLOOKUP(C49,TONGHOPCONGDOI!$C$11:$AD$93,25,0)</f>
        <v>0</v>
      </c>
      <c r="S49" s="1262"/>
      <c r="T49" s="1262">
        <f t="shared" si="2"/>
        <v>2</v>
      </c>
      <c r="U49" s="1263"/>
      <c r="V49" s="1263"/>
      <c r="W49" s="890">
        <f t="shared" si="6"/>
        <v>1313462</v>
      </c>
      <c r="X49" s="1262">
        <f t="shared" si="8"/>
        <v>9709397</v>
      </c>
      <c r="Y49" s="1262"/>
      <c r="Z49" s="1262">
        <f>VLOOKUP(C49,'CNKT '!D49:AA98,24,0)</f>
        <v>9709397</v>
      </c>
      <c r="AA49" s="1258">
        <f t="shared" si="3"/>
        <v>0</v>
      </c>
    </row>
    <row r="50" spans="1:27" s="1258" customFormat="1" ht="50.25" customHeight="1">
      <c r="A50" s="1259">
        <v>35</v>
      </c>
      <c r="B50" s="1259" t="str">
        <f>'Chấm công KT'!C47</f>
        <v>02714</v>
      </c>
      <c r="C50" s="1262" t="str">
        <f>TONGHOPCONGDOI!C45</f>
        <v>N. Tủn</v>
      </c>
      <c r="D50" s="1262"/>
      <c r="E50" s="1263"/>
      <c r="F50" s="1262">
        <f t="shared" si="1"/>
        <v>0</v>
      </c>
      <c r="G50" s="1262">
        <f>VLOOKUP(C50,TONGHOPCONGDOI!C45:AE94,16,0)</f>
        <v>3751</v>
      </c>
      <c r="H50" s="1262">
        <f>VLOOKUP(C50,TONGHOPCONGDOI!C45:AE94,17,0)</f>
        <v>0</v>
      </c>
      <c r="I50" s="1262"/>
      <c r="J50" s="888">
        <f t="shared" si="7"/>
        <v>1602.1977553819202</v>
      </c>
      <c r="K50" s="1259" t="str">
        <f>VLOOKUP(C50,'BTH mủ tạp'!D51:AN129,37,0)</f>
        <v>A</v>
      </c>
      <c r="L50" s="889">
        <f t="shared" si="5"/>
        <v>6555610</v>
      </c>
      <c r="M50" s="1262">
        <f>VLOOKUP(C50,TONGHOPCONGDOI!$C$11:$V$91,20,0)</f>
        <v>25</v>
      </c>
      <c r="N50" s="1262">
        <f>VLOOKUP(C50,TONGHOPCONGDOI!$C$11:$W$91,21,0)</f>
        <v>2</v>
      </c>
      <c r="O50" s="1262">
        <f>VLOOKUP(C50,TONGHOPCONGDOI!$C$11:$AD$93,22,0)</f>
        <v>0</v>
      </c>
      <c r="P50" s="1262">
        <f>VLOOKUP(C50,TONGHOPCONGDOI!$C$11:$AD$93,23,0)</f>
        <v>2</v>
      </c>
      <c r="Q50" s="1262">
        <f>VLOOKUP(C50,TONGHOPCONGDOI!$C$11:$AD$93,24,0)</f>
        <v>0</v>
      </c>
      <c r="R50" s="1262">
        <f>VLOOKUP(C50,TONGHOPCONGDOI!$C$11:$AD$93,25,0)</f>
        <v>0</v>
      </c>
      <c r="S50" s="1262"/>
      <c r="T50" s="1262">
        <f t="shared" si="2"/>
        <v>2</v>
      </c>
      <c r="U50" s="1263"/>
      <c r="V50" s="1263"/>
      <c r="W50" s="890">
        <f t="shared" si="6"/>
        <v>1282540</v>
      </c>
      <c r="X50" s="1262">
        <f t="shared" si="8"/>
        <v>7838150</v>
      </c>
      <c r="Y50" s="1262"/>
      <c r="Z50" s="1262">
        <f>VLOOKUP(C50,'CNKT '!D50:AA98,24,0)</f>
        <v>7838150</v>
      </c>
      <c r="AA50" s="1258">
        <f t="shared" si="3"/>
        <v>0</v>
      </c>
    </row>
    <row r="51" spans="1:27" s="1258" customFormat="1" ht="50.25" customHeight="1">
      <c r="A51" s="1259">
        <v>36</v>
      </c>
      <c r="B51" s="1259" t="str">
        <f>'Chấm công KT'!C48</f>
        <v>02713</v>
      </c>
      <c r="C51" s="1262" t="str">
        <f>TONGHOPCONGDOI!C46</f>
        <v>T. Lung</v>
      </c>
      <c r="D51" s="1262"/>
      <c r="E51" s="1263"/>
      <c r="F51" s="1262">
        <f t="shared" si="1"/>
        <v>0</v>
      </c>
      <c r="G51" s="1262">
        <f>VLOOKUP(C51,TONGHOPCONGDOI!C46:AE94,16,0)</f>
        <v>3826</v>
      </c>
      <c r="H51" s="1262">
        <f>VLOOKUP(C51,TONGHOPCONGDOI!C46:AE94,17,0)</f>
        <v>0</v>
      </c>
      <c r="I51" s="1262"/>
      <c r="J51" s="888">
        <f t="shared" si="7"/>
        <v>1634.2331677129371</v>
      </c>
      <c r="K51" s="1259" t="str">
        <f>VLOOKUP(C51,'BTH mủ tạp'!D52:AN130,37,0)</f>
        <v>A</v>
      </c>
      <c r="L51" s="889">
        <f t="shared" si="5"/>
        <v>6686687</v>
      </c>
      <c r="M51" s="1262">
        <f>VLOOKUP(C51,TONGHOPCONGDOI!$C$11:$V$91,20,0)</f>
        <v>25</v>
      </c>
      <c r="N51" s="1262">
        <f>VLOOKUP(C51,TONGHOPCONGDOI!$C$11:$W$91,21,0)</f>
        <v>2</v>
      </c>
      <c r="O51" s="1262">
        <f>VLOOKUP(C51,TONGHOPCONGDOI!$C$11:$AD$93,22,0)</f>
        <v>0</v>
      </c>
      <c r="P51" s="1262">
        <f>VLOOKUP(C51,TONGHOPCONGDOI!$C$11:$AD$93,23,0)</f>
        <v>2</v>
      </c>
      <c r="Q51" s="1262">
        <f>VLOOKUP(C51,TONGHOPCONGDOI!$C$11:$AD$93,24,0)</f>
        <v>0</v>
      </c>
      <c r="R51" s="1262">
        <f>VLOOKUP(C51,TONGHOPCONGDOI!$C$11:$AD$93,25,0)</f>
        <v>0</v>
      </c>
      <c r="S51" s="1262"/>
      <c r="T51" s="1262">
        <f t="shared" si="2"/>
        <v>2</v>
      </c>
      <c r="U51" s="1263"/>
      <c r="V51" s="1263"/>
      <c r="W51" s="890">
        <f t="shared" si="6"/>
        <v>1282540</v>
      </c>
      <c r="X51" s="1262">
        <f t="shared" si="8"/>
        <v>7969227</v>
      </c>
      <c r="Y51" s="1262"/>
      <c r="Z51" s="1262">
        <f>VLOOKUP(C51,'CNKT '!D51:AA98,24,0)</f>
        <v>7969227</v>
      </c>
      <c r="AA51" s="1258">
        <f t="shared" si="3"/>
        <v>0</v>
      </c>
    </row>
    <row r="52" spans="1:27" s="1258" customFormat="1" ht="50.25" customHeight="1">
      <c r="A52" s="1259">
        <v>37</v>
      </c>
      <c r="B52" s="1259" t="str">
        <f>'Chấm công KT'!C49</f>
        <v>04058</v>
      </c>
      <c r="C52" s="1262" t="str">
        <f>TONGHOPCONGDOI!C47</f>
        <v>T. Bi Ly (2)</v>
      </c>
      <c r="D52" s="1262"/>
      <c r="E52" s="1263"/>
      <c r="F52" s="1262">
        <f t="shared" si="1"/>
        <v>0</v>
      </c>
      <c r="G52" s="1262">
        <f>VLOOKUP(C52,TONGHOPCONGDOI!C47:AE94,16,0)</f>
        <v>4137</v>
      </c>
      <c r="H52" s="1262">
        <f>VLOOKUP(C52,TONGHOPCONGDOI!C47:AE94,17,0)</f>
        <v>0</v>
      </c>
      <c r="I52" s="1262"/>
      <c r="J52" s="888">
        <f t="shared" si="7"/>
        <v>1767.0733441788866</v>
      </c>
      <c r="K52" s="1259" t="str">
        <f>VLOOKUP(C52,'BTH mủ tạp'!D53:AN131,37,0)</f>
        <v>A</v>
      </c>
      <c r="L52" s="889">
        <f t="shared" si="5"/>
        <v>7230221</v>
      </c>
      <c r="M52" s="1262">
        <f>VLOOKUP(C52,TONGHOPCONGDOI!$C$11:$V$91,20,0)</f>
        <v>26</v>
      </c>
      <c r="N52" s="1262">
        <f>VLOOKUP(C52,TONGHOPCONGDOI!$C$11:$W$91,21,0)</f>
        <v>2</v>
      </c>
      <c r="O52" s="1262">
        <f>VLOOKUP(C52,TONGHOPCONGDOI!$C$11:$AD$93,22,0)</f>
        <v>0</v>
      </c>
      <c r="P52" s="1262">
        <f>VLOOKUP(C52,TONGHOPCONGDOI!$C$11:$AD$93,23,0)</f>
        <v>2</v>
      </c>
      <c r="Q52" s="1262">
        <f>VLOOKUP(C52,TONGHOPCONGDOI!$C$11:$AD$93,24,0)</f>
        <v>0</v>
      </c>
      <c r="R52" s="1262">
        <f>VLOOKUP(C52,TONGHOPCONGDOI!$C$11:$AD$93,25,0)</f>
        <v>0</v>
      </c>
      <c r="S52" s="1262"/>
      <c r="T52" s="1262">
        <f t="shared" si="2"/>
        <v>2</v>
      </c>
      <c r="U52" s="1263"/>
      <c r="V52" s="1263"/>
      <c r="W52" s="890">
        <f t="shared" si="6"/>
        <v>1313462</v>
      </c>
      <c r="X52" s="1262">
        <f t="shared" si="8"/>
        <v>8543683</v>
      </c>
      <c r="Y52" s="1262"/>
      <c r="Z52" s="1262">
        <f>VLOOKUP(C52,'CNKT '!D52:AA98,24,0)</f>
        <v>8543683</v>
      </c>
      <c r="AA52" s="1258">
        <f t="shared" si="3"/>
        <v>0</v>
      </c>
    </row>
    <row r="53" spans="1:27" s="1258" customFormat="1" ht="50.25" customHeight="1">
      <c r="A53" s="1259">
        <v>38</v>
      </c>
      <c r="B53" s="1259" t="str">
        <f>'Chấm công KT'!C50</f>
        <v>03487</v>
      </c>
      <c r="C53" s="1262" t="str">
        <f>TONGHOPCONGDOI!C48</f>
        <v>N. Ba Say</v>
      </c>
      <c r="D53" s="1262"/>
      <c r="E53" s="1263"/>
      <c r="F53" s="1262">
        <f t="shared" si="1"/>
        <v>0</v>
      </c>
      <c r="G53" s="1262">
        <f>VLOOKUP(C53,TONGHOPCONGDOI!C48:AE94,16,0)</f>
        <v>2934</v>
      </c>
      <c r="H53" s="1262">
        <f>VLOOKUP(C53,TONGHOPCONGDOI!C48:AE94,17,0)</f>
        <v>0</v>
      </c>
      <c r="I53" s="1262"/>
      <c r="J53" s="888">
        <f t="shared" si="7"/>
        <v>1253.2253303893772</v>
      </c>
      <c r="K53" s="1259" t="str">
        <f>VLOOKUP(C53,'BTH mủ tạp'!D54:AN132,37,0)</f>
        <v>A</v>
      </c>
      <c r="L53" s="889">
        <f t="shared" si="5"/>
        <v>5127742</v>
      </c>
      <c r="M53" s="1262">
        <f>VLOOKUP(C53,TONGHOPCONGDOI!$C$11:$V$91,20,0)</f>
        <v>24</v>
      </c>
      <c r="N53" s="1262">
        <f>VLOOKUP(C53,TONGHOPCONGDOI!$C$11:$W$91,21,0)</f>
        <v>2</v>
      </c>
      <c r="O53" s="1262">
        <f>VLOOKUP(C53,TONGHOPCONGDOI!$C$11:$AD$93,22,0)</f>
        <v>0</v>
      </c>
      <c r="P53" s="1262">
        <f>VLOOKUP(C53,TONGHOPCONGDOI!$C$11:$AD$93,23,0)</f>
        <v>2</v>
      </c>
      <c r="Q53" s="1262">
        <f>VLOOKUP(C53,TONGHOPCONGDOI!$C$11:$AD$93,24,0)</f>
        <v>0</v>
      </c>
      <c r="R53" s="1262">
        <f>VLOOKUP(C53,TONGHOPCONGDOI!$C$11:$AD$93,25,0)</f>
        <v>0</v>
      </c>
      <c r="S53" s="1262"/>
      <c r="T53" s="1262">
        <f t="shared" si="2"/>
        <v>2</v>
      </c>
      <c r="U53" s="1263"/>
      <c r="V53" s="1263"/>
      <c r="W53" s="890">
        <f t="shared" si="6"/>
        <v>1251618</v>
      </c>
      <c r="X53" s="1262">
        <f t="shared" si="8"/>
        <v>6379360</v>
      </c>
      <c r="Y53" s="1262"/>
      <c r="Z53" s="1262">
        <f>VLOOKUP(C53,'CNKT '!D53:AA98,24,0)</f>
        <v>6379360</v>
      </c>
      <c r="AA53" s="1258">
        <f t="shared" si="3"/>
        <v>0</v>
      </c>
    </row>
    <row r="54" spans="1:27" s="1258" customFormat="1" ht="50.25" customHeight="1">
      <c r="A54" s="1259">
        <v>39</v>
      </c>
      <c r="B54" s="1259" t="str">
        <f>'Chấm công KT'!C51</f>
        <v>03488</v>
      </c>
      <c r="C54" s="1262" t="str">
        <f>TONGHOPCONGDOI!C49</f>
        <v>N. Đeng</v>
      </c>
      <c r="D54" s="1262"/>
      <c r="E54" s="1263"/>
      <c r="F54" s="1262">
        <f t="shared" si="1"/>
        <v>0</v>
      </c>
      <c r="G54" s="1262">
        <f>VLOOKUP(C54,TONGHOPCONGDOI!C49:AE94,16,0)</f>
        <v>4028</v>
      </c>
      <c r="H54" s="1262">
        <f>VLOOKUP(C54,TONGHOPCONGDOI!C49:AE94,17,0)</f>
        <v>0</v>
      </c>
      <c r="I54" s="1262"/>
      <c r="J54" s="888">
        <f t="shared" si="7"/>
        <v>1720.5152115911421</v>
      </c>
      <c r="K54" s="1259" t="str">
        <f>VLOOKUP(C54,'BTH mủ tạp'!D55:AN133,37,0)</f>
        <v>A</v>
      </c>
      <c r="L54" s="889">
        <f t="shared" si="5"/>
        <v>7039722</v>
      </c>
      <c r="M54" s="1262">
        <f>VLOOKUP(C54,TONGHOPCONGDOI!$C$11:$V$91,20,0)</f>
        <v>25</v>
      </c>
      <c r="N54" s="1262">
        <f>VLOOKUP(C54,TONGHOPCONGDOI!$C$11:$W$91,21,0)</f>
        <v>2</v>
      </c>
      <c r="O54" s="1262">
        <f>VLOOKUP(C54,TONGHOPCONGDOI!$C$11:$AD$93,22,0)</f>
        <v>0</v>
      </c>
      <c r="P54" s="1262">
        <f>VLOOKUP(C54,TONGHOPCONGDOI!$C$11:$AD$93,23,0)</f>
        <v>2</v>
      </c>
      <c r="Q54" s="1262">
        <f>VLOOKUP(C54,TONGHOPCONGDOI!$C$11:$AD$93,24,0)</f>
        <v>0</v>
      </c>
      <c r="R54" s="1262">
        <f>VLOOKUP(C54,TONGHOPCONGDOI!$C$11:$AD$93,25,0)</f>
        <v>0</v>
      </c>
      <c r="S54" s="1262"/>
      <c r="T54" s="1262">
        <f t="shared" si="2"/>
        <v>2</v>
      </c>
      <c r="U54" s="1263"/>
      <c r="V54" s="1263"/>
      <c r="W54" s="890">
        <f t="shared" si="6"/>
        <v>1282540</v>
      </c>
      <c r="X54" s="1262">
        <f t="shared" si="8"/>
        <v>8322262</v>
      </c>
      <c r="Y54" s="1262"/>
      <c r="Z54" s="1262">
        <f>VLOOKUP(C54,'CNKT '!D54:AA98,24,0)</f>
        <v>8322262</v>
      </c>
      <c r="AA54" s="1258">
        <f t="shared" si="3"/>
        <v>0</v>
      </c>
    </row>
    <row r="55" spans="1:27" s="1258" customFormat="1" ht="50.25" customHeight="1">
      <c r="A55" s="1259">
        <v>40</v>
      </c>
      <c r="B55" s="1259" t="str">
        <f>'Chấm công KT'!C52</f>
        <v>03489</v>
      </c>
      <c r="C55" s="1262" t="str">
        <f>TONGHOPCONGDOI!C50</f>
        <v>T. Tinh</v>
      </c>
      <c r="D55" s="1262"/>
      <c r="E55" s="1263"/>
      <c r="F55" s="1262">
        <f t="shared" si="1"/>
        <v>0</v>
      </c>
      <c r="G55" s="1262">
        <f>VLOOKUP(C55,TONGHOPCONGDOI!C50:AE94,16,0)</f>
        <v>2833</v>
      </c>
      <c r="H55" s="1262">
        <f>VLOOKUP(C55,TONGHOPCONGDOI!C50:AE94,17,0)</f>
        <v>0</v>
      </c>
      <c r="I55" s="1262"/>
      <c r="J55" s="888">
        <f t="shared" si="7"/>
        <v>1210.0843084502746</v>
      </c>
      <c r="K55" s="1259" t="str">
        <f>VLOOKUP(C55,'BTH mủ tạp'!D56:AN134,37,0)</f>
        <v>B</v>
      </c>
      <c r="L55" s="889">
        <f t="shared" si="5"/>
        <v>4707722</v>
      </c>
      <c r="M55" s="1262">
        <f>VLOOKUP(C55,TONGHOPCONGDOI!$C$11:$V$91,20,0)</f>
        <v>24</v>
      </c>
      <c r="N55" s="1262">
        <f>VLOOKUP(C55,TONGHOPCONGDOI!$C$11:$W$91,21,0)</f>
        <v>2</v>
      </c>
      <c r="O55" s="1262">
        <f>VLOOKUP(C55,TONGHOPCONGDOI!$C$11:$AD$93,22,0)</f>
        <v>0</v>
      </c>
      <c r="P55" s="1262">
        <f>VLOOKUP(C55,TONGHOPCONGDOI!$C$11:$AD$93,23,0)</f>
        <v>2</v>
      </c>
      <c r="Q55" s="1262">
        <f>VLOOKUP(C55,TONGHOPCONGDOI!$C$11:$AD$93,24,0)</f>
        <v>0</v>
      </c>
      <c r="R55" s="1262">
        <f>VLOOKUP(C55,TONGHOPCONGDOI!$C$11:$AD$93,25,0)</f>
        <v>0</v>
      </c>
      <c r="S55" s="1262"/>
      <c r="T55" s="1262">
        <f t="shared" si="2"/>
        <v>2</v>
      </c>
      <c r="U55" s="1263"/>
      <c r="V55" s="1263"/>
      <c r="W55" s="890">
        <f t="shared" si="6"/>
        <v>1251618</v>
      </c>
      <c r="X55" s="1262">
        <f t="shared" si="8"/>
        <v>5959340</v>
      </c>
      <c r="Y55" s="1262"/>
      <c r="Z55" s="1262">
        <f>VLOOKUP(C55,'CNKT '!D55:AA98,24,0)</f>
        <v>5959340</v>
      </c>
      <c r="AA55" s="1258">
        <f t="shared" si="3"/>
        <v>0</v>
      </c>
    </row>
    <row r="56" spans="1:27" s="1258" customFormat="1" ht="50.25" customHeight="1">
      <c r="A56" s="1259">
        <v>41</v>
      </c>
      <c r="B56" s="1259" t="str">
        <f>'Chấm công KT'!C53</f>
        <v>04059</v>
      </c>
      <c r="C56" s="1262" t="str">
        <f>TONGHOPCONGDOI!C51</f>
        <v>T. Khăm Pỏi</v>
      </c>
      <c r="D56" s="1262"/>
      <c r="E56" s="1263"/>
      <c r="F56" s="1262">
        <f t="shared" si="1"/>
        <v>0</v>
      </c>
      <c r="G56" s="1262">
        <f>VLOOKUP(C56,TONGHOPCONGDOI!C51:AE94,16,0)</f>
        <v>3793</v>
      </c>
      <c r="H56" s="1262">
        <f>VLOOKUP(C56,TONGHOPCONGDOI!C51:AE94,17,0)</f>
        <v>0</v>
      </c>
      <c r="I56" s="1262"/>
      <c r="J56" s="888">
        <f t="shared" si="7"/>
        <v>1620.1375862872897</v>
      </c>
      <c r="K56" s="1259" t="str">
        <f>VLOOKUP(C56,'BTH mủ tạp'!D57:AN135,37,0)</f>
        <v>A</v>
      </c>
      <c r="L56" s="889">
        <f t="shared" si="5"/>
        <v>6629013</v>
      </c>
      <c r="M56" s="1262">
        <f>VLOOKUP(C56,TONGHOPCONGDOI!$C$11:$V$91,20,0)</f>
        <v>26</v>
      </c>
      <c r="N56" s="1262">
        <f>VLOOKUP(C56,TONGHOPCONGDOI!$C$11:$W$91,21,0)</f>
        <v>2</v>
      </c>
      <c r="O56" s="1262">
        <f>VLOOKUP(C56,TONGHOPCONGDOI!$C$11:$AD$93,22,0)</f>
        <v>0</v>
      </c>
      <c r="P56" s="1262">
        <f>VLOOKUP(C56,TONGHOPCONGDOI!$C$11:$AD$93,23,0)</f>
        <v>2</v>
      </c>
      <c r="Q56" s="1262">
        <f>VLOOKUP(C56,TONGHOPCONGDOI!$C$11:$AD$93,24,0)</f>
        <v>0</v>
      </c>
      <c r="R56" s="1262">
        <f>VLOOKUP(C56,TONGHOPCONGDOI!$C$11:$AD$93,25,0)</f>
        <v>0</v>
      </c>
      <c r="S56" s="1262"/>
      <c r="T56" s="1262">
        <f t="shared" si="2"/>
        <v>2</v>
      </c>
      <c r="U56" s="1263"/>
      <c r="V56" s="1263"/>
      <c r="W56" s="890">
        <f t="shared" si="6"/>
        <v>1313462</v>
      </c>
      <c r="X56" s="1262">
        <f t="shared" si="8"/>
        <v>7942475</v>
      </c>
      <c r="Y56" s="1262"/>
      <c r="Z56" s="1262">
        <f>VLOOKUP(C56,'CNKT '!D56:AA98,24,0)</f>
        <v>7942475</v>
      </c>
      <c r="AA56" s="1258">
        <f t="shared" si="3"/>
        <v>0</v>
      </c>
    </row>
    <row r="57" spans="1:27" s="1258" customFormat="1" ht="50.25" customHeight="1">
      <c r="A57" s="1259">
        <v>42</v>
      </c>
      <c r="B57" s="1259" t="str">
        <f>'Chấm công KT'!C54</f>
        <v>03491</v>
      </c>
      <c r="C57" s="1262" t="str">
        <f>TONGHOPCONGDOI!C52</f>
        <v>Lăm Ngân</v>
      </c>
      <c r="D57" s="1262"/>
      <c r="E57" s="1263"/>
      <c r="F57" s="1262">
        <f t="shared" si="1"/>
        <v>0</v>
      </c>
      <c r="G57" s="1262">
        <f>VLOOKUP(C57,TONGHOPCONGDOI!C52:AE94,16,0)</f>
        <v>4100</v>
      </c>
      <c r="H57" s="1262">
        <f>VLOOKUP(C57,TONGHOPCONGDOI!C52:AE94,17,0)</f>
        <v>0</v>
      </c>
      <c r="I57" s="1262"/>
      <c r="J57" s="888">
        <f t="shared" si="7"/>
        <v>1751.2692074289184</v>
      </c>
      <c r="K57" s="1259" t="str">
        <f>VLOOKUP(C57,'BTH mủ tạp'!D58:AN136,37,0)</f>
        <v>A</v>
      </c>
      <c r="L57" s="889">
        <f t="shared" si="5"/>
        <v>7165556</v>
      </c>
      <c r="M57" s="1262">
        <f>VLOOKUP(C57,TONGHOPCONGDOI!$C$11:$V$91,20,0)</f>
        <v>25</v>
      </c>
      <c r="N57" s="1262">
        <f>VLOOKUP(C57,TONGHOPCONGDOI!$C$11:$W$91,21,0)</f>
        <v>2</v>
      </c>
      <c r="O57" s="1262">
        <f>VLOOKUP(C57,TONGHOPCONGDOI!$C$11:$AD$93,22,0)</f>
        <v>0</v>
      </c>
      <c r="P57" s="1262">
        <f>VLOOKUP(C57,TONGHOPCONGDOI!$C$11:$AD$93,23,0)</f>
        <v>2</v>
      </c>
      <c r="Q57" s="1262">
        <f>VLOOKUP(C57,TONGHOPCONGDOI!$C$11:$AD$93,24,0)</f>
        <v>0</v>
      </c>
      <c r="R57" s="1262">
        <f>VLOOKUP(C57,TONGHOPCONGDOI!$C$11:$AD$93,25,0)</f>
        <v>0</v>
      </c>
      <c r="S57" s="1262"/>
      <c r="T57" s="1262">
        <f t="shared" si="2"/>
        <v>2</v>
      </c>
      <c r="U57" s="1263"/>
      <c r="V57" s="1263"/>
      <c r="W57" s="890">
        <f t="shared" si="6"/>
        <v>1282540</v>
      </c>
      <c r="X57" s="1262">
        <f t="shared" si="8"/>
        <v>8448096</v>
      </c>
      <c r="Y57" s="1262"/>
      <c r="Z57" s="1262">
        <f>VLOOKUP(C57,'CNKT '!D57:AA98,24,0)</f>
        <v>8448096</v>
      </c>
      <c r="AA57" s="1258">
        <f t="shared" si="3"/>
        <v>0</v>
      </c>
    </row>
    <row r="58" spans="1:27" s="1258" customFormat="1" ht="50.25" customHeight="1">
      <c r="A58" s="1259">
        <v>43</v>
      </c>
      <c r="B58" s="1259" t="str">
        <f>'Chấm công KT'!C55</f>
        <v>04060</v>
      </c>
      <c r="C58" s="1262" t="str">
        <f>TONGHOPCONGDOI!C53</f>
        <v>T. Không</v>
      </c>
      <c r="D58" s="1262"/>
      <c r="E58" s="1263"/>
      <c r="F58" s="1262">
        <f t="shared" si="1"/>
        <v>0</v>
      </c>
      <c r="G58" s="1262">
        <f>VLOOKUP(C58,TONGHOPCONGDOI!C53:AE94,16,0)</f>
        <v>4272</v>
      </c>
      <c r="H58" s="1262">
        <f>VLOOKUP(C58,TONGHOPCONGDOI!C53:AE94,17,0)</f>
        <v>0</v>
      </c>
      <c r="I58" s="1262"/>
      <c r="J58" s="888">
        <f t="shared" si="7"/>
        <v>1824.7370863747169</v>
      </c>
      <c r="K58" s="1259" t="str">
        <f>VLOOKUP(C58,'BTH mủ tạp'!D59:AN137,37,0)</f>
        <v>A</v>
      </c>
      <c r="L58" s="889">
        <f t="shared" si="5"/>
        <v>7466160</v>
      </c>
      <c r="M58" s="1262">
        <f>VLOOKUP(C58,TONGHOPCONGDOI!$C$11:$V$91,20,0)</f>
        <v>26</v>
      </c>
      <c r="N58" s="1262">
        <f>VLOOKUP(C58,TONGHOPCONGDOI!$C$11:$W$91,21,0)</f>
        <v>2</v>
      </c>
      <c r="O58" s="1262">
        <f>VLOOKUP(C58,TONGHOPCONGDOI!$C$11:$AD$93,22,0)</f>
        <v>0</v>
      </c>
      <c r="P58" s="1262">
        <f>VLOOKUP(C58,TONGHOPCONGDOI!$C$11:$AD$93,23,0)</f>
        <v>2</v>
      </c>
      <c r="Q58" s="1262">
        <f>VLOOKUP(C58,TONGHOPCONGDOI!$C$11:$AD$93,24,0)</f>
        <v>0</v>
      </c>
      <c r="R58" s="1262">
        <f>VLOOKUP(C58,TONGHOPCONGDOI!$C$11:$AD$93,25,0)</f>
        <v>0</v>
      </c>
      <c r="S58" s="1262"/>
      <c r="T58" s="1262">
        <f t="shared" si="2"/>
        <v>2</v>
      </c>
      <c r="U58" s="1263"/>
      <c r="V58" s="1263"/>
      <c r="W58" s="890">
        <f t="shared" si="6"/>
        <v>1313462</v>
      </c>
      <c r="X58" s="1262">
        <f t="shared" si="8"/>
        <v>8779622</v>
      </c>
      <c r="Y58" s="1262"/>
      <c r="Z58" s="1262">
        <f>VLOOKUP(C58,'CNKT '!D58:AA98,24,0)</f>
        <v>8779622</v>
      </c>
      <c r="AA58" s="1258">
        <f t="shared" si="3"/>
        <v>0</v>
      </c>
    </row>
    <row r="59" spans="1:27" s="1258" customFormat="1" ht="50.25" customHeight="1">
      <c r="A59" s="1259">
        <v>44</v>
      </c>
      <c r="B59" s="1259" t="str">
        <f>'Chấm công KT'!C56</f>
        <v>03492</v>
      </c>
      <c r="C59" s="1262" t="str">
        <f>TONGHOPCONGDOI!C54</f>
        <v>T. Lem</v>
      </c>
      <c r="D59" s="1262"/>
      <c r="E59" s="1263"/>
      <c r="F59" s="1262">
        <f t="shared" si="1"/>
        <v>0</v>
      </c>
      <c r="G59" s="1262">
        <f>VLOOKUP(C59,TONGHOPCONGDOI!C54:AE94,16,0)</f>
        <v>4440</v>
      </c>
      <c r="H59" s="1262">
        <f>VLOOKUP(C59,TONGHOPCONGDOI!C54:AE94,17,0)</f>
        <v>0</v>
      </c>
      <c r="I59" s="1262"/>
      <c r="J59" s="888">
        <f t="shared" si="7"/>
        <v>1896.4964099961944</v>
      </c>
      <c r="K59" s="1259" t="str">
        <f>VLOOKUP(C59,'BTH mủ tạp'!D60:AN138,37,0)</f>
        <v>A</v>
      </c>
      <c r="L59" s="889">
        <f t="shared" si="5"/>
        <v>7759773</v>
      </c>
      <c r="M59" s="1262">
        <f>VLOOKUP(C59,TONGHOPCONGDOI!$C$11:$V$91,20,0)</f>
        <v>26</v>
      </c>
      <c r="N59" s="1262">
        <f>VLOOKUP(C59,TONGHOPCONGDOI!$C$11:$W$91,21,0)</f>
        <v>2</v>
      </c>
      <c r="O59" s="1262">
        <f>VLOOKUP(C59,TONGHOPCONGDOI!$C$11:$AD$93,22,0)</f>
        <v>0</v>
      </c>
      <c r="P59" s="1262">
        <f>VLOOKUP(C59,TONGHOPCONGDOI!$C$11:$AD$93,23,0)</f>
        <v>2</v>
      </c>
      <c r="Q59" s="1262">
        <f>VLOOKUP(C59,TONGHOPCONGDOI!$C$11:$AD$93,24,0)</f>
        <v>0</v>
      </c>
      <c r="R59" s="1262">
        <f>VLOOKUP(C59,TONGHOPCONGDOI!$C$11:$AD$93,25,0)</f>
        <v>0</v>
      </c>
      <c r="S59" s="1262"/>
      <c r="T59" s="1262">
        <f t="shared" si="2"/>
        <v>2</v>
      </c>
      <c r="U59" s="1263"/>
      <c r="V59" s="1263"/>
      <c r="W59" s="890">
        <f t="shared" si="6"/>
        <v>1313462</v>
      </c>
      <c r="X59" s="1262">
        <f t="shared" si="8"/>
        <v>9073235</v>
      </c>
      <c r="Y59" s="1262"/>
      <c r="Z59" s="1262">
        <f>VLOOKUP(C59,'CNKT '!D59:AA98,24,0)</f>
        <v>9073235</v>
      </c>
      <c r="AA59" s="1258">
        <f t="shared" si="3"/>
        <v>0</v>
      </c>
    </row>
    <row r="60" spans="1:27" s="1258" customFormat="1" ht="50.25" customHeight="1">
      <c r="A60" s="1259">
        <v>45</v>
      </c>
      <c r="B60" s="1259" t="str">
        <f>'Chấm công KT'!C57</f>
        <v>03493</v>
      </c>
      <c r="C60" s="1262" t="str">
        <f>TONGHOPCONGDOI!C55</f>
        <v>T. Pông</v>
      </c>
      <c r="D60" s="1262"/>
      <c r="E60" s="1263"/>
      <c r="F60" s="1262">
        <f t="shared" si="1"/>
        <v>0</v>
      </c>
      <c r="G60" s="1262">
        <f>VLOOKUP(C60,TONGHOPCONGDOI!C55:AE94,16,0)</f>
        <v>4718</v>
      </c>
      <c r="H60" s="1262">
        <f>VLOOKUP(C60,TONGHOPCONGDOI!C55:AE94,17,0)</f>
        <v>0</v>
      </c>
      <c r="I60" s="1262"/>
      <c r="J60" s="888">
        <f t="shared" si="7"/>
        <v>2015.2410050364967</v>
      </c>
      <c r="K60" s="1259" t="str">
        <f>VLOOKUP(C60,'BTH mủ tạp'!D61:AN139,37,0)</f>
        <v>A</v>
      </c>
      <c r="L60" s="889">
        <f t="shared" si="5"/>
        <v>8245633</v>
      </c>
      <c r="M60" s="1262">
        <f>VLOOKUP(C60,TONGHOPCONGDOI!$C$11:$V$91,20,0)</f>
        <v>26</v>
      </c>
      <c r="N60" s="1262">
        <f>VLOOKUP(C60,TONGHOPCONGDOI!$C$11:$W$91,21,0)</f>
        <v>2</v>
      </c>
      <c r="O60" s="1262">
        <f>VLOOKUP(C60,TONGHOPCONGDOI!$C$11:$AD$93,22,0)</f>
        <v>0</v>
      </c>
      <c r="P60" s="1262">
        <f>VLOOKUP(C60,TONGHOPCONGDOI!$C$11:$AD$93,23,0)</f>
        <v>2</v>
      </c>
      <c r="Q60" s="1262">
        <f>VLOOKUP(C60,TONGHOPCONGDOI!$C$11:$AD$93,24,0)</f>
        <v>0</v>
      </c>
      <c r="R60" s="1262">
        <f>VLOOKUP(C60,TONGHOPCONGDOI!$C$11:$AD$93,25,0)</f>
        <v>0</v>
      </c>
      <c r="S60" s="1262"/>
      <c r="T60" s="1262">
        <f t="shared" si="2"/>
        <v>2</v>
      </c>
      <c r="U60" s="1263"/>
      <c r="V60" s="1263"/>
      <c r="W60" s="890">
        <f t="shared" si="6"/>
        <v>1313462</v>
      </c>
      <c r="X60" s="1262">
        <f t="shared" si="8"/>
        <v>9559095</v>
      </c>
      <c r="Y60" s="1262"/>
      <c r="Z60" s="1262">
        <f>VLOOKUP(C60,'CNKT '!D60:AA98,24,0)</f>
        <v>9559095</v>
      </c>
      <c r="AA60" s="1258">
        <f t="shared" si="3"/>
        <v>0</v>
      </c>
    </row>
    <row r="61" spans="1:27" s="1258" customFormat="1" ht="50.25" customHeight="1">
      <c r="A61" s="1259">
        <v>46</v>
      </c>
      <c r="B61" s="1259" t="str">
        <f>'Chấm công KT'!C58</f>
        <v>03496</v>
      </c>
      <c r="C61" s="1262" t="str">
        <f>TONGHOPCONGDOI!C56</f>
        <v>T. Lốp</v>
      </c>
      <c r="D61" s="1262"/>
      <c r="E61" s="1263"/>
      <c r="F61" s="1262">
        <f t="shared" si="1"/>
        <v>0</v>
      </c>
      <c r="G61" s="1262">
        <f>VLOOKUP(C61,TONGHOPCONGDOI!C56:AE94,16,0)</f>
        <v>5229</v>
      </c>
      <c r="H61" s="1262">
        <f>VLOOKUP(C61,TONGHOPCONGDOI!C56:AE94,17,0)</f>
        <v>0</v>
      </c>
      <c r="I61" s="1262"/>
      <c r="J61" s="888">
        <f t="shared" si="7"/>
        <v>2233.5089477184911</v>
      </c>
      <c r="K61" s="1259" t="str">
        <f>VLOOKUP(C61,'BTH mủ tạp'!D62:AN140,37,0)</f>
        <v>A</v>
      </c>
      <c r="L61" s="889">
        <f t="shared" si="5"/>
        <v>9138706</v>
      </c>
      <c r="M61" s="1262">
        <f>VLOOKUP(C61,TONGHOPCONGDOI!$C$11:$V$91,20,0)</f>
        <v>26</v>
      </c>
      <c r="N61" s="1262">
        <f>VLOOKUP(C61,TONGHOPCONGDOI!$C$11:$W$91,21,0)</f>
        <v>2</v>
      </c>
      <c r="O61" s="1262">
        <f>VLOOKUP(C61,TONGHOPCONGDOI!$C$11:$AD$93,22,0)</f>
        <v>0</v>
      </c>
      <c r="P61" s="1262">
        <f>VLOOKUP(C61,TONGHOPCONGDOI!$C$11:$AD$93,23,0)</f>
        <v>2</v>
      </c>
      <c r="Q61" s="1262">
        <f>VLOOKUP(C61,TONGHOPCONGDOI!$C$11:$AD$93,24,0)</f>
        <v>0</v>
      </c>
      <c r="R61" s="1262">
        <f>VLOOKUP(C61,TONGHOPCONGDOI!$C$11:$AD$93,25,0)</f>
        <v>0</v>
      </c>
      <c r="S61" s="1262"/>
      <c r="T61" s="1262">
        <f t="shared" si="2"/>
        <v>2</v>
      </c>
      <c r="U61" s="1263"/>
      <c r="V61" s="1263"/>
      <c r="W61" s="890">
        <f t="shared" si="6"/>
        <v>1313462</v>
      </c>
      <c r="X61" s="1262">
        <f t="shared" si="8"/>
        <v>10452168</v>
      </c>
      <c r="Y61" s="1262"/>
      <c r="Z61" s="1262">
        <f>VLOOKUP(C61,'CNKT '!D61:AA98,24,0)</f>
        <v>10452168</v>
      </c>
      <c r="AA61" s="1258">
        <f t="shared" si="3"/>
        <v>0</v>
      </c>
    </row>
    <row r="62" spans="1:27" s="1258" customFormat="1" ht="50.25" customHeight="1">
      <c r="A62" s="1259">
        <v>47</v>
      </c>
      <c r="B62" s="1259" t="str">
        <f>'Chấm công KT'!C59</f>
        <v>04061</v>
      </c>
      <c r="C62" s="1262" t="str">
        <f>TONGHOPCONGDOI!C57</f>
        <v>N. Nu Ni</v>
      </c>
      <c r="D62" s="1262"/>
      <c r="E62" s="1263"/>
      <c r="F62" s="1262">
        <f t="shared" si="1"/>
        <v>0</v>
      </c>
      <c r="G62" s="1262">
        <f>VLOOKUP(C62,TONGHOPCONGDOI!C57:AE94,16,0)</f>
        <v>4918</v>
      </c>
      <c r="H62" s="1262">
        <f>VLOOKUP(C62,TONGHOPCONGDOI!C57:AE94,17,0)</f>
        <v>0</v>
      </c>
      <c r="I62" s="1262"/>
      <c r="J62" s="888">
        <f t="shared" si="7"/>
        <v>2100.6687712525418</v>
      </c>
      <c r="K62" s="1259" t="str">
        <f>VLOOKUP(C62,'BTH mủ tạp'!D63:AN141,37,0)</f>
        <v>A</v>
      </c>
      <c r="L62" s="889">
        <f t="shared" si="5"/>
        <v>8595172</v>
      </c>
      <c r="M62" s="1262">
        <f>VLOOKUP(C62,TONGHOPCONGDOI!$C$11:$V$91,20,0)</f>
        <v>26</v>
      </c>
      <c r="N62" s="1262">
        <f>VLOOKUP(C62,TONGHOPCONGDOI!$C$11:$W$91,21,0)</f>
        <v>2</v>
      </c>
      <c r="O62" s="1262">
        <f>VLOOKUP(C62,TONGHOPCONGDOI!$C$11:$AD$93,22,0)</f>
        <v>0</v>
      </c>
      <c r="P62" s="1262">
        <f>VLOOKUP(C62,TONGHOPCONGDOI!$C$11:$AD$93,23,0)</f>
        <v>2</v>
      </c>
      <c r="Q62" s="1262">
        <f>VLOOKUP(C62,TONGHOPCONGDOI!$C$11:$AD$93,24,0)</f>
        <v>0</v>
      </c>
      <c r="R62" s="1262">
        <f>VLOOKUP(C62,TONGHOPCONGDOI!$C$11:$AD$93,25,0)</f>
        <v>0</v>
      </c>
      <c r="S62" s="1262"/>
      <c r="T62" s="1262">
        <f t="shared" si="2"/>
        <v>2</v>
      </c>
      <c r="U62" s="1263"/>
      <c r="V62" s="1263"/>
      <c r="W62" s="890">
        <f t="shared" si="6"/>
        <v>1313462</v>
      </c>
      <c r="X62" s="1262">
        <f t="shared" si="8"/>
        <v>9908634</v>
      </c>
      <c r="Y62" s="1262"/>
      <c r="Z62" s="1262">
        <f>VLOOKUP(C62,'CNKT '!D62:AA98,24,0)</f>
        <v>9908634</v>
      </c>
      <c r="AA62" s="1258">
        <f t="shared" si="3"/>
        <v>0</v>
      </c>
    </row>
    <row r="63" spans="1:27" s="1258" customFormat="1" ht="50.25" customHeight="1">
      <c r="A63" s="1259">
        <v>48</v>
      </c>
      <c r="B63" s="1259" t="str">
        <f>'Chấm công KT'!C60</f>
        <v>03494</v>
      </c>
      <c r="C63" s="1262" t="str">
        <f>TONGHOPCONGDOI!C58</f>
        <v>T. Đi</v>
      </c>
      <c r="D63" s="1262"/>
      <c r="E63" s="1263"/>
      <c r="F63" s="1262">
        <f t="shared" si="1"/>
        <v>0</v>
      </c>
      <c r="G63" s="1262">
        <f>VLOOKUP(C63,TONGHOPCONGDOI!C58:AE94,16,0)</f>
        <v>3767</v>
      </c>
      <c r="H63" s="1262">
        <f>VLOOKUP(C63,TONGHOPCONGDOI!C58:AE94,17,0)</f>
        <v>0</v>
      </c>
      <c r="I63" s="1262"/>
      <c r="J63" s="888">
        <f t="shared" si="7"/>
        <v>1609.0319766792038</v>
      </c>
      <c r="K63" s="1259" t="str">
        <f>VLOOKUP(C63,'BTH mủ tạp'!D64:AN142,37,0)</f>
        <v>A</v>
      </c>
      <c r="L63" s="889">
        <f t="shared" si="5"/>
        <v>6583573</v>
      </c>
      <c r="M63" s="1262">
        <f>VLOOKUP(C63,TONGHOPCONGDOI!$C$11:$V$91,20,0)</f>
        <v>26</v>
      </c>
      <c r="N63" s="1262">
        <f>VLOOKUP(C63,TONGHOPCONGDOI!$C$11:$W$91,21,0)</f>
        <v>2</v>
      </c>
      <c r="O63" s="1262">
        <f>VLOOKUP(C63,TONGHOPCONGDOI!$C$11:$AD$93,22,0)</f>
        <v>0</v>
      </c>
      <c r="P63" s="1262">
        <f>VLOOKUP(C63,TONGHOPCONGDOI!$C$11:$AD$93,23,0)</f>
        <v>2</v>
      </c>
      <c r="Q63" s="1262">
        <f>VLOOKUP(C63,TONGHOPCONGDOI!$C$11:$AD$93,24,0)</f>
        <v>0</v>
      </c>
      <c r="R63" s="1262">
        <f>VLOOKUP(C63,TONGHOPCONGDOI!$C$11:$AD$93,25,0)</f>
        <v>0</v>
      </c>
      <c r="S63" s="1262"/>
      <c r="T63" s="1262">
        <f t="shared" si="2"/>
        <v>2</v>
      </c>
      <c r="U63" s="1263"/>
      <c r="V63" s="1263"/>
      <c r="W63" s="890">
        <f t="shared" si="6"/>
        <v>1313462</v>
      </c>
      <c r="X63" s="1262">
        <f t="shared" si="8"/>
        <v>7897035</v>
      </c>
      <c r="Y63" s="1262"/>
      <c r="Z63" s="1262">
        <f>VLOOKUP(C63,'CNKT '!D63:AA98,24,0)</f>
        <v>7897035</v>
      </c>
      <c r="AA63" s="1258">
        <f t="shared" si="3"/>
        <v>0</v>
      </c>
    </row>
    <row r="64" spans="1:27" s="1258" customFormat="1" ht="50.25" customHeight="1">
      <c r="A64" s="1259">
        <v>49</v>
      </c>
      <c r="B64" s="1259" t="str">
        <f>'Chấm công KT'!C61</f>
        <v>03495</v>
      </c>
      <c r="C64" s="1262" t="str">
        <f>TONGHOPCONGDOI!C59</f>
        <v>N. On Xi</v>
      </c>
      <c r="D64" s="1262"/>
      <c r="E64" s="1263"/>
      <c r="F64" s="1262">
        <f t="shared" si="1"/>
        <v>0</v>
      </c>
      <c r="G64" s="1262">
        <f>VLOOKUP(C64,TONGHOPCONGDOI!C59:AE94,16,0)</f>
        <v>4077</v>
      </c>
      <c r="H64" s="1262">
        <f>VLOOKUP(C64,TONGHOPCONGDOI!C59:AE94,17,0)</f>
        <v>0</v>
      </c>
      <c r="I64" s="1262"/>
      <c r="J64" s="888">
        <f t="shared" si="7"/>
        <v>1741.4450143140732</v>
      </c>
      <c r="K64" s="1259" t="str">
        <f>VLOOKUP(C64,'BTH mủ tạp'!D65:AN143,37,0)</f>
        <v>A</v>
      </c>
      <c r="L64" s="889">
        <f t="shared" si="5"/>
        <v>7125359</v>
      </c>
      <c r="M64" s="1262">
        <f>VLOOKUP(C64,TONGHOPCONGDOI!$C$11:$V$91,20,0)</f>
        <v>25</v>
      </c>
      <c r="N64" s="1262">
        <f>VLOOKUP(C64,TONGHOPCONGDOI!$C$11:$W$91,21,0)</f>
        <v>1</v>
      </c>
      <c r="O64" s="1262">
        <f>VLOOKUP(C64,TONGHOPCONGDOI!$C$11:$AD$93,22,0)</f>
        <v>0</v>
      </c>
      <c r="P64" s="1262">
        <f>VLOOKUP(C64,TONGHOPCONGDOI!$C$11:$AD$93,23,0)</f>
        <v>2</v>
      </c>
      <c r="Q64" s="1262">
        <f>VLOOKUP(C64,TONGHOPCONGDOI!$C$11:$AD$93,24,0)</f>
        <v>0</v>
      </c>
      <c r="R64" s="1262">
        <f>VLOOKUP(C64,TONGHOPCONGDOI!$C$11:$AD$93,25,0)</f>
        <v>0</v>
      </c>
      <c r="S64" s="1262"/>
      <c r="T64" s="1262">
        <f t="shared" si="2"/>
        <v>2</v>
      </c>
      <c r="U64" s="1263"/>
      <c r="V64" s="1263"/>
      <c r="W64" s="890">
        <f t="shared" si="6"/>
        <v>1230958</v>
      </c>
      <c r="X64" s="1262">
        <f t="shared" si="8"/>
        <v>8356317</v>
      </c>
      <c r="Y64" s="1262"/>
      <c r="Z64" s="1262">
        <f>VLOOKUP(C64,'CNKT '!D64:AA98,24,0)</f>
        <v>8356317</v>
      </c>
      <c r="AA64" s="1258">
        <f t="shared" si="3"/>
        <v>0</v>
      </c>
    </row>
    <row r="65" spans="1:27" s="1258" customFormat="1" ht="50.25" customHeight="1">
      <c r="A65" s="1259">
        <v>50</v>
      </c>
      <c r="B65" s="1259" t="str">
        <f>'Chấm công KT'!C62</f>
        <v>04062</v>
      </c>
      <c r="C65" s="1262" t="str">
        <f>TONGHOPCONGDOI!C60</f>
        <v>N. Thông La</v>
      </c>
      <c r="D65" s="1262"/>
      <c r="E65" s="1263"/>
      <c r="F65" s="1262">
        <f t="shared" si="1"/>
        <v>0</v>
      </c>
      <c r="G65" s="1262">
        <f>VLOOKUP(C65,TONGHOPCONGDOI!C60:AE94,16,0)</f>
        <v>4948</v>
      </c>
      <c r="H65" s="1262">
        <f>VLOOKUP(C65,TONGHOPCONGDOI!C60:AE94,17,0)</f>
        <v>0</v>
      </c>
      <c r="I65" s="1262"/>
      <c r="J65" s="888">
        <f t="shared" si="7"/>
        <v>2113.4829361849484</v>
      </c>
      <c r="K65" s="1259" t="str">
        <f>VLOOKUP(C65,'BTH mủ tạp'!D66:AN144,37,0)</f>
        <v>A</v>
      </c>
      <c r="L65" s="889">
        <f t="shared" si="5"/>
        <v>8647603</v>
      </c>
      <c r="M65" s="1262">
        <f>VLOOKUP(C65,TONGHOPCONGDOI!$C$11:$V$91,20,0)</f>
        <v>26</v>
      </c>
      <c r="N65" s="1262">
        <f>VLOOKUP(C65,TONGHOPCONGDOI!$C$11:$W$91,21,0)</f>
        <v>2</v>
      </c>
      <c r="O65" s="1262">
        <f>VLOOKUP(C65,TONGHOPCONGDOI!$C$11:$AD$93,22,0)</f>
        <v>0</v>
      </c>
      <c r="P65" s="1262">
        <f>VLOOKUP(C65,TONGHOPCONGDOI!$C$11:$AD$93,23,0)</f>
        <v>2</v>
      </c>
      <c r="Q65" s="1262">
        <f>VLOOKUP(C65,TONGHOPCONGDOI!$C$11:$AD$93,24,0)</f>
        <v>0</v>
      </c>
      <c r="R65" s="1262">
        <f>VLOOKUP(C65,TONGHOPCONGDOI!$C$11:$AD$93,25,0)</f>
        <v>0</v>
      </c>
      <c r="S65" s="1262"/>
      <c r="T65" s="1262">
        <f t="shared" si="2"/>
        <v>2</v>
      </c>
      <c r="U65" s="1263"/>
      <c r="V65" s="1263"/>
      <c r="W65" s="890">
        <f t="shared" si="6"/>
        <v>1313462</v>
      </c>
      <c r="X65" s="1262">
        <f t="shared" si="8"/>
        <v>9961065</v>
      </c>
      <c r="Y65" s="1262"/>
      <c r="Z65" s="1262">
        <f>VLOOKUP(C65,'CNKT '!D65:AA98,24,0)</f>
        <v>9961065</v>
      </c>
      <c r="AA65" s="1258">
        <f t="shared" si="3"/>
        <v>0</v>
      </c>
    </row>
    <row r="66" spans="1:27" s="1258" customFormat="1" ht="50.25" customHeight="1">
      <c r="A66" s="1259">
        <v>51</v>
      </c>
      <c r="B66" s="1259" t="str">
        <f>'Chấm công KT'!C63</f>
        <v>03497</v>
      </c>
      <c r="C66" s="1262" t="str">
        <f>TONGHOPCONGDOI!C61</f>
        <v>T. Son Xay</v>
      </c>
      <c r="D66" s="1262"/>
      <c r="E66" s="1263"/>
      <c r="F66" s="1262">
        <f t="shared" si="1"/>
        <v>0</v>
      </c>
      <c r="G66" s="1262">
        <f>VLOOKUP(C66,TONGHOPCONGDOI!C61:AE94,16,0)</f>
        <v>4745</v>
      </c>
      <c r="H66" s="1262">
        <f>VLOOKUP(C66,TONGHOPCONGDOI!C61:AE94,17,0)</f>
        <v>0</v>
      </c>
      <c r="I66" s="1262"/>
      <c r="J66" s="888">
        <f t="shared" si="7"/>
        <v>2026.7737534756629</v>
      </c>
      <c r="K66" s="1259" t="str">
        <f>VLOOKUP(C66,'BTH mủ tạp'!D67:AN145,37,0)</f>
        <v>A</v>
      </c>
      <c r="L66" s="889">
        <f t="shared" si="5"/>
        <v>8292820</v>
      </c>
      <c r="M66" s="1262">
        <f>VLOOKUP(C66,TONGHOPCONGDOI!$C$11:$V$91,20,0)</f>
        <v>24</v>
      </c>
      <c r="N66" s="1262">
        <f>VLOOKUP(C66,TONGHOPCONGDOI!$C$11:$W$91,21,0)</f>
        <v>2</v>
      </c>
      <c r="O66" s="1262">
        <f>VLOOKUP(C66,TONGHOPCONGDOI!$C$11:$AD$93,22,0)</f>
        <v>0</v>
      </c>
      <c r="P66" s="1262">
        <f>VLOOKUP(C66,TONGHOPCONGDOI!$C$11:$AD$93,23,0)</f>
        <v>2</v>
      </c>
      <c r="Q66" s="1262">
        <f>VLOOKUP(C66,TONGHOPCONGDOI!$C$11:$AD$93,24,0)</f>
        <v>0</v>
      </c>
      <c r="R66" s="1262">
        <f>VLOOKUP(C66,TONGHOPCONGDOI!$C$11:$AD$93,25,0)</f>
        <v>0</v>
      </c>
      <c r="S66" s="1262"/>
      <c r="T66" s="1262">
        <f t="shared" si="2"/>
        <v>2</v>
      </c>
      <c r="U66" s="1263"/>
      <c r="V66" s="1263"/>
      <c r="W66" s="890">
        <f t="shared" si="6"/>
        <v>1251618</v>
      </c>
      <c r="X66" s="1262">
        <f t="shared" si="8"/>
        <v>9544438</v>
      </c>
      <c r="Y66" s="1262"/>
      <c r="Z66" s="1262">
        <f>VLOOKUP(C66,'CNKT '!D66:AA98,24,0)</f>
        <v>9544438</v>
      </c>
      <c r="AA66" s="1258">
        <f t="shared" si="3"/>
        <v>0</v>
      </c>
    </row>
    <row r="67" spans="1:27" s="1258" customFormat="1" ht="50.25" customHeight="1">
      <c r="A67" s="1259">
        <v>52</v>
      </c>
      <c r="B67" s="1259" t="str">
        <f>'Chấm công KT'!C64</f>
        <v>03498</v>
      </c>
      <c r="C67" s="1262" t="str">
        <f>TONGHOPCONGDOI!C62</f>
        <v>N. Lăm Phay</v>
      </c>
      <c r="D67" s="1262"/>
      <c r="E67" s="1263"/>
      <c r="F67" s="1262">
        <f t="shared" si="1"/>
        <v>0</v>
      </c>
      <c r="G67" s="1262">
        <f>VLOOKUP(C67,TONGHOPCONGDOI!C62:AE94,16,0)</f>
        <v>4624</v>
      </c>
      <c r="H67" s="1262">
        <f>VLOOKUP(C67,TONGHOPCONGDOI!C62:AE94,17,0)</f>
        <v>0</v>
      </c>
      <c r="I67" s="1262"/>
      <c r="J67" s="888">
        <f t="shared" si="7"/>
        <v>1975.0899549149558</v>
      </c>
      <c r="K67" s="1259" t="str">
        <f>VLOOKUP(C67,'BTH mủ tạp'!D68:AN146,37,0)</f>
        <v>A</v>
      </c>
      <c r="L67" s="889">
        <f t="shared" si="5"/>
        <v>8081349</v>
      </c>
      <c r="M67" s="1262">
        <f>VLOOKUP(C67,TONGHOPCONGDOI!$C$11:$V$91,20,0)</f>
        <v>25</v>
      </c>
      <c r="N67" s="1262">
        <f>VLOOKUP(C67,TONGHOPCONGDOI!$C$11:$W$91,21,0)</f>
        <v>2</v>
      </c>
      <c r="O67" s="1262">
        <f>VLOOKUP(C67,TONGHOPCONGDOI!$C$11:$AD$93,22,0)</f>
        <v>0</v>
      </c>
      <c r="P67" s="1262">
        <f>VLOOKUP(C67,TONGHOPCONGDOI!$C$11:$AD$93,23,0)</f>
        <v>2</v>
      </c>
      <c r="Q67" s="1262">
        <f>VLOOKUP(C67,TONGHOPCONGDOI!$C$11:$AD$93,24,0)</f>
        <v>0</v>
      </c>
      <c r="R67" s="1262">
        <f>VLOOKUP(C67,TONGHOPCONGDOI!$C$11:$AD$93,25,0)</f>
        <v>0</v>
      </c>
      <c r="S67" s="1262"/>
      <c r="T67" s="1262">
        <f t="shared" si="2"/>
        <v>2</v>
      </c>
      <c r="U67" s="1263"/>
      <c r="V67" s="1263"/>
      <c r="W67" s="890">
        <f t="shared" si="6"/>
        <v>1282540</v>
      </c>
      <c r="X67" s="1262">
        <f t="shared" si="8"/>
        <v>9363889</v>
      </c>
      <c r="Y67" s="1262"/>
      <c r="Z67" s="1262">
        <f>VLOOKUP(C67,'CNKT '!D67:AA98,24,0)</f>
        <v>9363889</v>
      </c>
      <c r="AA67" s="1258">
        <f t="shared" si="3"/>
        <v>0</v>
      </c>
    </row>
    <row r="68" spans="1:27" s="1258" customFormat="1" ht="50.25" customHeight="1">
      <c r="A68" s="1259">
        <v>53</v>
      </c>
      <c r="B68" s="1259" t="str">
        <f>'Chấm công KT'!C65</f>
        <v>02706</v>
      </c>
      <c r="C68" s="1262" t="str">
        <f>TONGHOPCONGDOI!C63</f>
        <v>T. Nhung</v>
      </c>
      <c r="D68" s="1262"/>
      <c r="E68" s="1263"/>
      <c r="F68" s="1262">
        <f t="shared" si="1"/>
        <v>0</v>
      </c>
      <c r="G68" s="1262">
        <f>VLOOKUP(C68,TONGHOPCONGDOI!C63:AE94,16,0)</f>
        <v>4380</v>
      </c>
      <c r="H68" s="1262">
        <f>VLOOKUP(C68,TONGHOPCONGDOI!C63:AE94,17,0)</f>
        <v>0</v>
      </c>
      <c r="I68" s="1262"/>
      <c r="J68" s="888">
        <f t="shared" si="7"/>
        <v>1870.868080131381</v>
      </c>
      <c r="K68" s="1259" t="str">
        <f>VLOOKUP(C68,'BTH mủ tạp'!D69:AN147,37,0)</f>
        <v>A</v>
      </c>
      <c r="L68" s="889">
        <f t="shared" si="5"/>
        <v>7654911</v>
      </c>
      <c r="M68" s="1262">
        <f>VLOOKUP(C68,TONGHOPCONGDOI!$C$11:$V$91,20,0)</f>
        <v>26</v>
      </c>
      <c r="N68" s="1262">
        <f>VLOOKUP(C68,TONGHOPCONGDOI!$C$11:$W$91,21,0)</f>
        <v>2</v>
      </c>
      <c r="O68" s="1262">
        <f>VLOOKUP(C68,TONGHOPCONGDOI!$C$11:$AD$93,22,0)</f>
        <v>0</v>
      </c>
      <c r="P68" s="1262">
        <f>VLOOKUP(C68,TONGHOPCONGDOI!$C$11:$AD$93,23,0)</f>
        <v>2</v>
      </c>
      <c r="Q68" s="1262">
        <f>VLOOKUP(C68,TONGHOPCONGDOI!$C$11:$AD$93,24,0)</f>
        <v>0</v>
      </c>
      <c r="R68" s="1262">
        <f>VLOOKUP(C68,TONGHOPCONGDOI!$C$11:$AD$93,25,0)</f>
        <v>0</v>
      </c>
      <c r="S68" s="1262"/>
      <c r="T68" s="1262">
        <f t="shared" si="2"/>
        <v>2</v>
      </c>
      <c r="U68" s="1263"/>
      <c r="V68" s="1263"/>
      <c r="W68" s="890">
        <f t="shared" si="6"/>
        <v>1313462</v>
      </c>
      <c r="X68" s="1262">
        <f t="shared" si="8"/>
        <v>8968373</v>
      </c>
      <c r="Y68" s="1262"/>
      <c r="Z68" s="1262">
        <f>VLOOKUP(C68,'CNKT '!D68:AA98,24,0)</f>
        <v>8968373</v>
      </c>
      <c r="AA68" s="1258">
        <f t="shared" si="3"/>
        <v>0</v>
      </c>
    </row>
    <row r="69" spans="1:27" s="1258" customFormat="1" ht="50.25" customHeight="1">
      <c r="A69" s="1259">
        <v>54</v>
      </c>
      <c r="B69" s="1259">
        <f>'Chấm công KT'!C66</f>
        <v>0</v>
      </c>
      <c r="C69" s="1262" t="str">
        <f>TONGHOPCONGDOI!C64</f>
        <v>N. In Ton</v>
      </c>
      <c r="D69" s="1262"/>
      <c r="E69" s="1263"/>
      <c r="F69" s="1262">
        <f t="shared" si="1"/>
        <v>0</v>
      </c>
      <c r="G69" s="1262">
        <f>VLOOKUP(C69,TONGHOPCONGDOI!C64:AE94,16,0)</f>
        <v>3829</v>
      </c>
      <c r="H69" s="1262">
        <f>VLOOKUP(C69,TONGHOPCONGDOI!C64:AE94,17,0)</f>
        <v>0</v>
      </c>
      <c r="I69" s="1262"/>
      <c r="J69" s="888">
        <f t="shared" si="7"/>
        <v>1635.5145842061777</v>
      </c>
      <c r="K69" s="1259" t="str">
        <f>VLOOKUP(C69,'BTH mủ tạp'!D70:AN148,37,0)</f>
        <v>A</v>
      </c>
      <c r="L69" s="889">
        <f t="shared" si="5"/>
        <v>6691930</v>
      </c>
      <c r="M69" s="1262">
        <f>VLOOKUP(C69,TONGHOPCONGDOI!$C$11:$V$91,20,0)</f>
        <v>26</v>
      </c>
      <c r="N69" s="1262">
        <f>VLOOKUP(C69,TONGHOPCONGDOI!$C$11:$W$91,21,0)</f>
        <v>2</v>
      </c>
      <c r="O69" s="1262">
        <f>VLOOKUP(C69,TONGHOPCONGDOI!$C$11:$AD$93,22,0)</f>
        <v>0</v>
      </c>
      <c r="P69" s="1262">
        <f>VLOOKUP(C69,TONGHOPCONGDOI!$C$11:$AD$93,23,0)</f>
        <v>2</v>
      </c>
      <c r="Q69" s="1262">
        <f>VLOOKUP(C69,TONGHOPCONGDOI!$C$11:$AD$93,24,0)</f>
        <v>0</v>
      </c>
      <c r="R69" s="1262">
        <f>VLOOKUP(C69,TONGHOPCONGDOI!$C$11:$AD$93,25,0)</f>
        <v>0</v>
      </c>
      <c r="S69" s="1262"/>
      <c r="T69" s="1262">
        <f t="shared" si="2"/>
        <v>2</v>
      </c>
      <c r="U69" s="1263"/>
      <c r="V69" s="1263"/>
      <c r="W69" s="890">
        <f t="shared" si="6"/>
        <v>1313462</v>
      </c>
      <c r="X69" s="1262">
        <f t="shared" si="8"/>
        <v>8005392</v>
      </c>
      <c r="Y69" s="1262"/>
      <c r="Z69" s="1262">
        <f>VLOOKUP(C69,'CNKT '!D69:AA98,24,0)</f>
        <v>8005392</v>
      </c>
      <c r="AA69" s="1258">
        <f t="shared" si="3"/>
        <v>0</v>
      </c>
    </row>
    <row r="70" spans="1:27" s="1258" customFormat="1" ht="50.25" customHeight="1">
      <c r="A70" s="1259">
        <v>55</v>
      </c>
      <c r="B70" s="1259" t="str">
        <f>'Chấm công KT'!C67</f>
        <v>04064</v>
      </c>
      <c r="C70" s="1262" t="str">
        <f>TONGHOPCONGDOI!C65</f>
        <v>N. Khay Chăn</v>
      </c>
      <c r="D70" s="1262"/>
      <c r="E70" s="1263"/>
      <c r="F70" s="1262">
        <f t="shared" si="1"/>
        <v>0</v>
      </c>
      <c r="G70" s="1262">
        <f>VLOOKUP(C70,TONGHOPCONGDOI!C65:AE94,16,0)</f>
        <v>4903</v>
      </c>
      <c r="H70" s="1262">
        <f>VLOOKUP(C70,TONGHOPCONGDOI!C65:AE94,17,0)</f>
        <v>0</v>
      </c>
      <c r="I70" s="1262"/>
      <c r="J70" s="888">
        <f t="shared" si="7"/>
        <v>2094.2616887863383</v>
      </c>
      <c r="K70" s="1259" t="str">
        <f>VLOOKUP(C70,'BTH mủ tạp'!D71:AN149,37,0)</f>
        <v>A</v>
      </c>
      <c r="L70" s="889">
        <f t="shared" si="5"/>
        <v>8568957</v>
      </c>
      <c r="M70" s="1262">
        <f>VLOOKUP(C70,TONGHOPCONGDOI!$C$11:$V$91,20,0)</f>
        <v>26</v>
      </c>
      <c r="N70" s="1262">
        <f>VLOOKUP(C70,TONGHOPCONGDOI!$C$11:$W$91,21,0)</f>
        <v>2</v>
      </c>
      <c r="O70" s="1262">
        <f>VLOOKUP(C70,TONGHOPCONGDOI!$C$11:$AD$93,22,0)</f>
        <v>0</v>
      </c>
      <c r="P70" s="1262">
        <f>VLOOKUP(C70,TONGHOPCONGDOI!$C$11:$AD$93,23,0)</f>
        <v>2</v>
      </c>
      <c r="Q70" s="1262">
        <f>VLOOKUP(C70,TONGHOPCONGDOI!$C$11:$AD$93,24,0)</f>
        <v>0</v>
      </c>
      <c r="R70" s="1262">
        <f>VLOOKUP(C70,TONGHOPCONGDOI!$C$11:$AD$93,25,0)</f>
        <v>0</v>
      </c>
      <c r="S70" s="1262"/>
      <c r="T70" s="1262">
        <f t="shared" si="2"/>
        <v>2</v>
      </c>
      <c r="U70" s="1263"/>
      <c r="V70" s="1263"/>
      <c r="W70" s="890">
        <f t="shared" si="6"/>
        <v>1313462</v>
      </c>
      <c r="X70" s="1262">
        <f t="shared" si="8"/>
        <v>9882419</v>
      </c>
      <c r="Y70" s="1262"/>
      <c r="Z70" s="1262">
        <f>VLOOKUP(C70,'CNKT '!D70:AA98,24,0)</f>
        <v>9882419</v>
      </c>
      <c r="AA70" s="1258">
        <f t="shared" si="3"/>
        <v>0</v>
      </c>
    </row>
    <row r="71" spans="1:27" s="1258" customFormat="1" ht="50.25" customHeight="1">
      <c r="A71" s="1259">
        <v>56</v>
      </c>
      <c r="B71" s="1259" t="str">
        <f>'Chấm công KT'!C68</f>
        <v>03501</v>
      </c>
      <c r="C71" s="1262" t="str">
        <f>TONGHOPCONGDOI!C66</f>
        <v>T Dăn</v>
      </c>
      <c r="D71" s="1262"/>
      <c r="E71" s="1263"/>
      <c r="F71" s="1262">
        <f t="shared" si="1"/>
        <v>0</v>
      </c>
      <c r="G71" s="1262">
        <f>VLOOKUP(C71,TONGHOPCONGDOI!C66:AE94,16,0)</f>
        <v>3499</v>
      </c>
      <c r="H71" s="1262">
        <f>VLOOKUP(C71,TONGHOPCONGDOI!C66:AE94,17,0)</f>
        <v>0</v>
      </c>
      <c r="I71" s="1262"/>
      <c r="J71" s="888">
        <f t="shared" si="7"/>
        <v>1494.5587699497037</v>
      </c>
      <c r="K71" s="1259" t="str">
        <f>VLOOKUP(C71,'BTH mủ tạp'!D72:AN150,37,0)</f>
        <v>A</v>
      </c>
      <c r="L71" s="889">
        <f t="shared" si="5"/>
        <v>6115190</v>
      </c>
      <c r="M71" s="1262">
        <f>VLOOKUP(C71,TONGHOPCONGDOI!$C$11:$V$91,20,0)</f>
        <v>25</v>
      </c>
      <c r="N71" s="1262">
        <f>VLOOKUP(C71,TONGHOPCONGDOI!$C$11:$W$91,21,0)</f>
        <v>2</v>
      </c>
      <c r="O71" s="1262">
        <f>VLOOKUP(C71,TONGHOPCONGDOI!$C$11:$AD$93,22,0)</f>
        <v>0</v>
      </c>
      <c r="P71" s="1262">
        <f>VLOOKUP(C71,TONGHOPCONGDOI!$C$11:$AD$93,23,0)</f>
        <v>2</v>
      </c>
      <c r="Q71" s="1262">
        <f>VLOOKUP(C71,TONGHOPCONGDOI!$C$11:$AD$93,24,0)</f>
        <v>0</v>
      </c>
      <c r="R71" s="1262">
        <f>VLOOKUP(C71,TONGHOPCONGDOI!$C$11:$AD$93,25,0)</f>
        <v>0</v>
      </c>
      <c r="S71" s="1262"/>
      <c r="T71" s="1262">
        <f t="shared" si="2"/>
        <v>2</v>
      </c>
      <c r="U71" s="1263"/>
      <c r="V71" s="1263"/>
      <c r="W71" s="890">
        <f t="shared" si="6"/>
        <v>1282540</v>
      </c>
      <c r="X71" s="1262">
        <f t="shared" si="8"/>
        <v>7397730</v>
      </c>
      <c r="Y71" s="1262"/>
      <c r="Z71" s="1262">
        <f>VLOOKUP(C71,'CNKT '!D71:AA98,24,0)</f>
        <v>7397730</v>
      </c>
      <c r="AA71" s="1258">
        <f t="shared" si="3"/>
        <v>0</v>
      </c>
    </row>
    <row r="72" spans="1:27" s="1258" customFormat="1" ht="50.25" customHeight="1">
      <c r="A72" s="1259">
        <v>57</v>
      </c>
      <c r="B72" s="1259" t="str">
        <f>'Chấm công KT'!C69</f>
        <v>03502</v>
      </c>
      <c r="C72" s="1262" t="str">
        <f>TONGHOPCONGDOI!C67</f>
        <v>T. Xợt</v>
      </c>
      <c r="D72" s="1262"/>
      <c r="E72" s="1263"/>
      <c r="F72" s="1262">
        <f t="shared" si="1"/>
        <v>0</v>
      </c>
      <c r="G72" s="1262">
        <f>VLOOKUP(C72,TONGHOPCONGDOI!C67:AE94,16,0)</f>
        <v>3833</v>
      </c>
      <c r="H72" s="1262">
        <f>VLOOKUP(C72,TONGHOPCONGDOI!C67:AE94,17,0)</f>
        <v>0</v>
      </c>
      <c r="I72" s="1262"/>
      <c r="J72" s="888">
        <f t="shared" si="7"/>
        <v>1637.2231395304987</v>
      </c>
      <c r="K72" s="1259" t="str">
        <f>VLOOKUP(C72,'BTH mủ tạp'!D73:AN151,37,0)</f>
        <v>A</v>
      </c>
      <c r="L72" s="889">
        <f t="shared" si="5"/>
        <v>6698921</v>
      </c>
      <c r="M72" s="1262">
        <f>VLOOKUP(C72,TONGHOPCONGDOI!$C$11:$V$91,20,0)</f>
        <v>26</v>
      </c>
      <c r="N72" s="1262">
        <f>VLOOKUP(C72,TONGHOPCONGDOI!$C$11:$W$91,21,0)</f>
        <v>2</v>
      </c>
      <c r="O72" s="1262">
        <f>VLOOKUP(C72,TONGHOPCONGDOI!$C$11:$AD$93,22,0)</f>
        <v>0</v>
      </c>
      <c r="P72" s="1262">
        <f>VLOOKUP(C72,TONGHOPCONGDOI!$C$11:$AD$93,23,0)</f>
        <v>2</v>
      </c>
      <c r="Q72" s="1262">
        <f>VLOOKUP(C72,TONGHOPCONGDOI!$C$11:$AD$93,24,0)</f>
        <v>0</v>
      </c>
      <c r="R72" s="1262">
        <f>VLOOKUP(C72,TONGHOPCONGDOI!$C$11:$AD$93,25,0)</f>
        <v>0</v>
      </c>
      <c r="S72" s="1262"/>
      <c r="T72" s="1262">
        <f t="shared" si="2"/>
        <v>2</v>
      </c>
      <c r="U72" s="1263"/>
      <c r="V72" s="1263"/>
      <c r="W72" s="890">
        <f t="shared" si="6"/>
        <v>1313462</v>
      </c>
      <c r="X72" s="1262">
        <f t="shared" si="8"/>
        <v>8012383</v>
      </c>
      <c r="Y72" s="1262"/>
      <c r="Z72" s="1262">
        <f>VLOOKUP(C72,'CNKT '!D72:AA98,24,0)</f>
        <v>8012383</v>
      </c>
      <c r="AA72" s="1258">
        <f t="shared" si="3"/>
        <v>0</v>
      </c>
    </row>
    <row r="73" spans="1:27" s="1258" customFormat="1" ht="50.25" customHeight="1">
      <c r="A73" s="1259">
        <v>58</v>
      </c>
      <c r="B73" s="1259" t="str">
        <f>'Chấm công KT'!C70</f>
        <v>04065</v>
      </c>
      <c r="C73" s="1262" t="str">
        <f>TONGHOPCONGDOI!C68</f>
        <v>N. Phết 2</v>
      </c>
      <c r="D73" s="1262"/>
      <c r="E73" s="1263"/>
      <c r="F73" s="1262">
        <f t="shared" si="1"/>
        <v>0</v>
      </c>
      <c r="G73" s="1262">
        <f>VLOOKUP(C73,TONGHOPCONGDOI!C68:AE94,16,0)</f>
        <v>4120</v>
      </c>
      <c r="H73" s="1262">
        <f>VLOOKUP(C73,TONGHOPCONGDOI!C68:AE94,17,0)</f>
        <v>0</v>
      </c>
      <c r="I73" s="1262"/>
      <c r="J73" s="888">
        <f t="shared" si="7"/>
        <v>1759.8119840505228</v>
      </c>
      <c r="K73" s="1259" t="str">
        <f>VLOOKUP(C73,'BTH mủ tạp'!D74:AN152,37,0)</f>
        <v>A</v>
      </c>
      <c r="L73" s="889">
        <f t="shared" si="5"/>
        <v>7200510</v>
      </c>
      <c r="M73" s="1262">
        <f>VLOOKUP(C73,TONGHOPCONGDOI!$C$11:$V$91,20,0)</f>
        <v>26</v>
      </c>
      <c r="N73" s="1262">
        <f>VLOOKUP(C73,TONGHOPCONGDOI!$C$11:$W$91,21,0)</f>
        <v>2</v>
      </c>
      <c r="O73" s="1262">
        <f>VLOOKUP(C73,TONGHOPCONGDOI!$C$11:$AD$93,22,0)</f>
        <v>0</v>
      </c>
      <c r="P73" s="1262">
        <f>VLOOKUP(C73,TONGHOPCONGDOI!$C$11:$AD$93,23,0)</f>
        <v>2</v>
      </c>
      <c r="Q73" s="1262">
        <f>VLOOKUP(C73,TONGHOPCONGDOI!$C$11:$AD$93,24,0)</f>
        <v>0</v>
      </c>
      <c r="R73" s="1262">
        <f>VLOOKUP(C73,TONGHOPCONGDOI!$C$11:$AD$93,25,0)</f>
        <v>0</v>
      </c>
      <c r="S73" s="1262"/>
      <c r="T73" s="1262">
        <f t="shared" si="2"/>
        <v>2</v>
      </c>
      <c r="U73" s="1263"/>
      <c r="V73" s="1263"/>
      <c r="W73" s="890">
        <f t="shared" si="6"/>
        <v>1313462</v>
      </c>
      <c r="X73" s="1262">
        <f t="shared" si="8"/>
        <v>8513972</v>
      </c>
      <c r="Y73" s="1262"/>
      <c r="Z73" s="1262">
        <f>VLOOKUP(C73,'CNKT '!D73:AA98,24,0)</f>
        <v>8513972</v>
      </c>
      <c r="AA73" s="1258">
        <f t="shared" si="3"/>
        <v>0</v>
      </c>
    </row>
    <row r="74" spans="1:27" s="1258" customFormat="1" ht="50.25" customHeight="1">
      <c r="A74" s="1259">
        <v>59</v>
      </c>
      <c r="B74" s="1259" t="str">
        <f>'Chấm công KT'!C71</f>
        <v>03504</v>
      </c>
      <c r="C74" s="1262" t="str">
        <f>TONGHOPCONGDOI!C69</f>
        <v>T. Cạp</v>
      </c>
      <c r="D74" s="1262"/>
      <c r="E74" s="1263"/>
      <c r="F74" s="1262">
        <f t="shared" si="1"/>
        <v>0</v>
      </c>
      <c r="G74" s="1262">
        <f>VLOOKUP(C74,TONGHOPCONGDOI!C69:AE94,16,0)</f>
        <v>3308</v>
      </c>
      <c r="H74" s="1262">
        <f>VLOOKUP(C74,TONGHOPCONGDOI!C69:AE94,17,0)</f>
        <v>0</v>
      </c>
      <c r="I74" s="1262"/>
      <c r="J74" s="888">
        <f t="shared" si="7"/>
        <v>1412.9752532133809</v>
      </c>
      <c r="K74" s="1259" t="str">
        <f>VLOOKUP(C74,'BTH mủ tạp'!D75:AN153,37,0)</f>
        <v>A</v>
      </c>
      <c r="L74" s="889">
        <f t="shared" si="5"/>
        <v>5781380</v>
      </c>
      <c r="M74" s="1262">
        <f>VLOOKUP(C74,TONGHOPCONGDOI!$C$11:$V$91,20,0)</f>
        <v>25</v>
      </c>
      <c r="N74" s="1262">
        <f>VLOOKUP(C74,TONGHOPCONGDOI!$C$11:$W$91,21,0)</f>
        <v>2</v>
      </c>
      <c r="O74" s="1262">
        <f>VLOOKUP(C74,TONGHOPCONGDOI!$C$11:$AD$93,22,0)</f>
        <v>0</v>
      </c>
      <c r="P74" s="1262">
        <f>VLOOKUP(C74,TONGHOPCONGDOI!$C$11:$AD$93,23,0)</f>
        <v>2</v>
      </c>
      <c r="Q74" s="1262">
        <f>VLOOKUP(C74,TONGHOPCONGDOI!$C$11:$AD$93,24,0)</f>
        <v>0</v>
      </c>
      <c r="R74" s="1262">
        <f>VLOOKUP(C74,TONGHOPCONGDOI!$C$11:$AD$93,25,0)</f>
        <v>0</v>
      </c>
      <c r="S74" s="1262"/>
      <c r="T74" s="1262">
        <f t="shared" si="2"/>
        <v>2</v>
      </c>
      <c r="U74" s="1263"/>
      <c r="V74" s="1263"/>
      <c r="W74" s="890">
        <f t="shared" si="6"/>
        <v>1282540</v>
      </c>
      <c r="X74" s="1262">
        <f t="shared" si="8"/>
        <v>7063920</v>
      </c>
      <c r="Y74" s="1262"/>
      <c r="Z74" s="1262">
        <f>VLOOKUP(C74,'CNKT '!D74:AA98,24,0)</f>
        <v>7063920</v>
      </c>
      <c r="AA74" s="1258">
        <f t="shared" si="3"/>
        <v>0</v>
      </c>
    </row>
    <row r="75" spans="1:27" s="1258" customFormat="1" ht="50.25" customHeight="1">
      <c r="A75" s="1259">
        <v>60</v>
      </c>
      <c r="B75" s="1259">
        <f>'Chấm công KT'!C72</f>
        <v>0</v>
      </c>
      <c r="C75" s="1262" t="str">
        <f>TONGHOPCONGDOI!C70</f>
        <v>N. Ních</v>
      </c>
      <c r="D75" s="1262"/>
      <c r="E75" s="1263"/>
      <c r="F75" s="1262">
        <f t="shared" si="1"/>
        <v>0</v>
      </c>
      <c r="G75" s="1262">
        <f>VLOOKUP(C75,TONGHOPCONGDOI!C70:AE94,16,0)</f>
        <v>3423</v>
      </c>
      <c r="H75" s="1262">
        <f>VLOOKUP(C75,TONGHOPCONGDOI!C70:AE94,17,0)</f>
        <v>0</v>
      </c>
      <c r="I75" s="1262"/>
      <c r="J75" s="888">
        <f t="shared" si="7"/>
        <v>1462.0962187876066</v>
      </c>
      <c r="K75" s="1259" t="str">
        <f>VLOOKUP(C75,'BTH mủ tạp'!D76:AN154,37,0)</f>
        <v>B</v>
      </c>
      <c r="L75" s="889">
        <f t="shared" si="5"/>
        <v>5688151</v>
      </c>
      <c r="M75" s="1262">
        <f>VLOOKUP(C75,TONGHOPCONGDOI!$C$11:$V$91,20,0)</f>
        <v>25</v>
      </c>
      <c r="N75" s="1262">
        <f>VLOOKUP(C75,TONGHOPCONGDOI!$C$11:$W$91,21,0)</f>
        <v>2</v>
      </c>
      <c r="O75" s="1262">
        <f>VLOOKUP(C75,TONGHOPCONGDOI!$C$11:$AD$93,22,0)</f>
        <v>0</v>
      </c>
      <c r="P75" s="1262">
        <f>VLOOKUP(C75,TONGHOPCONGDOI!$C$11:$AD$93,23,0)</f>
        <v>2</v>
      </c>
      <c r="Q75" s="1262">
        <f>VLOOKUP(C75,TONGHOPCONGDOI!$C$11:$AD$93,24,0)</f>
        <v>0</v>
      </c>
      <c r="R75" s="1262">
        <f>VLOOKUP(C75,TONGHOPCONGDOI!$C$11:$AD$93,25,0)</f>
        <v>0</v>
      </c>
      <c r="S75" s="1262"/>
      <c r="T75" s="1262">
        <f t="shared" si="2"/>
        <v>2</v>
      </c>
      <c r="U75" s="1263"/>
      <c r="V75" s="1263"/>
      <c r="W75" s="890">
        <f t="shared" si="6"/>
        <v>1282540</v>
      </c>
      <c r="X75" s="1262">
        <f t="shared" si="8"/>
        <v>6970691</v>
      </c>
      <c r="Y75" s="1262"/>
      <c r="Z75" s="1262">
        <f>VLOOKUP(C75,'CNKT '!D75:AA98,24,0)</f>
        <v>6970691</v>
      </c>
      <c r="AA75" s="1258">
        <f t="shared" si="3"/>
        <v>0</v>
      </c>
    </row>
    <row r="76" spans="1:27" s="1258" customFormat="1" ht="50.25" customHeight="1">
      <c r="A76" s="1259">
        <v>61</v>
      </c>
      <c r="B76" s="1259" t="str">
        <f>'Chấm công KT'!C73</f>
        <v>03506</v>
      </c>
      <c r="C76" s="1262" t="str">
        <f>TONGHOPCONGDOI!C71</f>
        <v>N. Bua Hom</v>
      </c>
      <c r="D76" s="1262"/>
      <c r="E76" s="1263"/>
      <c r="F76" s="1262">
        <f t="shared" si="1"/>
        <v>0</v>
      </c>
      <c r="G76" s="1262">
        <f>VLOOKUP(C76,TONGHOPCONGDOI!C71:AE94,16,0)</f>
        <v>4295</v>
      </c>
      <c r="H76" s="1262">
        <f>VLOOKUP(C76,TONGHOPCONGDOI!C71:AE94,17,0)</f>
        <v>0</v>
      </c>
      <c r="I76" s="1262"/>
      <c r="J76" s="888">
        <f t="shared" si="7"/>
        <v>1834.5612794895621</v>
      </c>
      <c r="K76" s="1259" t="str">
        <f>VLOOKUP(C76,'BTH mủ tạp'!D77:AN155,37,0)</f>
        <v>A</v>
      </c>
      <c r="L76" s="889">
        <f t="shared" si="5"/>
        <v>7506357</v>
      </c>
      <c r="M76" s="1262">
        <f>VLOOKUP(C76,TONGHOPCONGDOI!$C$11:$V$91,20,0)</f>
        <v>25</v>
      </c>
      <c r="N76" s="1262">
        <f>VLOOKUP(C76,TONGHOPCONGDOI!$C$11:$W$91,21,0)</f>
        <v>2</v>
      </c>
      <c r="O76" s="1262">
        <f>VLOOKUP(C76,TONGHOPCONGDOI!$C$11:$AD$93,22,0)</f>
        <v>0</v>
      </c>
      <c r="P76" s="1262">
        <f>VLOOKUP(C76,TONGHOPCONGDOI!$C$11:$AD$93,23,0)</f>
        <v>2</v>
      </c>
      <c r="Q76" s="1262">
        <f>VLOOKUP(C76,TONGHOPCONGDOI!$C$11:$AD$93,24,0)</f>
        <v>0</v>
      </c>
      <c r="R76" s="1262">
        <f>VLOOKUP(C76,TONGHOPCONGDOI!$C$11:$AD$93,25,0)</f>
        <v>0</v>
      </c>
      <c r="S76" s="1262"/>
      <c r="T76" s="1262">
        <f t="shared" si="2"/>
        <v>2</v>
      </c>
      <c r="U76" s="1263"/>
      <c r="V76" s="1263"/>
      <c r="W76" s="890">
        <f t="shared" si="6"/>
        <v>1282540</v>
      </c>
      <c r="X76" s="1262">
        <f t="shared" si="8"/>
        <v>8788897</v>
      </c>
      <c r="Y76" s="1262"/>
      <c r="Z76" s="1262">
        <f>VLOOKUP(C76,'CNKT '!D76:AA98,24,0)</f>
        <v>8788897</v>
      </c>
      <c r="AA76" s="1258">
        <f t="shared" si="3"/>
        <v>0</v>
      </c>
    </row>
    <row r="77" spans="1:27" s="1258" customFormat="1" ht="50.25" customHeight="1">
      <c r="A77" s="1259">
        <v>62</v>
      </c>
      <c r="B77" s="1259" t="str">
        <f>'Chấm công KT'!C74</f>
        <v>04067</v>
      </c>
      <c r="C77" s="1262" t="str">
        <f>TONGHOPCONGDOI!C72</f>
        <v>N. Lăm Phay (2)</v>
      </c>
      <c r="D77" s="1262"/>
      <c r="E77" s="1263"/>
      <c r="F77" s="1262">
        <f t="shared" si="1"/>
        <v>0</v>
      </c>
      <c r="G77" s="1262">
        <f>VLOOKUP(C77,TONGHOPCONGDOI!C72:AE94,16,0)</f>
        <v>3508</v>
      </c>
      <c r="H77" s="1262">
        <f>VLOOKUP(C77,TONGHOPCONGDOI!C72:AE94,17,0)</f>
        <v>0</v>
      </c>
      <c r="I77" s="1262"/>
      <c r="J77" s="888">
        <f t="shared" si="7"/>
        <v>1498.4030194294257</v>
      </c>
      <c r="K77" s="1259" t="str">
        <f>VLOOKUP(C77,'BTH mủ tạp'!D78:AN156,37,0)</f>
        <v>A</v>
      </c>
      <c r="L77" s="889">
        <f t="shared" si="5"/>
        <v>6130920</v>
      </c>
      <c r="M77" s="1262">
        <f>VLOOKUP(C77,TONGHOPCONGDOI!$C$11:$V$91,20,0)</f>
        <v>26</v>
      </c>
      <c r="N77" s="1262">
        <f>VLOOKUP(C77,TONGHOPCONGDOI!$C$11:$W$91,21,0)</f>
        <v>2</v>
      </c>
      <c r="O77" s="1262">
        <f>VLOOKUP(C77,TONGHOPCONGDOI!$C$11:$AD$93,22,0)</f>
        <v>0</v>
      </c>
      <c r="P77" s="1262">
        <f>VLOOKUP(C77,TONGHOPCONGDOI!$C$11:$AD$93,23,0)</f>
        <v>2</v>
      </c>
      <c r="Q77" s="1262">
        <f>VLOOKUP(C77,TONGHOPCONGDOI!$C$11:$AD$93,24,0)</f>
        <v>0</v>
      </c>
      <c r="R77" s="1262">
        <f>VLOOKUP(C77,TONGHOPCONGDOI!$C$11:$AD$93,25,0)</f>
        <v>0</v>
      </c>
      <c r="S77" s="1262"/>
      <c r="T77" s="1262">
        <f t="shared" si="2"/>
        <v>2</v>
      </c>
      <c r="U77" s="1263"/>
      <c r="V77" s="1263"/>
      <c r="W77" s="890">
        <f t="shared" si="6"/>
        <v>1313462</v>
      </c>
      <c r="X77" s="1262">
        <f t="shared" si="8"/>
        <v>7444382</v>
      </c>
      <c r="Y77" s="1262"/>
      <c r="Z77" s="1262">
        <f>VLOOKUP(C77,'CNKT '!D77:AA98,24,0)</f>
        <v>7444382</v>
      </c>
      <c r="AA77" s="1258">
        <f t="shared" si="3"/>
        <v>0</v>
      </c>
    </row>
    <row r="78" spans="1:27" s="1258" customFormat="1" ht="50.25" customHeight="1">
      <c r="A78" s="1259">
        <v>63</v>
      </c>
      <c r="B78" s="1259" t="str">
        <f>'Chấm công KT'!C75</f>
        <v>03508</v>
      </c>
      <c r="C78" s="1262" t="str">
        <f>TONGHOPCONGDOI!C73</f>
        <v>T. Đèng</v>
      </c>
      <c r="D78" s="1262"/>
      <c r="E78" s="1263"/>
      <c r="F78" s="1262">
        <f t="shared" si="1"/>
        <v>0</v>
      </c>
      <c r="G78" s="1262">
        <f>VLOOKUP(C78,TONGHOPCONGDOI!C73:AE94,16,0)</f>
        <v>3189</v>
      </c>
      <c r="H78" s="1262">
        <f>VLOOKUP(C78,TONGHOPCONGDOI!C73:AE94,17,0)</f>
        <v>0</v>
      </c>
      <c r="I78" s="1262"/>
      <c r="J78" s="888">
        <f t="shared" si="7"/>
        <v>1362.1457323148343</v>
      </c>
      <c r="K78" s="1259" t="str">
        <f>VLOOKUP(C78,'BTH mủ tạp'!D79:AN157,37,0)</f>
        <v>B</v>
      </c>
      <c r="L78" s="889">
        <f t="shared" si="5"/>
        <v>5299303</v>
      </c>
      <c r="M78" s="1262">
        <f>VLOOKUP(C78,TONGHOPCONGDOI!$C$11:$V$91,20,0)</f>
        <v>26</v>
      </c>
      <c r="N78" s="1262">
        <f>VLOOKUP(C78,TONGHOPCONGDOI!$C$11:$W$91,21,0)</f>
        <v>2</v>
      </c>
      <c r="O78" s="1262">
        <f>VLOOKUP(C78,TONGHOPCONGDOI!$C$11:$AD$93,22,0)</f>
        <v>0</v>
      </c>
      <c r="P78" s="1262">
        <f>VLOOKUP(C78,TONGHOPCONGDOI!$C$11:$AD$93,23,0)</f>
        <v>2</v>
      </c>
      <c r="Q78" s="1262">
        <f>VLOOKUP(C78,TONGHOPCONGDOI!$C$11:$AD$93,24,0)</f>
        <v>0</v>
      </c>
      <c r="R78" s="1262">
        <f>VLOOKUP(C78,TONGHOPCONGDOI!$C$11:$AD$93,25,0)</f>
        <v>0</v>
      </c>
      <c r="S78" s="1262"/>
      <c r="T78" s="1262">
        <f t="shared" si="2"/>
        <v>2</v>
      </c>
      <c r="U78" s="1263"/>
      <c r="V78" s="1263"/>
      <c r="W78" s="890">
        <f t="shared" si="6"/>
        <v>1313462</v>
      </c>
      <c r="X78" s="1262">
        <f t="shared" si="8"/>
        <v>6612765</v>
      </c>
      <c r="Y78" s="1262"/>
      <c r="Z78" s="1262">
        <f>VLOOKUP(C78,'CNKT '!D78:AA98,24,0)</f>
        <v>6612765</v>
      </c>
      <c r="AA78" s="1258">
        <f t="shared" si="3"/>
        <v>0</v>
      </c>
    </row>
    <row r="79" spans="1:27" s="1258" customFormat="1" ht="50.25" customHeight="1">
      <c r="A79" s="1259">
        <v>64</v>
      </c>
      <c r="B79" s="1259" t="str">
        <f>'Chấm công KT'!C76</f>
        <v>03512</v>
      </c>
      <c r="C79" s="1262" t="str">
        <f>TONGHOPCONGDOI!C74</f>
        <v>N. Đon</v>
      </c>
      <c r="D79" s="1262"/>
      <c r="E79" s="1263"/>
      <c r="F79" s="1262">
        <f t="shared" si="1"/>
        <v>0</v>
      </c>
      <c r="G79" s="1262">
        <f>VLOOKUP(C79,TONGHOPCONGDOI!C74:AE94,16,0)</f>
        <v>3620</v>
      </c>
      <c r="H79" s="1262">
        <f>VLOOKUP(C79,TONGHOPCONGDOI!C74:AE94,17,0)</f>
        <v>0</v>
      </c>
      <c r="I79" s="1262"/>
      <c r="J79" s="888">
        <f t="shared" si="7"/>
        <v>1546.2425685104108</v>
      </c>
      <c r="K79" s="1259" t="str">
        <f>VLOOKUP(C79,'BTH mủ tạp'!D80:AN158,37,0)</f>
        <v>B</v>
      </c>
      <c r="L79" s="889">
        <f t="shared" si="5"/>
        <v>6015514</v>
      </c>
      <c r="M79" s="1262">
        <f>VLOOKUP(C79,TONGHOPCONGDOI!$C$11:$V$91,20,0)</f>
        <v>25</v>
      </c>
      <c r="N79" s="1262">
        <f>VLOOKUP(C79,TONGHOPCONGDOI!$C$11:$W$91,21,0)</f>
        <v>2</v>
      </c>
      <c r="O79" s="1262">
        <f>VLOOKUP(C79,TONGHOPCONGDOI!$C$11:$AD$93,22,0)</f>
        <v>0</v>
      </c>
      <c r="P79" s="1262">
        <f>VLOOKUP(C79,TONGHOPCONGDOI!$C$11:$AD$93,23,0)</f>
        <v>2</v>
      </c>
      <c r="Q79" s="1262">
        <f>VLOOKUP(C79,TONGHOPCONGDOI!$C$11:$AD$93,24,0)</f>
        <v>0</v>
      </c>
      <c r="R79" s="1262">
        <f>VLOOKUP(C79,TONGHOPCONGDOI!$C$11:$AD$93,25,0)</f>
        <v>0</v>
      </c>
      <c r="S79" s="1262"/>
      <c r="T79" s="1262">
        <f t="shared" si="2"/>
        <v>2</v>
      </c>
      <c r="U79" s="1263"/>
      <c r="V79" s="1263"/>
      <c r="W79" s="890">
        <f t="shared" si="6"/>
        <v>1282540</v>
      </c>
      <c r="X79" s="1262">
        <f t="shared" si="8"/>
        <v>7298054</v>
      </c>
      <c r="Y79" s="1262"/>
      <c r="Z79" s="1262">
        <f>VLOOKUP(C79,'CNKT '!D79:AA98,24,0)</f>
        <v>7298054</v>
      </c>
      <c r="AA79" s="1258">
        <f t="shared" si="3"/>
        <v>0</v>
      </c>
    </row>
    <row r="80" spans="1:27" s="1258" customFormat="1" ht="50.25" customHeight="1">
      <c r="A80" s="1259">
        <v>65</v>
      </c>
      <c r="B80" s="1259" t="str">
        <f>'Chấm công KT'!C77</f>
        <v>04068</v>
      </c>
      <c r="C80" s="1262" t="str">
        <f>TONGHOPCONGDOI!C75</f>
        <v xml:space="preserve">T. La </v>
      </c>
      <c r="D80" s="1262"/>
      <c r="E80" s="1263"/>
      <c r="F80" s="1262">
        <f t="shared" si="1"/>
        <v>0</v>
      </c>
      <c r="G80" s="1262">
        <f>VLOOKUP(C80,TONGHOPCONGDOI!C75:AE94,16,0)</f>
        <v>3728</v>
      </c>
      <c r="H80" s="1262">
        <f>VLOOKUP(C80,TONGHOPCONGDOI!C75:AE94,17,0)</f>
        <v>0</v>
      </c>
      <c r="I80" s="1262"/>
      <c r="J80" s="888">
        <f t="shared" ref="J80" si="9">$AB$10/$AB$9*G80+H80*$AB$11+I80*$AB$12</f>
        <v>1592.3735622670749</v>
      </c>
      <c r="K80" s="1259" t="str">
        <f>VLOOKUP(C80,'BTH mủ tạp'!D81:AN160,37,0)</f>
        <v>B</v>
      </c>
      <c r="L80" s="889">
        <f t="shared" si="5"/>
        <v>6194983</v>
      </c>
      <c r="M80" s="1262">
        <f>VLOOKUP(C80,TONGHOPCONGDOI!$C$11:$V$91,20,0)</f>
        <v>25</v>
      </c>
      <c r="N80" s="1262">
        <f>VLOOKUP(C80,TONGHOPCONGDOI!$C$11:$W$91,21,0)</f>
        <v>2</v>
      </c>
      <c r="O80" s="1262">
        <f>VLOOKUP(C80,TONGHOPCONGDOI!$C$11:$AD$93,22,0)</f>
        <v>0</v>
      </c>
      <c r="P80" s="1262">
        <f>VLOOKUP(C80,TONGHOPCONGDOI!$C$11:$AD$93,23,0)</f>
        <v>2</v>
      </c>
      <c r="Q80" s="1262">
        <f>VLOOKUP(C80,TONGHOPCONGDOI!$C$11:$AD$93,24,0)</f>
        <v>0</v>
      </c>
      <c r="R80" s="1262">
        <f>VLOOKUP(C80,TONGHOPCONGDOI!$C$11:$AD$93,25,0)</f>
        <v>0</v>
      </c>
      <c r="S80" s="1262"/>
      <c r="T80" s="1262">
        <f t="shared" si="2"/>
        <v>2</v>
      </c>
      <c r="U80" s="1263"/>
      <c r="V80" s="1263"/>
      <c r="W80" s="890">
        <f t="shared" si="6"/>
        <v>1282540</v>
      </c>
      <c r="X80" s="1262">
        <f t="shared" ref="X80:X99" si="10">F80+L80+W80</f>
        <v>7477523</v>
      </c>
      <c r="Y80" s="1262"/>
      <c r="Z80" s="1262">
        <f>VLOOKUP(C80,'CNKT '!D80:AA98,24,0)</f>
        <v>7477523</v>
      </c>
      <c r="AA80" s="1258">
        <f t="shared" ref="AA80:AA87" si="11">Z80-X80</f>
        <v>0</v>
      </c>
    </row>
    <row r="81" spans="1:27" s="1258" customFormat="1" ht="50.25" customHeight="1">
      <c r="A81" s="1259">
        <v>66</v>
      </c>
      <c r="B81" s="1259" t="str">
        <f>'Chấm công KT'!C78</f>
        <v>04069</v>
      </c>
      <c r="C81" s="1262" t="str">
        <f>TONGHOPCONGDOI!C76</f>
        <v>T. Bờm</v>
      </c>
      <c r="D81" s="1262"/>
      <c r="E81" s="1263"/>
      <c r="F81" s="1262">
        <f t="shared" ref="F81:F98" si="12">E81*25000</f>
        <v>0</v>
      </c>
      <c r="G81" s="1262">
        <f>VLOOKUP(C81,TONGHOPCONGDOI!C76:AE94,16,0)</f>
        <v>3502</v>
      </c>
      <c r="H81" s="1262">
        <f>VLOOKUP(C81,TONGHOPCONGDOI!C76:AE94,17,0)</f>
        <v>0</v>
      </c>
      <c r="I81" s="1262"/>
      <c r="J81" s="888">
        <f t="shared" ref="J81:J93" si="13">$AB$10/$AB$9*G81+H81*$AB$11+I81*$AB$12</f>
        <v>1495.8401864429445</v>
      </c>
      <c r="K81" s="1259" t="str">
        <f>VLOOKUP(C81,'BTH mủ tạp'!D82:AN160,37,0)</f>
        <v>A</v>
      </c>
      <c r="L81" s="889">
        <f t="shared" ref="L81:L95" si="14">ROUND((IF(K81="A",(G81*$Z$12*6.1),IF(K81="B",(G81*$Z$12*5.8),IF(K81="C",(G81*$Z$12*5.5),IF(K81="C.",(G81*$Z$12*5.5),IF(K81="D",(G81*$Z$12*5.2),0)))))*$E$12+(H81*$AB$11*$E$12*6.1)+I81*$E$12*$AB$12*6.1),0)</f>
        <v>6120434</v>
      </c>
      <c r="M81" s="1262">
        <f>VLOOKUP(C81,TONGHOPCONGDOI!$C$11:$V$91,20,0)</f>
        <v>24</v>
      </c>
      <c r="N81" s="1262">
        <f>VLOOKUP(C81,TONGHOPCONGDOI!$C$11:$W$91,21,0)</f>
        <v>2</v>
      </c>
      <c r="O81" s="1262">
        <f>VLOOKUP(C81,TONGHOPCONGDOI!$C$11:$AD$93,22,0)</f>
        <v>0</v>
      </c>
      <c r="P81" s="1262">
        <f>VLOOKUP(C81,TONGHOPCONGDOI!$C$11:$AD$93,23,0)</f>
        <v>2</v>
      </c>
      <c r="Q81" s="1262">
        <f>VLOOKUP(C81,TONGHOPCONGDOI!$C$11:$AD$93,24,0)</f>
        <v>0</v>
      </c>
      <c r="R81" s="1262">
        <f>VLOOKUP(C81,TONGHOPCONGDOI!$C$11:$AD$93,25,0)</f>
        <v>0</v>
      </c>
      <c r="S81" s="1262"/>
      <c r="T81" s="1262">
        <f t="shared" ref="T81:T88" si="15">P81</f>
        <v>2</v>
      </c>
      <c r="U81" s="1263"/>
      <c r="V81" s="1263"/>
      <c r="W81" s="890">
        <f t="shared" si="6"/>
        <v>1251618</v>
      </c>
      <c r="X81" s="1262">
        <f t="shared" si="10"/>
        <v>7372052</v>
      </c>
      <c r="Y81" s="1262"/>
      <c r="Z81" s="1262">
        <f>VLOOKUP(C81,'CNKT '!D81:AA98,24,0)</f>
        <v>7372052</v>
      </c>
      <c r="AA81" s="1258">
        <f t="shared" si="11"/>
        <v>0</v>
      </c>
    </row>
    <row r="82" spans="1:27" s="1258" customFormat="1" ht="50.25" customHeight="1">
      <c r="A82" s="1259">
        <v>67</v>
      </c>
      <c r="B82" s="1259" t="str">
        <f>'Chấm công KT'!C79</f>
        <v>03546</v>
      </c>
      <c r="C82" s="1262" t="str">
        <f>TONGHOPCONGDOI!C77</f>
        <v>T. Nọi</v>
      </c>
      <c r="D82" s="1262"/>
      <c r="E82" s="1263"/>
      <c r="F82" s="1262">
        <f t="shared" si="12"/>
        <v>0</v>
      </c>
      <c r="G82" s="1262">
        <f>VLOOKUP(C82,TONGHOPCONGDOI!C77:AE94,16,0)</f>
        <v>3573</v>
      </c>
      <c r="H82" s="1262">
        <f>VLOOKUP(C82,TONGHOPCONGDOI!C77:AE94,17,0)</f>
        <v>0</v>
      </c>
      <c r="I82" s="1262"/>
      <c r="J82" s="888">
        <f t="shared" si="13"/>
        <v>1526.1670434496402</v>
      </c>
      <c r="K82" s="1259" t="str">
        <f>VLOOKUP(C82,'BTH mủ tạp'!D83:AN161,37,0)</f>
        <v>A</v>
      </c>
      <c r="L82" s="889">
        <f t="shared" si="14"/>
        <v>6244520</v>
      </c>
      <c r="M82" s="1262">
        <f>VLOOKUP(C82,TONGHOPCONGDOI!$C$11:$V$91,20,0)</f>
        <v>26</v>
      </c>
      <c r="N82" s="1262">
        <f>VLOOKUP(C82,TONGHOPCONGDOI!$C$11:$W$91,21,0)</f>
        <v>2</v>
      </c>
      <c r="O82" s="1262">
        <f>VLOOKUP(C82,TONGHOPCONGDOI!$C$11:$AD$93,22,0)</f>
        <v>0</v>
      </c>
      <c r="P82" s="1262">
        <f>VLOOKUP(C82,TONGHOPCONGDOI!$C$11:$AD$93,23,0)</f>
        <v>2</v>
      </c>
      <c r="Q82" s="1262">
        <f>VLOOKUP(C82,TONGHOPCONGDOI!$C$11:$AD$93,24,0)</f>
        <v>0</v>
      </c>
      <c r="R82" s="1262">
        <f>VLOOKUP(C82,TONGHOPCONGDOI!$C$11:$AD$93,25,0)</f>
        <v>0</v>
      </c>
      <c r="S82" s="1262"/>
      <c r="T82" s="1262">
        <f t="shared" si="15"/>
        <v>2</v>
      </c>
      <c r="U82" s="1263"/>
      <c r="V82" s="1263"/>
      <c r="W82" s="890">
        <f t="shared" ref="W82:W92" si="16">ROUND(((M82*46.1)+(N82*76.9)+(O82*92.2)+(P82*153.8)+(Q82*92.2)+(R82*153.8))*$E$12+(S82*25000)+(T82*100000),0)</f>
        <v>1313462</v>
      </c>
      <c r="X82" s="1262">
        <f t="shared" si="10"/>
        <v>7557982</v>
      </c>
      <c r="Y82" s="1262"/>
      <c r="Z82" s="1262">
        <f>VLOOKUP(C82,'CNKT '!D82:AA98,24,0)</f>
        <v>7557982</v>
      </c>
      <c r="AA82" s="1258">
        <f t="shared" si="11"/>
        <v>0</v>
      </c>
    </row>
    <row r="83" spans="1:27" s="1258" customFormat="1" ht="50.25" customHeight="1">
      <c r="A83" s="1259">
        <v>68</v>
      </c>
      <c r="B83" s="1259" t="str">
        <f>'Chấm công KT'!C80</f>
        <v>03571</v>
      </c>
      <c r="C83" s="1262" t="str">
        <f>TONGHOPCONGDOI!C78</f>
        <v>T. Ê</v>
      </c>
      <c r="D83" s="1262"/>
      <c r="E83" s="1263"/>
      <c r="F83" s="1262">
        <f t="shared" si="12"/>
        <v>0</v>
      </c>
      <c r="G83" s="1262">
        <f>VLOOKUP(C83,TONGHOPCONGDOI!C78:AE94,16,0)</f>
        <v>2956</v>
      </c>
      <c r="H83" s="1262">
        <f>VLOOKUP(C83,TONGHOPCONGDOI!C78:AE94,17,0)</f>
        <v>0</v>
      </c>
      <c r="I83" s="1262"/>
      <c r="J83" s="888">
        <f t="shared" si="13"/>
        <v>1262.6223846731421</v>
      </c>
      <c r="K83" s="1259" t="str">
        <f>VLOOKUP(C83,'BTH mủ tạp'!D84:AN162,37,0)</f>
        <v>B</v>
      </c>
      <c r="L83" s="889">
        <f t="shared" si="14"/>
        <v>4912116</v>
      </c>
      <c r="M83" s="1262">
        <f>VLOOKUP(C83,TONGHOPCONGDOI!$C$11:$V$91,20,0)</f>
        <v>26</v>
      </c>
      <c r="N83" s="1262">
        <f>VLOOKUP(C83,TONGHOPCONGDOI!$C$11:$W$91,21,0)</f>
        <v>2</v>
      </c>
      <c r="O83" s="1262">
        <f>VLOOKUP(C83,TONGHOPCONGDOI!$C$11:$AD$93,22,0)</f>
        <v>0</v>
      </c>
      <c r="P83" s="1262">
        <f>VLOOKUP(C83,TONGHOPCONGDOI!$C$11:$AD$93,23,0)</f>
        <v>2</v>
      </c>
      <c r="Q83" s="1262">
        <f>VLOOKUP(C83,TONGHOPCONGDOI!$C$11:$AD$93,24,0)</f>
        <v>0</v>
      </c>
      <c r="R83" s="1262">
        <f>VLOOKUP(C83,TONGHOPCONGDOI!$C$11:$AD$93,25,0)</f>
        <v>0</v>
      </c>
      <c r="S83" s="1262"/>
      <c r="T83" s="1262">
        <f t="shared" si="15"/>
        <v>2</v>
      </c>
      <c r="U83" s="1263"/>
      <c r="V83" s="1263"/>
      <c r="W83" s="890">
        <f t="shared" si="16"/>
        <v>1313462</v>
      </c>
      <c r="X83" s="1262">
        <f t="shared" si="10"/>
        <v>6225578</v>
      </c>
      <c r="Y83" s="1262"/>
      <c r="Z83" s="1262">
        <f>VLOOKUP(C83,'CNKT '!D83:AA98,24,0)</f>
        <v>6225578</v>
      </c>
      <c r="AA83" s="1258">
        <f t="shared" si="11"/>
        <v>0</v>
      </c>
    </row>
    <row r="84" spans="1:27" s="1258" customFormat="1" ht="50.25" customHeight="1">
      <c r="A84" s="1259">
        <v>69</v>
      </c>
      <c r="B84" s="1259">
        <f>'Chấm công KT'!C81</f>
        <v>0</v>
      </c>
      <c r="C84" s="1262" t="str">
        <f>TONGHOPCONGDOI!C79</f>
        <v>T. Tu</v>
      </c>
      <c r="D84" s="1262"/>
      <c r="E84" s="1263"/>
      <c r="F84" s="1262">
        <f t="shared" si="12"/>
        <v>0</v>
      </c>
      <c r="G84" s="1262">
        <f>VLOOKUP(C84,TONGHOPCONGDOI!C79:AE94,16,0)</f>
        <v>4795</v>
      </c>
      <c r="H84" s="1262">
        <f>VLOOKUP(C84,TONGHOPCONGDOI!C79:AE94,17,0)</f>
        <v>0</v>
      </c>
      <c r="I84" s="1262"/>
      <c r="J84" s="888">
        <f t="shared" si="13"/>
        <v>2048.1306950296739</v>
      </c>
      <c r="K84" s="1259" t="str">
        <f>VLOOKUP(C84,'BTH mủ tạp'!D85:AN163,37,0)</f>
        <v>B</v>
      </c>
      <c r="L84" s="889">
        <f t="shared" si="14"/>
        <v>7968064</v>
      </c>
      <c r="M84" s="1262">
        <f>VLOOKUP(C84,TONGHOPCONGDOI!$C$11:$V$91,20,0)</f>
        <v>25</v>
      </c>
      <c r="N84" s="1262">
        <f>VLOOKUP(C84,TONGHOPCONGDOI!$C$11:$W$91,21,0)</f>
        <v>2</v>
      </c>
      <c r="O84" s="1262">
        <f>VLOOKUP(C84,TONGHOPCONGDOI!$C$11:$AD$93,22,0)</f>
        <v>0</v>
      </c>
      <c r="P84" s="1262">
        <f>VLOOKUP(C84,TONGHOPCONGDOI!$C$11:$AD$93,23,0)</f>
        <v>2</v>
      </c>
      <c r="Q84" s="1262">
        <f>VLOOKUP(C84,TONGHOPCONGDOI!$C$11:$AD$93,24,0)</f>
        <v>0</v>
      </c>
      <c r="R84" s="1262">
        <f>VLOOKUP(C84,TONGHOPCONGDOI!$C$11:$AD$93,25,0)</f>
        <v>0</v>
      </c>
      <c r="S84" s="1262"/>
      <c r="T84" s="1262">
        <f t="shared" si="15"/>
        <v>2</v>
      </c>
      <c r="U84" s="1263"/>
      <c r="V84" s="1263"/>
      <c r="W84" s="890">
        <f t="shared" si="16"/>
        <v>1282540</v>
      </c>
      <c r="X84" s="1262">
        <f t="shared" si="10"/>
        <v>9250604</v>
      </c>
      <c r="Y84" s="1262"/>
      <c r="Z84" s="1262">
        <f>VLOOKUP(C84,'CNKT '!D84:AA98,24,0)</f>
        <v>9250604</v>
      </c>
      <c r="AA84" s="1258">
        <f t="shared" si="11"/>
        <v>0</v>
      </c>
    </row>
    <row r="85" spans="1:27" s="1258" customFormat="1" ht="50.25" customHeight="1">
      <c r="A85" s="1259">
        <v>70</v>
      </c>
      <c r="B85" s="1259" t="str">
        <f>'Chấm công KT'!C82</f>
        <v>03515</v>
      </c>
      <c r="C85" s="1262" t="str">
        <f>TONGHOPCONGDOI!C80</f>
        <v>N. Xi</v>
      </c>
      <c r="D85" s="1262"/>
      <c r="E85" s="1263"/>
      <c r="F85" s="1262">
        <f t="shared" si="12"/>
        <v>0</v>
      </c>
      <c r="G85" s="1262">
        <f>VLOOKUP(C85,TONGHOPCONGDOI!C80:AE94,16,0)</f>
        <v>3743</v>
      </c>
      <c r="H85" s="1262">
        <f>VLOOKUP(C85,TONGHOPCONGDOI!C80:AE94,17,0)</f>
        <v>0</v>
      </c>
      <c r="I85" s="1262"/>
      <c r="J85" s="888">
        <f t="shared" si="13"/>
        <v>1598.7806447332785</v>
      </c>
      <c r="K85" s="1259" t="str">
        <f>VLOOKUP(C85,'BTH mủ tạp'!D86:AN164,37,0)</f>
        <v>A</v>
      </c>
      <c r="L85" s="889">
        <f t="shared" si="14"/>
        <v>6541628</v>
      </c>
      <c r="M85" s="1262">
        <f>VLOOKUP(C85,TONGHOPCONGDOI!$C$11:$V$91,20,0)</f>
        <v>26</v>
      </c>
      <c r="N85" s="1262">
        <f>VLOOKUP(C85,TONGHOPCONGDOI!$C$11:$W$91,21,0)</f>
        <v>2</v>
      </c>
      <c r="O85" s="1262">
        <f>VLOOKUP(C85,TONGHOPCONGDOI!$C$11:$AD$93,22,0)</f>
        <v>0</v>
      </c>
      <c r="P85" s="1262">
        <f>VLOOKUP(C85,TONGHOPCONGDOI!$C$11:$AD$93,23,0)</f>
        <v>2</v>
      </c>
      <c r="Q85" s="1262">
        <f>VLOOKUP(C85,TONGHOPCONGDOI!$C$11:$AD$93,24,0)</f>
        <v>0</v>
      </c>
      <c r="R85" s="1262">
        <f>VLOOKUP(C85,TONGHOPCONGDOI!$C$11:$AD$93,25,0)</f>
        <v>0</v>
      </c>
      <c r="S85" s="1262"/>
      <c r="T85" s="1262">
        <f t="shared" si="15"/>
        <v>2</v>
      </c>
      <c r="U85" s="1263"/>
      <c r="V85" s="1263"/>
      <c r="W85" s="890">
        <f t="shared" si="16"/>
        <v>1313462</v>
      </c>
      <c r="X85" s="1262">
        <f t="shared" si="10"/>
        <v>7855090</v>
      </c>
      <c r="Y85" s="1262"/>
      <c r="Z85" s="1262">
        <f>VLOOKUP(C85,'CNKT '!D85:AA98,24,0)</f>
        <v>7855090</v>
      </c>
      <c r="AA85" s="1258">
        <f t="shared" si="11"/>
        <v>0</v>
      </c>
    </row>
    <row r="86" spans="1:27" s="1258" customFormat="1" ht="50.25" customHeight="1">
      <c r="A86" s="1259">
        <v>71</v>
      </c>
      <c r="B86" s="1259" t="str">
        <f>'Chấm công KT'!C83</f>
        <v>03516</v>
      </c>
      <c r="C86" s="1262" t="str">
        <f>TONGHOPCONGDOI!C81</f>
        <v>N. Chay</v>
      </c>
      <c r="D86" s="1262"/>
      <c r="E86" s="1263"/>
      <c r="F86" s="1262">
        <f t="shared" si="12"/>
        <v>0</v>
      </c>
      <c r="G86" s="1262">
        <f>VLOOKUP(C86,TONGHOPCONGDOI!C81:AE94,16,0)</f>
        <v>3943</v>
      </c>
      <c r="H86" s="1262">
        <f>VLOOKUP(C86,TONGHOPCONGDOI!C81:AE94,17,0)</f>
        <v>0</v>
      </c>
      <c r="I86" s="1262"/>
      <c r="J86" s="888">
        <f t="shared" si="13"/>
        <v>1684.2084109493233</v>
      </c>
      <c r="K86" s="1259" t="str">
        <f>VLOOKUP(C86,'BTH mủ tạp'!D87:AN165,37,0)</f>
        <v>A</v>
      </c>
      <c r="L86" s="889">
        <f t="shared" si="14"/>
        <v>6891168</v>
      </c>
      <c r="M86" s="1262">
        <f>VLOOKUP(C86,TONGHOPCONGDOI!$C$11:$V$91,20,0)</f>
        <v>26</v>
      </c>
      <c r="N86" s="1262">
        <f>VLOOKUP(C86,TONGHOPCONGDOI!$C$11:$W$91,21,0)</f>
        <v>2</v>
      </c>
      <c r="O86" s="1262">
        <f>VLOOKUP(C86,TONGHOPCONGDOI!$C$11:$AD$93,22,0)</f>
        <v>0</v>
      </c>
      <c r="P86" s="1262">
        <f>VLOOKUP(C86,TONGHOPCONGDOI!$C$11:$AD$93,23,0)</f>
        <v>2</v>
      </c>
      <c r="Q86" s="1262">
        <f>VLOOKUP(C86,TONGHOPCONGDOI!$C$11:$AD$93,24,0)</f>
        <v>0</v>
      </c>
      <c r="R86" s="1262">
        <f>VLOOKUP(C86,TONGHOPCONGDOI!$C$11:$AD$93,25,0)</f>
        <v>0</v>
      </c>
      <c r="S86" s="1262"/>
      <c r="T86" s="1262">
        <f t="shared" si="15"/>
        <v>2</v>
      </c>
      <c r="U86" s="1263"/>
      <c r="V86" s="1263"/>
      <c r="W86" s="890">
        <f t="shared" si="16"/>
        <v>1313462</v>
      </c>
      <c r="X86" s="1262">
        <f t="shared" si="10"/>
        <v>8204630</v>
      </c>
      <c r="Y86" s="1262"/>
      <c r="Z86" s="1262">
        <f>VLOOKUP(C86,'CNKT '!D86:AA98,24,0)</f>
        <v>8204630</v>
      </c>
      <c r="AA86" s="1258">
        <f>Z86-X86</f>
        <v>0</v>
      </c>
    </row>
    <row r="87" spans="1:27" s="1258" customFormat="1" ht="50.25" customHeight="1">
      <c r="A87" s="1259">
        <v>72</v>
      </c>
      <c r="B87" s="1259" t="str">
        <f>'Chấm công KT'!C84</f>
        <v>03544</v>
      </c>
      <c r="C87" s="1262" t="str">
        <f>TONGHOPCONGDOI!C82</f>
        <v>T. Ta</v>
      </c>
      <c r="D87" s="1262"/>
      <c r="E87" s="1263"/>
      <c r="F87" s="1262">
        <f t="shared" si="12"/>
        <v>0</v>
      </c>
      <c r="G87" s="1262">
        <f>VLOOKUP(C87,TONGHOPCONGDOI!C82:AE94,16,0)</f>
        <v>2557</v>
      </c>
      <c r="H87" s="1262">
        <f>VLOOKUP(C87,TONGHOPCONGDOI!C82:AE94,17,0)</f>
        <v>0</v>
      </c>
      <c r="I87" s="1262"/>
      <c r="J87" s="888">
        <f t="shared" si="13"/>
        <v>1092.1939910721328</v>
      </c>
      <c r="K87" s="1259" t="str">
        <f>VLOOKUP(C87,'BTH mủ tạp'!D88:AN166,37,0)</f>
        <v>A</v>
      </c>
      <c r="L87" s="889">
        <f t="shared" si="14"/>
        <v>4468860</v>
      </c>
      <c r="M87" s="1262">
        <f>VLOOKUP(C87,TONGHOPCONGDOI!$C$11:$V$91,20,0)</f>
        <v>26</v>
      </c>
      <c r="N87" s="1262">
        <f>VLOOKUP(C87,TONGHOPCONGDOI!$C$11:$W$91,21,0)</f>
        <v>2</v>
      </c>
      <c r="O87" s="1262">
        <f>VLOOKUP(C87,TONGHOPCONGDOI!$C$11:$AD$93,22,0)</f>
        <v>0</v>
      </c>
      <c r="P87" s="1262">
        <f>VLOOKUP(C87,TONGHOPCONGDOI!$C$11:$AD$93,23,0)</f>
        <v>2</v>
      </c>
      <c r="Q87" s="1262">
        <f>VLOOKUP(C87,TONGHOPCONGDOI!$C$11:$AD$93,24,0)</f>
        <v>0</v>
      </c>
      <c r="R87" s="1262">
        <f>VLOOKUP(C87,TONGHOPCONGDOI!$C$11:$AD$93,25,0)</f>
        <v>0</v>
      </c>
      <c r="S87" s="1262"/>
      <c r="T87" s="1262">
        <f t="shared" si="15"/>
        <v>2</v>
      </c>
      <c r="U87" s="1263"/>
      <c r="V87" s="1263"/>
      <c r="W87" s="890">
        <f t="shared" si="16"/>
        <v>1313462</v>
      </c>
      <c r="X87" s="1262">
        <f t="shared" si="10"/>
        <v>5782322</v>
      </c>
      <c r="Y87" s="1262"/>
      <c r="Z87" s="1262">
        <f>VLOOKUP(C87,'CNKT '!D87:AA98,24,0)</f>
        <v>5782322</v>
      </c>
      <c r="AA87" s="1258">
        <f t="shared" si="11"/>
        <v>0</v>
      </c>
    </row>
    <row r="88" spans="1:27" s="1258" customFormat="1" ht="50.25" customHeight="1">
      <c r="A88" s="1259">
        <v>73</v>
      </c>
      <c r="B88" s="1259" t="str">
        <f>'Chấm công KT'!C85</f>
        <v>04071</v>
      </c>
      <c r="C88" s="1262" t="str">
        <f>TONGHOPCONGDOI!C83</f>
        <v>T. Ne</v>
      </c>
      <c r="D88" s="1262"/>
      <c r="E88" s="1263"/>
      <c r="F88" s="1262">
        <f t="shared" si="12"/>
        <v>0</v>
      </c>
      <c r="G88" s="1262">
        <f>VLOOKUP(C88,TONGHOPCONGDOI!C83:AE94,16,0)</f>
        <v>2621</v>
      </c>
      <c r="H88" s="1262">
        <f>VLOOKUP(C88,TONGHOPCONGDOI!C83:AE94,17,0)</f>
        <v>0</v>
      </c>
      <c r="I88" s="1262"/>
      <c r="J88" s="888">
        <f t="shared" si="13"/>
        <v>1119.5308762612672</v>
      </c>
      <c r="K88" s="1259" t="str">
        <f>VLOOKUP(C88,'BTH mủ tạp'!D89:AN167,37,0)</f>
        <v>A</v>
      </c>
      <c r="L88" s="889">
        <f t="shared" si="14"/>
        <v>4580713</v>
      </c>
      <c r="M88" s="1262">
        <f>VLOOKUP(C88,TONGHOPCONGDOI!$C$11:$V$91,20,0)</f>
        <v>26</v>
      </c>
      <c r="N88" s="1262">
        <f>VLOOKUP(C88,TONGHOPCONGDOI!$C$11:$W$91,21,0)</f>
        <v>2</v>
      </c>
      <c r="O88" s="1262">
        <f>VLOOKUP(C88,TONGHOPCONGDOI!$C$11:$AD$93,22,0)</f>
        <v>0</v>
      </c>
      <c r="P88" s="1262">
        <f>VLOOKUP(C88,TONGHOPCONGDOI!$C$11:$AD$93,23,0)</f>
        <v>2</v>
      </c>
      <c r="Q88" s="1262">
        <f>VLOOKUP(C88,TONGHOPCONGDOI!$C$11:$AD$93,24,0)</f>
        <v>0</v>
      </c>
      <c r="R88" s="1262">
        <f>VLOOKUP(C88,TONGHOPCONGDOI!$C$11:$AD$93,25,0)</f>
        <v>0</v>
      </c>
      <c r="S88" s="1262"/>
      <c r="T88" s="1262">
        <f t="shared" si="15"/>
        <v>2</v>
      </c>
      <c r="U88" s="1263"/>
      <c r="V88" s="1263"/>
      <c r="W88" s="890">
        <f t="shared" si="16"/>
        <v>1313462</v>
      </c>
      <c r="X88" s="1262">
        <f t="shared" si="10"/>
        <v>5894175</v>
      </c>
      <c r="Y88" s="1262"/>
      <c r="Z88" s="1262">
        <f>VLOOKUP(C88,'CNKT '!D88:AA98,24,0)</f>
        <v>5894175</v>
      </c>
      <c r="AA88" s="1258">
        <f t="shared" ref="AA88:AA96" si="17">Z88-X88</f>
        <v>0</v>
      </c>
    </row>
    <row r="89" spans="1:27" s="1258" customFormat="1" ht="50.25" customHeight="1">
      <c r="A89" s="1259">
        <v>74</v>
      </c>
      <c r="B89" s="1259"/>
      <c r="C89" s="1262" t="str">
        <f>TONGHOPCONGDOI!C84</f>
        <v>T. Tý</v>
      </c>
      <c r="D89" s="1262"/>
      <c r="E89" s="1263"/>
      <c r="F89" s="1262">
        <f t="shared" si="12"/>
        <v>0</v>
      </c>
      <c r="G89" s="1262">
        <f>VLOOKUP(C89,TONGHOPCONGDOI!C84:AE94,16,0)</f>
        <v>137</v>
      </c>
      <c r="H89" s="1262">
        <f>VLOOKUP(C89,TONGHOPCONGDOI!C84:AE94,17,0)</f>
        <v>0</v>
      </c>
      <c r="I89" s="1262"/>
      <c r="J89" s="888">
        <f t="shared" si="13"/>
        <v>58.518019857990687</v>
      </c>
      <c r="K89" s="1259" t="str">
        <f>VLOOKUP(C89,'BTH mủ tạp'!D90:AN168,37,0)</f>
        <v>C.</v>
      </c>
      <c r="L89" s="889">
        <f t="shared" si="14"/>
        <v>215884</v>
      </c>
      <c r="M89" s="1262">
        <f>VLOOKUP(C89,TONGHOPCONGDOI!$C$11:$V$91,20,0)</f>
        <v>7</v>
      </c>
      <c r="N89" s="1262">
        <f>VLOOKUP(C89,TONGHOPCONGDOI!$C$11:$W$91,21,0)</f>
        <v>0</v>
      </c>
      <c r="O89" s="1262">
        <f>VLOOKUP(C89,TONGHOPCONGDOI!$C$11:$AD$93,22,0)</f>
        <v>0</v>
      </c>
      <c r="P89" s="1262">
        <f>VLOOKUP(C89,TONGHOPCONGDOI!$C$11:$AD$93,23,0)</f>
        <v>0</v>
      </c>
      <c r="Q89" s="1262">
        <f>VLOOKUP(C89,TONGHOPCONGDOI!$C$11:$AD$93,24,0)</f>
        <v>0</v>
      </c>
      <c r="R89" s="1262">
        <f>VLOOKUP(C89,TONGHOPCONGDOI!$C$11:$AD$93,25,0)</f>
        <v>0</v>
      </c>
      <c r="S89" s="1262"/>
      <c r="T89" s="1262">
        <f t="shared" ref="T89:T96" si="18">P89</f>
        <v>0</v>
      </c>
      <c r="U89" s="1263"/>
      <c r="V89" s="1263"/>
      <c r="W89" s="890">
        <f t="shared" si="16"/>
        <v>216454</v>
      </c>
      <c r="X89" s="1262">
        <f>F89+L89+W89</f>
        <v>432338</v>
      </c>
      <c r="Y89" s="1262"/>
      <c r="Z89" s="1262">
        <f>VLOOKUP(C89,'CNKT '!D89:AA98,24,0)</f>
        <v>432338</v>
      </c>
      <c r="AA89" s="1258">
        <f t="shared" si="17"/>
        <v>0</v>
      </c>
    </row>
    <row r="90" spans="1:27" s="1258" customFormat="1" ht="50.25" customHeight="1">
      <c r="A90" s="1259">
        <v>75</v>
      </c>
      <c r="B90" s="1259"/>
      <c r="C90" s="1262" t="str">
        <f>TONGHOPCONGDOI!C85</f>
        <v>T. Lã</v>
      </c>
      <c r="D90" s="1262"/>
      <c r="E90" s="1263"/>
      <c r="F90" s="1262">
        <f t="shared" si="12"/>
        <v>0</v>
      </c>
      <c r="G90" s="1262">
        <f>VLOOKUP(C90,TONGHOPCONGDOI!C85:AE94,16,0)</f>
        <v>270</v>
      </c>
      <c r="H90" s="1262">
        <f>VLOOKUP(C90,TONGHOPCONGDOI!C85:AE94,17,0)</f>
        <v>0</v>
      </c>
      <c r="I90" s="1262"/>
      <c r="J90" s="888">
        <f t="shared" si="13"/>
        <v>115.32748439166048</v>
      </c>
      <c r="K90" s="1259" t="str">
        <f>VLOOKUP(C90,'BTH mủ tạp'!D91:AN169,37,0)</f>
        <v>C.</v>
      </c>
      <c r="L90" s="889">
        <f t="shared" si="14"/>
        <v>425464</v>
      </c>
      <c r="M90" s="1262">
        <f>VLOOKUP(C90,TONGHOPCONGDOI!$C$11:$V$91,20,0)</f>
        <v>3</v>
      </c>
      <c r="N90" s="1262">
        <f>VLOOKUP(C90,TONGHOPCONGDOI!$C$11:$W$91,21,0)</f>
        <v>0</v>
      </c>
      <c r="O90" s="1262">
        <f>VLOOKUP(C90,TONGHOPCONGDOI!$C$11:$AD$93,22,0)</f>
        <v>0</v>
      </c>
      <c r="P90" s="1262">
        <f>VLOOKUP(C90,TONGHOPCONGDOI!$C$11:$AD$93,23,0)</f>
        <v>0</v>
      </c>
      <c r="Q90" s="1262">
        <f>VLOOKUP(C90,TONGHOPCONGDOI!$C$11:$AD$93,24,0)</f>
        <v>0</v>
      </c>
      <c r="R90" s="1262">
        <f>VLOOKUP(C90,TONGHOPCONGDOI!$C$11:$AD$93,25,0)</f>
        <v>0</v>
      </c>
      <c r="S90" s="1262"/>
      <c r="T90" s="1262">
        <f t="shared" si="18"/>
        <v>0</v>
      </c>
      <c r="U90" s="1263"/>
      <c r="V90" s="1263"/>
      <c r="W90" s="890">
        <f t="shared" si="16"/>
        <v>92766</v>
      </c>
      <c r="X90" s="1262">
        <f t="shared" si="10"/>
        <v>518230</v>
      </c>
      <c r="Y90" s="1262"/>
      <c r="Z90" s="1262">
        <f>VLOOKUP(C90,'CNKT '!D90:AA98,24,0)</f>
        <v>518230</v>
      </c>
      <c r="AA90" s="1258">
        <f t="shared" si="17"/>
        <v>0</v>
      </c>
    </row>
    <row r="91" spans="1:27" s="1258" customFormat="1" ht="50.25" customHeight="1">
      <c r="A91" s="1259">
        <v>76</v>
      </c>
      <c r="B91" s="1259"/>
      <c r="C91" s="1262" t="str">
        <f>TONGHOPCONGDOI!C86</f>
        <v>N. Veo</v>
      </c>
      <c r="D91" s="1262"/>
      <c r="E91" s="1263"/>
      <c r="F91" s="1262">
        <f t="shared" si="12"/>
        <v>0</v>
      </c>
      <c r="G91" s="1262">
        <f>VLOOKUP(C91,TONGHOPCONGDOI!C86:AE94,16,0)</f>
        <v>133</v>
      </c>
      <c r="H91" s="1262">
        <f>VLOOKUP(C91,TONGHOPCONGDOI!C86:AE94,17,0)</f>
        <v>0</v>
      </c>
      <c r="I91" s="1262"/>
      <c r="J91" s="888">
        <f t="shared" si="13"/>
        <v>56.809464533669789</v>
      </c>
      <c r="K91" s="1259" t="str">
        <f>VLOOKUP(C91,'BTH mủ tạp'!D92:AN170,37,0)</f>
        <v>C.</v>
      </c>
      <c r="L91" s="889">
        <f t="shared" si="14"/>
        <v>209580</v>
      </c>
      <c r="M91" s="1262">
        <f>VLOOKUP(C91,TONGHOPCONGDOI!$C$11:$V$91,20,0)</f>
        <v>2</v>
      </c>
      <c r="N91" s="1262">
        <f>VLOOKUP(C91,TONGHOPCONGDOI!$C$11:$W$91,21,0)</f>
        <v>0</v>
      </c>
      <c r="O91" s="1262">
        <f>VLOOKUP(C91,TONGHOPCONGDOI!$C$11:$AD$93,22,0)</f>
        <v>0</v>
      </c>
      <c r="P91" s="1262">
        <f>VLOOKUP(C91,TONGHOPCONGDOI!$C$11:$AD$93,23,0)</f>
        <v>0</v>
      </c>
      <c r="Q91" s="1262">
        <f>VLOOKUP(C91,TONGHOPCONGDOI!$C$11:$AD$93,24,0)</f>
        <v>0</v>
      </c>
      <c r="R91" s="1262">
        <f>VLOOKUP(C91,TONGHOPCONGDOI!$C$11:$AD$93,25,0)</f>
        <v>0</v>
      </c>
      <c r="S91" s="1262"/>
      <c r="T91" s="1262">
        <f t="shared" si="18"/>
        <v>0</v>
      </c>
      <c r="U91" s="1263"/>
      <c r="V91" s="1263"/>
      <c r="W91" s="890">
        <f t="shared" si="16"/>
        <v>61844</v>
      </c>
      <c r="X91" s="1262">
        <f t="shared" si="10"/>
        <v>271424</v>
      </c>
      <c r="Y91" s="1262"/>
      <c r="Z91" s="1262">
        <f>VLOOKUP(C91,'CNKT '!D91:AA98,24,0)</f>
        <v>271424</v>
      </c>
      <c r="AA91" s="1258">
        <f t="shared" si="17"/>
        <v>0</v>
      </c>
    </row>
    <row r="92" spans="1:27" s="1258" customFormat="1" ht="50.25" customHeight="1">
      <c r="A92" s="1259">
        <v>77</v>
      </c>
      <c r="B92" s="1259"/>
      <c r="C92" s="1262" t="str">
        <f>TONGHOPCONGDOI!C87</f>
        <v>T. Pu</v>
      </c>
      <c r="D92" s="1262"/>
      <c r="E92" s="1263"/>
      <c r="F92" s="1262">
        <f t="shared" si="12"/>
        <v>0</v>
      </c>
      <c r="G92" s="1262">
        <f>VLOOKUP(C92,TONGHOPCONGDOI!C87:AE94,16,0)</f>
        <v>262</v>
      </c>
      <c r="H92" s="1262"/>
      <c r="I92" s="1262"/>
      <c r="J92" s="888">
        <f t="shared" si="13"/>
        <v>111.91037374301868</v>
      </c>
      <c r="K92" s="1259" t="str">
        <f>VLOOKUP(C92,'BTH mủ tạp'!D93:AN171,37,0)</f>
        <v>C.</v>
      </c>
      <c r="L92" s="889">
        <f t="shared" si="14"/>
        <v>412858</v>
      </c>
      <c r="M92" s="1262">
        <f>VLOOKUP(C92,TONGHOPCONGDOI!$C$11:$V$91,20,0)</f>
        <v>2</v>
      </c>
      <c r="N92" s="1262">
        <f>VLOOKUP(C92,TONGHOPCONGDOI!$C$11:$W$91,21,0)</f>
        <v>0</v>
      </c>
      <c r="O92" s="1262">
        <f>VLOOKUP(C92,TONGHOPCONGDOI!$C$11:$AD$93,22,0)</f>
        <v>0</v>
      </c>
      <c r="P92" s="1262">
        <f>VLOOKUP(C92,TONGHOPCONGDOI!$C$11:$AD$93,23,0)</f>
        <v>0</v>
      </c>
      <c r="Q92" s="1262">
        <f>VLOOKUP(C92,TONGHOPCONGDOI!$C$11:$AD$93,24,0)</f>
        <v>0</v>
      </c>
      <c r="R92" s="1262">
        <f>VLOOKUP(C92,TONGHOPCONGDOI!$C$11:$AD$93,25,0)</f>
        <v>0</v>
      </c>
      <c r="S92" s="1262"/>
      <c r="T92" s="1262">
        <f t="shared" si="18"/>
        <v>0</v>
      </c>
      <c r="U92" s="1263"/>
      <c r="V92" s="1263"/>
      <c r="W92" s="890">
        <f t="shared" si="16"/>
        <v>61844</v>
      </c>
      <c r="X92" s="1262">
        <f t="shared" si="10"/>
        <v>474702</v>
      </c>
      <c r="Y92" s="1262"/>
      <c r="Z92" s="1262">
        <f>VLOOKUP(C92,'CNKT '!D92:AA98,24,0)</f>
        <v>474702</v>
      </c>
      <c r="AA92" s="1258">
        <f t="shared" si="17"/>
        <v>0</v>
      </c>
    </row>
    <row r="93" spans="1:27" s="1258" customFormat="1" ht="50.25" hidden="1" customHeight="1">
      <c r="A93" s="1259">
        <v>78</v>
      </c>
      <c r="B93" s="1259"/>
      <c r="C93" s="1262" t="str">
        <f>TONGHOPCONGDOI!C88</f>
        <v>T. Ta.</v>
      </c>
      <c r="D93" s="1262"/>
      <c r="E93" s="1263"/>
      <c r="F93" s="1262">
        <f t="shared" si="12"/>
        <v>0</v>
      </c>
      <c r="G93" s="1262">
        <f>VLOOKUP(C93,TONGHOPCONGDOI!C88:AE94,16,0)</f>
        <v>0</v>
      </c>
      <c r="H93" s="1262"/>
      <c r="I93" s="1262"/>
      <c r="J93" s="888">
        <f t="shared" si="13"/>
        <v>0</v>
      </c>
      <c r="K93" s="1259" t="str">
        <f>VLOOKUP(C93,'BTH mủ tạp'!D94:AN172,37,0)</f>
        <v>C.</v>
      </c>
      <c r="L93" s="889">
        <f t="shared" si="14"/>
        <v>0</v>
      </c>
      <c r="M93" s="1262">
        <f>VLOOKUP(C93,TONGHOPCONGDOI!$C$11:$V$91,20,0)</f>
        <v>0</v>
      </c>
      <c r="N93" s="1262">
        <f>VLOOKUP(C93,TONGHOPCONGDOI!$C$11:$W$91,21,0)</f>
        <v>0</v>
      </c>
      <c r="O93" s="1262">
        <f>VLOOKUP(C93,TONGHOPCONGDOI!$C$11:$AD$93,22,0)</f>
        <v>0</v>
      </c>
      <c r="P93" s="1262">
        <f>VLOOKUP(C93,TONGHOPCONGDOI!$C$11:$AD$93,23,0)</f>
        <v>0</v>
      </c>
      <c r="Q93" s="1262">
        <f>VLOOKUP(C93,TONGHOPCONGDOI!$C$11:$AD$93,24,0)</f>
        <v>0</v>
      </c>
      <c r="R93" s="1262">
        <f>VLOOKUP(C93,TONGHOPCONGDOI!$C$11:$AD$93,25,0)</f>
        <v>0</v>
      </c>
      <c r="S93" s="1262"/>
      <c r="T93" s="1262">
        <f t="shared" si="18"/>
        <v>0</v>
      </c>
      <c r="U93" s="1263"/>
      <c r="V93" s="1263"/>
      <c r="W93" s="890">
        <f t="shared" ref="W93:W95" si="19">ROUND(((M93*46.1)+(N93*76.9)+(P93*153.8)+(Q93*92.2)+(R93*153.8))*$E$12+(S93*25000)+(T93*100000)+(O93*100000),0)</f>
        <v>0</v>
      </c>
      <c r="X93" s="1262">
        <f t="shared" si="10"/>
        <v>0</v>
      </c>
      <c r="Y93" s="1262"/>
      <c r="Z93" s="1262">
        <f>VLOOKUP(C93,'CNKT '!D93:AA98,24,0)</f>
        <v>0</v>
      </c>
      <c r="AA93" s="1258">
        <f t="shared" si="17"/>
        <v>0</v>
      </c>
    </row>
    <row r="94" spans="1:27" s="1258" customFormat="1" ht="50.25" hidden="1" customHeight="1">
      <c r="A94" s="1259">
        <v>79</v>
      </c>
      <c r="B94" s="1259"/>
      <c r="C94" s="1262" t="str">
        <f>TONGHOPCONGDOI!C89</f>
        <v>N. Nang</v>
      </c>
      <c r="D94" s="1298"/>
      <c r="E94" s="1263"/>
      <c r="F94" s="1262">
        <f t="shared" si="12"/>
        <v>0</v>
      </c>
      <c r="G94" s="1262">
        <f>VLOOKUP(C94,TONGHOPCONGDOI!C89:AE94,16,0)</f>
        <v>0</v>
      </c>
      <c r="H94" s="1262"/>
      <c r="I94" s="1262"/>
      <c r="J94" s="888">
        <f>$AB$10/$AB$9*G94+H94*$AB$11+I94*$AB$12</f>
        <v>0</v>
      </c>
      <c r="K94" s="1259" t="str">
        <f>VLOOKUP(C94,'BTH mủ tạp'!D95:AN173,37,0)</f>
        <v>C.</v>
      </c>
      <c r="L94" s="889">
        <f t="shared" si="14"/>
        <v>0</v>
      </c>
      <c r="M94" s="1262">
        <f>VLOOKUP(C94,TONGHOPCONGDOI!$C$11:$V$91,20,0)</f>
        <v>0</v>
      </c>
      <c r="N94" s="1262">
        <f>VLOOKUP(C94,TONGHOPCONGDOI!$C$11:$W$91,21,0)</f>
        <v>0</v>
      </c>
      <c r="O94" s="1262">
        <f>VLOOKUP(C94,TONGHOPCONGDOI!$C$11:$AD$93,27,0)</f>
        <v>0</v>
      </c>
      <c r="P94" s="1262">
        <f>VLOOKUP(C94,TONGHOPCONGDOI!$C$11:$AD$93,23,0)</f>
        <v>0</v>
      </c>
      <c r="Q94" s="1262">
        <f>VLOOKUP(C94,TONGHOPCONGDOI!$C$11:$AD$93,24,0)</f>
        <v>0</v>
      </c>
      <c r="R94" s="1262">
        <f>VLOOKUP(C94,TONGHOPCONGDOI!$C$11:$AD$93,25,0)</f>
        <v>0</v>
      </c>
      <c r="S94" s="1262"/>
      <c r="T94" s="1262">
        <f t="shared" si="18"/>
        <v>0</v>
      </c>
      <c r="U94" s="1263"/>
      <c r="V94" s="1263"/>
      <c r="W94" s="890">
        <f t="shared" si="19"/>
        <v>0</v>
      </c>
      <c r="X94" s="1262">
        <f t="shared" si="10"/>
        <v>0</v>
      </c>
      <c r="Y94" s="1262"/>
      <c r="Z94" s="1262">
        <f>VLOOKUP(C94,'CNKT '!D94:AA98,24,0)</f>
        <v>0</v>
      </c>
      <c r="AA94" s="1258">
        <f t="shared" si="17"/>
        <v>0</v>
      </c>
    </row>
    <row r="95" spans="1:27" s="1258" customFormat="1" ht="50.25" hidden="1" customHeight="1">
      <c r="A95" s="1259">
        <v>80</v>
      </c>
      <c r="B95" s="1259"/>
      <c r="C95" s="1262" t="str">
        <f>TONGHOPCONGDOI!C90</f>
        <v>T. Tan</v>
      </c>
      <c r="D95" s="1298"/>
      <c r="E95" s="1263"/>
      <c r="F95" s="1262">
        <f t="shared" si="12"/>
        <v>0</v>
      </c>
      <c r="G95" s="1262">
        <f>VLOOKUP(C95,TONGHOPCONGDOI!C90:AE94,16,0)</f>
        <v>0</v>
      </c>
      <c r="H95" s="1262"/>
      <c r="I95" s="1262"/>
      <c r="J95" s="888">
        <f>$AB$10/$AB$9*G95+H95*$AB$11+I95*$AB$12</f>
        <v>0</v>
      </c>
      <c r="K95" s="1259" t="str">
        <f>VLOOKUP(C95,'BTH mủ tạp'!D96:AN174,37,0)</f>
        <v>C.</v>
      </c>
      <c r="L95" s="889">
        <f t="shared" si="14"/>
        <v>0</v>
      </c>
      <c r="M95" s="1262">
        <f>VLOOKUP(C95,TONGHOPCONGDOI!$C$11:$V$91,20,0)</f>
        <v>0</v>
      </c>
      <c r="N95" s="1262">
        <f>VLOOKUP(C95,TONGHOPCONGDOI!$C$11:$W$91,21,0)</f>
        <v>0</v>
      </c>
      <c r="O95" s="1262">
        <f>VLOOKUP(C95,TONGHOPCONGDOI!$C$11:$AD$93,27,0)</f>
        <v>0</v>
      </c>
      <c r="P95" s="1262">
        <f>VLOOKUP(C95,TONGHOPCONGDOI!$C$11:$AD$93,23,0)</f>
        <v>0</v>
      </c>
      <c r="Q95" s="1262">
        <f>VLOOKUP(C95,TONGHOPCONGDOI!$C$11:$AD$93,24,0)</f>
        <v>0</v>
      </c>
      <c r="R95" s="1262">
        <f>VLOOKUP(C95,TONGHOPCONGDOI!$C$11:$AD$93,25,0)</f>
        <v>0</v>
      </c>
      <c r="S95" s="1262"/>
      <c r="T95" s="1262">
        <f t="shared" si="18"/>
        <v>0</v>
      </c>
      <c r="U95" s="1263"/>
      <c r="V95" s="1263"/>
      <c r="W95" s="890">
        <f t="shared" si="19"/>
        <v>0</v>
      </c>
      <c r="X95" s="1262">
        <f t="shared" si="10"/>
        <v>0</v>
      </c>
      <c r="Y95" s="1262"/>
      <c r="Z95" s="1262">
        <f>VLOOKUP(C95,'CNKT '!D95:AA98,24,0)</f>
        <v>0</v>
      </c>
      <c r="AA95" s="1258">
        <f t="shared" si="17"/>
        <v>0</v>
      </c>
    </row>
    <row r="96" spans="1:27" s="1258" customFormat="1" ht="50.25" hidden="1" customHeight="1">
      <c r="A96" s="1259">
        <v>81</v>
      </c>
      <c r="B96" s="1259"/>
      <c r="C96" s="1262">
        <f>TONGHOPCONGDOI!C91</f>
        <v>0</v>
      </c>
      <c r="D96" s="1298"/>
      <c r="E96" s="1263"/>
      <c r="F96" s="1262"/>
      <c r="G96" s="1262">
        <f>VLOOKUP(C96,TONGHOPCONGDOI!C91:AE96,16,0)</f>
        <v>0</v>
      </c>
      <c r="H96" s="1262"/>
      <c r="I96" s="1262"/>
      <c r="J96" s="894">
        <f>$AB$10/$AB$9*G96+H96*$AB$11+I96*$AB$12</f>
        <v>0</v>
      </c>
      <c r="K96" s="1259" t="str">
        <f>VLOOKUP(C96,'BTH mủ tạp'!D97:AN175,37,0)</f>
        <v>C.</v>
      </c>
      <c r="L96" s="889">
        <f>ROUND((IF(K96="A",(G96*$Z$12*6.1),IF(K96="B",(G96*$Z$12*5.8),IF(K96="C",(G96*$Z$12*5.5),IF(K96="C.",(G96*$Z$12*5.5),IF(K96="D",(G96*$Z$12*5.2),0)))))*$E$12+(H96*$AB$11*$E$12*6.1)+I96*$E$12*$AB$12*6.1),0)</f>
        <v>0</v>
      </c>
      <c r="M96" s="1262">
        <f>VLOOKUP(C96,TONGHOPCONGDOI!$C$11:$V$91,20,0)</f>
        <v>0</v>
      </c>
      <c r="N96" s="1262">
        <f>VLOOKUP(C96,TONGHOPCONGDOI!$C$11:$W$91,21,0)</f>
        <v>0</v>
      </c>
      <c r="O96" s="1262">
        <f>VLOOKUP(C96,TONGHOPCONGDOI!$C$11:$AD$93,27,0)</f>
        <v>0</v>
      </c>
      <c r="P96" s="1262">
        <f>VLOOKUP(C96,TONGHOPCONGDOI!$C$11:$AD$93,23,0)</f>
        <v>0</v>
      </c>
      <c r="Q96" s="1262">
        <f>VLOOKUP(C96,TONGHOPCONGDOI!$C$11:$AD$93,24,0)</f>
        <v>0</v>
      </c>
      <c r="R96" s="1262">
        <f>VLOOKUP(C96,TONGHOPCONGDOI!$C$11:$AD$93,25,0)</f>
        <v>0</v>
      </c>
      <c r="S96" s="1262"/>
      <c r="T96" s="1262">
        <f t="shared" si="18"/>
        <v>0</v>
      </c>
      <c r="U96" s="1263"/>
      <c r="V96" s="1263"/>
      <c r="W96" s="890">
        <f>ROUND(((M96*46.1)+(N96*76.9)+(P96*153.8)+(Q96*92.2)+(R96*153.8))*$E$12+(S96*25000)+(T96*100000)+(O96*100000),0)</f>
        <v>0</v>
      </c>
      <c r="X96" s="1262">
        <f t="shared" si="10"/>
        <v>0</v>
      </c>
      <c r="Y96" s="1262"/>
      <c r="Z96" s="1262">
        <f>VLOOKUP(C96,'CNKT '!D96:AA98,24,0)</f>
        <v>0</v>
      </c>
      <c r="AA96" s="1258">
        <f t="shared" si="17"/>
        <v>0</v>
      </c>
    </row>
    <row r="97" spans="1:28" s="1258" customFormat="1" ht="50.25" customHeight="1">
      <c r="A97" s="1259">
        <v>78</v>
      </c>
      <c r="B97" s="1259"/>
      <c r="C97" s="1262" t="str">
        <f>TONGHOPCONGDOI!C92</f>
        <v>Mủ Xi Rum 1</v>
      </c>
      <c r="D97" s="1298"/>
      <c r="E97" s="1263"/>
      <c r="F97" s="1262">
        <f t="shared" si="12"/>
        <v>0</v>
      </c>
      <c r="G97" s="1262"/>
      <c r="H97" s="1262"/>
      <c r="I97" s="1262">
        <f>'BTH mủ Sỉum'!AF17</f>
        <v>340</v>
      </c>
      <c r="J97" s="894">
        <f>$AB$10/$AB$9*G97+H97*$AB$11+I97*$AB$12</f>
        <v>184.21199999999999</v>
      </c>
      <c r="K97" s="1259"/>
      <c r="L97" s="1111">
        <f>ROUND((J97*6.1*E12),0)</f>
        <v>753728</v>
      </c>
      <c r="M97" s="1262">
        <f>VLOOKUP(C97,TONGHOPCONGDOI!$C$11:$V$92,20,0)</f>
        <v>0</v>
      </c>
      <c r="N97" s="1262">
        <f>VLOOKUP(C97,TONGHOPCONGDOI!$C$11:$W$92,21,0)</f>
        <v>0</v>
      </c>
      <c r="O97" s="1262">
        <f>VLOOKUP(C97,TONGHOPCONGDOI!$C$11:$AD$93,27,0)</f>
        <v>0</v>
      </c>
      <c r="P97" s="1262">
        <f>VLOOKUP(C97,TONGHOPCONGDOI!$C$11:$AD$93,23,0)</f>
        <v>0</v>
      </c>
      <c r="Q97" s="1262">
        <f>VLOOKUP(C97,TONGHOPCONGDOI!$C$11:$AD$93,24,0)</f>
        <v>0</v>
      </c>
      <c r="R97" s="1262">
        <f>VLOOKUP(C97,TONGHOPCONGDOI!$C$11:$AD$93,25,0)</f>
        <v>0</v>
      </c>
      <c r="S97" s="1262"/>
      <c r="T97" s="1263">
        <f t="shared" ref="T97" si="20">SUM(M97:R97)</f>
        <v>0</v>
      </c>
      <c r="U97" s="1263"/>
      <c r="V97" s="1263"/>
      <c r="W97" s="890">
        <f t="shared" ref="W97" si="21">ROUND(((M97*46.1)+(N97*76.9)+(O97*92.2)+(P97*153.8)+(Q97*92.2)+(R97*153.8))*$E$12+(S97*25000)+(T97*10000)+(U97*30000),0)</f>
        <v>0</v>
      </c>
      <c r="X97" s="1262">
        <f t="shared" si="10"/>
        <v>753728</v>
      </c>
      <c r="Y97" s="1262"/>
      <c r="Z97" s="1262">
        <f>VLOOKUP(C97,'CNKT '!D97:AA98,24,0)</f>
        <v>753728</v>
      </c>
      <c r="AA97" s="1258">
        <f>Z97-X97</f>
        <v>0</v>
      </c>
    </row>
    <row r="98" spans="1:28" s="1302" customFormat="1" ht="50.25" customHeight="1">
      <c r="A98" s="1259">
        <v>79</v>
      </c>
      <c r="B98" s="1299"/>
      <c r="C98" s="1300" t="str">
        <f>TONGHOPCONGDOI!C93</f>
        <v>A. Trí</v>
      </c>
      <c r="D98" s="1301"/>
      <c r="E98" s="1270"/>
      <c r="F98" s="1300">
        <f t="shared" si="12"/>
        <v>0</v>
      </c>
      <c r="G98" s="1300"/>
      <c r="H98" s="1300"/>
      <c r="I98" s="1300"/>
      <c r="J98" s="891"/>
      <c r="K98" s="1269"/>
      <c r="L98" s="892"/>
      <c r="M98" s="1300"/>
      <c r="N98" s="1300"/>
      <c r="O98" s="1262"/>
      <c r="P98" s="1300">
        <f>VLOOKUP(C98,TONGHOPCONGDOI!$C$11:$AD$94,23,0)</f>
        <v>0</v>
      </c>
      <c r="Q98" s="1300">
        <f>VLOOKUP(C98,TONGHOPCONGDOI!$C$11:$AD$94,24,0)</f>
        <v>0</v>
      </c>
      <c r="R98" s="1300">
        <f>VLOOKUP(C98,TONGHOPCONGDOI!$C$11:$AD$94,25,0)</f>
        <v>0</v>
      </c>
      <c r="S98" s="1300"/>
      <c r="T98" s="1300"/>
      <c r="U98" s="1300"/>
      <c r="V98" s="1270"/>
      <c r="W98" s="893">
        <f t="shared" ref="W98" si="22">((M98*46.1)+(N98*76.9)+(O98*92.2)+(P98*153.8)+(Q98*92.2)+(R98*153.8))*$E$12+(S98*20000)+(T98*10000)+(U98*30000)</f>
        <v>0</v>
      </c>
      <c r="X98" s="1300">
        <f t="shared" si="10"/>
        <v>0</v>
      </c>
      <c r="Y98" s="1300"/>
      <c r="Z98" s="1300">
        <f>VLOOKUP(C98,'CNKT '!D98:AA99,24,0)</f>
        <v>0</v>
      </c>
    </row>
    <row r="99" spans="1:28" s="1302" customFormat="1" ht="50.25" customHeight="1">
      <c r="A99" s="1259">
        <v>80</v>
      </c>
      <c r="B99" s="1299"/>
      <c r="C99" s="1300" t="str">
        <f>TONGHOPCONGDOI!C94</f>
        <v>T. Tạch</v>
      </c>
      <c r="D99" s="1301"/>
      <c r="E99" s="1270"/>
      <c r="F99" s="1300">
        <f t="shared" ref="F99" si="23">E99*25000</f>
        <v>0</v>
      </c>
      <c r="G99" s="1300"/>
      <c r="H99" s="1300"/>
      <c r="I99" s="1300"/>
      <c r="J99" s="891"/>
      <c r="K99" s="1269"/>
      <c r="L99" s="892"/>
      <c r="M99" s="1300"/>
      <c r="N99" s="1300"/>
      <c r="O99" s="1300"/>
      <c r="P99" s="1300"/>
      <c r="Q99" s="1300"/>
      <c r="R99" s="1300"/>
      <c r="S99" s="1300"/>
      <c r="T99" s="1300"/>
      <c r="U99" s="1300"/>
      <c r="V99" s="1270"/>
      <c r="W99" s="893"/>
      <c r="X99" s="1300">
        <f t="shared" si="10"/>
        <v>0</v>
      </c>
      <c r="Y99" s="1300"/>
      <c r="Z99" s="1300">
        <f>VLOOKUP(C99,'CNKT '!D99:AA99,24,0)</f>
        <v>0</v>
      </c>
    </row>
    <row r="100" spans="1:28" s="1302" customFormat="1" ht="50.25" customHeight="1">
      <c r="A100" s="1259">
        <v>81</v>
      </c>
      <c r="B100" s="1299"/>
      <c r="C100" s="1300" t="str">
        <f>TONGHOPCONGDOI!C95</f>
        <v>Chuyển 1</v>
      </c>
      <c r="D100" s="1301"/>
      <c r="E100" s="1270"/>
      <c r="F100" s="1300">
        <f t="shared" ref="F100" si="24">E100*25000</f>
        <v>0</v>
      </c>
      <c r="G100" s="1300"/>
      <c r="H100" s="1300"/>
      <c r="I100" s="1300"/>
      <c r="J100" s="891"/>
      <c r="K100" s="1269"/>
      <c r="L100" s="892"/>
      <c r="M100" s="1300"/>
      <c r="N100" s="1300"/>
      <c r="O100" s="1300"/>
      <c r="P100" s="1300"/>
      <c r="Q100" s="1300"/>
      <c r="R100" s="1300"/>
      <c r="S100" s="1300"/>
      <c r="T100" s="1300"/>
      <c r="U100" s="1300"/>
      <c r="V100" s="1270"/>
      <c r="W100" s="893"/>
      <c r="X100" s="1300">
        <f t="shared" ref="X100" si="25">F100+L100+W100</f>
        <v>0</v>
      </c>
      <c r="Y100" s="1300"/>
      <c r="Z100" s="1300">
        <f>VLOOKUP(C100,'CNKT '!D100:AA100,24,0)</f>
        <v>0</v>
      </c>
    </row>
    <row r="101" spans="1:28" s="1258" customFormat="1" ht="39" customHeight="1">
      <c r="A101" s="1474" t="s">
        <v>363</v>
      </c>
      <c r="B101" s="1475"/>
      <c r="C101" s="1475"/>
      <c r="D101" s="1476"/>
      <c r="E101" s="1009">
        <f>SUM(E16:E100)</f>
        <v>0</v>
      </c>
      <c r="F101" s="1009">
        <f t="shared" ref="F101:Y101" si="26">SUM(F16:F100)</f>
        <v>0</v>
      </c>
      <c r="G101" s="1009">
        <f t="shared" si="26"/>
        <v>291671</v>
      </c>
      <c r="H101" s="1009">
        <f t="shared" si="26"/>
        <v>0</v>
      </c>
      <c r="I101" s="1009">
        <f t="shared" si="26"/>
        <v>340</v>
      </c>
      <c r="J101" s="1009">
        <f t="shared" si="26"/>
        <v>124768.22200000004</v>
      </c>
      <c r="K101" s="1009">
        <f t="shared" si="26"/>
        <v>0</v>
      </c>
      <c r="L101" s="1009">
        <f t="shared" si="26"/>
        <v>507569247</v>
      </c>
      <c r="M101" s="1009">
        <f t="shared" si="26"/>
        <v>1865</v>
      </c>
      <c r="N101" s="1009">
        <f t="shared" si="26"/>
        <v>143</v>
      </c>
      <c r="O101" s="1009">
        <f t="shared" si="26"/>
        <v>0</v>
      </c>
      <c r="P101" s="1009">
        <f t="shared" si="26"/>
        <v>146</v>
      </c>
      <c r="Q101" s="1009">
        <f t="shared" si="26"/>
        <v>0</v>
      </c>
      <c r="R101" s="1009">
        <f t="shared" si="26"/>
        <v>0</v>
      </c>
      <c r="S101" s="1009">
        <f t="shared" si="26"/>
        <v>0</v>
      </c>
      <c r="T101" s="1009">
        <f t="shared" si="26"/>
        <v>146</v>
      </c>
      <c r="U101" s="1009">
        <f t="shared" si="26"/>
        <v>0</v>
      </c>
      <c r="V101" s="1009">
        <f t="shared" si="26"/>
        <v>0</v>
      </c>
      <c r="W101" s="1009">
        <f t="shared" si="26"/>
        <v>94707554</v>
      </c>
      <c r="X101" s="1009">
        <f t="shared" si="26"/>
        <v>602276801</v>
      </c>
      <c r="Y101" s="1009">
        <f t="shared" si="26"/>
        <v>0</v>
      </c>
      <c r="Z101" s="1009">
        <f>SUM(Z16:Z100)</f>
        <v>602276801</v>
      </c>
      <c r="AA101" s="1258">
        <f>X101-Z101</f>
        <v>0</v>
      </c>
      <c r="AB101" s="1258">
        <f>SUM(Z16:Z88)/73</f>
        <v>8216799.7123287674</v>
      </c>
    </row>
    <row r="102" spans="1:28" ht="45.6" customHeight="1">
      <c r="A102" s="1490" t="s">
        <v>851</v>
      </c>
      <c r="B102" s="1490"/>
      <c r="C102" s="1490"/>
      <c r="D102" s="1490"/>
      <c r="E102" s="1490"/>
      <c r="F102" s="1490"/>
      <c r="G102" s="1490"/>
      <c r="H102" s="1490"/>
      <c r="I102" s="1490"/>
      <c r="J102" s="1490"/>
      <c r="K102" s="1490"/>
      <c r="L102" s="1490"/>
      <c r="M102" s="1490"/>
      <c r="N102" s="1490"/>
      <c r="O102" s="1490"/>
      <c r="P102" s="1490"/>
      <c r="Q102" s="1490"/>
      <c r="R102" s="1490"/>
      <c r="S102" s="1490"/>
      <c r="T102" s="1490"/>
      <c r="U102" s="1490"/>
      <c r="V102" s="1490"/>
      <c r="W102" s="1490"/>
      <c r="X102" s="1490"/>
      <c r="Y102" s="1490"/>
      <c r="Z102" s="1490"/>
      <c r="AB102" s="1303">
        <f>G101*Z12/1000</f>
        <v>124.58401000000001</v>
      </c>
    </row>
    <row r="103" spans="1:28" ht="12.75" customHeight="1">
      <c r="A103" s="1304"/>
      <c r="B103" s="1304"/>
      <c r="C103" s="1304"/>
      <c r="D103" s="1304"/>
      <c r="E103" s="1304"/>
      <c r="F103" s="1304"/>
      <c r="G103" s="1304"/>
      <c r="H103" s="1304"/>
      <c r="I103" s="1304"/>
      <c r="J103" s="1304"/>
      <c r="K103" s="1304"/>
      <c r="L103" s="1304"/>
      <c r="M103" s="1304"/>
      <c r="N103" s="1304"/>
      <c r="O103" s="1304"/>
      <c r="P103" s="1304"/>
      <c r="Q103" s="1304"/>
      <c r="R103" s="1304"/>
      <c r="S103" s="1304"/>
      <c r="T103" s="1304"/>
      <c r="U103" s="1304"/>
      <c r="V103" s="1304"/>
      <c r="W103" s="1304"/>
      <c r="X103" s="1304"/>
      <c r="Y103" s="1304"/>
      <c r="Z103" s="1304"/>
    </row>
    <row r="104" spans="1:28" ht="31.15" customHeight="1">
      <c r="A104" s="1273"/>
      <c r="B104" s="1273"/>
      <c r="C104" s="1273"/>
      <c r="D104" s="1273"/>
      <c r="E104" s="1273"/>
      <c r="F104" s="1273"/>
      <c r="G104" s="1273"/>
      <c r="H104" s="1273"/>
      <c r="I104" s="1273"/>
      <c r="J104" s="1273"/>
      <c r="K104" s="1273"/>
      <c r="L104" s="1273"/>
      <c r="M104" s="1273"/>
      <c r="N104" s="1496" t="s">
        <v>812</v>
      </c>
      <c r="O104" s="1496"/>
      <c r="P104" s="1496"/>
      <c r="Q104" s="1496"/>
      <c r="R104" s="1496"/>
      <c r="S104" s="1496"/>
      <c r="T104" s="1496"/>
      <c r="U104" s="1496"/>
      <c r="V104" s="1496"/>
      <c r="W104" s="1496"/>
      <c r="X104" s="1496"/>
      <c r="Y104" s="1496"/>
      <c r="Z104" s="1496"/>
      <c r="AA104" s="1305"/>
    </row>
    <row r="105" spans="1:28" ht="10.15" customHeight="1">
      <c r="A105" s="1273"/>
      <c r="B105" s="1273"/>
      <c r="C105" s="1273"/>
      <c r="D105" s="1273"/>
      <c r="E105" s="1273"/>
      <c r="F105" s="1273"/>
      <c r="G105" s="1273"/>
      <c r="H105" s="1273"/>
      <c r="I105" s="1273"/>
      <c r="J105" s="1273"/>
      <c r="K105" s="1273"/>
      <c r="L105" s="1273"/>
      <c r="M105" s="1273"/>
      <c r="N105" s="1273"/>
      <c r="O105" s="1273"/>
      <c r="P105" s="1273"/>
      <c r="Q105" s="1273"/>
      <c r="R105" s="1273"/>
      <c r="S105" s="1273"/>
      <c r="T105" s="1273"/>
      <c r="U105" s="1273"/>
      <c r="V105" s="1273"/>
      <c r="W105" s="1273"/>
      <c r="X105" s="1273"/>
      <c r="Y105" s="1273"/>
      <c r="Z105" s="1273"/>
      <c r="AA105" s="1305"/>
    </row>
    <row r="106" spans="1:28" ht="31.15" customHeight="1">
      <c r="A106" s="1495" t="s">
        <v>541</v>
      </c>
      <c r="B106" s="1495"/>
      <c r="C106" s="1495"/>
      <c r="D106" s="1495"/>
      <c r="E106" s="1495"/>
      <c r="F106" s="1495"/>
      <c r="G106" s="1495"/>
      <c r="H106" s="1495"/>
      <c r="I106" s="1495"/>
      <c r="J106" s="1495"/>
      <c r="K106" s="1495"/>
      <c r="L106" s="1495"/>
      <c r="M106" s="1495"/>
      <c r="N106" s="1495"/>
      <c r="O106" s="1495"/>
      <c r="P106" s="1495"/>
      <c r="Q106" s="1495"/>
      <c r="R106" s="1495"/>
      <c r="S106" s="1495"/>
      <c r="T106" s="1495"/>
      <c r="U106" s="1495"/>
      <c r="V106" s="1495"/>
      <c r="W106" s="1495"/>
      <c r="X106" s="1495"/>
      <c r="Y106" s="1495"/>
      <c r="Z106" s="1495"/>
      <c r="AA106" s="1305"/>
    </row>
    <row r="107" spans="1:28" s="1248" customFormat="1" ht="31.15" customHeight="1">
      <c r="A107" s="1305"/>
      <c r="B107" s="1305"/>
      <c r="C107" s="1305"/>
      <c r="D107" s="1305"/>
      <c r="E107" s="1305"/>
      <c r="F107" s="1305"/>
      <c r="G107" s="1305"/>
      <c r="H107" s="1305"/>
      <c r="I107" s="1305"/>
      <c r="J107" s="1305"/>
      <c r="K107" s="1305"/>
      <c r="L107" s="1305"/>
      <c r="M107" s="1305"/>
      <c r="N107" s="1305"/>
      <c r="O107" s="1305"/>
      <c r="P107" s="1305"/>
      <c r="Q107" s="1305"/>
      <c r="R107" s="1305"/>
      <c r="S107" s="1305"/>
      <c r="T107" s="1305"/>
      <c r="U107" s="1305"/>
      <c r="V107" s="1305"/>
      <c r="W107" s="1305"/>
      <c r="X107" s="1305"/>
      <c r="Y107" s="1305"/>
      <c r="Z107" s="1305"/>
      <c r="AA107" s="1305"/>
    </row>
    <row r="108" spans="1:28" s="1248" customFormat="1" ht="31.15" customHeight="1">
      <c r="A108" s="1305"/>
      <c r="B108" s="1305"/>
      <c r="C108" s="1305"/>
      <c r="D108" s="1305"/>
      <c r="E108" s="1305"/>
      <c r="F108" s="1305"/>
      <c r="G108" s="1305"/>
      <c r="H108" s="1305"/>
      <c r="I108" s="1305"/>
      <c r="J108" s="1305"/>
      <c r="K108" s="1305"/>
      <c r="L108" s="1305"/>
      <c r="M108" s="1305"/>
      <c r="N108" s="1305"/>
      <c r="O108" s="1305"/>
      <c r="P108" s="1305"/>
      <c r="Q108" s="1305"/>
      <c r="R108" s="1305"/>
      <c r="S108" s="1305"/>
      <c r="T108" s="1305"/>
      <c r="U108" s="1305"/>
      <c r="V108" s="1305"/>
      <c r="W108" s="1305"/>
      <c r="X108" s="1305"/>
      <c r="Y108" s="1305"/>
      <c r="Z108" s="1305"/>
    </row>
    <row r="109" spans="1:28" s="1248" customFormat="1" ht="31.15" customHeight="1">
      <c r="A109" s="1305"/>
      <c r="B109" s="1305"/>
      <c r="C109" s="1305"/>
      <c r="D109" s="1305"/>
      <c r="E109" s="1305"/>
      <c r="F109" s="1305"/>
      <c r="G109" s="1305"/>
      <c r="H109" s="1305"/>
      <c r="I109" s="1305"/>
      <c r="J109" s="1305"/>
      <c r="K109" s="1305"/>
      <c r="L109" s="1305"/>
      <c r="M109" s="1305"/>
      <c r="N109" s="1305"/>
      <c r="O109" s="1305"/>
      <c r="P109" s="1305"/>
      <c r="Q109" s="1305"/>
      <c r="R109" s="1305"/>
      <c r="S109" s="1305"/>
      <c r="T109" s="1305"/>
      <c r="U109" s="1305"/>
      <c r="V109" s="1305"/>
      <c r="W109" s="1305"/>
      <c r="X109" s="1305"/>
      <c r="Y109" s="1305"/>
      <c r="Z109" s="1305"/>
    </row>
    <row r="110" spans="1:28" s="1248" customFormat="1" ht="31.15" customHeight="1">
      <c r="A110" s="1305"/>
      <c r="B110" s="1305"/>
      <c r="C110" s="1305"/>
      <c r="D110" s="1305"/>
      <c r="E110" s="1305"/>
      <c r="F110" s="1305"/>
      <c r="G110" s="1305"/>
      <c r="H110" s="1305"/>
      <c r="I110" s="1305"/>
      <c r="J110" s="1305"/>
      <c r="K110" s="1305"/>
      <c r="L110" s="1305"/>
      <c r="M110" s="1305"/>
      <c r="N110" s="1305"/>
      <c r="O110" s="1305"/>
      <c r="P110" s="1305"/>
      <c r="Q110" s="1305"/>
      <c r="R110" s="1305"/>
      <c r="S110" s="1305"/>
      <c r="T110" s="1305"/>
      <c r="U110" s="1305"/>
      <c r="V110" s="1305"/>
      <c r="W110" s="1305"/>
      <c r="X110" s="1305"/>
      <c r="Y110" s="1305"/>
      <c r="Z110" s="1305"/>
    </row>
    <row r="111" spans="1:28" s="1248" customFormat="1" ht="31.15" customHeight="1">
      <c r="A111" s="1305"/>
      <c r="B111" s="1305"/>
      <c r="C111" s="1305"/>
      <c r="D111" s="1305"/>
      <c r="E111" s="1305"/>
      <c r="F111" s="1305"/>
      <c r="G111" s="1305"/>
      <c r="H111" s="1305"/>
      <c r="I111" s="1305"/>
      <c r="J111" s="1305"/>
      <c r="K111" s="1305"/>
      <c r="L111" s="1305"/>
      <c r="M111" s="1305"/>
      <c r="N111" s="1305"/>
      <c r="O111" s="1305"/>
      <c r="P111" s="1305"/>
      <c r="Q111" s="1305"/>
      <c r="R111" s="1305"/>
      <c r="S111" s="1305"/>
      <c r="T111" s="1305"/>
      <c r="U111" s="1305"/>
      <c r="V111" s="1305"/>
      <c r="W111" s="1305"/>
      <c r="X111" s="1305"/>
      <c r="Y111" s="1305"/>
      <c r="Z111" s="1305"/>
    </row>
    <row r="112" spans="1:28" s="1248" customFormat="1" ht="31.15" customHeight="1">
      <c r="A112" s="1305"/>
      <c r="B112" s="1305"/>
      <c r="C112" s="1305"/>
      <c r="D112" s="1305"/>
      <c r="E112" s="1305"/>
      <c r="F112" s="1305"/>
      <c r="G112" s="1305"/>
      <c r="H112" s="1305"/>
      <c r="I112" s="1305"/>
      <c r="J112" s="1305"/>
      <c r="K112" s="1305"/>
      <c r="L112" s="1305"/>
      <c r="M112" s="1305"/>
      <c r="N112" s="1305"/>
      <c r="O112" s="1305"/>
      <c r="P112" s="1305"/>
      <c r="Q112" s="1305"/>
      <c r="R112" s="1305"/>
      <c r="S112" s="1305"/>
      <c r="T112" s="1305"/>
      <c r="U112" s="1305"/>
      <c r="V112" s="1305"/>
      <c r="W112" s="1305"/>
      <c r="X112" s="1305"/>
      <c r="Y112" s="1305"/>
      <c r="Z112" s="1305"/>
    </row>
    <row r="113" spans="1:26" s="1248" customFormat="1" ht="31.15" customHeight="1">
      <c r="A113" s="1305"/>
      <c r="B113" s="1305"/>
      <c r="C113" s="1305"/>
      <c r="D113" s="1305"/>
      <c r="E113" s="1305"/>
      <c r="F113" s="1305"/>
      <c r="G113" s="1305"/>
      <c r="H113" s="1305"/>
      <c r="I113" s="1305"/>
      <c r="J113" s="1305"/>
      <c r="K113" s="1305"/>
      <c r="L113" s="1305"/>
      <c r="M113" s="1305"/>
      <c r="N113" s="1305"/>
      <c r="O113" s="1305"/>
      <c r="P113" s="1305"/>
      <c r="Q113" s="1305"/>
      <c r="R113" s="1305"/>
      <c r="S113" s="1305"/>
      <c r="T113" s="1305"/>
      <c r="U113" s="1305"/>
      <c r="V113" s="1305"/>
      <c r="W113" s="1305"/>
      <c r="X113" s="1305"/>
      <c r="Y113" s="1305"/>
      <c r="Z113" s="1305"/>
    </row>
    <row r="114" spans="1:26" s="1248" customFormat="1" ht="31.15" customHeight="1">
      <c r="A114" s="1305"/>
      <c r="B114" s="1305"/>
      <c r="C114" s="1305"/>
      <c r="D114" s="1305"/>
      <c r="E114" s="1305"/>
      <c r="F114" s="1305"/>
      <c r="G114" s="1305"/>
      <c r="H114" s="1305"/>
      <c r="I114" s="1305"/>
      <c r="J114" s="1305"/>
      <c r="K114" s="1305"/>
      <c r="L114" s="1305"/>
      <c r="M114" s="1305"/>
      <c r="N114" s="1305"/>
      <c r="O114" s="1305"/>
      <c r="P114" s="1305"/>
      <c r="Q114" s="1305"/>
      <c r="R114" s="1305"/>
      <c r="S114" s="1305"/>
      <c r="T114" s="1305"/>
      <c r="U114" s="1305"/>
      <c r="V114" s="1305"/>
      <c r="W114" s="1305"/>
      <c r="X114" s="1305"/>
      <c r="Y114" s="1305"/>
      <c r="Z114" s="1305"/>
    </row>
    <row r="115" spans="1:26" s="1248" customFormat="1" ht="31.15" customHeight="1">
      <c r="A115" s="1305"/>
      <c r="B115" s="1305"/>
      <c r="C115" s="1305"/>
      <c r="D115" s="1305"/>
      <c r="E115" s="1305"/>
      <c r="F115" s="1305"/>
      <c r="G115" s="1305"/>
      <c r="H115" s="1305"/>
      <c r="I115" s="1305"/>
      <c r="J115" s="1305"/>
      <c r="K115" s="1305"/>
      <c r="L115" s="1305"/>
      <c r="M115" s="1305"/>
      <c r="N115" s="1305"/>
      <c r="O115" s="1305"/>
      <c r="P115" s="1305"/>
      <c r="Q115" s="1305"/>
      <c r="R115" s="1305"/>
      <c r="S115" s="1305"/>
      <c r="T115" s="1305"/>
      <c r="U115" s="1305"/>
      <c r="V115" s="1305"/>
      <c r="W115" s="1305"/>
      <c r="X115" s="1305"/>
      <c r="Y115" s="1305"/>
      <c r="Z115" s="1305"/>
    </row>
    <row r="116" spans="1:26" s="1248" customFormat="1" ht="31.15" customHeight="1">
      <c r="A116" s="1305"/>
      <c r="B116" s="1305"/>
      <c r="C116" s="1305"/>
      <c r="D116" s="1305"/>
      <c r="E116" s="1305"/>
      <c r="F116" s="1305"/>
      <c r="G116" s="1305"/>
      <c r="H116" s="1305"/>
      <c r="I116" s="1305"/>
      <c r="J116" s="1305"/>
      <c r="K116" s="1305"/>
      <c r="L116" s="1305"/>
      <c r="M116" s="1305"/>
      <c r="N116" s="1305"/>
      <c r="O116" s="1305"/>
      <c r="P116" s="1305"/>
      <c r="Q116" s="1305"/>
      <c r="R116" s="1305"/>
      <c r="S116" s="1305"/>
      <c r="T116" s="1305"/>
      <c r="U116" s="1305"/>
      <c r="V116" s="1305"/>
      <c r="W116" s="1305"/>
      <c r="X116" s="1305"/>
      <c r="Y116" s="1305"/>
      <c r="Z116" s="1305"/>
    </row>
    <row r="117" spans="1:26" s="1248" customFormat="1" ht="31.15" customHeight="1">
      <c r="A117" s="1305"/>
      <c r="B117" s="1305"/>
      <c r="C117" s="1305"/>
      <c r="D117" s="1305"/>
      <c r="E117" s="1305"/>
      <c r="F117" s="1305"/>
      <c r="G117" s="1305"/>
      <c r="H117" s="1305"/>
      <c r="I117" s="1305"/>
      <c r="J117" s="1305"/>
      <c r="K117" s="1305"/>
      <c r="L117" s="1305"/>
      <c r="M117" s="1305"/>
      <c r="N117" s="1305"/>
      <c r="O117" s="1305"/>
      <c r="P117" s="1305"/>
      <c r="Q117" s="1305"/>
      <c r="R117" s="1305"/>
      <c r="S117" s="1305"/>
      <c r="T117" s="1305"/>
      <c r="U117" s="1305"/>
      <c r="V117" s="1305"/>
      <c r="W117" s="1305"/>
      <c r="X117" s="1305"/>
      <c r="Y117" s="1305"/>
      <c r="Z117" s="1305"/>
    </row>
    <row r="118" spans="1:26" s="1248" customFormat="1" ht="19.5" customHeight="1">
      <c r="A118" s="1249"/>
      <c r="B118" s="1249"/>
      <c r="C118" s="1163"/>
      <c r="D118" s="1163"/>
      <c r="E118" s="1279"/>
      <c r="F118" s="1163"/>
      <c r="G118" s="1163"/>
      <c r="H118" s="1163"/>
      <c r="I118" s="1163"/>
      <c r="J118" s="1278"/>
      <c r="K118" s="1163"/>
      <c r="W118" s="1279"/>
      <c r="X118" s="1280"/>
      <c r="Y118" s="1163"/>
      <c r="Z118" s="1163"/>
    </row>
    <row r="119" spans="1:26" s="1248" customFormat="1" ht="19.5" customHeight="1">
      <c r="A119" s="1249"/>
      <c r="B119" s="1249"/>
      <c r="C119" s="1163"/>
      <c r="D119" s="1280"/>
      <c r="E119" s="1279"/>
      <c r="F119" s="1281"/>
      <c r="G119" s="1281"/>
      <c r="H119" s="1281"/>
      <c r="I119" s="1281"/>
      <c r="J119" s="1278"/>
      <c r="K119" s="1163"/>
      <c r="L119" s="1279"/>
      <c r="W119" s="1245"/>
      <c r="X119" s="1279"/>
    </row>
    <row r="120" spans="1:26">
      <c r="C120" s="1245"/>
      <c r="E120" s="1282"/>
      <c r="F120" s="1282"/>
      <c r="G120" s="1282"/>
      <c r="H120" s="1282"/>
      <c r="I120" s="1282"/>
      <c r="J120" s="307"/>
      <c r="K120" s="307"/>
      <c r="L120" s="1282"/>
    </row>
    <row r="121" spans="1:26">
      <c r="C121" s="1245"/>
      <c r="E121" s="1282"/>
      <c r="F121" s="1175"/>
      <c r="G121" s="1175"/>
      <c r="H121" s="1175"/>
      <c r="I121" s="1175"/>
      <c r="J121" s="307"/>
      <c r="K121" s="307"/>
      <c r="L121" s="1175"/>
      <c r="M121" s="1491"/>
      <c r="N121" s="1491"/>
      <c r="O121" s="1491"/>
      <c r="P121" s="1283"/>
      <c r="Q121" s="1283"/>
      <c r="R121" s="1283"/>
      <c r="S121" s="1283"/>
    </row>
    <row r="122" spans="1:26">
      <c r="C122" s="1245"/>
      <c r="E122" s="1282"/>
      <c r="F122" s="1175"/>
      <c r="G122" s="1175"/>
      <c r="H122" s="1175"/>
      <c r="I122" s="1175"/>
      <c r="J122" s="307"/>
      <c r="K122" s="307"/>
      <c r="L122" s="1175"/>
      <c r="M122" s="1283"/>
      <c r="N122" s="1283"/>
      <c r="O122" s="1283"/>
      <c r="P122" s="1283"/>
      <c r="Q122" s="1283"/>
      <c r="R122" s="1283"/>
      <c r="S122" s="1283"/>
    </row>
    <row r="123" spans="1:26">
      <c r="C123" s="1245"/>
      <c r="E123" s="1282"/>
      <c r="F123" s="1175"/>
      <c r="G123" s="1175"/>
      <c r="H123" s="1175"/>
      <c r="I123" s="1175"/>
      <c r="J123" s="307"/>
      <c r="K123" s="307"/>
      <c r="L123" s="1175"/>
      <c r="M123" s="1283"/>
      <c r="N123" s="1283"/>
      <c r="O123" s="1283"/>
      <c r="P123" s="1283"/>
      <c r="Q123" s="1283"/>
      <c r="R123" s="1283"/>
      <c r="S123" s="1283"/>
    </row>
    <row r="124" spans="1:26">
      <c r="C124" s="1245"/>
      <c r="E124" s="1282"/>
      <c r="F124" s="1175"/>
      <c r="G124" s="1175"/>
      <c r="H124" s="1175"/>
      <c r="I124" s="1175"/>
      <c r="J124" s="307"/>
      <c r="K124" s="307"/>
      <c r="L124" s="1175"/>
      <c r="M124" s="1283"/>
      <c r="N124" s="1283"/>
      <c r="O124" s="1283"/>
      <c r="P124" s="1283"/>
      <c r="Q124" s="1283"/>
      <c r="R124" s="1283"/>
      <c r="S124" s="1283"/>
    </row>
    <row r="125" spans="1:26">
      <c r="C125" s="1245"/>
      <c r="E125" s="1282"/>
      <c r="F125" s="1175"/>
      <c r="G125" s="1175"/>
      <c r="H125" s="1175"/>
      <c r="I125" s="1175"/>
      <c r="J125" s="307"/>
      <c r="K125" s="307"/>
      <c r="L125" s="1175"/>
      <c r="M125" s="1283"/>
      <c r="N125" s="1283"/>
      <c r="O125" s="1283"/>
      <c r="P125" s="1283"/>
      <c r="Q125" s="1283"/>
      <c r="R125" s="1283"/>
      <c r="S125" s="1283"/>
    </row>
    <row r="126" spans="1:26">
      <c r="C126" s="1245"/>
      <c r="E126" s="1282"/>
      <c r="F126" s="1175"/>
      <c r="G126" s="1175"/>
      <c r="H126" s="1175"/>
      <c r="I126" s="1175"/>
      <c r="J126" s="307"/>
      <c r="K126" s="307"/>
      <c r="L126" s="1175"/>
      <c r="M126" s="1283"/>
      <c r="N126" s="1283"/>
      <c r="O126" s="1283"/>
      <c r="P126" s="1283"/>
      <c r="Q126" s="1283"/>
      <c r="R126" s="1283"/>
      <c r="S126" s="1283"/>
    </row>
    <row r="127" spans="1:26">
      <c r="C127" s="1245"/>
      <c r="E127" s="1282"/>
      <c r="F127" s="1175"/>
      <c r="G127" s="1175"/>
      <c r="H127" s="1175"/>
      <c r="I127" s="1175"/>
      <c r="J127" s="307"/>
      <c r="K127" s="307"/>
      <c r="L127" s="1175"/>
      <c r="M127" s="1283"/>
      <c r="N127" s="1283"/>
      <c r="O127" s="1283"/>
      <c r="P127" s="1283"/>
      <c r="Q127" s="1283"/>
      <c r="R127" s="1283"/>
      <c r="S127" s="1283"/>
    </row>
    <row r="128" spans="1:26">
      <c r="C128" s="1245"/>
      <c r="E128" s="1282"/>
      <c r="F128" s="1175"/>
      <c r="G128" s="1175"/>
      <c r="H128" s="1175"/>
      <c r="I128" s="1175"/>
      <c r="J128" s="307"/>
      <c r="K128" s="307"/>
      <c r="L128" s="1175"/>
      <c r="M128" s="1283"/>
      <c r="N128" s="1283"/>
      <c r="O128" s="1283"/>
      <c r="P128" s="1283"/>
      <c r="Q128" s="1283"/>
      <c r="R128" s="1283"/>
      <c r="S128" s="1283"/>
    </row>
    <row r="129" spans="3:19">
      <c r="C129" s="1245"/>
      <c r="E129" s="1282"/>
      <c r="F129" s="1175"/>
      <c r="G129" s="1175"/>
      <c r="H129" s="1175"/>
      <c r="I129" s="1175"/>
      <c r="J129" s="307"/>
      <c r="K129" s="307"/>
      <c r="L129" s="1175"/>
      <c r="M129" s="1283"/>
      <c r="N129" s="1283"/>
      <c r="O129" s="1283"/>
      <c r="P129" s="1283"/>
      <c r="Q129" s="1283"/>
      <c r="R129" s="1283"/>
      <c r="S129" s="1283"/>
    </row>
    <row r="130" spans="3:19">
      <c r="C130" s="1245"/>
      <c r="E130" s="1282"/>
      <c r="F130" s="1175"/>
      <c r="G130" s="1175"/>
      <c r="H130" s="1175"/>
      <c r="I130" s="1175"/>
      <c r="J130" s="307"/>
      <c r="K130" s="307"/>
      <c r="L130" s="1175"/>
      <c r="M130" s="1283"/>
      <c r="N130" s="1283"/>
      <c r="O130" s="1283"/>
      <c r="P130" s="1283"/>
      <c r="Q130" s="1283"/>
      <c r="R130" s="1283"/>
      <c r="S130" s="1283"/>
    </row>
    <row r="131" spans="3:19">
      <c r="C131" s="1245"/>
      <c r="E131" s="1282"/>
      <c r="F131" s="1175"/>
      <c r="G131" s="1175"/>
      <c r="H131" s="1175"/>
      <c r="I131" s="1175"/>
      <c r="J131" s="307"/>
      <c r="K131" s="307"/>
      <c r="L131" s="1175"/>
      <c r="M131" s="1283"/>
      <c r="N131" s="1283"/>
      <c r="O131" s="1283"/>
      <c r="P131" s="1283"/>
      <c r="Q131" s="1283"/>
      <c r="R131" s="1283"/>
      <c r="S131" s="1283"/>
    </row>
    <row r="132" spans="3:19">
      <c r="C132" s="1245"/>
      <c r="E132" s="1282"/>
      <c r="F132" s="1175"/>
      <c r="G132" s="1175"/>
      <c r="H132" s="1175"/>
      <c r="I132" s="1175"/>
      <c r="J132" s="307"/>
      <c r="K132" s="307"/>
      <c r="L132" s="1175"/>
      <c r="M132" s="1283"/>
      <c r="N132" s="1283"/>
      <c r="O132" s="1283"/>
      <c r="P132" s="1283"/>
      <c r="Q132" s="1283"/>
      <c r="R132" s="1283"/>
      <c r="S132" s="1283"/>
    </row>
    <row r="133" spans="3:19">
      <c r="C133" s="1245"/>
      <c r="E133" s="1282"/>
      <c r="F133" s="1175"/>
      <c r="G133" s="1175"/>
      <c r="H133" s="1175"/>
      <c r="I133" s="1175"/>
      <c r="J133" s="307"/>
      <c r="K133" s="307"/>
      <c r="L133" s="1175"/>
      <c r="M133" s="1283"/>
      <c r="N133" s="1283"/>
      <c r="O133" s="1283"/>
      <c r="P133" s="1283"/>
      <c r="Q133" s="1283"/>
      <c r="R133" s="1283"/>
      <c r="S133" s="1283"/>
    </row>
    <row r="134" spans="3:19">
      <c r="C134" s="1245"/>
      <c r="E134" s="1282"/>
      <c r="F134" s="1175"/>
      <c r="G134" s="1175"/>
      <c r="H134" s="1175"/>
      <c r="I134" s="1175"/>
      <c r="J134" s="307"/>
      <c r="K134" s="307"/>
      <c r="L134" s="1175"/>
      <c r="M134" s="1283"/>
      <c r="N134" s="1283"/>
      <c r="O134" s="1283"/>
      <c r="P134" s="1283"/>
      <c r="Q134" s="1283"/>
      <c r="R134" s="1283"/>
      <c r="S134" s="1283"/>
    </row>
    <row r="135" spans="3:19">
      <c r="C135" s="1245"/>
      <c r="E135" s="1282"/>
      <c r="F135" s="1175"/>
      <c r="G135" s="1175"/>
      <c r="H135" s="1175"/>
      <c r="I135" s="1175"/>
      <c r="J135" s="307"/>
      <c r="K135" s="307"/>
      <c r="L135" s="1175"/>
      <c r="M135" s="1283"/>
      <c r="N135" s="1283"/>
      <c r="O135" s="1283"/>
      <c r="P135" s="1283"/>
      <c r="Q135" s="1283"/>
      <c r="R135" s="1283"/>
      <c r="S135" s="1283"/>
    </row>
    <row r="136" spans="3:19">
      <c r="C136" s="1245"/>
      <c r="E136" s="1282"/>
      <c r="F136" s="1175"/>
      <c r="G136" s="1175"/>
      <c r="H136" s="1175"/>
      <c r="I136" s="1175"/>
      <c r="J136" s="307"/>
      <c r="K136" s="307"/>
      <c r="L136" s="1175"/>
      <c r="M136" s="1283"/>
      <c r="N136" s="1283"/>
      <c r="O136" s="1283"/>
      <c r="P136" s="1283"/>
      <c r="Q136" s="1283"/>
      <c r="R136" s="1283"/>
      <c r="S136" s="1283"/>
    </row>
    <row r="137" spans="3:19">
      <c r="C137" s="1245"/>
      <c r="E137" s="1282"/>
      <c r="F137" s="1175"/>
      <c r="G137" s="1175"/>
      <c r="H137" s="1175"/>
      <c r="I137" s="1175"/>
      <c r="J137" s="307"/>
      <c r="K137" s="307"/>
      <c r="L137" s="1175"/>
      <c r="M137" s="1283"/>
      <c r="N137" s="1283"/>
      <c r="O137" s="1283"/>
      <c r="P137" s="1283"/>
      <c r="Q137" s="1283"/>
      <c r="R137" s="1283"/>
      <c r="S137" s="1283"/>
    </row>
    <row r="138" spans="3:19">
      <c r="C138" s="1245"/>
      <c r="E138" s="1282"/>
      <c r="F138" s="1175"/>
      <c r="G138" s="1175"/>
      <c r="H138" s="1175"/>
      <c r="I138" s="1175"/>
      <c r="J138" s="307"/>
      <c r="K138" s="307"/>
      <c r="L138" s="1175"/>
      <c r="M138" s="1283"/>
      <c r="N138" s="1283"/>
      <c r="O138" s="1283"/>
      <c r="P138" s="1283"/>
      <c r="Q138" s="1283"/>
      <c r="R138" s="1283"/>
      <c r="S138" s="1283"/>
    </row>
    <row r="139" spans="3:19">
      <c r="C139" s="1245"/>
      <c r="E139" s="1282"/>
      <c r="F139" s="1175"/>
      <c r="G139" s="1175"/>
      <c r="H139" s="1175"/>
      <c r="I139" s="1175"/>
      <c r="J139" s="307"/>
      <c r="K139" s="307"/>
      <c r="L139" s="1175"/>
      <c r="M139" s="1283"/>
      <c r="N139" s="1283"/>
      <c r="O139" s="1283"/>
      <c r="P139" s="1283"/>
      <c r="Q139" s="1283"/>
      <c r="R139" s="1283"/>
      <c r="S139" s="1283"/>
    </row>
    <row r="140" spans="3:19">
      <c r="C140" s="1245"/>
      <c r="E140" s="1282"/>
      <c r="F140" s="1175"/>
      <c r="G140" s="1175"/>
      <c r="H140" s="1175"/>
      <c r="I140" s="1175"/>
      <c r="J140" s="307"/>
      <c r="K140" s="307"/>
      <c r="L140" s="1175"/>
      <c r="M140" s="1283"/>
      <c r="N140" s="1283"/>
      <c r="O140" s="1283"/>
      <c r="P140" s="1283"/>
      <c r="Q140" s="1283"/>
      <c r="R140" s="1283"/>
      <c r="S140" s="1283"/>
    </row>
    <row r="141" spans="3:19">
      <c r="C141" s="1245"/>
      <c r="E141" s="1282"/>
      <c r="F141" s="1175"/>
      <c r="G141" s="1175"/>
      <c r="H141" s="1175"/>
      <c r="I141" s="1175"/>
      <c r="J141" s="307"/>
      <c r="K141" s="307"/>
      <c r="L141" s="1175"/>
      <c r="M141" s="1283"/>
      <c r="N141" s="1283"/>
      <c r="O141" s="1283"/>
      <c r="P141" s="1283"/>
      <c r="Q141" s="1283"/>
      <c r="R141" s="1283"/>
      <c r="S141" s="1283"/>
    </row>
    <row r="142" spans="3:19">
      <c r="C142" s="1245"/>
      <c r="E142" s="1282"/>
      <c r="F142" s="1175"/>
      <c r="G142" s="1175"/>
      <c r="H142" s="1175"/>
      <c r="I142" s="1175"/>
      <c r="J142" s="307"/>
      <c r="K142" s="307"/>
      <c r="L142" s="1175"/>
      <c r="M142" s="1283"/>
      <c r="N142" s="1283"/>
      <c r="O142" s="1283"/>
      <c r="P142" s="1283"/>
      <c r="Q142" s="1283"/>
      <c r="R142" s="1283"/>
      <c r="S142" s="1283"/>
    </row>
    <row r="143" spans="3:19">
      <c r="C143" s="1245"/>
      <c r="E143" s="1282"/>
      <c r="F143" s="1175"/>
      <c r="G143" s="1175"/>
      <c r="H143" s="1175"/>
      <c r="I143" s="1175"/>
      <c r="J143" s="307"/>
      <c r="K143" s="307"/>
      <c r="L143" s="1175"/>
      <c r="M143" s="1283"/>
      <c r="N143" s="1283"/>
      <c r="O143" s="1283"/>
      <c r="P143" s="1283"/>
      <c r="Q143" s="1283"/>
      <c r="R143" s="1283"/>
      <c r="S143" s="1283"/>
    </row>
    <row r="144" spans="3:19">
      <c r="C144" s="1245"/>
      <c r="E144" s="1282"/>
      <c r="F144" s="1175"/>
      <c r="G144" s="1175"/>
      <c r="H144" s="1175"/>
      <c r="I144" s="1175"/>
      <c r="J144" s="307"/>
      <c r="K144" s="307"/>
      <c r="L144" s="1175"/>
      <c r="M144" s="1283"/>
      <c r="N144" s="1283"/>
      <c r="O144" s="1283"/>
      <c r="P144" s="1283"/>
      <c r="Q144" s="1283"/>
      <c r="R144" s="1283"/>
      <c r="S144" s="1283"/>
    </row>
    <row r="145" spans="3:26">
      <c r="C145" s="1245"/>
      <c r="E145" s="1282"/>
      <c r="F145" s="1175"/>
      <c r="G145" s="1175"/>
      <c r="H145" s="1175"/>
      <c r="I145" s="1175"/>
      <c r="J145" s="307"/>
      <c r="K145" s="307"/>
      <c r="L145" s="1175"/>
      <c r="M145" s="1283"/>
      <c r="N145" s="1283"/>
      <c r="O145" s="1283"/>
      <c r="P145" s="1283"/>
      <c r="Q145" s="1283"/>
      <c r="R145" s="1283"/>
      <c r="S145" s="1283"/>
    </row>
    <row r="146" spans="3:26">
      <c r="C146" s="1245"/>
      <c r="E146" s="1282"/>
      <c r="F146" s="1175"/>
      <c r="G146" s="1175"/>
      <c r="H146" s="1175"/>
      <c r="I146" s="1175"/>
      <c r="J146" s="307"/>
      <c r="K146" s="307"/>
      <c r="L146" s="1175"/>
      <c r="M146" s="1283"/>
      <c r="N146" s="1283"/>
      <c r="O146" s="1283"/>
      <c r="P146" s="1283"/>
      <c r="Q146" s="1283"/>
      <c r="R146" s="1283"/>
      <c r="S146" s="1283"/>
    </row>
    <row r="147" spans="3:26">
      <c r="C147" s="1245"/>
      <c r="E147" s="1282"/>
      <c r="F147" s="1175"/>
      <c r="G147" s="1175"/>
      <c r="H147" s="1175"/>
      <c r="I147" s="1175"/>
      <c r="J147" s="307"/>
      <c r="K147" s="307"/>
      <c r="L147" s="1175"/>
      <c r="M147" s="1283"/>
      <c r="N147" s="1283"/>
      <c r="O147" s="1283"/>
      <c r="P147" s="1283"/>
      <c r="Q147" s="1283"/>
      <c r="R147" s="1283"/>
      <c r="S147" s="1283"/>
    </row>
    <row r="148" spans="3:26">
      <c r="C148" s="1245"/>
      <c r="E148" s="1282"/>
      <c r="F148" s="1175"/>
      <c r="G148" s="1175"/>
      <c r="H148" s="1175"/>
      <c r="I148" s="1175"/>
      <c r="J148" s="307"/>
      <c r="K148" s="307"/>
      <c r="L148" s="1175"/>
      <c r="M148" s="1283"/>
      <c r="N148" s="1283"/>
      <c r="O148" s="1283"/>
      <c r="P148" s="1283"/>
      <c r="Q148" s="1283"/>
      <c r="R148" s="1283"/>
      <c r="S148" s="1283"/>
    </row>
    <row r="149" spans="3:26">
      <c r="C149" s="1245"/>
      <c r="E149" s="1282"/>
      <c r="F149" s="1175"/>
      <c r="G149" s="1175"/>
      <c r="H149" s="1175"/>
      <c r="I149" s="1175"/>
      <c r="J149" s="307"/>
      <c r="K149" s="307"/>
      <c r="L149" s="1175"/>
      <c r="M149" s="1283"/>
      <c r="N149" s="1283"/>
      <c r="O149" s="1283"/>
      <c r="P149" s="1283"/>
      <c r="Q149" s="1283"/>
      <c r="R149" s="1283"/>
      <c r="S149" s="1283"/>
    </row>
    <row r="150" spans="3:26">
      <c r="C150" s="1245"/>
      <c r="E150" s="1282"/>
      <c r="F150" s="1175"/>
      <c r="G150" s="1175"/>
      <c r="H150" s="1175"/>
      <c r="I150" s="1175"/>
      <c r="J150" s="307"/>
      <c r="K150" s="307"/>
      <c r="L150" s="1175"/>
      <c r="M150" s="1283"/>
      <c r="N150" s="1283"/>
      <c r="O150" s="1283"/>
      <c r="P150" s="1283"/>
      <c r="Q150" s="1283"/>
      <c r="R150" s="1283"/>
      <c r="S150" s="1283"/>
    </row>
    <row r="151" spans="3:26">
      <c r="C151" s="1245"/>
      <c r="E151" s="1282"/>
      <c r="F151" s="1175"/>
      <c r="G151" s="1175"/>
      <c r="H151" s="1175"/>
      <c r="I151" s="1175"/>
      <c r="J151" s="307"/>
      <c r="K151" s="307"/>
      <c r="L151" s="1175"/>
      <c r="M151" s="1283"/>
      <c r="N151" s="1283"/>
      <c r="O151" s="1283"/>
      <c r="P151" s="1283"/>
      <c r="Q151" s="1283"/>
      <c r="R151" s="1283"/>
      <c r="S151" s="1283"/>
    </row>
    <row r="152" spans="3:26">
      <c r="C152" s="1245"/>
      <c r="E152" s="1282"/>
      <c r="F152" s="1175"/>
      <c r="G152" s="1175"/>
      <c r="H152" s="1175"/>
      <c r="I152" s="1175"/>
      <c r="J152" s="307"/>
      <c r="K152" s="307"/>
      <c r="L152" s="1175"/>
      <c r="M152" s="1283"/>
      <c r="N152" s="1283"/>
      <c r="O152" s="1283"/>
      <c r="P152" s="1283"/>
      <c r="Q152" s="1283"/>
      <c r="R152" s="1283"/>
      <c r="S152" s="1283"/>
    </row>
    <row r="153" spans="3:26">
      <c r="C153" s="1245"/>
      <c r="E153" s="1282"/>
      <c r="F153" s="1175"/>
      <c r="G153" s="1175"/>
      <c r="H153" s="1175"/>
      <c r="I153" s="1175"/>
      <c r="J153" s="307"/>
      <c r="K153" s="307"/>
      <c r="L153" s="1175"/>
      <c r="M153" s="1283"/>
      <c r="N153" s="1283"/>
      <c r="O153" s="1283"/>
      <c r="P153" s="1283"/>
      <c r="Q153" s="1283"/>
      <c r="R153" s="1283"/>
      <c r="S153" s="1283"/>
    </row>
    <row r="154" spans="3:26">
      <c r="C154" s="1245"/>
      <c r="E154" s="1282"/>
      <c r="J154" s="307"/>
      <c r="K154" s="307"/>
      <c r="L154" s="1245"/>
      <c r="W154" s="1284"/>
    </row>
    <row r="155" spans="3:26">
      <c r="C155" s="1282"/>
      <c r="E155" s="1282"/>
      <c r="J155" s="307"/>
      <c r="K155" s="307"/>
      <c r="L155" s="1245"/>
    </row>
    <row r="156" spans="3:26">
      <c r="C156" s="1245"/>
      <c r="D156" s="1282"/>
      <c r="E156" s="1282"/>
      <c r="K156" s="1253"/>
      <c r="L156" s="1245"/>
    </row>
    <row r="157" spans="3:26">
      <c r="C157" s="1282" t="e">
        <f>#REF!+#REF!+#REF!+#REF!</f>
        <v>#REF!</v>
      </c>
      <c r="D157" s="1285"/>
      <c r="E157" s="1492" t="s">
        <v>266</v>
      </c>
      <c r="F157" s="1282">
        <f>SUMIF(K16:K101,"A",J16:J101)</f>
        <v>110331.6686233462</v>
      </c>
      <c r="G157" s="1282"/>
      <c r="H157" s="1282"/>
      <c r="I157" s="1282"/>
      <c r="J157" s="307">
        <f>F157*2500</f>
        <v>275829171.55836546</v>
      </c>
      <c r="K157" s="307"/>
      <c r="L157" s="1175"/>
      <c r="O157" s="1245">
        <f>7.2+0.6+21+5+70</f>
        <v>103.8</v>
      </c>
    </row>
    <row r="158" spans="3:26">
      <c r="C158" s="1245"/>
      <c r="E158" s="1492"/>
      <c r="F158" s="1282">
        <f>SUMIF(K16:K101,"B",J16:J101)</f>
        <v>13909.776034127495</v>
      </c>
      <c r="G158" s="1282"/>
      <c r="H158" s="1282"/>
      <c r="I158" s="1282"/>
      <c r="J158" s="307">
        <f>F158*2400</f>
        <v>33383462.481905989</v>
      </c>
      <c r="K158" s="307"/>
      <c r="L158" s="1282"/>
    </row>
    <row r="159" spans="3:26">
      <c r="C159" s="1245"/>
      <c r="E159" s="1492"/>
      <c r="F159" s="1282">
        <f>SUMIF(K16:K101,"C",J16:J101)</f>
        <v>0</v>
      </c>
      <c r="G159" s="1282"/>
      <c r="H159" s="1282"/>
      <c r="I159" s="1282"/>
      <c r="J159" s="307">
        <f>F159*2300</f>
        <v>0</v>
      </c>
      <c r="K159" s="307"/>
      <c r="L159" s="1245"/>
      <c r="M159" s="1175"/>
      <c r="N159" s="1175"/>
      <c r="O159" s="1175"/>
      <c r="P159" s="1175"/>
      <c r="Q159" s="1175"/>
      <c r="R159" s="1175"/>
      <c r="S159" s="1175"/>
      <c r="T159" s="1175"/>
      <c r="U159" s="1175"/>
      <c r="V159" s="1175"/>
      <c r="W159" s="1175"/>
      <c r="Z159" s="1282"/>
    </row>
    <row r="160" spans="3:26">
      <c r="C160" s="1245"/>
      <c r="E160" s="1492"/>
      <c r="F160" s="1282">
        <f>SUMIF(K16:K101,"D",J16:J101)</f>
        <v>0</v>
      </c>
      <c r="G160" s="1282"/>
      <c r="H160" s="1282"/>
      <c r="I160" s="1282"/>
      <c r="J160" s="307">
        <f>F160*2200</f>
        <v>0</v>
      </c>
      <c r="K160" s="307"/>
      <c r="L160" s="1245"/>
      <c r="M160" s="1283"/>
      <c r="N160" s="1283"/>
      <c r="O160" s="1283"/>
      <c r="P160" s="1283"/>
      <c r="Q160" s="1283"/>
      <c r="R160" s="1283"/>
      <c r="S160" s="1283"/>
      <c r="T160" s="1283"/>
      <c r="U160" s="1283"/>
      <c r="V160" s="1283"/>
      <c r="W160" s="1283"/>
      <c r="Z160" s="1282"/>
    </row>
    <row r="161" spans="1:26">
      <c r="C161" s="1245"/>
      <c r="E161" s="1282"/>
      <c r="F161" s="1282"/>
      <c r="G161" s="1282"/>
      <c r="H161" s="1282"/>
      <c r="I161" s="1282"/>
      <c r="J161" s="307"/>
      <c r="K161" s="307"/>
      <c r="L161" s="1245"/>
      <c r="M161" s="1283"/>
      <c r="N161" s="1283"/>
      <c r="O161" s="1283"/>
      <c r="P161" s="1283"/>
      <c r="Q161" s="1283"/>
      <c r="R161" s="1283"/>
      <c r="S161" s="1283"/>
      <c r="T161" s="1283"/>
      <c r="U161" s="1283"/>
      <c r="V161" s="1283"/>
      <c r="W161" s="1283"/>
      <c r="Z161" s="1282"/>
    </row>
    <row r="162" spans="1:26">
      <c r="C162" s="1245"/>
      <c r="E162" s="1282"/>
      <c r="F162" s="1282"/>
      <c r="G162" s="1282"/>
      <c r="H162" s="1282"/>
      <c r="I162" s="1282"/>
      <c r="J162" s="307"/>
      <c r="K162" s="307"/>
      <c r="L162" s="1245"/>
      <c r="M162" s="1283"/>
      <c r="N162" s="1283"/>
      <c r="O162" s="1283"/>
      <c r="P162" s="1283"/>
      <c r="Q162" s="1283"/>
      <c r="R162" s="1283"/>
      <c r="S162" s="1283"/>
      <c r="T162" s="1283"/>
      <c r="U162" s="1283"/>
      <c r="V162" s="1283"/>
      <c r="W162" s="1283"/>
      <c r="Z162" s="1282"/>
    </row>
    <row r="163" spans="1:26">
      <c r="C163" s="1245"/>
      <c r="E163" s="1282"/>
      <c r="F163" s="1282"/>
      <c r="G163" s="1282"/>
      <c r="H163" s="1282"/>
      <c r="I163" s="1282"/>
      <c r="J163" s="307"/>
      <c r="K163" s="307"/>
      <c r="L163" s="1245"/>
      <c r="M163" s="1283"/>
      <c r="N163" s="1283"/>
      <c r="O163" s="1283"/>
      <c r="P163" s="1283"/>
      <c r="Q163" s="1283"/>
      <c r="R163" s="1283"/>
      <c r="S163" s="1283"/>
      <c r="T163" s="1283"/>
      <c r="U163" s="1283"/>
      <c r="V163" s="1283"/>
      <c r="W163" s="1283"/>
      <c r="Z163" s="1282"/>
    </row>
    <row r="164" spans="1:26">
      <c r="C164" s="1245"/>
      <c r="E164" s="1282"/>
      <c r="F164" s="1282"/>
      <c r="G164" s="1282"/>
      <c r="H164" s="1282"/>
      <c r="I164" s="1282"/>
      <c r="J164" s="307"/>
      <c r="K164" s="307"/>
      <c r="L164" s="1245"/>
      <c r="M164" s="1283"/>
      <c r="N164" s="1283"/>
      <c r="O164" s="1283"/>
      <c r="P164" s="1283"/>
      <c r="Q164" s="1283"/>
      <c r="R164" s="1283"/>
      <c r="S164" s="1283"/>
      <c r="T164" s="1283"/>
      <c r="U164" s="1283"/>
      <c r="V164" s="1283"/>
      <c r="W164" s="1283"/>
      <c r="Z164" s="1282"/>
    </row>
    <row r="165" spans="1:26">
      <c r="C165" s="1245"/>
      <c r="E165" s="1282"/>
      <c r="F165" s="1282"/>
      <c r="G165" s="1282"/>
      <c r="H165" s="1282"/>
      <c r="I165" s="1282"/>
      <c r="J165" s="307"/>
      <c r="K165" s="307"/>
      <c r="L165" s="1245"/>
      <c r="M165" s="1283"/>
      <c r="N165" s="1283"/>
      <c r="O165" s="1283"/>
      <c r="P165" s="1283"/>
      <c r="Q165" s="1283"/>
      <c r="R165" s="1283"/>
      <c r="S165" s="1283"/>
      <c r="T165" s="1283"/>
      <c r="U165" s="1283"/>
      <c r="V165" s="1283"/>
      <c r="W165" s="1283"/>
      <c r="Z165" s="1282"/>
    </row>
    <row r="166" spans="1:26">
      <c r="C166" s="1245"/>
      <c r="E166" s="1282"/>
      <c r="F166" s="1282"/>
      <c r="G166" s="1282"/>
      <c r="H166" s="1282"/>
      <c r="I166" s="1282"/>
      <c r="J166" s="307"/>
      <c r="K166" s="307"/>
      <c r="L166" s="1245"/>
      <c r="M166" s="1283"/>
      <c r="N166" s="1283"/>
      <c r="O166" s="1283"/>
      <c r="P166" s="1283"/>
      <c r="Q166" s="1283"/>
      <c r="R166" s="1283"/>
      <c r="S166" s="1283"/>
      <c r="T166" s="1283"/>
      <c r="U166" s="1283"/>
      <c r="V166" s="1283"/>
      <c r="W166" s="1283"/>
      <c r="Z166" s="1282"/>
    </row>
    <row r="167" spans="1:26">
      <c r="C167" s="1245"/>
      <c r="E167" s="1245"/>
      <c r="F167" s="1245">
        <f>SUM(F157:F165)</f>
        <v>124241.44465747369</v>
      </c>
      <c r="J167" s="307">
        <f>SUM(J157:J165)</f>
        <v>309212634.04027146</v>
      </c>
      <c r="K167" s="307"/>
      <c r="L167" s="1245"/>
      <c r="M167" s="1493" t="e">
        <f>J167+J177+F182</f>
        <v>#REF!</v>
      </c>
      <c r="N167" s="1493"/>
      <c r="O167" s="1493"/>
      <c r="P167" s="1253"/>
      <c r="Q167" s="1253"/>
      <c r="R167" s="1253"/>
      <c r="S167" s="1253"/>
      <c r="W167" s="1245" t="e">
        <f>M167-#REF!</f>
        <v>#REF!</v>
      </c>
    </row>
    <row r="168" spans="1:26">
      <c r="C168" s="1245"/>
      <c r="E168" s="1245"/>
      <c r="J168" s="724"/>
      <c r="K168" s="724"/>
      <c r="L168" s="1245"/>
    </row>
    <row r="169" spans="1:26">
      <c r="C169" s="1245"/>
      <c r="E169" s="1282"/>
      <c r="F169" s="1245">
        <v>5422</v>
      </c>
      <c r="J169" s="307">
        <f>F169*30000</f>
        <v>162660000</v>
      </c>
      <c r="K169" s="307"/>
      <c r="L169" s="1245"/>
    </row>
    <row r="170" spans="1:26">
      <c r="C170" s="1245"/>
      <c r="E170" s="1282"/>
      <c r="F170" s="1245">
        <v>20</v>
      </c>
      <c r="J170" s="307">
        <f>F170*60000</f>
        <v>1200000</v>
      </c>
      <c r="K170" s="307"/>
      <c r="L170" s="1245"/>
    </row>
    <row r="171" spans="1:26">
      <c r="C171" s="1245"/>
      <c r="E171" s="1282"/>
      <c r="F171" s="1245">
        <v>230</v>
      </c>
      <c r="J171" s="307">
        <f>F171*80000</f>
        <v>18400000</v>
      </c>
      <c r="K171" s="307"/>
      <c r="L171" s="1245"/>
    </row>
    <row r="172" spans="1:26">
      <c r="A172" s="1245"/>
      <c r="B172" s="1245"/>
      <c r="F172" s="1245">
        <v>998</v>
      </c>
      <c r="J172" s="307">
        <f>F172*50000</f>
        <v>49900000</v>
      </c>
      <c r="K172" s="307"/>
    </row>
    <row r="173" spans="1:26">
      <c r="A173" s="1245"/>
      <c r="B173" s="1245"/>
      <c r="F173" s="1245">
        <v>2</v>
      </c>
      <c r="J173" s="307">
        <f>F173*80000</f>
        <v>160000</v>
      </c>
      <c r="K173" s="307"/>
    </row>
    <row r="174" spans="1:26">
      <c r="A174" s="1245"/>
      <c r="B174" s="1245"/>
      <c r="F174" s="1245">
        <v>89</v>
      </c>
      <c r="J174" s="307">
        <f>F174*100000</f>
        <v>8900000</v>
      </c>
      <c r="K174" s="307"/>
      <c r="Z174" s="1253"/>
    </row>
    <row r="175" spans="1:26">
      <c r="A175" s="1245"/>
      <c r="B175" s="1245"/>
      <c r="F175" s="1245">
        <v>301.56000000000006</v>
      </c>
      <c r="J175" s="307">
        <f>F175*25000</f>
        <v>7539000.0000000019</v>
      </c>
      <c r="K175" s="307"/>
      <c r="Z175" s="1253"/>
    </row>
    <row r="176" spans="1:26">
      <c r="A176" s="1245"/>
      <c r="B176" s="1245"/>
      <c r="F176" s="1245">
        <v>2965</v>
      </c>
      <c r="J176" s="307">
        <f>F176*20000</f>
        <v>59300000</v>
      </c>
      <c r="K176" s="307"/>
      <c r="Z176" s="1253"/>
    </row>
    <row r="177" spans="3:23" s="1245" customFormat="1" ht="28.5" customHeight="1">
      <c r="C177" s="1286"/>
      <c r="E177" s="342"/>
      <c r="F177" s="1245">
        <f>SUM(F169:F176)</f>
        <v>10027.560000000001</v>
      </c>
      <c r="J177" s="1494">
        <f>SUM(J169:J176)</f>
        <v>308059000</v>
      </c>
      <c r="K177" s="1494"/>
      <c r="L177" s="306"/>
      <c r="T177" s="1493" t="e">
        <f>J177-#REF!</f>
        <v>#REF!</v>
      </c>
      <c r="U177" s="1493"/>
      <c r="V177" s="1493"/>
      <c r="W177" s="1493"/>
    </row>
    <row r="178" spans="3:23" s="1245" customFormat="1">
      <c r="C178" s="1286"/>
      <c r="E178" s="342"/>
      <c r="F178" s="1282" t="e">
        <f>#REF!+#REF!+#REF!+E101</f>
        <v>#REF!</v>
      </c>
      <c r="G178" s="1282"/>
      <c r="H178" s="1282"/>
      <c r="I178" s="1282"/>
      <c r="J178" s="307" t="e">
        <f>F178*25000</f>
        <v>#REF!</v>
      </c>
      <c r="K178" s="307"/>
      <c r="L178" s="306"/>
    </row>
    <row r="179" spans="3:23" s="1245" customFormat="1">
      <c r="C179" s="1286"/>
      <c r="E179" s="1245" t="s">
        <v>162</v>
      </c>
      <c r="F179" s="1245" t="e">
        <f>#REF!+#REF!</f>
        <v>#REF!</v>
      </c>
      <c r="J179" s="307" t="e">
        <f>#REF!+#REF!</f>
        <v>#REF!</v>
      </c>
      <c r="K179" s="343"/>
      <c r="L179" s="306"/>
    </row>
    <row r="180" spans="3:23" s="1245" customFormat="1">
      <c r="C180" s="1286"/>
      <c r="E180" s="342"/>
      <c r="F180" s="1245" t="e">
        <f>#REF!</f>
        <v>#REF!</v>
      </c>
      <c r="J180" s="307" t="e">
        <f>#REF!</f>
        <v>#REF!</v>
      </c>
      <c r="K180" s="343"/>
      <c r="L180" s="306"/>
    </row>
    <row r="181" spans="3:23" s="1245" customFormat="1">
      <c r="C181" s="1286"/>
      <c r="E181" s="342"/>
      <c r="F181" s="1245" t="e">
        <f>#REF!+#REF!+#REF!+#REF!</f>
        <v>#REF!</v>
      </c>
      <c r="J181" s="307" t="e">
        <f>#REF!+#REF!+#REF!+#REF!</f>
        <v>#REF!</v>
      </c>
      <c r="K181" s="343"/>
      <c r="L181" s="306"/>
    </row>
    <row r="182" spans="3:23" s="1245" customFormat="1">
      <c r="C182" s="1286"/>
      <c r="E182" s="342"/>
      <c r="F182" s="1494" t="e">
        <f>SUM(J178:K181)</f>
        <v>#REF!</v>
      </c>
      <c r="G182" s="1494"/>
      <c r="H182" s="1494"/>
      <c r="I182" s="1494"/>
      <c r="J182" s="1494"/>
      <c r="K182" s="343"/>
      <c r="L182" s="306" t="e">
        <f>F182-#REF!</f>
        <v>#REF!</v>
      </c>
    </row>
    <row r="184" spans="3:23" s="1245" customFormat="1">
      <c r="C184" s="1286"/>
      <c r="E184" s="342"/>
      <c r="J184" s="1489" t="e">
        <f>+#REF!+#REF!+#REF!+#REF!+1000000</f>
        <v>#REF!</v>
      </c>
      <c r="K184" s="1489"/>
      <c r="L184" s="306"/>
    </row>
    <row r="186" spans="3:23" s="1245" customFormat="1">
      <c r="C186" s="1286"/>
      <c r="E186" s="342"/>
      <c r="F186" s="1282"/>
      <c r="G186" s="1282"/>
      <c r="H186" s="1282"/>
      <c r="I186" s="1282"/>
      <c r="J186" s="307"/>
      <c r="K186" s="305"/>
      <c r="L186" s="306"/>
    </row>
    <row r="187" spans="3:23" s="1245" customFormat="1">
      <c r="C187" s="1286"/>
      <c r="E187" s="342"/>
      <c r="J187" s="304"/>
      <c r="K187" s="305"/>
      <c r="L187" s="306"/>
      <c r="M187" s="1282"/>
      <c r="N187" s="1282"/>
    </row>
    <row r="191" spans="3:23" s="1245" customFormat="1">
      <c r="C191" s="1286"/>
      <c r="E191" s="342"/>
      <c r="F191" s="1282">
        <v>2551.8899999999994</v>
      </c>
      <c r="G191" s="1282"/>
      <c r="H191" s="1282"/>
      <c r="I191" s="1282"/>
      <c r="J191" s="304"/>
      <c r="K191" s="305"/>
      <c r="L191" s="306"/>
    </row>
    <row r="192" spans="3:23" s="1245" customFormat="1">
      <c r="F192" s="1282" t="e">
        <f>+F178-F191</f>
        <v>#REF!</v>
      </c>
      <c r="G192" s="1282"/>
      <c r="H192" s="1282"/>
      <c r="I192" s="1282"/>
      <c r="J192" s="304"/>
      <c r="K192" s="305"/>
      <c r="L192" s="306"/>
    </row>
    <row r="198" spans="10:23" s="1245" customFormat="1">
      <c r="J198" s="304"/>
      <c r="K198" s="305">
        <v>1678</v>
      </c>
      <c r="L198" s="306">
        <v>1573</v>
      </c>
      <c r="M198" s="1245">
        <v>1187</v>
      </c>
      <c r="O198" s="1245">
        <v>1183</v>
      </c>
      <c r="W198" s="1245">
        <f>SUM(K198:O198)</f>
        <v>5621</v>
      </c>
    </row>
    <row r="199" spans="10:23" s="1245" customFormat="1">
      <c r="J199" s="304"/>
      <c r="K199" s="305">
        <v>257</v>
      </c>
      <c r="L199" s="306">
        <v>244</v>
      </c>
      <c r="M199" s="1245">
        <v>183</v>
      </c>
      <c r="O199" s="1245">
        <v>182</v>
      </c>
      <c r="W199" s="1245">
        <f>SUM(K199:O199)</f>
        <v>866</v>
      </c>
    </row>
    <row r="200" spans="10:23" s="1245" customFormat="1">
      <c r="J200" s="304"/>
      <c r="K200" s="305">
        <v>1935</v>
      </c>
      <c r="L200" s="306">
        <v>1817</v>
      </c>
      <c r="M200" s="1245">
        <v>1370</v>
      </c>
      <c r="O200" s="1245">
        <v>1365</v>
      </c>
      <c r="W200" s="1245">
        <f>SUM(K200:O200)</f>
        <v>6487</v>
      </c>
    </row>
  </sheetData>
  <mergeCells count="32">
    <mergeCell ref="J184:K184"/>
    <mergeCell ref="A102:Z102"/>
    <mergeCell ref="M121:O121"/>
    <mergeCell ref="E157:E160"/>
    <mergeCell ref="M167:O167"/>
    <mergeCell ref="J177:K177"/>
    <mergeCell ref="T177:W177"/>
    <mergeCell ref="F182:J182"/>
    <mergeCell ref="A106:Z106"/>
    <mergeCell ref="N104:Z104"/>
    <mergeCell ref="X13:X15"/>
    <mergeCell ref="B13:B15"/>
    <mergeCell ref="D13:D15"/>
    <mergeCell ref="E14:F14"/>
    <mergeCell ref="J14:L14"/>
    <mergeCell ref="M14:W14"/>
    <mergeCell ref="Z13:Z15"/>
    <mergeCell ref="A1:Z1"/>
    <mergeCell ref="A5:J5"/>
    <mergeCell ref="A8:Z8"/>
    <mergeCell ref="A101:D101"/>
    <mergeCell ref="E13:W13"/>
    <mergeCell ref="A2:Z2"/>
    <mergeCell ref="A3:Z3"/>
    <mergeCell ref="A9:Z9"/>
    <mergeCell ref="A10:Z10"/>
    <mergeCell ref="A6:J6"/>
    <mergeCell ref="C12:D12"/>
    <mergeCell ref="X12:Y12"/>
    <mergeCell ref="Y13:Y15"/>
    <mergeCell ref="A13:A15"/>
    <mergeCell ref="C13:C15"/>
  </mergeCells>
  <printOptions horizontalCentered="1"/>
  <pageMargins left="0.35433070866141736" right="0.15748031496062992" top="0.23622047244094491" bottom="0.19685039370078741" header="0.15748031496062992" footer="0.19685039370078741"/>
  <pageSetup paperSize="9" scale="38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</sheetPr>
  <dimension ref="A1:AB147"/>
  <sheetViews>
    <sheetView topLeftCell="A69" zoomScale="40" zoomScaleNormal="40" zoomScaleSheetLayoutView="55" workbookViewId="0">
      <selection activeCell="E17" sqref="E17:E82"/>
    </sheetView>
  </sheetViews>
  <sheetFormatPr defaultColWidth="9.42578125" defaultRowHeight="23.25"/>
  <cols>
    <col min="1" max="1" width="7.28515625" style="1215" customWidth="1"/>
    <col min="2" max="2" width="14.5703125" style="1253" customWidth="1"/>
    <col min="3" max="3" width="22.7109375" style="1286" customWidth="1"/>
    <col min="4" max="4" width="29.85546875" style="1245" customWidth="1"/>
    <col min="5" max="5" width="17.140625" style="342" customWidth="1"/>
    <col min="6" max="6" width="21.42578125" style="1245" customWidth="1"/>
    <col min="7" max="7" width="19" style="1245" customWidth="1"/>
    <col min="8" max="8" width="15.85546875" style="1245" hidden="1" customWidth="1"/>
    <col min="9" max="9" width="19" style="1245" customWidth="1"/>
    <col min="10" max="10" width="16" style="304" customWidth="1"/>
    <col min="11" max="11" width="12.5703125" style="305" customWidth="1"/>
    <col min="12" max="12" width="24.5703125" style="306" customWidth="1"/>
    <col min="13" max="13" width="17.5703125" style="1245" customWidth="1"/>
    <col min="14" max="14" width="15.28515625" style="1245" customWidth="1"/>
    <col min="15" max="15" width="16.7109375" style="1245" customWidth="1"/>
    <col min="16" max="18" width="16.7109375" style="1245" hidden="1" customWidth="1"/>
    <col min="19" max="19" width="16.42578125" style="1245" hidden="1" customWidth="1"/>
    <col min="20" max="20" width="16.42578125" style="1245" customWidth="1"/>
    <col min="21" max="22" width="17.28515625" style="1245" hidden="1" customWidth="1"/>
    <col min="23" max="24" width="22.5703125" style="1245" customWidth="1"/>
    <col min="25" max="25" width="16.28515625" style="1245" hidden="1" customWidth="1"/>
    <col min="26" max="26" width="24.5703125" style="1245" customWidth="1"/>
    <col min="27" max="27" width="25" style="1245" customWidth="1"/>
    <col min="28" max="28" width="25.28515625" style="1245" customWidth="1"/>
    <col min="29" max="29" width="13.85546875" style="1245" bestFit="1" customWidth="1"/>
    <col min="30" max="33" width="9.42578125" style="1245"/>
    <col min="34" max="34" width="9.5703125" style="1245" bestFit="1" customWidth="1"/>
    <col min="35" max="16384" width="9.42578125" style="1245"/>
  </cols>
  <sheetData>
    <row r="1" spans="1:28">
      <c r="A1" s="1497" t="s">
        <v>51</v>
      </c>
      <c r="B1" s="1497"/>
      <c r="C1" s="1497"/>
      <c r="D1" s="1497"/>
      <c r="E1" s="1497"/>
      <c r="F1" s="1497"/>
      <c r="G1" s="1497"/>
      <c r="H1" s="1497"/>
      <c r="I1" s="1497"/>
      <c r="J1" s="1497"/>
      <c r="K1" s="1497"/>
      <c r="L1" s="1497"/>
      <c r="M1" s="1497"/>
      <c r="N1" s="1497"/>
      <c r="O1" s="1497"/>
      <c r="P1" s="1497"/>
      <c r="Q1" s="1497"/>
      <c r="R1" s="1497"/>
      <c r="S1" s="1497"/>
      <c r="T1" s="1497"/>
      <c r="U1" s="1497"/>
      <c r="V1" s="1497"/>
      <c r="W1" s="1497"/>
      <c r="X1" s="1497"/>
      <c r="Y1" s="1497"/>
      <c r="Z1" s="1497"/>
    </row>
    <row r="2" spans="1:28">
      <c r="A2" s="1497" t="s">
        <v>38</v>
      </c>
      <c r="B2" s="1497"/>
      <c r="C2" s="1497"/>
      <c r="D2" s="1497"/>
      <c r="E2" s="1497"/>
      <c r="F2" s="1497"/>
      <c r="G2" s="1497"/>
      <c r="H2" s="1497"/>
      <c r="I2" s="1497"/>
      <c r="J2" s="1497"/>
      <c r="K2" s="1497"/>
      <c r="L2" s="1497"/>
      <c r="M2" s="1497"/>
      <c r="N2" s="1497"/>
      <c r="O2" s="1497"/>
      <c r="P2" s="1497"/>
      <c r="Q2" s="1497"/>
      <c r="R2" s="1497"/>
      <c r="S2" s="1497"/>
      <c r="T2" s="1497"/>
      <c r="U2" s="1497"/>
      <c r="V2" s="1497"/>
      <c r="W2" s="1497"/>
      <c r="X2" s="1497"/>
      <c r="Y2" s="1497"/>
      <c r="Z2" s="1497"/>
    </row>
    <row r="3" spans="1:28">
      <c r="A3" s="1501" t="s">
        <v>277</v>
      </c>
      <c r="B3" s="1497"/>
      <c r="C3" s="1497"/>
      <c r="D3" s="1497"/>
      <c r="E3" s="1497"/>
      <c r="F3" s="1497"/>
      <c r="G3" s="1497"/>
      <c r="H3" s="1497"/>
      <c r="I3" s="1497"/>
      <c r="J3" s="1497"/>
      <c r="K3" s="1497"/>
      <c r="L3" s="1497"/>
      <c r="M3" s="1497"/>
      <c r="N3" s="1497"/>
      <c r="O3" s="1497"/>
      <c r="P3" s="1497"/>
      <c r="Q3" s="1497"/>
      <c r="R3" s="1497"/>
      <c r="S3" s="1497"/>
      <c r="T3" s="1497"/>
      <c r="U3" s="1497"/>
      <c r="V3" s="1497"/>
      <c r="W3" s="1497"/>
      <c r="X3" s="1497"/>
      <c r="Y3" s="1497"/>
      <c r="Z3" s="1497"/>
    </row>
    <row r="4" spans="1:28" ht="26.25" customHeight="1">
      <c r="A4" s="767"/>
      <c r="B4" s="767"/>
      <c r="C4" s="767"/>
      <c r="D4" s="767"/>
      <c r="E4" s="767"/>
      <c r="F4" s="767"/>
      <c r="G4" s="767"/>
      <c r="H4" s="767"/>
      <c r="I4" s="767"/>
      <c r="J4" s="767"/>
      <c r="K4" s="767"/>
      <c r="L4" s="767"/>
      <c r="M4" s="767"/>
      <c r="N4" s="767"/>
      <c r="O4" s="767"/>
      <c r="P4" s="767"/>
      <c r="Q4" s="767"/>
      <c r="R4" s="767"/>
      <c r="S4" s="767"/>
      <c r="T4" s="767"/>
      <c r="U4" s="767"/>
      <c r="V4" s="767"/>
      <c r="W4" s="767"/>
      <c r="X4" s="767"/>
      <c r="Y4" s="767"/>
      <c r="Z4" s="767"/>
    </row>
    <row r="5" spans="1:28">
      <c r="A5" s="1493" t="s">
        <v>550</v>
      </c>
      <c r="B5" s="1493"/>
      <c r="C5" s="1493"/>
      <c r="D5" s="1493"/>
      <c r="E5" s="1493"/>
      <c r="F5" s="1493"/>
      <c r="G5" s="1493"/>
      <c r="H5" s="1493"/>
      <c r="I5" s="1493"/>
      <c r="J5" s="1493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7"/>
      <c r="X5" s="337"/>
      <c r="Y5" s="337"/>
      <c r="Z5" s="337"/>
    </row>
    <row r="6" spans="1:28" ht="24.75" customHeight="1">
      <c r="A6" s="1481" t="s">
        <v>537</v>
      </c>
      <c r="B6" s="1481"/>
      <c r="C6" s="1481"/>
      <c r="D6" s="1481"/>
      <c r="E6" s="1481"/>
      <c r="F6" s="1481"/>
      <c r="G6" s="1481"/>
      <c r="H6" s="1481"/>
      <c r="I6" s="1481"/>
      <c r="J6" s="1481"/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W6" s="337"/>
      <c r="X6" s="337"/>
      <c r="Y6" s="337"/>
      <c r="Z6" s="337"/>
    </row>
    <row r="7" spans="1:28">
      <c r="A7" s="1163"/>
      <c r="B7" s="1163"/>
      <c r="C7" s="1163"/>
      <c r="D7" s="1163"/>
      <c r="E7" s="1163"/>
      <c r="F7" s="1246"/>
      <c r="G7" s="1246"/>
      <c r="H7" s="1246"/>
      <c r="I7" s="1246"/>
      <c r="J7" s="336"/>
      <c r="K7" s="336"/>
      <c r="L7" s="336"/>
      <c r="M7" s="336"/>
      <c r="N7" s="336"/>
      <c r="O7" s="336"/>
      <c r="P7" s="336"/>
      <c r="Q7" s="336"/>
      <c r="R7" s="336"/>
      <c r="S7" s="336"/>
      <c r="T7" s="336"/>
      <c r="U7" s="336"/>
      <c r="V7" s="336"/>
      <c r="W7" s="337"/>
      <c r="X7" s="337"/>
      <c r="Y7" s="337"/>
      <c r="Z7" s="337"/>
    </row>
    <row r="8" spans="1:28">
      <c r="A8" s="1163"/>
      <c r="B8" s="1163"/>
      <c r="C8" s="1163"/>
      <c r="D8" s="1163"/>
      <c r="E8" s="1163"/>
      <c r="F8" s="1246"/>
      <c r="G8" s="1246"/>
      <c r="H8" s="1246"/>
      <c r="I8" s="1246"/>
      <c r="J8" s="336"/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337"/>
      <c r="X8" s="337"/>
      <c r="Y8" s="337"/>
      <c r="Z8" s="337"/>
    </row>
    <row r="9" spans="1:28" ht="30">
      <c r="A9" s="1480" t="s">
        <v>814</v>
      </c>
      <c r="B9" s="1480"/>
      <c r="C9" s="1480"/>
      <c r="D9" s="1480"/>
      <c r="E9" s="1480"/>
      <c r="F9" s="1480"/>
      <c r="G9" s="1480"/>
      <c r="H9" s="1480"/>
      <c r="I9" s="1480"/>
      <c r="J9" s="1480"/>
      <c r="K9" s="1480"/>
      <c r="L9" s="1480"/>
      <c r="M9" s="1480"/>
      <c r="N9" s="1480"/>
      <c r="O9" s="1480"/>
      <c r="P9" s="1480"/>
      <c r="Q9" s="1480"/>
      <c r="R9" s="1480"/>
      <c r="S9" s="1480"/>
      <c r="T9" s="1480"/>
      <c r="U9" s="1480"/>
      <c r="V9" s="1480"/>
      <c r="W9" s="1480"/>
      <c r="X9" s="1480"/>
      <c r="Y9" s="1480"/>
      <c r="Z9" s="1480"/>
    </row>
    <row r="10" spans="1:28" ht="30" customHeight="1">
      <c r="A10" s="671"/>
      <c r="B10" s="671"/>
      <c r="C10" s="671"/>
      <c r="D10" s="671"/>
      <c r="E10" s="671"/>
      <c r="F10" s="671"/>
      <c r="G10" s="671"/>
      <c r="H10" s="671"/>
      <c r="I10" s="671"/>
      <c r="J10" s="671"/>
      <c r="K10" s="671"/>
      <c r="L10" s="671"/>
      <c r="M10" s="671"/>
      <c r="N10" s="671"/>
      <c r="O10" s="671"/>
      <c r="P10" s="671"/>
      <c r="Q10" s="671"/>
      <c r="R10" s="671"/>
      <c r="S10" s="671"/>
      <c r="T10" s="671"/>
      <c r="U10" s="671"/>
      <c r="V10" s="671"/>
      <c r="W10" s="671"/>
      <c r="X10" s="671"/>
      <c r="Y10" s="671"/>
      <c r="Z10" s="671"/>
      <c r="AA10" s="1247" t="s">
        <v>32</v>
      </c>
      <c r="AB10" s="1168">
        <f>'BTH mủ tạp'!$AK$98</f>
        <v>248798</v>
      </c>
    </row>
    <row r="11" spans="1:28" s="1248" customFormat="1" ht="18" customHeight="1">
      <c r="A11" s="1481"/>
      <c r="B11" s="1481"/>
      <c r="C11" s="1481"/>
      <c r="D11" s="1481"/>
      <c r="E11" s="1481"/>
      <c r="F11" s="1481"/>
      <c r="G11" s="1481"/>
      <c r="H11" s="1481"/>
      <c r="I11" s="1481"/>
      <c r="J11" s="1481"/>
      <c r="K11" s="1481"/>
      <c r="L11" s="1481"/>
      <c r="M11" s="1481"/>
      <c r="N11" s="1481"/>
      <c r="O11" s="1481"/>
      <c r="P11" s="1481"/>
      <c r="Q11" s="1481"/>
      <c r="R11" s="1481"/>
      <c r="S11" s="1481"/>
      <c r="T11" s="1481"/>
      <c r="U11" s="1481"/>
      <c r="V11" s="1481"/>
      <c r="W11" s="1481"/>
      <c r="X11" s="1481"/>
      <c r="Y11" s="1481"/>
      <c r="Z11" s="1481"/>
      <c r="AA11" s="1247" t="s">
        <v>394</v>
      </c>
      <c r="AB11" s="1168">
        <f>'BTH mủ tạp'!$AM$98</f>
        <v>107620.45899999999</v>
      </c>
    </row>
    <row r="12" spans="1:28" s="1248" customFormat="1" ht="36.75" customHeight="1">
      <c r="A12" s="1249"/>
      <c r="B12" s="1163"/>
      <c r="C12" s="1499"/>
      <c r="D12" s="1499"/>
      <c r="E12" s="1175">
        <v>655.8</v>
      </c>
      <c r="F12" s="1250"/>
      <c r="G12" s="1250"/>
      <c r="H12" s="1250"/>
      <c r="I12" s="1250"/>
      <c r="J12" s="1251"/>
      <c r="K12" s="1163"/>
      <c r="L12" s="1163"/>
      <c r="M12" s="1163"/>
      <c r="N12" s="1163"/>
      <c r="O12" s="1163"/>
      <c r="P12" s="1163"/>
      <c r="Q12" s="1163"/>
      <c r="R12" s="1163"/>
      <c r="S12" s="1163"/>
      <c r="T12" s="1163"/>
      <c r="U12" s="1163"/>
      <c r="V12" s="1163"/>
      <c r="W12" s="1163"/>
      <c r="X12" s="1163"/>
      <c r="Y12" s="1163"/>
      <c r="Z12" s="1163"/>
      <c r="AA12" s="1252" t="s">
        <v>395</v>
      </c>
      <c r="AB12" s="710">
        <v>0.5</v>
      </c>
    </row>
    <row r="13" spans="1:28" ht="27" customHeight="1">
      <c r="C13" s="1500" t="s">
        <v>281</v>
      </c>
      <c r="D13" s="1500"/>
      <c r="E13" s="1254">
        <f>'CNKT '!F11</f>
        <v>670.76</v>
      </c>
      <c r="F13" s="1255"/>
      <c r="G13" s="1255"/>
      <c r="H13" s="1255"/>
      <c r="I13" s="1255"/>
      <c r="J13" s="338"/>
      <c r="K13" s="339"/>
      <c r="L13" s="340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1502" t="s">
        <v>391</v>
      </c>
      <c r="Y13" s="1502"/>
      <c r="Z13" s="496">
        <f>AB11/AB10</f>
        <v>0.43256159213498496</v>
      </c>
      <c r="AA13" s="1252" t="s">
        <v>396</v>
      </c>
      <c r="AB13" s="1112">
        <v>0.49207936507936501</v>
      </c>
    </row>
    <row r="14" spans="1:28" s="1163" customFormat="1" ht="26.25" customHeight="1">
      <c r="A14" s="1485" t="s">
        <v>4</v>
      </c>
      <c r="B14" s="1485" t="s">
        <v>89</v>
      </c>
      <c r="C14" s="1486" t="s">
        <v>13</v>
      </c>
      <c r="D14" s="1485" t="s">
        <v>223</v>
      </c>
      <c r="E14" s="1477" t="s">
        <v>18</v>
      </c>
      <c r="F14" s="1477"/>
      <c r="G14" s="1477"/>
      <c r="H14" s="1477"/>
      <c r="I14" s="1477"/>
      <c r="J14" s="1477"/>
      <c r="K14" s="1477"/>
      <c r="L14" s="1477"/>
      <c r="M14" s="1477"/>
      <c r="N14" s="1477"/>
      <c r="O14" s="1477"/>
      <c r="P14" s="1477"/>
      <c r="Q14" s="1477"/>
      <c r="R14" s="1477"/>
      <c r="S14" s="1477"/>
      <c r="T14" s="1477"/>
      <c r="U14" s="1477"/>
      <c r="V14" s="1477"/>
      <c r="W14" s="1477"/>
      <c r="X14" s="1508" t="s">
        <v>347</v>
      </c>
      <c r="Y14" s="1470" t="s">
        <v>154</v>
      </c>
      <c r="Z14" s="1470" t="s">
        <v>346</v>
      </c>
    </row>
    <row r="15" spans="1:28" s="1163" customFormat="1" ht="52.5" customHeight="1">
      <c r="A15" s="1485"/>
      <c r="B15" s="1485"/>
      <c r="C15" s="1486"/>
      <c r="D15" s="1485"/>
      <c r="E15" s="1487" t="s">
        <v>345</v>
      </c>
      <c r="F15" s="1488"/>
      <c r="G15" s="1503" t="s">
        <v>21</v>
      </c>
      <c r="H15" s="1504"/>
      <c r="I15" s="1504"/>
      <c r="J15" s="1504"/>
      <c r="K15" s="1504"/>
      <c r="L15" s="1505"/>
      <c r="M15" s="1470" t="s">
        <v>22</v>
      </c>
      <c r="N15" s="1470"/>
      <c r="O15" s="1470"/>
      <c r="P15" s="1470"/>
      <c r="Q15" s="1470"/>
      <c r="R15" s="1470"/>
      <c r="S15" s="1470"/>
      <c r="T15" s="1470"/>
      <c r="U15" s="1470"/>
      <c r="V15" s="1470"/>
      <c r="W15" s="1470"/>
      <c r="X15" s="1509"/>
      <c r="Y15" s="1470"/>
      <c r="Z15" s="1470"/>
    </row>
    <row r="16" spans="1:28" s="1258" customFormat="1" ht="121.5" customHeight="1">
      <c r="A16" s="1485"/>
      <c r="B16" s="1485"/>
      <c r="C16" s="1486"/>
      <c r="D16" s="1485"/>
      <c r="E16" s="883" t="s">
        <v>67</v>
      </c>
      <c r="F16" s="1256" t="s">
        <v>23</v>
      </c>
      <c r="G16" s="1256" t="s">
        <v>343</v>
      </c>
      <c r="H16" s="1256" t="s">
        <v>388</v>
      </c>
      <c r="I16" s="884" t="s">
        <v>397</v>
      </c>
      <c r="J16" s="885" t="s">
        <v>389</v>
      </c>
      <c r="K16" s="882" t="s">
        <v>24</v>
      </c>
      <c r="L16" s="882" t="s">
        <v>25</v>
      </c>
      <c r="M16" s="886" t="s">
        <v>416</v>
      </c>
      <c r="N16" s="1257" t="s">
        <v>441</v>
      </c>
      <c r="O16" s="1257" t="s">
        <v>442</v>
      </c>
      <c r="P16" s="1257" t="s">
        <v>443</v>
      </c>
      <c r="Q16" s="1257" t="s">
        <v>444</v>
      </c>
      <c r="R16" s="1257" t="s">
        <v>445</v>
      </c>
      <c r="S16" s="1257" t="s">
        <v>510</v>
      </c>
      <c r="T16" s="887" t="s">
        <v>841</v>
      </c>
      <c r="U16" s="887" t="s">
        <v>505</v>
      </c>
      <c r="V16" s="887" t="s">
        <v>486</v>
      </c>
      <c r="W16" s="882" t="s">
        <v>16</v>
      </c>
      <c r="X16" s="1510"/>
      <c r="Y16" s="1470"/>
      <c r="Z16" s="1470"/>
    </row>
    <row r="17" spans="1:27" s="1215" customFormat="1" ht="42.75" customHeight="1">
      <c r="A17" s="1259">
        <v>1</v>
      </c>
      <c r="B17" s="1260" t="str">
        <f>'Chấm công KT'!C95</f>
        <v>04072</v>
      </c>
      <c r="C17" s="1260" t="str">
        <f>TONGHOPCONGDOI!C97</f>
        <v xml:space="preserve">T. Lun </v>
      </c>
      <c r="D17" s="1260"/>
      <c r="E17" s="1261"/>
      <c r="F17" s="1260">
        <f>E17*25000</f>
        <v>0</v>
      </c>
      <c r="G17" s="1260">
        <f>VLOOKUP(C17,TONGHOPCONGDOI!C97:AD160,16,0)</f>
        <v>4005</v>
      </c>
      <c r="H17" s="1260">
        <f>VLOOKUP(C17,TONGHOPCONGDOI!C97:AD160,17,0)</f>
        <v>0</v>
      </c>
      <c r="I17" s="1260"/>
      <c r="J17" s="894">
        <f>$AB$11/$AB$10*G17+H17*$AB$12+I17*$AB$13</f>
        <v>1732.4091765006149</v>
      </c>
      <c r="K17" s="1259" t="str">
        <f>VLOOKUP(C17,'BTH mủ tạp'!D99:AN160,37,0)</f>
        <v>A</v>
      </c>
      <c r="L17" s="889">
        <f>ROUND((IF(K17="A",(G17*$Z$13*6.1),IF(K17="B",(G17*$Z$13*5.8),IF(K17="C",(G17*$Z$13*5.5),IF(K17="C.",(G17*$Z$13*5.5),IF(K17="D",(G17*$Z$13*5.2),0)))))*$E$13+(H17*$AB$12*$E$13*6.1)+I17*$E$13*$AB$13*6.1),0)</f>
        <v>7088388</v>
      </c>
      <c r="M17" s="1260">
        <f>VLOOKUP(C17,TONGHOPCONGDOI!$C$97:$AD$160,20,0)</f>
        <v>24</v>
      </c>
      <c r="N17" s="1260">
        <f>VLOOKUP(C17,TONGHOPCONGDOI!$C$97:$AD$160,21,0)</f>
        <v>4</v>
      </c>
      <c r="O17" s="1260">
        <f>VLOOKUP(C17,TONGHOPCONGDOI!$C$97:$AD$160,22,0)</f>
        <v>2</v>
      </c>
      <c r="P17" s="1260">
        <f>VLOOKUP(C17,TONGHOPCONGDOI!$C$97:$AD$160,23,0)</f>
        <v>0</v>
      </c>
      <c r="Q17" s="1260">
        <f>VLOOKUP(C17,TONGHOPCONGDOI!$C$97:$AD$160,24,0)</f>
        <v>0</v>
      </c>
      <c r="R17" s="1260">
        <f>VLOOKUP(C17,TONGHOPCONGDOI!$C$97:$AD$160,25,0)</f>
        <v>0</v>
      </c>
      <c r="S17" s="1260"/>
      <c r="T17" s="1262">
        <f>O17</f>
        <v>2</v>
      </c>
      <c r="U17" s="1263"/>
      <c r="V17" s="1263"/>
      <c r="W17" s="890">
        <f>ROUND(((M17*46.1)+(N17*76.9)+(O17*92.2)+(P17*153.8)+(Q17*92.2)+(R17*153.8))*$E$13+(S17*25000)+(T17*100000),0)</f>
        <v>1272143</v>
      </c>
      <c r="X17" s="1260">
        <f>F17+L17+W17</f>
        <v>8360531</v>
      </c>
      <c r="Y17" s="1260"/>
      <c r="Z17" s="1260">
        <f>VLOOKUP(C17,'CNKT '!$D$102:$AA$165,24,0)</f>
        <v>8360531</v>
      </c>
      <c r="AA17" s="1215">
        <f>X17-Z17</f>
        <v>0</v>
      </c>
    </row>
    <row r="18" spans="1:27" s="1215" customFormat="1" ht="42.75" customHeight="1">
      <c r="A18" s="1259">
        <v>2</v>
      </c>
      <c r="B18" s="1260" t="str">
        <f>'Chấm công KT'!C96</f>
        <v>03466</v>
      </c>
      <c r="C18" s="1260" t="str">
        <f>TONGHOPCONGDOI!C98</f>
        <v>N. Keo</v>
      </c>
      <c r="D18" s="1260"/>
      <c r="E18" s="1261"/>
      <c r="F18" s="1260">
        <f t="shared" ref="F18:F80" si="0">E18*25000</f>
        <v>0</v>
      </c>
      <c r="G18" s="1260">
        <f>VLOOKUP(C18,TONGHOPCONGDOI!C98:AD161,16,0)</f>
        <v>3645</v>
      </c>
      <c r="H18" s="1260">
        <f>VLOOKUP(C18,TONGHOPCONGDOI!C98:AD161,17,0)</f>
        <v>0</v>
      </c>
      <c r="I18" s="1260"/>
      <c r="J18" s="894">
        <f t="shared" ref="J18:J48" si="1">$AB$11/$AB$10*G18+H18*$AB$12+I18*$AB$13</f>
        <v>1576.6870033320201</v>
      </c>
      <c r="K18" s="1259" t="str">
        <f>VLOOKUP(C18,'BTH mủ tạp'!D100:AN161,37,0)</f>
        <v>A</v>
      </c>
      <c r="L18" s="889">
        <f t="shared" ref="L18:L78" si="2">ROUND((IF(K18="A",(G18*$Z$13*6.1),IF(K18="B",(G18*$Z$13*5.8),IF(K18="C",(G18*$Z$13*5.5),IF(K18="C.",(G18*$Z$13*5.5),IF(K18="D",(G18*$Z$13*5.2),0)))))*$E$13+(H18*$AB$12*$E$13*6.1)+I18*$E$13*$AB$13*6.1),0)</f>
        <v>6451229</v>
      </c>
      <c r="M18" s="1260">
        <f>VLOOKUP(C18,TONGHOPCONGDOI!$C$97:$AD$160,20,0)</f>
        <v>23</v>
      </c>
      <c r="N18" s="1260">
        <f>VLOOKUP(C18,TONGHOPCONGDOI!$C$97:$AD$160,21,0)</f>
        <v>4</v>
      </c>
      <c r="O18" s="1260">
        <f>VLOOKUP(C18,TONGHOPCONGDOI!$C$97:$AD$160,22,0)</f>
        <v>2</v>
      </c>
      <c r="P18" s="1260">
        <f>VLOOKUP(C18,TONGHOPCONGDOI!$C$97:$AD$160,23,0)</f>
        <v>0</v>
      </c>
      <c r="Q18" s="1260">
        <f>VLOOKUP(C18,TONGHOPCONGDOI!$C$97:$AD$160,24,0)</f>
        <v>0</v>
      </c>
      <c r="R18" s="1260">
        <f>VLOOKUP(C18,TONGHOPCONGDOI!$C$97:$AD$160,25,0)</f>
        <v>0</v>
      </c>
      <c r="S18" s="1260"/>
      <c r="T18" s="1262">
        <f t="shared" ref="T18:T81" si="3">O18</f>
        <v>2</v>
      </c>
      <c r="U18" s="1263"/>
      <c r="V18" s="1263"/>
      <c r="W18" s="890">
        <f t="shared" ref="W18:W78" si="4">ROUND(((M18*46.1)+(N18*76.9)+(O18*92.2)+(P18*153.8)+(Q18*92.2)+(R18*153.8))*$E$13+(S18*25000)+(T18*100000),0)</f>
        <v>1241221</v>
      </c>
      <c r="X18" s="1260">
        <f t="shared" ref="X18:X48" si="5">F18+L18+W18</f>
        <v>7692450</v>
      </c>
      <c r="Y18" s="1260"/>
      <c r="Z18" s="1260">
        <f>VLOOKUP(C18,'CNKT '!$D$102:$AA$165,24,0)</f>
        <v>7692450</v>
      </c>
      <c r="AA18" s="1215">
        <f t="shared" ref="AA18:AA83" si="6">X18-Z18</f>
        <v>0</v>
      </c>
    </row>
    <row r="19" spans="1:27" s="1215" customFormat="1" ht="42.75" customHeight="1">
      <c r="A19" s="1259">
        <v>3</v>
      </c>
      <c r="B19" s="1260" t="str">
        <f>'Chấm công KT'!C97</f>
        <v>03590</v>
      </c>
      <c r="C19" s="1260" t="str">
        <f>TONGHOPCONGDOI!C99</f>
        <v>T .Nhum</v>
      </c>
      <c r="D19" s="1260"/>
      <c r="E19" s="1261"/>
      <c r="F19" s="1260">
        <f t="shared" si="0"/>
        <v>0</v>
      </c>
      <c r="G19" s="1260">
        <f>VLOOKUP(C19,TONGHOPCONGDOI!C99:AD163,16,0)</f>
        <v>3643</v>
      </c>
      <c r="H19" s="1260">
        <f>VLOOKUP(C19,TONGHOPCONGDOI!C99:AD161,17,0)</f>
        <v>0</v>
      </c>
      <c r="I19" s="1260"/>
      <c r="J19" s="894">
        <f t="shared" si="1"/>
        <v>1575.8218801477501</v>
      </c>
      <c r="K19" s="1259" t="str">
        <f>VLOOKUP(C19,'BTH mủ tạp'!D101:AN162,37,0)</f>
        <v>A</v>
      </c>
      <c r="L19" s="889">
        <f t="shared" si="2"/>
        <v>6447690</v>
      </c>
      <c r="M19" s="1260">
        <f>VLOOKUP(C19,TONGHOPCONGDOI!$C$97:$AD$160,20,0)</f>
        <v>24</v>
      </c>
      <c r="N19" s="1260">
        <f>VLOOKUP(C19,TONGHOPCONGDOI!$C$97:$AD$160,21,0)</f>
        <v>4</v>
      </c>
      <c r="O19" s="1260">
        <f>VLOOKUP(C19,TONGHOPCONGDOI!$C$97:$AD$160,22,0)</f>
        <v>2</v>
      </c>
      <c r="P19" s="1260">
        <f>VLOOKUP(C19,TONGHOPCONGDOI!$C$97:$AD$160,23,0)</f>
        <v>0</v>
      </c>
      <c r="Q19" s="1260">
        <f>VLOOKUP(C19,TONGHOPCONGDOI!$C$97:$AD$160,24,0)</f>
        <v>0</v>
      </c>
      <c r="R19" s="1260">
        <f>VLOOKUP(C19,TONGHOPCONGDOI!$C$97:$AD$160,25,0)</f>
        <v>0</v>
      </c>
      <c r="S19" s="1260"/>
      <c r="T19" s="1262">
        <f t="shared" si="3"/>
        <v>2</v>
      </c>
      <c r="U19" s="1263"/>
      <c r="V19" s="1263"/>
      <c r="W19" s="890">
        <f t="shared" si="4"/>
        <v>1272143</v>
      </c>
      <c r="X19" s="1260">
        <f t="shared" si="5"/>
        <v>7719833</v>
      </c>
      <c r="Y19" s="1260"/>
      <c r="Z19" s="1260">
        <f>VLOOKUP(C19,'CNKT '!$D$102:$AA$165,24,0)</f>
        <v>7719833</v>
      </c>
      <c r="AA19" s="1215">
        <f t="shared" si="6"/>
        <v>0</v>
      </c>
    </row>
    <row r="20" spans="1:27" s="1215" customFormat="1" ht="42.75" customHeight="1">
      <c r="A20" s="1259">
        <v>4</v>
      </c>
      <c r="B20" s="1260" t="str">
        <f>'Chấm công KT'!C98</f>
        <v>03591</v>
      </c>
      <c r="C20" s="1260" t="str">
        <f>TONGHOPCONGDOI!C100</f>
        <v>N.Vông Ma Ni</v>
      </c>
      <c r="D20" s="1260"/>
      <c r="E20" s="1261"/>
      <c r="F20" s="1260">
        <f t="shared" si="0"/>
        <v>0</v>
      </c>
      <c r="G20" s="1260">
        <f>VLOOKUP(C20,TONGHOPCONGDOI!C100:AD164,16,0)</f>
        <v>4069</v>
      </c>
      <c r="H20" s="1260">
        <f>VLOOKUP(C20,TONGHOPCONGDOI!C100:AD161,17,0)</f>
        <v>0</v>
      </c>
      <c r="I20" s="1260"/>
      <c r="J20" s="894">
        <f t="shared" si="1"/>
        <v>1760.0931183972539</v>
      </c>
      <c r="K20" s="1259" t="str">
        <f>VLOOKUP(C20,'BTH mủ tạp'!D102:AN163,37,0)</f>
        <v>A</v>
      </c>
      <c r="L20" s="889">
        <f t="shared" si="2"/>
        <v>7201660</v>
      </c>
      <c r="M20" s="1260">
        <f>VLOOKUP(C20,TONGHOPCONGDOI!$C$97:$AD$160,20,0)</f>
        <v>24</v>
      </c>
      <c r="N20" s="1260">
        <f>VLOOKUP(C20,TONGHOPCONGDOI!$C$97:$AD$160,21,0)</f>
        <v>4</v>
      </c>
      <c r="O20" s="1260">
        <f>VLOOKUP(C20,TONGHOPCONGDOI!$C$97:$AD$160,22,0)</f>
        <v>2</v>
      </c>
      <c r="P20" s="1260">
        <f>VLOOKUP(C20,TONGHOPCONGDOI!$C$97:$AD$160,23,0)</f>
        <v>0</v>
      </c>
      <c r="Q20" s="1260">
        <f>VLOOKUP(C20,TONGHOPCONGDOI!$C$97:$AD$160,24,0)</f>
        <v>0</v>
      </c>
      <c r="R20" s="1260">
        <f>VLOOKUP(C20,TONGHOPCONGDOI!$C$97:$AD$160,25,0)</f>
        <v>0</v>
      </c>
      <c r="S20" s="1260"/>
      <c r="T20" s="1262">
        <f t="shared" si="3"/>
        <v>2</v>
      </c>
      <c r="U20" s="1263"/>
      <c r="V20" s="1263"/>
      <c r="W20" s="890">
        <f t="shared" si="4"/>
        <v>1272143</v>
      </c>
      <c r="X20" s="1260">
        <f t="shared" si="5"/>
        <v>8473803</v>
      </c>
      <c r="Y20" s="1260"/>
      <c r="Z20" s="1260">
        <f>VLOOKUP(C20,'CNKT '!$D$102:$AA$165,24,0)</f>
        <v>8473803</v>
      </c>
      <c r="AA20" s="1215">
        <f t="shared" si="6"/>
        <v>0</v>
      </c>
    </row>
    <row r="21" spans="1:27" s="1215" customFormat="1" ht="42.75" customHeight="1">
      <c r="A21" s="1259">
        <v>5</v>
      </c>
      <c r="B21" s="1260" t="str">
        <f>'Chấm công KT'!C99</f>
        <v>03592</v>
      </c>
      <c r="C21" s="1260" t="str">
        <f>TONGHOPCONGDOI!C101</f>
        <v>Đao Hương</v>
      </c>
      <c r="D21" s="1260"/>
      <c r="E21" s="1261"/>
      <c r="F21" s="1260">
        <f t="shared" si="0"/>
        <v>0</v>
      </c>
      <c r="G21" s="1260">
        <f>VLOOKUP(C21,TONGHOPCONGDOI!C101:AD165,16,0)</f>
        <v>3738</v>
      </c>
      <c r="H21" s="1260">
        <f>VLOOKUP(C21,TONGHOPCONGDOI!C101:AD161,17,0)</f>
        <v>0</v>
      </c>
      <c r="I21" s="1260"/>
      <c r="J21" s="894">
        <f t="shared" si="1"/>
        <v>1616.9152314005737</v>
      </c>
      <c r="K21" s="1259" t="str">
        <f>VLOOKUP(C21,'BTH mủ tạp'!D103:AN164,37,0)</f>
        <v>A</v>
      </c>
      <c r="L21" s="889">
        <f t="shared" si="2"/>
        <v>6615829</v>
      </c>
      <c r="M21" s="1260">
        <f>VLOOKUP(C21,TONGHOPCONGDOI!$C$97:$AD$160,20,0)</f>
        <v>24</v>
      </c>
      <c r="N21" s="1260">
        <f>VLOOKUP(C21,TONGHOPCONGDOI!$C$97:$AD$160,21,0)</f>
        <v>4</v>
      </c>
      <c r="O21" s="1260">
        <f>VLOOKUP(C21,TONGHOPCONGDOI!$C$97:$AD$160,22,0)</f>
        <v>2</v>
      </c>
      <c r="P21" s="1260">
        <f>VLOOKUP(C21,TONGHOPCONGDOI!$C$97:$AD$160,23,0)</f>
        <v>0</v>
      </c>
      <c r="Q21" s="1260">
        <f>VLOOKUP(C21,TONGHOPCONGDOI!$C$97:$AD$160,24,0)</f>
        <v>0</v>
      </c>
      <c r="R21" s="1260">
        <f>VLOOKUP(C21,TONGHOPCONGDOI!$C$97:$AD$160,25,0)</f>
        <v>0</v>
      </c>
      <c r="S21" s="1260"/>
      <c r="T21" s="1262">
        <f t="shared" si="3"/>
        <v>2</v>
      </c>
      <c r="U21" s="1263"/>
      <c r="V21" s="1263"/>
      <c r="W21" s="890">
        <f t="shared" si="4"/>
        <v>1272143</v>
      </c>
      <c r="X21" s="1260">
        <f t="shared" si="5"/>
        <v>7887972</v>
      </c>
      <c r="Y21" s="1260"/>
      <c r="Z21" s="1260">
        <f>VLOOKUP(C21,'CNKT '!$D$102:$AA$165,24,0)</f>
        <v>7887972</v>
      </c>
      <c r="AA21" s="1215">
        <f t="shared" si="6"/>
        <v>0</v>
      </c>
    </row>
    <row r="22" spans="1:27" s="1215" customFormat="1" ht="42.75" customHeight="1">
      <c r="A22" s="1259">
        <v>6</v>
      </c>
      <c r="B22" s="1260" t="str">
        <f>'Chấm công KT'!C100</f>
        <v>03593</v>
      </c>
      <c r="C22" s="1260" t="str">
        <f>TONGHOPCONGDOI!C102</f>
        <v>T. Xi Nun</v>
      </c>
      <c r="D22" s="1260"/>
      <c r="E22" s="1261"/>
      <c r="F22" s="1260">
        <f t="shared" si="0"/>
        <v>0</v>
      </c>
      <c r="G22" s="1260">
        <f>VLOOKUP(C22,TONGHOPCONGDOI!C102:AD166,16,0)</f>
        <v>5007</v>
      </c>
      <c r="H22" s="1260">
        <f>VLOOKUP(C22,TONGHOPCONGDOI!C102:AD161,17,0)</f>
        <v>0</v>
      </c>
      <c r="I22" s="1260"/>
      <c r="J22" s="894">
        <f t="shared" si="1"/>
        <v>2165.8358918198696</v>
      </c>
      <c r="K22" s="1259" t="str">
        <f>VLOOKUP(C22,'BTH mủ tạp'!D104:AN165,37,0)</f>
        <v>B</v>
      </c>
      <c r="L22" s="889">
        <f t="shared" si="2"/>
        <v>8425985</v>
      </c>
      <c r="M22" s="1260">
        <f>VLOOKUP(C22,TONGHOPCONGDOI!$C$97:$AD$160,20,0)</f>
        <v>22</v>
      </c>
      <c r="N22" s="1260">
        <f>VLOOKUP(C22,TONGHOPCONGDOI!$C$97:$AD$160,21,0)</f>
        <v>4</v>
      </c>
      <c r="O22" s="1260">
        <f>VLOOKUP(C22,TONGHOPCONGDOI!$C$97:$AD$160,22,0)</f>
        <v>2</v>
      </c>
      <c r="P22" s="1260">
        <f>VLOOKUP(C22,TONGHOPCONGDOI!$C$97:$AD$160,23,0)</f>
        <v>0</v>
      </c>
      <c r="Q22" s="1260">
        <f>VLOOKUP(C22,TONGHOPCONGDOI!$C$97:$AD$160,24,0)</f>
        <v>0</v>
      </c>
      <c r="R22" s="1260">
        <f>VLOOKUP(C22,TONGHOPCONGDOI!$C$97:$AD$160,25,0)</f>
        <v>0</v>
      </c>
      <c r="S22" s="1260"/>
      <c r="T22" s="1262">
        <f t="shared" si="3"/>
        <v>2</v>
      </c>
      <c r="U22" s="1263"/>
      <c r="V22" s="1263"/>
      <c r="W22" s="890">
        <f t="shared" si="4"/>
        <v>1210299</v>
      </c>
      <c r="X22" s="1260">
        <f t="shared" si="5"/>
        <v>9636284</v>
      </c>
      <c r="Y22" s="1260"/>
      <c r="Z22" s="1260">
        <f>VLOOKUP(C22,'CNKT '!$D$102:$AA$165,24,0)</f>
        <v>9636284</v>
      </c>
      <c r="AA22" s="1215">
        <f t="shared" si="6"/>
        <v>0</v>
      </c>
    </row>
    <row r="23" spans="1:27" s="1215" customFormat="1" ht="42.75" customHeight="1">
      <c r="A23" s="1259">
        <v>7</v>
      </c>
      <c r="B23" s="1260" t="str">
        <f>'Chấm công KT'!C101</f>
        <v>03594</v>
      </c>
      <c r="C23" s="1260" t="str">
        <f>TONGHOPCONGDOI!C103</f>
        <v>T. Bun Hinh</v>
      </c>
      <c r="D23" s="1260"/>
      <c r="E23" s="1261"/>
      <c r="F23" s="1260">
        <f t="shared" si="0"/>
        <v>0</v>
      </c>
      <c r="G23" s="1260">
        <f>VLOOKUP(C23,TONGHOPCONGDOI!C103:AD167,16,0)</f>
        <v>3159</v>
      </c>
      <c r="H23" s="1260">
        <f>VLOOKUP(C23,TONGHOPCONGDOI!C103:AD161,17,0)</f>
        <v>0</v>
      </c>
      <c r="I23" s="1260"/>
      <c r="J23" s="894">
        <f t="shared" si="1"/>
        <v>1366.4620695544174</v>
      </c>
      <c r="K23" s="1259" t="str">
        <f>VLOOKUP(C23,'BTH mủ tạp'!D105:AN166,37,0)</f>
        <v>A</v>
      </c>
      <c r="L23" s="889">
        <f t="shared" si="2"/>
        <v>5591065</v>
      </c>
      <c r="M23" s="1260">
        <f>VLOOKUP(C23,TONGHOPCONGDOI!$C$97:$AD$160,20,0)</f>
        <v>24</v>
      </c>
      <c r="N23" s="1260">
        <f>VLOOKUP(C23,TONGHOPCONGDOI!$C$97:$AD$160,21,0)</f>
        <v>4</v>
      </c>
      <c r="O23" s="1260">
        <f>VLOOKUP(C23,TONGHOPCONGDOI!$C$97:$AD$160,22,0)</f>
        <v>2</v>
      </c>
      <c r="P23" s="1260">
        <f>VLOOKUP(C23,TONGHOPCONGDOI!$C$97:$AD$160,23,0)</f>
        <v>0</v>
      </c>
      <c r="Q23" s="1260">
        <f>VLOOKUP(C23,TONGHOPCONGDOI!$C$97:$AD$160,24,0)</f>
        <v>0</v>
      </c>
      <c r="R23" s="1260">
        <f>VLOOKUP(C23,TONGHOPCONGDOI!$C$97:$AD$160,25,0)</f>
        <v>0</v>
      </c>
      <c r="S23" s="1260"/>
      <c r="T23" s="1262">
        <f t="shared" si="3"/>
        <v>2</v>
      </c>
      <c r="U23" s="1263"/>
      <c r="V23" s="1263"/>
      <c r="W23" s="890">
        <f t="shared" si="4"/>
        <v>1272143</v>
      </c>
      <c r="X23" s="1260">
        <f t="shared" si="5"/>
        <v>6863208</v>
      </c>
      <c r="Y23" s="1260"/>
      <c r="Z23" s="1260">
        <f>VLOOKUP(C23,'CNKT '!$D$102:$AA$165,24,0)</f>
        <v>6863208</v>
      </c>
      <c r="AA23" s="1215">
        <f t="shared" si="6"/>
        <v>0</v>
      </c>
    </row>
    <row r="24" spans="1:27" s="1215" customFormat="1" ht="42.75" customHeight="1">
      <c r="A24" s="1259">
        <v>8</v>
      </c>
      <c r="B24" s="1260" t="str">
        <f>'Chấm công KT'!C102</f>
        <v>04073</v>
      </c>
      <c r="C24" s="1260" t="str">
        <f>TONGHOPCONGDOI!C104</f>
        <v>T. Miềng</v>
      </c>
      <c r="D24" s="1260"/>
      <c r="E24" s="1261"/>
      <c r="F24" s="1260">
        <f t="shared" si="0"/>
        <v>0</v>
      </c>
      <c r="G24" s="1260">
        <f>VLOOKUP(C24,TONGHOPCONGDOI!C104:AD168,16,0)</f>
        <v>2961</v>
      </c>
      <c r="H24" s="1260">
        <f>VLOOKUP(C24,TONGHOPCONGDOI!C104:AD161,17,0)</f>
        <v>0</v>
      </c>
      <c r="I24" s="1260"/>
      <c r="J24" s="894">
        <f t="shared" si="1"/>
        <v>1280.8148743116906</v>
      </c>
      <c r="K24" s="1259" t="str">
        <f>VLOOKUP(C24,'BTH mủ tạp'!D106:AN167,37,0)</f>
        <v>B</v>
      </c>
      <c r="L24" s="889">
        <f t="shared" si="2"/>
        <v>4982892</v>
      </c>
      <c r="M24" s="1260">
        <f>VLOOKUP(C24,TONGHOPCONGDOI!$C$97:$AD$160,20,0)</f>
        <v>22</v>
      </c>
      <c r="N24" s="1260">
        <f>VLOOKUP(C24,TONGHOPCONGDOI!$C$97:$AD$160,21,0)</f>
        <v>4</v>
      </c>
      <c r="O24" s="1260">
        <f>VLOOKUP(C24,TONGHOPCONGDOI!$C$97:$AD$160,22,0)</f>
        <v>2</v>
      </c>
      <c r="P24" s="1260">
        <f>VLOOKUP(C24,TONGHOPCONGDOI!$C$97:$AD$160,23,0)</f>
        <v>0</v>
      </c>
      <c r="Q24" s="1260">
        <f>VLOOKUP(C24,TONGHOPCONGDOI!$C$97:$AD$160,24,0)</f>
        <v>0</v>
      </c>
      <c r="R24" s="1260">
        <f>VLOOKUP(C24,TONGHOPCONGDOI!$C$97:$AD$160,25,0)</f>
        <v>0</v>
      </c>
      <c r="S24" s="1260"/>
      <c r="T24" s="1262">
        <f t="shared" si="3"/>
        <v>2</v>
      </c>
      <c r="U24" s="1263"/>
      <c r="V24" s="1263"/>
      <c r="W24" s="890">
        <f t="shared" si="4"/>
        <v>1210299</v>
      </c>
      <c r="X24" s="1260">
        <f t="shared" si="5"/>
        <v>6193191</v>
      </c>
      <c r="Y24" s="1260"/>
      <c r="Z24" s="1260">
        <f>VLOOKUP(C24,'CNKT '!$D$102:$AA$165,24,0)</f>
        <v>6193191</v>
      </c>
      <c r="AA24" s="1215">
        <f t="shared" si="6"/>
        <v>0</v>
      </c>
    </row>
    <row r="25" spans="1:27" s="1215" customFormat="1" ht="42.75" customHeight="1">
      <c r="A25" s="1259">
        <v>9</v>
      </c>
      <c r="B25" s="1260" t="str">
        <f>'Chấm công KT'!C103</f>
        <v>03596</v>
      </c>
      <c r="C25" s="1260" t="str">
        <f>TONGHOPCONGDOI!C105</f>
        <v>N. Xúc</v>
      </c>
      <c r="D25" s="1260"/>
      <c r="E25" s="1261"/>
      <c r="F25" s="1260">
        <f t="shared" si="0"/>
        <v>0</v>
      </c>
      <c r="G25" s="1260">
        <f>VLOOKUP(C25,TONGHOPCONGDOI!C105:AD169,16,0)</f>
        <v>3504</v>
      </c>
      <c r="H25" s="1260">
        <f>VLOOKUP(C25,TONGHOPCONGDOI!C105:AD161,17,0)</f>
        <v>0</v>
      </c>
      <c r="I25" s="1260"/>
      <c r="J25" s="894">
        <f t="shared" si="1"/>
        <v>1515.6958188409874</v>
      </c>
      <c r="K25" s="1259" t="str">
        <f>VLOOKUP(C25,'BTH mủ tạp'!D107:AN168,37,0)</f>
        <v>B</v>
      </c>
      <c r="L25" s="889">
        <f t="shared" si="2"/>
        <v>5896675</v>
      </c>
      <c r="M25" s="1260">
        <f>VLOOKUP(C25,TONGHOPCONGDOI!$C$97:$AD$160,20,0)</f>
        <v>23</v>
      </c>
      <c r="N25" s="1260">
        <f>VLOOKUP(C25,TONGHOPCONGDOI!$C$97:$AD$160,21,0)</f>
        <v>3</v>
      </c>
      <c r="O25" s="1260">
        <f>VLOOKUP(C25,TONGHOPCONGDOI!$C$97:$AD$160,22,0)</f>
        <v>2</v>
      </c>
      <c r="P25" s="1260">
        <f>VLOOKUP(C25,TONGHOPCONGDOI!$C$97:$AD$160,23,0)</f>
        <v>0</v>
      </c>
      <c r="Q25" s="1260">
        <f>VLOOKUP(C25,TONGHOPCONGDOI!$C$97:$AD$160,24,0)</f>
        <v>0</v>
      </c>
      <c r="R25" s="1260">
        <f>VLOOKUP(C25,TONGHOPCONGDOI!$C$97:$AD$160,25,0)</f>
        <v>0</v>
      </c>
      <c r="S25" s="1260"/>
      <c r="T25" s="1262">
        <f t="shared" si="3"/>
        <v>2</v>
      </c>
      <c r="U25" s="1263"/>
      <c r="V25" s="1263"/>
      <c r="W25" s="890">
        <f t="shared" si="4"/>
        <v>1189639</v>
      </c>
      <c r="X25" s="1260">
        <f t="shared" si="5"/>
        <v>7086314</v>
      </c>
      <c r="Y25" s="1260"/>
      <c r="Z25" s="1260">
        <f>VLOOKUP(C25,'CNKT '!$D$102:$AA$165,24,0)</f>
        <v>7086314</v>
      </c>
      <c r="AA25" s="1215">
        <f t="shared" si="6"/>
        <v>0</v>
      </c>
    </row>
    <row r="26" spans="1:27" s="1215" customFormat="1" ht="42.75" customHeight="1">
      <c r="A26" s="1259">
        <v>10</v>
      </c>
      <c r="B26" s="1260" t="str">
        <f>'Chấm công KT'!C104</f>
        <v>03597</v>
      </c>
      <c r="C26" s="1260" t="str">
        <f>TONGHOPCONGDOI!C106</f>
        <v>N. Lẹ</v>
      </c>
      <c r="D26" s="1260"/>
      <c r="E26" s="1261"/>
      <c r="F26" s="1260">
        <f t="shared" si="0"/>
        <v>0</v>
      </c>
      <c r="G26" s="1260">
        <f>VLOOKUP(C26,TONGHOPCONGDOI!C106:AD170,16,0)</f>
        <v>3777</v>
      </c>
      <c r="H26" s="1260">
        <f>VLOOKUP(C26,TONGHOPCONGDOI!C106:AD161,17,0)</f>
        <v>0</v>
      </c>
      <c r="I26" s="1260"/>
      <c r="J26" s="894">
        <f t="shared" si="1"/>
        <v>1633.7851334938382</v>
      </c>
      <c r="K26" s="1259" t="str">
        <f>VLOOKUP(C26,'BTH mủ tạp'!D108:AN169,37,0)</f>
        <v>A</v>
      </c>
      <c r="L26" s="889">
        <f t="shared" si="2"/>
        <v>6684854</v>
      </c>
      <c r="M26" s="1260">
        <f>VLOOKUP(C26,TONGHOPCONGDOI!$C$97:$AD$160,20,0)</f>
        <v>24</v>
      </c>
      <c r="N26" s="1260">
        <f>VLOOKUP(C26,TONGHOPCONGDOI!$C$97:$AD$160,21,0)</f>
        <v>4</v>
      </c>
      <c r="O26" s="1260">
        <f>VLOOKUP(C26,TONGHOPCONGDOI!$C$97:$AD$160,22,0)</f>
        <v>2</v>
      </c>
      <c r="P26" s="1260">
        <f>VLOOKUP(C26,TONGHOPCONGDOI!$C$97:$AD$160,23,0)</f>
        <v>0</v>
      </c>
      <c r="Q26" s="1260">
        <f>VLOOKUP(C26,TONGHOPCONGDOI!$C$97:$AD$160,24,0)</f>
        <v>0</v>
      </c>
      <c r="R26" s="1260">
        <f>VLOOKUP(C26,TONGHOPCONGDOI!$C$97:$AD$160,25,0)</f>
        <v>0</v>
      </c>
      <c r="S26" s="1260"/>
      <c r="T26" s="1262">
        <f t="shared" si="3"/>
        <v>2</v>
      </c>
      <c r="U26" s="1263"/>
      <c r="V26" s="1263"/>
      <c r="W26" s="890">
        <f t="shared" si="4"/>
        <v>1272143</v>
      </c>
      <c r="X26" s="1260">
        <f t="shared" si="5"/>
        <v>7956997</v>
      </c>
      <c r="Y26" s="1260"/>
      <c r="Z26" s="1260">
        <f>VLOOKUP(C26,'CNKT '!$D$102:$AA$165,24,0)</f>
        <v>7956997</v>
      </c>
      <c r="AA26" s="1215">
        <f t="shared" si="6"/>
        <v>0</v>
      </c>
    </row>
    <row r="27" spans="1:27" s="1215" customFormat="1" ht="42.75" customHeight="1">
      <c r="A27" s="1259">
        <v>11</v>
      </c>
      <c r="B27" s="1260" t="str">
        <f>'Chấm công KT'!C105</f>
        <v>03598</v>
      </c>
      <c r="C27" s="1260" t="str">
        <f>TONGHOPCONGDOI!C107</f>
        <v>N . Thích</v>
      </c>
      <c r="D27" s="1260"/>
      <c r="E27" s="1261"/>
      <c r="F27" s="1260">
        <f t="shared" si="0"/>
        <v>0</v>
      </c>
      <c r="G27" s="1260">
        <f>VLOOKUP(C27,TONGHOPCONGDOI!C107:AD171,16,0)</f>
        <v>3807</v>
      </c>
      <c r="H27" s="1260">
        <f>VLOOKUP(C27,TONGHOPCONGDOI!C107:AD161,17,0)</f>
        <v>0</v>
      </c>
      <c r="I27" s="1260"/>
      <c r="J27" s="894">
        <f t="shared" si="1"/>
        <v>1646.7619812578878</v>
      </c>
      <c r="K27" s="1259" t="str">
        <f>VLOOKUP(C27,'BTH mủ tạp'!D109:AN170,37,0)</f>
        <v>A</v>
      </c>
      <c r="L27" s="889">
        <f t="shared" si="2"/>
        <v>6737951</v>
      </c>
      <c r="M27" s="1260">
        <f>VLOOKUP(C27,TONGHOPCONGDOI!$C$97:$AD$160,20,0)</f>
        <v>24</v>
      </c>
      <c r="N27" s="1260">
        <f>VLOOKUP(C27,TONGHOPCONGDOI!$C$97:$AD$160,21,0)</f>
        <v>4</v>
      </c>
      <c r="O27" s="1260">
        <f>VLOOKUP(C27,TONGHOPCONGDOI!$C$97:$AD$160,22,0)</f>
        <v>2</v>
      </c>
      <c r="P27" s="1260">
        <f>VLOOKUP(C27,TONGHOPCONGDOI!$C$97:$AD$160,23,0)</f>
        <v>0</v>
      </c>
      <c r="Q27" s="1260">
        <f>VLOOKUP(C27,TONGHOPCONGDOI!$C$97:$AD$160,24,0)</f>
        <v>0</v>
      </c>
      <c r="R27" s="1260">
        <f>VLOOKUP(C27,TONGHOPCONGDOI!$C$97:$AD$160,25,0)</f>
        <v>0</v>
      </c>
      <c r="S27" s="1260"/>
      <c r="T27" s="1262">
        <f t="shared" si="3"/>
        <v>2</v>
      </c>
      <c r="U27" s="1263"/>
      <c r="V27" s="1263"/>
      <c r="W27" s="890">
        <f t="shared" si="4"/>
        <v>1272143</v>
      </c>
      <c r="X27" s="1260">
        <f t="shared" si="5"/>
        <v>8010094</v>
      </c>
      <c r="Y27" s="1260"/>
      <c r="Z27" s="1260">
        <f>VLOOKUP(C27,'CNKT '!$D$102:$AA$165,24,0)</f>
        <v>8010094</v>
      </c>
      <c r="AA27" s="1215">
        <f t="shared" si="6"/>
        <v>0</v>
      </c>
    </row>
    <row r="28" spans="1:27" s="1215" customFormat="1" ht="42.75" customHeight="1">
      <c r="A28" s="1259">
        <v>12</v>
      </c>
      <c r="B28" s="1260" t="str">
        <f>'Chấm công KT'!C106</f>
        <v>03599</v>
      </c>
      <c r="C28" s="1260" t="str">
        <f>TONGHOPCONGDOI!C108</f>
        <v>N. Cong Mi</v>
      </c>
      <c r="D28" s="1260"/>
      <c r="E28" s="1261"/>
      <c r="F28" s="1260">
        <f t="shared" si="0"/>
        <v>0</v>
      </c>
      <c r="G28" s="1260">
        <f>VLOOKUP(C28,TONGHOPCONGDOI!C108:AD172,16,0)</f>
        <v>3349</v>
      </c>
      <c r="H28" s="1260">
        <f>VLOOKUP(C28,TONGHOPCONGDOI!C108:AD161,17,0)</f>
        <v>0</v>
      </c>
      <c r="I28" s="1260"/>
      <c r="J28" s="894">
        <f t="shared" si="1"/>
        <v>1448.6487720600646</v>
      </c>
      <c r="K28" s="1259" t="str">
        <f>VLOOKUP(C28,'BTH mủ tạp'!D110:AN171,37,0)</f>
        <v>A</v>
      </c>
      <c r="L28" s="889">
        <f t="shared" si="2"/>
        <v>5927343</v>
      </c>
      <c r="M28" s="1260">
        <f>VLOOKUP(C28,TONGHOPCONGDOI!$C$97:$AD$160,20,0)</f>
        <v>24</v>
      </c>
      <c r="N28" s="1260">
        <f>VLOOKUP(C28,TONGHOPCONGDOI!$C$97:$AD$160,21,0)</f>
        <v>4</v>
      </c>
      <c r="O28" s="1260">
        <f>VLOOKUP(C28,TONGHOPCONGDOI!$C$97:$AD$160,22,0)</f>
        <v>2</v>
      </c>
      <c r="P28" s="1260">
        <f>VLOOKUP(C28,TONGHOPCONGDOI!$C$97:$AD$160,23,0)</f>
        <v>0</v>
      </c>
      <c r="Q28" s="1260">
        <f>VLOOKUP(C28,TONGHOPCONGDOI!$C$97:$AD$160,24,0)</f>
        <v>0</v>
      </c>
      <c r="R28" s="1260">
        <f>VLOOKUP(C28,TONGHOPCONGDOI!$C$97:$AD$160,25,0)</f>
        <v>0</v>
      </c>
      <c r="S28" s="1260"/>
      <c r="T28" s="1262">
        <f t="shared" si="3"/>
        <v>2</v>
      </c>
      <c r="U28" s="1263"/>
      <c r="V28" s="1263"/>
      <c r="W28" s="890">
        <f t="shared" si="4"/>
        <v>1272143</v>
      </c>
      <c r="X28" s="1260">
        <f t="shared" si="5"/>
        <v>7199486</v>
      </c>
      <c r="Y28" s="1260"/>
      <c r="Z28" s="1260">
        <f>VLOOKUP(C28,'CNKT '!$D$102:$AA$165,24,0)</f>
        <v>7199486</v>
      </c>
      <c r="AA28" s="1215">
        <f t="shared" si="6"/>
        <v>0</v>
      </c>
    </row>
    <row r="29" spans="1:27" s="1215" customFormat="1" ht="42.75" customHeight="1">
      <c r="A29" s="1259">
        <v>13</v>
      </c>
      <c r="B29" s="1260" t="str">
        <f>'Chấm công KT'!C107</f>
        <v>04074</v>
      </c>
      <c r="C29" s="1260" t="str">
        <f>TONGHOPCONGDOI!C109</f>
        <v>T. Na</v>
      </c>
      <c r="D29" s="1260"/>
      <c r="E29" s="1261"/>
      <c r="F29" s="1260">
        <f t="shared" si="0"/>
        <v>0</v>
      </c>
      <c r="G29" s="1260">
        <f>VLOOKUP(C29,TONGHOPCONGDOI!C109:AD173,16,0)</f>
        <v>3122</v>
      </c>
      <c r="H29" s="1260">
        <f>VLOOKUP(C29,TONGHOPCONGDOI!C109:AD161,17,0)</f>
        <v>0</v>
      </c>
      <c r="I29" s="1260"/>
      <c r="J29" s="894">
        <f t="shared" si="1"/>
        <v>1350.457290645423</v>
      </c>
      <c r="K29" s="1259" t="str">
        <f>VLOOKUP(C29,'BTH mủ tạp'!D111:AN172,37,0)</f>
        <v>A</v>
      </c>
      <c r="L29" s="889">
        <f t="shared" si="2"/>
        <v>5525580</v>
      </c>
      <c r="M29" s="1260">
        <f>VLOOKUP(C29,TONGHOPCONGDOI!$C$97:$AD$160,20,0)</f>
        <v>22</v>
      </c>
      <c r="N29" s="1260">
        <f>VLOOKUP(C29,TONGHOPCONGDOI!$C$97:$AD$160,21,0)</f>
        <v>4</v>
      </c>
      <c r="O29" s="1260">
        <f>VLOOKUP(C29,TONGHOPCONGDOI!$C$97:$AD$160,22,0)</f>
        <v>2</v>
      </c>
      <c r="P29" s="1260">
        <f>VLOOKUP(C29,TONGHOPCONGDOI!$C$97:$AD$160,23,0)</f>
        <v>0</v>
      </c>
      <c r="Q29" s="1260">
        <f>VLOOKUP(C29,TONGHOPCONGDOI!$C$97:$AD$160,24,0)</f>
        <v>0</v>
      </c>
      <c r="R29" s="1260">
        <f>VLOOKUP(C29,TONGHOPCONGDOI!$C$97:$AD$160,25,0)</f>
        <v>0</v>
      </c>
      <c r="S29" s="1260"/>
      <c r="T29" s="1262">
        <f t="shared" si="3"/>
        <v>2</v>
      </c>
      <c r="U29" s="1263"/>
      <c r="V29" s="1263"/>
      <c r="W29" s="890">
        <f t="shared" si="4"/>
        <v>1210299</v>
      </c>
      <c r="X29" s="1260">
        <f t="shared" si="5"/>
        <v>6735879</v>
      </c>
      <c r="Y29" s="1260"/>
      <c r="Z29" s="1260">
        <f>VLOOKUP(C29,'CNKT '!$D$102:$AA$165,24,0)</f>
        <v>6735879</v>
      </c>
      <c r="AA29" s="1215">
        <f t="shared" si="6"/>
        <v>0</v>
      </c>
    </row>
    <row r="30" spans="1:27" s="1215" customFormat="1" ht="42.75" customHeight="1">
      <c r="A30" s="1259">
        <v>14</v>
      </c>
      <c r="B30" s="1260" t="str">
        <f>'Chấm công KT'!C108</f>
        <v>03601</v>
      </c>
      <c r="C30" s="1260" t="str">
        <f>TONGHOPCONGDOI!C110</f>
        <v>T. Khăm Mặn</v>
      </c>
      <c r="D30" s="1260"/>
      <c r="E30" s="1261"/>
      <c r="F30" s="1260">
        <f t="shared" si="0"/>
        <v>0</v>
      </c>
      <c r="G30" s="1260">
        <f>VLOOKUP(C30,TONGHOPCONGDOI!C110:AD174,16,0)</f>
        <v>5050</v>
      </c>
      <c r="H30" s="1260">
        <f>VLOOKUP(C30,TONGHOPCONGDOI!C110:AD161,17,0)</f>
        <v>0</v>
      </c>
      <c r="I30" s="1260"/>
      <c r="J30" s="894">
        <f t="shared" si="1"/>
        <v>2184.4360402816742</v>
      </c>
      <c r="K30" s="1259" t="str">
        <f>VLOOKUP(C30,'BTH mủ tạp'!D112:AN173,37,0)</f>
        <v>A</v>
      </c>
      <c r="L30" s="889">
        <f t="shared" si="2"/>
        <v>8937917</v>
      </c>
      <c r="M30" s="1260">
        <f>VLOOKUP(C30,TONGHOPCONGDOI!$C$97:$AD$160,20,0)</f>
        <v>24</v>
      </c>
      <c r="N30" s="1260">
        <f>VLOOKUP(C30,TONGHOPCONGDOI!$C$97:$AD$160,21,0)</f>
        <v>4</v>
      </c>
      <c r="O30" s="1260">
        <f>VLOOKUP(C30,TONGHOPCONGDOI!$C$97:$AD$160,22,0)</f>
        <v>2</v>
      </c>
      <c r="P30" s="1260">
        <f>VLOOKUP(C30,TONGHOPCONGDOI!$C$97:$AD$160,23,0)</f>
        <v>0</v>
      </c>
      <c r="Q30" s="1260">
        <f>VLOOKUP(C30,TONGHOPCONGDOI!$C$97:$AD$160,24,0)</f>
        <v>0</v>
      </c>
      <c r="R30" s="1260">
        <f>VLOOKUP(C30,TONGHOPCONGDOI!$C$97:$AD$160,25,0)</f>
        <v>0</v>
      </c>
      <c r="S30" s="1260"/>
      <c r="T30" s="1262">
        <f t="shared" si="3"/>
        <v>2</v>
      </c>
      <c r="U30" s="1263"/>
      <c r="V30" s="1263"/>
      <c r="W30" s="890">
        <f t="shared" si="4"/>
        <v>1272143</v>
      </c>
      <c r="X30" s="1260">
        <f t="shared" si="5"/>
        <v>10210060</v>
      </c>
      <c r="Y30" s="1260"/>
      <c r="Z30" s="1260">
        <f>VLOOKUP(C30,'CNKT '!$D$102:$AA$165,24,0)</f>
        <v>10210060</v>
      </c>
      <c r="AA30" s="1215">
        <f t="shared" si="6"/>
        <v>0</v>
      </c>
    </row>
    <row r="31" spans="1:27" s="1215" customFormat="1" ht="42.75" customHeight="1">
      <c r="A31" s="1259">
        <v>15</v>
      </c>
      <c r="B31" s="1260" t="str">
        <f>'Chấm công KT'!C109</f>
        <v>03602</v>
      </c>
      <c r="C31" s="1260" t="str">
        <f>TONGHOPCONGDOI!C111</f>
        <v>T . In Tong</v>
      </c>
      <c r="D31" s="1260"/>
      <c r="E31" s="1261"/>
      <c r="F31" s="1260">
        <f t="shared" si="0"/>
        <v>0</v>
      </c>
      <c r="G31" s="1260">
        <f>VLOOKUP(C31,TONGHOPCONGDOI!C111:AD175,16,0)</f>
        <v>3873</v>
      </c>
      <c r="H31" s="1260">
        <f>VLOOKUP(C31,TONGHOPCONGDOI!C111:AD161,17,0)</f>
        <v>0</v>
      </c>
      <c r="I31" s="1260"/>
      <c r="J31" s="894">
        <f t="shared" si="1"/>
        <v>1675.3110463387968</v>
      </c>
      <c r="K31" s="1259" t="str">
        <f>VLOOKUP(C31,'BTH mủ tạp'!D113:AN174,37,0)</f>
        <v>A</v>
      </c>
      <c r="L31" s="889">
        <f t="shared" si="2"/>
        <v>6854763</v>
      </c>
      <c r="M31" s="1260">
        <f>VLOOKUP(C31,TONGHOPCONGDOI!$C$97:$AD$160,20,0)</f>
        <v>24</v>
      </c>
      <c r="N31" s="1260">
        <f>VLOOKUP(C31,TONGHOPCONGDOI!$C$97:$AD$160,21,0)</f>
        <v>4</v>
      </c>
      <c r="O31" s="1260">
        <f>VLOOKUP(C31,TONGHOPCONGDOI!$C$97:$AD$160,22,0)</f>
        <v>2</v>
      </c>
      <c r="P31" s="1260">
        <f>VLOOKUP(C31,TONGHOPCONGDOI!$C$97:$AD$160,23,0)</f>
        <v>0</v>
      </c>
      <c r="Q31" s="1260">
        <f>VLOOKUP(C31,TONGHOPCONGDOI!$C$97:$AD$160,24,0)</f>
        <v>0</v>
      </c>
      <c r="R31" s="1260">
        <f>VLOOKUP(C31,TONGHOPCONGDOI!$C$97:$AD$160,25,0)</f>
        <v>0</v>
      </c>
      <c r="S31" s="1260"/>
      <c r="T31" s="1262">
        <f t="shared" si="3"/>
        <v>2</v>
      </c>
      <c r="U31" s="1263"/>
      <c r="V31" s="1263"/>
      <c r="W31" s="890">
        <f t="shared" si="4"/>
        <v>1272143</v>
      </c>
      <c r="X31" s="1260">
        <f t="shared" si="5"/>
        <v>8126906</v>
      </c>
      <c r="Y31" s="1260"/>
      <c r="Z31" s="1260">
        <f>VLOOKUP(C31,'CNKT '!$D$102:$AA$165,24,0)</f>
        <v>8126906</v>
      </c>
      <c r="AA31" s="1215">
        <f t="shared" si="6"/>
        <v>0</v>
      </c>
    </row>
    <row r="32" spans="1:27" s="1215" customFormat="1" ht="42.75" customHeight="1">
      <c r="A32" s="1259">
        <v>16</v>
      </c>
      <c r="B32" s="1260" t="str">
        <f>'Chấm công KT'!C110</f>
        <v>03496</v>
      </c>
      <c r="C32" s="1260" t="str">
        <f>TONGHOPCONGDOI!C112</f>
        <v>T. Lốp</v>
      </c>
      <c r="D32" s="1260"/>
      <c r="E32" s="1261"/>
      <c r="F32" s="1260">
        <f t="shared" si="0"/>
        <v>0</v>
      </c>
      <c r="G32" s="1260">
        <f>VLOOKUP(C32,TONGHOPCONGDOI!C112:AD176,16,0)</f>
        <v>3944</v>
      </c>
      <c r="H32" s="1260">
        <f>VLOOKUP(C32,TONGHOPCONGDOI!C112:AD161,17,0)</f>
        <v>0</v>
      </c>
      <c r="I32" s="1260"/>
      <c r="J32" s="894">
        <f t="shared" si="1"/>
        <v>1706.0229193803807</v>
      </c>
      <c r="K32" s="1259" t="str">
        <f>VLOOKUP(C32,'BTH mủ tạp'!D114:AN175,37,0)</f>
        <v>A</v>
      </c>
      <c r="L32" s="889">
        <f t="shared" si="2"/>
        <v>6980425</v>
      </c>
      <c r="M32" s="1260">
        <f>VLOOKUP(C32,TONGHOPCONGDOI!$C$97:$AD$160,20,0)</f>
        <v>24</v>
      </c>
      <c r="N32" s="1260">
        <f>VLOOKUP(C32,TONGHOPCONGDOI!$C$97:$AD$160,21,0)</f>
        <v>4</v>
      </c>
      <c r="O32" s="1260">
        <f>VLOOKUP(C32,TONGHOPCONGDOI!$C$97:$AD$160,22,0)</f>
        <v>2</v>
      </c>
      <c r="P32" s="1260">
        <f>VLOOKUP(C32,TONGHOPCONGDOI!$C$97:$AD$160,23,0)</f>
        <v>0</v>
      </c>
      <c r="Q32" s="1260">
        <f>VLOOKUP(C32,TONGHOPCONGDOI!$C$97:$AD$160,24,0)</f>
        <v>0</v>
      </c>
      <c r="R32" s="1260">
        <f>VLOOKUP(C32,TONGHOPCONGDOI!$C$97:$AD$160,25,0)</f>
        <v>0</v>
      </c>
      <c r="S32" s="1260"/>
      <c r="T32" s="1262">
        <f t="shared" si="3"/>
        <v>2</v>
      </c>
      <c r="U32" s="1263"/>
      <c r="V32" s="1263"/>
      <c r="W32" s="890">
        <f t="shared" si="4"/>
        <v>1272143</v>
      </c>
      <c r="X32" s="1260">
        <f t="shared" si="5"/>
        <v>8252568</v>
      </c>
      <c r="Y32" s="1260"/>
      <c r="Z32" s="1260">
        <f>VLOOKUP(C32,'CNKT '!$D$102:$AA$165,24,0)</f>
        <v>8252568</v>
      </c>
      <c r="AA32" s="1215">
        <f t="shared" si="6"/>
        <v>0</v>
      </c>
    </row>
    <row r="33" spans="1:27" s="1215" customFormat="1" ht="42.75" customHeight="1">
      <c r="A33" s="1259">
        <v>17</v>
      </c>
      <c r="B33" s="1260" t="str">
        <f>'Chấm công KT'!C111</f>
        <v>03604</v>
      </c>
      <c r="C33" s="1260" t="str">
        <f>TONGHOPCONGDOI!C113</f>
        <v>T. Lăm Phêng</v>
      </c>
      <c r="D33" s="1260"/>
      <c r="E33" s="1261"/>
      <c r="F33" s="1260">
        <f t="shared" si="0"/>
        <v>0</v>
      </c>
      <c r="G33" s="1260">
        <f>VLOOKUP(C33,TONGHOPCONGDOI!C113:AD177,16,0)</f>
        <v>6421</v>
      </c>
      <c r="H33" s="1260">
        <f>VLOOKUP(C33,TONGHOPCONGDOI!C113:AD161,17,0)</f>
        <v>0</v>
      </c>
      <c r="I33" s="1260"/>
      <c r="J33" s="894">
        <f t="shared" si="1"/>
        <v>2777.4779830987386</v>
      </c>
      <c r="K33" s="1259" t="str">
        <f>VLOOKUP(C33,'BTH mủ tạp'!D115:AN176,37,0)</f>
        <v>A</v>
      </c>
      <c r="L33" s="889">
        <f t="shared" si="2"/>
        <v>11364429</v>
      </c>
      <c r="M33" s="1260">
        <f>VLOOKUP(C33,TONGHOPCONGDOI!$C$97:$AD$160,20,0)</f>
        <v>24</v>
      </c>
      <c r="N33" s="1260">
        <f>VLOOKUP(C33,TONGHOPCONGDOI!$C$97:$AD$160,21,0)</f>
        <v>4</v>
      </c>
      <c r="O33" s="1260">
        <f>VLOOKUP(C33,TONGHOPCONGDOI!$C$97:$AD$160,22,0)</f>
        <v>2</v>
      </c>
      <c r="P33" s="1260">
        <f>VLOOKUP(C33,TONGHOPCONGDOI!$C$97:$AD$160,23,0)</f>
        <v>0</v>
      </c>
      <c r="Q33" s="1260">
        <f>VLOOKUP(C33,TONGHOPCONGDOI!$C$97:$AD$160,24,0)</f>
        <v>0</v>
      </c>
      <c r="R33" s="1260">
        <f>VLOOKUP(C33,TONGHOPCONGDOI!$C$97:$AD$160,25,0)</f>
        <v>0</v>
      </c>
      <c r="S33" s="1260"/>
      <c r="T33" s="1262">
        <f t="shared" si="3"/>
        <v>2</v>
      </c>
      <c r="U33" s="1263"/>
      <c r="V33" s="1263"/>
      <c r="W33" s="890">
        <f t="shared" si="4"/>
        <v>1272143</v>
      </c>
      <c r="X33" s="1260">
        <f t="shared" si="5"/>
        <v>12636572</v>
      </c>
      <c r="Y33" s="1260"/>
      <c r="Z33" s="1260">
        <f>VLOOKUP(C33,'CNKT '!$D$102:$AA$165,24,0)</f>
        <v>12636572</v>
      </c>
      <c r="AA33" s="1215">
        <f t="shared" si="6"/>
        <v>0</v>
      </c>
    </row>
    <row r="34" spans="1:27" s="1215" customFormat="1" ht="42.75" customHeight="1">
      <c r="A34" s="1259">
        <v>18</v>
      </c>
      <c r="B34" s="1260" t="str">
        <f>'Chấm công KT'!C112</f>
        <v>04075</v>
      </c>
      <c r="C34" s="1260" t="str">
        <f>TONGHOPCONGDOI!C114</f>
        <v>T Xèng</v>
      </c>
      <c r="D34" s="1260"/>
      <c r="E34" s="1261"/>
      <c r="F34" s="1260">
        <f t="shared" si="0"/>
        <v>0</v>
      </c>
      <c r="G34" s="1260">
        <f>VLOOKUP(C34,TONGHOPCONGDOI!C114:AD178,16,0)</f>
        <v>4782</v>
      </c>
      <c r="H34" s="1260">
        <f>VLOOKUP(C34,TONGHOPCONGDOI!C114:AD161,17,0)</f>
        <v>0</v>
      </c>
      <c r="I34" s="1260"/>
      <c r="J34" s="894">
        <f t="shared" si="1"/>
        <v>2068.509533589498</v>
      </c>
      <c r="K34" s="1259" t="str">
        <f>VLOOKUP(C34,'BTH mủ tạp'!D116:AN177,37,0)</f>
        <v>A</v>
      </c>
      <c r="L34" s="889">
        <f t="shared" si="2"/>
        <v>8463588</v>
      </c>
      <c r="M34" s="1260">
        <f>VLOOKUP(C34,TONGHOPCONGDOI!$C$97:$AD$160,20,0)</f>
        <v>24</v>
      </c>
      <c r="N34" s="1260">
        <f>VLOOKUP(C34,TONGHOPCONGDOI!$C$97:$AD$160,21,0)</f>
        <v>4</v>
      </c>
      <c r="O34" s="1260">
        <f>VLOOKUP(C34,TONGHOPCONGDOI!$C$97:$AD$160,22,0)</f>
        <v>2</v>
      </c>
      <c r="P34" s="1260">
        <f>VLOOKUP(C34,TONGHOPCONGDOI!$C$97:$AD$160,23,0)</f>
        <v>0</v>
      </c>
      <c r="Q34" s="1260">
        <f>VLOOKUP(C34,TONGHOPCONGDOI!$C$97:$AD$160,24,0)</f>
        <v>0</v>
      </c>
      <c r="R34" s="1260">
        <f>VLOOKUP(C34,TONGHOPCONGDOI!$C$97:$AD$160,25,0)</f>
        <v>0</v>
      </c>
      <c r="S34" s="1260"/>
      <c r="T34" s="1262">
        <f t="shared" si="3"/>
        <v>2</v>
      </c>
      <c r="U34" s="1263"/>
      <c r="V34" s="1263"/>
      <c r="W34" s="890">
        <f t="shared" si="4"/>
        <v>1272143</v>
      </c>
      <c r="X34" s="1260">
        <f t="shared" si="5"/>
        <v>9735731</v>
      </c>
      <c r="Y34" s="1260"/>
      <c r="Z34" s="1260">
        <f>VLOOKUP(C34,'CNKT '!$D$102:$AA$165,24,0)</f>
        <v>9735731</v>
      </c>
      <c r="AA34" s="1215">
        <f t="shared" si="6"/>
        <v>0</v>
      </c>
    </row>
    <row r="35" spans="1:27" s="1215" customFormat="1" ht="42.75" customHeight="1">
      <c r="A35" s="1259">
        <v>19</v>
      </c>
      <c r="B35" s="1260" t="str">
        <f>'Chấm công KT'!C113</f>
        <v>03509</v>
      </c>
      <c r="C35" s="1260" t="str">
        <f>TONGHOPCONGDOI!C115</f>
        <v>T. May</v>
      </c>
      <c r="D35" s="1260"/>
      <c r="E35" s="1261"/>
      <c r="F35" s="1260">
        <f t="shared" si="0"/>
        <v>0</v>
      </c>
      <c r="G35" s="1260">
        <f>VLOOKUP(C35,TONGHOPCONGDOI!C115:AD179,16,0)</f>
        <v>4545</v>
      </c>
      <c r="H35" s="1260">
        <f>VLOOKUP(C35,TONGHOPCONGDOI!C115:AD161,17,0)</f>
        <v>0</v>
      </c>
      <c r="I35" s="1260"/>
      <c r="J35" s="894">
        <f t="shared" si="1"/>
        <v>1965.9924362535066</v>
      </c>
      <c r="K35" s="1259" t="str">
        <f>VLOOKUP(C35,'BTH mủ tạp'!D117:AN178,37,0)</f>
        <v>A</v>
      </c>
      <c r="L35" s="889">
        <f t="shared" si="2"/>
        <v>8044125</v>
      </c>
      <c r="M35" s="1260">
        <f>VLOOKUP(C35,TONGHOPCONGDOI!$C$97:$AD$160,20,0)</f>
        <v>24</v>
      </c>
      <c r="N35" s="1260">
        <f>VLOOKUP(C35,TONGHOPCONGDOI!$C$97:$AD$160,21,0)</f>
        <v>3</v>
      </c>
      <c r="O35" s="1260">
        <f>VLOOKUP(C35,TONGHOPCONGDOI!$C$97:$AD$160,22,0)</f>
        <v>2</v>
      </c>
      <c r="P35" s="1260">
        <f>VLOOKUP(C35,TONGHOPCONGDOI!$C$97:$AD$160,23,0)</f>
        <v>0</v>
      </c>
      <c r="Q35" s="1260">
        <f>VLOOKUP(C35,TONGHOPCONGDOI!$C$97:$AD$160,24,0)</f>
        <v>0</v>
      </c>
      <c r="R35" s="1260">
        <f>VLOOKUP(C35,TONGHOPCONGDOI!$C$97:$AD$160,25,0)</f>
        <v>0</v>
      </c>
      <c r="S35" s="1260"/>
      <c r="T35" s="1262">
        <f t="shared" si="3"/>
        <v>2</v>
      </c>
      <c r="U35" s="1263"/>
      <c r="V35" s="1263"/>
      <c r="W35" s="890">
        <f t="shared" si="4"/>
        <v>1220561</v>
      </c>
      <c r="X35" s="1260">
        <f t="shared" si="5"/>
        <v>9264686</v>
      </c>
      <c r="Y35" s="1260"/>
      <c r="Z35" s="1260">
        <f>VLOOKUP(C35,'CNKT '!$D$102:$AA$165,24,0)</f>
        <v>9264686</v>
      </c>
      <c r="AA35" s="1215">
        <f t="shared" si="6"/>
        <v>0</v>
      </c>
    </row>
    <row r="36" spans="1:27" s="1215" customFormat="1" ht="42.75" customHeight="1">
      <c r="A36" s="1259">
        <v>20</v>
      </c>
      <c r="B36" s="1260" t="str">
        <f>'Chấm công KT'!C114</f>
        <v>03607</v>
      </c>
      <c r="C36" s="1260" t="str">
        <f>TONGHOPCONGDOI!C116</f>
        <v>T. Huôn</v>
      </c>
      <c r="D36" s="1260"/>
      <c r="E36" s="1261"/>
      <c r="F36" s="1260">
        <f t="shared" si="0"/>
        <v>0</v>
      </c>
      <c r="G36" s="1260">
        <f>VLOOKUP(C36,TONGHOPCONGDOI!C116:AD180,16,0)</f>
        <v>3436</v>
      </c>
      <c r="H36" s="1260">
        <f>VLOOKUP(C36,TONGHOPCONGDOI!C116:AD161,17,0)</f>
        <v>0</v>
      </c>
      <c r="I36" s="1260"/>
      <c r="J36" s="894">
        <f t="shared" si="1"/>
        <v>1486.2816305758083</v>
      </c>
      <c r="K36" s="1259" t="str">
        <f>VLOOKUP(C36,'BTH mủ tạp'!D118:AN179,37,0)</f>
        <v>A</v>
      </c>
      <c r="L36" s="889">
        <f t="shared" si="2"/>
        <v>6081323</v>
      </c>
      <c r="M36" s="1260">
        <f>VLOOKUP(C36,TONGHOPCONGDOI!$C$97:$AD$160,20,0)</f>
        <v>23</v>
      </c>
      <c r="N36" s="1260">
        <f>VLOOKUP(C36,TONGHOPCONGDOI!$C$97:$AD$160,21,0)</f>
        <v>3</v>
      </c>
      <c r="O36" s="1260">
        <f>VLOOKUP(C36,TONGHOPCONGDOI!$C$97:$AD$160,22,0)</f>
        <v>2</v>
      </c>
      <c r="P36" s="1260">
        <f>VLOOKUP(C36,TONGHOPCONGDOI!$C$97:$AD$160,23,0)</f>
        <v>0</v>
      </c>
      <c r="Q36" s="1260">
        <f>VLOOKUP(C36,TONGHOPCONGDOI!$C$97:$AD$160,24,0)</f>
        <v>0</v>
      </c>
      <c r="R36" s="1260">
        <f>VLOOKUP(C36,TONGHOPCONGDOI!$C$97:$AD$160,25,0)</f>
        <v>0</v>
      </c>
      <c r="S36" s="1260"/>
      <c r="T36" s="1262">
        <f t="shared" si="3"/>
        <v>2</v>
      </c>
      <c r="U36" s="1263"/>
      <c r="V36" s="1263"/>
      <c r="W36" s="890">
        <f t="shared" si="4"/>
        <v>1189639</v>
      </c>
      <c r="X36" s="1260">
        <f t="shared" si="5"/>
        <v>7270962</v>
      </c>
      <c r="Y36" s="1260"/>
      <c r="Z36" s="1260">
        <f>VLOOKUP(C36,'CNKT '!$D$102:$AA$165,24,0)</f>
        <v>7270962</v>
      </c>
      <c r="AA36" s="1215">
        <f t="shared" si="6"/>
        <v>0</v>
      </c>
    </row>
    <row r="37" spans="1:27" s="1215" customFormat="1" ht="42.75" customHeight="1">
      <c r="A37" s="1259">
        <v>21</v>
      </c>
      <c r="B37" s="1260" t="str">
        <f>'Chấm công KT'!C115</f>
        <v>02729</v>
      </c>
      <c r="C37" s="1260" t="str">
        <f>TONGHOPCONGDOI!C117</f>
        <v>N. Lay</v>
      </c>
      <c r="D37" s="1260"/>
      <c r="E37" s="1261"/>
      <c r="F37" s="1260">
        <f t="shared" si="0"/>
        <v>0</v>
      </c>
      <c r="G37" s="1260">
        <f>VLOOKUP(C37,TONGHOPCONGDOI!C117:AD181,16,0)</f>
        <v>3427</v>
      </c>
      <c r="H37" s="1260">
        <f>VLOOKUP(C37,TONGHOPCONGDOI!C117:AD161,17,0)</f>
        <v>0</v>
      </c>
      <c r="I37" s="1260"/>
      <c r="J37" s="894">
        <f t="shared" si="1"/>
        <v>1482.3885762465934</v>
      </c>
      <c r="K37" s="1259" t="str">
        <f>VLOOKUP(C37,'BTH mủ tạp'!D119:AN180,37,0)</f>
        <v>A</v>
      </c>
      <c r="L37" s="889">
        <f t="shared" si="2"/>
        <v>6065394</v>
      </c>
      <c r="M37" s="1260">
        <f>VLOOKUP(C37,TONGHOPCONGDOI!$C$97:$AD$160,20,0)</f>
        <v>22</v>
      </c>
      <c r="N37" s="1260">
        <f>VLOOKUP(C37,TONGHOPCONGDOI!$C$97:$AD$160,21,0)</f>
        <v>3</v>
      </c>
      <c r="O37" s="1260">
        <f>VLOOKUP(C37,TONGHOPCONGDOI!$C$97:$AD$160,22,0)</f>
        <v>2</v>
      </c>
      <c r="P37" s="1260">
        <f>VLOOKUP(C37,TONGHOPCONGDOI!$C$97:$AD$160,23,0)</f>
        <v>0</v>
      </c>
      <c r="Q37" s="1260">
        <f>VLOOKUP(C37,TONGHOPCONGDOI!$C$97:$AD$160,24,0)</f>
        <v>0</v>
      </c>
      <c r="R37" s="1260">
        <f>VLOOKUP(C37,TONGHOPCONGDOI!$C$97:$AD$160,25,0)</f>
        <v>0</v>
      </c>
      <c r="S37" s="1260"/>
      <c r="T37" s="1262">
        <f t="shared" si="3"/>
        <v>2</v>
      </c>
      <c r="U37" s="1263"/>
      <c r="V37" s="1263"/>
      <c r="W37" s="890">
        <f t="shared" si="4"/>
        <v>1158717</v>
      </c>
      <c r="X37" s="1260">
        <f t="shared" si="5"/>
        <v>7224111</v>
      </c>
      <c r="Y37" s="1260"/>
      <c r="Z37" s="1260">
        <f>VLOOKUP(C37,'CNKT '!$D$102:$AA$165,24,0)</f>
        <v>7224111</v>
      </c>
      <c r="AA37" s="1215">
        <f t="shared" si="6"/>
        <v>0</v>
      </c>
    </row>
    <row r="38" spans="1:27" s="1215" customFormat="1" ht="42.75" customHeight="1">
      <c r="A38" s="1259">
        <v>22</v>
      </c>
      <c r="B38" s="1260" t="str">
        <f>'Chấm công KT'!C116</f>
        <v>03608</v>
      </c>
      <c r="C38" s="1260" t="str">
        <f>TONGHOPCONGDOI!C118</f>
        <v>N. Pon</v>
      </c>
      <c r="D38" s="1260"/>
      <c r="E38" s="1261"/>
      <c r="F38" s="1260">
        <f t="shared" si="0"/>
        <v>0</v>
      </c>
      <c r="G38" s="1260">
        <f>VLOOKUP(C38,TONGHOPCONGDOI!C118:AD182,16,0)</f>
        <v>4685</v>
      </c>
      <c r="H38" s="1260">
        <f>VLOOKUP(C38,TONGHOPCONGDOI!C118:AD161,17,0)</f>
        <v>0</v>
      </c>
      <c r="I38" s="1260"/>
      <c r="J38" s="894">
        <f t="shared" si="1"/>
        <v>2026.5510591524046</v>
      </c>
      <c r="K38" s="1259" t="str">
        <f>VLOOKUP(C38,'BTH mủ tạp'!D120:AN181,37,0)</f>
        <v>A</v>
      </c>
      <c r="L38" s="889">
        <f t="shared" si="2"/>
        <v>8291909</v>
      </c>
      <c r="M38" s="1260">
        <f>VLOOKUP(C38,TONGHOPCONGDOI!$C$97:$AD$160,20,0)</f>
        <v>24</v>
      </c>
      <c r="N38" s="1260">
        <f>VLOOKUP(C38,TONGHOPCONGDOI!$C$97:$AD$160,21,0)</f>
        <v>4</v>
      </c>
      <c r="O38" s="1260">
        <f>VLOOKUP(C38,TONGHOPCONGDOI!$C$97:$AD$160,22,0)</f>
        <v>2</v>
      </c>
      <c r="P38" s="1260">
        <f>VLOOKUP(C38,TONGHOPCONGDOI!$C$97:$AD$160,23,0)</f>
        <v>0</v>
      </c>
      <c r="Q38" s="1260">
        <f>VLOOKUP(C38,TONGHOPCONGDOI!$C$97:$AD$160,24,0)</f>
        <v>0</v>
      </c>
      <c r="R38" s="1260">
        <f>VLOOKUP(C38,TONGHOPCONGDOI!$C$97:$AD$160,25,0)</f>
        <v>0</v>
      </c>
      <c r="S38" s="1260"/>
      <c r="T38" s="1262">
        <f t="shared" si="3"/>
        <v>2</v>
      </c>
      <c r="U38" s="1263"/>
      <c r="V38" s="1263"/>
      <c r="W38" s="890">
        <f t="shared" si="4"/>
        <v>1272143</v>
      </c>
      <c r="X38" s="1260">
        <f t="shared" si="5"/>
        <v>9564052</v>
      </c>
      <c r="Y38" s="1260"/>
      <c r="Z38" s="1260">
        <f>VLOOKUP(C38,'CNKT '!$D$102:$AA$165,24,0)</f>
        <v>9564052</v>
      </c>
      <c r="AA38" s="1215">
        <f t="shared" si="6"/>
        <v>0</v>
      </c>
    </row>
    <row r="39" spans="1:27" s="1215" customFormat="1" ht="42.75" customHeight="1">
      <c r="A39" s="1259">
        <v>23</v>
      </c>
      <c r="B39" s="1260" t="str">
        <f>'Chấm công KT'!C117</f>
        <v>03609</v>
      </c>
      <c r="C39" s="1260" t="str">
        <f>TONGHOPCONGDOI!C119</f>
        <v>N. Bun Đi</v>
      </c>
      <c r="D39" s="1260"/>
      <c r="E39" s="1261"/>
      <c r="F39" s="1260">
        <f t="shared" si="0"/>
        <v>0</v>
      </c>
      <c r="G39" s="1260">
        <f>VLOOKUP(C39,TONGHOPCONGDOI!C119:AD183,16,0)</f>
        <v>3807</v>
      </c>
      <c r="H39" s="1260">
        <f>VLOOKUP(C39,TONGHOPCONGDOI!C119:AD161,17,0)</f>
        <v>0</v>
      </c>
      <c r="I39" s="1260"/>
      <c r="J39" s="894">
        <f t="shared" si="1"/>
        <v>1646.7619812578878</v>
      </c>
      <c r="K39" s="1259" t="str">
        <f>VLOOKUP(C39,'BTH mủ tạp'!D121:AN182,37,0)</f>
        <v>A</v>
      </c>
      <c r="L39" s="889">
        <f t="shared" si="2"/>
        <v>6737951</v>
      </c>
      <c r="M39" s="1260">
        <f>VLOOKUP(C39,TONGHOPCONGDOI!$C$97:$AD$160,20,0)</f>
        <v>24</v>
      </c>
      <c r="N39" s="1260">
        <f>VLOOKUP(C39,TONGHOPCONGDOI!$C$97:$AD$160,21,0)</f>
        <v>4</v>
      </c>
      <c r="O39" s="1260">
        <f>VLOOKUP(C39,TONGHOPCONGDOI!$C$97:$AD$160,22,0)</f>
        <v>2</v>
      </c>
      <c r="P39" s="1260">
        <f>VLOOKUP(C39,TONGHOPCONGDOI!$C$97:$AD$160,23,0)</f>
        <v>0</v>
      </c>
      <c r="Q39" s="1260">
        <f>VLOOKUP(C39,TONGHOPCONGDOI!$C$97:$AD$160,24,0)</f>
        <v>0</v>
      </c>
      <c r="R39" s="1260">
        <f>VLOOKUP(C39,TONGHOPCONGDOI!$C$97:$AD$160,25,0)</f>
        <v>0</v>
      </c>
      <c r="S39" s="1260"/>
      <c r="T39" s="1262">
        <f t="shared" si="3"/>
        <v>2</v>
      </c>
      <c r="U39" s="1263"/>
      <c r="V39" s="1263"/>
      <c r="W39" s="890">
        <f t="shared" si="4"/>
        <v>1272143</v>
      </c>
      <c r="X39" s="1260">
        <f t="shared" si="5"/>
        <v>8010094</v>
      </c>
      <c r="Y39" s="1260"/>
      <c r="Z39" s="1260">
        <f>VLOOKUP(C39,'CNKT '!$D$102:$AA$165,24,0)</f>
        <v>8010094</v>
      </c>
      <c r="AA39" s="1215">
        <f t="shared" si="6"/>
        <v>0</v>
      </c>
    </row>
    <row r="40" spans="1:27" s="1215" customFormat="1" ht="42.75" customHeight="1">
      <c r="A40" s="1259">
        <v>24</v>
      </c>
      <c r="B40" s="1260" t="str">
        <f>'Chấm công KT'!C118</f>
        <v>03610</v>
      </c>
      <c r="C40" s="1260" t="str">
        <f>TONGHOPCONGDOI!C120</f>
        <v>N. Phon</v>
      </c>
      <c r="D40" s="1260"/>
      <c r="E40" s="1261"/>
      <c r="F40" s="1260">
        <f t="shared" si="0"/>
        <v>0</v>
      </c>
      <c r="G40" s="1260">
        <f>VLOOKUP(C40,TONGHOPCONGDOI!C120:AD184,16,0)</f>
        <v>3891</v>
      </c>
      <c r="H40" s="1260">
        <f>VLOOKUP(C40,TONGHOPCONGDOI!C120:AD161,17,0)</f>
        <v>0</v>
      </c>
      <c r="I40" s="1260"/>
      <c r="J40" s="894">
        <f t="shared" si="1"/>
        <v>1683.0971549972264</v>
      </c>
      <c r="K40" s="1259" t="str">
        <f>VLOOKUP(C40,'BTH mủ tạp'!D122:AN183,37,0)</f>
        <v>B</v>
      </c>
      <c r="L40" s="889">
        <f t="shared" si="2"/>
        <v>6547935</v>
      </c>
      <c r="M40" s="1260">
        <f>VLOOKUP(C40,TONGHOPCONGDOI!$C$97:$AD$160,20,0)</f>
        <v>24</v>
      </c>
      <c r="N40" s="1260">
        <f>VLOOKUP(C40,TONGHOPCONGDOI!$C$97:$AD$160,21,0)</f>
        <v>4</v>
      </c>
      <c r="O40" s="1260">
        <f>VLOOKUP(C40,TONGHOPCONGDOI!$C$97:$AD$160,22,0)</f>
        <v>2</v>
      </c>
      <c r="P40" s="1260">
        <f>VLOOKUP(C40,TONGHOPCONGDOI!$C$97:$AD$160,23,0)</f>
        <v>0</v>
      </c>
      <c r="Q40" s="1260">
        <f>VLOOKUP(C40,TONGHOPCONGDOI!$C$97:$AD$160,24,0)</f>
        <v>0</v>
      </c>
      <c r="R40" s="1260">
        <f>VLOOKUP(C40,TONGHOPCONGDOI!$C$97:$AD$160,25,0)</f>
        <v>0</v>
      </c>
      <c r="S40" s="1260"/>
      <c r="T40" s="1262">
        <f t="shared" si="3"/>
        <v>2</v>
      </c>
      <c r="U40" s="1263"/>
      <c r="V40" s="1263"/>
      <c r="W40" s="890">
        <f t="shared" si="4"/>
        <v>1272143</v>
      </c>
      <c r="X40" s="1260">
        <f t="shared" si="5"/>
        <v>7820078</v>
      </c>
      <c r="Y40" s="1260"/>
      <c r="Z40" s="1260">
        <f>VLOOKUP(C40,'CNKT '!$D$102:$AA$165,24,0)</f>
        <v>7820078</v>
      </c>
      <c r="AA40" s="1215">
        <f t="shared" si="6"/>
        <v>0</v>
      </c>
    </row>
    <row r="41" spans="1:27" s="1215" customFormat="1" ht="42.75" customHeight="1">
      <c r="A41" s="1259">
        <v>25</v>
      </c>
      <c r="B41" s="1260" t="str">
        <f>'Chấm công KT'!C119</f>
        <v>04076</v>
      </c>
      <c r="C41" s="1260" t="str">
        <f>TONGHOPCONGDOI!C121</f>
        <v xml:space="preserve">N. Bun </v>
      </c>
      <c r="D41" s="1260"/>
      <c r="E41" s="1261"/>
      <c r="F41" s="1260">
        <f t="shared" si="0"/>
        <v>0</v>
      </c>
      <c r="G41" s="1260">
        <f>VLOOKUP(C41,TONGHOPCONGDOI!C121:AD185,16,0)</f>
        <v>4862</v>
      </c>
      <c r="H41" s="1260">
        <f>VLOOKUP(C41,TONGHOPCONGDOI!C121:AD161,17,0)</f>
        <v>0</v>
      </c>
      <c r="I41" s="1260"/>
      <c r="J41" s="894">
        <f t="shared" si="1"/>
        <v>2103.114460960297</v>
      </c>
      <c r="K41" s="1259" t="str">
        <f>VLOOKUP(C41,'BTH mủ tạp'!D123:AN184,37,0)</f>
        <v>A</v>
      </c>
      <c r="L41" s="889">
        <f t="shared" si="2"/>
        <v>8605179</v>
      </c>
      <c r="M41" s="1260">
        <f>VLOOKUP(C41,TONGHOPCONGDOI!$C$97:$AD$160,20,0)</f>
        <v>24</v>
      </c>
      <c r="N41" s="1260">
        <f>VLOOKUP(C41,TONGHOPCONGDOI!$C$97:$AD$160,21,0)</f>
        <v>4</v>
      </c>
      <c r="O41" s="1260">
        <f>VLOOKUP(C41,TONGHOPCONGDOI!$C$97:$AD$160,22,0)</f>
        <v>2</v>
      </c>
      <c r="P41" s="1260">
        <f>VLOOKUP(C41,TONGHOPCONGDOI!$C$97:$AD$160,23,0)</f>
        <v>0</v>
      </c>
      <c r="Q41" s="1260">
        <f>VLOOKUP(C41,TONGHOPCONGDOI!$C$97:$AD$160,24,0)</f>
        <v>0</v>
      </c>
      <c r="R41" s="1260">
        <f>VLOOKUP(C41,TONGHOPCONGDOI!$C$97:$AD$160,25,0)</f>
        <v>0</v>
      </c>
      <c r="S41" s="1260"/>
      <c r="T41" s="1262">
        <f t="shared" si="3"/>
        <v>2</v>
      </c>
      <c r="U41" s="1263"/>
      <c r="V41" s="1263"/>
      <c r="W41" s="890">
        <f t="shared" si="4"/>
        <v>1272143</v>
      </c>
      <c r="X41" s="1260">
        <f t="shared" si="5"/>
        <v>9877322</v>
      </c>
      <c r="Y41" s="1260"/>
      <c r="Z41" s="1260">
        <f>VLOOKUP(C41,'CNKT '!$D$102:$AA$165,24,0)</f>
        <v>9877322</v>
      </c>
      <c r="AA41" s="1215">
        <f t="shared" si="6"/>
        <v>0</v>
      </c>
    </row>
    <row r="42" spans="1:27" s="1215" customFormat="1" ht="42.75" customHeight="1">
      <c r="A42" s="1259">
        <v>26</v>
      </c>
      <c r="B42" s="1260" t="str">
        <f>'Chấm công KT'!C120</f>
        <v>03612</v>
      </c>
      <c r="C42" s="1260" t="str">
        <f>TONGHOPCONGDOI!C122</f>
        <v>N. Phu Văn</v>
      </c>
      <c r="D42" s="1260"/>
      <c r="E42" s="1261"/>
      <c r="F42" s="1260">
        <f t="shared" si="0"/>
        <v>0</v>
      </c>
      <c r="G42" s="1260">
        <f>VLOOKUP(C42,TONGHOPCONGDOI!C122:AD186,16,0)</f>
        <v>4904</v>
      </c>
      <c r="H42" s="1260">
        <f>VLOOKUP(C42,TONGHOPCONGDOI!C122:AD161,17,0)</f>
        <v>0</v>
      </c>
      <c r="I42" s="1260"/>
      <c r="J42" s="894">
        <f t="shared" si="1"/>
        <v>2121.2820478299664</v>
      </c>
      <c r="K42" s="1259" t="str">
        <f>VLOOKUP(C42,'BTH mủ tạp'!D124:AN185,37,0)</f>
        <v>A</v>
      </c>
      <c r="L42" s="889">
        <f t="shared" si="2"/>
        <v>8679514</v>
      </c>
      <c r="M42" s="1260">
        <f>VLOOKUP(C42,TONGHOPCONGDOI!$C$97:$AD$160,20,0)</f>
        <v>24</v>
      </c>
      <c r="N42" s="1260">
        <f>VLOOKUP(C42,TONGHOPCONGDOI!$C$97:$AD$160,21,0)</f>
        <v>4</v>
      </c>
      <c r="O42" s="1260">
        <f>VLOOKUP(C42,TONGHOPCONGDOI!$C$97:$AD$160,22,0)</f>
        <v>2</v>
      </c>
      <c r="P42" s="1260">
        <f>VLOOKUP(C42,TONGHOPCONGDOI!$C$97:$AD$160,23,0)</f>
        <v>0</v>
      </c>
      <c r="Q42" s="1260">
        <f>VLOOKUP(C42,TONGHOPCONGDOI!$C$97:$AD$160,24,0)</f>
        <v>0</v>
      </c>
      <c r="R42" s="1260">
        <f>VLOOKUP(C42,TONGHOPCONGDOI!$C$97:$AD$160,25,0)</f>
        <v>0</v>
      </c>
      <c r="S42" s="1260"/>
      <c r="T42" s="1262">
        <f t="shared" si="3"/>
        <v>2</v>
      </c>
      <c r="U42" s="1263"/>
      <c r="V42" s="1263"/>
      <c r="W42" s="890">
        <f t="shared" si="4"/>
        <v>1272143</v>
      </c>
      <c r="X42" s="1260">
        <f t="shared" si="5"/>
        <v>9951657</v>
      </c>
      <c r="Y42" s="1260"/>
      <c r="Z42" s="1260">
        <f>VLOOKUP(C42,'CNKT '!$D$102:$AA$165,24,0)</f>
        <v>9951657</v>
      </c>
      <c r="AA42" s="1215">
        <f t="shared" si="6"/>
        <v>0</v>
      </c>
    </row>
    <row r="43" spans="1:27" s="1215" customFormat="1" ht="42.75" customHeight="1">
      <c r="A43" s="1259">
        <v>27</v>
      </c>
      <c r="B43" s="1260" t="str">
        <f>'Chấm công KT'!C121</f>
        <v>03613</v>
      </c>
      <c r="C43" s="1260" t="str">
        <f>TONGHOPCONGDOI!C123</f>
        <v>N. Lỷ</v>
      </c>
      <c r="D43" s="1260"/>
      <c r="E43" s="1261"/>
      <c r="F43" s="1260">
        <f t="shared" si="0"/>
        <v>0</v>
      </c>
      <c r="G43" s="1260">
        <f>VLOOKUP(C43,TONGHOPCONGDOI!C123:AD187,16,0)</f>
        <v>5601</v>
      </c>
      <c r="H43" s="1260">
        <f>VLOOKUP(C43,TONGHOPCONGDOI!C123:AD161,17,0)</f>
        <v>0</v>
      </c>
      <c r="I43" s="1260"/>
      <c r="J43" s="894">
        <f t="shared" si="1"/>
        <v>2422.7774775480507</v>
      </c>
      <c r="K43" s="1259" t="str">
        <f>VLOOKUP(C43,'BTH mủ tạp'!D125:AN186,37,0)</f>
        <v>A</v>
      </c>
      <c r="L43" s="889">
        <f t="shared" si="2"/>
        <v>9913124</v>
      </c>
      <c r="M43" s="1260">
        <f>VLOOKUP(C43,TONGHOPCONGDOI!$C$97:$AD$160,20,0)</f>
        <v>24</v>
      </c>
      <c r="N43" s="1260">
        <f>VLOOKUP(C43,TONGHOPCONGDOI!$C$97:$AD$160,21,0)</f>
        <v>4</v>
      </c>
      <c r="O43" s="1260">
        <f>VLOOKUP(C43,TONGHOPCONGDOI!$C$97:$AD$160,22,0)</f>
        <v>2</v>
      </c>
      <c r="P43" s="1260">
        <f>VLOOKUP(C43,TONGHOPCONGDOI!$C$97:$AD$160,23,0)</f>
        <v>0</v>
      </c>
      <c r="Q43" s="1260">
        <f>VLOOKUP(C43,TONGHOPCONGDOI!$C$97:$AD$160,24,0)</f>
        <v>0</v>
      </c>
      <c r="R43" s="1260">
        <f>VLOOKUP(C43,TONGHOPCONGDOI!$C$97:$AD$160,25,0)</f>
        <v>0</v>
      </c>
      <c r="S43" s="1260"/>
      <c r="T43" s="1262">
        <f t="shared" si="3"/>
        <v>2</v>
      </c>
      <c r="U43" s="1263"/>
      <c r="V43" s="1263"/>
      <c r="W43" s="890">
        <f t="shared" si="4"/>
        <v>1272143</v>
      </c>
      <c r="X43" s="1260">
        <f t="shared" si="5"/>
        <v>11185267</v>
      </c>
      <c r="Y43" s="1260"/>
      <c r="Z43" s="1260">
        <f>VLOOKUP(C43,'CNKT '!$D$102:$AA$165,24,0)</f>
        <v>11185267</v>
      </c>
      <c r="AA43" s="1215">
        <f t="shared" si="6"/>
        <v>0</v>
      </c>
    </row>
    <row r="44" spans="1:27" s="1215" customFormat="1" ht="42.75" customHeight="1">
      <c r="A44" s="1259">
        <v>28</v>
      </c>
      <c r="B44" s="1260" t="str">
        <f>'Chấm công KT'!C122</f>
        <v>04077</v>
      </c>
      <c r="C44" s="1260" t="str">
        <f>TONGHOPCONGDOI!C124</f>
        <v>N. Quen</v>
      </c>
      <c r="D44" s="1260"/>
      <c r="E44" s="1261"/>
      <c r="F44" s="1260">
        <f t="shared" si="0"/>
        <v>0</v>
      </c>
      <c r="G44" s="1260">
        <f>VLOOKUP(C44,TONGHOPCONGDOI!C124:AD188,16,0)</f>
        <v>4775</v>
      </c>
      <c r="H44" s="1260">
        <f>VLOOKUP(C44,TONGHOPCONGDOI!C124:AD161,17,0)</f>
        <v>0</v>
      </c>
      <c r="I44" s="1260"/>
      <c r="J44" s="894">
        <f t="shared" si="1"/>
        <v>2065.4816024445531</v>
      </c>
      <c r="K44" s="1259" t="str">
        <f>VLOOKUP(C44,'BTH mủ tạp'!D126:AN187,37,0)</f>
        <v>A</v>
      </c>
      <c r="L44" s="889">
        <f t="shared" si="2"/>
        <v>8451199</v>
      </c>
      <c r="M44" s="1260">
        <f>VLOOKUP(C44,TONGHOPCONGDOI!$C$97:$AD$160,20,0)</f>
        <v>24</v>
      </c>
      <c r="N44" s="1260">
        <f>VLOOKUP(C44,TONGHOPCONGDOI!$C$97:$AD$160,21,0)</f>
        <v>4</v>
      </c>
      <c r="O44" s="1260">
        <f>VLOOKUP(C44,TONGHOPCONGDOI!$C$97:$AD$160,22,0)</f>
        <v>2</v>
      </c>
      <c r="P44" s="1260">
        <f>VLOOKUP(C44,TONGHOPCONGDOI!$C$97:$AD$160,23,0)</f>
        <v>0</v>
      </c>
      <c r="Q44" s="1260">
        <f>VLOOKUP(C44,TONGHOPCONGDOI!$C$97:$AD$160,24,0)</f>
        <v>0</v>
      </c>
      <c r="R44" s="1260">
        <f>VLOOKUP(C44,TONGHOPCONGDOI!$C$97:$AD$160,25,0)</f>
        <v>0</v>
      </c>
      <c r="S44" s="1260"/>
      <c r="T44" s="1262">
        <f t="shared" si="3"/>
        <v>2</v>
      </c>
      <c r="U44" s="1263"/>
      <c r="V44" s="1263"/>
      <c r="W44" s="890">
        <f t="shared" si="4"/>
        <v>1272143</v>
      </c>
      <c r="X44" s="1260">
        <f t="shared" si="5"/>
        <v>9723342</v>
      </c>
      <c r="Y44" s="1260"/>
      <c r="Z44" s="1260">
        <f>VLOOKUP(C44,'CNKT '!$D$102:$AA$165,24,0)</f>
        <v>9723342</v>
      </c>
      <c r="AA44" s="1215">
        <f t="shared" si="6"/>
        <v>0</v>
      </c>
    </row>
    <row r="45" spans="1:27" s="1215" customFormat="1" ht="42.75" customHeight="1">
      <c r="A45" s="1259">
        <v>29</v>
      </c>
      <c r="B45" s="1260" t="str">
        <f>'Chấm công KT'!C123</f>
        <v>03615</v>
      </c>
      <c r="C45" s="1260" t="str">
        <f>TONGHOPCONGDOI!C125</f>
        <v>T. Xi Nuôn</v>
      </c>
      <c r="D45" s="1260"/>
      <c r="E45" s="1261"/>
      <c r="F45" s="1260">
        <f t="shared" si="0"/>
        <v>0</v>
      </c>
      <c r="G45" s="1260">
        <f>VLOOKUP(C45,TONGHOPCONGDOI!C125:AD189,16,0)</f>
        <v>3395</v>
      </c>
      <c r="H45" s="1260">
        <f>VLOOKUP(C45,TONGHOPCONGDOI!C125:AD161,17,0)</f>
        <v>0</v>
      </c>
      <c r="I45" s="1260"/>
      <c r="J45" s="894">
        <f t="shared" si="1"/>
        <v>1468.546605298274</v>
      </c>
      <c r="K45" s="1259" t="str">
        <f>VLOOKUP(C45,'BTH mủ tạp'!D127:AN188,37,0)</f>
        <v>A</v>
      </c>
      <c r="L45" s="889">
        <f t="shared" si="2"/>
        <v>6008758</v>
      </c>
      <c r="M45" s="1260">
        <f>VLOOKUP(C45,TONGHOPCONGDOI!$C$97:$AD$160,20,0)</f>
        <v>22</v>
      </c>
      <c r="N45" s="1260">
        <f>VLOOKUP(C45,TONGHOPCONGDOI!$C$97:$AD$160,21,0)</f>
        <v>4</v>
      </c>
      <c r="O45" s="1260">
        <f>VLOOKUP(C45,TONGHOPCONGDOI!$C$97:$AD$160,22,0)</f>
        <v>2</v>
      </c>
      <c r="P45" s="1260">
        <f>VLOOKUP(C45,TONGHOPCONGDOI!$C$97:$AD$160,23,0)</f>
        <v>0</v>
      </c>
      <c r="Q45" s="1260">
        <f>VLOOKUP(C45,TONGHOPCONGDOI!$C$97:$AD$160,24,0)</f>
        <v>0</v>
      </c>
      <c r="R45" s="1260">
        <f>VLOOKUP(C45,TONGHOPCONGDOI!$C$97:$AD$160,25,0)</f>
        <v>0</v>
      </c>
      <c r="S45" s="1260"/>
      <c r="T45" s="1262">
        <f t="shared" si="3"/>
        <v>2</v>
      </c>
      <c r="U45" s="1263"/>
      <c r="V45" s="1263"/>
      <c r="W45" s="890">
        <f t="shared" si="4"/>
        <v>1210299</v>
      </c>
      <c r="X45" s="1260">
        <f t="shared" si="5"/>
        <v>7219057</v>
      </c>
      <c r="Y45" s="1260"/>
      <c r="Z45" s="1260">
        <f>VLOOKUP(C45,'CNKT '!$D$102:$AA$165,24,0)</f>
        <v>7219057</v>
      </c>
      <c r="AA45" s="1215">
        <f t="shared" si="6"/>
        <v>0</v>
      </c>
    </row>
    <row r="46" spans="1:27" s="1215" customFormat="1" ht="42.75" customHeight="1">
      <c r="A46" s="1259">
        <v>30</v>
      </c>
      <c r="B46" s="1260" t="str">
        <f>'Chấm công KT'!C124</f>
        <v>03616</v>
      </c>
      <c r="C46" s="1260" t="str">
        <f>TONGHOPCONGDOI!C126</f>
        <v>N. Ốc</v>
      </c>
      <c r="D46" s="1260"/>
      <c r="E46" s="1261"/>
      <c r="F46" s="1260">
        <f t="shared" si="0"/>
        <v>0</v>
      </c>
      <c r="G46" s="1260">
        <f>VLOOKUP(C46,TONGHOPCONGDOI!C126:AD190,16,0)</f>
        <v>5368</v>
      </c>
      <c r="H46" s="1260">
        <f>VLOOKUP(C46,TONGHOPCONGDOI!C126:AD161,17,0)</f>
        <v>0</v>
      </c>
      <c r="I46" s="1260"/>
      <c r="J46" s="894">
        <f t="shared" si="1"/>
        <v>2321.9906265805994</v>
      </c>
      <c r="K46" s="1259" t="str">
        <f>VLOOKUP(C46,'BTH mủ tạp'!D128:AN189,37,0)</f>
        <v>A</v>
      </c>
      <c r="L46" s="889">
        <f t="shared" si="2"/>
        <v>9500740</v>
      </c>
      <c r="M46" s="1260">
        <f>VLOOKUP(C46,TONGHOPCONGDOI!$C$97:$AD$160,20,0)</f>
        <v>24</v>
      </c>
      <c r="N46" s="1260">
        <f>VLOOKUP(C46,TONGHOPCONGDOI!$C$97:$AD$160,21,0)</f>
        <v>4</v>
      </c>
      <c r="O46" s="1260">
        <f>VLOOKUP(C46,TONGHOPCONGDOI!$C$97:$AD$160,22,0)</f>
        <v>2</v>
      </c>
      <c r="P46" s="1260">
        <f>VLOOKUP(C46,TONGHOPCONGDOI!$C$97:$AD$160,23,0)</f>
        <v>0</v>
      </c>
      <c r="Q46" s="1260">
        <f>VLOOKUP(C46,TONGHOPCONGDOI!$C$97:$AD$160,24,0)</f>
        <v>0</v>
      </c>
      <c r="R46" s="1260">
        <f>VLOOKUP(C46,TONGHOPCONGDOI!$C$97:$AD$160,25,0)</f>
        <v>0</v>
      </c>
      <c r="S46" s="1260"/>
      <c r="T46" s="1262">
        <f t="shared" si="3"/>
        <v>2</v>
      </c>
      <c r="U46" s="1263"/>
      <c r="V46" s="1263"/>
      <c r="W46" s="890">
        <f t="shared" si="4"/>
        <v>1272143</v>
      </c>
      <c r="X46" s="1260">
        <f t="shared" si="5"/>
        <v>10772883</v>
      </c>
      <c r="Y46" s="1260"/>
      <c r="Z46" s="1260">
        <f>VLOOKUP(C46,'CNKT '!$D$102:$AA$165,24,0)</f>
        <v>10772883</v>
      </c>
      <c r="AA46" s="1215">
        <f t="shared" si="6"/>
        <v>0</v>
      </c>
    </row>
    <row r="47" spans="1:27" s="1215" customFormat="1" ht="42.75" customHeight="1">
      <c r="A47" s="1259">
        <v>31</v>
      </c>
      <c r="B47" s="1260" t="str">
        <f>'Chấm công KT'!C125</f>
        <v>03617</v>
      </c>
      <c r="C47" s="1260" t="str">
        <f>TONGHOPCONGDOI!C127</f>
        <v>T. Văn Nô</v>
      </c>
      <c r="D47" s="1260"/>
      <c r="E47" s="1261"/>
      <c r="F47" s="1260">
        <f t="shared" si="0"/>
        <v>0</v>
      </c>
      <c r="G47" s="1260">
        <f>VLOOKUP(C47,TONGHOPCONGDOI!C127:AD191,16,0)</f>
        <v>4616</v>
      </c>
      <c r="H47" s="1260">
        <f>VLOOKUP(C47,TONGHOPCONGDOI!C127:AD161,17,0)</f>
        <v>0</v>
      </c>
      <c r="I47" s="1260"/>
      <c r="J47" s="894">
        <f t="shared" si="1"/>
        <v>1996.7043092950905</v>
      </c>
      <c r="K47" s="1259" t="str">
        <f>VLOOKUP(C47,'BTH mủ tạp'!D129:AN190,37,0)</f>
        <v>A</v>
      </c>
      <c r="L47" s="889">
        <f t="shared" si="2"/>
        <v>8169787</v>
      </c>
      <c r="M47" s="1260">
        <f>VLOOKUP(C47,TONGHOPCONGDOI!$C$97:$AD$160,20,0)</f>
        <v>24</v>
      </c>
      <c r="N47" s="1260">
        <f>VLOOKUP(C47,TONGHOPCONGDOI!$C$97:$AD$160,21,0)</f>
        <v>4</v>
      </c>
      <c r="O47" s="1260">
        <f>VLOOKUP(C47,TONGHOPCONGDOI!$C$97:$AD$160,22,0)</f>
        <v>2</v>
      </c>
      <c r="P47" s="1260">
        <f>VLOOKUP(C47,TONGHOPCONGDOI!$C$97:$AD$160,23,0)</f>
        <v>0</v>
      </c>
      <c r="Q47" s="1260">
        <f>VLOOKUP(C47,TONGHOPCONGDOI!$C$97:$AD$160,24,0)</f>
        <v>0</v>
      </c>
      <c r="R47" s="1260">
        <f>VLOOKUP(C47,TONGHOPCONGDOI!$C$97:$AD$160,25,0)</f>
        <v>0</v>
      </c>
      <c r="S47" s="1260"/>
      <c r="T47" s="1262">
        <f t="shared" si="3"/>
        <v>2</v>
      </c>
      <c r="U47" s="1263"/>
      <c r="V47" s="1263"/>
      <c r="W47" s="890">
        <f t="shared" si="4"/>
        <v>1272143</v>
      </c>
      <c r="X47" s="1260">
        <f t="shared" si="5"/>
        <v>9441930</v>
      </c>
      <c r="Y47" s="1260"/>
      <c r="Z47" s="1260">
        <f>VLOOKUP(C47,'CNKT '!$D$102:$AA$165,24,0)</f>
        <v>9441930</v>
      </c>
      <c r="AA47" s="1215">
        <f t="shared" si="6"/>
        <v>0</v>
      </c>
    </row>
    <row r="48" spans="1:27" s="1215" customFormat="1" ht="42.75" customHeight="1">
      <c r="A48" s="1259">
        <v>32</v>
      </c>
      <c r="B48" s="1260" t="str">
        <f>'Chấm công KT'!C126</f>
        <v>03618</v>
      </c>
      <c r="C48" s="1260" t="str">
        <f>TONGHOPCONGDOI!C128</f>
        <v>N. Văn Ta</v>
      </c>
      <c r="D48" s="1260"/>
      <c r="E48" s="1261"/>
      <c r="F48" s="1260">
        <f t="shared" si="0"/>
        <v>0</v>
      </c>
      <c r="G48" s="1260">
        <f>VLOOKUP(C48,TONGHOPCONGDOI!C128:AD192,16,0)</f>
        <v>4951</v>
      </c>
      <c r="H48" s="1260">
        <f>VLOOKUP(C48,TONGHOPCONGDOI!C128:AD161,17,0)</f>
        <v>0</v>
      </c>
      <c r="I48" s="1260"/>
      <c r="J48" s="894">
        <f t="shared" si="1"/>
        <v>2141.6124426603105</v>
      </c>
      <c r="K48" s="1259" t="str">
        <f>VLOOKUP(C48,'BTH mủ tạp'!D130:AN191,37,0)</f>
        <v>A</v>
      </c>
      <c r="L48" s="889">
        <f t="shared" si="2"/>
        <v>8762699</v>
      </c>
      <c r="M48" s="1260">
        <f>VLOOKUP(C48,TONGHOPCONGDOI!$C$97:$AD$160,20,0)</f>
        <v>23</v>
      </c>
      <c r="N48" s="1260">
        <f>VLOOKUP(C48,TONGHOPCONGDOI!$C$97:$AD$160,21,0)</f>
        <v>4</v>
      </c>
      <c r="O48" s="1260">
        <f>VLOOKUP(C48,TONGHOPCONGDOI!$C$97:$AD$160,22,0)</f>
        <v>2</v>
      </c>
      <c r="P48" s="1260">
        <f>VLOOKUP(C48,TONGHOPCONGDOI!$C$97:$AD$160,23,0)</f>
        <v>0</v>
      </c>
      <c r="Q48" s="1260">
        <f>VLOOKUP(C48,TONGHOPCONGDOI!$C$97:$AD$160,24,0)</f>
        <v>0</v>
      </c>
      <c r="R48" s="1260">
        <f>VLOOKUP(C48,TONGHOPCONGDOI!$C$97:$AD$160,25,0)</f>
        <v>0</v>
      </c>
      <c r="S48" s="1260"/>
      <c r="T48" s="1262">
        <f t="shared" si="3"/>
        <v>2</v>
      </c>
      <c r="U48" s="1263"/>
      <c r="V48" s="1263"/>
      <c r="W48" s="890">
        <f t="shared" si="4"/>
        <v>1241221</v>
      </c>
      <c r="X48" s="1260">
        <f t="shared" si="5"/>
        <v>10003920</v>
      </c>
      <c r="Y48" s="1260"/>
      <c r="Z48" s="1260">
        <f>VLOOKUP(C48,'CNKT '!$D$102:$AA$165,24,0)</f>
        <v>10003920</v>
      </c>
      <c r="AA48" s="1215">
        <f t="shared" si="6"/>
        <v>0</v>
      </c>
    </row>
    <row r="49" spans="1:27" s="1215" customFormat="1" ht="42.75" customHeight="1">
      <c r="A49" s="1259">
        <v>33</v>
      </c>
      <c r="B49" s="1260" t="str">
        <f>'Chấm công KT'!C127</f>
        <v>03619</v>
      </c>
      <c r="C49" s="1260" t="str">
        <f>TONGHOPCONGDOI!C129</f>
        <v>T. Thon</v>
      </c>
      <c r="D49" s="1260"/>
      <c r="E49" s="1261"/>
      <c r="F49" s="1260">
        <f t="shared" si="0"/>
        <v>0</v>
      </c>
      <c r="G49" s="1260">
        <f>VLOOKUP(C49,TONGHOPCONGDOI!C129:AD193,16,0)</f>
        <v>4008</v>
      </c>
      <c r="H49" s="1260">
        <f>VLOOKUP(C49,TONGHOPCONGDOI!C129:AD161,17,0)</f>
        <v>0</v>
      </c>
      <c r="I49" s="1260"/>
      <c r="J49" s="894">
        <f t="shared" ref="J49:J78" si="7">$AB$11/$AB$10*G49+H49*$AB$12+I49*$AB$13</f>
        <v>1733.7068612770197</v>
      </c>
      <c r="K49" s="1259" t="str">
        <f>VLOOKUP(C49,'BTH mủ tạp'!D131:AN192,37,0)</f>
        <v>A</v>
      </c>
      <c r="L49" s="889">
        <f t="shared" si="2"/>
        <v>7093697</v>
      </c>
      <c r="M49" s="1260">
        <f>VLOOKUP(C49,TONGHOPCONGDOI!$C$97:$AD$160,20,0)</f>
        <v>21</v>
      </c>
      <c r="N49" s="1260">
        <f>VLOOKUP(C49,TONGHOPCONGDOI!$C$97:$AD$160,21,0)</f>
        <v>4</v>
      </c>
      <c r="O49" s="1260">
        <f>VLOOKUP(C49,TONGHOPCONGDOI!$C$97:$AD$160,22,0)</f>
        <v>2</v>
      </c>
      <c r="P49" s="1260">
        <f>VLOOKUP(C49,TONGHOPCONGDOI!$C$97:$AD$160,23,0)</f>
        <v>0</v>
      </c>
      <c r="Q49" s="1260">
        <f>VLOOKUP(C49,TONGHOPCONGDOI!$C$97:$AD$160,24,0)</f>
        <v>0</v>
      </c>
      <c r="R49" s="1260">
        <f>VLOOKUP(C49,TONGHOPCONGDOI!$C$97:$AD$160,25,0)</f>
        <v>0</v>
      </c>
      <c r="S49" s="1260"/>
      <c r="T49" s="1262">
        <f t="shared" si="3"/>
        <v>2</v>
      </c>
      <c r="U49" s="1263"/>
      <c r="V49" s="1263"/>
      <c r="W49" s="890">
        <f t="shared" si="4"/>
        <v>1179377</v>
      </c>
      <c r="X49" s="1260">
        <f t="shared" ref="X49:X80" si="8">F49+L49+W49</f>
        <v>8273074</v>
      </c>
      <c r="Y49" s="1260"/>
      <c r="Z49" s="1260">
        <f>VLOOKUP(C49,'CNKT '!$D$102:$AA$165,24,0)</f>
        <v>8273074</v>
      </c>
      <c r="AA49" s="1215">
        <f t="shared" si="6"/>
        <v>0</v>
      </c>
    </row>
    <row r="50" spans="1:27" s="1215" customFormat="1" ht="42.75" customHeight="1">
      <c r="A50" s="1259">
        <v>34</v>
      </c>
      <c r="B50" s="1260" t="str">
        <f>'Chấm công KT'!C128</f>
        <v>03620</v>
      </c>
      <c r="C50" s="1260" t="str">
        <f>TONGHOPCONGDOI!C130</f>
        <v>Bun Thon</v>
      </c>
      <c r="D50" s="1260"/>
      <c r="E50" s="1261"/>
      <c r="F50" s="1260">
        <f t="shared" si="0"/>
        <v>0</v>
      </c>
      <c r="G50" s="1260">
        <f>VLOOKUP(C50,TONGHOPCONGDOI!C130:AD194,16,0)</f>
        <v>3951</v>
      </c>
      <c r="H50" s="1260">
        <f>VLOOKUP(C50,TONGHOPCONGDOI!C130:AD161,17,0)</f>
        <v>0</v>
      </c>
      <c r="I50" s="1260"/>
      <c r="J50" s="894">
        <f t="shared" si="7"/>
        <v>1709.0508505253256</v>
      </c>
      <c r="K50" s="1259" t="str">
        <f>VLOOKUP(C50,'BTH mủ tạp'!D132:AN193,37,0)</f>
        <v>A</v>
      </c>
      <c r="L50" s="889">
        <f t="shared" si="2"/>
        <v>6992814</v>
      </c>
      <c r="M50" s="1260">
        <f>VLOOKUP(C50,TONGHOPCONGDOI!$C$97:$AD$160,20,0)</f>
        <v>24</v>
      </c>
      <c r="N50" s="1260">
        <f>VLOOKUP(C50,TONGHOPCONGDOI!$C$97:$AD$160,21,0)</f>
        <v>4</v>
      </c>
      <c r="O50" s="1260">
        <f>VLOOKUP(C50,TONGHOPCONGDOI!$C$97:$AD$160,22,0)</f>
        <v>2</v>
      </c>
      <c r="P50" s="1260">
        <f>VLOOKUP(C50,TONGHOPCONGDOI!$C$97:$AD$160,23,0)</f>
        <v>0</v>
      </c>
      <c r="Q50" s="1260">
        <f>VLOOKUP(C50,TONGHOPCONGDOI!$C$97:$AD$160,24,0)</f>
        <v>0</v>
      </c>
      <c r="R50" s="1260">
        <f>VLOOKUP(C50,TONGHOPCONGDOI!$C$97:$AD$160,25,0)</f>
        <v>0</v>
      </c>
      <c r="S50" s="1260"/>
      <c r="T50" s="1262">
        <f t="shared" si="3"/>
        <v>2</v>
      </c>
      <c r="U50" s="1263"/>
      <c r="V50" s="1263"/>
      <c r="W50" s="890">
        <f t="shared" si="4"/>
        <v>1272143</v>
      </c>
      <c r="X50" s="1260">
        <f t="shared" si="8"/>
        <v>8264957</v>
      </c>
      <c r="Y50" s="1260"/>
      <c r="Z50" s="1260">
        <f>VLOOKUP(C50,'CNKT '!$D$102:$AA$165,24,0)</f>
        <v>8264957</v>
      </c>
      <c r="AA50" s="1215">
        <f t="shared" si="6"/>
        <v>0</v>
      </c>
    </row>
    <row r="51" spans="1:27" s="1215" customFormat="1" ht="42.75" customHeight="1">
      <c r="A51" s="1259">
        <v>35</v>
      </c>
      <c r="B51" s="1260" t="str">
        <f>'Chấm công KT'!C129</f>
        <v>04078</v>
      </c>
      <c r="C51" s="1260" t="str">
        <f>TONGHOPCONGDOI!C131</f>
        <v>Lăm Thong</v>
      </c>
      <c r="D51" s="1260"/>
      <c r="E51" s="1261"/>
      <c r="F51" s="1260">
        <f t="shared" si="0"/>
        <v>0</v>
      </c>
      <c r="G51" s="1260">
        <f>VLOOKUP(C51,TONGHOPCONGDOI!C131:AD195,16,0)</f>
        <v>3837</v>
      </c>
      <c r="H51" s="1260">
        <f>VLOOKUP(C51,TONGHOPCONGDOI!C131:AD161,17,0)</f>
        <v>0</v>
      </c>
      <c r="I51" s="1260"/>
      <c r="J51" s="894">
        <f t="shared" si="7"/>
        <v>1659.7388290219374</v>
      </c>
      <c r="K51" s="1259" t="str">
        <f>VLOOKUP(C51,'BTH mủ tạp'!D133:AN194,37,0)</f>
        <v>B</v>
      </c>
      <c r="L51" s="889">
        <f t="shared" si="2"/>
        <v>6457061</v>
      </c>
      <c r="M51" s="1260">
        <f>VLOOKUP(C51,TONGHOPCONGDOI!$C$97:$AD$160,20,0)</f>
        <v>23</v>
      </c>
      <c r="N51" s="1260">
        <f>VLOOKUP(C51,TONGHOPCONGDOI!$C$97:$AD$160,21,0)</f>
        <v>3</v>
      </c>
      <c r="O51" s="1260">
        <f>VLOOKUP(C51,TONGHOPCONGDOI!$C$97:$AD$160,22,0)</f>
        <v>2</v>
      </c>
      <c r="P51" s="1260">
        <f>VLOOKUP(C51,TONGHOPCONGDOI!$C$97:$AD$160,23,0)</f>
        <v>0</v>
      </c>
      <c r="Q51" s="1260">
        <f>VLOOKUP(C51,TONGHOPCONGDOI!$C$97:$AD$160,24,0)</f>
        <v>0</v>
      </c>
      <c r="R51" s="1260">
        <f>VLOOKUP(C51,TONGHOPCONGDOI!$C$97:$AD$160,25,0)</f>
        <v>0</v>
      </c>
      <c r="S51" s="1260"/>
      <c r="T51" s="1262">
        <f t="shared" si="3"/>
        <v>2</v>
      </c>
      <c r="U51" s="1263"/>
      <c r="V51" s="1263"/>
      <c r="W51" s="890">
        <f t="shared" si="4"/>
        <v>1189639</v>
      </c>
      <c r="X51" s="1260">
        <f t="shared" si="8"/>
        <v>7646700</v>
      </c>
      <c r="Y51" s="1260"/>
      <c r="Z51" s="1260">
        <f>VLOOKUP(C51,'CNKT '!$D$102:$AA$165,24,0)</f>
        <v>7646700</v>
      </c>
      <c r="AA51" s="1215">
        <f t="shared" si="6"/>
        <v>0</v>
      </c>
    </row>
    <row r="52" spans="1:27" s="1215" customFormat="1" ht="42.75" customHeight="1">
      <c r="A52" s="1259">
        <v>36</v>
      </c>
      <c r="B52" s="1260" t="str">
        <f>'Chấm công KT'!C130</f>
        <v>03622</v>
      </c>
      <c r="C52" s="1260" t="str">
        <f>TONGHOPCONGDOI!C132</f>
        <v>N. Xeo Khăm</v>
      </c>
      <c r="D52" s="1260"/>
      <c r="E52" s="1261"/>
      <c r="F52" s="1260">
        <f t="shared" si="0"/>
        <v>0</v>
      </c>
      <c r="G52" s="1260">
        <f>VLOOKUP(C52,TONGHOPCONGDOI!C132:AD196,16,0)</f>
        <v>4495</v>
      </c>
      <c r="H52" s="1260">
        <f>VLOOKUP(C52,TONGHOPCONGDOI!C132:AD161,17,0)</f>
        <v>0</v>
      </c>
      <c r="I52" s="1260"/>
      <c r="J52" s="894">
        <f t="shared" si="7"/>
        <v>1944.3643566467574</v>
      </c>
      <c r="K52" s="1259" t="str">
        <f>VLOOKUP(C52,'BTH mủ tạp'!D134:AN195,37,0)</f>
        <v>A</v>
      </c>
      <c r="L52" s="889">
        <f t="shared" si="2"/>
        <v>7955631</v>
      </c>
      <c r="M52" s="1260">
        <f>VLOOKUP(C52,TONGHOPCONGDOI!$C$97:$AD$160,20,0)</f>
        <v>24</v>
      </c>
      <c r="N52" s="1260">
        <f>VLOOKUP(C52,TONGHOPCONGDOI!$C$97:$AD$160,21,0)</f>
        <v>4</v>
      </c>
      <c r="O52" s="1260">
        <f>VLOOKUP(C52,TONGHOPCONGDOI!$C$97:$AD$160,22,0)</f>
        <v>2</v>
      </c>
      <c r="P52" s="1260">
        <f>VLOOKUP(C52,TONGHOPCONGDOI!$C$97:$AD$160,23,0)</f>
        <v>0</v>
      </c>
      <c r="Q52" s="1260">
        <f>VLOOKUP(C52,TONGHOPCONGDOI!$C$97:$AD$160,24,0)</f>
        <v>0</v>
      </c>
      <c r="R52" s="1260">
        <f>VLOOKUP(C52,TONGHOPCONGDOI!$C$97:$AD$160,25,0)</f>
        <v>0</v>
      </c>
      <c r="S52" s="1260"/>
      <c r="T52" s="1262">
        <f t="shared" si="3"/>
        <v>2</v>
      </c>
      <c r="U52" s="1263"/>
      <c r="V52" s="1263"/>
      <c r="W52" s="890">
        <f t="shared" si="4"/>
        <v>1272143</v>
      </c>
      <c r="X52" s="1260">
        <f t="shared" si="8"/>
        <v>9227774</v>
      </c>
      <c r="Y52" s="1260"/>
      <c r="Z52" s="1260">
        <f>VLOOKUP(C52,'CNKT '!$D$102:$AA$165,24,0)</f>
        <v>9227774</v>
      </c>
      <c r="AA52" s="1215">
        <f t="shared" si="6"/>
        <v>0</v>
      </c>
    </row>
    <row r="53" spans="1:27" s="1215" customFormat="1" ht="42.75" customHeight="1">
      <c r="A53" s="1259">
        <v>37</v>
      </c>
      <c r="B53" s="1260" t="str">
        <f>'Chấm công KT'!C131</f>
        <v>03623</v>
      </c>
      <c r="C53" s="1260" t="str">
        <f>TONGHOPCONGDOI!C133</f>
        <v>T. Khăm...</v>
      </c>
      <c r="D53" s="1260"/>
      <c r="E53" s="1261"/>
      <c r="F53" s="1260">
        <f t="shared" si="0"/>
        <v>0</v>
      </c>
      <c r="G53" s="1260">
        <f>VLOOKUP(C53,TONGHOPCONGDOI!C133:AD197,16,0)</f>
        <v>5063</v>
      </c>
      <c r="H53" s="1260">
        <f>VLOOKUP(C53,TONGHOPCONGDOI!C133:AD161,17,0)</f>
        <v>0</v>
      </c>
      <c r="I53" s="1260"/>
      <c r="J53" s="894">
        <f t="shared" si="7"/>
        <v>2190.0593409794287</v>
      </c>
      <c r="K53" s="1259" t="str">
        <f>VLOOKUP(C53,'BTH mủ tạp'!D135:AN196,37,0)</f>
        <v>A</v>
      </c>
      <c r="L53" s="889">
        <f t="shared" si="2"/>
        <v>8960926</v>
      </c>
      <c r="M53" s="1260">
        <f>VLOOKUP(C53,TONGHOPCONGDOI!$C$97:$AD$160,20,0)</f>
        <v>24</v>
      </c>
      <c r="N53" s="1260">
        <f>VLOOKUP(C53,TONGHOPCONGDOI!$C$97:$AD$160,21,0)</f>
        <v>4</v>
      </c>
      <c r="O53" s="1260">
        <f>VLOOKUP(C53,TONGHOPCONGDOI!$C$97:$AD$160,22,0)</f>
        <v>2</v>
      </c>
      <c r="P53" s="1260">
        <f>VLOOKUP(C53,TONGHOPCONGDOI!$C$97:$AD$160,23,0)</f>
        <v>0</v>
      </c>
      <c r="Q53" s="1260">
        <f>VLOOKUP(C53,TONGHOPCONGDOI!$C$97:$AD$160,24,0)</f>
        <v>0</v>
      </c>
      <c r="R53" s="1260">
        <f>VLOOKUP(C53,TONGHOPCONGDOI!$C$97:$AD$160,25,0)</f>
        <v>0</v>
      </c>
      <c r="S53" s="1260"/>
      <c r="T53" s="1262">
        <f t="shared" si="3"/>
        <v>2</v>
      </c>
      <c r="U53" s="1263"/>
      <c r="V53" s="1263"/>
      <c r="W53" s="890">
        <f t="shared" si="4"/>
        <v>1272143</v>
      </c>
      <c r="X53" s="1260">
        <f t="shared" si="8"/>
        <v>10233069</v>
      </c>
      <c r="Y53" s="1260"/>
      <c r="Z53" s="1260">
        <f>VLOOKUP(C53,'CNKT '!$D$102:$AA$165,24,0)</f>
        <v>10233069</v>
      </c>
      <c r="AA53" s="1215">
        <f t="shared" si="6"/>
        <v>0</v>
      </c>
    </row>
    <row r="54" spans="1:27" s="1215" customFormat="1" ht="42.75" customHeight="1">
      <c r="A54" s="1259">
        <v>38</v>
      </c>
      <c r="B54" s="1260" t="str">
        <f>'Chấm công KT'!C132</f>
        <v>03532</v>
      </c>
      <c r="C54" s="1260" t="str">
        <f>TONGHOPCONGDOI!C134</f>
        <v>N. Túc</v>
      </c>
      <c r="D54" s="1260"/>
      <c r="E54" s="1261"/>
      <c r="F54" s="1260">
        <f t="shared" si="0"/>
        <v>0</v>
      </c>
      <c r="G54" s="1260">
        <f>VLOOKUP(C54,TONGHOPCONGDOI!C134:AD198,16,0)</f>
        <v>4701</v>
      </c>
      <c r="H54" s="1260">
        <f>VLOOKUP(C54,TONGHOPCONGDOI!C134:AD161,17,0)</f>
        <v>0</v>
      </c>
      <c r="I54" s="1260"/>
      <c r="J54" s="894">
        <f t="shared" si="7"/>
        <v>2033.4720446265644</v>
      </c>
      <c r="K54" s="1259" t="str">
        <f>VLOOKUP(C54,'BTH mủ tạp'!D136:AN197,37,0)</f>
        <v>A</v>
      </c>
      <c r="L54" s="889">
        <f t="shared" si="2"/>
        <v>8320227</v>
      </c>
      <c r="M54" s="1260">
        <f>VLOOKUP(C54,TONGHOPCONGDOI!$C$97:$AD$160,20,0)</f>
        <v>24</v>
      </c>
      <c r="N54" s="1260">
        <f>VLOOKUP(C54,TONGHOPCONGDOI!$C$97:$AD$160,21,0)</f>
        <v>4</v>
      </c>
      <c r="O54" s="1260">
        <f>VLOOKUP(C54,TONGHOPCONGDOI!$C$97:$AD$160,22,0)</f>
        <v>2</v>
      </c>
      <c r="P54" s="1260">
        <f>VLOOKUP(C54,TONGHOPCONGDOI!$C$97:$AD$160,23,0)</f>
        <v>0</v>
      </c>
      <c r="Q54" s="1260">
        <f>VLOOKUP(C54,TONGHOPCONGDOI!$C$97:$AD$160,24,0)</f>
        <v>0</v>
      </c>
      <c r="R54" s="1260">
        <f>VLOOKUP(C54,TONGHOPCONGDOI!$C$97:$AD$160,25,0)</f>
        <v>0</v>
      </c>
      <c r="S54" s="1260"/>
      <c r="T54" s="1262">
        <f t="shared" si="3"/>
        <v>2</v>
      </c>
      <c r="U54" s="1263"/>
      <c r="V54" s="1263"/>
      <c r="W54" s="890">
        <f t="shared" si="4"/>
        <v>1272143</v>
      </c>
      <c r="X54" s="1260">
        <f t="shared" si="8"/>
        <v>9592370</v>
      </c>
      <c r="Y54" s="1260"/>
      <c r="Z54" s="1260">
        <f>VLOOKUP(C54,'CNKT '!$D$102:$AA$165,24,0)</f>
        <v>9592370</v>
      </c>
      <c r="AA54" s="1215">
        <f t="shared" si="6"/>
        <v>0</v>
      </c>
    </row>
    <row r="55" spans="1:27" s="1215" customFormat="1" ht="42.75" customHeight="1">
      <c r="A55" s="1259">
        <v>39</v>
      </c>
      <c r="B55" s="1260" t="str">
        <f>'Chấm công KT'!C133</f>
        <v>03625</v>
      </c>
      <c r="C55" s="1260" t="str">
        <f>TONGHOPCONGDOI!C135</f>
        <v>N. Pheng</v>
      </c>
      <c r="D55" s="1260"/>
      <c r="E55" s="1261"/>
      <c r="F55" s="1260">
        <f t="shared" si="0"/>
        <v>0</v>
      </c>
      <c r="G55" s="1260">
        <f>VLOOKUP(C55,TONGHOPCONGDOI!C135:AD199,16,0)</f>
        <v>5219</v>
      </c>
      <c r="H55" s="1260">
        <f>VLOOKUP(C55,TONGHOPCONGDOI!C135:AD161,17,0)</f>
        <v>0</v>
      </c>
      <c r="I55" s="1260"/>
      <c r="J55" s="894">
        <f t="shared" si="7"/>
        <v>2257.5389493524867</v>
      </c>
      <c r="K55" s="1259" t="str">
        <f>VLOOKUP(C55,'BTH mủ tạp'!D137:AN198,37,0)</f>
        <v>A</v>
      </c>
      <c r="L55" s="889">
        <f t="shared" si="2"/>
        <v>9237028</v>
      </c>
      <c r="M55" s="1260">
        <f>VLOOKUP(C55,TONGHOPCONGDOI!$C$97:$AD$160,20,0)</f>
        <v>24</v>
      </c>
      <c r="N55" s="1260">
        <f>VLOOKUP(C55,TONGHOPCONGDOI!$C$97:$AD$160,21,0)</f>
        <v>4</v>
      </c>
      <c r="O55" s="1260">
        <f>VLOOKUP(C55,TONGHOPCONGDOI!$C$97:$AD$160,22,0)</f>
        <v>2</v>
      </c>
      <c r="P55" s="1260">
        <f>VLOOKUP(C55,TONGHOPCONGDOI!$C$97:$AD$160,23,0)</f>
        <v>0</v>
      </c>
      <c r="Q55" s="1260">
        <f>VLOOKUP(C55,TONGHOPCONGDOI!$C$97:$AD$160,24,0)</f>
        <v>0</v>
      </c>
      <c r="R55" s="1260">
        <f>VLOOKUP(C55,TONGHOPCONGDOI!$C$97:$AD$160,25,0)</f>
        <v>0</v>
      </c>
      <c r="S55" s="1260"/>
      <c r="T55" s="1262">
        <f t="shared" si="3"/>
        <v>2</v>
      </c>
      <c r="U55" s="1263"/>
      <c r="V55" s="1263"/>
      <c r="W55" s="890">
        <f t="shared" si="4"/>
        <v>1272143</v>
      </c>
      <c r="X55" s="1260">
        <f t="shared" si="8"/>
        <v>10509171</v>
      </c>
      <c r="Y55" s="1260"/>
      <c r="Z55" s="1260">
        <f>VLOOKUP(C55,'CNKT '!$D$102:$AA$165,24,0)</f>
        <v>10509171</v>
      </c>
      <c r="AA55" s="1215">
        <f t="shared" si="6"/>
        <v>0</v>
      </c>
    </row>
    <row r="56" spans="1:27" s="1215" customFormat="1" ht="42.75" customHeight="1">
      <c r="A56" s="1259">
        <v>40</v>
      </c>
      <c r="B56" s="1260" t="str">
        <f>'Chấm công KT'!C134</f>
        <v>03587</v>
      </c>
      <c r="C56" s="1260" t="str">
        <f>TONGHOPCONGDOI!C136</f>
        <v>N. Mom</v>
      </c>
      <c r="D56" s="1260"/>
      <c r="E56" s="1261"/>
      <c r="F56" s="1260">
        <f t="shared" si="0"/>
        <v>0</v>
      </c>
      <c r="G56" s="1260">
        <f>VLOOKUP(C56,TONGHOPCONGDOI!C136:AD200,16,0)</f>
        <v>4609</v>
      </c>
      <c r="H56" s="1260">
        <f>VLOOKUP(C56,TONGHOPCONGDOI!C136:AD161,17,0)</f>
        <v>0</v>
      </c>
      <c r="I56" s="1260"/>
      <c r="J56" s="894">
        <f t="shared" si="7"/>
        <v>1993.6763781501456</v>
      </c>
      <c r="K56" s="1259" t="str">
        <f>VLOOKUP(C56,'BTH mủ tạp'!D138:AN199,37,0)</f>
        <v>A</v>
      </c>
      <c r="L56" s="889">
        <f t="shared" si="2"/>
        <v>8157398</v>
      </c>
      <c r="M56" s="1260">
        <f>VLOOKUP(C56,TONGHOPCONGDOI!$C$97:$AD$160,20,0)</f>
        <v>24</v>
      </c>
      <c r="N56" s="1260">
        <f>VLOOKUP(C56,TONGHOPCONGDOI!$C$97:$AD$160,21,0)</f>
        <v>4</v>
      </c>
      <c r="O56" s="1260">
        <f>VLOOKUP(C56,TONGHOPCONGDOI!$C$97:$AD$160,22,0)</f>
        <v>2</v>
      </c>
      <c r="P56" s="1260">
        <f>VLOOKUP(C56,TONGHOPCONGDOI!$C$97:$AD$160,23,0)</f>
        <v>0</v>
      </c>
      <c r="Q56" s="1260">
        <f>VLOOKUP(C56,TONGHOPCONGDOI!$C$97:$AD$160,24,0)</f>
        <v>0</v>
      </c>
      <c r="R56" s="1260">
        <f>VLOOKUP(C56,TONGHOPCONGDOI!$C$97:$AD$160,25,0)</f>
        <v>0</v>
      </c>
      <c r="S56" s="1260"/>
      <c r="T56" s="1262">
        <f t="shared" si="3"/>
        <v>2</v>
      </c>
      <c r="U56" s="1263"/>
      <c r="V56" s="1263"/>
      <c r="W56" s="890">
        <f t="shared" si="4"/>
        <v>1272143</v>
      </c>
      <c r="X56" s="1260">
        <f t="shared" si="8"/>
        <v>9429541</v>
      </c>
      <c r="Y56" s="1260"/>
      <c r="Z56" s="1260">
        <f>VLOOKUP(C56,'CNKT '!$D$102:$AA$165,24,0)</f>
        <v>9429541</v>
      </c>
      <c r="AA56" s="1215">
        <f t="shared" si="6"/>
        <v>0</v>
      </c>
    </row>
    <row r="57" spans="1:27" s="1215" customFormat="1" ht="42.75" customHeight="1">
      <c r="A57" s="1259">
        <v>41</v>
      </c>
      <c r="B57" s="1260" t="str">
        <f>'Chấm công KT'!C135</f>
        <v>04079</v>
      </c>
      <c r="C57" s="1260" t="str">
        <f>TONGHOPCONGDOI!C137</f>
        <v>T. Môn</v>
      </c>
      <c r="D57" s="1260"/>
      <c r="E57" s="1261"/>
      <c r="F57" s="1260">
        <f t="shared" si="0"/>
        <v>0</v>
      </c>
      <c r="G57" s="1260">
        <f>VLOOKUP(C57,TONGHOPCONGDOI!C137:AD201,16,0)</f>
        <v>3579</v>
      </c>
      <c r="H57" s="1260">
        <f>VLOOKUP(C57,TONGHOPCONGDOI!C137:AD161,17,0)</f>
        <v>0</v>
      </c>
      <c r="I57" s="1260"/>
      <c r="J57" s="894">
        <f t="shared" si="7"/>
        <v>1548.1379382511111</v>
      </c>
      <c r="K57" s="1259" t="str">
        <f>VLOOKUP(C57,'BTH mủ tạp'!D139:AN200,37,0)</f>
        <v>B</v>
      </c>
      <c r="L57" s="889">
        <f t="shared" si="2"/>
        <v>6022888</v>
      </c>
      <c r="M57" s="1260">
        <f>VLOOKUP(C57,TONGHOPCONGDOI!$C$97:$AD$160,20,0)</f>
        <v>24</v>
      </c>
      <c r="N57" s="1260">
        <f>VLOOKUP(C57,TONGHOPCONGDOI!$C$97:$AD$160,21,0)</f>
        <v>4</v>
      </c>
      <c r="O57" s="1260">
        <f>VLOOKUP(C57,TONGHOPCONGDOI!$C$97:$AD$160,22,0)</f>
        <v>2</v>
      </c>
      <c r="P57" s="1260">
        <f>VLOOKUP(C57,TONGHOPCONGDOI!$C$97:$AD$160,23,0)</f>
        <v>0</v>
      </c>
      <c r="Q57" s="1260">
        <f>VLOOKUP(C57,TONGHOPCONGDOI!$C$97:$AD$160,24,0)</f>
        <v>0</v>
      </c>
      <c r="R57" s="1260">
        <f>VLOOKUP(C57,TONGHOPCONGDOI!$C$97:$AD$160,25,0)</f>
        <v>0</v>
      </c>
      <c r="S57" s="1260"/>
      <c r="T57" s="1262">
        <f t="shared" si="3"/>
        <v>2</v>
      </c>
      <c r="U57" s="1263"/>
      <c r="V57" s="1263"/>
      <c r="W57" s="890">
        <f t="shared" si="4"/>
        <v>1272143</v>
      </c>
      <c r="X57" s="1260">
        <f t="shared" si="8"/>
        <v>7295031</v>
      </c>
      <c r="Y57" s="1260"/>
      <c r="Z57" s="1260">
        <f>VLOOKUP(C57,'CNKT '!$D$102:$AA$165,24,0)</f>
        <v>7295031</v>
      </c>
      <c r="AA57" s="1215">
        <f t="shared" si="6"/>
        <v>0</v>
      </c>
    </row>
    <row r="58" spans="1:27" s="1215" customFormat="1" ht="42.75" customHeight="1">
      <c r="A58" s="1259">
        <v>42</v>
      </c>
      <c r="B58" s="1260" t="str">
        <f>'Chấm công KT'!C136</f>
        <v>03628</v>
      </c>
      <c r="C58" s="1260" t="str">
        <f>TONGHOPCONGDOI!C138</f>
        <v>Khăn Hạ</v>
      </c>
      <c r="D58" s="1260"/>
      <c r="E58" s="1261"/>
      <c r="F58" s="1260">
        <f t="shared" si="0"/>
        <v>0</v>
      </c>
      <c r="G58" s="1260">
        <f>VLOOKUP(C58,TONGHOPCONGDOI!C138:AD202,16,0)</f>
        <v>3414</v>
      </c>
      <c r="H58" s="1260">
        <f>VLOOKUP(C58,TONGHOPCONGDOI!C138:AD161,17,0)</f>
        <v>0</v>
      </c>
      <c r="I58" s="1260"/>
      <c r="J58" s="894">
        <f t="shared" si="7"/>
        <v>1476.7652755488386</v>
      </c>
      <c r="K58" s="1259" t="str">
        <f>VLOOKUP(C58,'BTH mủ tạp'!D140:AN201,37,0)</f>
        <v>B</v>
      </c>
      <c r="L58" s="889">
        <f t="shared" si="2"/>
        <v>5745219</v>
      </c>
      <c r="M58" s="1260">
        <f>VLOOKUP(C58,TONGHOPCONGDOI!$C$97:$AD$160,20,0)</f>
        <v>22</v>
      </c>
      <c r="N58" s="1260">
        <f>VLOOKUP(C58,TONGHOPCONGDOI!$C$97:$AD$160,21,0)</f>
        <v>3</v>
      </c>
      <c r="O58" s="1260">
        <f>VLOOKUP(C58,TONGHOPCONGDOI!$C$97:$AD$160,22,0)</f>
        <v>2</v>
      </c>
      <c r="P58" s="1260">
        <f>VLOOKUP(C58,TONGHOPCONGDOI!$C$97:$AD$160,23,0)</f>
        <v>0</v>
      </c>
      <c r="Q58" s="1260">
        <f>VLOOKUP(C58,TONGHOPCONGDOI!$C$97:$AD$160,24,0)</f>
        <v>0</v>
      </c>
      <c r="R58" s="1260">
        <f>VLOOKUP(C58,TONGHOPCONGDOI!$C$97:$AD$160,25,0)</f>
        <v>0</v>
      </c>
      <c r="S58" s="1260"/>
      <c r="T58" s="1262">
        <f t="shared" si="3"/>
        <v>2</v>
      </c>
      <c r="U58" s="1263"/>
      <c r="V58" s="1263"/>
      <c r="W58" s="890">
        <f t="shared" si="4"/>
        <v>1158717</v>
      </c>
      <c r="X58" s="1260">
        <f t="shared" si="8"/>
        <v>6903936</v>
      </c>
      <c r="Y58" s="1260"/>
      <c r="Z58" s="1260">
        <f>VLOOKUP(C58,'CNKT '!$D$102:$AA$165,24,0)</f>
        <v>6903936</v>
      </c>
      <c r="AA58" s="1215">
        <f t="shared" si="6"/>
        <v>0</v>
      </c>
    </row>
    <row r="59" spans="1:27" s="1215" customFormat="1" ht="42.75" customHeight="1">
      <c r="A59" s="1259">
        <v>43</v>
      </c>
      <c r="B59" s="1260" t="str">
        <f>'Chấm công KT'!C137</f>
        <v>03629</v>
      </c>
      <c r="C59" s="1260" t="str">
        <f>TONGHOPCONGDOI!C139</f>
        <v>T. Chăn La .</v>
      </c>
      <c r="D59" s="1260"/>
      <c r="E59" s="1261"/>
      <c r="F59" s="1260">
        <f t="shared" si="0"/>
        <v>0</v>
      </c>
      <c r="G59" s="1260">
        <f>VLOOKUP(C59,TONGHOPCONGDOI!C139:AD203,16,0)</f>
        <v>3661</v>
      </c>
      <c r="H59" s="1260">
        <f>VLOOKUP(C59,TONGHOPCONGDOI!C139:AD161,17,0)</f>
        <v>0</v>
      </c>
      <c r="I59" s="1260"/>
      <c r="J59" s="894">
        <f t="shared" si="7"/>
        <v>1583.6079888061799</v>
      </c>
      <c r="K59" s="1259" t="str">
        <f>VLOOKUP(C59,'BTH mủ tạp'!D141:AN202,37,0)</f>
        <v>A</v>
      </c>
      <c r="L59" s="889">
        <f t="shared" si="2"/>
        <v>6479547</v>
      </c>
      <c r="M59" s="1260">
        <f>VLOOKUP(C59,TONGHOPCONGDOI!$C$97:$AD$160,20,0)</f>
        <v>24</v>
      </c>
      <c r="N59" s="1260">
        <f>VLOOKUP(C59,TONGHOPCONGDOI!$C$97:$AD$160,21,0)</f>
        <v>4</v>
      </c>
      <c r="O59" s="1260">
        <f>VLOOKUP(C59,TONGHOPCONGDOI!$C$97:$AD$160,22,0)</f>
        <v>2</v>
      </c>
      <c r="P59" s="1260">
        <f>VLOOKUP(C59,TONGHOPCONGDOI!$C$97:$AD$160,23,0)</f>
        <v>0</v>
      </c>
      <c r="Q59" s="1260">
        <f>VLOOKUP(C59,TONGHOPCONGDOI!$C$97:$AD$160,24,0)</f>
        <v>0</v>
      </c>
      <c r="R59" s="1260">
        <f>VLOOKUP(C59,TONGHOPCONGDOI!$C$97:$AD$160,25,0)</f>
        <v>0</v>
      </c>
      <c r="S59" s="1260"/>
      <c r="T59" s="1262">
        <f t="shared" si="3"/>
        <v>2</v>
      </c>
      <c r="U59" s="1263"/>
      <c r="V59" s="1263"/>
      <c r="W59" s="890">
        <f t="shared" si="4"/>
        <v>1272143</v>
      </c>
      <c r="X59" s="1260">
        <f t="shared" si="8"/>
        <v>7751690</v>
      </c>
      <c r="Y59" s="1260"/>
      <c r="Z59" s="1260">
        <f>VLOOKUP(C59,'CNKT '!$D$102:$AA$165,24,0)</f>
        <v>7751690</v>
      </c>
      <c r="AA59" s="1215">
        <f t="shared" si="6"/>
        <v>0</v>
      </c>
    </row>
    <row r="60" spans="1:27" s="1215" customFormat="1" ht="42.75" customHeight="1">
      <c r="A60" s="1259">
        <v>44</v>
      </c>
      <c r="B60" s="1260" t="str">
        <f>'Chấm công KT'!C138</f>
        <v>03630</v>
      </c>
      <c r="C60" s="1260" t="str">
        <f>TONGHOPCONGDOI!C140</f>
        <v>T. Nú</v>
      </c>
      <c r="D60" s="1260"/>
      <c r="E60" s="1261"/>
      <c r="F60" s="1260">
        <f t="shared" si="0"/>
        <v>0</v>
      </c>
      <c r="G60" s="1260">
        <f>VLOOKUP(C60,TONGHOPCONGDOI!C140:AD204,16,0)</f>
        <v>3370</v>
      </c>
      <c r="H60" s="1260">
        <f>VLOOKUP(C60,TONGHOPCONGDOI!C140:AD161,17,0)</f>
        <v>0</v>
      </c>
      <c r="I60" s="1260"/>
      <c r="J60" s="894">
        <f t="shared" si="7"/>
        <v>1457.7325654948993</v>
      </c>
      <c r="K60" s="1259" t="str">
        <f>VLOOKUP(C60,'BTH mủ tạp'!D142:AN203,37,0)</f>
        <v>B</v>
      </c>
      <c r="L60" s="889">
        <f t="shared" si="2"/>
        <v>5671174</v>
      </c>
      <c r="M60" s="1260">
        <f>VLOOKUP(C60,TONGHOPCONGDOI!$C$97:$AD$160,20,0)</f>
        <v>22</v>
      </c>
      <c r="N60" s="1260">
        <f>VLOOKUP(C60,TONGHOPCONGDOI!$C$97:$AD$160,21,0)</f>
        <v>3</v>
      </c>
      <c r="O60" s="1260">
        <f>VLOOKUP(C60,TONGHOPCONGDOI!$C$97:$AD$160,22,0)</f>
        <v>2</v>
      </c>
      <c r="P60" s="1260">
        <f>VLOOKUP(C60,TONGHOPCONGDOI!$C$97:$AD$160,23,0)</f>
        <v>0</v>
      </c>
      <c r="Q60" s="1260">
        <f>VLOOKUP(C60,TONGHOPCONGDOI!$C$97:$AD$160,24,0)</f>
        <v>0</v>
      </c>
      <c r="R60" s="1260">
        <f>VLOOKUP(C60,TONGHOPCONGDOI!$C$97:$AD$160,25,0)</f>
        <v>0</v>
      </c>
      <c r="S60" s="1260"/>
      <c r="T60" s="1262">
        <f t="shared" si="3"/>
        <v>2</v>
      </c>
      <c r="U60" s="1263"/>
      <c r="V60" s="1263"/>
      <c r="W60" s="890">
        <f t="shared" si="4"/>
        <v>1158717</v>
      </c>
      <c r="X60" s="1260">
        <f t="shared" si="8"/>
        <v>6829891</v>
      </c>
      <c r="Y60" s="1260"/>
      <c r="Z60" s="1260">
        <f>VLOOKUP(C60,'CNKT '!$D$102:$AA$165,24,0)</f>
        <v>6829891</v>
      </c>
      <c r="AA60" s="1215">
        <f t="shared" si="6"/>
        <v>0</v>
      </c>
    </row>
    <row r="61" spans="1:27" s="1215" customFormat="1" ht="42.75" customHeight="1">
      <c r="A61" s="1259">
        <v>45</v>
      </c>
      <c r="B61" s="1260" t="str">
        <f>'Chấm công KT'!C139</f>
        <v>03631</v>
      </c>
      <c r="C61" s="1260" t="str">
        <f>TONGHOPCONGDOI!C141</f>
        <v>T. Xan Nha</v>
      </c>
      <c r="D61" s="1260"/>
      <c r="E61" s="1261"/>
      <c r="F61" s="1260">
        <f t="shared" si="0"/>
        <v>0</v>
      </c>
      <c r="G61" s="1260">
        <f>VLOOKUP(C61,TONGHOPCONGDOI!C141:AD205,16,0)</f>
        <v>3493</v>
      </c>
      <c r="H61" s="1260">
        <f>VLOOKUP(C61,TONGHOPCONGDOI!C141:AD161,17,0)</f>
        <v>0</v>
      </c>
      <c r="I61" s="1260"/>
      <c r="J61" s="894">
        <f t="shared" si="7"/>
        <v>1510.9376413275024</v>
      </c>
      <c r="K61" s="1259" t="str">
        <f>VLOOKUP(C61,'BTH mủ tạp'!D143:AN204,37,0)</f>
        <v>B</v>
      </c>
      <c r="L61" s="889">
        <f t="shared" si="2"/>
        <v>5878164</v>
      </c>
      <c r="M61" s="1260">
        <f>VLOOKUP(C61,TONGHOPCONGDOI!$C$97:$AD$160,20,0)</f>
        <v>24</v>
      </c>
      <c r="N61" s="1260">
        <f>VLOOKUP(C61,TONGHOPCONGDOI!$C$97:$AD$160,21,0)</f>
        <v>4</v>
      </c>
      <c r="O61" s="1260">
        <f>VLOOKUP(C61,TONGHOPCONGDOI!$C$97:$AD$160,22,0)</f>
        <v>2</v>
      </c>
      <c r="P61" s="1260">
        <f>VLOOKUP(C61,TONGHOPCONGDOI!$C$97:$AD$160,23,0)</f>
        <v>0</v>
      </c>
      <c r="Q61" s="1260">
        <f>VLOOKUP(C61,TONGHOPCONGDOI!$C$97:$AD$160,24,0)</f>
        <v>0</v>
      </c>
      <c r="R61" s="1260">
        <f>VLOOKUP(C61,TONGHOPCONGDOI!$C$97:$AD$160,25,0)</f>
        <v>0</v>
      </c>
      <c r="S61" s="1260"/>
      <c r="T61" s="1262">
        <f t="shared" si="3"/>
        <v>2</v>
      </c>
      <c r="U61" s="1263"/>
      <c r="V61" s="1263"/>
      <c r="W61" s="890">
        <f t="shared" si="4"/>
        <v>1272143</v>
      </c>
      <c r="X61" s="1260">
        <f t="shared" si="8"/>
        <v>7150307</v>
      </c>
      <c r="Y61" s="1260"/>
      <c r="Z61" s="1260">
        <f>VLOOKUP(C61,'CNKT '!$D$102:$AA$165,24,0)</f>
        <v>7150307</v>
      </c>
      <c r="AA61" s="1215">
        <f t="shared" si="6"/>
        <v>0</v>
      </c>
    </row>
    <row r="62" spans="1:27" s="1215" customFormat="1" ht="42.75" customHeight="1">
      <c r="A62" s="1259">
        <v>46</v>
      </c>
      <c r="B62" s="1260" t="str">
        <f>'Chấm công KT'!C140</f>
        <v>03632</v>
      </c>
      <c r="C62" s="1260" t="str">
        <f>TONGHOPCONGDOI!C142</f>
        <v>T. A lem</v>
      </c>
      <c r="D62" s="1260"/>
      <c r="E62" s="1261"/>
      <c r="F62" s="1260">
        <f t="shared" si="0"/>
        <v>0</v>
      </c>
      <c r="G62" s="1260">
        <f>VLOOKUP(C62,TONGHOPCONGDOI!C142:AD206,16,0)</f>
        <v>5684</v>
      </c>
      <c r="H62" s="1260">
        <f>VLOOKUP(C62,TONGHOPCONGDOI!C142:AD161,17,0)</f>
        <v>0</v>
      </c>
      <c r="I62" s="1260"/>
      <c r="J62" s="894">
        <f t="shared" si="7"/>
        <v>2458.6800896952545</v>
      </c>
      <c r="K62" s="1259" t="str">
        <f>VLOOKUP(C62,'BTH mủ tạp'!D144:AN205,37,0)</f>
        <v>A</v>
      </c>
      <c r="L62" s="889">
        <f t="shared" si="2"/>
        <v>10060024</v>
      </c>
      <c r="M62" s="1260">
        <f>VLOOKUP(C62,TONGHOPCONGDOI!$C$97:$AD$160,20,0)</f>
        <v>24</v>
      </c>
      <c r="N62" s="1260">
        <f>VLOOKUP(C62,TONGHOPCONGDOI!$C$97:$AD$160,21,0)</f>
        <v>4</v>
      </c>
      <c r="O62" s="1260">
        <f>VLOOKUP(C62,TONGHOPCONGDOI!$C$97:$AD$160,22,0)</f>
        <v>2</v>
      </c>
      <c r="P62" s="1260">
        <f>VLOOKUP(C62,TONGHOPCONGDOI!$C$97:$AD$160,23,0)</f>
        <v>0</v>
      </c>
      <c r="Q62" s="1260">
        <f>VLOOKUP(C62,TONGHOPCONGDOI!$C$97:$AD$160,24,0)</f>
        <v>0</v>
      </c>
      <c r="R62" s="1260">
        <f>VLOOKUP(C62,TONGHOPCONGDOI!$C$97:$AD$160,25,0)</f>
        <v>0</v>
      </c>
      <c r="S62" s="1260"/>
      <c r="T62" s="1262">
        <f t="shared" si="3"/>
        <v>2</v>
      </c>
      <c r="U62" s="1263"/>
      <c r="V62" s="1263"/>
      <c r="W62" s="890">
        <f t="shared" si="4"/>
        <v>1272143</v>
      </c>
      <c r="X62" s="1260">
        <f t="shared" si="8"/>
        <v>11332167</v>
      </c>
      <c r="Y62" s="1260"/>
      <c r="Z62" s="1260">
        <f>VLOOKUP(C62,'CNKT '!$D$102:$AA$165,24,0)</f>
        <v>11332167</v>
      </c>
      <c r="AA62" s="1215">
        <f t="shared" si="6"/>
        <v>0</v>
      </c>
    </row>
    <row r="63" spans="1:27" s="1215" customFormat="1" ht="42.75" customHeight="1">
      <c r="A63" s="1259">
        <v>47</v>
      </c>
      <c r="B63" s="1260" t="str">
        <f>'Chấm công KT'!C141</f>
        <v>04080</v>
      </c>
      <c r="C63" s="1260" t="str">
        <f>TONGHOPCONGDOI!C143</f>
        <v>T. Phan</v>
      </c>
      <c r="D63" s="1260"/>
      <c r="E63" s="1261"/>
      <c r="F63" s="1260">
        <f t="shared" si="0"/>
        <v>0</v>
      </c>
      <c r="G63" s="1260">
        <f>VLOOKUP(C63,TONGHOPCONGDOI!C143:AD207,16,0)</f>
        <v>4333</v>
      </c>
      <c r="H63" s="1260">
        <f>VLOOKUP(C63,TONGHOPCONGDOI!C143:AD161,17,0)</f>
        <v>0</v>
      </c>
      <c r="I63" s="1260"/>
      <c r="J63" s="894">
        <f t="shared" si="7"/>
        <v>1874.2893787208898</v>
      </c>
      <c r="K63" s="1259" t="str">
        <f>VLOOKUP(C63,'BTH mủ tạp'!D145:AN206,37,0)</f>
        <v>A</v>
      </c>
      <c r="L63" s="889">
        <f t="shared" si="2"/>
        <v>7668910</v>
      </c>
      <c r="M63" s="1260">
        <f>VLOOKUP(C63,TONGHOPCONGDOI!$C$97:$AD$160,20,0)</f>
        <v>24</v>
      </c>
      <c r="N63" s="1260">
        <f>VLOOKUP(C63,TONGHOPCONGDOI!$C$97:$AD$160,21,0)</f>
        <v>4</v>
      </c>
      <c r="O63" s="1260">
        <f>VLOOKUP(C63,TONGHOPCONGDOI!$C$97:$AD$160,22,0)</f>
        <v>2</v>
      </c>
      <c r="P63" s="1260">
        <f>VLOOKUP(C63,TONGHOPCONGDOI!$C$97:$AD$160,23,0)</f>
        <v>0</v>
      </c>
      <c r="Q63" s="1260">
        <f>VLOOKUP(C63,TONGHOPCONGDOI!$C$97:$AD$160,24,0)</f>
        <v>0</v>
      </c>
      <c r="R63" s="1260">
        <f>VLOOKUP(C63,TONGHOPCONGDOI!$C$97:$AD$160,25,0)</f>
        <v>0</v>
      </c>
      <c r="S63" s="1260"/>
      <c r="T63" s="1262">
        <f t="shared" si="3"/>
        <v>2</v>
      </c>
      <c r="U63" s="1263"/>
      <c r="V63" s="1263"/>
      <c r="W63" s="890">
        <f t="shared" si="4"/>
        <v>1272143</v>
      </c>
      <c r="X63" s="1260">
        <f t="shared" si="8"/>
        <v>8941053</v>
      </c>
      <c r="Y63" s="1260"/>
      <c r="Z63" s="1260">
        <f>VLOOKUP(C63,'CNKT '!$D$102:$AA$165,24,0)</f>
        <v>8941053</v>
      </c>
      <c r="AA63" s="1215">
        <f t="shared" si="6"/>
        <v>0</v>
      </c>
    </row>
    <row r="64" spans="1:27" s="1215" customFormat="1" ht="42.75" customHeight="1">
      <c r="A64" s="1259">
        <v>48</v>
      </c>
      <c r="B64" s="1260" t="str">
        <f>'Chấm công KT'!C142</f>
        <v>03634</v>
      </c>
      <c r="C64" s="1260" t="str">
        <f>TONGHOPCONGDOI!C144</f>
        <v>T . Cổ</v>
      </c>
      <c r="D64" s="1260"/>
      <c r="E64" s="1261"/>
      <c r="F64" s="1260">
        <f t="shared" si="0"/>
        <v>0</v>
      </c>
      <c r="G64" s="1260">
        <f>VLOOKUP(C64,TONGHOPCONGDOI!C144:AD208,16,0)</f>
        <v>6313</v>
      </c>
      <c r="H64" s="1260">
        <f>VLOOKUP(C64,TONGHOPCONGDOI!C144:AD161,17,0)</f>
        <v>0</v>
      </c>
      <c r="I64" s="1260"/>
      <c r="J64" s="894">
        <f t="shared" si="7"/>
        <v>2730.76133114816</v>
      </c>
      <c r="K64" s="1259" t="str">
        <f>VLOOKUP(C64,'BTH mủ tạp'!D146:AN207,37,0)</f>
        <v>B</v>
      </c>
      <c r="L64" s="889">
        <f t="shared" si="2"/>
        <v>10623776</v>
      </c>
      <c r="M64" s="1260">
        <f>VLOOKUP(C64,TONGHOPCONGDOI!$C$97:$AD$160,20,0)</f>
        <v>23</v>
      </c>
      <c r="N64" s="1260">
        <f>VLOOKUP(C64,TONGHOPCONGDOI!$C$97:$AD$160,21,0)</f>
        <v>4</v>
      </c>
      <c r="O64" s="1260">
        <f>VLOOKUP(C64,TONGHOPCONGDOI!$C$97:$AD$160,22,0)</f>
        <v>2</v>
      </c>
      <c r="P64" s="1260">
        <f>VLOOKUP(C64,TONGHOPCONGDOI!$C$97:$AD$160,23,0)</f>
        <v>0</v>
      </c>
      <c r="Q64" s="1260">
        <f>VLOOKUP(C64,TONGHOPCONGDOI!$C$97:$AD$160,24,0)</f>
        <v>0</v>
      </c>
      <c r="R64" s="1260">
        <f>VLOOKUP(C64,TONGHOPCONGDOI!$C$97:$AD$160,25,0)</f>
        <v>0</v>
      </c>
      <c r="S64" s="1260"/>
      <c r="T64" s="1262">
        <f t="shared" si="3"/>
        <v>2</v>
      </c>
      <c r="U64" s="1263"/>
      <c r="V64" s="1263"/>
      <c r="W64" s="890">
        <f t="shared" si="4"/>
        <v>1241221</v>
      </c>
      <c r="X64" s="1260">
        <f t="shared" si="8"/>
        <v>11864997</v>
      </c>
      <c r="Y64" s="1260"/>
      <c r="Z64" s="1260">
        <f>VLOOKUP(C64,'CNKT '!$D$102:$AA$165,24,0)</f>
        <v>11864997</v>
      </c>
      <c r="AA64" s="1215">
        <f t="shared" si="6"/>
        <v>0</v>
      </c>
    </row>
    <row r="65" spans="1:27" s="1215" customFormat="1" ht="42.75" customHeight="1">
      <c r="A65" s="1259">
        <v>49</v>
      </c>
      <c r="B65" s="1260" t="str">
        <f>'Chấm công KT'!C143</f>
        <v>03635</v>
      </c>
      <c r="C65" s="1260" t="str">
        <f>TONGHOPCONGDOI!C145</f>
        <v>N. Phim Pha</v>
      </c>
      <c r="D65" s="1260"/>
      <c r="E65" s="1261"/>
      <c r="F65" s="1260">
        <f t="shared" si="0"/>
        <v>0</v>
      </c>
      <c r="G65" s="1260">
        <f>VLOOKUP(C65,TONGHOPCONGDOI!C145:AD209,16,0)</f>
        <v>3924</v>
      </c>
      <c r="H65" s="1260">
        <f>VLOOKUP(C65,TONGHOPCONGDOI!C145:AD161,17,0)</f>
        <v>0</v>
      </c>
      <c r="I65" s="1260"/>
      <c r="J65" s="894">
        <f t="shared" si="7"/>
        <v>1697.3716875376811</v>
      </c>
      <c r="K65" s="1259" t="str">
        <f>VLOOKUP(C65,'BTH mủ tạp'!D147:AN208,37,0)</f>
        <v>B</v>
      </c>
      <c r="L65" s="889">
        <f t="shared" si="2"/>
        <v>6603468</v>
      </c>
      <c r="M65" s="1260">
        <f>VLOOKUP(C65,TONGHOPCONGDOI!$C$97:$AD$160,20,0)</f>
        <v>21</v>
      </c>
      <c r="N65" s="1260">
        <f>VLOOKUP(C65,TONGHOPCONGDOI!$C$97:$AD$160,21,0)</f>
        <v>3</v>
      </c>
      <c r="O65" s="1260">
        <f>VLOOKUP(C65,TONGHOPCONGDOI!$C$97:$AD$160,22,0)</f>
        <v>2</v>
      </c>
      <c r="P65" s="1260">
        <f>VLOOKUP(C65,TONGHOPCONGDOI!$C$97:$AD$160,23,0)</f>
        <v>0</v>
      </c>
      <c r="Q65" s="1260">
        <f>VLOOKUP(C65,TONGHOPCONGDOI!$C$97:$AD$160,24,0)</f>
        <v>0</v>
      </c>
      <c r="R65" s="1260">
        <f>VLOOKUP(C65,TONGHOPCONGDOI!$C$97:$AD$160,25,0)</f>
        <v>0</v>
      </c>
      <c r="S65" s="1260"/>
      <c r="T65" s="1262">
        <f t="shared" si="3"/>
        <v>2</v>
      </c>
      <c r="U65" s="1263"/>
      <c r="V65" s="1263"/>
      <c r="W65" s="890">
        <f t="shared" si="4"/>
        <v>1127795</v>
      </c>
      <c r="X65" s="1260">
        <f t="shared" si="8"/>
        <v>7731263</v>
      </c>
      <c r="Y65" s="1260"/>
      <c r="Z65" s="1260">
        <f>VLOOKUP(C65,'CNKT '!$D$102:$AA$165,24,0)</f>
        <v>7731263</v>
      </c>
      <c r="AA65" s="1215">
        <f t="shared" si="6"/>
        <v>0</v>
      </c>
    </row>
    <row r="66" spans="1:27" s="1215" customFormat="1" ht="42.75" customHeight="1">
      <c r="A66" s="1259">
        <v>50</v>
      </c>
      <c r="B66" s="1260" t="str">
        <f>'Chấm công KT'!C144</f>
        <v>03636</v>
      </c>
      <c r="C66" s="1260" t="str">
        <f>TONGHOPCONGDOI!C146</f>
        <v xml:space="preserve">T. Xeng </v>
      </c>
      <c r="D66" s="1260"/>
      <c r="E66" s="1261"/>
      <c r="F66" s="1260">
        <f t="shared" si="0"/>
        <v>0</v>
      </c>
      <c r="G66" s="1260">
        <f>VLOOKUP(C66,TONGHOPCONGDOI!C146:AD210,16,0)</f>
        <v>4460</v>
      </c>
      <c r="H66" s="1260">
        <f>VLOOKUP(C66,TONGHOPCONGDOI!C146:AD161,17,0)</f>
        <v>0</v>
      </c>
      <c r="I66" s="1260"/>
      <c r="J66" s="894">
        <f t="shared" si="7"/>
        <v>1929.224700922033</v>
      </c>
      <c r="K66" s="1259" t="str">
        <f>VLOOKUP(C66,'BTH mủ tạp'!D148:AN209,37,0)</f>
        <v>B</v>
      </c>
      <c r="L66" s="889">
        <f t="shared" si="2"/>
        <v>7505471</v>
      </c>
      <c r="M66" s="1260">
        <f>VLOOKUP(C66,TONGHOPCONGDOI!$C$97:$AD$160,20,0)</f>
        <v>24</v>
      </c>
      <c r="N66" s="1260">
        <f>VLOOKUP(C66,TONGHOPCONGDOI!$C$97:$AD$160,21,0)</f>
        <v>4</v>
      </c>
      <c r="O66" s="1260">
        <f>VLOOKUP(C66,TONGHOPCONGDOI!$C$97:$AD$160,22,0)</f>
        <v>2</v>
      </c>
      <c r="P66" s="1260">
        <f>VLOOKUP(C66,TONGHOPCONGDOI!$C$97:$AD$160,23,0)</f>
        <v>0</v>
      </c>
      <c r="Q66" s="1260">
        <f>VLOOKUP(C66,TONGHOPCONGDOI!$C$97:$AD$160,24,0)</f>
        <v>0</v>
      </c>
      <c r="R66" s="1260">
        <f>VLOOKUP(C66,TONGHOPCONGDOI!$C$97:$AD$160,25,0)</f>
        <v>0</v>
      </c>
      <c r="S66" s="1260"/>
      <c r="T66" s="1262">
        <f t="shared" si="3"/>
        <v>2</v>
      </c>
      <c r="U66" s="1263"/>
      <c r="V66" s="1263"/>
      <c r="W66" s="890">
        <f t="shared" si="4"/>
        <v>1272143</v>
      </c>
      <c r="X66" s="1260">
        <f t="shared" si="8"/>
        <v>8777614</v>
      </c>
      <c r="Y66" s="1260"/>
      <c r="Z66" s="1260">
        <f>VLOOKUP(C66,'CNKT '!$D$102:$AA$165,24,0)</f>
        <v>8777614</v>
      </c>
      <c r="AA66" s="1215">
        <f t="shared" si="6"/>
        <v>0</v>
      </c>
    </row>
    <row r="67" spans="1:27" s="1215" customFormat="1" ht="42.75" customHeight="1">
      <c r="A67" s="1259">
        <v>51</v>
      </c>
      <c r="B67" s="1260" t="str">
        <f>'Chấm công KT'!C145</f>
        <v>03637</v>
      </c>
      <c r="C67" s="1260" t="str">
        <f>TONGHOPCONGDOI!C147</f>
        <v>T. Vạt</v>
      </c>
      <c r="D67" s="1260"/>
      <c r="E67" s="1261"/>
      <c r="F67" s="1260">
        <f t="shared" si="0"/>
        <v>0</v>
      </c>
      <c r="G67" s="1260">
        <f>VLOOKUP(C67,TONGHOPCONGDOI!C147:AD211,16,0)</f>
        <v>4547</v>
      </c>
      <c r="H67" s="1260">
        <f>VLOOKUP(C67,TONGHOPCONGDOI!C147:AD161,17,0)</f>
        <v>0</v>
      </c>
      <c r="I67" s="1260"/>
      <c r="J67" s="894">
        <f t="shared" si="7"/>
        <v>1966.8575594377767</v>
      </c>
      <c r="K67" s="1259" t="str">
        <f>VLOOKUP(C67,'BTH mủ tạp'!D149:AN210,37,0)</f>
        <v>B</v>
      </c>
      <c r="L67" s="889">
        <f t="shared" si="2"/>
        <v>7651878</v>
      </c>
      <c r="M67" s="1260">
        <f>VLOOKUP(C67,TONGHOPCONGDOI!$C$97:$AD$160,20,0)</f>
        <v>24</v>
      </c>
      <c r="N67" s="1260">
        <f>VLOOKUP(C67,TONGHOPCONGDOI!$C$97:$AD$160,21,0)</f>
        <v>4</v>
      </c>
      <c r="O67" s="1260">
        <f>VLOOKUP(C67,TONGHOPCONGDOI!$C$97:$AD$160,22,0)</f>
        <v>2</v>
      </c>
      <c r="P67" s="1260">
        <f>VLOOKUP(C67,TONGHOPCONGDOI!$C$97:$AD$160,23,0)</f>
        <v>0</v>
      </c>
      <c r="Q67" s="1260">
        <f>VLOOKUP(C67,TONGHOPCONGDOI!$C$97:$AD$160,24,0)</f>
        <v>0</v>
      </c>
      <c r="R67" s="1260">
        <f>VLOOKUP(C67,TONGHOPCONGDOI!$C$97:$AD$160,25,0)</f>
        <v>0</v>
      </c>
      <c r="S67" s="1260"/>
      <c r="T67" s="1262">
        <f t="shared" si="3"/>
        <v>2</v>
      </c>
      <c r="U67" s="1263"/>
      <c r="V67" s="1263"/>
      <c r="W67" s="890">
        <f t="shared" si="4"/>
        <v>1272143</v>
      </c>
      <c r="X67" s="1260">
        <f t="shared" si="8"/>
        <v>8924021</v>
      </c>
      <c r="Y67" s="1260"/>
      <c r="Z67" s="1260">
        <f>VLOOKUP(C67,'CNKT '!$D$102:$AA$165,24,0)</f>
        <v>8924021</v>
      </c>
      <c r="AA67" s="1215">
        <f t="shared" si="6"/>
        <v>0</v>
      </c>
    </row>
    <row r="68" spans="1:27" s="1215" customFormat="1" ht="42.75" customHeight="1">
      <c r="A68" s="1259">
        <v>52</v>
      </c>
      <c r="B68" s="1260" t="str">
        <f>'Chấm công KT'!C146</f>
        <v>03638</v>
      </c>
      <c r="C68" s="1260" t="str">
        <f>TONGHOPCONGDOI!C148</f>
        <v>T. Lay</v>
      </c>
      <c r="D68" s="1260"/>
      <c r="E68" s="1261"/>
      <c r="F68" s="1260">
        <f t="shared" si="0"/>
        <v>0</v>
      </c>
      <c r="G68" s="1260">
        <f>VLOOKUP(C68,TONGHOPCONGDOI!C148:AD212,16,0)</f>
        <v>4087</v>
      </c>
      <c r="H68" s="1260">
        <f>VLOOKUP(C68,TONGHOPCONGDOI!C148:AD161,17,0)</f>
        <v>0</v>
      </c>
      <c r="I68" s="1260"/>
      <c r="J68" s="894">
        <f t="shared" si="7"/>
        <v>1767.8792270556835</v>
      </c>
      <c r="K68" s="1259" t="str">
        <f>VLOOKUP(C68,'BTH mủ tạp'!D150:AN211,37,0)</f>
        <v>A</v>
      </c>
      <c r="L68" s="889">
        <f t="shared" si="2"/>
        <v>7233518</v>
      </c>
      <c r="M68" s="1260">
        <f>VLOOKUP(C68,TONGHOPCONGDOI!$C$97:$AD$160,20,0)</f>
        <v>24</v>
      </c>
      <c r="N68" s="1260">
        <f>VLOOKUP(C68,TONGHOPCONGDOI!$C$97:$AD$160,21,0)</f>
        <v>4</v>
      </c>
      <c r="O68" s="1260">
        <f>VLOOKUP(C68,TONGHOPCONGDOI!$C$97:$AD$160,22,0)</f>
        <v>2</v>
      </c>
      <c r="P68" s="1260">
        <f>VLOOKUP(C68,TONGHOPCONGDOI!$C$97:$AD$160,23,0)</f>
        <v>0</v>
      </c>
      <c r="Q68" s="1260">
        <f>VLOOKUP(C68,TONGHOPCONGDOI!$C$97:$AD$160,24,0)</f>
        <v>0</v>
      </c>
      <c r="R68" s="1260">
        <f>VLOOKUP(C68,TONGHOPCONGDOI!$C$97:$AD$160,25,0)</f>
        <v>0</v>
      </c>
      <c r="S68" s="1260"/>
      <c r="T68" s="1262">
        <f t="shared" si="3"/>
        <v>2</v>
      </c>
      <c r="U68" s="1263"/>
      <c r="V68" s="1263"/>
      <c r="W68" s="890">
        <f t="shared" si="4"/>
        <v>1272143</v>
      </c>
      <c r="X68" s="1260">
        <f t="shared" si="8"/>
        <v>8505661</v>
      </c>
      <c r="Y68" s="1260"/>
      <c r="Z68" s="1260">
        <f>VLOOKUP(C68,'CNKT '!$D$102:$AA$165,24,0)</f>
        <v>8505661</v>
      </c>
      <c r="AA68" s="1215">
        <f t="shared" si="6"/>
        <v>0</v>
      </c>
    </row>
    <row r="69" spans="1:27" s="1215" customFormat="1" ht="42.75" customHeight="1">
      <c r="A69" s="1259">
        <v>53</v>
      </c>
      <c r="B69" s="1260" t="str">
        <f>'Chấm công KT'!C147</f>
        <v>04081</v>
      </c>
      <c r="C69" s="1260" t="str">
        <f>TONGHOPCONGDOI!C149</f>
        <v>N. Nọi</v>
      </c>
      <c r="D69" s="1260"/>
      <c r="E69" s="1261"/>
      <c r="F69" s="1260">
        <f t="shared" si="0"/>
        <v>0</v>
      </c>
      <c r="G69" s="1260">
        <f>VLOOKUP(C69,TONGHOPCONGDOI!C149:AD213,16,0)</f>
        <v>4165</v>
      </c>
      <c r="H69" s="1260">
        <f>VLOOKUP(C69,TONGHOPCONGDOI!C149:AD161,17,0)</f>
        <v>0</v>
      </c>
      <c r="I69" s="1260"/>
      <c r="J69" s="894">
        <f t="shared" si="7"/>
        <v>1801.6190312422123</v>
      </c>
      <c r="K69" s="1259" t="str">
        <f>VLOOKUP(C69,'BTH mủ tạp'!D151:AN212,37,0)</f>
        <v>A</v>
      </c>
      <c r="L69" s="889">
        <f t="shared" si="2"/>
        <v>7371569</v>
      </c>
      <c r="M69" s="1260">
        <f>VLOOKUP(C69,TONGHOPCONGDOI!$C$97:$AD$160,20,0)</f>
        <v>24</v>
      </c>
      <c r="N69" s="1260">
        <f>VLOOKUP(C69,TONGHOPCONGDOI!$C$97:$AD$160,21,0)</f>
        <v>4</v>
      </c>
      <c r="O69" s="1260">
        <f>VLOOKUP(C69,TONGHOPCONGDOI!$C$97:$AD$160,22,0)</f>
        <v>2</v>
      </c>
      <c r="P69" s="1260">
        <f>VLOOKUP(C69,TONGHOPCONGDOI!$C$97:$AD$160,23,0)</f>
        <v>0</v>
      </c>
      <c r="Q69" s="1260">
        <f>VLOOKUP(C69,TONGHOPCONGDOI!$C$97:$AD$160,24,0)</f>
        <v>0</v>
      </c>
      <c r="R69" s="1260">
        <f>VLOOKUP(C69,TONGHOPCONGDOI!$C$97:$AD$160,25,0)</f>
        <v>0</v>
      </c>
      <c r="S69" s="1260"/>
      <c r="T69" s="1262">
        <f t="shared" si="3"/>
        <v>2</v>
      </c>
      <c r="U69" s="1263"/>
      <c r="V69" s="1263"/>
      <c r="W69" s="890">
        <f t="shared" si="4"/>
        <v>1272143</v>
      </c>
      <c r="X69" s="1260">
        <f t="shared" si="8"/>
        <v>8643712</v>
      </c>
      <c r="Y69" s="1260"/>
      <c r="Z69" s="1260">
        <f>VLOOKUP(C69,'CNKT '!$D$102:$AA$165,24,0)</f>
        <v>8643712</v>
      </c>
      <c r="AA69" s="1215">
        <f t="shared" si="6"/>
        <v>0</v>
      </c>
    </row>
    <row r="70" spans="1:27" s="1215" customFormat="1" ht="42.75" customHeight="1">
      <c r="A70" s="1259">
        <v>54</v>
      </c>
      <c r="B70" s="1260" t="str">
        <f>'Chấm công KT'!C148</f>
        <v>04082</v>
      </c>
      <c r="C70" s="1260" t="str">
        <f>TONGHOPCONGDOI!C150</f>
        <v>T Bun Xi</v>
      </c>
      <c r="D70" s="1260"/>
      <c r="E70" s="1261"/>
      <c r="F70" s="1260">
        <f t="shared" si="0"/>
        <v>0</v>
      </c>
      <c r="G70" s="1260">
        <f>VLOOKUP(C70,TONGHOPCONGDOI!C150:AD214,16,0)</f>
        <v>4270</v>
      </c>
      <c r="H70" s="1260">
        <f>VLOOKUP(C70,TONGHOPCONGDOI!C150:AD161,17,0)</f>
        <v>0</v>
      </c>
      <c r="I70" s="1260"/>
      <c r="J70" s="894">
        <f t="shared" si="7"/>
        <v>1847.0379984163858</v>
      </c>
      <c r="K70" s="1259" t="str">
        <f>VLOOKUP(C70,'BTH mủ tạp'!D152:AN213,37,0)</f>
        <v>B</v>
      </c>
      <c r="L70" s="889">
        <f t="shared" si="2"/>
        <v>7185731</v>
      </c>
      <c r="M70" s="1260">
        <f>VLOOKUP(C70,TONGHOPCONGDOI!$C$97:$AD$160,20,0)</f>
        <v>23</v>
      </c>
      <c r="N70" s="1260">
        <f>VLOOKUP(C70,TONGHOPCONGDOI!$C$97:$AD$160,21,0)</f>
        <v>3</v>
      </c>
      <c r="O70" s="1260">
        <f>VLOOKUP(C70,TONGHOPCONGDOI!$C$97:$AD$160,22,0)</f>
        <v>2</v>
      </c>
      <c r="P70" s="1260">
        <f>VLOOKUP(C70,TONGHOPCONGDOI!$C$97:$AD$160,23,0)</f>
        <v>0</v>
      </c>
      <c r="Q70" s="1260">
        <f>VLOOKUP(C70,TONGHOPCONGDOI!$C$97:$AD$160,24,0)</f>
        <v>0</v>
      </c>
      <c r="R70" s="1260">
        <f>VLOOKUP(C70,TONGHOPCONGDOI!$C$97:$AD$160,25,0)</f>
        <v>0</v>
      </c>
      <c r="S70" s="1260"/>
      <c r="T70" s="1262">
        <f t="shared" si="3"/>
        <v>2</v>
      </c>
      <c r="U70" s="1263"/>
      <c r="V70" s="1263"/>
      <c r="W70" s="890">
        <f t="shared" si="4"/>
        <v>1189639</v>
      </c>
      <c r="X70" s="1260">
        <f t="shared" si="8"/>
        <v>8375370</v>
      </c>
      <c r="Y70" s="1260"/>
      <c r="Z70" s="1260">
        <f>VLOOKUP(C70,'CNKT '!$D$102:$AA$165,24,0)</f>
        <v>8375370</v>
      </c>
      <c r="AA70" s="1215">
        <f t="shared" si="6"/>
        <v>0</v>
      </c>
    </row>
    <row r="71" spans="1:27" s="1215" customFormat="1" ht="42.75" customHeight="1">
      <c r="A71" s="1259">
        <v>55</v>
      </c>
      <c r="B71" s="1260" t="str">
        <f>'Chấm công KT'!C149</f>
        <v>04083</v>
      </c>
      <c r="C71" s="1260" t="str">
        <f>TONGHOPCONGDOI!C151</f>
        <v>N. Bù</v>
      </c>
      <c r="D71" s="1260"/>
      <c r="E71" s="1261"/>
      <c r="F71" s="1260">
        <f t="shared" si="0"/>
        <v>0</v>
      </c>
      <c r="G71" s="1260">
        <f>VLOOKUP(C71,TONGHOPCONGDOI!C151:AD215,16,0)</f>
        <v>3799</v>
      </c>
      <c r="H71" s="1260">
        <f>VLOOKUP(C71,TONGHOPCONGDOI!C151:AD161,17,0)</f>
        <v>0</v>
      </c>
      <c r="I71" s="1260"/>
      <c r="J71" s="894">
        <f t="shared" si="7"/>
        <v>1643.3014885208079</v>
      </c>
      <c r="K71" s="1259" t="str">
        <f>VLOOKUP(C71,'BTH mủ tạp'!D153:AN214,37,0)</f>
        <v>A</v>
      </c>
      <c r="L71" s="889">
        <f t="shared" si="2"/>
        <v>6723792</v>
      </c>
      <c r="M71" s="1260">
        <f>VLOOKUP(C71,TONGHOPCONGDOI!$C$97:$AD$160,20,0)</f>
        <v>23</v>
      </c>
      <c r="N71" s="1260">
        <f>VLOOKUP(C71,TONGHOPCONGDOI!$C$97:$AD$160,21,0)</f>
        <v>2</v>
      </c>
      <c r="O71" s="1260">
        <f>VLOOKUP(C71,TONGHOPCONGDOI!$C$97:$AD$160,22,0)</f>
        <v>2</v>
      </c>
      <c r="P71" s="1260">
        <f>VLOOKUP(C71,TONGHOPCONGDOI!$C$97:$AD$160,23,0)</f>
        <v>0</v>
      </c>
      <c r="Q71" s="1260">
        <f>VLOOKUP(C71,TONGHOPCONGDOI!$C$97:$AD$160,24,0)</f>
        <v>0</v>
      </c>
      <c r="R71" s="1260">
        <f>VLOOKUP(C71,TONGHOPCONGDOI!$C$97:$AD$160,25,0)</f>
        <v>0</v>
      </c>
      <c r="S71" s="1260"/>
      <c r="T71" s="1262">
        <f t="shared" si="3"/>
        <v>2</v>
      </c>
      <c r="U71" s="1263"/>
      <c r="V71" s="1263"/>
      <c r="W71" s="890">
        <f t="shared" si="4"/>
        <v>1138058</v>
      </c>
      <c r="X71" s="1260">
        <f t="shared" si="8"/>
        <v>7861850</v>
      </c>
      <c r="Y71" s="1260"/>
      <c r="Z71" s="1260">
        <f>VLOOKUP(C71,'CNKT '!$D$102:$AA$165,24,0)</f>
        <v>7861850</v>
      </c>
      <c r="AA71" s="1215">
        <f t="shared" si="6"/>
        <v>0</v>
      </c>
    </row>
    <row r="72" spans="1:27" s="1215" customFormat="1" ht="42.75" customHeight="1">
      <c r="A72" s="1259">
        <v>56</v>
      </c>
      <c r="B72" s="1260" t="str">
        <f>'Chấm công KT'!C150</f>
        <v>03642</v>
      </c>
      <c r="C72" s="1260" t="str">
        <f>TONGHOPCONGDOI!C152</f>
        <v>T. Xơn</v>
      </c>
      <c r="D72" s="1260"/>
      <c r="E72" s="1261"/>
      <c r="F72" s="1260">
        <f t="shared" si="0"/>
        <v>0</v>
      </c>
      <c r="G72" s="1260">
        <f>VLOOKUP(C72,TONGHOPCONGDOI!C152:AD216,16,0)</f>
        <v>4201</v>
      </c>
      <c r="H72" s="1260">
        <f>VLOOKUP(C72,TONGHOPCONGDOI!C152:AD161,17,0)</f>
        <v>0</v>
      </c>
      <c r="I72" s="1260"/>
      <c r="J72" s="894">
        <f t="shared" si="7"/>
        <v>1817.1912485590719</v>
      </c>
      <c r="K72" s="1259" t="str">
        <f>VLOOKUP(C72,'BTH mủ tạp'!D154:AN215,37,0)</f>
        <v>A</v>
      </c>
      <c r="L72" s="889">
        <f t="shared" si="2"/>
        <v>7435285</v>
      </c>
      <c r="M72" s="1260">
        <f>VLOOKUP(C72,TONGHOPCONGDOI!$C$97:$AD$160,20,0)</f>
        <v>23</v>
      </c>
      <c r="N72" s="1260">
        <f>VLOOKUP(C72,TONGHOPCONGDOI!$C$97:$AD$160,21,0)</f>
        <v>3</v>
      </c>
      <c r="O72" s="1260">
        <f>VLOOKUP(C72,TONGHOPCONGDOI!$C$97:$AD$160,22,0)</f>
        <v>2</v>
      </c>
      <c r="P72" s="1260">
        <f>VLOOKUP(C72,TONGHOPCONGDOI!$C$97:$AD$160,23,0)</f>
        <v>0</v>
      </c>
      <c r="Q72" s="1260">
        <f>VLOOKUP(C72,TONGHOPCONGDOI!$C$97:$AD$160,24,0)</f>
        <v>0</v>
      </c>
      <c r="R72" s="1260">
        <f>VLOOKUP(C72,TONGHOPCONGDOI!$C$97:$AD$160,25,0)</f>
        <v>0</v>
      </c>
      <c r="S72" s="1260"/>
      <c r="T72" s="1262">
        <f t="shared" si="3"/>
        <v>2</v>
      </c>
      <c r="U72" s="1263"/>
      <c r="V72" s="1263"/>
      <c r="W72" s="890">
        <f t="shared" si="4"/>
        <v>1189639</v>
      </c>
      <c r="X72" s="1260">
        <f t="shared" si="8"/>
        <v>8624924</v>
      </c>
      <c r="Y72" s="1260"/>
      <c r="Z72" s="1260">
        <f>VLOOKUP(C72,'CNKT '!$D$102:$AA$165,24,0)</f>
        <v>8624924</v>
      </c>
      <c r="AA72" s="1215">
        <f t="shared" si="6"/>
        <v>0</v>
      </c>
    </row>
    <row r="73" spans="1:27" s="1215" customFormat="1" ht="42.75" customHeight="1">
      <c r="A73" s="1259">
        <v>57</v>
      </c>
      <c r="B73" s="1260" t="str">
        <f>'Chấm công KT'!C151</f>
        <v>04084</v>
      </c>
      <c r="C73" s="1260" t="str">
        <f>TONGHOPCONGDOI!C153</f>
        <v>T. Thi</v>
      </c>
      <c r="D73" s="1260"/>
      <c r="E73" s="1261"/>
      <c r="F73" s="1260">
        <f t="shared" si="0"/>
        <v>0</v>
      </c>
      <c r="G73" s="1260">
        <f>VLOOKUP(C73,TONGHOPCONGDOI!C153:AD217,16,0)</f>
        <v>4872</v>
      </c>
      <c r="H73" s="1260">
        <f>VLOOKUP(C73,TONGHOPCONGDOI!C153:AD161,17,0)</f>
        <v>0</v>
      </c>
      <c r="I73" s="1260"/>
      <c r="J73" s="894">
        <f t="shared" si="7"/>
        <v>2107.4400768816467</v>
      </c>
      <c r="K73" s="1259" t="str">
        <f>VLOOKUP(C73,'BTH mủ tạp'!D155:AN216,37,0)</f>
        <v>A</v>
      </c>
      <c r="L73" s="889">
        <f t="shared" si="2"/>
        <v>8622878</v>
      </c>
      <c r="M73" s="1260">
        <f>VLOOKUP(C73,TONGHOPCONGDOI!$C$97:$AD$160,20,0)</f>
        <v>24</v>
      </c>
      <c r="N73" s="1260">
        <f>VLOOKUP(C73,TONGHOPCONGDOI!$C$97:$AD$160,21,0)</f>
        <v>4</v>
      </c>
      <c r="O73" s="1260">
        <f>VLOOKUP(C73,TONGHOPCONGDOI!$C$97:$AD$160,22,0)</f>
        <v>2</v>
      </c>
      <c r="P73" s="1260">
        <f>VLOOKUP(C73,TONGHOPCONGDOI!$C$97:$AD$160,23,0)</f>
        <v>0</v>
      </c>
      <c r="Q73" s="1260">
        <f>VLOOKUP(C73,TONGHOPCONGDOI!$C$97:$AD$160,24,0)</f>
        <v>0</v>
      </c>
      <c r="R73" s="1260">
        <f>VLOOKUP(C73,TONGHOPCONGDOI!$C$97:$AD$160,25,0)</f>
        <v>0</v>
      </c>
      <c r="S73" s="1260"/>
      <c r="T73" s="1262">
        <f t="shared" si="3"/>
        <v>2</v>
      </c>
      <c r="U73" s="1263"/>
      <c r="V73" s="1263"/>
      <c r="W73" s="890">
        <f t="shared" si="4"/>
        <v>1272143</v>
      </c>
      <c r="X73" s="1260">
        <f t="shared" si="8"/>
        <v>9895021</v>
      </c>
      <c r="Y73" s="1260"/>
      <c r="Z73" s="1260">
        <f>VLOOKUP(C73,'CNKT '!$D$102:$AA$165,24,0)</f>
        <v>9895021</v>
      </c>
      <c r="AA73" s="1215">
        <f t="shared" si="6"/>
        <v>0</v>
      </c>
    </row>
    <row r="74" spans="1:27" s="1215" customFormat="1" ht="42.75" customHeight="1">
      <c r="A74" s="1259">
        <v>58</v>
      </c>
      <c r="B74" s="1260" t="str">
        <f>'Chấm công KT'!C152</f>
        <v>04085</v>
      </c>
      <c r="C74" s="1260" t="str">
        <f>TONGHOPCONGDOI!C154</f>
        <v>On chay</v>
      </c>
      <c r="D74" s="1260"/>
      <c r="E74" s="1261"/>
      <c r="F74" s="1260">
        <f t="shared" si="0"/>
        <v>0</v>
      </c>
      <c r="G74" s="1260">
        <f>VLOOKUP(C74,TONGHOPCONGDOI!C154:AD218,16,0)</f>
        <v>4473</v>
      </c>
      <c r="H74" s="1260">
        <f>VLOOKUP(C74,TONGHOPCONGDOI!C154:AD161,17,0)</f>
        <v>0</v>
      </c>
      <c r="I74" s="1260"/>
      <c r="J74" s="894">
        <f t="shared" si="7"/>
        <v>1934.8480016197877</v>
      </c>
      <c r="K74" s="1259" t="str">
        <f>VLOOKUP(C74,'BTH mủ tạp'!D156:AN217,37,0)</f>
        <v>A</v>
      </c>
      <c r="L74" s="889">
        <f t="shared" si="2"/>
        <v>7916694</v>
      </c>
      <c r="M74" s="1260">
        <f>VLOOKUP(C74,TONGHOPCONGDOI!$C$97:$AD$160,20,0)</f>
        <v>24</v>
      </c>
      <c r="N74" s="1260">
        <f>VLOOKUP(C74,TONGHOPCONGDOI!$C$97:$AD$160,21,0)</f>
        <v>4</v>
      </c>
      <c r="O74" s="1260">
        <f>VLOOKUP(C74,TONGHOPCONGDOI!$C$97:$AD$160,22,0)</f>
        <v>2</v>
      </c>
      <c r="P74" s="1260">
        <f>VLOOKUP(C74,TONGHOPCONGDOI!$C$97:$AD$160,23,0)</f>
        <v>0</v>
      </c>
      <c r="Q74" s="1260">
        <f>VLOOKUP(C74,TONGHOPCONGDOI!$C$97:$AD$160,24,0)</f>
        <v>0</v>
      </c>
      <c r="R74" s="1260">
        <f>VLOOKUP(C74,TONGHOPCONGDOI!$C$97:$AD$160,25,0)</f>
        <v>0</v>
      </c>
      <c r="S74" s="1260"/>
      <c r="T74" s="1262">
        <f t="shared" si="3"/>
        <v>2</v>
      </c>
      <c r="U74" s="1263"/>
      <c r="V74" s="1263"/>
      <c r="W74" s="890">
        <f t="shared" si="4"/>
        <v>1272143</v>
      </c>
      <c r="X74" s="1260">
        <f t="shared" si="8"/>
        <v>9188837</v>
      </c>
      <c r="Y74" s="1260"/>
      <c r="Z74" s="1260">
        <f>VLOOKUP(C74,'CNKT '!$D$102:$AA$165,24,0)</f>
        <v>9188837</v>
      </c>
      <c r="AA74" s="1215">
        <f t="shared" si="6"/>
        <v>0</v>
      </c>
    </row>
    <row r="75" spans="1:27" s="1215" customFormat="1" ht="42.75" customHeight="1">
      <c r="A75" s="1259">
        <v>59</v>
      </c>
      <c r="B75" s="1260">
        <f>'Chấm công KT'!C153</f>
        <v>0</v>
      </c>
      <c r="C75" s="1260" t="str">
        <f>TONGHOPCONGDOI!C155</f>
        <v>T. Thong</v>
      </c>
      <c r="D75" s="1260"/>
      <c r="E75" s="1261"/>
      <c r="F75" s="1260">
        <f t="shared" si="0"/>
        <v>0</v>
      </c>
      <c r="G75" s="1260">
        <f>VLOOKUP(C75,TONGHOPCONGDOI!C155:AD219,16,0)</f>
        <v>995</v>
      </c>
      <c r="H75" s="1260">
        <f>VLOOKUP(C75,TONGHOPCONGDOI!C155:AD161,17,0)</f>
        <v>0</v>
      </c>
      <c r="I75" s="1260"/>
      <c r="J75" s="894">
        <f t="shared" si="7"/>
        <v>430.39878417431004</v>
      </c>
      <c r="K75" s="1259" t="str">
        <f>VLOOKUP(C75,'BTH mủ tạp'!D157:AN218,37,0)</f>
        <v>C.</v>
      </c>
      <c r="L75" s="889">
        <f t="shared" si="2"/>
        <v>1587819</v>
      </c>
      <c r="M75" s="1260">
        <f>VLOOKUP(C75,TONGHOPCONGDOI!$C$97:$AD$160,20,0)</f>
        <v>11</v>
      </c>
      <c r="N75" s="1260">
        <f>VLOOKUP(C75,TONGHOPCONGDOI!$C$97:$AD$160,21,0)</f>
        <v>3</v>
      </c>
      <c r="O75" s="1260">
        <f>VLOOKUP(C75,TONGHOPCONGDOI!$C$97:$AD$160,22,0)</f>
        <v>0</v>
      </c>
      <c r="P75" s="1260">
        <f>VLOOKUP(C75,TONGHOPCONGDOI!$C$97:$AD$160,23,0)</f>
        <v>0</v>
      </c>
      <c r="Q75" s="1260">
        <f>VLOOKUP(C75,TONGHOPCONGDOI!$C$97:$AD$160,24,0)</f>
        <v>0</v>
      </c>
      <c r="R75" s="1260">
        <f>VLOOKUP(C75,TONGHOPCONGDOI!$C$97:$AD$160,25,0)</f>
        <v>0</v>
      </c>
      <c r="S75" s="1260"/>
      <c r="T75" s="1262">
        <f t="shared" si="3"/>
        <v>0</v>
      </c>
      <c r="U75" s="1263"/>
      <c r="V75" s="1263"/>
      <c r="W75" s="890">
        <f t="shared" si="4"/>
        <v>494887</v>
      </c>
      <c r="X75" s="1260">
        <f t="shared" si="8"/>
        <v>2082706</v>
      </c>
      <c r="Y75" s="1260"/>
      <c r="Z75" s="1260">
        <f>VLOOKUP(C75,'CNKT '!$D$102:$AA$165,24,0)</f>
        <v>2082706</v>
      </c>
      <c r="AA75" s="1215">
        <f t="shared" si="6"/>
        <v>0</v>
      </c>
    </row>
    <row r="76" spans="1:27" s="1215" customFormat="1" ht="42.75" customHeight="1">
      <c r="A76" s="1259">
        <v>60</v>
      </c>
      <c r="B76" s="1260">
        <f>'Chấm công KT'!C154</f>
        <v>0</v>
      </c>
      <c r="C76" s="1260" t="str">
        <f>TONGHOPCONGDOI!C156</f>
        <v>T. Khách</v>
      </c>
      <c r="D76" s="1260"/>
      <c r="E76" s="1261"/>
      <c r="F76" s="1260">
        <f t="shared" si="0"/>
        <v>0</v>
      </c>
      <c r="G76" s="1260">
        <f>VLOOKUP(C76,TONGHOPCONGDOI!C156:AD220,16,0)</f>
        <v>610</v>
      </c>
      <c r="H76" s="1260">
        <f>VLOOKUP(C76,TONGHOPCONGDOI!C156:AD161,17,0)</f>
        <v>0</v>
      </c>
      <c r="I76" s="1260"/>
      <c r="J76" s="894">
        <f t="shared" si="7"/>
        <v>263.8625712023408</v>
      </c>
      <c r="K76" s="1259" t="str">
        <f>VLOOKUP(C76,'BTH mủ tạp'!D158:AN219,37,0)</f>
        <v>C.</v>
      </c>
      <c r="L76" s="889">
        <f t="shared" si="2"/>
        <v>973437</v>
      </c>
      <c r="M76" s="1260">
        <f>VLOOKUP(C76,TONGHOPCONGDOI!$C$97:$AD$160,20,0)</f>
        <v>9</v>
      </c>
      <c r="N76" s="1260">
        <f>VLOOKUP(C76,TONGHOPCONGDOI!$C$97:$AD$160,21,0)</f>
        <v>3</v>
      </c>
      <c r="O76" s="1260">
        <f>VLOOKUP(C76,TONGHOPCONGDOI!$C$97:$AD$160,22,0)</f>
        <v>0</v>
      </c>
      <c r="P76" s="1260">
        <f>VLOOKUP(C76,TONGHOPCONGDOI!$C$97:$AD$160,23,0)</f>
        <v>0</v>
      </c>
      <c r="Q76" s="1260">
        <f>VLOOKUP(C76,TONGHOPCONGDOI!$C$97:$AD$160,24,0)</f>
        <v>0</v>
      </c>
      <c r="R76" s="1260">
        <f>VLOOKUP(C76,TONGHOPCONGDOI!$C$97:$AD$160,25,0)</f>
        <v>0</v>
      </c>
      <c r="S76" s="1260"/>
      <c r="T76" s="1262">
        <f t="shared" si="3"/>
        <v>0</v>
      </c>
      <c r="U76" s="1263"/>
      <c r="V76" s="1263"/>
      <c r="W76" s="890">
        <f t="shared" si="4"/>
        <v>433043</v>
      </c>
      <c r="X76" s="1260">
        <f t="shared" si="8"/>
        <v>1406480</v>
      </c>
      <c r="Y76" s="1260"/>
      <c r="Z76" s="1260">
        <f>VLOOKUP(C76,'CNKT '!$D$102:$AA$165,24,0)</f>
        <v>1406480</v>
      </c>
      <c r="AA76" s="1215">
        <f t="shared" si="6"/>
        <v>0</v>
      </c>
    </row>
    <row r="77" spans="1:27" s="1215" customFormat="1" ht="42.75" customHeight="1">
      <c r="A77" s="1259">
        <v>61</v>
      </c>
      <c r="B77" s="1260">
        <f>'Chấm công KT'!C155</f>
        <v>0</v>
      </c>
      <c r="C77" s="1260" t="str">
        <f>TONGHOPCONGDOI!C157</f>
        <v>Nang On Xi</v>
      </c>
      <c r="D77" s="1260"/>
      <c r="E77" s="1261"/>
      <c r="F77" s="1260">
        <f t="shared" si="0"/>
        <v>0</v>
      </c>
      <c r="G77" s="1260">
        <f>VLOOKUP(C77,TONGHOPCONGDOI!C157:AD221,16,0)</f>
        <v>322</v>
      </c>
      <c r="H77" s="1260">
        <f>VLOOKUP(C77,TONGHOPCONGDOI!C157:AD161,17,0)</f>
        <v>0</v>
      </c>
      <c r="I77" s="1260"/>
      <c r="J77" s="894">
        <f t="shared" si="7"/>
        <v>139.28483266746517</v>
      </c>
      <c r="K77" s="1259" t="str">
        <f>VLOOKUP(C77,'BTH mủ tạp'!D159:AN220,37,0)</f>
        <v>C.</v>
      </c>
      <c r="L77" s="889">
        <f t="shared" si="2"/>
        <v>513847</v>
      </c>
      <c r="M77" s="1260">
        <f>VLOOKUP(C77,TONGHOPCONGDOI!$C$97:$AD$160,20,0)</f>
        <v>4</v>
      </c>
      <c r="N77" s="1260">
        <f>VLOOKUP(C77,TONGHOPCONGDOI!$C$97:$AD$160,21,0)</f>
        <v>3</v>
      </c>
      <c r="O77" s="1260">
        <f>VLOOKUP(C77,TONGHOPCONGDOI!$C$97:$AD$160,22,0)</f>
        <v>0</v>
      </c>
      <c r="P77" s="1260">
        <f>VLOOKUP(C77,TONGHOPCONGDOI!$C$97:$AD$160,23,0)</f>
        <v>0</v>
      </c>
      <c r="Q77" s="1260">
        <f>VLOOKUP(C77,TONGHOPCONGDOI!$C$97:$AD$160,24,0)</f>
        <v>0</v>
      </c>
      <c r="R77" s="1260">
        <f>VLOOKUP(C77,TONGHOPCONGDOI!$C$97:$AD$160,25,0)</f>
        <v>0</v>
      </c>
      <c r="S77" s="1260"/>
      <c r="T77" s="1262">
        <f t="shared" si="3"/>
        <v>0</v>
      </c>
      <c r="U77" s="1263"/>
      <c r="V77" s="1263"/>
      <c r="W77" s="890">
        <f t="shared" si="4"/>
        <v>278432</v>
      </c>
      <c r="X77" s="1260">
        <f t="shared" si="8"/>
        <v>792279</v>
      </c>
      <c r="Y77" s="1260"/>
      <c r="Z77" s="1260">
        <f>VLOOKUP(C77,'CNKT '!$D$102:$AA$165,24,0)</f>
        <v>792279</v>
      </c>
      <c r="AA77" s="1215">
        <f t="shared" si="6"/>
        <v>0</v>
      </c>
    </row>
    <row r="78" spans="1:27" s="1215" customFormat="1" ht="42.75" customHeight="1">
      <c r="A78" s="1259">
        <v>62</v>
      </c>
      <c r="B78" s="1260">
        <f>'Chấm công KT'!C156</f>
        <v>0</v>
      </c>
      <c r="C78" s="1260" t="str">
        <f>TONGHOPCONGDOI!C158</f>
        <v>Thảo Túc</v>
      </c>
      <c r="D78" s="1264"/>
      <c r="E78" s="1261"/>
      <c r="F78" s="1260">
        <f t="shared" si="0"/>
        <v>0</v>
      </c>
      <c r="G78" s="1260">
        <f>VLOOKUP(C78,TONGHOPCONGDOI!C158:AD222,16,0)</f>
        <v>224</v>
      </c>
      <c r="H78" s="1260">
        <f>VLOOKUP(C78,TONGHOPCONGDOI!C158:AD161,17,0)</f>
        <v>0</v>
      </c>
      <c r="I78" s="1260"/>
      <c r="J78" s="894">
        <f t="shared" si="7"/>
        <v>96.893796638236637</v>
      </c>
      <c r="K78" s="1259" t="str">
        <f>VLOOKUP(C78,'BTH mủ tạp'!D160:AN221,37,0)</f>
        <v>C.</v>
      </c>
      <c r="L78" s="889">
        <f t="shared" si="2"/>
        <v>357459</v>
      </c>
      <c r="M78" s="1260">
        <f>VLOOKUP(C78,TONGHOPCONGDOI!$C$97:$AD$160,20,0)</f>
        <v>3</v>
      </c>
      <c r="N78" s="1260">
        <f>VLOOKUP(C78,TONGHOPCONGDOI!$C$97:$AD$160,21,0)</f>
        <v>1</v>
      </c>
      <c r="O78" s="1260">
        <f>VLOOKUP(C78,TONGHOPCONGDOI!$C$97:$AD$160,22,0)</f>
        <v>0</v>
      </c>
      <c r="P78" s="1260">
        <f>VLOOKUP(C78,TONGHOPCONGDOI!$C$97:$AD$160,23,0)</f>
        <v>0</v>
      </c>
      <c r="Q78" s="1260">
        <f>VLOOKUP(C78,TONGHOPCONGDOI!$C$97:$AD$160,24,0)</f>
        <v>0</v>
      </c>
      <c r="R78" s="1260">
        <f>VLOOKUP(C78,TONGHOPCONGDOI!$C$97:$AD$160,25,0)</f>
        <v>0</v>
      </c>
      <c r="S78" s="1260"/>
      <c r="T78" s="1262">
        <f t="shared" si="3"/>
        <v>0</v>
      </c>
      <c r="U78" s="1263"/>
      <c r="V78" s="1263"/>
      <c r="W78" s="890">
        <f t="shared" si="4"/>
        <v>144348</v>
      </c>
      <c r="X78" s="1260">
        <f>F78+L78+W78</f>
        <v>501807</v>
      </c>
      <c r="Y78" s="1260"/>
      <c r="Z78" s="1260">
        <f>VLOOKUP(C78,'CNKT '!$D$102:$AA$165,24,0)</f>
        <v>501807</v>
      </c>
      <c r="AA78" s="1215">
        <f t="shared" si="6"/>
        <v>0</v>
      </c>
    </row>
    <row r="79" spans="1:27" s="1215" customFormat="1" ht="42.75" customHeight="1">
      <c r="A79" s="1259">
        <v>63</v>
      </c>
      <c r="B79" s="1260">
        <f>'Chấm công KT'!C157</f>
        <v>0</v>
      </c>
      <c r="C79" s="1260" t="str">
        <f>TONGHOPCONGDOI!C159</f>
        <v>Mủ Xi Rum 2</v>
      </c>
      <c r="D79" s="1264"/>
      <c r="E79" s="1261"/>
      <c r="F79" s="1260"/>
      <c r="G79" s="1260">
        <f>VLOOKUP(C79,TONGHOPCONGDOI!C159:AD223,16,0)</f>
        <v>0</v>
      </c>
      <c r="H79" s="1260"/>
      <c r="I79" s="1260">
        <f>'BTH mủ Sỉum'!AF19</f>
        <v>630</v>
      </c>
      <c r="J79" s="894">
        <f>$AB$11/$AB$10*G79+H79*$AB$12+I79*$AB$13</f>
        <v>310.00999999999993</v>
      </c>
      <c r="K79" s="1259"/>
      <c r="L79" s="1111">
        <f>ROUND((J79*6.1*E13),0)</f>
        <v>1268448</v>
      </c>
      <c r="M79" s="1260"/>
      <c r="N79" s="1260"/>
      <c r="O79" s="1260"/>
      <c r="P79" s="1260"/>
      <c r="Q79" s="1260"/>
      <c r="R79" s="1260"/>
      <c r="S79" s="1260"/>
      <c r="T79" s="1262">
        <f t="shared" si="3"/>
        <v>0</v>
      </c>
      <c r="U79" s="1263"/>
      <c r="V79" s="1263"/>
      <c r="W79" s="890">
        <f t="shared" ref="W79" si="9">ROUND(((M79*46.1)+(N79*76.9)+(O79*92.2)+(P79*153.8)+(Q79*92.2)+(R79*153.8))*$E$13+(S79*25000)+(T79*10000)+(U79*30000),0)</f>
        <v>0</v>
      </c>
      <c r="X79" s="1260">
        <f t="shared" si="8"/>
        <v>1268448</v>
      </c>
      <c r="Y79" s="1260"/>
      <c r="Z79" s="1260">
        <f>VLOOKUP(C79,'CNKT '!$D$102:$AA$165,24,0)</f>
        <v>1268448</v>
      </c>
      <c r="AA79" s="1215">
        <f t="shared" si="6"/>
        <v>0</v>
      </c>
    </row>
    <row r="80" spans="1:27" s="1271" customFormat="1" ht="42.75" customHeight="1">
      <c r="A80" s="1259">
        <v>64</v>
      </c>
      <c r="B80" s="1265"/>
      <c r="C80" s="1266" t="str">
        <f>TONGHOPCONGDOI!C160</f>
        <v>Mon (3)</v>
      </c>
      <c r="D80" s="1267"/>
      <c r="E80" s="1268"/>
      <c r="F80" s="1266">
        <f t="shared" si="0"/>
        <v>0</v>
      </c>
      <c r="G80" s="1266"/>
      <c r="H80" s="1266"/>
      <c r="I80" s="1266"/>
      <c r="J80" s="949"/>
      <c r="K80" s="1269"/>
      <c r="L80" s="892"/>
      <c r="M80" s="1266"/>
      <c r="N80" s="1266"/>
      <c r="O80" s="1266">
        <f>VLOOKUP(C80,TONGHOPCONGDOI!$C$97:$AD$160,22,0)</f>
        <v>0</v>
      </c>
      <c r="P80" s="1266"/>
      <c r="Q80" s="1266"/>
      <c r="R80" s="1266"/>
      <c r="S80" s="1266"/>
      <c r="T80" s="1262">
        <f t="shared" si="3"/>
        <v>0</v>
      </c>
      <c r="U80" s="1270"/>
      <c r="V80" s="1270"/>
      <c r="W80" s="893">
        <f t="shared" ref="W80" si="10">ROUND(((M80*46.1)+(N80*76.9)+(O80*92.2)+(P80*153.8)+(Q80*92.2)+(R80*153.8))*$E$13+(S80*20000)+(T80*10000)+(U80*30000),0)</f>
        <v>0</v>
      </c>
      <c r="X80" s="1266">
        <f t="shared" si="8"/>
        <v>0</v>
      </c>
      <c r="Y80" s="1266"/>
      <c r="Z80" s="1266">
        <f>VLOOKUP(C80,'CNKT '!$D$102:$AA$165,24,0)</f>
        <v>0</v>
      </c>
      <c r="AA80" s="1271">
        <f t="shared" si="6"/>
        <v>0</v>
      </c>
    </row>
    <row r="81" spans="1:28" s="1271" customFormat="1" ht="42.75" customHeight="1">
      <c r="A81" s="1259">
        <v>65</v>
      </c>
      <c r="B81" s="1265"/>
      <c r="C81" s="1266" t="str">
        <f>TONGHOPCONGDOI!C161</f>
        <v>T. Huân</v>
      </c>
      <c r="D81" s="1267"/>
      <c r="E81" s="1268"/>
      <c r="F81" s="1266">
        <f t="shared" ref="F81" si="11">E81*25000</f>
        <v>0</v>
      </c>
      <c r="G81" s="1266"/>
      <c r="H81" s="1266"/>
      <c r="I81" s="1266"/>
      <c r="J81" s="949"/>
      <c r="K81" s="1269"/>
      <c r="L81" s="892"/>
      <c r="M81" s="1266"/>
      <c r="N81" s="1266"/>
      <c r="O81" s="1266"/>
      <c r="P81" s="1266"/>
      <c r="Q81" s="1266"/>
      <c r="R81" s="1266"/>
      <c r="S81" s="1266"/>
      <c r="T81" s="1262">
        <f t="shared" si="3"/>
        <v>0</v>
      </c>
      <c r="U81" s="1270">
        <f t="shared" ref="U81" si="12">SUM(M81:R81)</f>
        <v>0</v>
      </c>
      <c r="V81" s="1270">
        <f t="shared" ref="V81" si="13">SUM(M81:R81)</f>
        <v>0</v>
      </c>
      <c r="W81" s="893">
        <f t="shared" ref="W81" si="14">((M81*46.1)+(N81*76.9)+(O81*92.2)+(P81*153.8)+(Q81*92.2)+(R81*153.8))*$E$13+(S81*20000)+(T81*10000)+(U81*30000)</f>
        <v>0</v>
      </c>
      <c r="X81" s="1266">
        <f t="shared" ref="X81" si="15">F81+L81+W81</f>
        <v>0</v>
      </c>
      <c r="Y81" s="1266"/>
      <c r="Z81" s="1266">
        <f>VLOOKUP(C81,'CNKT '!$D$102:$AA$166,24,0)</f>
        <v>0</v>
      </c>
      <c r="AA81" s="1271">
        <f t="shared" si="6"/>
        <v>0</v>
      </c>
    </row>
    <row r="82" spans="1:28" s="1271" customFormat="1" ht="42.75" customHeight="1">
      <c r="A82" s="1259">
        <v>66</v>
      </c>
      <c r="B82" s="1265"/>
      <c r="C82" s="1266" t="str">
        <f>TONGHOPCONGDOI!C162</f>
        <v>Chuyển 2</v>
      </c>
      <c r="D82" s="1267"/>
      <c r="E82" s="1268"/>
      <c r="F82" s="1266">
        <f t="shared" ref="F82" si="16">E82*25000</f>
        <v>0</v>
      </c>
      <c r="G82" s="1266"/>
      <c r="H82" s="1266"/>
      <c r="I82" s="1266"/>
      <c r="J82" s="949"/>
      <c r="K82" s="1269"/>
      <c r="L82" s="892"/>
      <c r="M82" s="1266"/>
      <c r="N82" s="1266"/>
      <c r="O82" s="1266"/>
      <c r="P82" s="1266"/>
      <c r="Q82" s="1266"/>
      <c r="R82" s="1266"/>
      <c r="S82" s="1266"/>
      <c r="T82" s="1262">
        <f t="shared" ref="T82" si="17">O82</f>
        <v>0</v>
      </c>
      <c r="U82" s="1270">
        <f t="shared" ref="U82" si="18">SUM(M82:R82)</f>
        <v>0</v>
      </c>
      <c r="V82" s="1270">
        <f t="shared" ref="V82" si="19">SUM(M82:R82)</f>
        <v>0</v>
      </c>
      <c r="W82" s="893">
        <f t="shared" ref="W82" si="20">((M82*46.1)+(N82*76.9)+(O82*92.2)+(P82*153.8)+(Q82*92.2)+(R82*153.8))*$E$13+(S82*20000)+(T82*10000)+(U82*30000)</f>
        <v>0</v>
      </c>
      <c r="X82" s="1266">
        <f t="shared" ref="X82" si="21">F82+L82+W82</f>
        <v>0</v>
      </c>
      <c r="Y82" s="1266"/>
      <c r="Z82" s="1266">
        <f>VLOOKUP(C82,'CNKT '!$D$102:$AA$167,24,0)</f>
        <v>0</v>
      </c>
    </row>
    <row r="83" spans="1:28" s="1215" customFormat="1" ht="37.5" customHeight="1">
      <c r="A83" s="1474" t="s">
        <v>363</v>
      </c>
      <c r="B83" s="1475"/>
      <c r="C83" s="1475"/>
      <c r="D83" s="1476"/>
      <c r="E83" s="1010">
        <f>SUM(E17:E82)</f>
        <v>0</v>
      </c>
      <c r="F83" s="1010">
        <f t="shared" ref="F83:Z83" si="22">SUM(F17:F82)</f>
        <v>0</v>
      </c>
      <c r="G83" s="1010">
        <f t="shared" si="22"/>
        <v>248798</v>
      </c>
      <c r="H83" s="1010">
        <f t="shared" si="22"/>
        <v>0</v>
      </c>
      <c r="I83" s="1010">
        <f t="shared" si="22"/>
        <v>630</v>
      </c>
      <c r="J83" s="1010">
        <f t="shared" si="22"/>
        <v>107930.46899999998</v>
      </c>
      <c r="K83" s="1010">
        <f t="shared" si="22"/>
        <v>0</v>
      </c>
      <c r="L83" s="1010">
        <f t="shared" si="22"/>
        <v>436313678</v>
      </c>
      <c r="M83" s="1010">
        <f t="shared" si="22"/>
        <v>1390</v>
      </c>
      <c r="N83" s="1010">
        <f t="shared" si="22"/>
        <v>230</v>
      </c>
      <c r="O83" s="1010">
        <f t="shared" si="22"/>
        <v>116</v>
      </c>
      <c r="P83" s="1010">
        <f t="shared" si="22"/>
        <v>0</v>
      </c>
      <c r="Q83" s="1010">
        <f t="shared" si="22"/>
        <v>0</v>
      </c>
      <c r="R83" s="1010">
        <f t="shared" si="22"/>
        <v>0</v>
      </c>
      <c r="S83" s="1010">
        <f t="shared" si="22"/>
        <v>0</v>
      </c>
      <c r="T83" s="1010">
        <f t="shared" si="22"/>
        <v>116</v>
      </c>
      <c r="U83" s="1010">
        <f t="shared" si="22"/>
        <v>0</v>
      </c>
      <c r="V83" s="1010">
        <f t="shared" si="22"/>
        <v>0</v>
      </c>
      <c r="W83" s="1010">
        <f t="shared" si="22"/>
        <v>73619283</v>
      </c>
      <c r="X83" s="1010">
        <f>SUM(X17:X82)</f>
        <v>509932961</v>
      </c>
      <c r="Y83" s="1010">
        <f t="shared" si="22"/>
        <v>0</v>
      </c>
      <c r="Z83" s="1010">
        <f t="shared" si="22"/>
        <v>509932961</v>
      </c>
      <c r="AA83" s="1215">
        <f t="shared" si="6"/>
        <v>0</v>
      </c>
      <c r="AB83" s="1215">
        <f>SUM(Z17:Z74)/58</f>
        <v>8687607.6034482755</v>
      </c>
    </row>
    <row r="84" spans="1:28" ht="37.5" customHeight="1">
      <c r="A84" s="1490" t="s">
        <v>866</v>
      </c>
      <c r="B84" s="1490"/>
      <c r="C84" s="1490"/>
      <c r="D84" s="1490"/>
      <c r="E84" s="1490"/>
      <c r="F84" s="1490"/>
      <c r="G84" s="1490"/>
      <c r="H84" s="1490"/>
      <c r="I84" s="1490"/>
      <c r="J84" s="1490"/>
      <c r="K84" s="1490"/>
      <c r="L84" s="1490"/>
      <c r="M84" s="1490"/>
      <c r="N84" s="1490"/>
      <c r="O84" s="1490"/>
      <c r="P84" s="1490"/>
      <c r="Q84" s="1490"/>
      <c r="R84" s="1490"/>
      <c r="S84" s="1490"/>
      <c r="T84" s="1490"/>
      <c r="U84" s="1490"/>
      <c r="V84" s="1490"/>
      <c r="W84" s="1490"/>
      <c r="X84" s="1490"/>
      <c r="Y84" s="1490"/>
      <c r="Z84" s="1490"/>
    </row>
    <row r="85" spans="1:28" ht="37.5" customHeight="1">
      <c r="A85" s="1272"/>
      <c r="B85" s="1272"/>
      <c r="C85" s="1272"/>
      <c r="D85" s="1272"/>
      <c r="E85" s="1272"/>
      <c r="F85" s="1272"/>
      <c r="G85" s="1272"/>
      <c r="H85" s="1272"/>
      <c r="I85" s="1272"/>
      <c r="J85" s="1272"/>
      <c r="K85" s="1272"/>
      <c r="L85" s="1272"/>
      <c r="M85" s="1272"/>
      <c r="N85" s="1272"/>
      <c r="O85" s="1272"/>
      <c r="P85" s="1272"/>
      <c r="Q85" s="1272"/>
      <c r="R85" s="1272"/>
      <c r="S85" s="1498" t="s">
        <v>812</v>
      </c>
      <c r="T85" s="1498"/>
      <c r="U85" s="1498"/>
      <c r="V85" s="1498"/>
      <c r="W85" s="1498"/>
      <c r="X85" s="1498"/>
      <c r="Y85" s="1498"/>
      <c r="Z85" s="1498"/>
    </row>
    <row r="86" spans="1:28" ht="24.75" customHeight="1">
      <c r="A86" s="1273"/>
      <c r="B86" s="1274"/>
      <c r="C86" s="1275"/>
      <c r="D86" s="895"/>
      <c r="E86" s="896"/>
      <c r="F86" s="1276"/>
      <c r="G86" s="1276"/>
      <c r="H86" s="1276"/>
      <c r="I86" s="1276"/>
      <c r="J86" s="897"/>
      <c r="K86" s="898"/>
      <c r="L86" s="899"/>
      <c r="M86" s="1277"/>
      <c r="N86" s="1277"/>
      <c r="O86" s="1277"/>
      <c r="P86" s="1277"/>
      <c r="Q86" s="1277"/>
      <c r="R86" s="1277"/>
      <c r="S86" s="1277"/>
      <c r="T86" s="1276"/>
      <c r="U86" s="1276"/>
      <c r="V86" s="1276"/>
      <c r="W86" s="1506"/>
      <c r="X86" s="1506"/>
      <c r="Y86" s="1506"/>
      <c r="Z86" s="1506"/>
    </row>
    <row r="87" spans="1:28" s="1248" customFormat="1" ht="39" customHeight="1">
      <c r="A87" s="1495" t="s">
        <v>541</v>
      </c>
      <c r="B87" s="1495"/>
      <c r="C87" s="1495"/>
      <c r="D87" s="1495"/>
      <c r="E87" s="1495"/>
      <c r="F87" s="1495"/>
      <c r="G87" s="1495"/>
      <c r="H87" s="1495"/>
      <c r="I87" s="1495"/>
      <c r="J87" s="1495"/>
      <c r="K87" s="1495"/>
      <c r="L87" s="1495"/>
      <c r="M87" s="1495"/>
      <c r="N87" s="1495"/>
      <c r="O87" s="1495"/>
      <c r="P87" s="1495"/>
      <c r="Q87" s="1495"/>
      <c r="R87" s="1495"/>
      <c r="S87" s="1495"/>
      <c r="T87" s="1495"/>
      <c r="U87" s="1495"/>
      <c r="V87" s="1495"/>
      <c r="W87" s="1495"/>
      <c r="X87" s="1495"/>
      <c r="Y87" s="1495"/>
      <c r="Z87" s="1495"/>
    </row>
    <row r="88" spans="1:28" s="1248" customFormat="1" ht="19.5" customHeight="1">
      <c r="A88" s="1249"/>
      <c r="C88" s="1163"/>
      <c r="D88" s="1163"/>
      <c r="E88" s="1163"/>
      <c r="F88" s="1163"/>
      <c r="G88" s="1163"/>
      <c r="H88" s="1163"/>
      <c r="I88" s="1163"/>
      <c r="J88" s="1278"/>
      <c r="K88" s="1163"/>
      <c r="T88" s="1279"/>
      <c r="U88" s="1279"/>
      <c r="V88" s="1279"/>
      <c r="W88" s="1163"/>
      <c r="X88" s="1163"/>
      <c r="Y88" s="1163"/>
    </row>
    <row r="89" spans="1:28" s="1248" customFormat="1" ht="19.5" customHeight="1">
      <c r="A89" s="1249"/>
      <c r="C89" s="1163"/>
      <c r="D89" s="1163"/>
      <c r="E89" s="1163"/>
      <c r="F89" s="1163"/>
      <c r="G89" s="1163"/>
      <c r="H89" s="1163"/>
      <c r="I89" s="1163"/>
      <c r="J89" s="1278"/>
      <c r="K89" s="1163"/>
      <c r="T89" s="1279"/>
      <c r="U89" s="1279"/>
      <c r="V89" s="1279"/>
      <c r="W89" s="1163"/>
      <c r="X89" s="1163"/>
      <c r="Y89" s="1163"/>
    </row>
    <row r="90" spans="1:28" s="1248" customFormat="1" ht="19.5" customHeight="1">
      <c r="A90" s="1249"/>
      <c r="C90" s="1163"/>
      <c r="D90" s="1163"/>
      <c r="E90" s="1163"/>
      <c r="F90" s="1163"/>
      <c r="G90" s="1163"/>
      <c r="H90" s="1163"/>
      <c r="I90" s="1163"/>
      <c r="J90" s="1278"/>
      <c r="K90" s="1163"/>
      <c r="T90" s="1279"/>
      <c r="U90" s="1279"/>
      <c r="V90" s="1279"/>
      <c r="W90" s="1163"/>
      <c r="X90" s="1163"/>
      <c r="Y90" s="1163"/>
    </row>
    <row r="91" spans="1:28" s="1248" customFormat="1" ht="19.5" customHeight="1">
      <c r="A91" s="1249"/>
      <c r="C91" s="1163"/>
      <c r="D91" s="1163"/>
      <c r="E91" s="1163"/>
      <c r="F91" s="1163"/>
      <c r="G91" s="1163"/>
      <c r="H91" s="1163"/>
      <c r="I91" s="1163"/>
      <c r="J91" s="1278"/>
      <c r="K91" s="1163"/>
      <c r="T91" s="1279"/>
      <c r="U91" s="1279"/>
      <c r="V91" s="1279"/>
      <c r="W91" s="1163"/>
      <c r="X91" s="1163"/>
      <c r="Y91" s="1163"/>
    </row>
    <row r="92" spans="1:28" s="1248" customFormat="1" ht="19.5" customHeight="1">
      <c r="A92" s="1249"/>
      <c r="C92" s="1163"/>
      <c r="D92" s="1163"/>
      <c r="E92" s="1163"/>
      <c r="F92" s="1163"/>
      <c r="G92" s="1163"/>
      <c r="H92" s="1163"/>
      <c r="I92" s="1163"/>
      <c r="J92" s="1278"/>
      <c r="K92" s="1163"/>
      <c r="T92" s="1279"/>
      <c r="U92" s="1279"/>
      <c r="V92" s="1279"/>
      <c r="W92" s="1163"/>
      <c r="X92" s="1163"/>
      <c r="Y92" s="1163"/>
    </row>
    <row r="93" spans="1:28" s="1248" customFormat="1" ht="19.5" customHeight="1">
      <c r="A93" s="1249"/>
      <c r="C93" s="1163"/>
      <c r="D93" s="1163"/>
      <c r="E93" s="1163"/>
      <c r="F93" s="1163"/>
      <c r="G93" s="1163"/>
      <c r="H93" s="1163"/>
      <c r="I93" s="1163"/>
      <c r="J93" s="1278"/>
      <c r="K93" s="1163"/>
      <c r="L93" s="1279"/>
      <c r="W93" s="1163"/>
      <c r="X93" s="1163"/>
      <c r="Y93" s="1163"/>
    </row>
    <row r="94" spans="1:28" s="1248" customFormat="1" ht="19.5" customHeight="1">
      <c r="A94" s="1249"/>
      <c r="C94" s="1163"/>
      <c r="D94" s="1163"/>
      <c r="E94" s="1280"/>
      <c r="F94" s="1163"/>
      <c r="G94" s="1163"/>
      <c r="H94" s="1163"/>
      <c r="I94" s="1163"/>
      <c r="J94" s="1278"/>
      <c r="K94" s="1163"/>
      <c r="T94" s="1279"/>
      <c r="U94" s="1279"/>
      <c r="V94" s="1279"/>
      <c r="W94" s="1163"/>
      <c r="X94" s="1163"/>
      <c r="Y94" s="1163"/>
    </row>
    <row r="95" spans="1:28" s="1248" customFormat="1" ht="19.5" customHeight="1">
      <c r="A95" s="1249"/>
      <c r="C95" s="1163"/>
      <c r="D95" s="1163"/>
      <c r="E95" s="1280"/>
      <c r="F95" s="1163"/>
      <c r="G95" s="1163"/>
      <c r="H95" s="1163"/>
      <c r="I95" s="1163"/>
      <c r="J95" s="1278"/>
      <c r="K95" s="1163"/>
      <c r="T95" s="1279"/>
      <c r="U95" s="1279"/>
      <c r="V95" s="1279"/>
      <c r="W95" s="1163"/>
      <c r="X95" s="1163"/>
      <c r="Y95" s="1163"/>
    </row>
    <row r="96" spans="1:28" s="1248" customFormat="1" ht="26.25" customHeight="1">
      <c r="A96" s="1507"/>
      <c r="B96" s="1507"/>
      <c r="C96" s="1507"/>
      <c r="D96" s="1507"/>
      <c r="E96" s="1507"/>
      <c r="G96" s="1249"/>
      <c r="H96" s="1249"/>
      <c r="I96" s="1249"/>
      <c r="L96" s="1481"/>
      <c r="M96" s="1481"/>
      <c r="N96" s="1481"/>
      <c r="O96" s="1481"/>
      <c r="P96" s="1481"/>
      <c r="Q96" s="1481"/>
      <c r="R96" s="1481"/>
      <c r="S96" s="1481"/>
      <c r="T96" s="1481"/>
      <c r="U96" s="1163"/>
      <c r="V96" s="1163"/>
      <c r="X96" s="1481"/>
      <c r="Y96" s="1481"/>
      <c r="Z96" s="1481"/>
    </row>
    <row r="97" spans="1:26" s="1248" customFormat="1" ht="19.5" customHeight="1">
      <c r="A97" s="1249"/>
      <c r="C97" s="1163"/>
      <c r="D97" s="1280"/>
      <c r="E97" s="1279"/>
      <c r="F97" s="1281"/>
      <c r="G97" s="1281"/>
      <c r="H97" s="1281"/>
      <c r="I97" s="1281"/>
      <c r="J97" s="1278"/>
      <c r="K97" s="1163"/>
      <c r="L97" s="1279"/>
      <c r="T97" s="1245"/>
      <c r="U97" s="1245"/>
      <c r="V97" s="1245"/>
      <c r="W97" s="1279"/>
    </row>
    <row r="98" spans="1:26" s="1248" customFormat="1" ht="19.5" customHeight="1">
      <c r="A98" s="1249"/>
      <c r="C98" s="1163"/>
      <c r="D98" s="1280"/>
      <c r="E98" s="1279"/>
      <c r="F98" s="1281"/>
      <c r="G98" s="1281"/>
      <c r="H98" s="1281"/>
      <c r="I98" s="1281"/>
      <c r="J98" s="1278"/>
      <c r="K98" s="1163"/>
      <c r="L98" s="1279"/>
      <c r="W98" s="1245"/>
      <c r="X98" s="1279"/>
    </row>
    <row r="99" spans="1:26">
      <c r="B99" s="1245"/>
      <c r="C99" s="1245"/>
      <c r="E99" s="1282"/>
      <c r="F99" s="1282"/>
      <c r="G99" s="1282"/>
      <c r="H99" s="1282"/>
      <c r="I99" s="1282"/>
      <c r="J99" s="307"/>
      <c r="K99" s="307"/>
      <c r="L99" s="1282"/>
    </row>
    <row r="100" spans="1:26">
      <c r="B100" s="1245"/>
      <c r="C100" s="1245"/>
      <c r="E100" s="1282"/>
      <c r="F100" s="1175"/>
      <c r="G100" s="1175"/>
      <c r="H100" s="1175"/>
      <c r="I100" s="1175"/>
      <c r="J100" s="307"/>
      <c r="K100" s="307"/>
      <c r="L100" s="1175"/>
      <c r="M100" s="1491"/>
      <c r="N100" s="1491"/>
      <c r="O100" s="1491"/>
      <c r="P100" s="1283"/>
      <c r="Q100" s="1283"/>
      <c r="R100" s="1283"/>
      <c r="S100" s="1283"/>
    </row>
    <row r="101" spans="1:26">
      <c r="B101" s="1245"/>
      <c r="C101" s="1245"/>
      <c r="E101" s="1282"/>
      <c r="J101" s="307"/>
      <c r="K101" s="307"/>
      <c r="L101" s="1245"/>
      <c r="W101" s="1284"/>
    </row>
    <row r="102" spans="1:26" ht="409.6" customHeight="1">
      <c r="B102" s="1245"/>
      <c r="C102" s="1282"/>
      <c r="E102" s="1282"/>
      <c r="J102" s="307"/>
      <c r="K102" s="307"/>
      <c r="L102" s="1245"/>
    </row>
    <row r="103" spans="1:26">
      <c r="B103" s="1245"/>
      <c r="C103" s="1245"/>
      <c r="D103" s="1282"/>
      <c r="E103" s="1282"/>
      <c r="K103" s="1253"/>
      <c r="L103" s="1245"/>
    </row>
    <row r="104" spans="1:26">
      <c r="B104" s="1245"/>
      <c r="C104" s="1282"/>
      <c r="D104" s="1285"/>
      <c r="E104" s="1492"/>
      <c r="F104" s="1282"/>
      <c r="G104" s="1282"/>
      <c r="H104" s="1282"/>
      <c r="I104" s="1282"/>
      <c r="J104" s="307"/>
      <c r="K104" s="307"/>
      <c r="L104" s="1175"/>
    </row>
    <row r="105" spans="1:26">
      <c r="B105" s="1245"/>
      <c r="C105" s="1245"/>
      <c r="E105" s="1492"/>
      <c r="F105" s="1282"/>
      <c r="G105" s="1282"/>
      <c r="H105" s="1282"/>
      <c r="I105" s="1282"/>
      <c r="J105" s="307"/>
      <c r="K105" s="307"/>
      <c r="L105" s="1282"/>
    </row>
    <row r="106" spans="1:26">
      <c r="B106" s="1245"/>
      <c r="C106" s="1245"/>
      <c r="E106" s="1492"/>
      <c r="F106" s="1282"/>
      <c r="G106" s="1282"/>
      <c r="H106" s="1282"/>
      <c r="I106" s="1282"/>
      <c r="J106" s="307"/>
      <c r="K106" s="307"/>
      <c r="L106" s="1245"/>
      <c r="M106" s="1175"/>
      <c r="N106" s="1175"/>
      <c r="O106" s="1175"/>
      <c r="P106" s="1175"/>
      <c r="Q106" s="1175"/>
      <c r="R106" s="1175"/>
      <c r="S106" s="1175"/>
      <c r="T106" s="1175"/>
      <c r="U106" s="1175"/>
      <c r="V106" s="1175"/>
      <c r="W106" s="1175"/>
      <c r="Z106" s="1282"/>
    </row>
    <row r="107" spans="1:26">
      <c r="B107" s="1245"/>
      <c r="C107" s="1245"/>
      <c r="E107" s="1492"/>
      <c r="F107" s="1282"/>
      <c r="G107" s="1282"/>
      <c r="H107" s="1282"/>
      <c r="I107" s="1282"/>
      <c r="J107" s="307"/>
      <c r="K107" s="307"/>
      <c r="L107" s="1245"/>
      <c r="M107" s="1283"/>
      <c r="N107" s="1283"/>
      <c r="O107" s="1283"/>
      <c r="P107" s="1283"/>
      <c r="Q107" s="1283"/>
      <c r="R107" s="1283"/>
      <c r="S107" s="1283"/>
      <c r="T107" s="1283"/>
      <c r="U107" s="1283"/>
      <c r="V107" s="1283"/>
      <c r="W107" s="1283"/>
      <c r="Z107" s="1282"/>
    </row>
    <row r="108" spans="1:26">
      <c r="B108" s="1245"/>
      <c r="C108" s="1245"/>
      <c r="E108" s="1282"/>
      <c r="F108" s="1282"/>
      <c r="G108" s="1282"/>
      <c r="H108" s="1282"/>
      <c r="I108" s="1282"/>
      <c r="J108" s="307"/>
      <c r="K108" s="307"/>
      <c r="L108" s="1245"/>
      <c r="M108" s="1283"/>
      <c r="N108" s="1283"/>
      <c r="O108" s="1283"/>
      <c r="P108" s="1283"/>
      <c r="Q108" s="1283"/>
      <c r="R108" s="1283"/>
      <c r="S108" s="1283"/>
      <c r="T108" s="1283"/>
      <c r="U108" s="1283"/>
      <c r="V108" s="1283"/>
      <c r="W108" s="1283"/>
      <c r="Z108" s="1282"/>
    </row>
    <row r="109" spans="1:26">
      <c r="B109" s="1245"/>
      <c r="C109" s="1245"/>
      <c r="E109" s="1282"/>
      <c r="F109" s="1282"/>
      <c r="G109" s="1282"/>
      <c r="H109" s="1282"/>
      <c r="I109" s="1282"/>
      <c r="J109" s="307"/>
      <c r="K109" s="307"/>
      <c r="L109" s="1245"/>
      <c r="M109" s="1283"/>
      <c r="N109" s="1283"/>
      <c r="O109" s="1283"/>
      <c r="P109" s="1283"/>
      <c r="Q109" s="1283"/>
      <c r="R109" s="1283"/>
      <c r="S109" s="1283"/>
      <c r="T109" s="1283"/>
      <c r="U109" s="1283"/>
      <c r="V109" s="1283"/>
      <c r="W109" s="1283"/>
      <c r="Z109" s="1282"/>
    </row>
    <row r="110" spans="1:26">
      <c r="B110" s="1245"/>
      <c r="C110" s="1245"/>
      <c r="E110" s="1282"/>
      <c r="F110" s="1282"/>
      <c r="G110" s="1282"/>
      <c r="H110" s="1282"/>
      <c r="I110" s="1282"/>
      <c r="J110" s="307"/>
      <c r="K110" s="307"/>
      <c r="L110" s="1245"/>
      <c r="M110" s="1283"/>
      <c r="N110" s="1283"/>
      <c r="O110" s="1283"/>
      <c r="P110" s="1283"/>
      <c r="Q110" s="1283"/>
      <c r="R110" s="1283"/>
      <c r="S110" s="1283"/>
      <c r="T110" s="1283"/>
      <c r="U110" s="1283"/>
      <c r="V110" s="1283"/>
      <c r="W110" s="1283"/>
      <c r="Z110" s="1282"/>
    </row>
    <row r="111" spans="1:26">
      <c r="B111" s="1245"/>
      <c r="C111" s="1245"/>
      <c r="E111" s="1282"/>
      <c r="F111" s="1282"/>
      <c r="G111" s="1282"/>
      <c r="H111" s="1282"/>
      <c r="I111" s="1282"/>
      <c r="J111" s="307"/>
      <c r="K111" s="307"/>
      <c r="L111" s="1245"/>
      <c r="M111" s="1283"/>
      <c r="N111" s="1283"/>
      <c r="O111" s="1283"/>
      <c r="P111" s="1283"/>
      <c r="Q111" s="1283"/>
      <c r="R111" s="1283"/>
      <c r="S111" s="1283"/>
      <c r="T111" s="1283"/>
      <c r="U111" s="1283"/>
      <c r="V111" s="1283"/>
      <c r="W111" s="1283"/>
      <c r="Z111" s="1282"/>
    </row>
    <row r="112" spans="1:26">
      <c r="B112" s="1245"/>
      <c r="C112" s="1245"/>
      <c r="E112" s="1282"/>
      <c r="F112" s="1282"/>
      <c r="G112" s="1282"/>
      <c r="H112" s="1282"/>
      <c r="I112" s="1282"/>
      <c r="J112" s="307"/>
      <c r="K112" s="307"/>
      <c r="L112" s="1245"/>
      <c r="M112" s="1283"/>
      <c r="N112" s="1283"/>
      <c r="O112" s="1283"/>
      <c r="P112" s="1283"/>
      <c r="Q112" s="1283"/>
      <c r="R112" s="1283"/>
      <c r="S112" s="1283"/>
      <c r="T112" s="1283"/>
      <c r="U112" s="1283"/>
      <c r="V112" s="1283"/>
      <c r="W112" s="1283"/>
      <c r="Z112" s="1282"/>
    </row>
    <row r="113" spans="1:26">
      <c r="B113" s="1245"/>
      <c r="C113" s="1245"/>
      <c r="E113" s="1282"/>
      <c r="F113" s="1282"/>
      <c r="G113" s="1282"/>
      <c r="H113" s="1282"/>
      <c r="I113" s="1282"/>
      <c r="J113" s="307"/>
      <c r="K113" s="307"/>
      <c r="L113" s="1245"/>
      <c r="M113" s="1283"/>
      <c r="N113" s="1283"/>
      <c r="O113" s="1283"/>
      <c r="P113" s="1283"/>
      <c r="Q113" s="1283"/>
      <c r="R113" s="1283"/>
      <c r="S113" s="1283"/>
      <c r="T113" s="1283"/>
      <c r="U113" s="1283"/>
      <c r="V113" s="1283"/>
      <c r="W113" s="1283"/>
      <c r="Z113" s="1282"/>
    </row>
    <row r="114" spans="1:26">
      <c r="B114" s="1245"/>
      <c r="C114" s="1245"/>
      <c r="E114" s="1245"/>
      <c r="J114" s="307"/>
      <c r="K114" s="307"/>
      <c r="L114" s="1245"/>
      <c r="M114" s="1493"/>
      <c r="N114" s="1493"/>
      <c r="O114" s="1493"/>
      <c r="P114" s="1253"/>
      <c r="Q114" s="1253"/>
      <c r="R114" s="1253"/>
      <c r="S114" s="1253"/>
    </row>
    <row r="115" spans="1:26">
      <c r="B115" s="1245"/>
      <c r="C115" s="1245"/>
      <c r="E115" s="1245"/>
      <c r="J115" s="724"/>
      <c r="K115" s="724"/>
      <c r="L115" s="1245"/>
    </row>
    <row r="116" spans="1:26">
      <c r="B116" s="1245"/>
      <c r="C116" s="1245"/>
      <c r="E116" s="1282"/>
      <c r="J116" s="307"/>
      <c r="K116" s="307"/>
      <c r="L116" s="1245"/>
    </row>
    <row r="117" spans="1:26">
      <c r="B117" s="1245"/>
      <c r="C117" s="1245"/>
      <c r="E117" s="1282"/>
      <c r="J117" s="307"/>
      <c r="K117" s="307"/>
      <c r="L117" s="1245"/>
    </row>
    <row r="118" spans="1:26">
      <c r="B118" s="1245"/>
      <c r="C118" s="1245"/>
      <c r="E118" s="1282"/>
      <c r="J118" s="307"/>
      <c r="K118" s="307"/>
      <c r="L118" s="1245"/>
    </row>
    <row r="119" spans="1:26">
      <c r="A119" s="1245"/>
      <c r="J119" s="307"/>
      <c r="K119" s="307"/>
    </row>
    <row r="120" spans="1:26">
      <c r="A120" s="1245"/>
      <c r="J120" s="307"/>
      <c r="K120" s="307"/>
    </row>
    <row r="121" spans="1:26">
      <c r="A121" s="1245"/>
      <c r="J121" s="307"/>
      <c r="K121" s="307"/>
      <c r="Z121" s="1253"/>
    </row>
    <row r="122" spans="1:26">
      <c r="A122" s="1245"/>
      <c r="J122" s="307"/>
      <c r="K122" s="307"/>
      <c r="Z122" s="1253"/>
    </row>
    <row r="123" spans="1:26">
      <c r="A123" s="1245"/>
      <c r="J123" s="307"/>
      <c r="K123" s="307"/>
      <c r="Z123" s="1253"/>
    </row>
    <row r="124" spans="1:26" ht="28.5" customHeight="1">
      <c r="A124" s="1245"/>
      <c r="B124" s="1287"/>
      <c r="J124" s="1494"/>
      <c r="K124" s="1494"/>
      <c r="T124" s="1493"/>
      <c r="U124" s="1493"/>
      <c r="V124" s="1493"/>
      <c r="W124" s="1493"/>
    </row>
    <row r="125" spans="1:26">
      <c r="A125" s="1245"/>
      <c r="B125" s="1288"/>
      <c r="F125" s="1282"/>
      <c r="G125" s="1282"/>
      <c r="H125" s="1282"/>
      <c r="I125" s="1282"/>
      <c r="J125" s="307"/>
      <c r="K125" s="307"/>
    </row>
    <row r="126" spans="1:26">
      <c r="A126" s="1245"/>
      <c r="B126" s="1288"/>
      <c r="E126" s="1245"/>
      <c r="J126" s="307"/>
      <c r="K126" s="343"/>
    </row>
    <row r="127" spans="1:26">
      <c r="A127" s="1245"/>
      <c r="B127" s="1288"/>
      <c r="J127" s="307"/>
      <c r="K127" s="343"/>
    </row>
    <row r="128" spans="1:26">
      <c r="A128" s="1245"/>
      <c r="J128" s="307"/>
      <c r="K128" s="343"/>
    </row>
    <row r="129" spans="2:14" s="1245" customFormat="1">
      <c r="B129" s="1253"/>
      <c r="C129" s="1286"/>
      <c r="E129" s="342"/>
      <c r="F129" s="1494"/>
      <c r="G129" s="1494"/>
      <c r="H129" s="1494"/>
      <c r="I129" s="1494"/>
      <c r="J129" s="1494"/>
      <c r="K129" s="343"/>
      <c r="L129" s="306"/>
    </row>
    <row r="131" spans="2:14" s="1245" customFormat="1">
      <c r="B131" s="1253"/>
      <c r="C131" s="1286"/>
      <c r="E131" s="342"/>
      <c r="J131" s="1489"/>
      <c r="K131" s="1489"/>
      <c r="L131" s="306"/>
    </row>
    <row r="133" spans="2:14" s="1245" customFormat="1">
      <c r="B133" s="1253"/>
      <c r="C133" s="1286"/>
      <c r="E133" s="342"/>
      <c r="F133" s="1282"/>
      <c r="G133" s="1282"/>
      <c r="H133" s="1282"/>
      <c r="I133" s="1282"/>
      <c r="J133" s="307"/>
      <c r="K133" s="305"/>
      <c r="L133" s="306"/>
    </row>
    <row r="134" spans="2:14" s="1245" customFormat="1">
      <c r="B134" s="1253"/>
      <c r="C134" s="1286"/>
      <c r="E134" s="342"/>
      <c r="J134" s="304"/>
      <c r="K134" s="305"/>
      <c r="L134" s="306"/>
      <c r="M134" s="1282"/>
      <c r="N134" s="1282"/>
    </row>
    <row r="138" spans="2:14" s="1245" customFormat="1">
      <c r="B138" s="1253"/>
      <c r="C138" s="1286"/>
      <c r="E138" s="342"/>
      <c r="F138" s="1282"/>
      <c r="G138" s="1282"/>
      <c r="H138" s="1282"/>
      <c r="I138" s="1282"/>
      <c r="J138" s="304"/>
      <c r="K138" s="305"/>
      <c r="L138" s="306"/>
    </row>
    <row r="139" spans="2:14" s="1245" customFormat="1">
      <c r="F139" s="1282"/>
      <c r="G139" s="1282"/>
      <c r="H139" s="1282"/>
      <c r="I139" s="1282"/>
      <c r="J139" s="304"/>
      <c r="K139" s="305"/>
      <c r="L139" s="306"/>
    </row>
    <row r="145" spans="10:23" s="1245" customFormat="1">
      <c r="J145" s="304"/>
      <c r="K145" s="305">
        <v>1678</v>
      </c>
      <c r="L145" s="306">
        <v>1573</v>
      </c>
      <c r="M145" s="1245">
        <v>1187</v>
      </c>
      <c r="O145" s="1245">
        <v>1183</v>
      </c>
      <c r="W145" s="1245">
        <f>SUM(K145:O145)</f>
        <v>5621</v>
      </c>
    </row>
    <row r="146" spans="10:23" s="1245" customFormat="1">
      <c r="J146" s="304"/>
      <c r="K146" s="305">
        <v>257</v>
      </c>
      <c r="L146" s="306">
        <v>244</v>
      </c>
      <c r="M146" s="1245">
        <v>183</v>
      </c>
      <c r="O146" s="1245">
        <v>182</v>
      </c>
      <c r="W146" s="1245">
        <f>SUM(K146:O146)</f>
        <v>866</v>
      </c>
    </row>
    <row r="147" spans="10:23" s="1245" customFormat="1">
      <c r="J147" s="304"/>
      <c r="K147" s="305">
        <v>1935</v>
      </c>
      <c r="L147" s="306">
        <v>1817</v>
      </c>
      <c r="M147" s="1245">
        <v>1370</v>
      </c>
      <c r="O147" s="1245">
        <v>1365</v>
      </c>
      <c r="W147" s="1245">
        <f>SUM(K147:O147)</f>
        <v>6487</v>
      </c>
    </row>
  </sheetData>
  <mergeCells count="36">
    <mergeCell ref="X13:Y13"/>
    <mergeCell ref="E104:E107"/>
    <mergeCell ref="A84:Z84"/>
    <mergeCell ref="M100:O100"/>
    <mergeCell ref="X96:Z96"/>
    <mergeCell ref="E14:W14"/>
    <mergeCell ref="E15:F15"/>
    <mergeCell ref="G15:L15"/>
    <mergeCell ref="W86:Z86"/>
    <mergeCell ref="L96:T96"/>
    <mergeCell ref="A96:E96"/>
    <mergeCell ref="M15:W15"/>
    <mergeCell ref="Y14:Y16"/>
    <mergeCell ref="Z14:Z16"/>
    <mergeCell ref="X14:X16"/>
    <mergeCell ref="F129:J129"/>
    <mergeCell ref="J131:K131"/>
    <mergeCell ref="M114:O114"/>
    <mergeCell ref="J124:K124"/>
    <mergeCell ref="T124:W124"/>
    <mergeCell ref="A1:Z1"/>
    <mergeCell ref="A5:J5"/>
    <mergeCell ref="A9:Z9"/>
    <mergeCell ref="A87:Z87"/>
    <mergeCell ref="S85:Z85"/>
    <mergeCell ref="A83:D83"/>
    <mergeCell ref="A11:Z11"/>
    <mergeCell ref="C12:D12"/>
    <mergeCell ref="C13:D13"/>
    <mergeCell ref="A14:A16"/>
    <mergeCell ref="B14:B16"/>
    <mergeCell ref="C14:C16"/>
    <mergeCell ref="A2:Z2"/>
    <mergeCell ref="D14:D16"/>
    <mergeCell ref="A3:Z3"/>
    <mergeCell ref="A6:J6"/>
  </mergeCells>
  <printOptions horizontalCentered="1"/>
  <pageMargins left="0.196850393700787" right="0.196850393700787" top="0.23622047244094499" bottom="0.196850393700787" header="0.15748031496063" footer="0.196850393700787"/>
  <pageSetup paperSize="9" scale="43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224"/>
  <sheetViews>
    <sheetView topLeftCell="A9" zoomScale="50" zoomScaleNormal="50" zoomScaleSheetLayoutView="70" workbookViewId="0">
      <pane ySplit="7" topLeftCell="A160" activePane="bottomLeft" state="frozen"/>
      <selection activeCell="A9" sqref="A9"/>
      <selection pane="bottomLeft" activeCell="G171" sqref="G171"/>
    </sheetView>
  </sheetViews>
  <sheetFormatPr defaultColWidth="9.42578125" defaultRowHeight="48" customHeight="1"/>
  <cols>
    <col min="1" max="1" width="6.28515625" style="1156" customWidth="1"/>
    <col min="2" max="2" width="6" style="1157" customWidth="1"/>
    <col min="3" max="3" width="10.5703125" style="1158" customWidth="1"/>
    <col min="4" max="4" width="15.7109375" style="1159" customWidth="1"/>
    <col min="5" max="5" width="10.140625" style="1156" customWidth="1"/>
    <col min="6" max="6" width="14.7109375" style="589" customWidth="1"/>
    <col min="7" max="7" width="21.140625" style="1156" customWidth="1"/>
    <col min="8" max="8" width="14" style="1156" customWidth="1"/>
    <col min="9" max="9" width="11.140625" style="1156" hidden="1" customWidth="1"/>
    <col min="10" max="10" width="12.42578125" style="1156" customWidth="1"/>
    <col min="11" max="11" width="16.42578125" style="590" customWidth="1"/>
    <col min="12" max="12" width="13.140625" style="728" customWidth="1"/>
    <col min="13" max="13" width="17.7109375" style="591" customWidth="1"/>
    <col min="14" max="15" width="13" style="1156" customWidth="1"/>
    <col min="16" max="19" width="12.85546875" style="1156" customWidth="1"/>
    <col min="20" max="20" width="16.42578125" style="1156" customWidth="1"/>
    <col min="21" max="21" width="12.28515625" style="1156" customWidth="1"/>
    <col min="22" max="23" width="11.5703125" style="1156" customWidth="1"/>
    <col min="24" max="24" width="17.42578125" style="1156" customWidth="1"/>
    <col min="25" max="25" width="24.85546875" style="1156" customWidth="1"/>
    <col min="26" max="26" width="15.85546875" style="1156" hidden="1" customWidth="1"/>
    <col min="27" max="27" width="19" style="1156" customWidth="1"/>
    <col min="28" max="28" width="13" style="1156" hidden="1" customWidth="1"/>
    <col min="29" max="29" width="14.5703125" style="1156" customWidth="1"/>
    <col min="30" max="30" width="24.85546875" style="1156" customWidth="1"/>
    <col min="31" max="31" width="27.42578125" style="1160" customWidth="1"/>
    <col min="32" max="32" width="16.28515625" style="1160" customWidth="1"/>
    <col min="33" max="33" width="16" style="1160" customWidth="1"/>
    <col min="34" max="34" width="14.5703125" style="1160" customWidth="1"/>
    <col min="35" max="35" width="11.5703125" style="1160" bestFit="1" customWidth="1"/>
    <col min="36" max="36" width="16.140625" style="1160" customWidth="1"/>
    <col min="37" max="37" width="9.42578125" style="1160"/>
    <col min="38" max="38" width="16" style="1160" customWidth="1"/>
    <col min="39" max="16384" width="9.42578125" style="1156"/>
  </cols>
  <sheetData>
    <row r="1" spans="1:38" ht="10.5" customHeight="1"/>
    <row r="2" spans="1:38" ht="17.25" customHeight="1">
      <c r="AE2" s="1512" t="s">
        <v>414</v>
      </c>
      <c r="AF2" s="1512"/>
    </row>
    <row r="3" spans="1:38" ht="25.5" customHeight="1">
      <c r="B3" s="1513" t="s">
        <v>51</v>
      </c>
      <c r="C3" s="1513"/>
      <c r="D3" s="1513"/>
      <c r="E3" s="1513"/>
      <c r="F3" s="1513"/>
      <c r="G3" s="1513"/>
      <c r="H3" s="1513"/>
      <c r="I3" s="1513"/>
      <c r="J3" s="1513"/>
      <c r="K3" s="1513"/>
      <c r="L3" s="1513"/>
      <c r="M3" s="1513"/>
      <c r="N3" s="1513"/>
      <c r="O3" s="1513"/>
      <c r="P3" s="1513"/>
      <c r="Q3" s="1513"/>
      <c r="R3" s="1513"/>
      <c r="S3" s="1513"/>
      <c r="T3" s="1513"/>
      <c r="U3" s="1513"/>
      <c r="V3" s="1513"/>
      <c r="W3" s="1513"/>
      <c r="X3" s="1513"/>
      <c r="Y3" s="1513"/>
      <c r="Z3" s="1513"/>
      <c r="AA3" s="1513"/>
      <c r="AB3" s="1513"/>
      <c r="AC3" s="1513"/>
      <c r="AD3" s="725"/>
      <c r="AE3" s="1161" t="s">
        <v>32</v>
      </c>
      <c r="AF3" s="592">
        <v>368.4</v>
      </c>
    </row>
    <row r="4" spans="1:38" ht="25.5" customHeight="1">
      <c r="B4" s="1513" t="s">
        <v>38</v>
      </c>
      <c r="C4" s="1513"/>
      <c r="D4" s="1513"/>
      <c r="E4" s="1513"/>
      <c r="F4" s="1513"/>
      <c r="G4" s="1513"/>
      <c r="H4" s="1513"/>
      <c r="I4" s="1513"/>
      <c r="J4" s="1513"/>
      <c r="K4" s="1513"/>
      <c r="L4" s="1513"/>
      <c r="M4" s="1513"/>
      <c r="N4" s="1513"/>
      <c r="O4" s="1513"/>
      <c r="P4" s="1513"/>
      <c r="Q4" s="1513"/>
      <c r="R4" s="1513"/>
      <c r="S4" s="1513"/>
      <c r="T4" s="1513"/>
      <c r="U4" s="1513"/>
      <c r="V4" s="1513"/>
      <c r="W4" s="1513"/>
      <c r="X4" s="1513"/>
      <c r="Y4" s="1513"/>
      <c r="Z4" s="1513"/>
      <c r="AA4" s="1513"/>
      <c r="AB4" s="1513"/>
      <c r="AC4" s="1513"/>
      <c r="AD4" s="725"/>
      <c r="AE4" s="1161" t="s">
        <v>394</v>
      </c>
      <c r="AF4" s="1162">
        <v>146.995</v>
      </c>
    </row>
    <row r="5" spans="1:38" ht="25.5" customHeight="1">
      <c r="B5" s="1514" t="s">
        <v>277</v>
      </c>
      <c r="C5" s="1514"/>
      <c r="D5" s="1514"/>
      <c r="E5" s="1514"/>
      <c r="F5" s="1514"/>
      <c r="G5" s="1514"/>
      <c r="H5" s="1514"/>
      <c r="I5" s="1514"/>
      <c r="J5" s="1514"/>
      <c r="K5" s="1514"/>
      <c r="L5" s="1514"/>
      <c r="M5" s="1514"/>
      <c r="N5" s="1514"/>
      <c r="O5" s="1514"/>
      <c r="P5" s="1514"/>
      <c r="Q5" s="1514"/>
      <c r="R5" s="1514"/>
      <c r="S5" s="1514"/>
      <c r="T5" s="1514"/>
      <c r="U5" s="1514"/>
      <c r="V5" s="1514"/>
      <c r="W5" s="1514"/>
      <c r="X5" s="1514"/>
      <c r="Y5" s="1514"/>
      <c r="Z5" s="1514"/>
      <c r="AA5" s="1514"/>
      <c r="AB5" s="1514"/>
      <c r="AC5" s="1514"/>
      <c r="AD5" s="1163"/>
      <c r="AE5" s="1164" t="s">
        <v>395</v>
      </c>
    </row>
    <row r="6" spans="1:38" ht="25.5" customHeight="1">
      <c r="B6" s="1515" t="s">
        <v>550</v>
      </c>
      <c r="C6" s="1515"/>
      <c r="D6" s="1515"/>
      <c r="E6" s="1515"/>
      <c r="F6" s="1515"/>
      <c r="G6" s="1515"/>
      <c r="H6" s="1515"/>
      <c r="I6" s="1165"/>
      <c r="J6" s="1165"/>
      <c r="K6" s="774"/>
      <c r="L6" s="774"/>
      <c r="M6" s="774"/>
      <c r="N6" s="774"/>
      <c r="O6" s="774"/>
      <c r="P6" s="774"/>
      <c r="Q6" s="774"/>
      <c r="R6" s="774"/>
      <c r="S6" s="774"/>
      <c r="T6" s="774"/>
      <c r="U6" s="774"/>
      <c r="V6" s="774"/>
      <c r="W6" s="774"/>
      <c r="X6" s="775"/>
      <c r="Y6" s="775"/>
      <c r="Z6" s="775"/>
      <c r="AA6" s="775"/>
      <c r="AB6" s="775"/>
      <c r="AC6" s="1166"/>
      <c r="AE6" s="1516" t="s">
        <v>136</v>
      </c>
      <c r="AF6" s="1516"/>
      <c r="AG6" s="1516" t="s">
        <v>114</v>
      </c>
      <c r="AH6" s="1516"/>
      <c r="AI6" s="1516" t="s">
        <v>137</v>
      </c>
      <c r="AJ6" s="1516"/>
      <c r="AK6" s="1516" t="s">
        <v>115</v>
      </c>
      <c r="AL6" s="1516"/>
    </row>
    <row r="7" spans="1:38" ht="25.5" customHeight="1">
      <c r="B7" s="1514" t="s">
        <v>537</v>
      </c>
      <c r="C7" s="1514"/>
      <c r="D7" s="1514"/>
      <c r="E7" s="1514"/>
      <c r="F7" s="1514"/>
      <c r="G7" s="1514"/>
      <c r="H7" s="1514"/>
      <c r="I7" s="1165"/>
      <c r="J7" s="1165"/>
      <c r="K7" s="774"/>
      <c r="L7" s="774"/>
      <c r="M7" s="774"/>
      <c r="N7" s="774"/>
      <c r="O7" s="774"/>
      <c r="P7" s="774"/>
      <c r="Q7" s="774"/>
      <c r="R7" s="774"/>
      <c r="S7" s="774"/>
      <c r="T7" s="774"/>
      <c r="U7" s="774"/>
      <c r="V7" s="774"/>
      <c r="W7" s="774"/>
      <c r="X7" s="775"/>
      <c r="Y7" s="775"/>
      <c r="Z7" s="775"/>
      <c r="AA7" s="775"/>
      <c r="AB7" s="775"/>
      <c r="AC7" s="1166"/>
      <c r="AE7" s="1167" t="s">
        <v>32</v>
      </c>
      <c r="AF7" s="1168">
        <f>'BTH mủ tạp'!$AK$16</f>
        <v>291671</v>
      </c>
      <c r="AG7" s="1167" t="s">
        <v>32</v>
      </c>
      <c r="AH7" s="1168" t="e">
        <f>'BTH mủ tạp'!#REF!</f>
        <v>#REF!</v>
      </c>
      <c r="AI7" s="1167" t="s">
        <v>32</v>
      </c>
      <c r="AJ7" s="1168">
        <f>'BTH mủ tạp'!AK98</f>
        <v>248798</v>
      </c>
      <c r="AK7" s="1167" t="s">
        <v>32</v>
      </c>
      <c r="AL7" s="1168" t="e">
        <f>'BTH mủ tạp'!#REF!</f>
        <v>#REF!</v>
      </c>
    </row>
    <row r="8" spans="1:38" ht="22.5" customHeight="1">
      <c r="B8" s="1165"/>
      <c r="C8" s="1165"/>
      <c r="D8" s="1165"/>
      <c r="E8" s="1165"/>
      <c r="F8" s="1165"/>
      <c r="G8" s="1169"/>
      <c r="H8" s="1169"/>
      <c r="I8" s="1169"/>
      <c r="J8" s="1169"/>
      <c r="K8" s="774"/>
      <c r="L8" s="774"/>
      <c r="M8" s="774"/>
      <c r="N8" s="774"/>
      <c r="O8" s="774"/>
      <c r="P8" s="774"/>
      <c r="Q8" s="774"/>
      <c r="R8" s="774"/>
      <c r="S8" s="774"/>
      <c r="T8" s="774"/>
      <c r="U8" s="774"/>
      <c r="V8" s="774"/>
      <c r="W8" s="774"/>
      <c r="X8" s="775"/>
      <c r="Y8" s="776">
        <f>AF4/AF3</f>
        <v>0.39900922909880571</v>
      </c>
      <c r="Z8" s="775"/>
      <c r="AA8" s="775"/>
      <c r="AB8" s="775"/>
      <c r="AC8" s="1166"/>
      <c r="AE8" s="1167" t="s">
        <v>394</v>
      </c>
      <c r="AF8" s="1168">
        <f>'BTH mủ tạp'!$AM$16</f>
        <v>124584.01000000001</v>
      </c>
      <c r="AG8" s="1167" t="s">
        <v>394</v>
      </c>
      <c r="AH8" s="1168" t="e">
        <f>'BTH mủ tạp'!#REF!</f>
        <v>#REF!</v>
      </c>
      <c r="AI8" s="1167" t="s">
        <v>394</v>
      </c>
      <c r="AJ8" s="1168">
        <f>'BTH mủ tạp'!AM98</f>
        <v>107620.45899999999</v>
      </c>
      <c r="AK8" s="1167" t="s">
        <v>394</v>
      </c>
      <c r="AL8" s="1168" t="e">
        <f>'BTH mủ tạp'!#REF!</f>
        <v>#REF!</v>
      </c>
    </row>
    <row r="9" spans="1:38" s="1170" customFormat="1" ht="32.25" customHeight="1">
      <c r="B9" s="1480" t="s">
        <v>816</v>
      </c>
      <c r="C9" s="1480"/>
      <c r="D9" s="1480"/>
      <c r="E9" s="1480"/>
      <c r="F9" s="1480"/>
      <c r="G9" s="1480"/>
      <c r="H9" s="1480"/>
      <c r="I9" s="1480"/>
      <c r="J9" s="1480"/>
      <c r="K9" s="1480"/>
      <c r="L9" s="1480"/>
      <c r="M9" s="1480"/>
      <c r="N9" s="1480"/>
      <c r="O9" s="1480"/>
      <c r="P9" s="1480"/>
      <c r="Q9" s="1480"/>
      <c r="R9" s="1480"/>
      <c r="S9" s="1480"/>
      <c r="T9" s="1480"/>
      <c r="U9" s="1480"/>
      <c r="V9" s="1480"/>
      <c r="W9" s="1480"/>
      <c r="X9" s="1480"/>
      <c r="Y9" s="1480"/>
      <c r="Z9" s="1480"/>
      <c r="AA9" s="1480"/>
      <c r="AB9" s="1480"/>
      <c r="AC9" s="1480"/>
      <c r="AD9" s="1171"/>
      <c r="AE9" s="1164" t="s">
        <v>395</v>
      </c>
      <c r="AF9" s="711">
        <v>0.5</v>
      </c>
      <c r="AG9" s="1172" t="s">
        <v>395</v>
      </c>
      <c r="AH9" s="711">
        <v>0.5</v>
      </c>
      <c r="AI9" s="1172" t="s">
        <v>395</v>
      </c>
      <c r="AJ9" s="711">
        <v>0.5</v>
      </c>
      <c r="AK9" s="1172" t="s">
        <v>395</v>
      </c>
      <c r="AL9" s="711">
        <v>0.5</v>
      </c>
    </row>
    <row r="10" spans="1:38" s="1170" customFormat="1" ht="18.75" customHeight="1">
      <c r="B10" s="1173"/>
      <c r="C10" s="1174"/>
      <c r="F10" s="1175">
        <v>655.8</v>
      </c>
      <c r="G10" s="1176"/>
      <c r="L10" s="1174"/>
      <c r="M10" s="1174"/>
      <c r="N10" s="1174"/>
      <c r="O10" s="1174"/>
      <c r="P10" s="1174"/>
      <c r="Q10" s="1174"/>
      <c r="R10" s="1174"/>
      <c r="S10" s="1174"/>
      <c r="T10" s="1174"/>
      <c r="U10" s="1174"/>
      <c r="V10" s="1174"/>
      <c r="W10" s="1174"/>
      <c r="X10" s="1165" t="s">
        <v>543</v>
      </c>
      <c r="Y10" s="1165"/>
      <c r="Z10" s="1165"/>
      <c r="AA10" s="1165" t="s">
        <v>544</v>
      </c>
      <c r="AB10" s="1165" t="s">
        <v>415</v>
      </c>
      <c r="AC10" s="1165"/>
      <c r="AD10" s="1165"/>
      <c r="AE10" s="1164" t="s">
        <v>396</v>
      </c>
      <c r="AF10" s="711">
        <v>0.2</v>
      </c>
      <c r="AG10" s="1172" t="s">
        <v>396</v>
      </c>
      <c r="AH10" s="711">
        <v>0.2</v>
      </c>
      <c r="AI10" s="1172" t="s">
        <v>396</v>
      </c>
      <c r="AJ10" s="711">
        <v>0.2</v>
      </c>
      <c r="AK10" s="1172" t="s">
        <v>396</v>
      </c>
      <c r="AL10" s="711">
        <v>0.2</v>
      </c>
    </row>
    <row r="11" spans="1:38" ht="24" customHeight="1">
      <c r="B11" s="1177"/>
      <c r="C11" s="1178"/>
      <c r="D11" s="1523" t="s">
        <v>281</v>
      </c>
      <c r="E11" s="1523"/>
      <c r="F11" s="1179">
        <v>670.76</v>
      </c>
      <c r="G11" s="1180"/>
      <c r="H11" s="1180"/>
      <c r="I11" s="1180"/>
      <c r="J11" s="1180"/>
      <c r="K11" s="593"/>
      <c r="L11" s="594"/>
      <c r="M11" s="595"/>
      <c r="N11" s="596"/>
      <c r="O11" s="596"/>
      <c r="P11" s="596"/>
      <c r="Q11" s="596"/>
      <c r="R11" s="596"/>
      <c r="S11" s="596"/>
      <c r="T11" s="596"/>
      <c r="U11" s="596"/>
      <c r="V11" s="596"/>
      <c r="W11" s="596"/>
      <c r="X11" s="1181">
        <f>AF8/AF7</f>
        <v>0.42713883108022399</v>
      </c>
      <c r="Y11" s="1524"/>
      <c r="Z11" s="1524"/>
      <c r="AA11" s="962">
        <f>AJ8/AJ7</f>
        <v>0.43256159213498496</v>
      </c>
      <c r="AB11" s="1182"/>
      <c r="AC11" s="1182"/>
      <c r="AD11" s="1182"/>
    </row>
    <row r="12" spans="1:38" s="1185" customFormat="1" ht="24.75" customHeight="1">
      <c r="A12" s="1522" t="s">
        <v>4</v>
      </c>
      <c r="B12" s="1522"/>
      <c r="C12" s="1522" t="s">
        <v>89</v>
      </c>
      <c r="D12" s="1526" t="s">
        <v>13</v>
      </c>
      <c r="E12" s="1522" t="s">
        <v>17</v>
      </c>
      <c r="F12" s="1519" t="s">
        <v>18</v>
      </c>
      <c r="G12" s="1519"/>
      <c r="H12" s="1519"/>
      <c r="I12" s="1519"/>
      <c r="J12" s="1519"/>
      <c r="K12" s="1519"/>
      <c r="L12" s="1519"/>
      <c r="M12" s="1519"/>
      <c r="N12" s="1519"/>
      <c r="O12" s="1519"/>
      <c r="P12" s="1519"/>
      <c r="Q12" s="1519"/>
      <c r="R12" s="1519"/>
      <c r="S12" s="1519"/>
      <c r="T12" s="1519"/>
      <c r="U12" s="1519"/>
      <c r="V12" s="1519"/>
      <c r="W12" s="1519"/>
      <c r="X12" s="1519"/>
      <c r="Y12" s="1520" t="s">
        <v>344</v>
      </c>
      <c r="Z12" s="1520" t="s">
        <v>154</v>
      </c>
      <c r="AA12" s="1520" t="s">
        <v>346</v>
      </c>
      <c r="AB12" s="597" t="s">
        <v>19</v>
      </c>
      <c r="AC12" s="1521" t="s">
        <v>62</v>
      </c>
      <c r="AD12" s="1183"/>
      <c r="AE12" s="1184"/>
      <c r="AF12" s="1184"/>
      <c r="AG12" s="1184"/>
      <c r="AH12" s="1184"/>
      <c r="AI12" s="1184"/>
      <c r="AJ12" s="1184"/>
      <c r="AK12" s="1184"/>
      <c r="AL12" s="1184"/>
    </row>
    <row r="13" spans="1:38" s="1185" customFormat="1" ht="39" customHeight="1">
      <c r="A13" s="1522"/>
      <c r="B13" s="1522"/>
      <c r="C13" s="1522"/>
      <c r="D13" s="1526"/>
      <c r="E13" s="1522"/>
      <c r="F13" s="1522" t="s">
        <v>345</v>
      </c>
      <c r="G13" s="1522"/>
      <c r="H13" s="1520" t="s">
        <v>21</v>
      </c>
      <c r="I13" s="1520"/>
      <c r="J13" s="1520"/>
      <c r="K13" s="1520"/>
      <c r="L13" s="1520"/>
      <c r="M13" s="1520"/>
      <c r="N13" s="1520" t="s">
        <v>22</v>
      </c>
      <c r="O13" s="1520"/>
      <c r="P13" s="1520"/>
      <c r="Q13" s="1520"/>
      <c r="R13" s="1520"/>
      <c r="S13" s="1520"/>
      <c r="T13" s="1520"/>
      <c r="U13" s="1520"/>
      <c r="V13" s="1520"/>
      <c r="W13" s="1520"/>
      <c r="X13" s="1520"/>
      <c r="Y13" s="1520"/>
      <c r="Z13" s="1520"/>
      <c r="AA13" s="1520"/>
      <c r="AB13" s="597"/>
      <c r="AC13" s="1521"/>
      <c r="AD13" s="1183"/>
      <c r="AE13" s="1184"/>
      <c r="AF13" s="1184"/>
      <c r="AG13" s="1184"/>
      <c r="AH13" s="1184"/>
      <c r="AI13" s="1184"/>
      <c r="AJ13" s="1184"/>
      <c r="AK13" s="1184"/>
      <c r="AL13" s="1184"/>
    </row>
    <row r="14" spans="1:38" s="1189" customFormat="1" ht="94.5" customHeight="1">
      <c r="A14" s="1522"/>
      <c r="B14" s="1522"/>
      <c r="C14" s="1522"/>
      <c r="D14" s="1526"/>
      <c r="E14" s="1522"/>
      <c r="F14" s="857" t="s">
        <v>67</v>
      </c>
      <c r="G14" s="1186" t="s">
        <v>23</v>
      </c>
      <c r="H14" s="1186" t="s">
        <v>343</v>
      </c>
      <c r="I14" s="1186" t="s">
        <v>388</v>
      </c>
      <c r="J14" s="598" t="s">
        <v>397</v>
      </c>
      <c r="K14" s="865" t="s">
        <v>389</v>
      </c>
      <c r="L14" s="841" t="s">
        <v>24</v>
      </c>
      <c r="M14" s="841" t="s">
        <v>25</v>
      </c>
      <c r="N14" s="858" t="s">
        <v>416</v>
      </c>
      <c r="O14" s="1187" t="s">
        <v>441</v>
      </c>
      <c r="P14" s="1187" t="s">
        <v>442</v>
      </c>
      <c r="Q14" s="1187" t="s">
        <v>443</v>
      </c>
      <c r="R14" s="1187" t="s">
        <v>444</v>
      </c>
      <c r="S14" s="1187" t="s">
        <v>445</v>
      </c>
      <c r="T14" s="1187" t="s">
        <v>510</v>
      </c>
      <c r="U14" s="599" t="s">
        <v>841</v>
      </c>
      <c r="V14" s="599" t="s">
        <v>505</v>
      </c>
      <c r="W14" s="599"/>
      <c r="X14" s="597" t="s">
        <v>16</v>
      </c>
      <c r="Y14" s="1520"/>
      <c r="Z14" s="1520"/>
      <c r="AA14" s="1520"/>
      <c r="AB14" s="597"/>
      <c r="AC14" s="1521"/>
      <c r="AD14" s="1183"/>
      <c r="AE14" s="1188"/>
      <c r="AF14" s="1188"/>
      <c r="AG14" s="1188"/>
      <c r="AH14" s="1188"/>
      <c r="AI14" s="1188"/>
      <c r="AJ14" s="1188"/>
      <c r="AK14" s="1188"/>
      <c r="AL14" s="1188"/>
    </row>
    <row r="15" spans="1:38" s="1185" customFormat="1" ht="33.75" customHeight="1">
      <c r="A15" s="1521" t="s">
        <v>538</v>
      </c>
      <c r="B15" s="1521"/>
      <c r="C15" s="1521"/>
      <c r="D15" s="1521"/>
      <c r="E15" s="1521"/>
      <c r="F15" s="600">
        <f xml:space="preserve"> SUM(F16:F100)</f>
        <v>0</v>
      </c>
      <c r="G15" s="600">
        <f t="shared" ref="G15:AA15" si="0" xml:space="preserve"> SUM(G16:G100)</f>
        <v>0</v>
      </c>
      <c r="H15" s="600">
        <f t="shared" si="0"/>
        <v>291671</v>
      </c>
      <c r="I15" s="600">
        <f t="shared" si="0"/>
        <v>0</v>
      </c>
      <c r="J15" s="600">
        <f t="shared" si="0"/>
        <v>340</v>
      </c>
      <c r="K15" s="600">
        <f t="shared" si="0"/>
        <v>124768.22200000004</v>
      </c>
      <c r="L15" s="600">
        <f t="shared" si="0"/>
        <v>0</v>
      </c>
      <c r="M15" s="600">
        <f t="shared" si="0"/>
        <v>507569247</v>
      </c>
      <c r="N15" s="600">
        <f t="shared" si="0"/>
        <v>1865</v>
      </c>
      <c r="O15" s="600">
        <f t="shared" si="0"/>
        <v>143</v>
      </c>
      <c r="P15" s="600">
        <f t="shared" si="0"/>
        <v>0</v>
      </c>
      <c r="Q15" s="600">
        <f t="shared" si="0"/>
        <v>146</v>
      </c>
      <c r="R15" s="600">
        <f t="shared" si="0"/>
        <v>0</v>
      </c>
      <c r="S15" s="600">
        <f t="shared" si="0"/>
        <v>0</v>
      </c>
      <c r="T15" s="600">
        <f t="shared" si="0"/>
        <v>0</v>
      </c>
      <c r="U15" s="600">
        <f t="shared" si="0"/>
        <v>146</v>
      </c>
      <c r="V15" s="600">
        <f t="shared" si="0"/>
        <v>0</v>
      </c>
      <c r="W15" s="600">
        <f t="shared" si="0"/>
        <v>0</v>
      </c>
      <c r="X15" s="600">
        <f t="shared" si="0"/>
        <v>94707554</v>
      </c>
      <c r="Y15" s="600">
        <f t="shared" si="0"/>
        <v>602276801</v>
      </c>
      <c r="Z15" s="600">
        <f t="shared" si="0"/>
        <v>0</v>
      </c>
      <c r="AA15" s="600">
        <f t="shared" si="0"/>
        <v>602276801</v>
      </c>
      <c r="AB15" s="600">
        <f t="shared" ref="AB15" si="1" xml:space="preserve"> SUM(AB16:AB99)</f>
        <v>0</v>
      </c>
      <c r="AC15" s="1190"/>
      <c r="AD15" s="1191"/>
      <c r="AE15" s="1184"/>
      <c r="AF15" s="1184"/>
      <c r="AG15" s="1184"/>
      <c r="AH15" s="1184"/>
      <c r="AI15" s="1184"/>
      <c r="AJ15" s="1184"/>
      <c r="AK15" s="1184"/>
      <c r="AL15" s="1184"/>
    </row>
    <row r="16" spans="1:38" s="1320" customFormat="1" ht="33" customHeight="1">
      <c r="A16" s="1306">
        <v>1</v>
      </c>
      <c r="B16" s="1307">
        <v>1</v>
      </c>
      <c r="C16" s="1307">
        <f>'Chấm công KT'!C13</f>
        <v>0</v>
      </c>
      <c r="D16" s="1308" t="str">
        <f>TONGHOPCONGDOI!C11</f>
        <v xml:space="preserve">T. Lăm  </v>
      </c>
      <c r="E16" s="1307" t="s">
        <v>26</v>
      </c>
      <c r="F16" s="1309"/>
      <c r="G16" s="1310">
        <f>F16*25000</f>
        <v>0</v>
      </c>
      <c r="H16" s="1310">
        <f>VLOOKUP(D16,TONGHOPCONGDOI!C11:AD93,16,0)</f>
        <v>4389</v>
      </c>
      <c r="I16" s="1310">
        <f>VLOOKUP(D16,TONGHOPCONGDOI!C11:AD93,18,0)</f>
        <v>0</v>
      </c>
      <c r="J16" s="1310"/>
      <c r="K16" s="1311">
        <f t="shared" ref="K16:K47" si="2">$AF$8/$AF$7*H16+I16*$AF$9+J16*$AF$10</f>
        <v>1874.7123296111031</v>
      </c>
      <c r="L16" s="1312" t="str">
        <f>VLOOKUP(D16,'BTH mủ tạp'!$D$17:$AN$95,37,0)</f>
        <v>A</v>
      </c>
      <c r="M16" s="1313">
        <f>ROUND((IF(L16="A",(H16*$X$11*6.1),IF(L16="B",(H16*$X$11*5.8),IF(L16="C",(H16*$X$11*5.5),IF(L16="C.",(H16*$X$11*5.5),IF(L16="D",(H16*$X$11*5.2),0)))))*$F$11+(I16*$AF$9*$F$11*6.1)+J16*$F$11*$AF$10*6.1),0)</f>
        <v>7670640</v>
      </c>
      <c r="N16" s="1314">
        <f>VLOOKUP(D16,TONGHOPCONGDOI!$C$11:$AD$93,20,0)</f>
        <v>24</v>
      </c>
      <c r="O16" s="1314">
        <f>VLOOKUP(D16,TONGHOPCONGDOI!$C$11:$AD$93,21,0)</f>
        <v>1</v>
      </c>
      <c r="P16" s="1314">
        <f>VLOOKUP(D16,TONGHOPCONGDOI!$C$11:$AC$93,22,0)</f>
        <v>0</v>
      </c>
      <c r="Q16" s="1314">
        <f>VLOOKUP(D16,TONGHOPCONGDOI!$C$11:$AC$94,23,0)</f>
        <v>2</v>
      </c>
      <c r="R16" s="1314">
        <f>VLOOKUP(D16,TONGHOPCONGDOI!$C$11:$AC$94,24,0)</f>
        <v>0</v>
      </c>
      <c r="S16" s="1314">
        <f>VLOOKUP(D16,TONGHOPCONGDOI!$C$11:$AC$94,25,0)</f>
        <v>0</v>
      </c>
      <c r="T16" s="1314"/>
      <c r="U16" s="1308">
        <f>Q16</f>
        <v>2</v>
      </c>
      <c r="V16" s="1315"/>
      <c r="W16" s="1315"/>
      <c r="X16" s="1314">
        <f>ROUND(((N16*46.1)+(O16*76.9)+(P16*92.2)+(Q16*153.8)+(R16*92.2)+(S16*153.8))*$F$11+(T16*25000)+(U16*100000),0)</f>
        <v>1200036</v>
      </c>
      <c r="Y16" s="1314">
        <f>G16+M16+X16</f>
        <v>8870676</v>
      </c>
      <c r="Z16" s="1310"/>
      <c r="AA16" s="1316">
        <f>Y16-Z16</f>
        <v>8870676</v>
      </c>
      <c r="AB16" s="1310"/>
      <c r="AC16" s="1316"/>
      <c r="AD16" s="1317"/>
      <c r="AE16" s="1318"/>
      <c r="AF16" s="1319"/>
      <c r="AG16" s="1319"/>
      <c r="AH16" s="1319"/>
      <c r="AI16" s="1319"/>
      <c r="AJ16" s="1319"/>
      <c r="AK16" s="1319"/>
      <c r="AL16" s="1319"/>
    </row>
    <row r="17" spans="1:38" s="1320" customFormat="1" ht="33" customHeight="1">
      <c r="A17" s="1306">
        <v>2</v>
      </c>
      <c r="B17" s="1307">
        <v>2</v>
      </c>
      <c r="C17" s="1307" t="str">
        <f>'Chấm công KT'!C14</f>
        <v>04052</v>
      </c>
      <c r="D17" s="1308" t="str">
        <f>TONGHOPCONGDOI!C12</f>
        <v>T. Feng</v>
      </c>
      <c r="E17" s="1307" t="s">
        <v>26</v>
      </c>
      <c r="F17" s="1309"/>
      <c r="G17" s="1310">
        <f t="shared" ref="G17:G80" si="3">F17*25000</f>
        <v>0</v>
      </c>
      <c r="H17" s="1310">
        <f>VLOOKUP(D17,TONGHOPCONGDOI!C12:AD94,16,0)</f>
        <v>3838</v>
      </c>
      <c r="I17" s="1310">
        <f>VLOOKUP(D17,TONGHOPCONGDOI!C12:AD94,18,0)</f>
        <v>0</v>
      </c>
      <c r="J17" s="1310"/>
      <c r="K17" s="1311">
        <f>$AF$8/$AF$7*H17+I17*$AF$9+J17*N18</f>
        <v>1639.3588336858998</v>
      </c>
      <c r="L17" s="1312" t="str">
        <f>VLOOKUP(D17,'BTH mủ tạp'!$D$17:$AN$95,37,0)</f>
        <v>A</v>
      </c>
      <c r="M17" s="1313">
        <f t="shared" ref="M17:M80" si="4">ROUND((IF(L17="A",(H17*$X$11*6.1),IF(L17="B",(H17*$X$11*5.8),IF(L17="C",(H17*$X$11*5.5),IF(L17="C.",(H17*$X$11*5.5),IF(L17="D",(H17*$X$11*5.2),0)))))*$F$11+(I17*$AF$9*$F$11*6.1)+J17*$F$11*$AF$10*6.1),0)</f>
        <v>6707660</v>
      </c>
      <c r="N17" s="1314">
        <f>VLOOKUP(D17,TONGHOPCONGDOI!$C$11:$AD$93,20,0)</f>
        <v>24</v>
      </c>
      <c r="O17" s="1314">
        <f>VLOOKUP(D17,TONGHOPCONGDOI!$C$11:$AD$93,21,0)</f>
        <v>1</v>
      </c>
      <c r="P17" s="1314">
        <f>VLOOKUP(D17,TONGHOPCONGDOI!$C$11:$AC$93,22,0)</f>
        <v>0</v>
      </c>
      <c r="Q17" s="1314">
        <f>VLOOKUP(D17,TONGHOPCONGDOI!$C$11:$AC$94,23,0)</f>
        <v>2</v>
      </c>
      <c r="R17" s="1314">
        <f>VLOOKUP(D17,TONGHOPCONGDOI!$C$11:$AC$94,24,0)</f>
        <v>0</v>
      </c>
      <c r="S17" s="1314">
        <f>VLOOKUP(D17,TONGHOPCONGDOI!$C$11:$AC$94,25,0)</f>
        <v>0</v>
      </c>
      <c r="T17" s="1314"/>
      <c r="U17" s="1308">
        <f t="shared" ref="U17:U80" si="5">Q17</f>
        <v>2</v>
      </c>
      <c r="V17" s="1315"/>
      <c r="W17" s="1315"/>
      <c r="X17" s="1314">
        <f t="shared" ref="X17:X80" si="6">ROUND(((N17*46.1)+(O17*76.9)+(P17*92.2)+(Q17*153.8)+(R17*92.2)+(S17*153.8))*$F$11+(T17*25000)+(U17*100000),0)</f>
        <v>1200036</v>
      </c>
      <c r="Y17" s="1314">
        <f t="shared" ref="Y17:Y47" si="7">G17+M17+X17</f>
        <v>7907696</v>
      </c>
      <c r="Z17" s="1310"/>
      <c r="AA17" s="1321">
        <f>Y17-Z17</f>
        <v>7907696</v>
      </c>
      <c r="AB17" s="1310"/>
      <c r="AC17" s="1316"/>
      <c r="AD17" s="1317"/>
      <c r="AE17" s="1318"/>
      <c r="AF17" s="1319"/>
      <c r="AG17" s="1319"/>
      <c r="AH17" s="1319"/>
      <c r="AI17" s="1319"/>
      <c r="AJ17" s="1319"/>
      <c r="AK17" s="1319"/>
      <c r="AL17" s="1319"/>
    </row>
    <row r="18" spans="1:38" s="1320" customFormat="1" ht="33" customHeight="1">
      <c r="A18" s="1306">
        <v>3</v>
      </c>
      <c r="B18" s="1307">
        <v>3</v>
      </c>
      <c r="C18" s="1307" t="str">
        <f>'Chấm công KT'!C15</f>
        <v>02725</v>
      </c>
      <c r="D18" s="1308" t="str">
        <f>TONGHOPCONGDOI!C13</f>
        <v>T. Sa Văn</v>
      </c>
      <c r="E18" s="1307" t="s">
        <v>26</v>
      </c>
      <c r="F18" s="1309"/>
      <c r="G18" s="1310">
        <f t="shared" si="3"/>
        <v>0</v>
      </c>
      <c r="H18" s="1310">
        <f>VLOOKUP(D18,TONGHOPCONGDOI!C13:AD94,16,0)</f>
        <v>3396</v>
      </c>
      <c r="I18" s="1310">
        <f>VLOOKUP(D18,TONGHOPCONGDOI!C13:AD94,18,0)</f>
        <v>0</v>
      </c>
      <c r="J18" s="1310"/>
      <c r="K18" s="1311">
        <f t="shared" si="2"/>
        <v>1450.5634703484407</v>
      </c>
      <c r="L18" s="1312" t="str">
        <f>VLOOKUP(D18,'BTH mủ tạp'!$D$17:$AN$95,37,0)</f>
        <v>A</v>
      </c>
      <c r="M18" s="1313">
        <f t="shared" si="4"/>
        <v>5935178</v>
      </c>
      <c r="N18" s="1314">
        <f>VLOOKUP(D18,TONGHOPCONGDOI!$C$11:$AD$93,20,0)</f>
        <v>24</v>
      </c>
      <c r="O18" s="1314">
        <f>VLOOKUP(D18,TONGHOPCONGDOI!$C$11:$AD$93,21,0)</f>
        <v>2</v>
      </c>
      <c r="P18" s="1314">
        <f>VLOOKUP(D18,TONGHOPCONGDOI!$C$11:$AC$93,22,0)</f>
        <v>0</v>
      </c>
      <c r="Q18" s="1314">
        <f>VLOOKUP(D18,TONGHOPCONGDOI!$C$11:$AC$94,23,0)</f>
        <v>2</v>
      </c>
      <c r="R18" s="1314">
        <f>VLOOKUP(D18,TONGHOPCONGDOI!$C$11:$AC$94,24,0)</f>
        <v>0</v>
      </c>
      <c r="S18" s="1314">
        <f>VLOOKUP(D18,TONGHOPCONGDOI!$C$11:$AC$94,25,0)</f>
        <v>0</v>
      </c>
      <c r="T18" s="1314"/>
      <c r="U18" s="1308">
        <f t="shared" si="5"/>
        <v>2</v>
      </c>
      <c r="V18" s="1315"/>
      <c r="W18" s="1315"/>
      <c r="X18" s="1314">
        <f t="shared" si="6"/>
        <v>1251618</v>
      </c>
      <c r="Y18" s="1314">
        <f t="shared" si="7"/>
        <v>7186796</v>
      </c>
      <c r="Z18" s="1310"/>
      <c r="AA18" s="1321">
        <f t="shared" ref="AA18:AA81" si="8">Y18-Z18</f>
        <v>7186796</v>
      </c>
      <c r="AB18" s="1310"/>
      <c r="AC18" s="1316"/>
      <c r="AD18" s="1317"/>
      <c r="AE18" s="1318"/>
      <c r="AF18" s="1319"/>
      <c r="AG18" s="1319"/>
      <c r="AH18" s="1319"/>
      <c r="AI18" s="1319"/>
      <c r="AJ18" s="1319"/>
      <c r="AK18" s="1319"/>
      <c r="AL18" s="1319"/>
    </row>
    <row r="19" spans="1:38" s="1320" customFormat="1" ht="33" customHeight="1">
      <c r="A19" s="1306">
        <v>4</v>
      </c>
      <c r="B19" s="1307">
        <v>4</v>
      </c>
      <c r="C19" s="1307" t="str">
        <f>'Chấm công KT'!C16</f>
        <v>04053</v>
      </c>
      <c r="D19" s="1308" t="str">
        <f>TONGHOPCONGDOI!C14</f>
        <v>Lăm Ma Thu</v>
      </c>
      <c r="E19" s="1307" t="s">
        <v>26</v>
      </c>
      <c r="F19" s="1309"/>
      <c r="G19" s="1310">
        <f t="shared" si="3"/>
        <v>0</v>
      </c>
      <c r="H19" s="1310">
        <f>VLOOKUP(D19,TONGHOPCONGDOI!C14:AD94,16,0)</f>
        <v>3625</v>
      </c>
      <c r="I19" s="1310">
        <f>VLOOKUP(D19,TONGHOPCONGDOI!C14:AD94,18,0)</f>
        <v>0</v>
      </c>
      <c r="J19" s="1310"/>
      <c r="K19" s="1311">
        <f t="shared" si="2"/>
        <v>1548.3782626658119</v>
      </c>
      <c r="L19" s="1312" t="str">
        <f>VLOOKUP(D19,'BTH mủ tạp'!$D$17:$AN$95,37,0)</f>
        <v>A</v>
      </c>
      <c r="M19" s="1313">
        <f t="shared" si="4"/>
        <v>6335400</v>
      </c>
      <c r="N19" s="1314">
        <f>VLOOKUP(D19,TONGHOPCONGDOI!$C$11:$AD$93,20,0)</f>
        <v>26</v>
      </c>
      <c r="O19" s="1314">
        <f>VLOOKUP(D19,TONGHOPCONGDOI!$C$11:$AD$93,21,0)</f>
        <v>2</v>
      </c>
      <c r="P19" s="1314">
        <f>VLOOKUP(D19,TONGHOPCONGDOI!$C$11:$AC$93,22,0)</f>
        <v>0</v>
      </c>
      <c r="Q19" s="1314">
        <f>VLOOKUP(D19,TONGHOPCONGDOI!$C$11:$AC$94,23,0)</f>
        <v>2</v>
      </c>
      <c r="R19" s="1314">
        <f>VLOOKUP(D19,TONGHOPCONGDOI!$C$11:$AC$94,24,0)</f>
        <v>0</v>
      </c>
      <c r="S19" s="1314">
        <f>VLOOKUP(D19,TONGHOPCONGDOI!$C$11:$AC$94,25,0)</f>
        <v>0</v>
      </c>
      <c r="T19" s="1314"/>
      <c r="U19" s="1308">
        <f t="shared" si="5"/>
        <v>2</v>
      </c>
      <c r="V19" s="1315"/>
      <c r="W19" s="1315"/>
      <c r="X19" s="1314">
        <f t="shared" si="6"/>
        <v>1313462</v>
      </c>
      <c r="Y19" s="1314">
        <f t="shared" si="7"/>
        <v>7648862</v>
      </c>
      <c r="Z19" s="1310"/>
      <c r="AA19" s="1321">
        <f t="shared" si="8"/>
        <v>7648862</v>
      </c>
      <c r="AB19" s="1310"/>
      <c r="AC19" s="1316"/>
      <c r="AD19" s="1317"/>
      <c r="AE19" s="1318"/>
      <c r="AF19" s="1319"/>
      <c r="AG19" s="1319"/>
      <c r="AH19" s="1319"/>
      <c r="AI19" s="1319"/>
      <c r="AJ19" s="1319"/>
      <c r="AK19" s="1319"/>
      <c r="AL19" s="1319"/>
    </row>
    <row r="20" spans="1:38" s="1320" customFormat="1" ht="33" customHeight="1">
      <c r="A20" s="1306">
        <v>5</v>
      </c>
      <c r="B20" s="1307">
        <v>5</v>
      </c>
      <c r="C20" s="1307" t="str">
        <f>'Chấm công KT'!C17</f>
        <v>03459</v>
      </c>
      <c r="D20" s="1308" t="str">
        <f>TONGHOPCONGDOI!C15</f>
        <v>N. Vạt</v>
      </c>
      <c r="E20" s="1307" t="s">
        <v>26</v>
      </c>
      <c r="F20" s="1309"/>
      <c r="G20" s="1310">
        <f t="shared" si="3"/>
        <v>0</v>
      </c>
      <c r="H20" s="1310">
        <f>VLOOKUP(D20,TONGHOPCONGDOI!C15:AD94,16,0)</f>
        <v>3228</v>
      </c>
      <c r="I20" s="1310">
        <f>VLOOKUP(D20,TONGHOPCONGDOI!C15:AD94,18,0)</f>
        <v>0</v>
      </c>
      <c r="J20" s="1310"/>
      <c r="K20" s="1311">
        <f t="shared" si="2"/>
        <v>1378.8041467269632</v>
      </c>
      <c r="L20" s="1312" t="str">
        <f>VLOOKUP(D20,'BTH mủ tạp'!$D$17:$AN$95,37,0)</f>
        <v>A</v>
      </c>
      <c r="M20" s="1313">
        <f t="shared" si="4"/>
        <v>5641565</v>
      </c>
      <c r="N20" s="1314">
        <f>VLOOKUP(D20,TONGHOPCONGDOI!$C$11:$AD$93,20,0)</f>
        <v>24</v>
      </c>
      <c r="O20" s="1314">
        <f>VLOOKUP(D20,TONGHOPCONGDOI!$C$11:$AD$93,21,0)</f>
        <v>2</v>
      </c>
      <c r="P20" s="1314">
        <f>VLOOKUP(D20,TONGHOPCONGDOI!$C$11:$AC$93,22,0)</f>
        <v>0</v>
      </c>
      <c r="Q20" s="1314">
        <f>VLOOKUP(D20,TONGHOPCONGDOI!$C$11:$AC$94,23,0)</f>
        <v>2</v>
      </c>
      <c r="R20" s="1314">
        <f>VLOOKUP(D20,TONGHOPCONGDOI!$C$11:$AC$94,24,0)</f>
        <v>0</v>
      </c>
      <c r="S20" s="1314">
        <f>VLOOKUP(D20,TONGHOPCONGDOI!$C$11:$AC$94,25,0)</f>
        <v>0</v>
      </c>
      <c r="T20" s="1314"/>
      <c r="U20" s="1308">
        <f t="shared" si="5"/>
        <v>2</v>
      </c>
      <c r="V20" s="1315"/>
      <c r="W20" s="1315"/>
      <c r="X20" s="1314">
        <f t="shared" si="6"/>
        <v>1251618</v>
      </c>
      <c r="Y20" s="1314">
        <f t="shared" si="7"/>
        <v>6893183</v>
      </c>
      <c r="Z20" s="1310"/>
      <c r="AA20" s="1321">
        <f t="shared" si="8"/>
        <v>6893183</v>
      </c>
      <c r="AB20" s="1310"/>
      <c r="AC20" s="1316"/>
      <c r="AD20" s="1317"/>
      <c r="AE20" s="1318"/>
      <c r="AF20" s="1319"/>
      <c r="AG20" s="1319"/>
      <c r="AH20" s="1319"/>
      <c r="AI20" s="1319"/>
      <c r="AJ20" s="1319"/>
      <c r="AK20" s="1319"/>
      <c r="AL20" s="1319"/>
    </row>
    <row r="21" spans="1:38" s="1320" customFormat="1" ht="33" customHeight="1">
      <c r="A21" s="1306">
        <v>6</v>
      </c>
      <c r="B21" s="1307">
        <v>6</v>
      </c>
      <c r="C21" s="1307" t="str">
        <f>'Chấm công KT'!C18</f>
        <v>04054</v>
      </c>
      <c r="D21" s="1308" t="str">
        <f>TONGHOPCONGDOI!C16</f>
        <v>N. Kay Son</v>
      </c>
      <c r="E21" s="1307" t="s">
        <v>26</v>
      </c>
      <c r="F21" s="1309"/>
      <c r="G21" s="1310">
        <f t="shared" si="3"/>
        <v>0</v>
      </c>
      <c r="H21" s="1310">
        <f>VLOOKUP(D21,TONGHOPCONGDOI!C16:AD94,16,0)</f>
        <v>4093</v>
      </c>
      <c r="I21" s="1310">
        <f>VLOOKUP(D21,TONGHOPCONGDOI!C16:AD94,18,0)</f>
        <v>0</v>
      </c>
      <c r="J21" s="1310"/>
      <c r="K21" s="1311">
        <f t="shared" si="2"/>
        <v>1748.2792356113569</v>
      </c>
      <c r="L21" s="1312" t="str">
        <f>VLOOKUP(D21,'BTH mủ tạp'!$D$17:$AN$95,37,0)</f>
        <v>A</v>
      </c>
      <c r="M21" s="1313">
        <f t="shared" si="4"/>
        <v>7153322</v>
      </c>
      <c r="N21" s="1314">
        <f>VLOOKUP(D21,TONGHOPCONGDOI!$C$11:$AD$93,20,0)</f>
        <v>25</v>
      </c>
      <c r="O21" s="1314">
        <f>VLOOKUP(D21,TONGHOPCONGDOI!$C$11:$AD$93,21,0)</f>
        <v>2</v>
      </c>
      <c r="P21" s="1314">
        <f>VLOOKUP(D21,TONGHOPCONGDOI!$C$11:$AC$93,22,0)</f>
        <v>0</v>
      </c>
      <c r="Q21" s="1314">
        <f>VLOOKUP(D21,TONGHOPCONGDOI!$C$11:$AC$94,23,0)</f>
        <v>2</v>
      </c>
      <c r="R21" s="1314">
        <f>VLOOKUP(D21,TONGHOPCONGDOI!$C$11:$AC$94,24,0)</f>
        <v>0</v>
      </c>
      <c r="S21" s="1314">
        <f>VLOOKUP(D21,TONGHOPCONGDOI!$C$11:$AC$94,25,0)</f>
        <v>0</v>
      </c>
      <c r="T21" s="1314"/>
      <c r="U21" s="1308">
        <f t="shared" si="5"/>
        <v>2</v>
      </c>
      <c r="V21" s="1315"/>
      <c r="W21" s="1315"/>
      <c r="X21" s="1314">
        <f t="shared" si="6"/>
        <v>1282540</v>
      </c>
      <c r="Y21" s="1314">
        <f t="shared" si="7"/>
        <v>8435862</v>
      </c>
      <c r="Z21" s="1310"/>
      <c r="AA21" s="1321">
        <f t="shared" si="8"/>
        <v>8435862</v>
      </c>
      <c r="AB21" s="1310"/>
      <c r="AC21" s="1316"/>
      <c r="AD21" s="1317"/>
      <c r="AE21" s="1318"/>
      <c r="AF21" s="1319"/>
      <c r="AG21" s="1319"/>
      <c r="AH21" s="1319"/>
      <c r="AI21" s="1319"/>
      <c r="AJ21" s="1319"/>
      <c r="AK21" s="1319"/>
      <c r="AL21" s="1319"/>
    </row>
    <row r="22" spans="1:38" s="1320" customFormat="1" ht="33" customHeight="1">
      <c r="A22" s="1306">
        <v>7</v>
      </c>
      <c r="B22" s="1307">
        <v>7</v>
      </c>
      <c r="C22" s="1307" t="str">
        <f>'Chấm công KT'!C19</f>
        <v>04055</v>
      </c>
      <c r="D22" s="1308" t="str">
        <f>TONGHOPCONGDOI!C17</f>
        <v>T. Đèng 1</v>
      </c>
      <c r="E22" s="1307" t="s">
        <v>26</v>
      </c>
      <c r="F22" s="1309"/>
      <c r="G22" s="1310">
        <f t="shared" si="3"/>
        <v>0</v>
      </c>
      <c r="H22" s="1310">
        <f>VLOOKUP(D22,TONGHOPCONGDOI!C17:AD94,16,0)</f>
        <v>3646</v>
      </c>
      <c r="I22" s="1310">
        <f>VLOOKUP(D22,TONGHOPCONGDOI!C17:AD94,18,0)</f>
        <v>0</v>
      </c>
      <c r="J22" s="1310"/>
      <c r="K22" s="1311">
        <f t="shared" si="2"/>
        <v>1557.3481781184967</v>
      </c>
      <c r="L22" s="1312" t="str">
        <f>VLOOKUP(D22,'BTH mủ tạp'!$D$17:$AN$95,37,0)</f>
        <v>A</v>
      </c>
      <c r="M22" s="1313">
        <f t="shared" si="4"/>
        <v>6372102</v>
      </c>
      <c r="N22" s="1314">
        <f>VLOOKUP(D22,TONGHOPCONGDOI!$C$11:$AD$93,20,0)</f>
        <v>26</v>
      </c>
      <c r="O22" s="1314">
        <f>VLOOKUP(D22,TONGHOPCONGDOI!$C$11:$AD$93,21,0)</f>
        <v>2</v>
      </c>
      <c r="P22" s="1314">
        <f>VLOOKUP(D22,TONGHOPCONGDOI!$C$11:$AC$93,22,0)</f>
        <v>0</v>
      </c>
      <c r="Q22" s="1314">
        <f>VLOOKUP(D22,TONGHOPCONGDOI!$C$11:$AC$94,23,0)</f>
        <v>2</v>
      </c>
      <c r="R22" s="1314">
        <f>VLOOKUP(D22,TONGHOPCONGDOI!$C$11:$AC$94,24,0)</f>
        <v>0</v>
      </c>
      <c r="S22" s="1314">
        <f>VLOOKUP(D22,TONGHOPCONGDOI!$C$11:$AC$94,25,0)</f>
        <v>0</v>
      </c>
      <c r="T22" s="1314"/>
      <c r="U22" s="1308">
        <f t="shared" si="5"/>
        <v>2</v>
      </c>
      <c r="V22" s="1315"/>
      <c r="W22" s="1315"/>
      <c r="X22" s="1314">
        <f t="shared" si="6"/>
        <v>1313462</v>
      </c>
      <c r="Y22" s="1314">
        <f t="shared" si="7"/>
        <v>7685564</v>
      </c>
      <c r="Z22" s="1310"/>
      <c r="AA22" s="1321">
        <f t="shared" si="8"/>
        <v>7685564</v>
      </c>
      <c r="AB22" s="1310"/>
      <c r="AC22" s="1316"/>
      <c r="AD22" s="1317"/>
      <c r="AE22" s="1318"/>
      <c r="AF22" s="1319"/>
      <c r="AG22" s="1319"/>
      <c r="AH22" s="1319"/>
      <c r="AI22" s="1319"/>
      <c r="AJ22" s="1319"/>
      <c r="AK22" s="1319"/>
      <c r="AL22" s="1319"/>
    </row>
    <row r="23" spans="1:38" s="1320" customFormat="1" ht="33" customHeight="1">
      <c r="A23" s="1306">
        <v>8</v>
      </c>
      <c r="B23" s="1307">
        <v>8</v>
      </c>
      <c r="C23" s="1307" t="str">
        <f>'Chấm công KT'!C20</f>
        <v>03462</v>
      </c>
      <c r="D23" s="1308" t="str">
        <f>TONGHOPCONGDOI!C18</f>
        <v>T . Bua Ngân</v>
      </c>
      <c r="E23" s="1307" t="s">
        <v>26</v>
      </c>
      <c r="F23" s="1309"/>
      <c r="G23" s="1310">
        <f t="shared" si="3"/>
        <v>0</v>
      </c>
      <c r="H23" s="1310">
        <f>VLOOKUP(D23,TONGHOPCONGDOI!C18:AD94,16,0)</f>
        <v>3674</v>
      </c>
      <c r="I23" s="1310">
        <f>VLOOKUP(D23,TONGHOPCONGDOI!C18:AD94,18,0)</f>
        <v>0</v>
      </c>
      <c r="J23" s="1310"/>
      <c r="K23" s="1311">
        <f t="shared" si="2"/>
        <v>1569.308065388743</v>
      </c>
      <c r="L23" s="1312" t="str">
        <f>VLOOKUP(D23,'BTH mủ tạp'!$D$17:$AN$95,37,0)</f>
        <v>A</v>
      </c>
      <c r="M23" s="1313">
        <f t="shared" si="4"/>
        <v>6421037</v>
      </c>
      <c r="N23" s="1314">
        <f>VLOOKUP(D23,TONGHOPCONGDOI!$C$11:$AD$93,20,0)</f>
        <v>25</v>
      </c>
      <c r="O23" s="1314">
        <f>VLOOKUP(D23,TONGHOPCONGDOI!$C$11:$AD$93,21,0)</f>
        <v>2</v>
      </c>
      <c r="P23" s="1314">
        <f>VLOOKUP(D23,TONGHOPCONGDOI!$C$11:$AC$93,22,0)</f>
        <v>0</v>
      </c>
      <c r="Q23" s="1314">
        <f>VLOOKUP(D23,TONGHOPCONGDOI!$C$11:$AC$94,23,0)</f>
        <v>2</v>
      </c>
      <c r="R23" s="1314">
        <f>VLOOKUP(D23,TONGHOPCONGDOI!$C$11:$AC$94,24,0)</f>
        <v>0</v>
      </c>
      <c r="S23" s="1314">
        <f>VLOOKUP(D23,TONGHOPCONGDOI!$C$11:$AC$94,25,0)</f>
        <v>0</v>
      </c>
      <c r="T23" s="1314"/>
      <c r="U23" s="1308">
        <f t="shared" si="5"/>
        <v>2</v>
      </c>
      <c r="V23" s="1315"/>
      <c r="W23" s="1315"/>
      <c r="X23" s="1314">
        <f t="shared" si="6"/>
        <v>1282540</v>
      </c>
      <c r="Y23" s="1314">
        <f t="shared" si="7"/>
        <v>7703577</v>
      </c>
      <c r="Z23" s="1310"/>
      <c r="AA23" s="1321">
        <f t="shared" si="8"/>
        <v>7703577</v>
      </c>
      <c r="AB23" s="1310"/>
      <c r="AC23" s="1316"/>
      <c r="AD23" s="1317"/>
      <c r="AE23" s="1318"/>
      <c r="AF23" s="1319"/>
      <c r="AG23" s="1319"/>
      <c r="AH23" s="1319"/>
      <c r="AI23" s="1319"/>
      <c r="AJ23" s="1319"/>
      <c r="AK23" s="1319"/>
      <c r="AL23" s="1319"/>
    </row>
    <row r="24" spans="1:38" s="1320" customFormat="1" ht="33" customHeight="1">
      <c r="A24" s="1306">
        <v>9</v>
      </c>
      <c r="B24" s="1307">
        <v>9</v>
      </c>
      <c r="C24" s="1307" t="str">
        <f>'Chấm công KT'!C21</f>
        <v>03463</v>
      </c>
      <c r="D24" s="1308" t="str">
        <f>TONGHOPCONGDOI!C19</f>
        <v>T Căng</v>
      </c>
      <c r="E24" s="1307" t="s">
        <v>26</v>
      </c>
      <c r="F24" s="1309"/>
      <c r="G24" s="1310">
        <f t="shared" si="3"/>
        <v>0</v>
      </c>
      <c r="H24" s="1310">
        <f>VLOOKUP(D24,TONGHOPCONGDOI!C19:AD94,16,0)</f>
        <v>4580</v>
      </c>
      <c r="I24" s="1310">
        <f>VLOOKUP(D24,TONGHOPCONGDOI!C19:AD94,18,0)</f>
        <v>0</v>
      </c>
      <c r="J24" s="1310"/>
      <c r="K24" s="1311">
        <f t="shared" si="2"/>
        <v>1956.2958463474258</v>
      </c>
      <c r="L24" s="1312" t="str">
        <f>VLOOKUP(D24,'BTH mủ tạp'!$D$17:$AN$95,37,0)</f>
        <v>A</v>
      </c>
      <c r="M24" s="1313">
        <f t="shared" si="4"/>
        <v>8004451</v>
      </c>
      <c r="N24" s="1314">
        <f>VLOOKUP(D24,TONGHOPCONGDOI!$C$11:$AD$93,20,0)</f>
        <v>25</v>
      </c>
      <c r="O24" s="1314">
        <f>VLOOKUP(D24,TONGHOPCONGDOI!$C$11:$AD$93,21,0)</f>
        <v>2</v>
      </c>
      <c r="P24" s="1314">
        <f>VLOOKUP(D24,TONGHOPCONGDOI!$C$11:$AC$93,22,0)</f>
        <v>0</v>
      </c>
      <c r="Q24" s="1314">
        <f>VLOOKUP(D24,TONGHOPCONGDOI!$C$11:$AC$94,23,0)</f>
        <v>2</v>
      </c>
      <c r="R24" s="1314">
        <f>VLOOKUP(D24,TONGHOPCONGDOI!$C$11:$AC$94,24,0)</f>
        <v>0</v>
      </c>
      <c r="S24" s="1314">
        <f>VLOOKUP(D24,TONGHOPCONGDOI!$C$11:$AC$94,25,0)</f>
        <v>0</v>
      </c>
      <c r="T24" s="1314"/>
      <c r="U24" s="1308">
        <f t="shared" si="5"/>
        <v>2</v>
      </c>
      <c r="V24" s="1315"/>
      <c r="W24" s="1315"/>
      <c r="X24" s="1314">
        <f t="shared" si="6"/>
        <v>1282540</v>
      </c>
      <c r="Y24" s="1314">
        <f t="shared" si="7"/>
        <v>9286991</v>
      </c>
      <c r="Z24" s="1310"/>
      <c r="AA24" s="1321">
        <f t="shared" si="8"/>
        <v>9286991</v>
      </c>
      <c r="AB24" s="1310"/>
      <c r="AC24" s="1316"/>
      <c r="AD24" s="1317"/>
      <c r="AE24" s="1318"/>
      <c r="AF24" s="1319"/>
      <c r="AG24" s="1319"/>
      <c r="AH24" s="1319"/>
      <c r="AI24" s="1319"/>
      <c r="AJ24" s="1319"/>
      <c r="AK24" s="1319"/>
      <c r="AL24" s="1319"/>
    </row>
    <row r="25" spans="1:38" s="1320" customFormat="1" ht="33" customHeight="1">
      <c r="A25" s="1306">
        <v>10</v>
      </c>
      <c r="B25" s="1307">
        <v>10</v>
      </c>
      <c r="C25" s="1307" t="str">
        <f>'Chấm công KT'!C22</f>
        <v>03464</v>
      </c>
      <c r="D25" s="1308" t="str">
        <f>TONGHOPCONGDOI!C20</f>
        <v>N. Phôn 1</v>
      </c>
      <c r="E25" s="1307" t="s">
        <v>26</v>
      </c>
      <c r="F25" s="1309"/>
      <c r="G25" s="1310">
        <f t="shared" si="3"/>
        <v>0</v>
      </c>
      <c r="H25" s="1310">
        <f>VLOOKUP(D25,TONGHOPCONGDOI!C20:AD94,16,0)</f>
        <v>4638</v>
      </c>
      <c r="I25" s="1310">
        <f>VLOOKUP(D25,TONGHOPCONGDOI!C20:AD94,18,0)</f>
        <v>0</v>
      </c>
      <c r="J25" s="1310"/>
      <c r="K25" s="1311">
        <f t="shared" si="2"/>
        <v>1981.069898550079</v>
      </c>
      <c r="L25" s="1312" t="str">
        <f>VLOOKUP(D25,'BTH mủ tạp'!$D$17:$AN$95,37,0)</f>
        <v>A</v>
      </c>
      <c r="M25" s="1313">
        <f t="shared" si="4"/>
        <v>8105817</v>
      </c>
      <c r="N25" s="1314">
        <f>VLOOKUP(D25,TONGHOPCONGDOI!$C$11:$AD$93,20,0)</f>
        <v>25</v>
      </c>
      <c r="O25" s="1314">
        <f>VLOOKUP(D25,TONGHOPCONGDOI!$C$11:$AD$93,21,0)</f>
        <v>2</v>
      </c>
      <c r="P25" s="1314">
        <f>VLOOKUP(D25,TONGHOPCONGDOI!$C$11:$AC$93,22,0)</f>
        <v>0</v>
      </c>
      <c r="Q25" s="1314">
        <f>VLOOKUP(D25,TONGHOPCONGDOI!$C$11:$AC$94,23,0)</f>
        <v>2</v>
      </c>
      <c r="R25" s="1314">
        <f>VLOOKUP(D25,TONGHOPCONGDOI!$C$11:$AC$94,24,0)</f>
        <v>0</v>
      </c>
      <c r="S25" s="1314">
        <f>VLOOKUP(D25,TONGHOPCONGDOI!$C$11:$AC$94,25,0)</f>
        <v>0</v>
      </c>
      <c r="T25" s="1314"/>
      <c r="U25" s="1308">
        <f t="shared" si="5"/>
        <v>2</v>
      </c>
      <c r="V25" s="1315"/>
      <c r="W25" s="1315"/>
      <c r="X25" s="1314">
        <f t="shared" si="6"/>
        <v>1282540</v>
      </c>
      <c r="Y25" s="1314">
        <f t="shared" si="7"/>
        <v>9388357</v>
      </c>
      <c r="Z25" s="1310"/>
      <c r="AA25" s="1321">
        <f t="shared" si="8"/>
        <v>9388357</v>
      </c>
      <c r="AB25" s="1310"/>
      <c r="AC25" s="1316"/>
      <c r="AD25" s="1317"/>
      <c r="AE25" s="1318"/>
      <c r="AF25" s="1319"/>
      <c r="AG25" s="1319"/>
      <c r="AH25" s="1319"/>
      <c r="AI25" s="1319"/>
      <c r="AJ25" s="1319"/>
      <c r="AK25" s="1319"/>
      <c r="AL25" s="1319"/>
    </row>
    <row r="26" spans="1:38" s="1320" customFormat="1" ht="33" customHeight="1">
      <c r="A26" s="1306">
        <v>11</v>
      </c>
      <c r="B26" s="1307">
        <v>11</v>
      </c>
      <c r="C26" s="1307" t="str">
        <f>'Chấm công KT'!C23</f>
        <v>03465</v>
      </c>
      <c r="D26" s="1308" t="str">
        <f>TONGHOPCONGDOI!C21</f>
        <v>T. In Păn</v>
      </c>
      <c r="E26" s="1307" t="s">
        <v>26</v>
      </c>
      <c r="F26" s="1309"/>
      <c r="G26" s="1310">
        <f t="shared" si="3"/>
        <v>0</v>
      </c>
      <c r="H26" s="1310">
        <f>VLOOKUP(D26,TONGHOPCONGDOI!C21:AD94,16,0)</f>
        <v>3595</v>
      </c>
      <c r="I26" s="1310">
        <f>VLOOKUP(D26,TONGHOPCONGDOI!C21:AD94,18,0)</f>
        <v>0</v>
      </c>
      <c r="J26" s="1310"/>
      <c r="K26" s="1311">
        <f t="shared" si="2"/>
        <v>1535.5640977334053</v>
      </c>
      <c r="L26" s="1312" t="str">
        <f>VLOOKUP(D26,'BTH mủ tạp'!$D$17:$AN$95,37,0)</f>
        <v>A</v>
      </c>
      <c r="M26" s="1313">
        <f t="shared" si="4"/>
        <v>6282969</v>
      </c>
      <c r="N26" s="1314">
        <f>VLOOKUP(D26,TONGHOPCONGDOI!$C$11:$AD$93,20,0)</f>
        <v>25</v>
      </c>
      <c r="O26" s="1314">
        <f>VLOOKUP(D26,TONGHOPCONGDOI!$C$11:$AD$93,21,0)</f>
        <v>2</v>
      </c>
      <c r="P26" s="1314">
        <f>VLOOKUP(D26,TONGHOPCONGDOI!$C$11:$AC$93,22,0)</f>
        <v>0</v>
      </c>
      <c r="Q26" s="1314">
        <f>VLOOKUP(D26,TONGHOPCONGDOI!$C$11:$AC$94,23,0)</f>
        <v>2</v>
      </c>
      <c r="R26" s="1314">
        <f>VLOOKUP(D26,TONGHOPCONGDOI!$C$11:$AC$94,24,0)</f>
        <v>0</v>
      </c>
      <c r="S26" s="1314">
        <f>VLOOKUP(D26,TONGHOPCONGDOI!$C$11:$AC$94,25,0)</f>
        <v>0</v>
      </c>
      <c r="T26" s="1314"/>
      <c r="U26" s="1308">
        <f t="shared" si="5"/>
        <v>2</v>
      </c>
      <c r="V26" s="1315"/>
      <c r="W26" s="1315"/>
      <c r="X26" s="1314">
        <f t="shared" si="6"/>
        <v>1282540</v>
      </c>
      <c r="Y26" s="1314">
        <f t="shared" si="7"/>
        <v>7565509</v>
      </c>
      <c r="Z26" s="1310"/>
      <c r="AA26" s="1321">
        <f t="shared" si="8"/>
        <v>7565509</v>
      </c>
      <c r="AB26" s="1310"/>
      <c r="AC26" s="1316"/>
      <c r="AD26" s="1317"/>
      <c r="AE26" s="1318"/>
      <c r="AF26" s="1319"/>
      <c r="AG26" s="1319"/>
      <c r="AH26" s="1319"/>
      <c r="AI26" s="1319"/>
      <c r="AJ26" s="1319"/>
      <c r="AK26" s="1319"/>
      <c r="AL26" s="1319"/>
    </row>
    <row r="27" spans="1:38" s="1320" customFormat="1" ht="33" customHeight="1">
      <c r="A27" s="1306">
        <v>12</v>
      </c>
      <c r="B27" s="1307">
        <v>12</v>
      </c>
      <c r="C27" s="1307" t="str">
        <f>'Chấm công KT'!C24</f>
        <v>03466</v>
      </c>
      <c r="D27" s="1308" t="str">
        <f>TONGHOPCONGDOI!C22</f>
        <v>N. Keo</v>
      </c>
      <c r="E27" s="1307" t="s">
        <v>26</v>
      </c>
      <c r="F27" s="1309"/>
      <c r="G27" s="1310">
        <f t="shared" si="3"/>
        <v>0</v>
      </c>
      <c r="H27" s="1310">
        <f>VLOOKUP(D27,TONGHOPCONGDOI!C22:AD94,16,0)</f>
        <v>4351</v>
      </c>
      <c r="I27" s="1310">
        <f>VLOOKUP(D27,TONGHOPCONGDOI!C22:AD94,18,0)</f>
        <v>0</v>
      </c>
      <c r="J27" s="1310"/>
      <c r="K27" s="1311">
        <f t="shared" si="2"/>
        <v>1858.4810540300546</v>
      </c>
      <c r="L27" s="1312" t="str">
        <f>VLOOKUP(D27,'BTH mủ tạp'!$D$17:$AN$95,37,0)</f>
        <v>A</v>
      </c>
      <c r="M27" s="1313">
        <f t="shared" si="4"/>
        <v>7604228</v>
      </c>
      <c r="N27" s="1314">
        <f>VLOOKUP(D27,TONGHOPCONGDOI!$C$11:$AD$93,20,0)</f>
        <v>26</v>
      </c>
      <c r="O27" s="1314">
        <f>VLOOKUP(D27,TONGHOPCONGDOI!$C$11:$AD$93,21,0)</f>
        <v>2</v>
      </c>
      <c r="P27" s="1314">
        <f>VLOOKUP(D27,TONGHOPCONGDOI!$C$11:$AC$93,22,0)</f>
        <v>0</v>
      </c>
      <c r="Q27" s="1314">
        <f>VLOOKUP(D27,TONGHOPCONGDOI!$C$11:$AC$94,23,0)</f>
        <v>2</v>
      </c>
      <c r="R27" s="1314">
        <f>VLOOKUP(D27,TONGHOPCONGDOI!$C$11:$AC$94,24,0)</f>
        <v>0</v>
      </c>
      <c r="S27" s="1314">
        <f>VLOOKUP(D27,TONGHOPCONGDOI!$C$11:$AC$94,25,0)</f>
        <v>0</v>
      </c>
      <c r="T27" s="1314"/>
      <c r="U27" s="1308">
        <f t="shared" si="5"/>
        <v>2</v>
      </c>
      <c r="V27" s="1315"/>
      <c r="W27" s="1315"/>
      <c r="X27" s="1314">
        <f t="shared" si="6"/>
        <v>1313462</v>
      </c>
      <c r="Y27" s="1314">
        <f t="shared" si="7"/>
        <v>8917690</v>
      </c>
      <c r="Z27" s="1310"/>
      <c r="AA27" s="1321">
        <f t="shared" si="8"/>
        <v>8917690</v>
      </c>
      <c r="AB27" s="1310"/>
      <c r="AC27" s="1316"/>
      <c r="AD27" s="1317"/>
      <c r="AE27" s="1318"/>
      <c r="AF27" s="1319"/>
      <c r="AG27" s="1319"/>
      <c r="AH27" s="1319"/>
      <c r="AI27" s="1319"/>
      <c r="AJ27" s="1319"/>
      <c r="AK27" s="1319"/>
      <c r="AL27" s="1319"/>
    </row>
    <row r="28" spans="1:38" s="1320" customFormat="1" ht="33" customHeight="1">
      <c r="A28" s="1306">
        <v>13</v>
      </c>
      <c r="B28" s="1307">
        <v>13</v>
      </c>
      <c r="C28" s="1307" t="str">
        <f>'Chấm công KT'!C25</f>
        <v>02727</v>
      </c>
      <c r="D28" s="1308" t="str">
        <f>TONGHOPCONGDOI!C23</f>
        <v>T. Thong Đon</v>
      </c>
      <c r="E28" s="1307" t="s">
        <v>26</v>
      </c>
      <c r="F28" s="1309"/>
      <c r="G28" s="1310">
        <f t="shared" si="3"/>
        <v>0</v>
      </c>
      <c r="H28" s="1310">
        <f>VLOOKUP(D28,TONGHOPCONGDOI!C23:AD94,16,0)</f>
        <v>4260</v>
      </c>
      <c r="I28" s="1310">
        <f>VLOOKUP(D28,TONGHOPCONGDOI!C23:AD94,18,0)</f>
        <v>0</v>
      </c>
      <c r="J28" s="1310"/>
      <c r="K28" s="1311">
        <f t="shared" si="2"/>
        <v>1819.6114204017542</v>
      </c>
      <c r="L28" s="1312" t="str">
        <f>VLOOKUP(D28,'BTH mủ tạp'!$D$17:$AN$95,37,0)</f>
        <v>A</v>
      </c>
      <c r="M28" s="1313">
        <f t="shared" si="4"/>
        <v>7445188</v>
      </c>
      <c r="N28" s="1314">
        <f>VLOOKUP(D28,TONGHOPCONGDOI!$C$11:$AD$93,20,0)</f>
        <v>25</v>
      </c>
      <c r="O28" s="1314">
        <f>VLOOKUP(D28,TONGHOPCONGDOI!$C$11:$AD$93,21,0)</f>
        <v>2</v>
      </c>
      <c r="P28" s="1314">
        <f>VLOOKUP(D28,TONGHOPCONGDOI!$C$11:$AC$93,22,0)</f>
        <v>0</v>
      </c>
      <c r="Q28" s="1314">
        <f>VLOOKUP(D28,TONGHOPCONGDOI!$C$11:$AC$94,23,0)</f>
        <v>2</v>
      </c>
      <c r="R28" s="1314">
        <f>VLOOKUP(D28,TONGHOPCONGDOI!$C$11:$AC$94,24,0)</f>
        <v>0</v>
      </c>
      <c r="S28" s="1314">
        <f>VLOOKUP(D28,TONGHOPCONGDOI!$C$11:$AC$94,25,0)</f>
        <v>0</v>
      </c>
      <c r="T28" s="1314"/>
      <c r="U28" s="1308">
        <f t="shared" si="5"/>
        <v>2</v>
      </c>
      <c r="V28" s="1315"/>
      <c r="W28" s="1315"/>
      <c r="X28" s="1314">
        <f t="shared" si="6"/>
        <v>1282540</v>
      </c>
      <c r="Y28" s="1314">
        <f t="shared" si="7"/>
        <v>8727728</v>
      </c>
      <c r="Z28" s="1310"/>
      <c r="AA28" s="1321">
        <f t="shared" si="8"/>
        <v>8727728</v>
      </c>
      <c r="AB28" s="1310"/>
      <c r="AC28" s="1316"/>
      <c r="AD28" s="1317"/>
      <c r="AE28" s="1318"/>
      <c r="AF28" s="1319"/>
      <c r="AG28" s="1319"/>
      <c r="AH28" s="1319"/>
      <c r="AI28" s="1319"/>
      <c r="AJ28" s="1319"/>
      <c r="AK28" s="1319"/>
      <c r="AL28" s="1319"/>
    </row>
    <row r="29" spans="1:38" s="1320" customFormat="1" ht="33" customHeight="1">
      <c r="A29" s="1306">
        <v>14</v>
      </c>
      <c r="B29" s="1307">
        <v>14</v>
      </c>
      <c r="C29" s="1307" t="str">
        <f>'Chấm công KT'!C26</f>
        <v>03467</v>
      </c>
      <c r="D29" s="1308" t="str">
        <f>TONGHOPCONGDOI!C24</f>
        <v>T. Hin</v>
      </c>
      <c r="E29" s="1307" t="s">
        <v>26</v>
      </c>
      <c r="F29" s="1309"/>
      <c r="G29" s="1310">
        <f t="shared" si="3"/>
        <v>0</v>
      </c>
      <c r="H29" s="1310">
        <f>VLOOKUP(D29,TONGHOPCONGDOI!C24:AD94,16,0)</f>
        <v>4134</v>
      </c>
      <c r="I29" s="1310">
        <f>VLOOKUP(D29,TONGHOPCONGDOI!C24:AD94,18,0)</f>
        <v>0</v>
      </c>
      <c r="J29" s="1310"/>
      <c r="K29" s="1311">
        <f t="shared" si="2"/>
        <v>1765.791927685646</v>
      </c>
      <c r="L29" s="1312" t="str">
        <f>VLOOKUP(D29,'BTH mủ tạp'!$D$17:$AN$95,37,0)</f>
        <v>A</v>
      </c>
      <c r="M29" s="1313">
        <f t="shared" si="4"/>
        <v>7224978</v>
      </c>
      <c r="N29" s="1314">
        <f>VLOOKUP(D29,TONGHOPCONGDOI!$C$11:$AD$93,20,0)</f>
        <v>26</v>
      </c>
      <c r="O29" s="1314">
        <f>VLOOKUP(D29,TONGHOPCONGDOI!$C$11:$AD$93,21,0)</f>
        <v>2</v>
      </c>
      <c r="P29" s="1314">
        <f>VLOOKUP(D29,TONGHOPCONGDOI!$C$11:$AC$93,22,0)</f>
        <v>0</v>
      </c>
      <c r="Q29" s="1314">
        <f>VLOOKUP(D29,TONGHOPCONGDOI!$C$11:$AC$94,23,0)</f>
        <v>2</v>
      </c>
      <c r="R29" s="1314">
        <f>VLOOKUP(D29,TONGHOPCONGDOI!$C$11:$AC$94,24,0)</f>
        <v>0</v>
      </c>
      <c r="S29" s="1314">
        <f>VLOOKUP(D29,TONGHOPCONGDOI!$C$11:$AC$94,25,0)</f>
        <v>0</v>
      </c>
      <c r="T29" s="1314"/>
      <c r="U29" s="1308">
        <f t="shared" si="5"/>
        <v>2</v>
      </c>
      <c r="V29" s="1315"/>
      <c r="W29" s="1315"/>
      <c r="X29" s="1314">
        <f t="shared" si="6"/>
        <v>1313462</v>
      </c>
      <c r="Y29" s="1314">
        <f t="shared" si="7"/>
        <v>8538440</v>
      </c>
      <c r="Z29" s="1310"/>
      <c r="AA29" s="1321">
        <f t="shared" si="8"/>
        <v>8538440</v>
      </c>
      <c r="AB29" s="1310"/>
      <c r="AC29" s="1316"/>
      <c r="AD29" s="1317"/>
      <c r="AE29" s="1318"/>
      <c r="AF29" s="1319"/>
      <c r="AG29" s="1319"/>
      <c r="AH29" s="1319"/>
      <c r="AI29" s="1319"/>
      <c r="AJ29" s="1319"/>
      <c r="AK29" s="1319"/>
      <c r="AL29" s="1319"/>
    </row>
    <row r="30" spans="1:38" s="1320" customFormat="1" ht="33" customHeight="1">
      <c r="A30" s="1306">
        <v>15</v>
      </c>
      <c r="B30" s="1307">
        <v>15</v>
      </c>
      <c r="C30" s="1307" t="str">
        <f>'Chấm công KT'!C27</f>
        <v>04056</v>
      </c>
      <c r="D30" s="1308" t="str">
        <f>TONGHOPCONGDOI!C25</f>
        <v>N. Ly Phon</v>
      </c>
      <c r="E30" s="1307" t="s">
        <v>26</v>
      </c>
      <c r="F30" s="1309"/>
      <c r="G30" s="1310">
        <f t="shared" si="3"/>
        <v>0</v>
      </c>
      <c r="H30" s="1310">
        <f>VLOOKUP(D30,TONGHOPCONGDOI!C25:AD94,16,0)</f>
        <v>4003</v>
      </c>
      <c r="I30" s="1310">
        <f>VLOOKUP(D30,TONGHOPCONGDOI!C25:AD94,18,0)</f>
        <v>0</v>
      </c>
      <c r="J30" s="1310"/>
      <c r="K30" s="1311">
        <f t="shared" si="2"/>
        <v>1709.8367408141366</v>
      </c>
      <c r="L30" s="1312" t="str">
        <f>VLOOKUP(D30,'BTH mủ tạp'!$D$17:$AN$95,37,0)</f>
        <v>B</v>
      </c>
      <c r="M30" s="1313">
        <f t="shared" si="4"/>
        <v>6651963</v>
      </c>
      <c r="N30" s="1314">
        <f>VLOOKUP(D30,TONGHOPCONGDOI!$C$11:$AD$93,20,0)</f>
        <v>26</v>
      </c>
      <c r="O30" s="1314">
        <f>VLOOKUP(D30,TONGHOPCONGDOI!$C$11:$AD$93,21,0)</f>
        <v>2</v>
      </c>
      <c r="P30" s="1314">
        <f>VLOOKUP(D30,TONGHOPCONGDOI!$C$11:$AC$93,22,0)</f>
        <v>0</v>
      </c>
      <c r="Q30" s="1314">
        <f>VLOOKUP(D30,TONGHOPCONGDOI!$C$11:$AC$94,23,0)</f>
        <v>2</v>
      </c>
      <c r="R30" s="1314">
        <f>VLOOKUP(D30,TONGHOPCONGDOI!$C$11:$AC$94,24,0)</f>
        <v>0</v>
      </c>
      <c r="S30" s="1314">
        <f>VLOOKUP(D30,TONGHOPCONGDOI!$C$11:$AC$94,25,0)</f>
        <v>0</v>
      </c>
      <c r="T30" s="1314"/>
      <c r="U30" s="1308">
        <f t="shared" si="5"/>
        <v>2</v>
      </c>
      <c r="V30" s="1315"/>
      <c r="W30" s="1315"/>
      <c r="X30" s="1314">
        <f t="shared" si="6"/>
        <v>1313462</v>
      </c>
      <c r="Y30" s="1314">
        <f t="shared" si="7"/>
        <v>7965425</v>
      </c>
      <c r="Z30" s="1310"/>
      <c r="AA30" s="1321">
        <f t="shared" si="8"/>
        <v>7965425</v>
      </c>
      <c r="AB30" s="1310"/>
      <c r="AC30" s="1316"/>
      <c r="AD30" s="1317"/>
      <c r="AE30" s="1318"/>
      <c r="AF30" s="1319"/>
      <c r="AG30" s="1319"/>
      <c r="AH30" s="1319"/>
      <c r="AI30" s="1319"/>
      <c r="AJ30" s="1319"/>
      <c r="AK30" s="1319"/>
      <c r="AL30" s="1319"/>
    </row>
    <row r="31" spans="1:38" s="1320" customFormat="1" ht="33" customHeight="1">
      <c r="A31" s="1306">
        <v>16</v>
      </c>
      <c r="B31" s="1307">
        <v>16</v>
      </c>
      <c r="C31" s="1307" t="str">
        <f>'Chấm công KT'!C28</f>
        <v>03469</v>
      </c>
      <c r="D31" s="1308" t="str">
        <f>TONGHOPCONGDOI!C26</f>
        <v>T. Xôm Va Nít</v>
      </c>
      <c r="E31" s="1307" t="s">
        <v>26</v>
      </c>
      <c r="F31" s="1309"/>
      <c r="G31" s="1310">
        <f t="shared" si="3"/>
        <v>0</v>
      </c>
      <c r="H31" s="1310">
        <f>VLOOKUP(D31,TONGHOPCONGDOI!C26:AD94,16,0)</f>
        <v>4506</v>
      </c>
      <c r="I31" s="1310">
        <f>VLOOKUP(D31,TONGHOPCONGDOI!C26:AD94,18,0)</f>
        <v>0</v>
      </c>
      <c r="J31" s="1310"/>
      <c r="K31" s="1311">
        <f t="shared" si="2"/>
        <v>1924.6875728474893</v>
      </c>
      <c r="L31" s="1312" t="str">
        <f>VLOOKUP(D31,'BTH mủ tạp'!$D$17:$AN$95,37,0)</f>
        <v>A</v>
      </c>
      <c r="M31" s="1313">
        <f t="shared" si="4"/>
        <v>7875121</v>
      </c>
      <c r="N31" s="1314">
        <f>VLOOKUP(D31,TONGHOPCONGDOI!$C$11:$AD$93,20,0)</f>
        <v>25</v>
      </c>
      <c r="O31" s="1314">
        <f>VLOOKUP(D31,TONGHOPCONGDOI!$C$11:$AD$93,21,0)</f>
        <v>2</v>
      </c>
      <c r="P31" s="1314">
        <f>VLOOKUP(D31,TONGHOPCONGDOI!$C$11:$AC$93,22,0)</f>
        <v>0</v>
      </c>
      <c r="Q31" s="1314">
        <f>VLOOKUP(D31,TONGHOPCONGDOI!$C$11:$AC$94,23,0)</f>
        <v>2</v>
      </c>
      <c r="R31" s="1314">
        <f>VLOOKUP(D31,TONGHOPCONGDOI!$C$11:$AC$94,24,0)</f>
        <v>0</v>
      </c>
      <c r="S31" s="1314">
        <f>VLOOKUP(D31,TONGHOPCONGDOI!$C$11:$AC$94,25,0)</f>
        <v>0</v>
      </c>
      <c r="T31" s="1314"/>
      <c r="U31" s="1308">
        <f t="shared" si="5"/>
        <v>2</v>
      </c>
      <c r="V31" s="1315"/>
      <c r="W31" s="1315"/>
      <c r="X31" s="1314">
        <f t="shared" si="6"/>
        <v>1282540</v>
      </c>
      <c r="Y31" s="1314">
        <f t="shared" si="7"/>
        <v>9157661</v>
      </c>
      <c r="Z31" s="1310"/>
      <c r="AA31" s="1321">
        <f t="shared" si="8"/>
        <v>9157661</v>
      </c>
      <c r="AB31" s="1310"/>
      <c r="AC31" s="1316"/>
      <c r="AD31" s="1317"/>
      <c r="AE31" s="1318"/>
      <c r="AF31" s="1319"/>
      <c r="AG31" s="1319"/>
      <c r="AH31" s="1319"/>
      <c r="AI31" s="1319"/>
      <c r="AJ31" s="1319"/>
      <c r="AK31" s="1319"/>
      <c r="AL31" s="1319"/>
    </row>
    <row r="32" spans="1:38" s="1320" customFormat="1" ht="33" customHeight="1">
      <c r="A32" s="1306">
        <v>17</v>
      </c>
      <c r="B32" s="1307">
        <v>17</v>
      </c>
      <c r="C32" s="1307" t="str">
        <f>'Chấm công KT'!C29</f>
        <v>03470</v>
      </c>
      <c r="D32" s="1308" t="str">
        <f>TONGHOPCONGDOI!C27</f>
        <v>T. Lọi</v>
      </c>
      <c r="E32" s="1307" t="s">
        <v>26</v>
      </c>
      <c r="F32" s="1309"/>
      <c r="G32" s="1310">
        <f t="shared" si="3"/>
        <v>0</v>
      </c>
      <c r="H32" s="1310">
        <f>VLOOKUP(D32,TONGHOPCONGDOI!C27:AD94,16,0)</f>
        <v>3459</v>
      </c>
      <c r="I32" s="1310">
        <f>VLOOKUP(D32,TONGHOPCONGDOI!C27:AD94,18,0)</f>
        <v>0</v>
      </c>
      <c r="J32" s="1310"/>
      <c r="K32" s="1311">
        <f t="shared" si="2"/>
        <v>1477.4732167064949</v>
      </c>
      <c r="L32" s="1312" t="str">
        <f>VLOOKUP(D32,'BTH mủ tạp'!$D$17:$AN$95,37,0)</f>
        <v>A</v>
      </c>
      <c r="M32" s="1313">
        <f t="shared" si="4"/>
        <v>6045283</v>
      </c>
      <c r="N32" s="1314">
        <f>VLOOKUP(D32,TONGHOPCONGDOI!$C$11:$AD$93,20,0)</f>
        <v>25</v>
      </c>
      <c r="O32" s="1314">
        <f>VLOOKUP(D32,TONGHOPCONGDOI!$C$11:$AD$93,21,0)</f>
        <v>2</v>
      </c>
      <c r="P32" s="1314">
        <f>VLOOKUP(D32,TONGHOPCONGDOI!$C$11:$AC$93,22,0)</f>
        <v>0</v>
      </c>
      <c r="Q32" s="1314">
        <f>VLOOKUP(D32,TONGHOPCONGDOI!$C$11:$AC$94,23,0)</f>
        <v>2</v>
      </c>
      <c r="R32" s="1314">
        <f>VLOOKUP(D32,TONGHOPCONGDOI!$C$11:$AC$94,24,0)</f>
        <v>0</v>
      </c>
      <c r="S32" s="1314">
        <f>VLOOKUP(D32,TONGHOPCONGDOI!$C$11:$AC$94,25,0)</f>
        <v>0</v>
      </c>
      <c r="T32" s="1314"/>
      <c r="U32" s="1308">
        <f t="shared" si="5"/>
        <v>2</v>
      </c>
      <c r="V32" s="1315"/>
      <c r="W32" s="1315"/>
      <c r="X32" s="1314">
        <f t="shared" si="6"/>
        <v>1282540</v>
      </c>
      <c r="Y32" s="1314">
        <f t="shared" si="7"/>
        <v>7327823</v>
      </c>
      <c r="Z32" s="1310"/>
      <c r="AA32" s="1321">
        <f t="shared" si="8"/>
        <v>7327823</v>
      </c>
      <c r="AB32" s="1310"/>
      <c r="AC32" s="1316"/>
      <c r="AD32" s="1317"/>
      <c r="AE32" s="1318"/>
      <c r="AF32" s="1319"/>
      <c r="AG32" s="1319"/>
      <c r="AH32" s="1319"/>
      <c r="AI32" s="1319"/>
      <c r="AJ32" s="1319"/>
      <c r="AK32" s="1319"/>
      <c r="AL32" s="1319"/>
    </row>
    <row r="33" spans="1:38" s="1320" customFormat="1" ht="33" customHeight="1">
      <c r="A33" s="1306">
        <v>18</v>
      </c>
      <c r="B33" s="1307">
        <v>18</v>
      </c>
      <c r="C33" s="1307" t="str">
        <f>'Chấm công KT'!C30</f>
        <v>03471</v>
      </c>
      <c r="D33" s="1308" t="str">
        <f>TONGHOPCONGDOI!C28</f>
        <v>T. Phô Thong</v>
      </c>
      <c r="E33" s="1307" t="s">
        <v>26</v>
      </c>
      <c r="F33" s="1309"/>
      <c r="G33" s="1310">
        <f t="shared" si="3"/>
        <v>0</v>
      </c>
      <c r="H33" s="1310">
        <f>VLOOKUP(D33,TONGHOPCONGDOI!C28:AD94,16,0)</f>
        <v>5064</v>
      </c>
      <c r="I33" s="1310">
        <f>VLOOKUP(D33,TONGHOPCONGDOI!C28:AD94,18,0)</f>
        <v>0</v>
      </c>
      <c r="J33" s="1310"/>
      <c r="K33" s="1311">
        <f t="shared" si="2"/>
        <v>2163.0310405902542</v>
      </c>
      <c r="L33" s="1312" t="str">
        <f>VLOOKUP(D33,'BTH mủ tạp'!$D$17:$AN$95,37,0)</f>
        <v>A</v>
      </c>
      <c r="M33" s="1313">
        <f t="shared" si="4"/>
        <v>8850336</v>
      </c>
      <c r="N33" s="1314">
        <f>VLOOKUP(D33,TONGHOPCONGDOI!$C$11:$AD$93,20,0)</f>
        <v>26</v>
      </c>
      <c r="O33" s="1314">
        <f>VLOOKUP(D33,TONGHOPCONGDOI!$C$11:$AD$93,21,0)</f>
        <v>2</v>
      </c>
      <c r="P33" s="1314">
        <f>VLOOKUP(D33,TONGHOPCONGDOI!$C$11:$AC$93,22,0)</f>
        <v>0</v>
      </c>
      <c r="Q33" s="1314">
        <f>VLOOKUP(D33,TONGHOPCONGDOI!$C$11:$AC$94,23,0)</f>
        <v>2</v>
      </c>
      <c r="R33" s="1314">
        <f>VLOOKUP(D33,TONGHOPCONGDOI!$C$11:$AC$94,24,0)</f>
        <v>0</v>
      </c>
      <c r="S33" s="1314">
        <f>VLOOKUP(D33,TONGHOPCONGDOI!$C$11:$AC$94,25,0)</f>
        <v>0</v>
      </c>
      <c r="T33" s="1314"/>
      <c r="U33" s="1308">
        <f t="shared" si="5"/>
        <v>2</v>
      </c>
      <c r="V33" s="1315"/>
      <c r="W33" s="1315"/>
      <c r="X33" s="1314">
        <f t="shared" si="6"/>
        <v>1313462</v>
      </c>
      <c r="Y33" s="1314">
        <f t="shared" si="7"/>
        <v>10163798</v>
      </c>
      <c r="Z33" s="1310"/>
      <c r="AA33" s="1321">
        <f t="shared" si="8"/>
        <v>10163798</v>
      </c>
      <c r="AB33" s="1310"/>
      <c r="AC33" s="1316"/>
      <c r="AD33" s="1317"/>
      <c r="AE33" s="1318"/>
      <c r="AF33" s="1319"/>
      <c r="AG33" s="1319"/>
      <c r="AH33" s="1319"/>
      <c r="AI33" s="1319"/>
      <c r="AJ33" s="1319"/>
      <c r="AK33" s="1319"/>
      <c r="AL33" s="1319"/>
    </row>
    <row r="34" spans="1:38" s="1320" customFormat="1" ht="33" customHeight="1">
      <c r="A34" s="1306">
        <v>19</v>
      </c>
      <c r="B34" s="1307">
        <v>19</v>
      </c>
      <c r="C34" s="1307" t="str">
        <f>'Chấm công KT'!C31</f>
        <v>03472</v>
      </c>
      <c r="D34" s="1308" t="str">
        <f>TONGHOPCONGDOI!C29</f>
        <v>N. Soi</v>
      </c>
      <c r="E34" s="1307" t="s">
        <v>26</v>
      </c>
      <c r="F34" s="1309"/>
      <c r="G34" s="1310">
        <f t="shared" si="3"/>
        <v>0</v>
      </c>
      <c r="H34" s="1310">
        <f>VLOOKUP(D34,TONGHOPCONGDOI!C29:AD94,16,0)</f>
        <v>4063</v>
      </c>
      <c r="I34" s="1310">
        <f>VLOOKUP(D34,TONGHOPCONGDOI!C29:AD94,18,0)</f>
        <v>0</v>
      </c>
      <c r="J34" s="1310"/>
      <c r="K34" s="1311">
        <f t="shared" si="2"/>
        <v>1735.46507067895</v>
      </c>
      <c r="L34" s="1312" t="str">
        <f>VLOOKUP(D34,'BTH mủ tạp'!$D$17:$AN$95,37,0)</f>
        <v>A</v>
      </c>
      <c r="M34" s="1313">
        <f t="shared" si="4"/>
        <v>7100891</v>
      </c>
      <c r="N34" s="1314">
        <f>VLOOKUP(D34,TONGHOPCONGDOI!$C$11:$AD$93,20,0)</f>
        <v>24</v>
      </c>
      <c r="O34" s="1314">
        <f>VLOOKUP(D34,TONGHOPCONGDOI!$C$11:$AD$93,21,0)</f>
        <v>2</v>
      </c>
      <c r="P34" s="1314">
        <f>VLOOKUP(D34,TONGHOPCONGDOI!$C$11:$AC$93,22,0)</f>
        <v>0</v>
      </c>
      <c r="Q34" s="1314">
        <f>VLOOKUP(D34,TONGHOPCONGDOI!$C$11:$AC$94,23,0)</f>
        <v>2</v>
      </c>
      <c r="R34" s="1314">
        <f>VLOOKUP(D34,TONGHOPCONGDOI!$C$11:$AC$94,24,0)</f>
        <v>0</v>
      </c>
      <c r="S34" s="1314">
        <f>VLOOKUP(D34,TONGHOPCONGDOI!$C$11:$AC$94,25,0)</f>
        <v>0</v>
      </c>
      <c r="T34" s="1314"/>
      <c r="U34" s="1308">
        <f t="shared" si="5"/>
        <v>2</v>
      </c>
      <c r="V34" s="1315"/>
      <c r="W34" s="1315"/>
      <c r="X34" s="1314">
        <f t="shared" si="6"/>
        <v>1251618</v>
      </c>
      <c r="Y34" s="1314">
        <f t="shared" si="7"/>
        <v>8352509</v>
      </c>
      <c r="Z34" s="1310"/>
      <c r="AA34" s="1321">
        <f t="shared" si="8"/>
        <v>8352509</v>
      </c>
      <c r="AB34" s="1310"/>
      <c r="AC34" s="1316"/>
      <c r="AD34" s="1317"/>
      <c r="AE34" s="1318"/>
      <c r="AF34" s="1319"/>
      <c r="AG34" s="1319"/>
      <c r="AH34" s="1319"/>
      <c r="AI34" s="1319"/>
      <c r="AJ34" s="1319"/>
      <c r="AK34" s="1319"/>
      <c r="AL34" s="1319"/>
    </row>
    <row r="35" spans="1:38" s="1320" customFormat="1" ht="33" customHeight="1">
      <c r="A35" s="1306">
        <v>20</v>
      </c>
      <c r="B35" s="1307">
        <v>20</v>
      </c>
      <c r="C35" s="1307" t="str">
        <f>'Chấm công KT'!C32</f>
        <v>03473</v>
      </c>
      <c r="D35" s="1308" t="str">
        <f>TONGHOPCONGDOI!C30</f>
        <v>N. Me Kha La</v>
      </c>
      <c r="E35" s="1307" t="s">
        <v>26</v>
      </c>
      <c r="F35" s="1309"/>
      <c r="G35" s="1310">
        <f t="shared" si="3"/>
        <v>0</v>
      </c>
      <c r="H35" s="1310">
        <f>VLOOKUP(D35,TONGHOPCONGDOI!C30:AD94,16,0)</f>
        <v>3609</v>
      </c>
      <c r="I35" s="1310">
        <f>VLOOKUP(D35,TONGHOPCONGDOI!C30:AD94,18,0)</f>
        <v>0</v>
      </c>
      <c r="J35" s="1310"/>
      <c r="K35" s="1311">
        <f t="shared" si="2"/>
        <v>1541.5440413685283</v>
      </c>
      <c r="L35" s="1312" t="str">
        <f>VLOOKUP(D35,'BTH mủ tạp'!$D$17:$AN$95,37,0)</f>
        <v>A</v>
      </c>
      <c r="M35" s="1313">
        <f t="shared" si="4"/>
        <v>6307437</v>
      </c>
      <c r="N35" s="1314">
        <f>VLOOKUP(D35,TONGHOPCONGDOI!$C$11:$AD$93,20,0)</f>
        <v>25</v>
      </c>
      <c r="O35" s="1314">
        <f>VLOOKUP(D35,TONGHOPCONGDOI!$C$11:$AD$93,21,0)</f>
        <v>2</v>
      </c>
      <c r="P35" s="1314">
        <f>VLOOKUP(D35,TONGHOPCONGDOI!$C$11:$AC$93,22,0)</f>
        <v>0</v>
      </c>
      <c r="Q35" s="1314">
        <f>VLOOKUP(D35,TONGHOPCONGDOI!$C$11:$AC$94,23,0)</f>
        <v>2</v>
      </c>
      <c r="R35" s="1314">
        <f>VLOOKUP(D35,TONGHOPCONGDOI!$C$11:$AC$94,24,0)</f>
        <v>0</v>
      </c>
      <c r="S35" s="1314">
        <f>VLOOKUP(D35,TONGHOPCONGDOI!$C$11:$AC$94,25,0)</f>
        <v>0</v>
      </c>
      <c r="T35" s="1314"/>
      <c r="U35" s="1308">
        <f t="shared" si="5"/>
        <v>2</v>
      </c>
      <c r="V35" s="1315"/>
      <c r="W35" s="1315"/>
      <c r="X35" s="1314">
        <f t="shared" si="6"/>
        <v>1282540</v>
      </c>
      <c r="Y35" s="1314">
        <f t="shared" si="7"/>
        <v>7589977</v>
      </c>
      <c r="Z35" s="1310"/>
      <c r="AA35" s="1321">
        <f t="shared" si="8"/>
        <v>7589977</v>
      </c>
      <c r="AB35" s="1310"/>
      <c r="AC35" s="1316"/>
      <c r="AD35" s="1317"/>
      <c r="AE35" s="1318"/>
      <c r="AF35" s="1319"/>
      <c r="AG35" s="1319"/>
      <c r="AH35" s="1319"/>
      <c r="AI35" s="1319"/>
      <c r="AJ35" s="1319"/>
      <c r="AK35" s="1319"/>
      <c r="AL35" s="1319"/>
    </row>
    <row r="36" spans="1:38" s="1320" customFormat="1" ht="33" customHeight="1">
      <c r="A36" s="1306">
        <v>21</v>
      </c>
      <c r="B36" s="1307">
        <v>21</v>
      </c>
      <c r="C36" s="1307" t="str">
        <f>'Chấm công KT'!C33</f>
        <v>03474</v>
      </c>
      <c r="D36" s="1308" t="str">
        <f>TONGHOPCONGDOI!C31</f>
        <v>N. Mon Khăm</v>
      </c>
      <c r="E36" s="1307" t="s">
        <v>26</v>
      </c>
      <c r="F36" s="1309"/>
      <c r="G36" s="1310">
        <f t="shared" si="3"/>
        <v>0</v>
      </c>
      <c r="H36" s="1310">
        <f>VLOOKUP(D36,TONGHOPCONGDOI!C31:AD94,16,0)</f>
        <v>3808</v>
      </c>
      <c r="I36" s="1310">
        <f>VLOOKUP(D36,TONGHOPCONGDOI!C31:AD94,18,0)</f>
        <v>0</v>
      </c>
      <c r="J36" s="1310"/>
      <c r="K36" s="1311">
        <f t="shared" si="2"/>
        <v>1626.5446687534929</v>
      </c>
      <c r="L36" s="1312" t="str">
        <f>VLOOKUP(D36,'BTH mủ tạp'!$D$17:$AN$95,37,0)</f>
        <v>A</v>
      </c>
      <c r="M36" s="1313">
        <f t="shared" si="4"/>
        <v>6655229</v>
      </c>
      <c r="N36" s="1314">
        <f>VLOOKUP(D36,TONGHOPCONGDOI!$C$11:$AD$93,20,0)</f>
        <v>24</v>
      </c>
      <c r="O36" s="1314">
        <f>VLOOKUP(D36,TONGHOPCONGDOI!$C$11:$AD$93,21,0)</f>
        <v>2</v>
      </c>
      <c r="P36" s="1314">
        <f>VLOOKUP(D36,TONGHOPCONGDOI!$C$11:$AC$93,22,0)</f>
        <v>0</v>
      </c>
      <c r="Q36" s="1314">
        <f>VLOOKUP(D36,TONGHOPCONGDOI!$C$11:$AC$94,23,0)</f>
        <v>2</v>
      </c>
      <c r="R36" s="1314">
        <f>VLOOKUP(D36,TONGHOPCONGDOI!$C$11:$AC$94,24,0)</f>
        <v>0</v>
      </c>
      <c r="S36" s="1314">
        <f>VLOOKUP(D36,TONGHOPCONGDOI!$C$11:$AC$94,25,0)</f>
        <v>0</v>
      </c>
      <c r="T36" s="1314"/>
      <c r="U36" s="1308">
        <f t="shared" si="5"/>
        <v>2</v>
      </c>
      <c r="V36" s="1315"/>
      <c r="W36" s="1315"/>
      <c r="X36" s="1314">
        <f t="shared" si="6"/>
        <v>1251618</v>
      </c>
      <c r="Y36" s="1314">
        <f t="shared" si="7"/>
        <v>7906847</v>
      </c>
      <c r="Z36" s="1310"/>
      <c r="AA36" s="1321">
        <f t="shared" si="8"/>
        <v>7906847</v>
      </c>
      <c r="AB36" s="1310"/>
      <c r="AC36" s="1316"/>
      <c r="AD36" s="1317"/>
      <c r="AE36" s="1318"/>
      <c r="AF36" s="1319"/>
      <c r="AG36" s="1319"/>
      <c r="AH36" s="1319"/>
      <c r="AI36" s="1319"/>
      <c r="AJ36" s="1319"/>
      <c r="AK36" s="1319"/>
      <c r="AL36" s="1319"/>
    </row>
    <row r="37" spans="1:38" s="1320" customFormat="1" ht="33" customHeight="1">
      <c r="A37" s="1306">
        <v>22</v>
      </c>
      <c r="B37" s="1307">
        <v>22</v>
      </c>
      <c r="C37" s="1307">
        <f>'Chấm công KT'!C34</f>
        <v>0</v>
      </c>
      <c r="D37" s="1308" t="str">
        <f>TONGHOPCONGDOI!C32</f>
        <v>N.Choi</v>
      </c>
      <c r="E37" s="1307" t="s">
        <v>26</v>
      </c>
      <c r="F37" s="1309"/>
      <c r="G37" s="1310">
        <f t="shared" si="3"/>
        <v>0</v>
      </c>
      <c r="H37" s="1310">
        <f>VLOOKUP(D37,TONGHOPCONGDOI!C32:AD94,16,0)</f>
        <v>3490</v>
      </c>
      <c r="I37" s="1310">
        <f>VLOOKUP(D37,TONGHOPCONGDOI!C32:AD94,18,0)</f>
        <v>0</v>
      </c>
      <c r="J37" s="1310"/>
      <c r="K37" s="1311">
        <f t="shared" si="2"/>
        <v>1490.7145204699818</v>
      </c>
      <c r="L37" s="1312" t="str">
        <f>VLOOKUP(D37,'BTH mủ tạp'!$D$17:$AN$95,37,0)</f>
        <v>A</v>
      </c>
      <c r="M37" s="1313">
        <f t="shared" si="4"/>
        <v>6099461</v>
      </c>
      <c r="N37" s="1314">
        <f>VLOOKUP(D37,TONGHOPCONGDOI!$C$11:$AD$93,20,0)</f>
        <v>26</v>
      </c>
      <c r="O37" s="1314">
        <f>VLOOKUP(D37,TONGHOPCONGDOI!$C$11:$AD$93,21,0)</f>
        <v>2</v>
      </c>
      <c r="P37" s="1314">
        <f>VLOOKUP(D37,TONGHOPCONGDOI!$C$11:$AC$93,22,0)</f>
        <v>0</v>
      </c>
      <c r="Q37" s="1314">
        <f>VLOOKUP(D37,TONGHOPCONGDOI!$C$11:$AC$94,23,0)</f>
        <v>2</v>
      </c>
      <c r="R37" s="1314">
        <f>VLOOKUP(D37,TONGHOPCONGDOI!$C$11:$AC$94,24,0)</f>
        <v>0</v>
      </c>
      <c r="S37" s="1314">
        <f>VLOOKUP(D37,TONGHOPCONGDOI!$C$11:$AC$94,25,0)</f>
        <v>0</v>
      </c>
      <c r="T37" s="1314"/>
      <c r="U37" s="1308">
        <f t="shared" si="5"/>
        <v>2</v>
      </c>
      <c r="V37" s="1315"/>
      <c r="W37" s="1315"/>
      <c r="X37" s="1314">
        <f t="shared" si="6"/>
        <v>1313462</v>
      </c>
      <c r="Y37" s="1314">
        <f t="shared" si="7"/>
        <v>7412923</v>
      </c>
      <c r="Z37" s="1310"/>
      <c r="AA37" s="1321">
        <f t="shared" si="8"/>
        <v>7412923</v>
      </c>
      <c r="AB37" s="1310"/>
      <c r="AC37" s="1316"/>
      <c r="AD37" s="1317"/>
      <c r="AE37" s="1318"/>
      <c r="AF37" s="1319"/>
      <c r="AG37" s="1319"/>
      <c r="AH37" s="1319"/>
      <c r="AI37" s="1319"/>
      <c r="AJ37" s="1319"/>
      <c r="AK37" s="1319"/>
      <c r="AL37" s="1319"/>
    </row>
    <row r="38" spans="1:38" s="1320" customFormat="1" ht="33" customHeight="1">
      <c r="A38" s="1306">
        <v>23</v>
      </c>
      <c r="B38" s="1307">
        <v>23</v>
      </c>
      <c r="C38" s="1307" t="str">
        <f>'Chấm công KT'!C35</f>
        <v>03476</v>
      </c>
      <c r="D38" s="1308" t="str">
        <f>TONGHOPCONGDOI!C33</f>
        <v>T. Bin Ly.</v>
      </c>
      <c r="E38" s="1307" t="s">
        <v>26</v>
      </c>
      <c r="F38" s="1309"/>
      <c r="G38" s="1310">
        <f t="shared" si="3"/>
        <v>0</v>
      </c>
      <c r="H38" s="1310">
        <f>VLOOKUP(D38,TONGHOPCONGDOI!C33:AD94,16,0)</f>
        <v>4267</v>
      </c>
      <c r="I38" s="1310">
        <f>VLOOKUP(D38,TONGHOPCONGDOI!C33:AD94,18,0)</f>
        <v>0</v>
      </c>
      <c r="J38" s="1310"/>
      <c r="K38" s="1311">
        <f t="shared" si="2"/>
        <v>1822.6013922193158</v>
      </c>
      <c r="L38" s="1312" t="str">
        <f>VLOOKUP(D38,'BTH mủ tạp'!$D$17:$AN$95,37,0)</f>
        <v>A</v>
      </c>
      <c r="M38" s="1313">
        <f t="shared" si="4"/>
        <v>7457421</v>
      </c>
      <c r="N38" s="1314">
        <f>VLOOKUP(D38,TONGHOPCONGDOI!$C$11:$AD$93,20,0)</f>
        <v>26</v>
      </c>
      <c r="O38" s="1314">
        <f>VLOOKUP(D38,TONGHOPCONGDOI!$C$11:$AD$93,21,0)</f>
        <v>2</v>
      </c>
      <c r="P38" s="1314">
        <f>VLOOKUP(D38,TONGHOPCONGDOI!$C$11:$AC$93,22,0)</f>
        <v>0</v>
      </c>
      <c r="Q38" s="1314">
        <f>VLOOKUP(D38,TONGHOPCONGDOI!$C$11:$AC$94,23,0)</f>
        <v>2</v>
      </c>
      <c r="R38" s="1314">
        <f>VLOOKUP(D38,TONGHOPCONGDOI!$C$11:$AC$94,24,0)</f>
        <v>0</v>
      </c>
      <c r="S38" s="1314">
        <f>VLOOKUP(D38,TONGHOPCONGDOI!$C$11:$AC$94,25,0)</f>
        <v>0</v>
      </c>
      <c r="T38" s="1314"/>
      <c r="U38" s="1308">
        <f t="shared" si="5"/>
        <v>2</v>
      </c>
      <c r="V38" s="1315"/>
      <c r="W38" s="1315"/>
      <c r="X38" s="1314">
        <f t="shared" si="6"/>
        <v>1313462</v>
      </c>
      <c r="Y38" s="1314">
        <f t="shared" si="7"/>
        <v>8770883</v>
      </c>
      <c r="Z38" s="1310"/>
      <c r="AA38" s="1321">
        <f t="shared" si="8"/>
        <v>8770883</v>
      </c>
      <c r="AB38" s="1310"/>
      <c r="AC38" s="1316"/>
      <c r="AD38" s="1317"/>
      <c r="AE38" s="1318"/>
      <c r="AF38" s="1319"/>
      <c r="AG38" s="1319"/>
      <c r="AH38" s="1319"/>
      <c r="AI38" s="1319"/>
      <c r="AJ38" s="1319"/>
      <c r="AK38" s="1319"/>
      <c r="AL38" s="1319"/>
    </row>
    <row r="39" spans="1:38" s="1320" customFormat="1" ht="33" customHeight="1">
      <c r="A39" s="1306">
        <v>24</v>
      </c>
      <c r="B39" s="1307">
        <v>24</v>
      </c>
      <c r="C39" s="1307">
        <f>'Chấm công KT'!C36</f>
        <v>0</v>
      </c>
      <c r="D39" s="1308" t="str">
        <f>TONGHOPCONGDOI!C34</f>
        <v>N. Tinh</v>
      </c>
      <c r="E39" s="1307" t="s">
        <v>26</v>
      </c>
      <c r="F39" s="1309"/>
      <c r="G39" s="1310">
        <f t="shared" si="3"/>
        <v>0</v>
      </c>
      <c r="H39" s="1310">
        <f>VLOOKUP(D39,TONGHOPCONGDOI!C34:AD94,16,0)</f>
        <v>3721</v>
      </c>
      <c r="I39" s="1310">
        <f>VLOOKUP(D39,TONGHOPCONGDOI!C34:AD94,18,0)</f>
        <v>0</v>
      </c>
      <c r="J39" s="1310"/>
      <c r="K39" s="1311">
        <f t="shared" si="2"/>
        <v>1589.3835904495136</v>
      </c>
      <c r="L39" s="1312" t="str">
        <f>VLOOKUP(D39,'BTH mủ tạp'!$D$17:$AN$95,37,0)</f>
        <v>A</v>
      </c>
      <c r="M39" s="1313">
        <f t="shared" si="4"/>
        <v>6503179</v>
      </c>
      <c r="N39" s="1314">
        <f>VLOOKUP(D39,TONGHOPCONGDOI!$C$11:$AD$93,20,0)</f>
        <v>26</v>
      </c>
      <c r="O39" s="1314">
        <f>VLOOKUP(D39,TONGHOPCONGDOI!$C$11:$AD$93,21,0)</f>
        <v>2</v>
      </c>
      <c r="P39" s="1314">
        <f>VLOOKUP(D39,TONGHOPCONGDOI!$C$11:$AC$93,22,0)</f>
        <v>0</v>
      </c>
      <c r="Q39" s="1314">
        <f>VLOOKUP(D39,TONGHOPCONGDOI!$C$11:$AC$94,23,0)</f>
        <v>2</v>
      </c>
      <c r="R39" s="1314">
        <f>VLOOKUP(D39,TONGHOPCONGDOI!$C$11:$AC$94,24,0)</f>
        <v>0</v>
      </c>
      <c r="S39" s="1314">
        <f>VLOOKUP(D39,TONGHOPCONGDOI!$C$11:$AC$94,25,0)</f>
        <v>0</v>
      </c>
      <c r="T39" s="1314"/>
      <c r="U39" s="1308">
        <f t="shared" si="5"/>
        <v>2</v>
      </c>
      <c r="V39" s="1315"/>
      <c r="W39" s="1315"/>
      <c r="X39" s="1314">
        <f t="shared" si="6"/>
        <v>1313462</v>
      </c>
      <c r="Y39" s="1314">
        <f t="shared" si="7"/>
        <v>7816641</v>
      </c>
      <c r="Z39" s="1310"/>
      <c r="AA39" s="1321">
        <f t="shared" si="8"/>
        <v>7816641</v>
      </c>
      <c r="AB39" s="1310"/>
      <c r="AC39" s="1316"/>
      <c r="AD39" s="1317"/>
      <c r="AE39" s="1318"/>
      <c r="AF39" s="1319"/>
      <c r="AG39" s="1319"/>
      <c r="AH39" s="1319"/>
      <c r="AI39" s="1319"/>
      <c r="AJ39" s="1319"/>
      <c r="AK39" s="1319"/>
      <c r="AL39" s="1319"/>
    </row>
    <row r="40" spans="1:38" s="1320" customFormat="1" ht="33" customHeight="1">
      <c r="A40" s="1306">
        <v>25</v>
      </c>
      <c r="B40" s="1307">
        <v>25</v>
      </c>
      <c r="C40" s="1307" t="str">
        <f>'Chấm công KT'!C37</f>
        <v>03478</v>
      </c>
      <c r="D40" s="1308" t="str">
        <f>TONGHOPCONGDOI!C35</f>
        <v>N. Nong</v>
      </c>
      <c r="E40" s="1307" t="s">
        <v>26</v>
      </c>
      <c r="F40" s="1309"/>
      <c r="G40" s="1310">
        <f t="shared" si="3"/>
        <v>0</v>
      </c>
      <c r="H40" s="1310">
        <f>VLOOKUP(D40,TONGHOPCONGDOI!C35:AD94,16,0)</f>
        <v>4018</v>
      </c>
      <c r="I40" s="1310">
        <f>VLOOKUP(D40,TONGHOPCONGDOI!C35:AD94,18,0)</f>
        <v>0</v>
      </c>
      <c r="J40" s="1310"/>
      <c r="K40" s="1311">
        <f t="shared" si="2"/>
        <v>1716.2438232803399</v>
      </c>
      <c r="L40" s="1312" t="str">
        <f>VLOOKUP(D40,'BTH mủ tạp'!$D$17:$AN$95,37,0)</f>
        <v>B</v>
      </c>
      <c r="M40" s="1313">
        <f t="shared" si="4"/>
        <v>6676889</v>
      </c>
      <c r="N40" s="1314">
        <f>VLOOKUP(D40,TONGHOPCONGDOI!$C$11:$AD$93,20,0)</f>
        <v>26</v>
      </c>
      <c r="O40" s="1314">
        <f>VLOOKUP(D40,TONGHOPCONGDOI!$C$11:$AD$93,21,0)</f>
        <v>2</v>
      </c>
      <c r="P40" s="1314">
        <f>VLOOKUP(D40,TONGHOPCONGDOI!$C$11:$AC$93,22,0)</f>
        <v>0</v>
      </c>
      <c r="Q40" s="1314">
        <f>VLOOKUP(D40,TONGHOPCONGDOI!$C$11:$AC$94,23,0)</f>
        <v>2</v>
      </c>
      <c r="R40" s="1314">
        <f>VLOOKUP(D40,TONGHOPCONGDOI!$C$11:$AC$94,24,0)</f>
        <v>0</v>
      </c>
      <c r="S40" s="1314">
        <f>VLOOKUP(D40,TONGHOPCONGDOI!$C$11:$AC$94,25,0)</f>
        <v>0</v>
      </c>
      <c r="T40" s="1314"/>
      <c r="U40" s="1308">
        <f t="shared" si="5"/>
        <v>2</v>
      </c>
      <c r="V40" s="1315"/>
      <c r="W40" s="1315"/>
      <c r="X40" s="1314">
        <f t="shared" si="6"/>
        <v>1313462</v>
      </c>
      <c r="Y40" s="1314">
        <f t="shared" si="7"/>
        <v>7990351</v>
      </c>
      <c r="Z40" s="1310"/>
      <c r="AA40" s="1321">
        <f t="shared" si="8"/>
        <v>7990351</v>
      </c>
      <c r="AB40" s="1310"/>
      <c r="AC40" s="1316"/>
      <c r="AD40" s="1317"/>
      <c r="AE40" s="1318"/>
      <c r="AF40" s="1319"/>
      <c r="AG40" s="1319"/>
      <c r="AH40" s="1319"/>
      <c r="AI40" s="1319"/>
      <c r="AJ40" s="1319"/>
      <c r="AK40" s="1319"/>
      <c r="AL40" s="1319"/>
    </row>
    <row r="41" spans="1:38" s="1320" customFormat="1" ht="33" customHeight="1">
      <c r="A41" s="1306">
        <v>26</v>
      </c>
      <c r="B41" s="1307">
        <v>26</v>
      </c>
      <c r="C41" s="1307" t="str">
        <f>'Chấm công KT'!C38</f>
        <v>03479</v>
      </c>
      <c r="D41" s="1308" t="str">
        <f>TONGHOPCONGDOI!C36</f>
        <v>N. Tun 1</v>
      </c>
      <c r="E41" s="1307" t="s">
        <v>26</v>
      </c>
      <c r="F41" s="1309"/>
      <c r="G41" s="1310">
        <f t="shared" si="3"/>
        <v>0</v>
      </c>
      <c r="H41" s="1310">
        <f>VLOOKUP(D41,TONGHOPCONGDOI!C36:AD94,16,0)</f>
        <v>4131</v>
      </c>
      <c r="I41" s="1310">
        <f>VLOOKUP(D41,TONGHOPCONGDOI!C36:AD94,18,0)</f>
        <v>0</v>
      </c>
      <c r="J41" s="1310"/>
      <c r="K41" s="1311">
        <f t="shared" si="2"/>
        <v>1764.5105111924054</v>
      </c>
      <c r="L41" s="1312" t="str">
        <f>VLOOKUP(D41,'BTH mủ tạp'!$D$17:$AN$95,37,0)</f>
        <v>A</v>
      </c>
      <c r="M41" s="1313">
        <f t="shared" si="4"/>
        <v>7219735</v>
      </c>
      <c r="N41" s="1314">
        <f>VLOOKUP(D41,TONGHOPCONGDOI!$C$11:$AD$93,20,0)</f>
        <v>26</v>
      </c>
      <c r="O41" s="1314">
        <f>VLOOKUP(D41,TONGHOPCONGDOI!$C$11:$AD$93,21,0)</f>
        <v>2</v>
      </c>
      <c r="P41" s="1314">
        <f>VLOOKUP(D41,TONGHOPCONGDOI!$C$11:$AC$93,22,0)</f>
        <v>0</v>
      </c>
      <c r="Q41" s="1314">
        <f>VLOOKUP(D41,TONGHOPCONGDOI!$C$11:$AC$94,23,0)</f>
        <v>2</v>
      </c>
      <c r="R41" s="1314">
        <f>VLOOKUP(D41,TONGHOPCONGDOI!$C$11:$AC$94,24,0)</f>
        <v>0</v>
      </c>
      <c r="S41" s="1314">
        <f>VLOOKUP(D41,TONGHOPCONGDOI!$C$11:$AC$94,25,0)</f>
        <v>0</v>
      </c>
      <c r="T41" s="1314"/>
      <c r="U41" s="1308">
        <f t="shared" si="5"/>
        <v>2</v>
      </c>
      <c r="V41" s="1315"/>
      <c r="W41" s="1315"/>
      <c r="X41" s="1314">
        <f t="shared" si="6"/>
        <v>1313462</v>
      </c>
      <c r="Y41" s="1314">
        <f t="shared" si="7"/>
        <v>8533197</v>
      </c>
      <c r="Z41" s="1310"/>
      <c r="AA41" s="1321">
        <f t="shared" si="8"/>
        <v>8533197</v>
      </c>
      <c r="AB41" s="1310"/>
      <c r="AC41" s="1316"/>
      <c r="AD41" s="1317"/>
      <c r="AE41" s="1318"/>
      <c r="AF41" s="1319"/>
      <c r="AG41" s="1319"/>
      <c r="AH41" s="1319"/>
      <c r="AI41" s="1319"/>
      <c r="AJ41" s="1319"/>
      <c r="AK41" s="1319"/>
      <c r="AL41" s="1319"/>
    </row>
    <row r="42" spans="1:38" s="1320" customFormat="1" ht="33" customHeight="1">
      <c r="A42" s="1306">
        <v>27</v>
      </c>
      <c r="B42" s="1307">
        <v>27</v>
      </c>
      <c r="C42" s="1307" t="str">
        <f>'Chấm công KT'!C39</f>
        <v>03480</v>
      </c>
      <c r="D42" s="1308" t="str">
        <f>TONGHOPCONGDOI!C37</f>
        <v>T . Lốc</v>
      </c>
      <c r="E42" s="1307" t="s">
        <v>26</v>
      </c>
      <c r="F42" s="1309"/>
      <c r="G42" s="1310">
        <f t="shared" si="3"/>
        <v>0</v>
      </c>
      <c r="H42" s="1310">
        <f>VLOOKUP(D42,TONGHOPCONGDOI!C37:AD94,16,0)</f>
        <v>4118</v>
      </c>
      <c r="I42" s="1310">
        <f>VLOOKUP(D42,TONGHOPCONGDOI!C37:AD94,18,0)</f>
        <v>0</v>
      </c>
      <c r="J42" s="1310"/>
      <c r="K42" s="1311">
        <f t="shared" si="2"/>
        <v>1758.9577063883623</v>
      </c>
      <c r="L42" s="1312" t="str">
        <f>VLOOKUP(D42,'BTH mủ tạp'!$D$17:$AN$95,37,0)</f>
        <v>A</v>
      </c>
      <c r="M42" s="1313">
        <f t="shared" si="4"/>
        <v>7197015</v>
      </c>
      <c r="N42" s="1314">
        <f>VLOOKUP(D42,TONGHOPCONGDOI!$C$11:$AD$93,20,0)</f>
        <v>26</v>
      </c>
      <c r="O42" s="1314">
        <f>VLOOKUP(D42,TONGHOPCONGDOI!$C$11:$AD$93,21,0)</f>
        <v>2</v>
      </c>
      <c r="P42" s="1314">
        <f>VLOOKUP(D42,TONGHOPCONGDOI!$C$11:$AC$93,22,0)</f>
        <v>0</v>
      </c>
      <c r="Q42" s="1314">
        <f>VLOOKUP(D42,TONGHOPCONGDOI!$C$11:$AC$94,23,0)</f>
        <v>2</v>
      </c>
      <c r="R42" s="1314">
        <f>VLOOKUP(D42,TONGHOPCONGDOI!$C$11:$AC$94,24,0)</f>
        <v>0</v>
      </c>
      <c r="S42" s="1314">
        <f>VLOOKUP(D42,TONGHOPCONGDOI!$C$11:$AC$94,25,0)</f>
        <v>0</v>
      </c>
      <c r="T42" s="1314"/>
      <c r="U42" s="1308">
        <f t="shared" si="5"/>
        <v>2</v>
      </c>
      <c r="V42" s="1315"/>
      <c r="W42" s="1315"/>
      <c r="X42" s="1314">
        <f t="shared" si="6"/>
        <v>1313462</v>
      </c>
      <c r="Y42" s="1314">
        <f t="shared" si="7"/>
        <v>8510477</v>
      </c>
      <c r="Z42" s="1310"/>
      <c r="AA42" s="1321">
        <f t="shared" si="8"/>
        <v>8510477</v>
      </c>
      <c r="AB42" s="1310"/>
      <c r="AC42" s="1316"/>
      <c r="AD42" s="1317"/>
      <c r="AE42" s="1318"/>
      <c r="AF42" s="1319"/>
      <c r="AG42" s="1319"/>
      <c r="AH42" s="1319"/>
      <c r="AI42" s="1319"/>
      <c r="AJ42" s="1319"/>
      <c r="AK42" s="1319"/>
      <c r="AL42" s="1319"/>
    </row>
    <row r="43" spans="1:38" s="1320" customFormat="1" ht="33" customHeight="1">
      <c r="A43" s="1306">
        <v>28</v>
      </c>
      <c r="B43" s="1307">
        <v>28</v>
      </c>
      <c r="C43" s="1307" t="str">
        <f>'Chấm công KT'!C40</f>
        <v>03481</v>
      </c>
      <c r="D43" s="1308" t="str">
        <f>TONGHOPCONGDOI!C38</f>
        <v>N . Khâm (1)</v>
      </c>
      <c r="E43" s="1307" t="s">
        <v>26</v>
      </c>
      <c r="F43" s="1309"/>
      <c r="G43" s="1310">
        <f t="shared" si="3"/>
        <v>0</v>
      </c>
      <c r="H43" s="1310">
        <f>VLOOKUP(D43,TONGHOPCONGDOI!C38:AD94,16,0)</f>
        <v>4380</v>
      </c>
      <c r="I43" s="1310">
        <f>VLOOKUP(D43,TONGHOPCONGDOI!C38:AD94,18,0)</f>
        <v>0</v>
      </c>
      <c r="J43" s="1310"/>
      <c r="K43" s="1311">
        <f t="shared" si="2"/>
        <v>1870.868080131381</v>
      </c>
      <c r="L43" s="1312" t="str">
        <f>VLOOKUP(D43,'BTH mủ tạp'!$D$17:$AN$95,37,0)</f>
        <v>A</v>
      </c>
      <c r="M43" s="1313">
        <f t="shared" si="4"/>
        <v>7654911</v>
      </c>
      <c r="N43" s="1314">
        <f>VLOOKUP(D43,TONGHOPCONGDOI!$C$11:$AD$93,20,0)</f>
        <v>24</v>
      </c>
      <c r="O43" s="1314">
        <f>VLOOKUP(D43,TONGHOPCONGDOI!$C$11:$AD$93,21,0)</f>
        <v>2</v>
      </c>
      <c r="P43" s="1314">
        <f>VLOOKUP(D43,TONGHOPCONGDOI!$C$11:$AC$93,22,0)</f>
        <v>0</v>
      </c>
      <c r="Q43" s="1314">
        <f>VLOOKUP(D43,TONGHOPCONGDOI!$C$11:$AC$94,23,0)</f>
        <v>2</v>
      </c>
      <c r="R43" s="1314">
        <f>VLOOKUP(D43,TONGHOPCONGDOI!$C$11:$AC$94,24,0)</f>
        <v>0</v>
      </c>
      <c r="S43" s="1314">
        <f>VLOOKUP(D43,TONGHOPCONGDOI!$C$11:$AC$94,25,0)</f>
        <v>0</v>
      </c>
      <c r="T43" s="1314"/>
      <c r="U43" s="1308">
        <f t="shared" si="5"/>
        <v>2</v>
      </c>
      <c r="V43" s="1315"/>
      <c r="W43" s="1315"/>
      <c r="X43" s="1314">
        <f t="shared" si="6"/>
        <v>1251618</v>
      </c>
      <c r="Y43" s="1314">
        <f t="shared" si="7"/>
        <v>8906529</v>
      </c>
      <c r="Z43" s="1310"/>
      <c r="AA43" s="1321">
        <f t="shared" si="8"/>
        <v>8906529</v>
      </c>
      <c r="AB43" s="1310"/>
      <c r="AC43" s="1316"/>
      <c r="AD43" s="1317"/>
      <c r="AE43" s="1318"/>
      <c r="AF43" s="1319"/>
      <c r="AG43" s="1319"/>
      <c r="AH43" s="1319"/>
      <c r="AI43" s="1319"/>
      <c r="AJ43" s="1319"/>
      <c r="AK43" s="1319"/>
      <c r="AL43" s="1319"/>
    </row>
    <row r="44" spans="1:38" s="1320" customFormat="1" ht="33" customHeight="1">
      <c r="A44" s="1306">
        <v>29</v>
      </c>
      <c r="B44" s="1307">
        <v>29</v>
      </c>
      <c r="C44" s="1307" t="str">
        <f>'Chấm công KT'!C41</f>
        <v>03482</v>
      </c>
      <c r="D44" s="1308" t="str">
        <f>TONGHOPCONGDOI!C39</f>
        <v>T . Phết</v>
      </c>
      <c r="E44" s="1307" t="s">
        <v>26</v>
      </c>
      <c r="F44" s="1309"/>
      <c r="G44" s="1310">
        <f t="shared" si="3"/>
        <v>0</v>
      </c>
      <c r="H44" s="1310">
        <f>VLOOKUP(D44,TONGHOPCONGDOI!C39:AD94,16,0)</f>
        <v>4288</v>
      </c>
      <c r="I44" s="1310">
        <f>VLOOKUP(D44,TONGHOPCONGDOI!C39:AD94,18,0)</f>
        <v>0</v>
      </c>
      <c r="J44" s="1310"/>
      <c r="K44" s="1311">
        <f t="shared" si="2"/>
        <v>1831.5713076720006</v>
      </c>
      <c r="L44" s="1312" t="str">
        <f>VLOOKUP(D44,'BTH mủ tạp'!$D$17:$AN$95,37,0)</f>
        <v>A</v>
      </c>
      <c r="M44" s="1313">
        <f t="shared" si="4"/>
        <v>7494123</v>
      </c>
      <c r="N44" s="1314">
        <f>VLOOKUP(D44,TONGHOPCONGDOI!$C$11:$AD$93,20,0)</f>
        <v>24</v>
      </c>
      <c r="O44" s="1314">
        <f>VLOOKUP(D44,TONGHOPCONGDOI!$C$11:$AD$93,21,0)</f>
        <v>2</v>
      </c>
      <c r="P44" s="1314">
        <f>VLOOKUP(D44,TONGHOPCONGDOI!$C$11:$AC$93,22,0)</f>
        <v>0</v>
      </c>
      <c r="Q44" s="1314">
        <f>VLOOKUP(D44,TONGHOPCONGDOI!$C$11:$AC$94,23,0)</f>
        <v>2</v>
      </c>
      <c r="R44" s="1314">
        <f>VLOOKUP(D44,TONGHOPCONGDOI!$C$11:$AC$94,24,0)</f>
        <v>0</v>
      </c>
      <c r="S44" s="1314">
        <f>VLOOKUP(D44,TONGHOPCONGDOI!$C$11:$AC$94,25,0)</f>
        <v>0</v>
      </c>
      <c r="T44" s="1314"/>
      <c r="U44" s="1308">
        <f t="shared" si="5"/>
        <v>2</v>
      </c>
      <c r="V44" s="1315"/>
      <c r="W44" s="1315"/>
      <c r="X44" s="1314">
        <f t="shared" si="6"/>
        <v>1251618</v>
      </c>
      <c r="Y44" s="1314">
        <f t="shared" si="7"/>
        <v>8745741</v>
      </c>
      <c r="Z44" s="1310"/>
      <c r="AA44" s="1321">
        <f t="shared" si="8"/>
        <v>8745741</v>
      </c>
      <c r="AB44" s="1310"/>
      <c r="AC44" s="1316"/>
      <c r="AD44" s="1317"/>
      <c r="AE44" s="1318"/>
      <c r="AF44" s="1319"/>
      <c r="AG44" s="1319"/>
      <c r="AH44" s="1319"/>
      <c r="AI44" s="1319"/>
      <c r="AJ44" s="1319"/>
      <c r="AK44" s="1319"/>
      <c r="AL44" s="1319"/>
    </row>
    <row r="45" spans="1:38" s="1320" customFormat="1" ht="33" customHeight="1">
      <c r="A45" s="1306">
        <v>30</v>
      </c>
      <c r="B45" s="1307">
        <v>30</v>
      </c>
      <c r="C45" s="1307" t="str">
        <f>'Chấm công KT'!C42</f>
        <v>03483</v>
      </c>
      <c r="D45" s="1308" t="str">
        <f>TONGHOPCONGDOI!C40</f>
        <v>T. Viêng Sa Văn</v>
      </c>
      <c r="E45" s="1307" t="s">
        <v>26</v>
      </c>
      <c r="F45" s="1309"/>
      <c r="G45" s="1310">
        <f t="shared" si="3"/>
        <v>0</v>
      </c>
      <c r="H45" s="1310">
        <f>VLOOKUP(D45,TONGHOPCONGDOI!C40:AD94,16,0)</f>
        <v>4448</v>
      </c>
      <c r="I45" s="1310">
        <f>VLOOKUP(D45,TONGHOPCONGDOI!C40:AD94,18,0)</f>
        <v>0</v>
      </c>
      <c r="J45" s="1310"/>
      <c r="K45" s="1311">
        <f t="shared" si="2"/>
        <v>1899.9135206448364</v>
      </c>
      <c r="L45" s="1312" t="str">
        <f>VLOOKUP(D45,'BTH mủ tạp'!$D$17:$AN$95,37,0)</f>
        <v>A</v>
      </c>
      <c r="M45" s="1313">
        <f t="shared" si="4"/>
        <v>7773755</v>
      </c>
      <c r="N45" s="1314">
        <f>VLOOKUP(D45,TONGHOPCONGDOI!$C$11:$AD$93,20,0)</f>
        <v>25</v>
      </c>
      <c r="O45" s="1314">
        <f>VLOOKUP(D45,TONGHOPCONGDOI!$C$11:$AD$93,21,0)</f>
        <v>2</v>
      </c>
      <c r="P45" s="1314">
        <f>VLOOKUP(D45,TONGHOPCONGDOI!$C$11:$AC$93,22,0)</f>
        <v>0</v>
      </c>
      <c r="Q45" s="1314">
        <f>VLOOKUP(D45,TONGHOPCONGDOI!$C$11:$AC$94,23,0)</f>
        <v>2</v>
      </c>
      <c r="R45" s="1314">
        <f>VLOOKUP(D45,TONGHOPCONGDOI!$C$11:$AC$94,24,0)</f>
        <v>0</v>
      </c>
      <c r="S45" s="1314">
        <f>VLOOKUP(D45,TONGHOPCONGDOI!$C$11:$AC$94,25,0)</f>
        <v>0</v>
      </c>
      <c r="T45" s="1314"/>
      <c r="U45" s="1308">
        <f t="shared" si="5"/>
        <v>2</v>
      </c>
      <c r="V45" s="1315"/>
      <c r="W45" s="1315"/>
      <c r="X45" s="1314">
        <f t="shared" si="6"/>
        <v>1282540</v>
      </c>
      <c r="Y45" s="1314">
        <f t="shared" si="7"/>
        <v>9056295</v>
      </c>
      <c r="Z45" s="1310"/>
      <c r="AA45" s="1321">
        <f t="shared" si="8"/>
        <v>9056295</v>
      </c>
      <c r="AB45" s="1310"/>
      <c r="AC45" s="1316"/>
      <c r="AD45" s="1317"/>
      <c r="AE45" s="1318"/>
      <c r="AF45" s="1319"/>
      <c r="AG45" s="1319"/>
      <c r="AH45" s="1319"/>
      <c r="AI45" s="1319"/>
      <c r="AJ45" s="1319"/>
      <c r="AK45" s="1319"/>
      <c r="AL45" s="1319"/>
    </row>
    <row r="46" spans="1:38" s="1320" customFormat="1" ht="33" customHeight="1">
      <c r="A46" s="1306">
        <v>31</v>
      </c>
      <c r="B46" s="1307">
        <v>31</v>
      </c>
      <c r="C46" s="1307" t="str">
        <f>'Chấm công KT'!C43</f>
        <v>03484</v>
      </c>
      <c r="D46" s="1308" t="str">
        <f>TONGHOPCONGDOI!C41</f>
        <v>T. Ca Te</v>
      </c>
      <c r="E46" s="1307" t="s">
        <v>26</v>
      </c>
      <c r="F46" s="1309"/>
      <c r="G46" s="1310">
        <f t="shared" si="3"/>
        <v>0</v>
      </c>
      <c r="H46" s="1310">
        <f>VLOOKUP(D46,TONGHOPCONGDOI!C41:AD94,16,0)</f>
        <v>4236</v>
      </c>
      <c r="I46" s="1310">
        <f>VLOOKUP(D46,TONGHOPCONGDOI!C41:AD94,18,0)</f>
        <v>0</v>
      </c>
      <c r="J46" s="1310"/>
      <c r="K46" s="1311">
        <f t="shared" si="2"/>
        <v>1809.3600884558289</v>
      </c>
      <c r="L46" s="1312" t="str">
        <f>VLOOKUP(D46,'BTH mủ tạp'!$D$17:$AN$95,37,0)</f>
        <v>A</v>
      </c>
      <c r="M46" s="1313">
        <f t="shared" si="4"/>
        <v>7403243</v>
      </c>
      <c r="N46" s="1314">
        <f>VLOOKUP(D46,TONGHOPCONGDOI!$C$11:$AD$93,20,0)</f>
        <v>26</v>
      </c>
      <c r="O46" s="1314">
        <f>VLOOKUP(D46,TONGHOPCONGDOI!$C$11:$AD$93,21,0)</f>
        <v>2</v>
      </c>
      <c r="P46" s="1314">
        <f>VLOOKUP(D46,TONGHOPCONGDOI!$C$11:$AC$93,22,0)</f>
        <v>0</v>
      </c>
      <c r="Q46" s="1314">
        <f>VLOOKUP(D46,TONGHOPCONGDOI!$C$11:$AC$94,23,0)</f>
        <v>2</v>
      </c>
      <c r="R46" s="1314">
        <f>VLOOKUP(D46,TONGHOPCONGDOI!$C$11:$AC$94,24,0)</f>
        <v>0</v>
      </c>
      <c r="S46" s="1314">
        <f>VLOOKUP(D46,TONGHOPCONGDOI!$C$11:$AC$94,25,0)</f>
        <v>0</v>
      </c>
      <c r="T46" s="1314"/>
      <c r="U46" s="1308">
        <f t="shared" si="5"/>
        <v>2</v>
      </c>
      <c r="V46" s="1315"/>
      <c r="W46" s="1315"/>
      <c r="X46" s="1314">
        <f t="shared" si="6"/>
        <v>1313462</v>
      </c>
      <c r="Y46" s="1314">
        <f t="shared" si="7"/>
        <v>8716705</v>
      </c>
      <c r="Z46" s="1310"/>
      <c r="AA46" s="1321">
        <f t="shared" si="8"/>
        <v>8716705</v>
      </c>
      <c r="AB46" s="1310"/>
      <c r="AC46" s="1316"/>
      <c r="AD46" s="1317"/>
      <c r="AE46" s="1318"/>
      <c r="AF46" s="1319"/>
      <c r="AG46" s="1319"/>
      <c r="AH46" s="1319"/>
      <c r="AI46" s="1319"/>
      <c r="AJ46" s="1319"/>
      <c r="AK46" s="1319"/>
      <c r="AL46" s="1319"/>
    </row>
    <row r="47" spans="1:38" s="1320" customFormat="1" ht="33" customHeight="1">
      <c r="A47" s="1306">
        <v>32</v>
      </c>
      <c r="B47" s="1307">
        <v>32</v>
      </c>
      <c r="C47" s="1307" t="str">
        <f>'Chấm công KT'!C44</f>
        <v>03485</v>
      </c>
      <c r="D47" s="1308" t="str">
        <f>TONGHOPCONGDOI!C42</f>
        <v>T. Lâm Phon</v>
      </c>
      <c r="E47" s="1307" t="s">
        <v>26</v>
      </c>
      <c r="F47" s="1309"/>
      <c r="G47" s="1310">
        <f t="shared" si="3"/>
        <v>0</v>
      </c>
      <c r="H47" s="1310">
        <f>VLOOKUP(D47,TONGHOPCONGDOI!C42:AD94,16,0)</f>
        <v>4573</v>
      </c>
      <c r="I47" s="1310">
        <f>VLOOKUP(D47,TONGHOPCONGDOI!C42:AD94,18,0)</f>
        <v>0</v>
      </c>
      <c r="J47" s="1310"/>
      <c r="K47" s="1311">
        <f t="shared" si="2"/>
        <v>1953.3058745298642</v>
      </c>
      <c r="L47" s="1312" t="str">
        <f>VLOOKUP(D47,'BTH mủ tạp'!$D$17:$AN$95,37,0)</f>
        <v>A</v>
      </c>
      <c r="M47" s="1313">
        <f t="shared" si="4"/>
        <v>7992217</v>
      </c>
      <c r="N47" s="1314">
        <f>VLOOKUP(D47,TONGHOPCONGDOI!$C$11:$AD$93,20,0)</f>
        <v>26</v>
      </c>
      <c r="O47" s="1314">
        <f>VLOOKUP(D47,TONGHOPCONGDOI!$C$11:$AD$93,21,0)</f>
        <v>2</v>
      </c>
      <c r="P47" s="1314">
        <f>VLOOKUP(D47,TONGHOPCONGDOI!$C$11:$AC$93,22,0)</f>
        <v>0</v>
      </c>
      <c r="Q47" s="1314">
        <f>VLOOKUP(D47,TONGHOPCONGDOI!$C$11:$AC$94,23,0)</f>
        <v>2</v>
      </c>
      <c r="R47" s="1314">
        <f>VLOOKUP(D47,TONGHOPCONGDOI!$C$11:$AC$94,24,0)</f>
        <v>0</v>
      </c>
      <c r="S47" s="1314">
        <f>VLOOKUP(D47,TONGHOPCONGDOI!$C$11:$AC$94,25,0)</f>
        <v>0</v>
      </c>
      <c r="T47" s="1314"/>
      <c r="U47" s="1308">
        <f t="shared" si="5"/>
        <v>2</v>
      </c>
      <c r="V47" s="1315"/>
      <c r="W47" s="1315"/>
      <c r="X47" s="1314">
        <f t="shared" si="6"/>
        <v>1313462</v>
      </c>
      <c r="Y47" s="1314">
        <f t="shared" si="7"/>
        <v>9305679</v>
      </c>
      <c r="Z47" s="1310"/>
      <c r="AA47" s="1321">
        <f t="shared" si="8"/>
        <v>9305679</v>
      </c>
      <c r="AB47" s="1310"/>
      <c r="AC47" s="1316"/>
      <c r="AD47" s="1317"/>
      <c r="AE47" s="1318"/>
      <c r="AF47" s="1319"/>
      <c r="AG47" s="1319"/>
      <c r="AH47" s="1319"/>
      <c r="AI47" s="1319"/>
      <c r="AJ47" s="1319"/>
      <c r="AK47" s="1319"/>
      <c r="AL47" s="1319"/>
    </row>
    <row r="48" spans="1:38" s="1320" customFormat="1" ht="33" customHeight="1">
      <c r="A48" s="1306">
        <v>33</v>
      </c>
      <c r="B48" s="1307">
        <v>33</v>
      </c>
      <c r="C48" s="1307" t="str">
        <f>'Chấm công KT'!C45</f>
        <v>02712</v>
      </c>
      <c r="D48" s="1308" t="str">
        <f>TONGHOPCONGDOI!C43</f>
        <v>T. Sô Đa</v>
      </c>
      <c r="E48" s="1307" t="s">
        <v>26</v>
      </c>
      <c r="F48" s="1309"/>
      <c r="G48" s="1310">
        <f t="shared" si="3"/>
        <v>0</v>
      </c>
      <c r="H48" s="1310">
        <f>VLOOKUP(D48,TONGHOPCONGDOI!C43:AD94,16,0)</f>
        <v>3971</v>
      </c>
      <c r="I48" s="1310">
        <f>VLOOKUP(D48,TONGHOPCONGDOI!C43:AD94,18,0)</f>
        <v>0</v>
      </c>
      <c r="J48" s="1310"/>
      <c r="K48" s="1311">
        <f t="shared" ref="K48:K79" si="9">$AF$8/$AF$7*H48+I48*$AF$9+J48*$AF$10</f>
        <v>1696.1682982195696</v>
      </c>
      <c r="L48" s="1312" t="str">
        <f>VLOOKUP(D48,'BTH mủ tạp'!$D$17:$AN$95,37,0)</f>
        <v>A</v>
      </c>
      <c r="M48" s="1313">
        <f t="shared" si="4"/>
        <v>6940103</v>
      </c>
      <c r="N48" s="1314">
        <f>VLOOKUP(D48,TONGHOPCONGDOI!$C$11:$AD$93,20,0)</f>
        <v>26</v>
      </c>
      <c r="O48" s="1314">
        <f>VLOOKUP(D48,TONGHOPCONGDOI!$C$11:$AD$93,21,0)</f>
        <v>2</v>
      </c>
      <c r="P48" s="1314">
        <f>VLOOKUP(D48,TONGHOPCONGDOI!$C$11:$AC$93,22,0)</f>
        <v>0</v>
      </c>
      <c r="Q48" s="1314">
        <f>VLOOKUP(D48,TONGHOPCONGDOI!$C$11:$AC$94,23,0)</f>
        <v>2</v>
      </c>
      <c r="R48" s="1314">
        <f>VLOOKUP(D48,TONGHOPCONGDOI!$C$11:$AC$94,24,0)</f>
        <v>0</v>
      </c>
      <c r="S48" s="1314">
        <f>VLOOKUP(D48,TONGHOPCONGDOI!$C$11:$AC$94,25,0)</f>
        <v>0</v>
      </c>
      <c r="T48" s="1314"/>
      <c r="U48" s="1308">
        <f t="shared" si="5"/>
        <v>2</v>
      </c>
      <c r="V48" s="1315"/>
      <c r="W48" s="1315"/>
      <c r="X48" s="1314">
        <f t="shared" si="6"/>
        <v>1313462</v>
      </c>
      <c r="Y48" s="1314">
        <f t="shared" ref="Y48:Y79" si="10">G48+M48+X48</f>
        <v>8253565</v>
      </c>
      <c r="Z48" s="1310"/>
      <c r="AA48" s="1321">
        <f t="shared" si="8"/>
        <v>8253565</v>
      </c>
      <c r="AB48" s="1310"/>
      <c r="AC48" s="1316"/>
      <c r="AD48" s="1317"/>
      <c r="AE48" s="1318"/>
      <c r="AF48" s="1319"/>
      <c r="AG48" s="1319"/>
      <c r="AH48" s="1319"/>
      <c r="AI48" s="1319"/>
      <c r="AJ48" s="1319"/>
      <c r="AK48" s="1319"/>
      <c r="AL48" s="1319"/>
    </row>
    <row r="49" spans="1:38" s="1320" customFormat="1" ht="33" customHeight="1">
      <c r="A49" s="1306">
        <v>34</v>
      </c>
      <c r="B49" s="1307">
        <v>34</v>
      </c>
      <c r="C49" s="1307">
        <f>'Chấm công KT'!C46</f>
        <v>0</v>
      </c>
      <c r="D49" s="1308" t="str">
        <f>TONGHOPCONGDOI!C44</f>
        <v>N. Pheng Mi</v>
      </c>
      <c r="E49" s="1307" t="s">
        <v>26</v>
      </c>
      <c r="F49" s="1309"/>
      <c r="G49" s="1310">
        <f t="shared" si="3"/>
        <v>0</v>
      </c>
      <c r="H49" s="1310">
        <f>VLOOKUP(D49,TONGHOPCONGDOI!C44:AD94,16,0)</f>
        <v>4804</v>
      </c>
      <c r="I49" s="1310">
        <f>VLOOKUP(D49,TONGHOPCONGDOI!C44:AD94,18,0)</f>
        <v>0</v>
      </c>
      <c r="J49" s="1310"/>
      <c r="K49" s="1311">
        <f t="shared" si="9"/>
        <v>2051.9749445093962</v>
      </c>
      <c r="L49" s="1312" t="str">
        <f>VLOOKUP(D49,'BTH mủ tạp'!$D$17:$AN$95,37,0)</f>
        <v>A</v>
      </c>
      <c r="M49" s="1313">
        <f t="shared" si="4"/>
        <v>8395935</v>
      </c>
      <c r="N49" s="1314">
        <f>VLOOKUP(D49,TONGHOPCONGDOI!$C$11:$AD$93,20,0)</f>
        <v>26</v>
      </c>
      <c r="O49" s="1314">
        <f>VLOOKUP(D49,TONGHOPCONGDOI!$C$11:$AD$93,21,0)</f>
        <v>2</v>
      </c>
      <c r="P49" s="1314">
        <f>VLOOKUP(D49,TONGHOPCONGDOI!$C$11:$AC$93,22,0)</f>
        <v>0</v>
      </c>
      <c r="Q49" s="1314">
        <f>VLOOKUP(D49,TONGHOPCONGDOI!$C$11:$AC$94,23,0)</f>
        <v>2</v>
      </c>
      <c r="R49" s="1314">
        <f>VLOOKUP(D49,TONGHOPCONGDOI!$C$11:$AC$94,24,0)</f>
        <v>0</v>
      </c>
      <c r="S49" s="1314">
        <f>VLOOKUP(D49,TONGHOPCONGDOI!$C$11:$AC$94,25,0)</f>
        <v>0</v>
      </c>
      <c r="T49" s="1314"/>
      <c r="U49" s="1308">
        <f t="shared" si="5"/>
        <v>2</v>
      </c>
      <c r="V49" s="1315"/>
      <c r="W49" s="1315"/>
      <c r="X49" s="1314">
        <f t="shared" si="6"/>
        <v>1313462</v>
      </c>
      <c r="Y49" s="1314">
        <f t="shared" si="10"/>
        <v>9709397</v>
      </c>
      <c r="Z49" s="1310"/>
      <c r="AA49" s="1321">
        <f t="shared" si="8"/>
        <v>9709397</v>
      </c>
      <c r="AB49" s="1310"/>
      <c r="AC49" s="1316"/>
      <c r="AD49" s="1317"/>
      <c r="AE49" s="1318"/>
      <c r="AF49" s="1319"/>
      <c r="AG49" s="1319"/>
      <c r="AH49" s="1319"/>
      <c r="AI49" s="1319"/>
      <c r="AJ49" s="1319"/>
      <c r="AK49" s="1319"/>
      <c r="AL49" s="1319"/>
    </row>
    <row r="50" spans="1:38" s="1320" customFormat="1" ht="33" customHeight="1">
      <c r="A50" s="1306">
        <v>35</v>
      </c>
      <c r="B50" s="1307">
        <v>35</v>
      </c>
      <c r="C50" s="1307" t="str">
        <f>'Chấm công KT'!C47</f>
        <v>02714</v>
      </c>
      <c r="D50" s="1308" t="str">
        <f>TONGHOPCONGDOI!C45</f>
        <v>N. Tủn</v>
      </c>
      <c r="E50" s="1307" t="s">
        <v>26</v>
      </c>
      <c r="F50" s="1309"/>
      <c r="G50" s="1310">
        <f t="shared" si="3"/>
        <v>0</v>
      </c>
      <c r="H50" s="1310">
        <f>VLOOKUP(D50,TONGHOPCONGDOI!C45:AD94,16,0)</f>
        <v>3751</v>
      </c>
      <c r="I50" s="1310">
        <f>VLOOKUP(D50,TONGHOPCONGDOI!C45:AD94,18,0)</f>
        <v>0</v>
      </c>
      <c r="J50" s="1310"/>
      <c r="K50" s="1311">
        <f t="shared" si="9"/>
        <v>1602.1977553819202</v>
      </c>
      <c r="L50" s="1312" t="str">
        <f>VLOOKUP(D50,'BTH mủ tạp'!$D$17:$AN$95,37,0)</f>
        <v>A</v>
      </c>
      <c r="M50" s="1313">
        <f t="shared" si="4"/>
        <v>6555610</v>
      </c>
      <c r="N50" s="1314">
        <f>VLOOKUP(D50,TONGHOPCONGDOI!$C$11:$AD$93,20,0)</f>
        <v>25</v>
      </c>
      <c r="O50" s="1314">
        <f>VLOOKUP(D50,TONGHOPCONGDOI!$C$11:$AD$93,21,0)</f>
        <v>2</v>
      </c>
      <c r="P50" s="1314">
        <f>VLOOKUP(D50,TONGHOPCONGDOI!$C$11:$AC$93,22,0)</f>
        <v>0</v>
      </c>
      <c r="Q50" s="1314">
        <f>VLOOKUP(D50,TONGHOPCONGDOI!$C$11:$AC$94,23,0)</f>
        <v>2</v>
      </c>
      <c r="R50" s="1314">
        <f>VLOOKUP(D50,TONGHOPCONGDOI!$C$11:$AC$94,24,0)</f>
        <v>0</v>
      </c>
      <c r="S50" s="1314">
        <f>VLOOKUP(D50,TONGHOPCONGDOI!$C$11:$AC$94,25,0)</f>
        <v>0</v>
      </c>
      <c r="T50" s="1314"/>
      <c r="U50" s="1308">
        <f t="shared" si="5"/>
        <v>2</v>
      </c>
      <c r="V50" s="1315"/>
      <c r="W50" s="1315"/>
      <c r="X50" s="1314">
        <f t="shared" si="6"/>
        <v>1282540</v>
      </c>
      <c r="Y50" s="1314">
        <f t="shared" si="10"/>
        <v>7838150</v>
      </c>
      <c r="Z50" s="1310"/>
      <c r="AA50" s="1321">
        <f t="shared" si="8"/>
        <v>7838150</v>
      </c>
      <c r="AB50" s="1310"/>
      <c r="AC50" s="1316"/>
      <c r="AD50" s="1317"/>
      <c r="AE50" s="1318"/>
      <c r="AF50" s="1319"/>
      <c r="AG50" s="1319"/>
      <c r="AH50" s="1319"/>
      <c r="AI50" s="1319"/>
      <c r="AJ50" s="1319"/>
      <c r="AK50" s="1319"/>
      <c r="AL50" s="1319"/>
    </row>
    <row r="51" spans="1:38" s="1320" customFormat="1" ht="33" customHeight="1">
      <c r="A51" s="1306">
        <v>36</v>
      </c>
      <c r="B51" s="1307">
        <v>36</v>
      </c>
      <c r="C51" s="1307" t="str">
        <f>'Chấm công KT'!C48</f>
        <v>02713</v>
      </c>
      <c r="D51" s="1308" t="str">
        <f>TONGHOPCONGDOI!C46</f>
        <v>T. Lung</v>
      </c>
      <c r="E51" s="1307" t="s">
        <v>26</v>
      </c>
      <c r="F51" s="1309"/>
      <c r="G51" s="1310">
        <f t="shared" si="3"/>
        <v>0</v>
      </c>
      <c r="H51" s="1310">
        <f>VLOOKUP(D51,TONGHOPCONGDOI!C46:AD94,16,0)</f>
        <v>3826</v>
      </c>
      <c r="I51" s="1310">
        <f>VLOOKUP(D51,TONGHOPCONGDOI!C46:AD94,18,0)</f>
        <v>0</v>
      </c>
      <c r="J51" s="1310"/>
      <c r="K51" s="1311">
        <f t="shared" si="9"/>
        <v>1634.2331677129371</v>
      </c>
      <c r="L51" s="1312" t="str">
        <f>VLOOKUP(D51,'BTH mủ tạp'!$D$17:$AN$95,37,0)</f>
        <v>A</v>
      </c>
      <c r="M51" s="1313">
        <f t="shared" si="4"/>
        <v>6686687</v>
      </c>
      <c r="N51" s="1314">
        <f>VLOOKUP(D51,TONGHOPCONGDOI!$C$11:$AD$93,20,0)</f>
        <v>25</v>
      </c>
      <c r="O51" s="1314">
        <f>VLOOKUP(D51,TONGHOPCONGDOI!$C$11:$AD$93,21,0)</f>
        <v>2</v>
      </c>
      <c r="P51" s="1314">
        <f>VLOOKUP(D51,TONGHOPCONGDOI!$C$11:$AC$93,22,0)</f>
        <v>0</v>
      </c>
      <c r="Q51" s="1314">
        <f>VLOOKUP(D51,TONGHOPCONGDOI!$C$11:$AC$94,23,0)</f>
        <v>2</v>
      </c>
      <c r="R51" s="1314">
        <f>VLOOKUP(D51,TONGHOPCONGDOI!$C$11:$AC$94,24,0)</f>
        <v>0</v>
      </c>
      <c r="S51" s="1314">
        <f>VLOOKUP(D51,TONGHOPCONGDOI!$C$11:$AC$94,25,0)</f>
        <v>0</v>
      </c>
      <c r="T51" s="1314"/>
      <c r="U51" s="1308">
        <f t="shared" si="5"/>
        <v>2</v>
      </c>
      <c r="V51" s="1315"/>
      <c r="W51" s="1315"/>
      <c r="X51" s="1314">
        <f t="shared" si="6"/>
        <v>1282540</v>
      </c>
      <c r="Y51" s="1314">
        <f t="shared" si="10"/>
        <v>7969227</v>
      </c>
      <c r="Z51" s="1310"/>
      <c r="AA51" s="1321">
        <f t="shared" si="8"/>
        <v>7969227</v>
      </c>
      <c r="AB51" s="1310"/>
      <c r="AC51" s="1316"/>
      <c r="AD51" s="1317"/>
      <c r="AE51" s="1318"/>
      <c r="AF51" s="1319"/>
      <c r="AG51" s="1319"/>
      <c r="AH51" s="1319"/>
      <c r="AI51" s="1319"/>
      <c r="AJ51" s="1319"/>
      <c r="AK51" s="1319"/>
      <c r="AL51" s="1319"/>
    </row>
    <row r="52" spans="1:38" s="1320" customFormat="1" ht="33" customHeight="1">
      <c r="A52" s="1306">
        <v>37</v>
      </c>
      <c r="B52" s="1307">
        <v>37</v>
      </c>
      <c r="C52" s="1307" t="str">
        <f>'Chấm công KT'!C49</f>
        <v>04058</v>
      </c>
      <c r="D52" s="1308" t="str">
        <f>TONGHOPCONGDOI!C47</f>
        <v>T. Bi Ly (2)</v>
      </c>
      <c r="E52" s="1307" t="s">
        <v>26</v>
      </c>
      <c r="F52" s="1309"/>
      <c r="G52" s="1310">
        <f t="shared" si="3"/>
        <v>0</v>
      </c>
      <c r="H52" s="1310">
        <f>VLOOKUP(D52,TONGHOPCONGDOI!C47:AD94,16,0)</f>
        <v>4137</v>
      </c>
      <c r="I52" s="1310">
        <f>VLOOKUP(D52,TONGHOPCONGDOI!C47:AD94,18,0)</f>
        <v>0</v>
      </c>
      <c r="J52" s="1310"/>
      <c r="K52" s="1311">
        <f t="shared" si="9"/>
        <v>1767.0733441788866</v>
      </c>
      <c r="L52" s="1312" t="str">
        <f>VLOOKUP(D52,'BTH mủ tạp'!$D$17:$AN$95,37,0)</f>
        <v>A</v>
      </c>
      <c r="M52" s="1313">
        <f t="shared" si="4"/>
        <v>7230221</v>
      </c>
      <c r="N52" s="1314">
        <f>VLOOKUP(D52,TONGHOPCONGDOI!$C$11:$AD$93,20,0)</f>
        <v>26</v>
      </c>
      <c r="O52" s="1314">
        <f>VLOOKUP(D52,TONGHOPCONGDOI!$C$11:$AD$93,21,0)</f>
        <v>2</v>
      </c>
      <c r="P52" s="1314">
        <f>VLOOKUP(D52,TONGHOPCONGDOI!$C$11:$AC$93,22,0)</f>
        <v>0</v>
      </c>
      <c r="Q52" s="1314">
        <f>VLOOKUP(D52,TONGHOPCONGDOI!$C$11:$AC$94,23,0)</f>
        <v>2</v>
      </c>
      <c r="R52" s="1314">
        <f>VLOOKUP(D52,TONGHOPCONGDOI!$C$11:$AC$94,24,0)</f>
        <v>0</v>
      </c>
      <c r="S52" s="1314">
        <f>VLOOKUP(D52,TONGHOPCONGDOI!$C$11:$AC$94,25,0)</f>
        <v>0</v>
      </c>
      <c r="T52" s="1314"/>
      <c r="U52" s="1308">
        <f t="shared" si="5"/>
        <v>2</v>
      </c>
      <c r="V52" s="1315"/>
      <c r="W52" s="1315"/>
      <c r="X52" s="1314">
        <f t="shared" si="6"/>
        <v>1313462</v>
      </c>
      <c r="Y52" s="1314">
        <f t="shared" si="10"/>
        <v>8543683</v>
      </c>
      <c r="Z52" s="1310"/>
      <c r="AA52" s="1321">
        <f t="shared" si="8"/>
        <v>8543683</v>
      </c>
      <c r="AB52" s="1310"/>
      <c r="AC52" s="1316"/>
      <c r="AD52" s="1317"/>
      <c r="AE52" s="1318"/>
      <c r="AF52" s="1319"/>
      <c r="AG52" s="1319"/>
      <c r="AH52" s="1319"/>
      <c r="AI52" s="1319"/>
      <c r="AJ52" s="1319"/>
      <c r="AK52" s="1319"/>
      <c r="AL52" s="1319"/>
    </row>
    <row r="53" spans="1:38" s="1320" customFormat="1" ht="33" customHeight="1">
      <c r="A53" s="1306">
        <v>38</v>
      </c>
      <c r="B53" s="1307">
        <v>38</v>
      </c>
      <c r="C53" s="1307" t="str">
        <f>'Chấm công KT'!C50</f>
        <v>03487</v>
      </c>
      <c r="D53" s="1308" t="str">
        <f>TONGHOPCONGDOI!C48</f>
        <v>N. Ba Say</v>
      </c>
      <c r="E53" s="1307" t="s">
        <v>26</v>
      </c>
      <c r="F53" s="1309"/>
      <c r="G53" s="1310">
        <f t="shared" si="3"/>
        <v>0</v>
      </c>
      <c r="H53" s="1310">
        <f>VLOOKUP(D53,TONGHOPCONGDOI!C48:AD94,16,0)</f>
        <v>2934</v>
      </c>
      <c r="I53" s="1310">
        <f>VLOOKUP(D53,TONGHOPCONGDOI!C48:AD94,18,0)</f>
        <v>0</v>
      </c>
      <c r="J53" s="1310"/>
      <c r="K53" s="1311">
        <f t="shared" si="9"/>
        <v>1253.2253303893772</v>
      </c>
      <c r="L53" s="1312" t="str">
        <f>VLOOKUP(D53,'BTH mủ tạp'!$D$17:$AN$95,37,0)</f>
        <v>A</v>
      </c>
      <c r="M53" s="1313">
        <f t="shared" si="4"/>
        <v>5127742</v>
      </c>
      <c r="N53" s="1314">
        <f>VLOOKUP(D53,TONGHOPCONGDOI!$C$11:$AD$93,20,0)</f>
        <v>24</v>
      </c>
      <c r="O53" s="1314">
        <f>VLOOKUP(D53,TONGHOPCONGDOI!$C$11:$AD$93,21,0)</f>
        <v>2</v>
      </c>
      <c r="P53" s="1314">
        <f>VLOOKUP(D53,TONGHOPCONGDOI!$C$11:$AC$93,22,0)</f>
        <v>0</v>
      </c>
      <c r="Q53" s="1314">
        <f>VLOOKUP(D53,TONGHOPCONGDOI!$C$11:$AC$94,23,0)</f>
        <v>2</v>
      </c>
      <c r="R53" s="1314">
        <f>VLOOKUP(D53,TONGHOPCONGDOI!$C$11:$AC$94,24,0)</f>
        <v>0</v>
      </c>
      <c r="S53" s="1314">
        <f>VLOOKUP(D53,TONGHOPCONGDOI!$C$11:$AC$94,25,0)</f>
        <v>0</v>
      </c>
      <c r="T53" s="1314"/>
      <c r="U53" s="1308">
        <f t="shared" si="5"/>
        <v>2</v>
      </c>
      <c r="V53" s="1315"/>
      <c r="W53" s="1315"/>
      <c r="X53" s="1314">
        <f t="shared" si="6"/>
        <v>1251618</v>
      </c>
      <c r="Y53" s="1314">
        <f t="shared" si="10"/>
        <v>6379360</v>
      </c>
      <c r="Z53" s="1310"/>
      <c r="AA53" s="1321">
        <f t="shared" si="8"/>
        <v>6379360</v>
      </c>
      <c r="AB53" s="1310"/>
      <c r="AC53" s="1316"/>
      <c r="AD53" s="1317"/>
      <c r="AE53" s="1318"/>
      <c r="AF53" s="1319"/>
      <c r="AG53" s="1319"/>
      <c r="AH53" s="1319"/>
      <c r="AI53" s="1319"/>
      <c r="AJ53" s="1319"/>
      <c r="AK53" s="1319"/>
      <c r="AL53" s="1319"/>
    </row>
    <row r="54" spans="1:38" s="1320" customFormat="1" ht="33" customHeight="1">
      <c r="A54" s="1306">
        <v>39</v>
      </c>
      <c r="B54" s="1307">
        <v>39</v>
      </c>
      <c r="C54" s="1307" t="str">
        <f>'Chấm công KT'!C51</f>
        <v>03488</v>
      </c>
      <c r="D54" s="1308" t="str">
        <f>TONGHOPCONGDOI!C49</f>
        <v>N. Đeng</v>
      </c>
      <c r="E54" s="1307" t="s">
        <v>26</v>
      </c>
      <c r="F54" s="1309"/>
      <c r="G54" s="1310">
        <f t="shared" si="3"/>
        <v>0</v>
      </c>
      <c r="H54" s="1310">
        <f>VLOOKUP(D54,TONGHOPCONGDOI!C49:AD94,16,0)</f>
        <v>4028</v>
      </c>
      <c r="I54" s="1310">
        <f>VLOOKUP(D54,TONGHOPCONGDOI!C49:AD94,18,0)</f>
        <v>0</v>
      </c>
      <c r="J54" s="1310"/>
      <c r="K54" s="1311">
        <f t="shared" si="9"/>
        <v>1720.5152115911421</v>
      </c>
      <c r="L54" s="1312" t="str">
        <f>VLOOKUP(D54,'BTH mủ tạp'!$D$17:$AN$95,37,0)</f>
        <v>A</v>
      </c>
      <c r="M54" s="1313">
        <f t="shared" si="4"/>
        <v>7039722</v>
      </c>
      <c r="N54" s="1314">
        <f>VLOOKUP(D54,TONGHOPCONGDOI!$C$11:$AD$93,20,0)</f>
        <v>25</v>
      </c>
      <c r="O54" s="1314">
        <f>VLOOKUP(D54,TONGHOPCONGDOI!$C$11:$AD$93,21,0)</f>
        <v>2</v>
      </c>
      <c r="P54" s="1314">
        <f>VLOOKUP(D54,TONGHOPCONGDOI!$C$11:$AC$93,22,0)</f>
        <v>0</v>
      </c>
      <c r="Q54" s="1314">
        <f>VLOOKUP(D54,TONGHOPCONGDOI!$C$11:$AC$94,23,0)</f>
        <v>2</v>
      </c>
      <c r="R54" s="1314">
        <f>VLOOKUP(D54,TONGHOPCONGDOI!$C$11:$AC$94,24,0)</f>
        <v>0</v>
      </c>
      <c r="S54" s="1314">
        <f>VLOOKUP(D54,TONGHOPCONGDOI!$C$11:$AC$94,25,0)</f>
        <v>0</v>
      </c>
      <c r="T54" s="1314"/>
      <c r="U54" s="1308">
        <f t="shared" si="5"/>
        <v>2</v>
      </c>
      <c r="V54" s="1315"/>
      <c r="W54" s="1315"/>
      <c r="X54" s="1314">
        <f t="shared" si="6"/>
        <v>1282540</v>
      </c>
      <c r="Y54" s="1314">
        <f t="shared" si="10"/>
        <v>8322262</v>
      </c>
      <c r="Z54" s="1310"/>
      <c r="AA54" s="1321">
        <f t="shared" si="8"/>
        <v>8322262</v>
      </c>
      <c r="AB54" s="1310"/>
      <c r="AC54" s="1316"/>
      <c r="AD54" s="1317"/>
      <c r="AE54" s="1318"/>
      <c r="AF54" s="1319"/>
      <c r="AG54" s="1319"/>
      <c r="AH54" s="1319"/>
      <c r="AI54" s="1319"/>
      <c r="AJ54" s="1319"/>
      <c r="AK54" s="1319"/>
      <c r="AL54" s="1319"/>
    </row>
    <row r="55" spans="1:38" s="1320" customFormat="1" ht="33" customHeight="1">
      <c r="A55" s="1306">
        <v>40</v>
      </c>
      <c r="B55" s="1307">
        <v>40</v>
      </c>
      <c r="C55" s="1307" t="str">
        <f>'Chấm công KT'!C52</f>
        <v>03489</v>
      </c>
      <c r="D55" s="1308" t="str">
        <f>TONGHOPCONGDOI!C50</f>
        <v>T. Tinh</v>
      </c>
      <c r="E55" s="1307" t="s">
        <v>26</v>
      </c>
      <c r="F55" s="1309"/>
      <c r="G55" s="1310">
        <f t="shared" si="3"/>
        <v>0</v>
      </c>
      <c r="H55" s="1310">
        <f>VLOOKUP(D55,TONGHOPCONGDOI!C50:AD94,16,0)</f>
        <v>2833</v>
      </c>
      <c r="I55" s="1310">
        <f>VLOOKUP(D55,TONGHOPCONGDOI!C50:AD94,18,0)</f>
        <v>0</v>
      </c>
      <c r="J55" s="1310"/>
      <c r="K55" s="1311">
        <f t="shared" si="9"/>
        <v>1210.0843084502746</v>
      </c>
      <c r="L55" s="1312" t="str">
        <f>VLOOKUP(D55,'BTH mủ tạp'!$D$17:$AN$95,37,0)</f>
        <v>B</v>
      </c>
      <c r="M55" s="1313">
        <f t="shared" si="4"/>
        <v>4707722</v>
      </c>
      <c r="N55" s="1314">
        <f>VLOOKUP(D55,TONGHOPCONGDOI!$C$11:$AD$93,20,0)</f>
        <v>24</v>
      </c>
      <c r="O55" s="1314">
        <f>VLOOKUP(D55,TONGHOPCONGDOI!$C$11:$AD$93,21,0)</f>
        <v>2</v>
      </c>
      <c r="P55" s="1314">
        <f>VLOOKUP(D55,TONGHOPCONGDOI!$C$11:$AC$93,22,0)</f>
        <v>0</v>
      </c>
      <c r="Q55" s="1314">
        <f>VLOOKUP(D55,TONGHOPCONGDOI!$C$11:$AC$94,23,0)</f>
        <v>2</v>
      </c>
      <c r="R55" s="1314">
        <f>VLOOKUP(D55,TONGHOPCONGDOI!$C$11:$AC$94,24,0)</f>
        <v>0</v>
      </c>
      <c r="S55" s="1314">
        <f>VLOOKUP(D55,TONGHOPCONGDOI!$C$11:$AC$94,25,0)</f>
        <v>0</v>
      </c>
      <c r="T55" s="1314"/>
      <c r="U55" s="1308">
        <f t="shared" si="5"/>
        <v>2</v>
      </c>
      <c r="V55" s="1315"/>
      <c r="W55" s="1315"/>
      <c r="X55" s="1314">
        <f t="shared" si="6"/>
        <v>1251618</v>
      </c>
      <c r="Y55" s="1314">
        <f t="shared" si="10"/>
        <v>5959340</v>
      </c>
      <c r="Z55" s="1310"/>
      <c r="AA55" s="1321">
        <f t="shared" si="8"/>
        <v>5959340</v>
      </c>
      <c r="AB55" s="1310"/>
      <c r="AC55" s="1316"/>
      <c r="AD55" s="1317"/>
      <c r="AE55" s="1318"/>
      <c r="AF55" s="1319"/>
      <c r="AG55" s="1319"/>
      <c r="AH55" s="1319"/>
      <c r="AI55" s="1319"/>
      <c r="AJ55" s="1319"/>
      <c r="AK55" s="1319"/>
      <c r="AL55" s="1319"/>
    </row>
    <row r="56" spans="1:38" s="1320" customFormat="1" ht="33" customHeight="1">
      <c r="A56" s="1306">
        <v>41</v>
      </c>
      <c r="B56" s="1307">
        <v>41</v>
      </c>
      <c r="C56" s="1307" t="str">
        <f>'Chấm công KT'!C53</f>
        <v>04059</v>
      </c>
      <c r="D56" s="1308" t="str">
        <f>TONGHOPCONGDOI!C51</f>
        <v>T. Khăm Pỏi</v>
      </c>
      <c r="E56" s="1307" t="s">
        <v>26</v>
      </c>
      <c r="F56" s="1309"/>
      <c r="G56" s="1310">
        <f t="shared" si="3"/>
        <v>0</v>
      </c>
      <c r="H56" s="1310">
        <f>VLOOKUP(D56,TONGHOPCONGDOI!C51:AD94,16,0)</f>
        <v>3793</v>
      </c>
      <c r="I56" s="1310">
        <f>VLOOKUP(D56,TONGHOPCONGDOI!C51:AD94,18,0)</f>
        <v>0</v>
      </c>
      <c r="J56" s="1310"/>
      <c r="K56" s="1311">
        <f t="shared" si="9"/>
        <v>1620.1375862872897</v>
      </c>
      <c r="L56" s="1312" t="str">
        <f>VLOOKUP(D56,'BTH mủ tạp'!$D$17:$AN$95,37,0)</f>
        <v>A</v>
      </c>
      <c r="M56" s="1313">
        <f t="shared" si="4"/>
        <v>6629013</v>
      </c>
      <c r="N56" s="1314">
        <f>VLOOKUP(D56,TONGHOPCONGDOI!$C$11:$AD$93,20,0)</f>
        <v>26</v>
      </c>
      <c r="O56" s="1314">
        <f>VLOOKUP(D56,TONGHOPCONGDOI!$C$11:$AD$93,21,0)</f>
        <v>2</v>
      </c>
      <c r="P56" s="1314">
        <f>VLOOKUP(D56,TONGHOPCONGDOI!$C$11:$AC$93,22,0)</f>
        <v>0</v>
      </c>
      <c r="Q56" s="1314">
        <f>VLOOKUP(D56,TONGHOPCONGDOI!$C$11:$AC$94,23,0)</f>
        <v>2</v>
      </c>
      <c r="R56" s="1314">
        <f>VLOOKUP(D56,TONGHOPCONGDOI!$C$11:$AC$94,24,0)</f>
        <v>0</v>
      </c>
      <c r="S56" s="1314">
        <f>VLOOKUP(D56,TONGHOPCONGDOI!$C$11:$AC$94,25,0)</f>
        <v>0</v>
      </c>
      <c r="T56" s="1314"/>
      <c r="U56" s="1308">
        <f t="shared" si="5"/>
        <v>2</v>
      </c>
      <c r="V56" s="1315"/>
      <c r="W56" s="1315"/>
      <c r="X56" s="1314">
        <f t="shared" si="6"/>
        <v>1313462</v>
      </c>
      <c r="Y56" s="1314">
        <f t="shared" si="10"/>
        <v>7942475</v>
      </c>
      <c r="Z56" s="1310"/>
      <c r="AA56" s="1321">
        <f t="shared" si="8"/>
        <v>7942475</v>
      </c>
      <c r="AB56" s="1310"/>
      <c r="AC56" s="1316"/>
      <c r="AD56" s="1317"/>
      <c r="AE56" s="1318"/>
      <c r="AF56" s="1319"/>
      <c r="AG56" s="1319"/>
      <c r="AH56" s="1319"/>
      <c r="AI56" s="1319"/>
      <c r="AJ56" s="1319"/>
      <c r="AK56" s="1319"/>
      <c r="AL56" s="1319"/>
    </row>
    <row r="57" spans="1:38" s="1320" customFormat="1" ht="33" customHeight="1">
      <c r="A57" s="1306">
        <v>42</v>
      </c>
      <c r="B57" s="1307">
        <v>42</v>
      </c>
      <c r="C57" s="1307" t="str">
        <f>'Chấm công KT'!C54</f>
        <v>03491</v>
      </c>
      <c r="D57" s="1308" t="str">
        <f>TONGHOPCONGDOI!C52</f>
        <v>Lăm Ngân</v>
      </c>
      <c r="E57" s="1307" t="s">
        <v>26</v>
      </c>
      <c r="F57" s="1309"/>
      <c r="G57" s="1310">
        <f t="shared" si="3"/>
        <v>0</v>
      </c>
      <c r="H57" s="1310">
        <f>VLOOKUP(D57,TONGHOPCONGDOI!C52:AD94,16,0)</f>
        <v>4100</v>
      </c>
      <c r="I57" s="1310">
        <f>VLOOKUP(D57,TONGHOPCONGDOI!C52:AD94,18,0)</f>
        <v>0</v>
      </c>
      <c r="J57" s="1310"/>
      <c r="K57" s="1311">
        <f t="shared" si="9"/>
        <v>1751.2692074289184</v>
      </c>
      <c r="L57" s="1312" t="str">
        <f>VLOOKUP(D57,'BTH mủ tạp'!$D$17:$AN$95,37,0)</f>
        <v>A</v>
      </c>
      <c r="M57" s="1313">
        <f t="shared" si="4"/>
        <v>7165556</v>
      </c>
      <c r="N57" s="1314">
        <f>VLOOKUP(D57,TONGHOPCONGDOI!$C$11:$AD$93,20,0)</f>
        <v>25</v>
      </c>
      <c r="O57" s="1314">
        <f>VLOOKUP(D57,TONGHOPCONGDOI!$C$11:$AD$93,21,0)</f>
        <v>2</v>
      </c>
      <c r="P57" s="1314">
        <f>VLOOKUP(D57,TONGHOPCONGDOI!$C$11:$AC$93,22,0)</f>
        <v>0</v>
      </c>
      <c r="Q57" s="1314">
        <f>VLOOKUP(D57,TONGHOPCONGDOI!$C$11:$AC$94,23,0)</f>
        <v>2</v>
      </c>
      <c r="R57" s="1314">
        <f>VLOOKUP(D57,TONGHOPCONGDOI!$C$11:$AC$94,24,0)</f>
        <v>0</v>
      </c>
      <c r="S57" s="1314">
        <f>VLOOKUP(D57,TONGHOPCONGDOI!$C$11:$AC$94,25,0)</f>
        <v>0</v>
      </c>
      <c r="T57" s="1314"/>
      <c r="U57" s="1308">
        <f t="shared" si="5"/>
        <v>2</v>
      </c>
      <c r="V57" s="1315"/>
      <c r="W57" s="1315"/>
      <c r="X57" s="1314">
        <f t="shared" si="6"/>
        <v>1282540</v>
      </c>
      <c r="Y57" s="1314">
        <f t="shared" si="10"/>
        <v>8448096</v>
      </c>
      <c r="Z57" s="1310"/>
      <c r="AA57" s="1321">
        <f t="shared" si="8"/>
        <v>8448096</v>
      </c>
      <c r="AB57" s="1310"/>
      <c r="AC57" s="1316"/>
      <c r="AD57" s="1317"/>
      <c r="AE57" s="1318"/>
      <c r="AF57" s="1319"/>
      <c r="AG57" s="1319"/>
      <c r="AH57" s="1319"/>
      <c r="AI57" s="1319"/>
      <c r="AJ57" s="1319"/>
      <c r="AK57" s="1319"/>
      <c r="AL57" s="1319"/>
    </row>
    <row r="58" spans="1:38" s="1320" customFormat="1" ht="33" customHeight="1">
      <c r="A58" s="1306">
        <v>43</v>
      </c>
      <c r="B58" s="1307">
        <v>43</v>
      </c>
      <c r="C58" s="1307" t="str">
        <f>'Chấm công KT'!C55</f>
        <v>04060</v>
      </c>
      <c r="D58" s="1308" t="str">
        <f>TONGHOPCONGDOI!C53</f>
        <v>T. Không</v>
      </c>
      <c r="E58" s="1307" t="s">
        <v>26</v>
      </c>
      <c r="F58" s="1309"/>
      <c r="G58" s="1310">
        <f t="shared" si="3"/>
        <v>0</v>
      </c>
      <c r="H58" s="1310">
        <f>VLOOKUP(D58,TONGHOPCONGDOI!C53:AD94,16,0)</f>
        <v>4272</v>
      </c>
      <c r="I58" s="1310">
        <f>VLOOKUP(D58,TONGHOPCONGDOI!C53:AD94,18,0)</f>
        <v>0</v>
      </c>
      <c r="J58" s="1310"/>
      <c r="K58" s="1311">
        <f t="shared" si="9"/>
        <v>1824.7370863747169</v>
      </c>
      <c r="L58" s="1312" t="str">
        <f>VLOOKUP(D58,'BTH mủ tạp'!$D$17:$AN$95,37,0)</f>
        <v>A</v>
      </c>
      <c r="M58" s="1313">
        <f t="shared" si="4"/>
        <v>7466160</v>
      </c>
      <c r="N58" s="1314">
        <f>VLOOKUP(D58,TONGHOPCONGDOI!$C$11:$AD$93,20,0)</f>
        <v>26</v>
      </c>
      <c r="O58" s="1314">
        <f>VLOOKUP(D58,TONGHOPCONGDOI!$C$11:$AD$93,21,0)</f>
        <v>2</v>
      </c>
      <c r="P58" s="1314">
        <f>VLOOKUP(D58,TONGHOPCONGDOI!$C$11:$AC$93,22,0)</f>
        <v>0</v>
      </c>
      <c r="Q58" s="1314">
        <f>VLOOKUP(D58,TONGHOPCONGDOI!$C$11:$AC$94,23,0)</f>
        <v>2</v>
      </c>
      <c r="R58" s="1314">
        <f>VLOOKUP(D58,TONGHOPCONGDOI!$C$11:$AC$94,24,0)</f>
        <v>0</v>
      </c>
      <c r="S58" s="1314">
        <f>VLOOKUP(D58,TONGHOPCONGDOI!$C$11:$AC$94,25,0)</f>
        <v>0</v>
      </c>
      <c r="T58" s="1314"/>
      <c r="U58" s="1308">
        <f t="shared" si="5"/>
        <v>2</v>
      </c>
      <c r="V58" s="1315"/>
      <c r="W58" s="1315"/>
      <c r="X58" s="1314">
        <f t="shared" si="6"/>
        <v>1313462</v>
      </c>
      <c r="Y58" s="1314">
        <f t="shared" si="10"/>
        <v>8779622</v>
      </c>
      <c r="Z58" s="1310"/>
      <c r="AA58" s="1321">
        <f t="shared" si="8"/>
        <v>8779622</v>
      </c>
      <c r="AB58" s="1310"/>
      <c r="AC58" s="1316"/>
      <c r="AD58" s="1317"/>
      <c r="AE58" s="1318"/>
      <c r="AF58" s="1319"/>
      <c r="AG58" s="1319"/>
      <c r="AH58" s="1319"/>
      <c r="AI58" s="1319"/>
      <c r="AJ58" s="1319"/>
      <c r="AK58" s="1319"/>
      <c r="AL58" s="1319"/>
    </row>
    <row r="59" spans="1:38" s="1320" customFormat="1" ht="33" customHeight="1">
      <c r="A59" s="1306">
        <v>44</v>
      </c>
      <c r="B59" s="1307">
        <v>44</v>
      </c>
      <c r="C59" s="1307" t="str">
        <f>'Chấm công KT'!C56</f>
        <v>03492</v>
      </c>
      <c r="D59" s="1308" t="str">
        <f>TONGHOPCONGDOI!C54</f>
        <v>T. Lem</v>
      </c>
      <c r="E59" s="1307" t="s">
        <v>26</v>
      </c>
      <c r="F59" s="1309"/>
      <c r="G59" s="1310">
        <f t="shared" si="3"/>
        <v>0</v>
      </c>
      <c r="H59" s="1310">
        <f>VLOOKUP(D59,TONGHOPCONGDOI!C54:AD94,16,0)</f>
        <v>4440</v>
      </c>
      <c r="I59" s="1310">
        <f>VLOOKUP(D59,TONGHOPCONGDOI!C54:AD94,18,0)</f>
        <v>0</v>
      </c>
      <c r="J59" s="1310"/>
      <c r="K59" s="1311">
        <f t="shared" si="9"/>
        <v>1896.4964099961944</v>
      </c>
      <c r="L59" s="1312" t="str">
        <f>VLOOKUP(D59,'BTH mủ tạp'!$D$17:$AN$95,37,0)</f>
        <v>A</v>
      </c>
      <c r="M59" s="1313">
        <f t="shared" si="4"/>
        <v>7759773</v>
      </c>
      <c r="N59" s="1314">
        <f>VLOOKUP(D59,TONGHOPCONGDOI!$C$11:$AD$93,20,0)</f>
        <v>26</v>
      </c>
      <c r="O59" s="1314">
        <f>VLOOKUP(D59,TONGHOPCONGDOI!$C$11:$AD$93,21,0)</f>
        <v>2</v>
      </c>
      <c r="P59" s="1314">
        <f>VLOOKUP(D59,TONGHOPCONGDOI!$C$11:$AC$93,22,0)</f>
        <v>0</v>
      </c>
      <c r="Q59" s="1314">
        <f>VLOOKUP(D59,TONGHOPCONGDOI!$C$11:$AC$94,23,0)</f>
        <v>2</v>
      </c>
      <c r="R59" s="1314">
        <f>VLOOKUP(D59,TONGHOPCONGDOI!$C$11:$AC$94,24,0)</f>
        <v>0</v>
      </c>
      <c r="S59" s="1314">
        <f>VLOOKUP(D59,TONGHOPCONGDOI!$C$11:$AC$94,25,0)</f>
        <v>0</v>
      </c>
      <c r="T59" s="1314"/>
      <c r="U59" s="1308">
        <f t="shared" si="5"/>
        <v>2</v>
      </c>
      <c r="V59" s="1315"/>
      <c r="W59" s="1315"/>
      <c r="X59" s="1314">
        <f t="shared" si="6"/>
        <v>1313462</v>
      </c>
      <c r="Y59" s="1314">
        <f t="shared" si="10"/>
        <v>9073235</v>
      </c>
      <c r="Z59" s="1310"/>
      <c r="AA59" s="1321">
        <f t="shared" si="8"/>
        <v>9073235</v>
      </c>
      <c r="AB59" s="1310"/>
      <c r="AC59" s="1316"/>
      <c r="AD59" s="1317"/>
      <c r="AE59" s="1318"/>
      <c r="AF59" s="1319"/>
      <c r="AG59" s="1319"/>
      <c r="AH59" s="1319"/>
      <c r="AI59" s="1319"/>
      <c r="AJ59" s="1319"/>
      <c r="AK59" s="1319"/>
      <c r="AL59" s="1319"/>
    </row>
    <row r="60" spans="1:38" s="1320" customFormat="1" ht="33" customHeight="1">
      <c r="A60" s="1306">
        <v>45</v>
      </c>
      <c r="B60" s="1307">
        <v>45</v>
      </c>
      <c r="C60" s="1307" t="str">
        <f>'Chấm công KT'!C57</f>
        <v>03493</v>
      </c>
      <c r="D60" s="1308" t="str">
        <f>TONGHOPCONGDOI!C55</f>
        <v>T. Pông</v>
      </c>
      <c r="E60" s="1307" t="s">
        <v>26</v>
      </c>
      <c r="F60" s="1309"/>
      <c r="G60" s="1310">
        <f t="shared" si="3"/>
        <v>0</v>
      </c>
      <c r="H60" s="1310">
        <f>VLOOKUP(D60,TONGHOPCONGDOI!C55:AD94,16,0)</f>
        <v>4718</v>
      </c>
      <c r="I60" s="1310">
        <f>VLOOKUP(D60,TONGHOPCONGDOI!C55:AD94,18,0)</f>
        <v>0</v>
      </c>
      <c r="J60" s="1310"/>
      <c r="K60" s="1311">
        <f t="shared" si="9"/>
        <v>2015.2410050364967</v>
      </c>
      <c r="L60" s="1312" t="str">
        <f>VLOOKUP(D60,'BTH mủ tạp'!$D$17:$AN$95,37,0)</f>
        <v>A</v>
      </c>
      <c r="M60" s="1313">
        <f t="shared" si="4"/>
        <v>8245633</v>
      </c>
      <c r="N60" s="1314">
        <f>VLOOKUP(D60,TONGHOPCONGDOI!$C$11:$AD$93,20,0)</f>
        <v>26</v>
      </c>
      <c r="O60" s="1314">
        <f>VLOOKUP(D60,TONGHOPCONGDOI!$C$11:$AD$93,21,0)</f>
        <v>2</v>
      </c>
      <c r="P60" s="1314">
        <f>VLOOKUP(D60,TONGHOPCONGDOI!$C$11:$AC$93,22,0)</f>
        <v>0</v>
      </c>
      <c r="Q60" s="1314">
        <f>VLOOKUP(D60,TONGHOPCONGDOI!$C$11:$AC$94,23,0)</f>
        <v>2</v>
      </c>
      <c r="R60" s="1314">
        <f>VLOOKUP(D60,TONGHOPCONGDOI!$C$11:$AC$94,24,0)</f>
        <v>0</v>
      </c>
      <c r="S60" s="1314">
        <f>VLOOKUP(D60,TONGHOPCONGDOI!$C$11:$AC$94,25,0)</f>
        <v>0</v>
      </c>
      <c r="T60" s="1314"/>
      <c r="U60" s="1308">
        <f t="shared" si="5"/>
        <v>2</v>
      </c>
      <c r="V60" s="1315"/>
      <c r="W60" s="1315"/>
      <c r="X60" s="1314">
        <f t="shared" si="6"/>
        <v>1313462</v>
      </c>
      <c r="Y60" s="1314">
        <f t="shared" si="10"/>
        <v>9559095</v>
      </c>
      <c r="Z60" s="1310"/>
      <c r="AA60" s="1321">
        <f t="shared" si="8"/>
        <v>9559095</v>
      </c>
      <c r="AB60" s="1310"/>
      <c r="AC60" s="1316"/>
      <c r="AD60" s="1317"/>
      <c r="AE60" s="1318"/>
      <c r="AF60" s="1319"/>
      <c r="AG60" s="1319"/>
      <c r="AH60" s="1319"/>
      <c r="AI60" s="1319"/>
      <c r="AJ60" s="1319"/>
      <c r="AK60" s="1319"/>
      <c r="AL60" s="1319"/>
    </row>
    <row r="61" spans="1:38" s="1320" customFormat="1" ht="33" customHeight="1">
      <c r="A61" s="1306">
        <v>46</v>
      </c>
      <c r="B61" s="1307">
        <v>46</v>
      </c>
      <c r="C61" s="1307" t="str">
        <f>'Chấm công KT'!C58</f>
        <v>03496</v>
      </c>
      <c r="D61" s="1308" t="str">
        <f>TONGHOPCONGDOI!C56</f>
        <v>T. Lốp</v>
      </c>
      <c r="E61" s="1307" t="s">
        <v>26</v>
      </c>
      <c r="F61" s="1309"/>
      <c r="G61" s="1310">
        <f t="shared" si="3"/>
        <v>0</v>
      </c>
      <c r="H61" s="1310">
        <f>VLOOKUP(D61,TONGHOPCONGDOI!C56:AD94,16,0)</f>
        <v>5229</v>
      </c>
      <c r="I61" s="1310">
        <f>VLOOKUP(D61,TONGHOPCONGDOI!C56:AD94,18,0)</f>
        <v>0</v>
      </c>
      <c r="J61" s="1310"/>
      <c r="K61" s="1311">
        <f t="shared" si="9"/>
        <v>2233.5089477184911</v>
      </c>
      <c r="L61" s="1312" t="str">
        <f>VLOOKUP(D61,'BTH mủ tạp'!$D$17:$AN$95,37,0)</f>
        <v>A</v>
      </c>
      <c r="M61" s="1313">
        <f t="shared" si="4"/>
        <v>9138706</v>
      </c>
      <c r="N61" s="1314">
        <f>VLOOKUP(D61,TONGHOPCONGDOI!$C$11:$AD$93,20,0)</f>
        <v>26</v>
      </c>
      <c r="O61" s="1314">
        <f>VLOOKUP(D61,TONGHOPCONGDOI!$C$11:$AD$93,21,0)</f>
        <v>2</v>
      </c>
      <c r="P61" s="1314">
        <f>VLOOKUP(D61,TONGHOPCONGDOI!$C$11:$AC$93,22,0)</f>
        <v>0</v>
      </c>
      <c r="Q61" s="1314">
        <f>VLOOKUP(D61,TONGHOPCONGDOI!$C$11:$AC$94,23,0)</f>
        <v>2</v>
      </c>
      <c r="R61" s="1314">
        <f>VLOOKUP(D61,TONGHOPCONGDOI!$C$11:$AC$94,24,0)</f>
        <v>0</v>
      </c>
      <c r="S61" s="1314">
        <f>VLOOKUP(D61,TONGHOPCONGDOI!$C$11:$AC$94,25,0)</f>
        <v>0</v>
      </c>
      <c r="T61" s="1314"/>
      <c r="U61" s="1308">
        <f t="shared" si="5"/>
        <v>2</v>
      </c>
      <c r="V61" s="1315"/>
      <c r="W61" s="1315"/>
      <c r="X61" s="1314">
        <f t="shared" si="6"/>
        <v>1313462</v>
      </c>
      <c r="Y61" s="1314">
        <f t="shared" si="10"/>
        <v>10452168</v>
      </c>
      <c r="Z61" s="1310"/>
      <c r="AA61" s="1321">
        <f t="shared" si="8"/>
        <v>10452168</v>
      </c>
      <c r="AB61" s="1310"/>
      <c r="AC61" s="1316"/>
      <c r="AD61" s="1317"/>
      <c r="AE61" s="1318"/>
      <c r="AF61" s="1319"/>
      <c r="AG61" s="1319"/>
      <c r="AH61" s="1319"/>
      <c r="AI61" s="1319"/>
      <c r="AJ61" s="1319"/>
      <c r="AK61" s="1319"/>
      <c r="AL61" s="1319"/>
    </row>
    <row r="62" spans="1:38" s="1320" customFormat="1" ht="33" customHeight="1">
      <c r="A62" s="1306">
        <v>47</v>
      </c>
      <c r="B62" s="1307">
        <v>47</v>
      </c>
      <c r="C62" s="1307" t="str">
        <f>'Chấm công KT'!C59</f>
        <v>04061</v>
      </c>
      <c r="D62" s="1308" t="str">
        <f>TONGHOPCONGDOI!C57</f>
        <v>N. Nu Ni</v>
      </c>
      <c r="E62" s="1307" t="s">
        <v>26</v>
      </c>
      <c r="F62" s="1309"/>
      <c r="G62" s="1310">
        <f t="shared" si="3"/>
        <v>0</v>
      </c>
      <c r="H62" s="1310">
        <f>VLOOKUP(D62,TONGHOPCONGDOI!C57:AD94,16,0)</f>
        <v>4918</v>
      </c>
      <c r="I62" s="1310">
        <f>VLOOKUP(D62,TONGHOPCONGDOI!C57:AD94,18,0)</f>
        <v>0</v>
      </c>
      <c r="J62" s="1310"/>
      <c r="K62" s="1311">
        <f t="shared" si="9"/>
        <v>2100.6687712525418</v>
      </c>
      <c r="L62" s="1312" t="str">
        <f>VLOOKUP(D62,'BTH mủ tạp'!$D$17:$AN$95,37,0)</f>
        <v>A</v>
      </c>
      <c r="M62" s="1313">
        <f t="shared" si="4"/>
        <v>8595172</v>
      </c>
      <c r="N62" s="1314">
        <f>VLOOKUP(D62,TONGHOPCONGDOI!$C$11:$AD$93,20,0)</f>
        <v>26</v>
      </c>
      <c r="O62" s="1314">
        <f>VLOOKUP(D62,TONGHOPCONGDOI!$C$11:$AD$93,21,0)</f>
        <v>2</v>
      </c>
      <c r="P62" s="1314">
        <f>VLOOKUP(D62,TONGHOPCONGDOI!$C$11:$AC$93,22,0)</f>
        <v>0</v>
      </c>
      <c r="Q62" s="1314">
        <f>VLOOKUP(D62,TONGHOPCONGDOI!$C$11:$AC$94,23,0)</f>
        <v>2</v>
      </c>
      <c r="R62" s="1314">
        <f>VLOOKUP(D62,TONGHOPCONGDOI!$C$11:$AC$94,24,0)</f>
        <v>0</v>
      </c>
      <c r="S62" s="1314">
        <f>VLOOKUP(D62,TONGHOPCONGDOI!$C$11:$AC$94,25,0)</f>
        <v>0</v>
      </c>
      <c r="T62" s="1314"/>
      <c r="U62" s="1308">
        <f t="shared" si="5"/>
        <v>2</v>
      </c>
      <c r="V62" s="1315"/>
      <c r="W62" s="1315"/>
      <c r="X62" s="1314">
        <f t="shared" si="6"/>
        <v>1313462</v>
      </c>
      <c r="Y62" s="1314">
        <f t="shared" si="10"/>
        <v>9908634</v>
      </c>
      <c r="Z62" s="1310"/>
      <c r="AA62" s="1321">
        <f t="shared" si="8"/>
        <v>9908634</v>
      </c>
      <c r="AB62" s="1310"/>
      <c r="AC62" s="1316"/>
      <c r="AD62" s="1317"/>
      <c r="AE62" s="1318"/>
      <c r="AF62" s="1319"/>
      <c r="AG62" s="1319"/>
      <c r="AH62" s="1319"/>
      <c r="AI62" s="1319"/>
      <c r="AJ62" s="1319"/>
      <c r="AK62" s="1319"/>
      <c r="AL62" s="1319"/>
    </row>
    <row r="63" spans="1:38" s="1320" customFormat="1" ht="33" customHeight="1">
      <c r="A63" s="1306">
        <v>48</v>
      </c>
      <c r="B63" s="1307">
        <v>48</v>
      </c>
      <c r="C63" s="1307" t="str">
        <f>'Chấm công KT'!C60</f>
        <v>03494</v>
      </c>
      <c r="D63" s="1308" t="str">
        <f>TONGHOPCONGDOI!C58</f>
        <v>T. Đi</v>
      </c>
      <c r="E63" s="1307" t="s">
        <v>26</v>
      </c>
      <c r="F63" s="1309"/>
      <c r="G63" s="1310">
        <f t="shared" si="3"/>
        <v>0</v>
      </c>
      <c r="H63" s="1310">
        <f>VLOOKUP(D63,TONGHOPCONGDOI!C58:AD94,16,0)</f>
        <v>3767</v>
      </c>
      <c r="I63" s="1310">
        <f>VLOOKUP(D63,TONGHOPCONGDOI!C58:AD94,18,0)</f>
        <v>0</v>
      </c>
      <c r="J63" s="1310"/>
      <c r="K63" s="1311">
        <f t="shared" si="9"/>
        <v>1609.0319766792038</v>
      </c>
      <c r="L63" s="1312" t="str">
        <f>VLOOKUP(D63,'BTH mủ tạp'!$D$17:$AN$95,37,0)</f>
        <v>A</v>
      </c>
      <c r="M63" s="1313">
        <f t="shared" si="4"/>
        <v>6583573</v>
      </c>
      <c r="N63" s="1314">
        <f>VLOOKUP(D63,TONGHOPCONGDOI!$C$11:$AD$93,20,0)</f>
        <v>26</v>
      </c>
      <c r="O63" s="1314">
        <f>VLOOKUP(D63,TONGHOPCONGDOI!$C$11:$AD$93,21,0)</f>
        <v>2</v>
      </c>
      <c r="P63" s="1314">
        <f>VLOOKUP(D63,TONGHOPCONGDOI!$C$11:$AC$93,22,0)</f>
        <v>0</v>
      </c>
      <c r="Q63" s="1314">
        <f>VLOOKUP(D63,TONGHOPCONGDOI!$C$11:$AC$94,23,0)</f>
        <v>2</v>
      </c>
      <c r="R63" s="1314">
        <f>VLOOKUP(D63,TONGHOPCONGDOI!$C$11:$AC$94,24,0)</f>
        <v>0</v>
      </c>
      <c r="S63" s="1314">
        <f>VLOOKUP(D63,TONGHOPCONGDOI!$C$11:$AC$94,25,0)</f>
        <v>0</v>
      </c>
      <c r="T63" s="1314"/>
      <c r="U63" s="1308">
        <f t="shared" si="5"/>
        <v>2</v>
      </c>
      <c r="V63" s="1315"/>
      <c r="W63" s="1315"/>
      <c r="X63" s="1314">
        <f t="shared" si="6"/>
        <v>1313462</v>
      </c>
      <c r="Y63" s="1314">
        <f t="shared" si="10"/>
        <v>7897035</v>
      </c>
      <c r="Z63" s="1310"/>
      <c r="AA63" s="1321">
        <f t="shared" si="8"/>
        <v>7897035</v>
      </c>
      <c r="AB63" s="1310"/>
      <c r="AC63" s="1316"/>
      <c r="AD63" s="1317"/>
      <c r="AE63" s="1318"/>
      <c r="AF63" s="1319"/>
      <c r="AG63" s="1319"/>
      <c r="AH63" s="1319"/>
      <c r="AI63" s="1319"/>
      <c r="AJ63" s="1319"/>
      <c r="AK63" s="1319"/>
      <c r="AL63" s="1319"/>
    </row>
    <row r="64" spans="1:38" s="1320" customFormat="1" ht="33" customHeight="1">
      <c r="A64" s="1306">
        <v>49</v>
      </c>
      <c r="B64" s="1307">
        <v>49</v>
      </c>
      <c r="C64" s="1307" t="str">
        <f>'Chấm công KT'!C61</f>
        <v>03495</v>
      </c>
      <c r="D64" s="1308" t="str">
        <f>TONGHOPCONGDOI!C59</f>
        <v>N. On Xi</v>
      </c>
      <c r="E64" s="1307" t="s">
        <v>26</v>
      </c>
      <c r="F64" s="1309"/>
      <c r="G64" s="1310">
        <f t="shared" si="3"/>
        <v>0</v>
      </c>
      <c r="H64" s="1310">
        <f>VLOOKUP(D64,TONGHOPCONGDOI!C59:AD94,16,0)</f>
        <v>4077</v>
      </c>
      <c r="I64" s="1310">
        <f>VLOOKUP(D64,TONGHOPCONGDOI!C59:AD94,18,0)</f>
        <v>0</v>
      </c>
      <c r="J64" s="1310"/>
      <c r="K64" s="1311">
        <f t="shared" si="9"/>
        <v>1741.4450143140732</v>
      </c>
      <c r="L64" s="1312" t="str">
        <f>VLOOKUP(D64,'BTH mủ tạp'!$D$17:$AN$95,37,0)</f>
        <v>A</v>
      </c>
      <c r="M64" s="1313">
        <f t="shared" si="4"/>
        <v>7125359</v>
      </c>
      <c r="N64" s="1314">
        <f>VLOOKUP(D64,TONGHOPCONGDOI!$C$11:$AD$93,20,0)</f>
        <v>25</v>
      </c>
      <c r="O64" s="1314">
        <f>VLOOKUP(D64,TONGHOPCONGDOI!$C$11:$AD$93,21,0)</f>
        <v>1</v>
      </c>
      <c r="P64" s="1314">
        <f>VLOOKUP(D64,TONGHOPCONGDOI!$C$11:$AC$93,22,0)</f>
        <v>0</v>
      </c>
      <c r="Q64" s="1314">
        <f>VLOOKUP(D64,TONGHOPCONGDOI!$C$11:$AC$94,23,0)</f>
        <v>2</v>
      </c>
      <c r="R64" s="1314">
        <f>VLOOKUP(D64,TONGHOPCONGDOI!$C$11:$AC$94,24,0)</f>
        <v>0</v>
      </c>
      <c r="S64" s="1314">
        <f>VLOOKUP(D64,TONGHOPCONGDOI!$C$11:$AC$94,25,0)</f>
        <v>0</v>
      </c>
      <c r="T64" s="1314"/>
      <c r="U64" s="1308">
        <f t="shared" si="5"/>
        <v>2</v>
      </c>
      <c r="V64" s="1315"/>
      <c r="W64" s="1315"/>
      <c r="X64" s="1314">
        <f t="shared" si="6"/>
        <v>1230958</v>
      </c>
      <c r="Y64" s="1314">
        <f t="shared" si="10"/>
        <v>8356317</v>
      </c>
      <c r="Z64" s="1310"/>
      <c r="AA64" s="1321">
        <f t="shared" si="8"/>
        <v>8356317</v>
      </c>
      <c r="AB64" s="1310"/>
      <c r="AC64" s="1316"/>
      <c r="AD64" s="1317"/>
      <c r="AE64" s="1318"/>
      <c r="AF64" s="1319"/>
      <c r="AG64" s="1319"/>
      <c r="AH64" s="1319"/>
      <c r="AI64" s="1319"/>
      <c r="AJ64" s="1319"/>
      <c r="AK64" s="1319"/>
      <c r="AL64" s="1319"/>
    </row>
    <row r="65" spans="1:38" s="1320" customFormat="1" ht="33" customHeight="1">
      <c r="A65" s="1306">
        <v>50</v>
      </c>
      <c r="B65" s="1307">
        <v>50</v>
      </c>
      <c r="C65" s="1307" t="str">
        <f>'Chấm công KT'!C62</f>
        <v>04062</v>
      </c>
      <c r="D65" s="1308" t="str">
        <f>TONGHOPCONGDOI!C60</f>
        <v>N. Thông La</v>
      </c>
      <c r="E65" s="1307" t="s">
        <v>26</v>
      </c>
      <c r="F65" s="1309"/>
      <c r="G65" s="1310">
        <f t="shared" si="3"/>
        <v>0</v>
      </c>
      <c r="H65" s="1310">
        <f>VLOOKUP(D65,TONGHOPCONGDOI!C60:AD94,16,0)</f>
        <v>4948</v>
      </c>
      <c r="I65" s="1310">
        <f>VLOOKUP(D65,TONGHOPCONGDOI!C60:AD94,18,0)</f>
        <v>0</v>
      </c>
      <c r="J65" s="1310"/>
      <c r="K65" s="1311">
        <f t="shared" si="9"/>
        <v>2113.4829361849484</v>
      </c>
      <c r="L65" s="1312" t="str">
        <f>VLOOKUP(D65,'BTH mủ tạp'!$D$17:$AN$95,37,0)</f>
        <v>A</v>
      </c>
      <c r="M65" s="1313">
        <f t="shared" si="4"/>
        <v>8647603</v>
      </c>
      <c r="N65" s="1314">
        <f>VLOOKUP(D65,TONGHOPCONGDOI!$C$11:$AD$93,20,0)</f>
        <v>26</v>
      </c>
      <c r="O65" s="1314">
        <f>VLOOKUP(D65,TONGHOPCONGDOI!$C$11:$AD$93,21,0)</f>
        <v>2</v>
      </c>
      <c r="P65" s="1314">
        <f>VLOOKUP(D65,TONGHOPCONGDOI!$C$11:$AC$93,22,0)</f>
        <v>0</v>
      </c>
      <c r="Q65" s="1314">
        <f>VLOOKUP(D65,TONGHOPCONGDOI!$C$11:$AC$94,23,0)</f>
        <v>2</v>
      </c>
      <c r="R65" s="1314">
        <f>VLOOKUP(D65,TONGHOPCONGDOI!$C$11:$AC$94,24,0)</f>
        <v>0</v>
      </c>
      <c r="S65" s="1314">
        <f>VLOOKUP(D65,TONGHOPCONGDOI!$C$11:$AC$94,25,0)</f>
        <v>0</v>
      </c>
      <c r="T65" s="1314"/>
      <c r="U65" s="1308">
        <f t="shared" si="5"/>
        <v>2</v>
      </c>
      <c r="V65" s="1315"/>
      <c r="W65" s="1315"/>
      <c r="X65" s="1314">
        <f t="shared" si="6"/>
        <v>1313462</v>
      </c>
      <c r="Y65" s="1314">
        <f t="shared" si="10"/>
        <v>9961065</v>
      </c>
      <c r="Z65" s="1310"/>
      <c r="AA65" s="1321">
        <f t="shared" si="8"/>
        <v>9961065</v>
      </c>
      <c r="AB65" s="1310"/>
      <c r="AC65" s="1316"/>
      <c r="AD65" s="1317"/>
      <c r="AE65" s="1318"/>
      <c r="AF65" s="1319"/>
      <c r="AG65" s="1319"/>
      <c r="AH65" s="1319"/>
      <c r="AI65" s="1319"/>
      <c r="AJ65" s="1319"/>
      <c r="AK65" s="1319"/>
      <c r="AL65" s="1319"/>
    </row>
    <row r="66" spans="1:38" s="1320" customFormat="1" ht="33" customHeight="1">
      <c r="A66" s="1306">
        <v>51</v>
      </c>
      <c r="B66" s="1307">
        <v>51</v>
      </c>
      <c r="C66" s="1307" t="str">
        <f>'Chấm công KT'!C63</f>
        <v>03497</v>
      </c>
      <c r="D66" s="1308" t="str">
        <f>TONGHOPCONGDOI!C61</f>
        <v>T. Son Xay</v>
      </c>
      <c r="E66" s="1307" t="s">
        <v>26</v>
      </c>
      <c r="F66" s="1309"/>
      <c r="G66" s="1310">
        <f t="shared" si="3"/>
        <v>0</v>
      </c>
      <c r="H66" s="1310">
        <f>VLOOKUP(D66,TONGHOPCONGDOI!C61:AD94,16,0)</f>
        <v>4745</v>
      </c>
      <c r="I66" s="1310">
        <f>VLOOKUP(D66,TONGHOPCONGDOI!C61:AD94,18,0)</f>
        <v>0</v>
      </c>
      <c r="J66" s="1310"/>
      <c r="K66" s="1311">
        <f t="shared" si="9"/>
        <v>2026.7737534756629</v>
      </c>
      <c r="L66" s="1312" t="str">
        <f>VLOOKUP(D66,'BTH mủ tạp'!$D$17:$AN$95,37,0)</f>
        <v>A</v>
      </c>
      <c r="M66" s="1313">
        <f t="shared" si="4"/>
        <v>8292820</v>
      </c>
      <c r="N66" s="1314">
        <f>VLOOKUP(D66,TONGHOPCONGDOI!$C$11:$AD$93,20,0)</f>
        <v>24</v>
      </c>
      <c r="O66" s="1314">
        <f>VLOOKUP(D66,TONGHOPCONGDOI!$C$11:$AD$93,21,0)</f>
        <v>2</v>
      </c>
      <c r="P66" s="1314">
        <f>VLOOKUP(D66,TONGHOPCONGDOI!$C$11:$AC$93,22,0)</f>
        <v>0</v>
      </c>
      <c r="Q66" s="1314">
        <f>VLOOKUP(D66,TONGHOPCONGDOI!$C$11:$AC$94,23,0)</f>
        <v>2</v>
      </c>
      <c r="R66" s="1314">
        <f>VLOOKUP(D66,TONGHOPCONGDOI!$C$11:$AC$94,24,0)</f>
        <v>0</v>
      </c>
      <c r="S66" s="1314">
        <f>VLOOKUP(D66,TONGHOPCONGDOI!$C$11:$AC$94,25,0)</f>
        <v>0</v>
      </c>
      <c r="T66" s="1314"/>
      <c r="U66" s="1308">
        <f t="shared" si="5"/>
        <v>2</v>
      </c>
      <c r="V66" s="1315"/>
      <c r="W66" s="1315"/>
      <c r="X66" s="1314">
        <f t="shared" si="6"/>
        <v>1251618</v>
      </c>
      <c r="Y66" s="1314">
        <f t="shared" si="10"/>
        <v>9544438</v>
      </c>
      <c r="Z66" s="1310"/>
      <c r="AA66" s="1321">
        <f t="shared" si="8"/>
        <v>9544438</v>
      </c>
      <c r="AB66" s="1310"/>
      <c r="AC66" s="1316"/>
      <c r="AD66" s="1317"/>
      <c r="AE66" s="1318"/>
      <c r="AF66" s="1319"/>
      <c r="AG66" s="1319"/>
      <c r="AH66" s="1319"/>
      <c r="AI66" s="1319"/>
      <c r="AJ66" s="1319"/>
      <c r="AK66" s="1319"/>
      <c r="AL66" s="1319"/>
    </row>
    <row r="67" spans="1:38" s="1320" customFormat="1" ht="33" customHeight="1">
      <c r="A67" s="1306">
        <v>52</v>
      </c>
      <c r="B67" s="1307">
        <v>52</v>
      </c>
      <c r="C67" s="1307" t="str">
        <f>'Chấm công KT'!C64</f>
        <v>03498</v>
      </c>
      <c r="D67" s="1308" t="str">
        <f>TONGHOPCONGDOI!C62</f>
        <v>N. Lăm Phay</v>
      </c>
      <c r="E67" s="1307" t="s">
        <v>26</v>
      </c>
      <c r="F67" s="1309"/>
      <c r="G67" s="1310">
        <f t="shared" si="3"/>
        <v>0</v>
      </c>
      <c r="H67" s="1310">
        <f>VLOOKUP(D67,TONGHOPCONGDOI!C62:AD94,16,0)</f>
        <v>4624</v>
      </c>
      <c r="I67" s="1310">
        <f>VLOOKUP(D67,TONGHOPCONGDOI!C62:AD94,18,0)</f>
        <v>0</v>
      </c>
      <c r="J67" s="1310"/>
      <c r="K67" s="1311">
        <f t="shared" si="9"/>
        <v>1975.0899549149558</v>
      </c>
      <c r="L67" s="1312" t="str">
        <f>VLOOKUP(D67,'BTH mủ tạp'!$D$17:$AN$95,37,0)</f>
        <v>A</v>
      </c>
      <c r="M67" s="1313">
        <f t="shared" si="4"/>
        <v>8081349</v>
      </c>
      <c r="N67" s="1314">
        <f>VLOOKUP(D67,TONGHOPCONGDOI!$C$11:$AD$93,20,0)</f>
        <v>25</v>
      </c>
      <c r="O67" s="1314">
        <f>VLOOKUP(D67,TONGHOPCONGDOI!$C$11:$AD$93,21,0)</f>
        <v>2</v>
      </c>
      <c r="P67" s="1314">
        <f>VLOOKUP(D67,TONGHOPCONGDOI!$C$11:$AC$93,22,0)</f>
        <v>0</v>
      </c>
      <c r="Q67" s="1314">
        <f>VLOOKUP(D67,TONGHOPCONGDOI!$C$11:$AC$94,23,0)</f>
        <v>2</v>
      </c>
      <c r="R67" s="1314">
        <f>VLOOKUP(D67,TONGHOPCONGDOI!$C$11:$AC$94,24,0)</f>
        <v>0</v>
      </c>
      <c r="S67" s="1314">
        <f>VLOOKUP(D67,TONGHOPCONGDOI!$C$11:$AC$94,25,0)</f>
        <v>0</v>
      </c>
      <c r="T67" s="1314"/>
      <c r="U67" s="1308">
        <f t="shared" si="5"/>
        <v>2</v>
      </c>
      <c r="V67" s="1315"/>
      <c r="W67" s="1315"/>
      <c r="X67" s="1314">
        <f t="shared" si="6"/>
        <v>1282540</v>
      </c>
      <c r="Y67" s="1314">
        <f t="shared" si="10"/>
        <v>9363889</v>
      </c>
      <c r="Z67" s="1310"/>
      <c r="AA67" s="1321">
        <f t="shared" si="8"/>
        <v>9363889</v>
      </c>
      <c r="AB67" s="1310"/>
      <c r="AC67" s="1316"/>
      <c r="AD67" s="1317"/>
      <c r="AE67" s="1318"/>
      <c r="AF67" s="1319"/>
      <c r="AG67" s="1319"/>
      <c r="AH67" s="1319"/>
      <c r="AI67" s="1319"/>
      <c r="AJ67" s="1319"/>
      <c r="AK67" s="1319"/>
      <c r="AL67" s="1319"/>
    </row>
    <row r="68" spans="1:38" s="1320" customFormat="1" ht="33" customHeight="1">
      <c r="A68" s="1306">
        <v>53</v>
      </c>
      <c r="B68" s="1307">
        <v>53</v>
      </c>
      <c r="C68" s="1307" t="str">
        <f>'Chấm công KT'!C65</f>
        <v>02706</v>
      </c>
      <c r="D68" s="1308" t="str">
        <f>TONGHOPCONGDOI!C63</f>
        <v>T. Nhung</v>
      </c>
      <c r="E68" s="1307" t="s">
        <v>26</v>
      </c>
      <c r="F68" s="1309"/>
      <c r="G68" s="1310">
        <f t="shared" si="3"/>
        <v>0</v>
      </c>
      <c r="H68" s="1310">
        <f>VLOOKUP(D68,TONGHOPCONGDOI!C63:AD94,16,0)</f>
        <v>4380</v>
      </c>
      <c r="I68" s="1310">
        <f>VLOOKUP(D68,TONGHOPCONGDOI!C63:AD94,18,0)</f>
        <v>0</v>
      </c>
      <c r="J68" s="1310"/>
      <c r="K68" s="1311">
        <f t="shared" si="9"/>
        <v>1870.868080131381</v>
      </c>
      <c r="L68" s="1312" t="str">
        <f>VLOOKUP(D68,'BTH mủ tạp'!$D$17:$AN$95,37,0)</f>
        <v>A</v>
      </c>
      <c r="M68" s="1313">
        <f t="shared" si="4"/>
        <v>7654911</v>
      </c>
      <c r="N68" s="1314">
        <f>VLOOKUP(D68,TONGHOPCONGDOI!$C$11:$AD$93,20,0)</f>
        <v>26</v>
      </c>
      <c r="O68" s="1314">
        <f>VLOOKUP(D68,TONGHOPCONGDOI!$C$11:$AD$93,21,0)</f>
        <v>2</v>
      </c>
      <c r="P68" s="1314">
        <f>VLOOKUP(D68,TONGHOPCONGDOI!$C$11:$AC$93,22,0)</f>
        <v>0</v>
      </c>
      <c r="Q68" s="1314">
        <f>VLOOKUP(D68,TONGHOPCONGDOI!$C$11:$AC$94,23,0)</f>
        <v>2</v>
      </c>
      <c r="R68" s="1314">
        <f>VLOOKUP(D68,TONGHOPCONGDOI!$C$11:$AC$94,24,0)</f>
        <v>0</v>
      </c>
      <c r="S68" s="1314">
        <f>VLOOKUP(D68,TONGHOPCONGDOI!$C$11:$AC$94,25,0)</f>
        <v>0</v>
      </c>
      <c r="T68" s="1314"/>
      <c r="U68" s="1308">
        <f t="shared" si="5"/>
        <v>2</v>
      </c>
      <c r="V68" s="1315"/>
      <c r="W68" s="1315"/>
      <c r="X68" s="1314">
        <f t="shared" si="6"/>
        <v>1313462</v>
      </c>
      <c r="Y68" s="1314">
        <f t="shared" si="10"/>
        <v>8968373</v>
      </c>
      <c r="Z68" s="1310"/>
      <c r="AA68" s="1321">
        <f t="shared" si="8"/>
        <v>8968373</v>
      </c>
      <c r="AB68" s="1310"/>
      <c r="AC68" s="1316"/>
      <c r="AD68" s="1317"/>
      <c r="AE68" s="1318"/>
      <c r="AF68" s="1319"/>
      <c r="AG68" s="1319"/>
      <c r="AH68" s="1319"/>
      <c r="AI68" s="1319"/>
      <c r="AJ68" s="1319"/>
      <c r="AK68" s="1319"/>
      <c r="AL68" s="1319"/>
    </row>
    <row r="69" spans="1:38" s="1320" customFormat="1" ht="33" customHeight="1">
      <c r="A69" s="1306">
        <v>54</v>
      </c>
      <c r="B69" s="1307">
        <v>54</v>
      </c>
      <c r="C69" s="1307">
        <f>'Chấm công KT'!C66</f>
        <v>0</v>
      </c>
      <c r="D69" s="1308" t="str">
        <f>TONGHOPCONGDOI!C64</f>
        <v>N. In Ton</v>
      </c>
      <c r="E69" s="1307" t="s">
        <v>26</v>
      </c>
      <c r="F69" s="1309"/>
      <c r="G69" s="1310">
        <f t="shared" si="3"/>
        <v>0</v>
      </c>
      <c r="H69" s="1310">
        <f>VLOOKUP(D69,TONGHOPCONGDOI!C64:AD94,16,0)</f>
        <v>3829</v>
      </c>
      <c r="I69" s="1310">
        <f>VLOOKUP(D69,TONGHOPCONGDOI!C64:AD94,18,0)</f>
        <v>0</v>
      </c>
      <c r="J69" s="1310"/>
      <c r="K69" s="1311">
        <f t="shared" si="9"/>
        <v>1635.5145842061777</v>
      </c>
      <c r="L69" s="1312" t="str">
        <f>VLOOKUP(D69,'BTH mủ tạp'!$D$17:$AN$95,37,0)</f>
        <v>A</v>
      </c>
      <c r="M69" s="1313">
        <f t="shared" si="4"/>
        <v>6691930</v>
      </c>
      <c r="N69" s="1314">
        <f>VLOOKUP(D69,TONGHOPCONGDOI!$C$11:$AD$93,20,0)</f>
        <v>26</v>
      </c>
      <c r="O69" s="1314">
        <f>VLOOKUP(D69,TONGHOPCONGDOI!$C$11:$AD$93,21,0)</f>
        <v>2</v>
      </c>
      <c r="P69" s="1314">
        <f>VLOOKUP(D69,TONGHOPCONGDOI!$C$11:$AC$93,22,0)</f>
        <v>0</v>
      </c>
      <c r="Q69" s="1314">
        <f>VLOOKUP(D69,TONGHOPCONGDOI!$C$11:$AC$94,23,0)</f>
        <v>2</v>
      </c>
      <c r="R69" s="1314">
        <f>VLOOKUP(D69,TONGHOPCONGDOI!$C$11:$AC$94,24,0)</f>
        <v>0</v>
      </c>
      <c r="S69" s="1314">
        <f>VLOOKUP(D69,TONGHOPCONGDOI!$C$11:$AC$94,25,0)</f>
        <v>0</v>
      </c>
      <c r="T69" s="1314"/>
      <c r="U69" s="1308">
        <f t="shared" si="5"/>
        <v>2</v>
      </c>
      <c r="V69" s="1315"/>
      <c r="W69" s="1315"/>
      <c r="X69" s="1314">
        <f t="shared" si="6"/>
        <v>1313462</v>
      </c>
      <c r="Y69" s="1314">
        <f t="shared" si="10"/>
        <v>8005392</v>
      </c>
      <c r="Z69" s="1310"/>
      <c r="AA69" s="1321">
        <f t="shared" si="8"/>
        <v>8005392</v>
      </c>
      <c r="AB69" s="1310"/>
      <c r="AC69" s="1316"/>
      <c r="AD69" s="1317"/>
      <c r="AE69" s="1318"/>
      <c r="AF69" s="1319"/>
      <c r="AG69" s="1319"/>
      <c r="AH69" s="1319"/>
      <c r="AI69" s="1319"/>
      <c r="AJ69" s="1319"/>
      <c r="AK69" s="1319"/>
      <c r="AL69" s="1319"/>
    </row>
    <row r="70" spans="1:38" s="1320" customFormat="1" ht="33" customHeight="1">
      <c r="A70" s="1306">
        <v>55</v>
      </c>
      <c r="B70" s="1307">
        <v>55</v>
      </c>
      <c r="C70" s="1307" t="str">
        <f>'Chấm công KT'!C67</f>
        <v>04064</v>
      </c>
      <c r="D70" s="1308" t="str">
        <f>TONGHOPCONGDOI!C65</f>
        <v>N. Khay Chăn</v>
      </c>
      <c r="E70" s="1307" t="s">
        <v>26</v>
      </c>
      <c r="F70" s="1309"/>
      <c r="G70" s="1310">
        <f t="shared" si="3"/>
        <v>0</v>
      </c>
      <c r="H70" s="1310">
        <f>VLOOKUP(D70,TONGHOPCONGDOI!C65:AD94,16,0)</f>
        <v>4903</v>
      </c>
      <c r="I70" s="1310">
        <f>VLOOKUP(D70,TONGHOPCONGDOI!C65:AD94,18,0)</f>
        <v>0</v>
      </c>
      <c r="J70" s="1310"/>
      <c r="K70" s="1311">
        <f t="shared" si="9"/>
        <v>2094.2616887863383</v>
      </c>
      <c r="L70" s="1312" t="str">
        <f>VLOOKUP(D70,'BTH mủ tạp'!$D$17:$AN$95,37,0)</f>
        <v>A</v>
      </c>
      <c r="M70" s="1313">
        <f t="shared" si="4"/>
        <v>8568957</v>
      </c>
      <c r="N70" s="1314">
        <f>VLOOKUP(D70,TONGHOPCONGDOI!$C$11:$AD$93,20,0)</f>
        <v>26</v>
      </c>
      <c r="O70" s="1314">
        <f>VLOOKUP(D70,TONGHOPCONGDOI!$C$11:$AD$93,21,0)</f>
        <v>2</v>
      </c>
      <c r="P70" s="1314">
        <f>VLOOKUP(D70,TONGHOPCONGDOI!$C$11:$AC$93,22,0)</f>
        <v>0</v>
      </c>
      <c r="Q70" s="1314">
        <f>VLOOKUP(D70,TONGHOPCONGDOI!$C$11:$AC$94,23,0)</f>
        <v>2</v>
      </c>
      <c r="R70" s="1314">
        <f>VLOOKUP(D70,TONGHOPCONGDOI!$C$11:$AC$94,24,0)</f>
        <v>0</v>
      </c>
      <c r="S70" s="1314">
        <f>VLOOKUP(D70,TONGHOPCONGDOI!$C$11:$AC$94,25,0)</f>
        <v>0</v>
      </c>
      <c r="T70" s="1314"/>
      <c r="U70" s="1308">
        <f t="shared" si="5"/>
        <v>2</v>
      </c>
      <c r="V70" s="1315"/>
      <c r="W70" s="1315"/>
      <c r="X70" s="1314">
        <f t="shared" si="6"/>
        <v>1313462</v>
      </c>
      <c r="Y70" s="1314">
        <f t="shared" si="10"/>
        <v>9882419</v>
      </c>
      <c r="Z70" s="1310"/>
      <c r="AA70" s="1321">
        <f t="shared" si="8"/>
        <v>9882419</v>
      </c>
      <c r="AB70" s="1310"/>
      <c r="AC70" s="1316"/>
      <c r="AD70" s="1317"/>
      <c r="AE70" s="1318"/>
      <c r="AF70" s="1319"/>
      <c r="AG70" s="1319"/>
      <c r="AH70" s="1319"/>
      <c r="AI70" s="1319"/>
      <c r="AJ70" s="1319"/>
      <c r="AK70" s="1319"/>
      <c r="AL70" s="1319"/>
    </row>
    <row r="71" spans="1:38" s="1320" customFormat="1" ht="33" customHeight="1">
      <c r="A71" s="1306">
        <v>56</v>
      </c>
      <c r="B71" s="1307">
        <v>56</v>
      </c>
      <c r="C71" s="1307" t="str">
        <f>'Chấm công KT'!C68</f>
        <v>03501</v>
      </c>
      <c r="D71" s="1308" t="str">
        <f>TONGHOPCONGDOI!C66</f>
        <v>T Dăn</v>
      </c>
      <c r="E71" s="1307" t="s">
        <v>26</v>
      </c>
      <c r="F71" s="1309"/>
      <c r="G71" s="1310">
        <f t="shared" si="3"/>
        <v>0</v>
      </c>
      <c r="H71" s="1310">
        <f>VLOOKUP(D71,TONGHOPCONGDOI!C66:AD94,16,0)</f>
        <v>3499</v>
      </c>
      <c r="I71" s="1310">
        <f>VLOOKUP(D71,TONGHOPCONGDOI!C66:AD94,18,0)</f>
        <v>0</v>
      </c>
      <c r="J71" s="1310"/>
      <c r="K71" s="1311">
        <f t="shared" si="9"/>
        <v>1494.5587699497037</v>
      </c>
      <c r="L71" s="1312" t="str">
        <f>VLOOKUP(D71,'BTH mủ tạp'!$D$17:$AN$95,37,0)</f>
        <v>A</v>
      </c>
      <c r="M71" s="1313">
        <f t="shared" si="4"/>
        <v>6115190</v>
      </c>
      <c r="N71" s="1314">
        <f>VLOOKUP(D71,TONGHOPCONGDOI!$C$11:$AD$93,20,0)</f>
        <v>25</v>
      </c>
      <c r="O71" s="1314">
        <f>VLOOKUP(D71,TONGHOPCONGDOI!$C$11:$AD$93,21,0)</f>
        <v>2</v>
      </c>
      <c r="P71" s="1314">
        <f>VLOOKUP(D71,TONGHOPCONGDOI!$C$11:$AC$93,22,0)</f>
        <v>0</v>
      </c>
      <c r="Q71" s="1314">
        <f>VLOOKUP(D71,TONGHOPCONGDOI!$C$11:$AC$94,23,0)</f>
        <v>2</v>
      </c>
      <c r="R71" s="1314">
        <f>VLOOKUP(D71,TONGHOPCONGDOI!$C$11:$AC$94,24,0)</f>
        <v>0</v>
      </c>
      <c r="S71" s="1314">
        <f>VLOOKUP(D71,TONGHOPCONGDOI!$C$11:$AC$94,25,0)</f>
        <v>0</v>
      </c>
      <c r="T71" s="1314"/>
      <c r="U71" s="1308">
        <f t="shared" si="5"/>
        <v>2</v>
      </c>
      <c r="V71" s="1315"/>
      <c r="W71" s="1315"/>
      <c r="X71" s="1314">
        <f t="shared" si="6"/>
        <v>1282540</v>
      </c>
      <c r="Y71" s="1314">
        <f t="shared" si="10"/>
        <v>7397730</v>
      </c>
      <c r="Z71" s="1310"/>
      <c r="AA71" s="1321">
        <f t="shared" si="8"/>
        <v>7397730</v>
      </c>
      <c r="AB71" s="1310"/>
      <c r="AC71" s="1316"/>
      <c r="AD71" s="1317"/>
      <c r="AE71" s="1318"/>
      <c r="AF71" s="1319"/>
      <c r="AG71" s="1319"/>
      <c r="AH71" s="1319"/>
      <c r="AI71" s="1319"/>
      <c r="AJ71" s="1319"/>
      <c r="AK71" s="1319"/>
      <c r="AL71" s="1319"/>
    </row>
    <row r="72" spans="1:38" s="1320" customFormat="1" ht="33" customHeight="1">
      <c r="A72" s="1306">
        <v>57</v>
      </c>
      <c r="B72" s="1307">
        <v>57</v>
      </c>
      <c r="C72" s="1307" t="str">
        <f>'Chấm công KT'!C69</f>
        <v>03502</v>
      </c>
      <c r="D72" s="1308" t="str">
        <f>TONGHOPCONGDOI!C67</f>
        <v>T. Xợt</v>
      </c>
      <c r="E72" s="1307" t="s">
        <v>26</v>
      </c>
      <c r="F72" s="1309"/>
      <c r="G72" s="1310">
        <f t="shared" si="3"/>
        <v>0</v>
      </c>
      <c r="H72" s="1310">
        <f>VLOOKUP(D72,TONGHOPCONGDOI!C67:AD94,16,0)</f>
        <v>3833</v>
      </c>
      <c r="I72" s="1310">
        <f>VLOOKUP(D72,TONGHOPCONGDOI!C67:AD94,18,0)</f>
        <v>0</v>
      </c>
      <c r="J72" s="1310"/>
      <c r="K72" s="1311">
        <f t="shared" si="9"/>
        <v>1637.2231395304987</v>
      </c>
      <c r="L72" s="1312" t="str">
        <f>VLOOKUP(D72,'BTH mủ tạp'!$D$17:$AN$95,37,0)</f>
        <v>A</v>
      </c>
      <c r="M72" s="1313">
        <f t="shared" si="4"/>
        <v>6698921</v>
      </c>
      <c r="N72" s="1314">
        <f>VLOOKUP(D72,TONGHOPCONGDOI!$C$11:$AD$93,20,0)</f>
        <v>26</v>
      </c>
      <c r="O72" s="1314">
        <f>VLOOKUP(D72,TONGHOPCONGDOI!$C$11:$AD$93,21,0)</f>
        <v>2</v>
      </c>
      <c r="P72" s="1314">
        <f>VLOOKUP(D72,TONGHOPCONGDOI!$C$11:$AC$93,22,0)</f>
        <v>0</v>
      </c>
      <c r="Q72" s="1314">
        <f>VLOOKUP(D72,TONGHOPCONGDOI!$C$11:$AC$94,23,0)</f>
        <v>2</v>
      </c>
      <c r="R72" s="1314">
        <f>VLOOKUP(D72,TONGHOPCONGDOI!$C$11:$AC$94,24,0)</f>
        <v>0</v>
      </c>
      <c r="S72" s="1314">
        <f>VLOOKUP(D72,TONGHOPCONGDOI!$C$11:$AC$94,25,0)</f>
        <v>0</v>
      </c>
      <c r="T72" s="1314"/>
      <c r="U72" s="1308">
        <f t="shared" si="5"/>
        <v>2</v>
      </c>
      <c r="V72" s="1315"/>
      <c r="W72" s="1315"/>
      <c r="X72" s="1314">
        <f t="shared" si="6"/>
        <v>1313462</v>
      </c>
      <c r="Y72" s="1314">
        <f t="shared" si="10"/>
        <v>8012383</v>
      </c>
      <c r="Z72" s="1310"/>
      <c r="AA72" s="1321">
        <f t="shared" si="8"/>
        <v>8012383</v>
      </c>
      <c r="AB72" s="1310"/>
      <c r="AC72" s="1316"/>
      <c r="AD72" s="1317"/>
      <c r="AE72" s="1318"/>
      <c r="AF72" s="1319"/>
      <c r="AG72" s="1319"/>
      <c r="AH72" s="1319"/>
      <c r="AI72" s="1319"/>
      <c r="AJ72" s="1319"/>
      <c r="AK72" s="1319"/>
      <c r="AL72" s="1319"/>
    </row>
    <row r="73" spans="1:38" s="1320" customFormat="1" ht="33" customHeight="1">
      <c r="A73" s="1306">
        <v>58</v>
      </c>
      <c r="B73" s="1307">
        <v>58</v>
      </c>
      <c r="C73" s="1307" t="str">
        <f>'Chấm công KT'!C70</f>
        <v>04065</v>
      </c>
      <c r="D73" s="1308" t="str">
        <f>TONGHOPCONGDOI!C68</f>
        <v>N. Phết 2</v>
      </c>
      <c r="E73" s="1307" t="s">
        <v>26</v>
      </c>
      <c r="F73" s="1309"/>
      <c r="G73" s="1310">
        <f t="shared" si="3"/>
        <v>0</v>
      </c>
      <c r="H73" s="1310">
        <f>VLOOKUP(D73,TONGHOPCONGDOI!C68:AD94,16,0)</f>
        <v>4120</v>
      </c>
      <c r="I73" s="1310">
        <f>VLOOKUP(D73,TONGHOPCONGDOI!C68:AD94,18,0)</f>
        <v>0</v>
      </c>
      <c r="J73" s="1310"/>
      <c r="K73" s="1311">
        <f t="shared" si="9"/>
        <v>1759.8119840505228</v>
      </c>
      <c r="L73" s="1312" t="str">
        <f>VLOOKUP(D73,'BTH mủ tạp'!$D$17:$AN$95,37,0)</f>
        <v>A</v>
      </c>
      <c r="M73" s="1313">
        <f t="shared" si="4"/>
        <v>7200510</v>
      </c>
      <c r="N73" s="1314">
        <f>VLOOKUP(D73,TONGHOPCONGDOI!$C$11:$AD$93,20,0)</f>
        <v>26</v>
      </c>
      <c r="O73" s="1314">
        <f>VLOOKUP(D73,TONGHOPCONGDOI!$C$11:$AD$93,21,0)</f>
        <v>2</v>
      </c>
      <c r="P73" s="1314">
        <f>VLOOKUP(D73,TONGHOPCONGDOI!$C$11:$AC$93,22,0)</f>
        <v>0</v>
      </c>
      <c r="Q73" s="1314">
        <f>VLOOKUP(D73,TONGHOPCONGDOI!$C$11:$AC$94,23,0)</f>
        <v>2</v>
      </c>
      <c r="R73" s="1314">
        <f>VLOOKUP(D73,TONGHOPCONGDOI!$C$11:$AC$94,24,0)</f>
        <v>0</v>
      </c>
      <c r="S73" s="1314">
        <f>VLOOKUP(D73,TONGHOPCONGDOI!$C$11:$AC$94,25,0)</f>
        <v>0</v>
      </c>
      <c r="T73" s="1314"/>
      <c r="U73" s="1308">
        <f t="shared" si="5"/>
        <v>2</v>
      </c>
      <c r="V73" s="1315"/>
      <c r="W73" s="1315"/>
      <c r="X73" s="1314">
        <f t="shared" si="6"/>
        <v>1313462</v>
      </c>
      <c r="Y73" s="1314">
        <f t="shared" si="10"/>
        <v>8513972</v>
      </c>
      <c r="Z73" s="1310"/>
      <c r="AA73" s="1321">
        <f t="shared" si="8"/>
        <v>8513972</v>
      </c>
      <c r="AB73" s="1310"/>
      <c r="AC73" s="1316"/>
      <c r="AD73" s="1317"/>
      <c r="AE73" s="1318"/>
      <c r="AF73" s="1319"/>
      <c r="AG73" s="1319"/>
      <c r="AH73" s="1319"/>
      <c r="AI73" s="1319"/>
      <c r="AJ73" s="1319"/>
      <c r="AK73" s="1319"/>
      <c r="AL73" s="1319"/>
    </row>
    <row r="74" spans="1:38" s="1320" customFormat="1" ht="33" customHeight="1">
      <c r="A74" s="1306">
        <v>59</v>
      </c>
      <c r="B74" s="1307">
        <v>59</v>
      </c>
      <c r="C74" s="1307" t="str">
        <f>'Chấm công KT'!C71</f>
        <v>03504</v>
      </c>
      <c r="D74" s="1308" t="str">
        <f>TONGHOPCONGDOI!C69</f>
        <v>T. Cạp</v>
      </c>
      <c r="E74" s="1307" t="s">
        <v>26</v>
      </c>
      <c r="F74" s="1309"/>
      <c r="G74" s="1310">
        <f t="shared" si="3"/>
        <v>0</v>
      </c>
      <c r="H74" s="1310">
        <f>VLOOKUP(D74,TONGHOPCONGDOI!C69:AD94,16,0)</f>
        <v>3308</v>
      </c>
      <c r="I74" s="1310">
        <f>VLOOKUP(D74,TONGHOPCONGDOI!C69:AD94,18,0)</f>
        <v>0</v>
      </c>
      <c r="J74" s="1310"/>
      <c r="K74" s="1311">
        <f t="shared" si="9"/>
        <v>1412.9752532133809</v>
      </c>
      <c r="L74" s="1312" t="str">
        <f>VLOOKUP(D74,'BTH mủ tạp'!$D$17:$AN$95,37,0)</f>
        <v>A</v>
      </c>
      <c r="M74" s="1313">
        <f t="shared" si="4"/>
        <v>5781380</v>
      </c>
      <c r="N74" s="1314">
        <f>VLOOKUP(D74,TONGHOPCONGDOI!$C$11:$AD$93,20,0)</f>
        <v>25</v>
      </c>
      <c r="O74" s="1314">
        <f>VLOOKUP(D74,TONGHOPCONGDOI!$C$11:$AD$93,21,0)</f>
        <v>2</v>
      </c>
      <c r="P74" s="1314">
        <f>VLOOKUP(D74,TONGHOPCONGDOI!$C$11:$AC$93,22,0)</f>
        <v>0</v>
      </c>
      <c r="Q74" s="1314">
        <f>VLOOKUP(D74,TONGHOPCONGDOI!$C$11:$AC$94,23,0)</f>
        <v>2</v>
      </c>
      <c r="R74" s="1314">
        <f>VLOOKUP(D74,TONGHOPCONGDOI!$C$11:$AC$94,24,0)</f>
        <v>0</v>
      </c>
      <c r="S74" s="1314">
        <f>VLOOKUP(D74,TONGHOPCONGDOI!$C$11:$AC$94,25,0)</f>
        <v>0</v>
      </c>
      <c r="T74" s="1314"/>
      <c r="U74" s="1308">
        <f t="shared" si="5"/>
        <v>2</v>
      </c>
      <c r="V74" s="1315"/>
      <c r="W74" s="1315"/>
      <c r="X74" s="1314">
        <f t="shared" si="6"/>
        <v>1282540</v>
      </c>
      <c r="Y74" s="1314">
        <f t="shared" si="10"/>
        <v>7063920</v>
      </c>
      <c r="Z74" s="1310"/>
      <c r="AA74" s="1321">
        <f t="shared" si="8"/>
        <v>7063920</v>
      </c>
      <c r="AB74" s="1310"/>
      <c r="AC74" s="1316"/>
      <c r="AD74" s="1317"/>
      <c r="AE74" s="1318"/>
      <c r="AF74" s="1319"/>
      <c r="AG74" s="1319"/>
      <c r="AH74" s="1319"/>
      <c r="AI74" s="1319"/>
      <c r="AJ74" s="1319"/>
      <c r="AK74" s="1319"/>
      <c r="AL74" s="1319"/>
    </row>
    <row r="75" spans="1:38" s="1320" customFormat="1" ht="33" customHeight="1">
      <c r="A75" s="1306">
        <v>60</v>
      </c>
      <c r="B75" s="1307">
        <v>60</v>
      </c>
      <c r="C75" s="1307">
        <f>'Chấm công KT'!C72</f>
        <v>0</v>
      </c>
      <c r="D75" s="1308" t="str">
        <f>TONGHOPCONGDOI!C70</f>
        <v>N. Ních</v>
      </c>
      <c r="E75" s="1307" t="s">
        <v>26</v>
      </c>
      <c r="F75" s="1309"/>
      <c r="G75" s="1310">
        <f t="shared" si="3"/>
        <v>0</v>
      </c>
      <c r="H75" s="1310">
        <f>VLOOKUP(D75,TONGHOPCONGDOI!C70:AD94,16,0)</f>
        <v>3423</v>
      </c>
      <c r="I75" s="1310">
        <f>VLOOKUP(D75,TONGHOPCONGDOI!C70:AD94,18,0)</f>
        <v>0</v>
      </c>
      <c r="J75" s="1310"/>
      <c r="K75" s="1311">
        <f t="shared" si="9"/>
        <v>1462.0962187876066</v>
      </c>
      <c r="L75" s="1312" t="str">
        <f>VLOOKUP(D75,'BTH mủ tạp'!$D$17:$AN$95,37,0)</f>
        <v>B</v>
      </c>
      <c r="M75" s="1313">
        <f t="shared" si="4"/>
        <v>5688151</v>
      </c>
      <c r="N75" s="1314">
        <f>VLOOKUP(D75,TONGHOPCONGDOI!$C$11:$AD$93,20,0)</f>
        <v>25</v>
      </c>
      <c r="O75" s="1314">
        <f>VLOOKUP(D75,TONGHOPCONGDOI!$C$11:$AD$93,21,0)</f>
        <v>2</v>
      </c>
      <c r="P75" s="1314">
        <f>VLOOKUP(D75,TONGHOPCONGDOI!$C$11:$AC$93,22,0)</f>
        <v>0</v>
      </c>
      <c r="Q75" s="1314">
        <f>VLOOKUP(D75,TONGHOPCONGDOI!$C$11:$AC$94,23,0)</f>
        <v>2</v>
      </c>
      <c r="R75" s="1314">
        <f>VLOOKUP(D75,TONGHOPCONGDOI!$C$11:$AC$94,24,0)</f>
        <v>0</v>
      </c>
      <c r="S75" s="1314">
        <f>VLOOKUP(D75,TONGHOPCONGDOI!$C$11:$AC$94,25,0)</f>
        <v>0</v>
      </c>
      <c r="T75" s="1314"/>
      <c r="U75" s="1308">
        <f t="shared" si="5"/>
        <v>2</v>
      </c>
      <c r="V75" s="1315"/>
      <c r="W75" s="1315"/>
      <c r="X75" s="1314">
        <f t="shared" si="6"/>
        <v>1282540</v>
      </c>
      <c r="Y75" s="1314">
        <f t="shared" si="10"/>
        <v>6970691</v>
      </c>
      <c r="Z75" s="1310"/>
      <c r="AA75" s="1321">
        <f t="shared" si="8"/>
        <v>6970691</v>
      </c>
      <c r="AB75" s="1310"/>
      <c r="AC75" s="1316"/>
      <c r="AD75" s="1317"/>
      <c r="AE75" s="1318"/>
      <c r="AF75" s="1319"/>
      <c r="AG75" s="1319"/>
      <c r="AH75" s="1319"/>
      <c r="AI75" s="1319"/>
      <c r="AJ75" s="1319"/>
      <c r="AK75" s="1319"/>
      <c r="AL75" s="1319"/>
    </row>
    <row r="76" spans="1:38" s="1320" customFormat="1" ht="33" customHeight="1">
      <c r="A76" s="1306">
        <v>61</v>
      </c>
      <c r="B76" s="1307">
        <v>61</v>
      </c>
      <c r="C76" s="1307" t="str">
        <f>'Chấm công KT'!C73</f>
        <v>03506</v>
      </c>
      <c r="D76" s="1308" t="str">
        <f>TONGHOPCONGDOI!C71</f>
        <v>N. Bua Hom</v>
      </c>
      <c r="E76" s="1307" t="s">
        <v>26</v>
      </c>
      <c r="F76" s="1309"/>
      <c r="G76" s="1310">
        <f t="shared" si="3"/>
        <v>0</v>
      </c>
      <c r="H76" s="1310">
        <f>VLOOKUP(D76,TONGHOPCONGDOI!C71:AD94,16,0)</f>
        <v>4295</v>
      </c>
      <c r="I76" s="1310">
        <f>VLOOKUP(D76,TONGHOPCONGDOI!C71:AD94,18,0)</f>
        <v>0</v>
      </c>
      <c r="J76" s="1310"/>
      <c r="K76" s="1311">
        <f t="shared" si="9"/>
        <v>1834.5612794895621</v>
      </c>
      <c r="L76" s="1312" t="str">
        <f>VLOOKUP(D76,'BTH mủ tạp'!$D$17:$AN$95,37,0)</f>
        <v>A</v>
      </c>
      <c r="M76" s="1313">
        <f t="shared" si="4"/>
        <v>7506357</v>
      </c>
      <c r="N76" s="1314">
        <f>VLOOKUP(D76,TONGHOPCONGDOI!$C$11:$AD$93,20,0)</f>
        <v>25</v>
      </c>
      <c r="O76" s="1314">
        <f>VLOOKUP(D76,TONGHOPCONGDOI!$C$11:$AD$93,21,0)</f>
        <v>2</v>
      </c>
      <c r="P76" s="1314">
        <f>VLOOKUP(D76,TONGHOPCONGDOI!$C$11:$AC$93,22,0)</f>
        <v>0</v>
      </c>
      <c r="Q76" s="1314">
        <f>VLOOKUP(D76,TONGHOPCONGDOI!$C$11:$AC$94,23,0)</f>
        <v>2</v>
      </c>
      <c r="R76" s="1314">
        <f>VLOOKUP(D76,TONGHOPCONGDOI!$C$11:$AC$94,24,0)</f>
        <v>0</v>
      </c>
      <c r="S76" s="1314">
        <f>VLOOKUP(D76,TONGHOPCONGDOI!$C$11:$AC$94,25,0)</f>
        <v>0</v>
      </c>
      <c r="T76" s="1314"/>
      <c r="U76" s="1308">
        <f t="shared" si="5"/>
        <v>2</v>
      </c>
      <c r="V76" s="1315"/>
      <c r="W76" s="1315"/>
      <c r="X76" s="1314">
        <f t="shared" si="6"/>
        <v>1282540</v>
      </c>
      <c r="Y76" s="1314">
        <f t="shared" si="10"/>
        <v>8788897</v>
      </c>
      <c r="Z76" s="1310"/>
      <c r="AA76" s="1321">
        <f t="shared" si="8"/>
        <v>8788897</v>
      </c>
      <c r="AB76" s="1310"/>
      <c r="AC76" s="1316"/>
      <c r="AD76" s="1317"/>
      <c r="AE76" s="1318"/>
      <c r="AF76" s="1319"/>
      <c r="AG76" s="1319"/>
      <c r="AH76" s="1319"/>
      <c r="AI76" s="1319"/>
      <c r="AJ76" s="1319"/>
      <c r="AK76" s="1319"/>
      <c r="AL76" s="1319"/>
    </row>
    <row r="77" spans="1:38" s="1320" customFormat="1" ht="33" customHeight="1">
      <c r="A77" s="1306">
        <v>62</v>
      </c>
      <c r="B77" s="1307">
        <v>62</v>
      </c>
      <c r="C77" s="1307" t="str">
        <f>'Chấm công KT'!C74</f>
        <v>04067</v>
      </c>
      <c r="D77" s="1308" t="str">
        <f>TONGHOPCONGDOI!C72</f>
        <v>N. Lăm Phay (2)</v>
      </c>
      <c r="E77" s="1307" t="s">
        <v>26</v>
      </c>
      <c r="F77" s="1309"/>
      <c r="G77" s="1310">
        <f t="shared" si="3"/>
        <v>0</v>
      </c>
      <c r="H77" s="1310">
        <f>VLOOKUP(D77,TONGHOPCONGDOI!C72:AD94,16,0)</f>
        <v>3508</v>
      </c>
      <c r="I77" s="1310">
        <f>VLOOKUP(D77,TONGHOPCONGDOI!C72:AD94,18,0)</f>
        <v>0</v>
      </c>
      <c r="J77" s="1310"/>
      <c r="K77" s="1311">
        <f t="shared" si="9"/>
        <v>1498.4030194294257</v>
      </c>
      <c r="L77" s="1312" t="str">
        <f>VLOOKUP(D77,'BTH mủ tạp'!$D$17:$AN$95,37,0)</f>
        <v>A</v>
      </c>
      <c r="M77" s="1313">
        <f t="shared" si="4"/>
        <v>6130920</v>
      </c>
      <c r="N77" s="1314">
        <f>VLOOKUP(D77,TONGHOPCONGDOI!$C$11:$AD$93,20,0)</f>
        <v>26</v>
      </c>
      <c r="O77" s="1314">
        <f>VLOOKUP(D77,TONGHOPCONGDOI!$C$11:$AD$93,21,0)</f>
        <v>2</v>
      </c>
      <c r="P77" s="1314">
        <f>VLOOKUP(D77,TONGHOPCONGDOI!$C$11:$AC$93,22,0)</f>
        <v>0</v>
      </c>
      <c r="Q77" s="1314">
        <f>VLOOKUP(D77,TONGHOPCONGDOI!$C$11:$AC$94,23,0)</f>
        <v>2</v>
      </c>
      <c r="R77" s="1314">
        <f>VLOOKUP(D77,TONGHOPCONGDOI!$C$11:$AC$94,24,0)</f>
        <v>0</v>
      </c>
      <c r="S77" s="1314">
        <f>VLOOKUP(D77,TONGHOPCONGDOI!$C$11:$AC$94,25,0)</f>
        <v>0</v>
      </c>
      <c r="T77" s="1314"/>
      <c r="U77" s="1308">
        <f t="shared" si="5"/>
        <v>2</v>
      </c>
      <c r="V77" s="1315"/>
      <c r="W77" s="1315"/>
      <c r="X77" s="1314">
        <f t="shared" si="6"/>
        <v>1313462</v>
      </c>
      <c r="Y77" s="1314">
        <f t="shared" si="10"/>
        <v>7444382</v>
      </c>
      <c r="Z77" s="1310"/>
      <c r="AA77" s="1321">
        <f t="shared" si="8"/>
        <v>7444382</v>
      </c>
      <c r="AB77" s="1310"/>
      <c r="AC77" s="1316"/>
      <c r="AD77" s="1317"/>
      <c r="AE77" s="1318"/>
      <c r="AF77" s="1319"/>
      <c r="AG77" s="1319"/>
      <c r="AH77" s="1319"/>
      <c r="AI77" s="1319"/>
      <c r="AJ77" s="1319"/>
      <c r="AK77" s="1319"/>
      <c r="AL77" s="1319"/>
    </row>
    <row r="78" spans="1:38" s="1320" customFormat="1" ht="33" customHeight="1">
      <c r="A78" s="1306">
        <v>63</v>
      </c>
      <c r="B78" s="1307">
        <v>63</v>
      </c>
      <c r="C78" s="1307" t="str">
        <f>'Chấm công KT'!C75</f>
        <v>03508</v>
      </c>
      <c r="D78" s="1308" t="str">
        <f>TONGHOPCONGDOI!C73</f>
        <v>T. Đèng</v>
      </c>
      <c r="E78" s="1307" t="s">
        <v>26</v>
      </c>
      <c r="F78" s="1309"/>
      <c r="G78" s="1310">
        <f t="shared" si="3"/>
        <v>0</v>
      </c>
      <c r="H78" s="1310">
        <f>VLOOKUP(D78,TONGHOPCONGDOI!C73:AD94,16,0)</f>
        <v>3189</v>
      </c>
      <c r="I78" s="1310">
        <f>VLOOKUP(D78,TONGHOPCONGDOI!C73:AD94,18,0)</f>
        <v>0</v>
      </c>
      <c r="J78" s="1310"/>
      <c r="K78" s="1311">
        <f t="shared" si="9"/>
        <v>1362.1457323148343</v>
      </c>
      <c r="L78" s="1312" t="str">
        <f>VLOOKUP(D78,'BTH mủ tạp'!$D$17:$AN$95,37,0)</f>
        <v>B</v>
      </c>
      <c r="M78" s="1313">
        <f t="shared" si="4"/>
        <v>5299303</v>
      </c>
      <c r="N78" s="1314">
        <f>VLOOKUP(D78,TONGHOPCONGDOI!$C$11:$AD$93,20,0)</f>
        <v>26</v>
      </c>
      <c r="O78" s="1314">
        <f>VLOOKUP(D78,TONGHOPCONGDOI!$C$11:$AD$93,21,0)</f>
        <v>2</v>
      </c>
      <c r="P78" s="1314">
        <f>VLOOKUP(D78,TONGHOPCONGDOI!$C$11:$AC$93,22,0)</f>
        <v>0</v>
      </c>
      <c r="Q78" s="1314">
        <f>VLOOKUP(D78,TONGHOPCONGDOI!$C$11:$AC$94,23,0)</f>
        <v>2</v>
      </c>
      <c r="R78" s="1314">
        <f>VLOOKUP(D78,TONGHOPCONGDOI!$C$11:$AC$94,24,0)</f>
        <v>0</v>
      </c>
      <c r="S78" s="1314">
        <f>VLOOKUP(D78,TONGHOPCONGDOI!$C$11:$AC$94,25,0)</f>
        <v>0</v>
      </c>
      <c r="T78" s="1314"/>
      <c r="U78" s="1308">
        <f t="shared" si="5"/>
        <v>2</v>
      </c>
      <c r="V78" s="1315"/>
      <c r="W78" s="1315"/>
      <c r="X78" s="1314">
        <f t="shared" si="6"/>
        <v>1313462</v>
      </c>
      <c r="Y78" s="1314">
        <f t="shared" si="10"/>
        <v>6612765</v>
      </c>
      <c r="Z78" s="1310"/>
      <c r="AA78" s="1321">
        <f t="shared" si="8"/>
        <v>6612765</v>
      </c>
      <c r="AB78" s="1310"/>
      <c r="AC78" s="1316"/>
      <c r="AD78" s="1317"/>
      <c r="AE78" s="1318"/>
      <c r="AF78" s="1319"/>
      <c r="AG78" s="1319"/>
      <c r="AH78" s="1319"/>
      <c r="AI78" s="1319"/>
      <c r="AJ78" s="1319"/>
      <c r="AK78" s="1319"/>
      <c r="AL78" s="1319"/>
    </row>
    <row r="79" spans="1:38" s="1320" customFormat="1" ht="33" customHeight="1">
      <c r="A79" s="1306">
        <v>64</v>
      </c>
      <c r="B79" s="1307">
        <v>64</v>
      </c>
      <c r="C79" s="1307" t="str">
        <f>'Chấm công KT'!C76</f>
        <v>03512</v>
      </c>
      <c r="D79" s="1308" t="str">
        <f>TONGHOPCONGDOI!C74</f>
        <v>N. Đon</v>
      </c>
      <c r="E79" s="1307" t="s">
        <v>26</v>
      </c>
      <c r="F79" s="1309"/>
      <c r="G79" s="1310">
        <f t="shared" si="3"/>
        <v>0</v>
      </c>
      <c r="H79" s="1310">
        <f>VLOOKUP(D79,TONGHOPCONGDOI!C74:AD94,16,0)</f>
        <v>3620</v>
      </c>
      <c r="I79" s="1310">
        <f>VLOOKUP(D79,TONGHOPCONGDOI!C74:AD94,18,0)</f>
        <v>0</v>
      </c>
      <c r="J79" s="1310"/>
      <c r="K79" s="1311">
        <f t="shared" si="9"/>
        <v>1546.2425685104108</v>
      </c>
      <c r="L79" s="1312" t="str">
        <f>VLOOKUP(D79,'BTH mủ tạp'!$D$17:$AN$95,37,0)</f>
        <v>B</v>
      </c>
      <c r="M79" s="1313">
        <f t="shared" si="4"/>
        <v>6015514</v>
      </c>
      <c r="N79" s="1314">
        <f>VLOOKUP(D79,TONGHOPCONGDOI!$C$11:$AD$93,20,0)</f>
        <v>25</v>
      </c>
      <c r="O79" s="1314">
        <f>VLOOKUP(D79,TONGHOPCONGDOI!$C$11:$AD$93,21,0)</f>
        <v>2</v>
      </c>
      <c r="P79" s="1314">
        <f>VLOOKUP(D79,TONGHOPCONGDOI!$C$11:$AC$93,22,0)</f>
        <v>0</v>
      </c>
      <c r="Q79" s="1314">
        <f>VLOOKUP(D79,TONGHOPCONGDOI!$C$11:$AC$94,23,0)</f>
        <v>2</v>
      </c>
      <c r="R79" s="1314">
        <f>VLOOKUP(D79,TONGHOPCONGDOI!$C$11:$AC$94,24,0)</f>
        <v>0</v>
      </c>
      <c r="S79" s="1314">
        <f>VLOOKUP(D79,TONGHOPCONGDOI!$C$11:$AC$94,25,0)</f>
        <v>0</v>
      </c>
      <c r="T79" s="1314"/>
      <c r="U79" s="1308">
        <f t="shared" si="5"/>
        <v>2</v>
      </c>
      <c r="V79" s="1315"/>
      <c r="W79" s="1315"/>
      <c r="X79" s="1314">
        <f t="shared" si="6"/>
        <v>1282540</v>
      </c>
      <c r="Y79" s="1314">
        <f t="shared" si="10"/>
        <v>7298054</v>
      </c>
      <c r="Z79" s="1310"/>
      <c r="AA79" s="1321">
        <f t="shared" si="8"/>
        <v>7298054</v>
      </c>
      <c r="AB79" s="1310"/>
      <c r="AC79" s="1316"/>
      <c r="AD79" s="1317"/>
      <c r="AE79" s="1318"/>
      <c r="AF79" s="1319"/>
      <c r="AG79" s="1319"/>
      <c r="AH79" s="1319"/>
      <c r="AI79" s="1319"/>
      <c r="AJ79" s="1319"/>
      <c r="AK79" s="1319"/>
      <c r="AL79" s="1319"/>
    </row>
    <row r="80" spans="1:38" s="1320" customFormat="1" ht="33" customHeight="1">
      <c r="A80" s="1306">
        <v>65</v>
      </c>
      <c r="B80" s="1307">
        <v>65</v>
      </c>
      <c r="C80" s="1307" t="str">
        <f>'Chấm công KT'!C77</f>
        <v>04068</v>
      </c>
      <c r="D80" s="1308" t="str">
        <f>TONGHOPCONGDOI!C75</f>
        <v xml:space="preserve">T. La </v>
      </c>
      <c r="E80" s="1307" t="s">
        <v>26</v>
      </c>
      <c r="F80" s="1309"/>
      <c r="G80" s="1310">
        <f t="shared" si="3"/>
        <v>0</v>
      </c>
      <c r="H80" s="1310">
        <f>VLOOKUP(D80,TONGHOPCONGDOI!C75:AD94,16,0)</f>
        <v>3728</v>
      </c>
      <c r="I80" s="1310">
        <f>VLOOKUP(D80,TONGHOPCONGDOI!C75:AD94,18,0)</f>
        <v>0</v>
      </c>
      <c r="J80" s="1310"/>
      <c r="K80" s="1311">
        <f t="shared" ref="K80:K96" si="11">$AF$8/$AF$7*H80+I80*$AF$9+J80*$AF$10</f>
        <v>1592.3735622670749</v>
      </c>
      <c r="L80" s="1312" t="str">
        <f>VLOOKUP(D80,'BTH mủ tạp'!$D$17:$AN$95,37,0)</f>
        <v>B</v>
      </c>
      <c r="M80" s="1313">
        <f t="shared" si="4"/>
        <v>6194983</v>
      </c>
      <c r="N80" s="1314">
        <f>VLOOKUP(D80,TONGHOPCONGDOI!$C$11:$AD$93,20,0)</f>
        <v>25</v>
      </c>
      <c r="O80" s="1314">
        <f>VLOOKUP(D80,TONGHOPCONGDOI!$C$11:$AD$93,21,0)</f>
        <v>2</v>
      </c>
      <c r="P80" s="1314">
        <f>VLOOKUP(D80,TONGHOPCONGDOI!$C$11:$AC$93,22,0)</f>
        <v>0</v>
      </c>
      <c r="Q80" s="1314">
        <f>VLOOKUP(D80,TONGHOPCONGDOI!$C$11:$AC$94,23,0)</f>
        <v>2</v>
      </c>
      <c r="R80" s="1314">
        <f>VLOOKUP(D80,TONGHOPCONGDOI!$C$11:$AC$94,24,0)</f>
        <v>0</v>
      </c>
      <c r="S80" s="1314">
        <f>VLOOKUP(D80,TONGHOPCONGDOI!$C$11:$AC$94,25,0)</f>
        <v>0</v>
      </c>
      <c r="T80" s="1314"/>
      <c r="U80" s="1308">
        <f t="shared" si="5"/>
        <v>2</v>
      </c>
      <c r="V80" s="1315"/>
      <c r="W80" s="1315"/>
      <c r="X80" s="1314">
        <f t="shared" si="6"/>
        <v>1282540</v>
      </c>
      <c r="Y80" s="1314">
        <f t="shared" ref="Y80:Y98" si="12">G80+M80+X80</f>
        <v>7477523</v>
      </c>
      <c r="Z80" s="1310"/>
      <c r="AA80" s="1321">
        <f t="shared" si="8"/>
        <v>7477523</v>
      </c>
      <c r="AB80" s="1310"/>
      <c r="AC80" s="1316"/>
      <c r="AD80" s="1317"/>
      <c r="AE80" s="1318"/>
      <c r="AF80" s="1319"/>
      <c r="AG80" s="1319"/>
      <c r="AH80" s="1319"/>
      <c r="AI80" s="1319"/>
      <c r="AJ80" s="1319"/>
      <c r="AK80" s="1319"/>
      <c r="AL80" s="1319"/>
    </row>
    <row r="81" spans="1:38" s="1320" customFormat="1" ht="33" customHeight="1">
      <c r="A81" s="1306">
        <v>66</v>
      </c>
      <c r="B81" s="1307">
        <v>66</v>
      </c>
      <c r="C81" s="1307" t="str">
        <f>'Chấm công KT'!C78</f>
        <v>04069</v>
      </c>
      <c r="D81" s="1308" t="str">
        <f>TONGHOPCONGDOI!C76</f>
        <v>T. Bờm</v>
      </c>
      <c r="E81" s="1307" t="s">
        <v>26</v>
      </c>
      <c r="F81" s="1309"/>
      <c r="G81" s="1310">
        <f t="shared" ref="G81:G88" si="13">F81*25000</f>
        <v>0</v>
      </c>
      <c r="H81" s="1310">
        <f>VLOOKUP(D81,TONGHOPCONGDOI!C76:AD94,16,0)</f>
        <v>3502</v>
      </c>
      <c r="I81" s="1310">
        <f>VLOOKUP(D81,TONGHOPCONGDOI!C76:AD94,18,0)</f>
        <v>0</v>
      </c>
      <c r="J81" s="1310"/>
      <c r="K81" s="1311">
        <f t="shared" si="11"/>
        <v>1495.8401864429445</v>
      </c>
      <c r="L81" s="1312" t="str">
        <f>VLOOKUP(D81,'BTH mủ tạp'!$D$17:$AN$95,37,0)</f>
        <v>A</v>
      </c>
      <c r="M81" s="1313">
        <f t="shared" ref="M81:M88" si="14">ROUND((IF(L81="A",(H81*$X$11*6.1),IF(L81="B",(H81*$X$11*5.8),IF(L81="C",(H81*$X$11*5.5),IF(L81="C.",(H81*$X$11*5.5),IF(L81="D",(H81*$X$11*5.2),0)))))*$F$11+(I81*$AF$9*$F$11*6.1)+J81*$F$11*$AF$10*6.1),0)</f>
        <v>6120434</v>
      </c>
      <c r="N81" s="1314">
        <f>VLOOKUP(D81,TONGHOPCONGDOI!$C$11:$AD$93,20,0)</f>
        <v>24</v>
      </c>
      <c r="O81" s="1314">
        <f>VLOOKUP(D81,TONGHOPCONGDOI!$C$11:$AD$93,21,0)</f>
        <v>2</v>
      </c>
      <c r="P81" s="1314">
        <f>VLOOKUP(D81,TONGHOPCONGDOI!$C$11:$AC$93,22,0)</f>
        <v>0</v>
      </c>
      <c r="Q81" s="1314">
        <f>VLOOKUP(D81,TONGHOPCONGDOI!$C$11:$AC$94,23,0)</f>
        <v>2</v>
      </c>
      <c r="R81" s="1314">
        <f>VLOOKUP(D81,TONGHOPCONGDOI!$C$11:$AC$94,24,0)</f>
        <v>0</v>
      </c>
      <c r="S81" s="1314">
        <f>VLOOKUP(D81,TONGHOPCONGDOI!$C$11:$AC$94,25,0)</f>
        <v>0</v>
      </c>
      <c r="T81" s="1314"/>
      <c r="U81" s="1308">
        <f t="shared" ref="U81:U96" si="15">Q81</f>
        <v>2</v>
      </c>
      <c r="V81" s="1315"/>
      <c r="W81" s="1315"/>
      <c r="X81" s="1314">
        <f t="shared" ref="X81:X144" si="16">ROUND(((N81*46.1)+(O81*76.9)+(P81*92.2)+(Q81*153.8)+(R81*92.2)+(S81*153.8))*$F$11+(T81*25000)+(U81*100000),0)</f>
        <v>1251618</v>
      </c>
      <c r="Y81" s="1314">
        <f t="shared" si="12"/>
        <v>7372052</v>
      </c>
      <c r="Z81" s="1310"/>
      <c r="AA81" s="1321">
        <f t="shared" si="8"/>
        <v>7372052</v>
      </c>
      <c r="AB81" s="1310"/>
      <c r="AC81" s="1316"/>
      <c r="AD81" s="1317"/>
      <c r="AE81" s="1318"/>
      <c r="AF81" s="1319"/>
      <c r="AG81" s="1319"/>
      <c r="AH81" s="1319"/>
      <c r="AI81" s="1319"/>
      <c r="AJ81" s="1319"/>
      <c r="AK81" s="1319"/>
      <c r="AL81" s="1319"/>
    </row>
    <row r="82" spans="1:38" s="1320" customFormat="1" ht="33" customHeight="1">
      <c r="A82" s="1306">
        <v>67</v>
      </c>
      <c r="B82" s="1307">
        <v>67</v>
      </c>
      <c r="C82" s="1307" t="str">
        <f>'Chấm công KT'!C79</f>
        <v>03546</v>
      </c>
      <c r="D82" s="1308" t="str">
        <f>TONGHOPCONGDOI!C77</f>
        <v>T. Nọi</v>
      </c>
      <c r="E82" s="1307" t="s">
        <v>26</v>
      </c>
      <c r="F82" s="1309"/>
      <c r="G82" s="1310">
        <f t="shared" si="13"/>
        <v>0</v>
      </c>
      <c r="H82" s="1310">
        <f>VLOOKUP(D82,TONGHOPCONGDOI!C77:AD94,16,0)</f>
        <v>3573</v>
      </c>
      <c r="I82" s="1310">
        <f>VLOOKUP(D82,TONGHOPCONGDOI!C77:AD94,18,0)</f>
        <v>0</v>
      </c>
      <c r="J82" s="1310"/>
      <c r="K82" s="1311">
        <f t="shared" si="11"/>
        <v>1526.1670434496402</v>
      </c>
      <c r="L82" s="1312" t="str">
        <f>VLOOKUP(D82,'BTH mủ tạp'!$D$17:$AN$95,37,0)</f>
        <v>A</v>
      </c>
      <c r="M82" s="1313">
        <f t="shared" si="14"/>
        <v>6244520</v>
      </c>
      <c r="N82" s="1314">
        <f>VLOOKUP(D82,TONGHOPCONGDOI!$C$11:$AD$93,20,0)</f>
        <v>26</v>
      </c>
      <c r="O82" s="1314">
        <f>VLOOKUP(D82,TONGHOPCONGDOI!$C$11:$AD$93,21,0)</f>
        <v>2</v>
      </c>
      <c r="P82" s="1314">
        <f>VLOOKUP(D82,TONGHOPCONGDOI!$C$11:$AC$93,22,0)</f>
        <v>0</v>
      </c>
      <c r="Q82" s="1314">
        <f>VLOOKUP(D82,TONGHOPCONGDOI!$C$11:$AC$94,23,0)</f>
        <v>2</v>
      </c>
      <c r="R82" s="1314">
        <f>VLOOKUP(D82,TONGHOPCONGDOI!$C$11:$AC$94,24,0)</f>
        <v>0</v>
      </c>
      <c r="S82" s="1314">
        <f>VLOOKUP(D82,TONGHOPCONGDOI!$C$11:$AC$94,25,0)</f>
        <v>0</v>
      </c>
      <c r="T82" s="1314"/>
      <c r="U82" s="1308">
        <f t="shared" si="15"/>
        <v>2</v>
      </c>
      <c r="V82" s="1315"/>
      <c r="W82" s="1315"/>
      <c r="X82" s="1314">
        <f t="shared" si="16"/>
        <v>1313462</v>
      </c>
      <c r="Y82" s="1314">
        <f t="shared" si="12"/>
        <v>7557982</v>
      </c>
      <c r="Z82" s="1310"/>
      <c r="AA82" s="1321">
        <f t="shared" ref="AA82:AA88" si="17">Y82-Z82</f>
        <v>7557982</v>
      </c>
      <c r="AB82" s="1310"/>
      <c r="AC82" s="1316"/>
      <c r="AD82" s="1317"/>
      <c r="AE82" s="1318"/>
      <c r="AF82" s="1319"/>
      <c r="AG82" s="1319"/>
      <c r="AH82" s="1319"/>
      <c r="AI82" s="1319"/>
      <c r="AJ82" s="1319"/>
      <c r="AK82" s="1319"/>
      <c r="AL82" s="1319"/>
    </row>
    <row r="83" spans="1:38" s="1320" customFormat="1" ht="33" customHeight="1">
      <c r="A83" s="1306">
        <v>68</v>
      </c>
      <c r="B83" s="1307">
        <v>68</v>
      </c>
      <c r="C83" s="1307" t="str">
        <f>'Chấm công KT'!C80</f>
        <v>03571</v>
      </c>
      <c r="D83" s="1308" t="str">
        <f>TONGHOPCONGDOI!C78</f>
        <v>T. Ê</v>
      </c>
      <c r="E83" s="1307" t="s">
        <v>26</v>
      </c>
      <c r="F83" s="1309"/>
      <c r="G83" s="1310">
        <f t="shared" si="13"/>
        <v>0</v>
      </c>
      <c r="H83" s="1310">
        <f>VLOOKUP(D83,TONGHOPCONGDOI!C78:AD94,16,0)</f>
        <v>2956</v>
      </c>
      <c r="I83" s="1310">
        <f>VLOOKUP(D83,TONGHOPCONGDOI!C78:AD94,18,0)</f>
        <v>0</v>
      </c>
      <c r="J83" s="1310"/>
      <c r="K83" s="1311">
        <f t="shared" si="11"/>
        <v>1262.6223846731421</v>
      </c>
      <c r="L83" s="1312" t="str">
        <f>VLOOKUP(D83,'BTH mủ tạp'!$D$17:$AN$95,37,0)</f>
        <v>B</v>
      </c>
      <c r="M83" s="1313">
        <f t="shared" si="14"/>
        <v>4912116</v>
      </c>
      <c r="N83" s="1314">
        <f>VLOOKUP(D83,TONGHOPCONGDOI!$C$11:$AD$93,20,0)</f>
        <v>26</v>
      </c>
      <c r="O83" s="1314">
        <f>VLOOKUP(D83,TONGHOPCONGDOI!$C$11:$AD$93,21,0)</f>
        <v>2</v>
      </c>
      <c r="P83" s="1314">
        <f>VLOOKUP(D83,TONGHOPCONGDOI!$C$11:$AC$93,22,0)</f>
        <v>0</v>
      </c>
      <c r="Q83" s="1314">
        <f>VLOOKUP(D83,TONGHOPCONGDOI!$C$11:$AC$94,23,0)</f>
        <v>2</v>
      </c>
      <c r="R83" s="1314">
        <f>VLOOKUP(D83,TONGHOPCONGDOI!$C$11:$AC$94,24,0)</f>
        <v>0</v>
      </c>
      <c r="S83" s="1314">
        <f>VLOOKUP(D83,TONGHOPCONGDOI!$C$11:$AC$94,25,0)</f>
        <v>0</v>
      </c>
      <c r="T83" s="1314"/>
      <c r="U83" s="1308">
        <f t="shared" si="15"/>
        <v>2</v>
      </c>
      <c r="V83" s="1315"/>
      <c r="W83" s="1315"/>
      <c r="X83" s="1314">
        <f t="shared" si="16"/>
        <v>1313462</v>
      </c>
      <c r="Y83" s="1314">
        <f t="shared" si="12"/>
        <v>6225578</v>
      </c>
      <c r="Z83" s="1310"/>
      <c r="AA83" s="1321">
        <f t="shared" si="17"/>
        <v>6225578</v>
      </c>
      <c r="AB83" s="1310"/>
      <c r="AC83" s="1316"/>
      <c r="AD83" s="1317"/>
      <c r="AE83" s="1318"/>
      <c r="AF83" s="1319"/>
      <c r="AG83" s="1319"/>
      <c r="AH83" s="1319"/>
      <c r="AI83" s="1319"/>
      <c r="AJ83" s="1319"/>
      <c r="AK83" s="1319"/>
      <c r="AL83" s="1319"/>
    </row>
    <row r="84" spans="1:38" s="1320" customFormat="1" ht="33" customHeight="1">
      <c r="A84" s="1306">
        <v>69</v>
      </c>
      <c r="B84" s="1307">
        <v>69</v>
      </c>
      <c r="C84" s="1307">
        <f>'Chấm công KT'!C81</f>
        <v>0</v>
      </c>
      <c r="D84" s="1308" t="str">
        <f>TONGHOPCONGDOI!C79</f>
        <v>T. Tu</v>
      </c>
      <c r="E84" s="1307" t="s">
        <v>26</v>
      </c>
      <c r="F84" s="1309"/>
      <c r="G84" s="1310">
        <f t="shared" si="13"/>
        <v>0</v>
      </c>
      <c r="H84" s="1310">
        <f>VLOOKUP(D84,TONGHOPCONGDOI!C79:AD94,16,0)</f>
        <v>4795</v>
      </c>
      <c r="I84" s="1310">
        <f>VLOOKUP(D84,TONGHOPCONGDOI!C79:AD94,18,0)</f>
        <v>0</v>
      </c>
      <c r="J84" s="1310"/>
      <c r="K84" s="1311">
        <f t="shared" si="11"/>
        <v>2048.1306950296739</v>
      </c>
      <c r="L84" s="1312" t="str">
        <f>VLOOKUP(D84,'BTH mủ tạp'!$D$17:$AN$95,37,0)</f>
        <v>B</v>
      </c>
      <c r="M84" s="1313">
        <f t="shared" si="14"/>
        <v>7968064</v>
      </c>
      <c r="N84" s="1314">
        <f>VLOOKUP(D84,TONGHOPCONGDOI!$C$11:$AD$93,20,0)</f>
        <v>25</v>
      </c>
      <c r="O84" s="1314">
        <f>VLOOKUP(D84,TONGHOPCONGDOI!$C$11:$AD$93,21,0)</f>
        <v>2</v>
      </c>
      <c r="P84" s="1314">
        <f>VLOOKUP(D84,TONGHOPCONGDOI!$C$11:$AC$93,22,0)</f>
        <v>0</v>
      </c>
      <c r="Q84" s="1314">
        <f>VLOOKUP(D84,TONGHOPCONGDOI!$C$11:$AC$94,23,0)</f>
        <v>2</v>
      </c>
      <c r="R84" s="1314">
        <f>VLOOKUP(D84,TONGHOPCONGDOI!$C$11:$AC$94,24,0)</f>
        <v>0</v>
      </c>
      <c r="S84" s="1314">
        <f>VLOOKUP(D84,TONGHOPCONGDOI!$C$11:$AC$94,25,0)</f>
        <v>0</v>
      </c>
      <c r="T84" s="1314"/>
      <c r="U84" s="1308">
        <f t="shared" si="15"/>
        <v>2</v>
      </c>
      <c r="V84" s="1315"/>
      <c r="W84" s="1315"/>
      <c r="X84" s="1314">
        <f t="shared" si="16"/>
        <v>1282540</v>
      </c>
      <c r="Y84" s="1314">
        <f t="shared" si="12"/>
        <v>9250604</v>
      </c>
      <c r="Z84" s="1310"/>
      <c r="AA84" s="1321">
        <f t="shared" si="17"/>
        <v>9250604</v>
      </c>
      <c r="AB84" s="1310"/>
      <c r="AC84" s="1316"/>
      <c r="AD84" s="1317"/>
      <c r="AE84" s="1318"/>
      <c r="AF84" s="1319"/>
      <c r="AG84" s="1319"/>
      <c r="AH84" s="1319"/>
      <c r="AI84" s="1319"/>
      <c r="AJ84" s="1319"/>
      <c r="AK84" s="1319"/>
      <c r="AL84" s="1319"/>
    </row>
    <row r="85" spans="1:38" s="1320" customFormat="1" ht="33" customHeight="1">
      <c r="A85" s="1306">
        <v>70</v>
      </c>
      <c r="B85" s="1307">
        <v>70</v>
      </c>
      <c r="C85" s="1307" t="str">
        <f>'Chấm công KT'!C82</f>
        <v>03515</v>
      </c>
      <c r="D85" s="1308" t="str">
        <f>TONGHOPCONGDOI!C80</f>
        <v>N. Xi</v>
      </c>
      <c r="E85" s="1307" t="s">
        <v>26</v>
      </c>
      <c r="F85" s="1309"/>
      <c r="G85" s="1310">
        <f t="shared" si="13"/>
        <v>0</v>
      </c>
      <c r="H85" s="1310">
        <f>VLOOKUP(D85,TONGHOPCONGDOI!C80:AD94,16,0)</f>
        <v>3743</v>
      </c>
      <c r="I85" s="1310">
        <f>VLOOKUP(D85,TONGHOPCONGDOI!C80:AD94,18,0)</f>
        <v>0</v>
      </c>
      <c r="J85" s="1310"/>
      <c r="K85" s="1311">
        <f t="shared" si="11"/>
        <v>1598.7806447332785</v>
      </c>
      <c r="L85" s="1312" t="str">
        <f>VLOOKUP(D85,'BTH mủ tạp'!$D$17:$AN$95,37,0)</f>
        <v>A</v>
      </c>
      <c r="M85" s="1313">
        <f t="shared" si="14"/>
        <v>6541628</v>
      </c>
      <c r="N85" s="1314">
        <f>VLOOKUP(D85,TONGHOPCONGDOI!$C$11:$AD$93,20,0)</f>
        <v>26</v>
      </c>
      <c r="O85" s="1314">
        <f>VLOOKUP(D85,TONGHOPCONGDOI!$C$11:$AD$93,21,0)</f>
        <v>2</v>
      </c>
      <c r="P85" s="1314">
        <f>VLOOKUP(D85,TONGHOPCONGDOI!$C$11:$AC$93,22,0)</f>
        <v>0</v>
      </c>
      <c r="Q85" s="1314">
        <f>VLOOKUP(D85,TONGHOPCONGDOI!$C$11:$AC$94,23,0)</f>
        <v>2</v>
      </c>
      <c r="R85" s="1314">
        <f>VLOOKUP(D85,TONGHOPCONGDOI!$C$11:$AC$94,24,0)</f>
        <v>0</v>
      </c>
      <c r="S85" s="1314">
        <f>VLOOKUP(D85,TONGHOPCONGDOI!$C$11:$AC$94,25,0)</f>
        <v>0</v>
      </c>
      <c r="T85" s="1314"/>
      <c r="U85" s="1308">
        <f t="shared" si="15"/>
        <v>2</v>
      </c>
      <c r="V85" s="1315"/>
      <c r="W85" s="1315"/>
      <c r="X85" s="1314">
        <f t="shared" si="16"/>
        <v>1313462</v>
      </c>
      <c r="Y85" s="1314">
        <f t="shared" si="12"/>
        <v>7855090</v>
      </c>
      <c r="Z85" s="1310"/>
      <c r="AA85" s="1321">
        <f t="shared" si="17"/>
        <v>7855090</v>
      </c>
      <c r="AB85" s="1310"/>
      <c r="AC85" s="1316"/>
      <c r="AD85" s="1317"/>
      <c r="AE85" s="1318"/>
      <c r="AF85" s="1319"/>
      <c r="AG85" s="1319"/>
      <c r="AH85" s="1319"/>
      <c r="AI85" s="1319"/>
      <c r="AJ85" s="1319"/>
      <c r="AK85" s="1319"/>
      <c r="AL85" s="1319"/>
    </row>
    <row r="86" spans="1:38" s="1320" customFormat="1" ht="33" customHeight="1">
      <c r="A86" s="1306">
        <v>71</v>
      </c>
      <c r="B86" s="1307">
        <v>71</v>
      </c>
      <c r="C86" s="1307" t="str">
        <f>'Chấm công KT'!C83</f>
        <v>03516</v>
      </c>
      <c r="D86" s="1308" t="str">
        <f>TONGHOPCONGDOI!C81</f>
        <v>N. Chay</v>
      </c>
      <c r="E86" s="1307" t="s">
        <v>26</v>
      </c>
      <c r="F86" s="1309"/>
      <c r="G86" s="1310">
        <f t="shared" si="13"/>
        <v>0</v>
      </c>
      <c r="H86" s="1310">
        <f>VLOOKUP(D86,TONGHOPCONGDOI!C81:AD94,16,0)</f>
        <v>3943</v>
      </c>
      <c r="I86" s="1310">
        <f>VLOOKUP(D86,TONGHOPCONGDOI!C81:AD94,18,0)</f>
        <v>0</v>
      </c>
      <c r="J86" s="1310"/>
      <c r="K86" s="1311">
        <f t="shared" si="11"/>
        <v>1684.2084109493233</v>
      </c>
      <c r="L86" s="1312" t="str">
        <f>VLOOKUP(D86,'BTH mủ tạp'!$D$17:$AN$95,37,0)</f>
        <v>A</v>
      </c>
      <c r="M86" s="1313">
        <f t="shared" si="14"/>
        <v>6891168</v>
      </c>
      <c r="N86" s="1314">
        <f>VLOOKUP(D86,TONGHOPCONGDOI!$C$11:$AD$93,20,0)</f>
        <v>26</v>
      </c>
      <c r="O86" s="1314">
        <f>VLOOKUP(D86,TONGHOPCONGDOI!$C$11:$AD$93,21,0)</f>
        <v>2</v>
      </c>
      <c r="P86" s="1314">
        <f>VLOOKUP(D86,TONGHOPCONGDOI!$C$11:$AC$93,22,0)</f>
        <v>0</v>
      </c>
      <c r="Q86" s="1314">
        <f>VLOOKUP(D86,TONGHOPCONGDOI!$C$11:$AC$94,23,0)</f>
        <v>2</v>
      </c>
      <c r="R86" s="1314">
        <f>VLOOKUP(D86,TONGHOPCONGDOI!$C$11:$AC$94,24,0)</f>
        <v>0</v>
      </c>
      <c r="S86" s="1314">
        <f>VLOOKUP(D86,TONGHOPCONGDOI!$C$11:$AC$94,25,0)</f>
        <v>0</v>
      </c>
      <c r="T86" s="1314"/>
      <c r="U86" s="1308">
        <f t="shared" si="15"/>
        <v>2</v>
      </c>
      <c r="V86" s="1315"/>
      <c r="W86" s="1315"/>
      <c r="X86" s="1314">
        <f t="shared" si="16"/>
        <v>1313462</v>
      </c>
      <c r="Y86" s="1314">
        <f t="shared" si="12"/>
        <v>8204630</v>
      </c>
      <c r="Z86" s="1310"/>
      <c r="AA86" s="1321">
        <f t="shared" si="17"/>
        <v>8204630</v>
      </c>
      <c r="AB86" s="1310"/>
      <c r="AC86" s="1316"/>
      <c r="AD86" s="1317"/>
      <c r="AE86" s="1318"/>
      <c r="AF86" s="1319"/>
      <c r="AG86" s="1319"/>
      <c r="AH86" s="1319"/>
      <c r="AI86" s="1319"/>
      <c r="AJ86" s="1319"/>
      <c r="AK86" s="1319"/>
      <c r="AL86" s="1319"/>
    </row>
    <row r="87" spans="1:38" s="1320" customFormat="1" ht="33" customHeight="1">
      <c r="A87" s="1306">
        <v>72</v>
      </c>
      <c r="B87" s="1307">
        <v>72</v>
      </c>
      <c r="C87" s="1307" t="str">
        <f>'Chấm công KT'!C84</f>
        <v>03544</v>
      </c>
      <c r="D87" s="1308" t="str">
        <f>TONGHOPCONGDOI!C82</f>
        <v>T. Ta</v>
      </c>
      <c r="E87" s="1307" t="s">
        <v>26</v>
      </c>
      <c r="F87" s="1309"/>
      <c r="G87" s="1310">
        <f t="shared" si="13"/>
        <v>0</v>
      </c>
      <c r="H87" s="1310">
        <f>VLOOKUP(D87,TONGHOPCONGDOI!C82:AD94,16,0)</f>
        <v>2557</v>
      </c>
      <c r="I87" s="1310">
        <f>VLOOKUP(D87,TONGHOPCONGDOI!C82:AD94,18,0)</f>
        <v>0</v>
      </c>
      <c r="J87" s="1310"/>
      <c r="K87" s="1311">
        <f t="shared" si="11"/>
        <v>1092.1939910721328</v>
      </c>
      <c r="L87" s="1312" t="str">
        <f>VLOOKUP(D87,'BTH mủ tạp'!$D$17:$AN$95,37,0)</f>
        <v>A</v>
      </c>
      <c r="M87" s="1313">
        <f t="shared" si="14"/>
        <v>4468860</v>
      </c>
      <c r="N87" s="1314">
        <f>VLOOKUP(D87,TONGHOPCONGDOI!$C$11:$AD$93,20,0)</f>
        <v>26</v>
      </c>
      <c r="O87" s="1314">
        <f>VLOOKUP(D87,TONGHOPCONGDOI!$C$11:$AD$93,21,0)</f>
        <v>2</v>
      </c>
      <c r="P87" s="1314">
        <f>VLOOKUP(D87,TONGHOPCONGDOI!$C$11:$AC$93,22,0)</f>
        <v>0</v>
      </c>
      <c r="Q87" s="1314">
        <f>VLOOKUP(D87,TONGHOPCONGDOI!$C$11:$AC$94,23,0)</f>
        <v>2</v>
      </c>
      <c r="R87" s="1314">
        <f>VLOOKUP(D87,TONGHOPCONGDOI!$C$11:$AC$94,24,0)</f>
        <v>0</v>
      </c>
      <c r="S87" s="1314">
        <f>VLOOKUP(D87,TONGHOPCONGDOI!$C$11:$AC$94,25,0)</f>
        <v>0</v>
      </c>
      <c r="T87" s="1314"/>
      <c r="U87" s="1308">
        <f t="shared" si="15"/>
        <v>2</v>
      </c>
      <c r="V87" s="1315"/>
      <c r="W87" s="1315"/>
      <c r="X87" s="1314">
        <f t="shared" si="16"/>
        <v>1313462</v>
      </c>
      <c r="Y87" s="1314">
        <f t="shared" si="12"/>
        <v>5782322</v>
      </c>
      <c r="Z87" s="1310"/>
      <c r="AA87" s="1321">
        <f t="shared" si="17"/>
        <v>5782322</v>
      </c>
      <c r="AB87" s="1310"/>
      <c r="AC87" s="1316"/>
      <c r="AD87" s="1317"/>
      <c r="AE87" s="1318"/>
      <c r="AF87" s="1319"/>
      <c r="AG87" s="1319"/>
      <c r="AH87" s="1319"/>
      <c r="AI87" s="1319"/>
      <c r="AJ87" s="1319"/>
      <c r="AK87" s="1319"/>
      <c r="AL87" s="1319"/>
    </row>
    <row r="88" spans="1:38" s="1320" customFormat="1" ht="33" customHeight="1">
      <c r="A88" s="1306">
        <v>73</v>
      </c>
      <c r="B88" s="1307">
        <v>73</v>
      </c>
      <c r="C88" s="1307" t="str">
        <f>'Chấm công KT'!C85</f>
        <v>04071</v>
      </c>
      <c r="D88" s="1308" t="str">
        <f>TONGHOPCONGDOI!C83</f>
        <v>T. Ne</v>
      </c>
      <c r="E88" s="1307" t="s">
        <v>26</v>
      </c>
      <c r="F88" s="1309"/>
      <c r="G88" s="1310">
        <f t="shared" si="13"/>
        <v>0</v>
      </c>
      <c r="H88" s="1310">
        <f>VLOOKUP(D88,TONGHOPCONGDOI!C83:AD94,16,0)</f>
        <v>2621</v>
      </c>
      <c r="I88" s="1310">
        <f>VLOOKUP(D88,TONGHOPCONGDOI!C83:AD94,18,0)</f>
        <v>0</v>
      </c>
      <c r="J88" s="1310"/>
      <c r="K88" s="1311">
        <f t="shared" si="11"/>
        <v>1119.5308762612672</v>
      </c>
      <c r="L88" s="1312" t="str">
        <f>VLOOKUP(D88,'BTH mủ tạp'!$D$17:$AN$95,37,0)</f>
        <v>A</v>
      </c>
      <c r="M88" s="1313">
        <f t="shared" si="14"/>
        <v>4580713</v>
      </c>
      <c r="N88" s="1314">
        <f>VLOOKUP(D88,TONGHOPCONGDOI!$C$11:$AD$93,20,0)</f>
        <v>26</v>
      </c>
      <c r="O88" s="1314">
        <f>VLOOKUP(D88,TONGHOPCONGDOI!$C$11:$AD$93,21,0)</f>
        <v>2</v>
      </c>
      <c r="P88" s="1314">
        <f>VLOOKUP(D88,TONGHOPCONGDOI!$C$11:$AC$93,22,0)</f>
        <v>0</v>
      </c>
      <c r="Q88" s="1314">
        <f>VLOOKUP(D88,TONGHOPCONGDOI!$C$11:$AC$94,23,0)</f>
        <v>2</v>
      </c>
      <c r="R88" s="1314">
        <f>VLOOKUP(D88,TONGHOPCONGDOI!$C$11:$AC$94,24,0)</f>
        <v>0</v>
      </c>
      <c r="S88" s="1314">
        <f>VLOOKUP(D88,TONGHOPCONGDOI!$C$11:$AC$94,25,0)</f>
        <v>0</v>
      </c>
      <c r="T88" s="1314"/>
      <c r="U88" s="1308">
        <f t="shared" si="15"/>
        <v>2</v>
      </c>
      <c r="V88" s="1315"/>
      <c r="W88" s="1315"/>
      <c r="X88" s="1314">
        <f t="shared" si="16"/>
        <v>1313462</v>
      </c>
      <c r="Y88" s="1314">
        <f t="shared" si="12"/>
        <v>5894175</v>
      </c>
      <c r="Z88" s="1310"/>
      <c r="AA88" s="1321">
        <f t="shared" si="17"/>
        <v>5894175</v>
      </c>
      <c r="AB88" s="1310"/>
      <c r="AC88" s="1316"/>
      <c r="AD88" s="1317"/>
      <c r="AE88" s="1318"/>
      <c r="AF88" s="1319"/>
      <c r="AG88" s="1319"/>
      <c r="AH88" s="1319"/>
      <c r="AI88" s="1319"/>
      <c r="AJ88" s="1319"/>
      <c r="AK88" s="1319"/>
      <c r="AL88" s="1319"/>
    </row>
    <row r="89" spans="1:38" s="1320" customFormat="1" ht="33" customHeight="1">
      <c r="A89" s="1306">
        <v>74</v>
      </c>
      <c r="B89" s="1307">
        <v>74</v>
      </c>
      <c r="C89" s="1307"/>
      <c r="D89" s="1308" t="str">
        <f>TONGHOPCONGDOI!C84</f>
        <v>T. Tý</v>
      </c>
      <c r="E89" s="1307" t="s">
        <v>26</v>
      </c>
      <c r="F89" s="1309"/>
      <c r="G89" s="1310">
        <f t="shared" ref="G89:G99" si="18">F89*25000</f>
        <v>0</v>
      </c>
      <c r="H89" s="1310">
        <f>VLOOKUP(D89,TONGHOPCONGDOI!C84:AD94,16,0)</f>
        <v>137</v>
      </c>
      <c r="I89" s="1310">
        <f>VLOOKUP(D89,TONGHOPCONGDOI!C84:AD94,18,0)</f>
        <v>0</v>
      </c>
      <c r="J89" s="1310"/>
      <c r="K89" s="1311">
        <f t="shared" si="11"/>
        <v>58.518019857990687</v>
      </c>
      <c r="L89" s="1312" t="str">
        <f>VLOOKUP(D89,'BTH mủ tạp'!$D$17:$AN$95,37,0)</f>
        <v>C.</v>
      </c>
      <c r="M89" s="1313">
        <f>ROUND((IF(L89="A",(H89*$X$11*6.1),IF(L89="B",(H89*$X$11*5.8),IF(L89="C",(H89*$X$11*5.5),IF(L89="C.",(H89*$X$11*5.5),IF(L89="D",(H89*$X$11*5.2),0)))))*$F$11+(I89*$AF$9*$F$11*6.1)+J89*$F$11*$AF$10*6.1),0)</f>
        <v>215884</v>
      </c>
      <c r="N89" s="1314">
        <f>VLOOKUP(D89,TONGHOPCONGDOI!$C$11:$AD$93,20,0)</f>
        <v>7</v>
      </c>
      <c r="O89" s="1314">
        <f>VLOOKUP(D89,TONGHOPCONGDOI!$C$11:$AD$93,21,0)</f>
        <v>0</v>
      </c>
      <c r="P89" s="1314">
        <f>VLOOKUP(D89,TONGHOPCONGDOI!$C$11:$AC$93,22,0)</f>
        <v>0</v>
      </c>
      <c r="Q89" s="1314">
        <f>VLOOKUP(D89,TONGHOPCONGDOI!$C$11:$AC$94,23,0)</f>
        <v>0</v>
      </c>
      <c r="R89" s="1314">
        <f>VLOOKUP(D89,TONGHOPCONGDOI!$C$11:$AC$94,24,0)</f>
        <v>0</v>
      </c>
      <c r="S89" s="1314">
        <f>VLOOKUP(D89,TONGHOPCONGDOI!$C$11:$AC$94,25,0)</f>
        <v>0</v>
      </c>
      <c r="T89" s="1314"/>
      <c r="U89" s="1308">
        <f t="shared" si="15"/>
        <v>0</v>
      </c>
      <c r="V89" s="1315"/>
      <c r="W89" s="1315"/>
      <c r="X89" s="1314">
        <f t="shared" si="16"/>
        <v>216454</v>
      </c>
      <c r="Y89" s="1314">
        <f t="shared" si="12"/>
        <v>432338</v>
      </c>
      <c r="Z89" s="1310"/>
      <c r="AA89" s="1321">
        <f t="shared" ref="AA89:AA99" si="19">Y89-Z89</f>
        <v>432338</v>
      </c>
      <c r="AB89" s="1310"/>
      <c r="AC89" s="1316"/>
      <c r="AD89" s="1317"/>
      <c r="AE89" s="1318"/>
      <c r="AF89" s="1319"/>
      <c r="AG89" s="1319"/>
      <c r="AH89" s="1319"/>
      <c r="AI89" s="1319"/>
      <c r="AJ89" s="1319"/>
      <c r="AK89" s="1319"/>
      <c r="AL89" s="1319"/>
    </row>
    <row r="90" spans="1:38" s="1320" customFormat="1" ht="33" customHeight="1">
      <c r="A90" s="1306">
        <v>75</v>
      </c>
      <c r="B90" s="1307">
        <v>75</v>
      </c>
      <c r="C90" s="1307"/>
      <c r="D90" s="1308" t="str">
        <f>TONGHOPCONGDOI!C85</f>
        <v>T. Lã</v>
      </c>
      <c r="E90" s="1307" t="s">
        <v>26</v>
      </c>
      <c r="F90" s="1309">
        <f>VLOOKUP(D90,TONGHOPCONGDOI!C85:AC97,15,0)</f>
        <v>0</v>
      </c>
      <c r="G90" s="1310">
        <f t="shared" si="18"/>
        <v>0</v>
      </c>
      <c r="H90" s="1310">
        <f>VLOOKUP(D90,TONGHOPCONGDOI!C85:AD94,16,0)</f>
        <v>270</v>
      </c>
      <c r="I90" s="1310">
        <f>VLOOKUP(D90,TONGHOPCONGDOI!C85:AD94,18,0)</f>
        <v>0</v>
      </c>
      <c r="J90" s="1310"/>
      <c r="K90" s="1311">
        <f t="shared" si="11"/>
        <v>115.32748439166048</v>
      </c>
      <c r="L90" s="1312" t="str">
        <f>VLOOKUP(D90,'BTH mủ tạp'!$D$17:$AN$95,37,0)</f>
        <v>C.</v>
      </c>
      <c r="M90" s="1313">
        <f t="shared" ref="M90:M96" si="20">ROUND((IF(L90="A",(H90*$X$11*6.1),IF(L90="B",(H90*$X$11*5.8),IF(L90="C",(H90*$X$11*5.5),IF(L90="C.",(H90*$X$11*5.5),IF(L90="D",(H90*$X$11*5.2),0)))))*$F$11+(I90*$AF$9*$F$11*6.1)+J90*$F$11*$AF$10*6.1),0)</f>
        <v>425464</v>
      </c>
      <c r="N90" s="1314">
        <f>VLOOKUP(D90,TONGHOPCONGDOI!$C$11:$AD$93,20,0)</f>
        <v>3</v>
      </c>
      <c r="O90" s="1314">
        <f>VLOOKUP(D90,TONGHOPCONGDOI!$C$11:$AD$93,21,0)</f>
        <v>0</v>
      </c>
      <c r="P90" s="1314">
        <f>VLOOKUP(D90,TONGHOPCONGDOI!$C$11:$AC$93,22,0)</f>
        <v>0</v>
      </c>
      <c r="Q90" s="1314">
        <f>VLOOKUP(D90,TONGHOPCONGDOI!$C$11:$AC$94,23,0)</f>
        <v>0</v>
      </c>
      <c r="R90" s="1314">
        <f>VLOOKUP(D90,TONGHOPCONGDOI!$C$11:$AC$94,24,0)</f>
        <v>0</v>
      </c>
      <c r="S90" s="1314">
        <f>VLOOKUP(D90,TONGHOPCONGDOI!$C$11:$AC$94,25,0)</f>
        <v>0</v>
      </c>
      <c r="T90" s="1314"/>
      <c r="U90" s="1308">
        <f t="shared" si="15"/>
        <v>0</v>
      </c>
      <c r="V90" s="1315"/>
      <c r="W90" s="1315"/>
      <c r="X90" s="1314">
        <f t="shared" si="16"/>
        <v>92766</v>
      </c>
      <c r="Y90" s="1314">
        <f t="shared" si="12"/>
        <v>518230</v>
      </c>
      <c r="Z90" s="1310"/>
      <c r="AA90" s="1321">
        <f t="shared" si="19"/>
        <v>518230</v>
      </c>
      <c r="AB90" s="1310"/>
      <c r="AC90" s="1316"/>
      <c r="AD90" s="1317"/>
      <c r="AE90" s="1318"/>
      <c r="AF90" s="1319"/>
      <c r="AG90" s="1319"/>
      <c r="AH90" s="1319"/>
      <c r="AI90" s="1319"/>
      <c r="AJ90" s="1319"/>
      <c r="AK90" s="1319"/>
      <c r="AL90" s="1319"/>
    </row>
    <row r="91" spans="1:38" s="1320" customFormat="1" ht="33" customHeight="1">
      <c r="A91" s="1306">
        <v>76</v>
      </c>
      <c r="B91" s="1307">
        <v>76</v>
      </c>
      <c r="C91" s="1307"/>
      <c r="D91" s="1308" t="str">
        <f>TONGHOPCONGDOI!C86</f>
        <v>N. Veo</v>
      </c>
      <c r="E91" s="1307" t="s">
        <v>26</v>
      </c>
      <c r="F91" s="1309">
        <f>VLOOKUP(D91,TONGHOPCONGDOI!C86:AC98,15,0)</f>
        <v>0</v>
      </c>
      <c r="G91" s="1310">
        <f t="shared" si="18"/>
        <v>0</v>
      </c>
      <c r="H91" s="1310">
        <f>VLOOKUP(D91,TONGHOPCONGDOI!C86:AD94,16,0)</f>
        <v>133</v>
      </c>
      <c r="I91" s="1310">
        <f>VLOOKUP(D91,TONGHOPCONGDOI!C86:AD94,18,0)</f>
        <v>0</v>
      </c>
      <c r="J91" s="1310"/>
      <c r="K91" s="1311">
        <f t="shared" si="11"/>
        <v>56.809464533669789</v>
      </c>
      <c r="L91" s="1312" t="str">
        <f>VLOOKUP(D91,'BTH mủ tạp'!$D$17:$AN$95,37,0)</f>
        <v>C.</v>
      </c>
      <c r="M91" s="1313">
        <f t="shared" si="20"/>
        <v>209580</v>
      </c>
      <c r="N91" s="1314">
        <f>VLOOKUP(D91,TONGHOPCONGDOI!$C$11:$AD$93,20,0)</f>
        <v>2</v>
      </c>
      <c r="O91" s="1314">
        <f>VLOOKUP(D91,TONGHOPCONGDOI!$C$11:$AD$93,21,0)</f>
        <v>0</v>
      </c>
      <c r="P91" s="1314">
        <f>VLOOKUP(D91,TONGHOPCONGDOI!$C$11:$AC$93,22,0)</f>
        <v>0</v>
      </c>
      <c r="Q91" s="1314">
        <f>VLOOKUP(D91,TONGHOPCONGDOI!$C$11:$AC$94,23,0)</f>
        <v>0</v>
      </c>
      <c r="R91" s="1314">
        <f>VLOOKUP(D91,TONGHOPCONGDOI!$C$11:$AC$94,24,0)</f>
        <v>0</v>
      </c>
      <c r="S91" s="1314">
        <f>VLOOKUP(D91,TONGHOPCONGDOI!$C$11:$AC$94,25,0)</f>
        <v>0</v>
      </c>
      <c r="T91" s="1314"/>
      <c r="U91" s="1308">
        <f t="shared" si="15"/>
        <v>0</v>
      </c>
      <c r="V91" s="1315"/>
      <c r="W91" s="1315"/>
      <c r="X91" s="1314">
        <f t="shared" si="16"/>
        <v>61844</v>
      </c>
      <c r="Y91" s="1314">
        <f t="shared" si="12"/>
        <v>271424</v>
      </c>
      <c r="Z91" s="1310"/>
      <c r="AA91" s="1321">
        <f t="shared" si="19"/>
        <v>271424</v>
      </c>
      <c r="AB91" s="1310"/>
      <c r="AC91" s="1316"/>
      <c r="AD91" s="1317"/>
      <c r="AE91" s="1318"/>
      <c r="AF91" s="1319"/>
      <c r="AG91" s="1319"/>
      <c r="AH91" s="1319"/>
      <c r="AI91" s="1319"/>
      <c r="AJ91" s="1319"/>
      <c r="AK91" s="1319"/>
      <c r="AL91" s="1319"/>
    </row>
    <row r="92" spans="1:38" s="1320" customFormat="1" ht="33" customHeight="1">
      <c r="A92" s="1306">
        <v>77</v>
      </c>
      <c r="B92" s="1307">
        <v>77</v>
      </c>
      <c r="C92" s="1307"/>
      <c r="D92" s="1308" t="str">
        <f>TONGHOPCONGDOI!C87</f>
        <v>T. Pu</v>
      </c>
      <c r="E92" s="1307" t="s">
        <v>26</v>
      </c>
      <c r="F92" s="1309">
        <f>VLOOKUP(D92,TONGHOPCONGDOI!C87:AC99,15,0)</f>
        <v>0</v>
      </c>
      <c r="G92" s="1310">
        <f t="shared" si="18"/>
        <v>0</v>
      </c>
      <c r="H92" s="1310">
        <f>VLOOKUP(D92,TONGHOPCONGDOI!C87:AD94,16,0)</f>
        <v>262</v>
      </c>
      <c r="I92" s="1310">
        <f>VLOOKUP(D92,TONGHOPCONGDOI!C87:AD94,18,0)</f>
        <v>0</v>
      </c>
      <c r="J92" s="1310"/>
      <c r="K92" s="1311">
        <f t="shared" si="11"/>
        <v>111.91037374301868</v>
      </c>
      <c r="L92" s="1312" t="str">
        <f>VLOOKUP(D92,'BTH mủ tạp'!$D$17:$AN$95,37,0)</f>
        <v>C.</v>
      </c>
      <c r="M92" s="1313">
        <f t="shared" si="20"/>
        <v>412858</v>
      </c>
      <c r="N92" s="1314">
        <f>VLOOKUP(D92,TONGHOPCONGDOI!$C$11:$AD$93,20,0)</f>
        <v>2</v>
      </c>
      <c r="O92" s="1314">
        <f>VLOOKUP(D92,TONGHOPCONGDOI!$C$11:$AD$93,21,0)</f>
        <v>0</v>
      </c>
      <c r="P92" s="1314">
        <f>VLOOKUP(D92,TONGHOPCONGDOI!$C$11:$AC$93,22,0)</f>
        <v>0</v>
      </c>
      <c r="Q92" s="1314">
        <f>VLOOKUP(D92,TONGHOPCONGDOI!$C$11:$AC$94,23,0)</f>
        <v>0</v>
      </c>
      <c r="R92" s="1314">
        <f>VLOOKUP(D92,TONGHOPCONGDOI!$C$11:$AC$94,24,0)</f>
        <v>0</v>
      </c>
      <c r="S92" s="1314">
        <f>VLOOKUP(D92,TONGHOPCONGDOI!$C$11:$AC$94,25,0)</f>
        <v>0</v>
      </c>
      <c r="T92" s="1314"/>
      <c r="U92" s="1308">
        <f t="shared" si="15"/>
        <v>0</v>
      </c>
      <c r="V92" s="1315"/>
      <c r="W92" s="1315"/>
      <c r="X92" s="1314">
        <f t="shared" si="16"/>
        <v>61844</v>
      </c>
      <c r="Y92" s="1314">
        <f t="shared" si="12"/>
        <v>474702</v>
      </c>
      <c r="Z92" s="1310"/>
      <c r="AA92" s="1321">
        <f t="shared" si="19"/>
        <v>474702</v>
      </c>
      <c r="AB92" s="1310"/>
      <c r="AC92" s="1316"/>
      <c r="AD92" s="1317"/>
      <c r="AE92" s="1318"/>
      <c r="AF92" s="1319"/>
      <c r="AG92" s="1319"/>
      <c r="AH92" s="1319"/>
      <c r="AI92" s="1319"/>
      <c r="AJ92" s="1319"/>
      <c r="AK92" s="1319"/>
      <c r="AL92" s="1319"/>
    </row>
    <row r="93" spans="1:38" s="1320" customFormat="1" ht="33" customHeight="1">
      <c r="A93" s="1306">
        <v>78</v>
      </c>
      <c r="B93" s="1307">
        <v>78</v>
      </c>
      <c r="C93" s="1307"/>
      <c r="D93" s="1308" t="str">
        <f>TONGHOPCONGDOI!C88</f>
        <v>T. Ta.</v>
      </c>
      <c r="E93" s="1307" t="s">
        <v>26</v>
      </c>
      <c r="F93" s="1309">
        <f>VLOOKUP(D93,TONGHOPCONGDOI!C88:AC100,15,0)</f>
        <v>0</v>
      </c>
      <c r="G93" s="1310">
        <f t="shared" si="18"/>
        <v>0</v>
      </c>
      <c r="H93" s="1310">
        <f>VLOOKUP(D93,TONGHOPCONGDOI!C88:AD94,16,0)</f>
        <v>0</v>
      </c>
      <c r="I93" s="1310">
        <f>VLOOKUP(D93,TONGHOPCONGDOI!C88:AD94,18,0)</f>
        <v>0</v>
      </c>
      <c r="J93" s="1310"/>
      <c r="K93" s="1311">
        <f t="shared" si="11"/>
        <v>0</v>
      </c>
      <c r="L93" s="1312" t="str">
        <f>VLOOKUP(D93,'BTH mủ tạp'!$D$17:$AN$95,37,0)</f>
        <v>C.</v>
      </c>
      <c r="M93" s="1313">
        <f t="shared" si="20"/>
        <v>0</v>
      </c>
      <c r="N93" s="1314">
        <f>VLOOKUP(D93,TONGHOPCONGDOI!$C$11:$AD$93,20,0)</f>
        <v>0</v>
      </c>
      <c r="O93" s="1314">
        <f>VLOOKUP(D93,TONGHOPCONGDOI!$C$11:$AD$93,21,0)</f>
        <v>0</v>
      </c>
      <c r="P93" s="1314">
        <f>VLOOKUP(D93,TONGHOPCONGDOI!$C$11:$AC$93,22,0)</f>
        <v>0</v>
      </c>
      <c r="Q93" s="1314">
        <f>VLOOKUP(D93,TONGHOPCONGDOI!$C$11:$AC$94,23,0)</f>
        <v>0</v>
      </c>
      <c r="R93" s="1314">
        <f>VLOOKUP(D93,TONGHOPCONGDOI!$C$11:$AC$94,24,0)</f>
        <v>0</v>
      </c>
      <c r="S93" s="1314">
        <f>VLOOKUP(D93,TONGHOPCONGDOI!$C$11:$AC$94,25,0)</f>
        <v>0</v>
      </c>
      <c r="T93" s="1314"/>
      <c r="U93" s="1308">
        <f t="shared" si="15"/>
        <v>0</v>
      </c>
      <c r="V93" s="1315"/>
      <c r="W93" s="1315"/>
      <c r="X93" s="1314">
        <f t="shared" si="16"/>
        <v>0</v>
      </c>
      <c r="Y93" s="1314">
        <f t="shared" si="12"/>
        <v>0</v>
      </c>
      <c r="Z93" s="1310"/>
      <c r="AA93" s="1321">
        <f t="shared" si="19"/>
        <v>0</v>
      </c>
      <c r="AB93" s="1310"/>
      <c r="AC93" s="1316"/>
      <c r="AD93" s="1317"/>
      <c r="AE93" s="1318"/>
      <c r="AF93" s="1319"/>
      <c r="AG93" s="1319"/>
      <c r="AH93" s="1319"/>
      <c r="AI93" s="1319"/>
      <c r="AJ93" s="1319"/>
      <c r="AK93" s="1319"/>
      <c r="AL93" s="1319"/>
    </row>
    <row r="94" spans="1:38" s="1320" customFormat="1" ht="33" customHeight="1">
      <c r="A94" s="1306">
        <v>79</v>
      </c>
      <c r="B94" s="1307">
        <v>79</v>
      </c>
      <c r="C94" s="1307"/>
      <c r="D94" s="1308" t="str">
        <f>TONGHOPCONGDOI!C89</f>
        <v>N. Nang</v>
      </c>
      <c r="E94" s="1307" t="s">
        <v>26</v>
      </c>
      <c r="F94" s="1309">
        <f>VLOOKUP(D94,TONGHOPCONGDOI!C89:AC101,15,0)</f>
        <v>0</v>
      </c>
      <c r="G94" s="1310">
        <f t="shared" si="18"/>
        <v>0</v>
      </c>
      <c r="H94" s="1310">
        <f>VLOOKUP(D94,TONGHOPCONGDOI!C89:AD94,16,0)</f>
        <v>0</v>
      </c>
      <c r="I94" s="1310">
        <f>VLOOKUP(D94,TONGHOPCONGDOI!C89:AD94,18,0)</f>
        <v>0</v>
      </c>
      <c r="J94" s="1310"/>
      <c r="K94" s="1311">
        <f t="shared" si="11"/>
        <v>0</v>
      </c>
      <c r="L94" s="1312" t="str">
        <f>VLOOKUP(D94,'BTH mủ tạp'!$D$17:$AN$97,37,0)</f>
        <v>C.</v>
      </c>
      <c r="M94" s="1313">
        <f t="shared" si="20"/>
        <v>0</v>
      </c>
      <c r="N94" s="1314">
        <f>VLOOKUP(D94,TONGHOPCONGDOI!$C$11:$AD$93,20,0)</f>
        <v>0</v>
      </c>
      <c r="O94" s="1314">
        <f>VLOOKUP(D94,TONGHOPCONGDOI!$C$11:$AD$93,21,0)</f>
        <v>0</v>
      </c>
      <c r="P94" s="1314">
        <f>VLOOKUP(D94,TONGHOPCONGDOI!$C$11:$AC$93,22,0)</f>
        <v>0</v>
      </c>
      <c r="Q94" s="1314">
        <f>VLOOKUP(D94,TONGHOPCONGDOI!$C$11:$AC$94,23,0)</f>
        <v>0</v>
      </c>
      <c r="R94" s="1314">
        <f>VLOOKUP(D94,TONGHOPCONGDOI!$C$11:$AC$94,24,0)</f>
        <v>0</v>
      </c>
      <c r="S94" s="1314">
        <f>VLOOKUP(D94,TONGHOPCONGDOI!$C$11:$AC$94,25,0)</f>
        <v>0</v>
      </c>
      <c r="T94" s="1314"/>
      <c r="U94" s="1308">
        <f t="shared" si="15"/>
        <v>0</v>
      </c>
      <c r="V94" s="1315"/>
      <c r="W94" s="1315"/>
      <c r="X94" s="1314">
        <f t="shared" si="16"/>
        <v>0</v>
      </c>
      <c r="Y94" s="1314">
        <f t="shared" si="12"/>
        <v>0</v>
      </c>
      <c r="Z94" s="1310"/>
      <c r="AA94" s="1321">
        <f t="shared" si="19"/>
        <v>0</v>
      </c>
      <c r="AB94" s="1310"/>
      <c r="AC94" s="1316"/>
      <c r="AD94" s="1317"/>
      <c r="AE94" s="1318"/>
      <c r="AF94" s="1319"/>
      <c r="AG94" s="1319"/>
      <c r="AH94" s="1319"/>
      <c r="AI94" s="1319"/>
      <c r="AJ94" s="1319"/>
      <c r="AK94" s="1319"/>
      <c r="AL94" s="1319"/>
    </row>
    <row r="95" spans="1:38" s="1320" customFormat="1" ht="33" customHeight="1">
      <c r="A95" s="1306">
        <v>80</v>
      </c>
      <c r="B95" s="1307">
        <v>80</v>
      </c>
      <c r="C95" s="1307"/>
      <c r="D95" s="1308" t="str">
        <f>TONGHOPCONGDOI!C90</f>
        <v>T. Tan</v>
      </c>
      <c r="E95" s="1307" t="s">
        <v>26</v>
      </c>
      <c r="F95" s="1309">
        <f>VLOOKUP(D95,TONGHOPCONGDOI!C90:AC102,15,0)</f>
        <v>0</v>
      </c>
      <c r="G95" s="1310">
        <f t="shared" si="18"/>
        <v>0</v>
      </c>
      <c r="H95" s="1310">
        <f>VLOOKUP(D95,TONGHOPCONGDOI!C90:AD94,16,0)</f>
        <v>0</v>
      </c>
      <c r="I95" s="1310">
        <f>VLOOKUP(D95,TONGHOPCONGDOI!C90:AD94,18,0)</f>
        <v>0</v>
      </c>
      <c r="J95" s="1310"/>
      <c r="K95" s="1311">
        <f t="shared" si="11"/>
        <v>0</v>
      </c>
      <c r="L95" s="1312" t="str">
        <f>VLOOKUP(D95,'BTH mủ tạp'!$D$17:$AN$97,37,0)</f>
        <v>C.</v>
      </c>
      <c r="M95" s="1313">
        <f t="shared" si="20"/>
        <v>0</v>
      </c>
      <c r="N95" s="1314">
        <f>VLOOKUP(D95,TONGHOPCONGDOI!$C$11:$AD$93,20,0)</f>
        <v>0</v>
      </c>
      <c r="O95" s="1314">
        <f>VLOOKUP(D95,TONGHOPCONGDOI!$C$11:$AD$93,21,0)</f>
        <v>0</v>
      </c>
      <c r="P95" s="1314">
        <f>VLOOKUP(D95,TONGHOPCONGDOI!$C$11:$AC$93,22,0)</f>
        <v>0</v>
      </c>
      <c r="Q95" s="1314">
        <f>VLOOKUP(D95,TONGHOPCONGDOI!$C$11:$AC$94,23,0)</f>
        <v>0</v>
      </c>
      <c r="R95" s="1314">
        <f>VLOOKUP(D95,TONGHOPCONGDOI!$C$11:$AC$94,24,0)</f>
        <v>0</v>
      </c>
      <c r="S95" s="1314">
        <f>VLOOKUP(D95,TONGHOPCONGDOI!$C$11:$AC$94,25,0)</f>
        <v>0</v>
      </c>
      <c r="T95" s="1314"/>
      <c r="U95" s="1308">
        <f t="shared" si="15"/>
        <v>0</v>
      </c>
      <c r="V95" s="1315"/>
      <c r="W95" s="1315"/>
      <c r="X95" s="1314">
        <f t="shared" si="16"/>
        <v>0</v>
      </c>
      <c r="Y95" s="1314">
        <f t="shared" si="12"/>
        <v>0</v>
      </c>
      <c r="Z95" s="1310"/>
      <c r="AA95" s="1321">
        <f t="shared" si="19"/>
        <v>0</v>
      </c>
      <c r="AB95" s="1310"/>
      <c r="AC95" s="1316"/>
      <c r="AD95" s="1317"/>
      <c r="AE95" s="1318"/>
      <c r="AF95" s="1319"/>
      <c r="AG95" s="1319"/>
      <c r="AH95" s="1319"/>
      <c r="AI95" s="1319"/>
      <c r="AJ95" s="1319"/>
      <c r="AK95" s="1319"/>
      <c r="AL95" s="1319"/>
    </row>
    <row r="96" spans="1:38" s="1320" customFormat="1" ht="33" customHeight="1">
      <c r="A96" s="1306">
        <v>81</v>
      </c>
      <c r="B96" s="1307">
        <v>81</v>
      </c>
      <c r="C96" s="1307"/>
      <c r="D96" s="1308">
        <f>TONGHOPCONGDOI!C91</f>
        <v>0</v>
      </c>
      <c r="E96" s="1307" t="s">
        <v>26</v>
      </c>
      <c r="F96" s="1309">
        <f>VLOOKUP(D96,TONGHOPCONGDOI!C91:AC103,15,0)</f>
        <v>0</v>
      </c>
      <c r="G96" s="1310">
        <f t="shared" si="18"/>
        <v>0</v>
      </c>
      <c r="H96" s="1310">
        <f>VLOOKUP(D96,TONGHOPCONGDOI!C91:AD94,16,0)</f>
        <v>0</v>
      </c>
      <c r="I96" s="1310">
        <f>VLOOKUP(D96,TONGHOPCONGDOI!C91:AD94,18,0)</f>
        <v>0</v>
      </c>
      <c r="J96" s="1310">
        <f>'Trạm 1'!I96</f>
        <v>0</v>
      </c>
      <c r="K96" s="1311">
        <f t="shared" si="11"/>
        <v>0</v>
      </c>
      <c r="L96" s="1312" t="str">
        <f>VLOOKUP(D96,'BTH mủ tạp'!$D$17:$AN$97,37,0)</f>
        <v>C.</v>
      </c>
      <c r="M96" s="1313">
        <f t="shared" si="20"/>
        <v>0</v>
      </c>
      <c r="N96" s="1314">
        <f>VLOOKUP(D96,TONGHOPCONGDOI!$C$11:$AD$93,20,0)</f>
        <v>0</v>
      </c>
      <c r="O96" s="1314">
        <f>VLOOKUP(D96,TONGHOPCONGDOI!$C$11:$AD$93,21,0)</f>
        <v>0</v>
      </c>
      <c r="P96" s="1314">
        <f>VLOOKUP(D96,TONGHOPCONGDOI!$C$11:$AC$93,22,0)</f>
        <v>0</v>
      </c>
      <c r="Q96" s="1314">
        <f>VLOOKUP(D96,TONGHOPCONGDOI!$C$11:$AC$94,23,0)</f>
        <v>0</v>
      </c>
      <c r="R96" s="1314">
        <f>VLOOKUP(D96,TONGHOPCONGDOI!$C$11:$AC$94,24,0)</f>
        <v>0</v>
      </c>
      <c r="S96" s="1314">
        <f>VLOOKUP(D96,TONGHOPCONGDOI!$C$11:$AC$94,25,0)</f>
        <v>0</v>
      </c>
      <c r="T96" s="1314"/>
      <c r="U96" s="1308">
        <f t="shared" si="15"/>
        <v>0</v>
      </c>
      <c r="V96" s="1315"/>
      <c r="W96" s="1315"/>
      <c r="X96" s="1314">
        <f t="shared" si="16"/>
        <v>0</v>
      </c>
      <c r="Y96" s="1314">
        <f t="shared" si="12"/>
        <v>0</v>
      </c>
      <c r="Z96" s="1310"/>
      <c r="AA96" s="1321">
        <f t="shared" si="19"/>
        <v>0</v>
      </c>
      <c r="AB96" s="1310"/>
      <c r="AC96" s="1316"/>
      <c r="AD96" s="1317"/>
      <c r="AE96" s="1318"/>
      <c r="AF96" s="1319"/>
      <c r="AG96" s="1319"/>
      <c r="AH96" s="1319"/>
      <c r="AI96" s="1319"/>
      <c r="AJ96" s="1319"/>
      <c r="AK96" s="1319"/>
      <c r="AL96" s="1319"/>
    </row>
    <row r="97" spans="1:38" s="1320" customFormat="1" ht="33" customHeight="1">
      <c r="A97" s="1306">
        <v>78</v>
      </c>
      <c r="B97" s="1307">
        <v>78</v>
      </c>
      <c r="C97" s="1307"/>
      <c r="D97" s="1308" t="str">
        <f>TONGHOPCONGDOI!C92</f>
        <v>Mủ Xi Rum 1</v>
      </c>
      <c r="E97" s="1307" t="s">
        <v>26</v>
      </c>
      <c r="F97" s="1309">
        <f>VLOOKUP(D97,TONGHOPCONGDOI!C92:AC104,15,0)</f>
        <v>0</v>
      </c>
      <c r="G97" s="1310">
        <f t="shared" si="18"/>
        <v>0</v>
      </c>
      <c r="H97" s="1310">
        <f>VLOOKUP(D97,TONGHOPCONGDOI!C92:AD94,16,0)</f>
        <v>0</v>
      </c>
      <c r="I97" s="1310">
        <f>VLOOKUP(D97,TONGHOPCONGDOI!C92:AD94,18,0)</f>
        <v>0</v>
      </c>
      <c r="J97" s="1310">
        <f>'Trạm 1'!I97</f>
        <v>340</v>
      </c>
      <c r="K97" s="1311">
        <f>'Trạm 1'!J97</f>
        <v>184.21199999999999</v>
      </c>
      <c r="L97" s="1312"/>
      <c r="M97" s="1322">
        <f>ROUND((K97*6.1*F11),0)</f>
        <v>753728</v>
      </c>
      <c r="N97" s="1314">
        <f>VLOOKUP(D97,TONGHOPCONGDOI!$C$11:$AD$93,20,0)</f>
        <v>0</v>
      </c>
      <c r="O97" s="1314">
        <f>VLOOKUP(D97,TONGHOPCONGDOI!$C$11:$AD$93,21,0)</f>
        <v>0</v>
      </c>
      <c r="P97" s="1314">
        <f>VLOOKUP(D97,TONGHOPCONGDOI!$C$11:$AC$93,22,0)</f>
        <v>0</v>
      </c>
      <c r="Q97" s="1314">
        <f>VLOOKUP(D97,TONGHOPCONGDOI!$C$11:$AC$94,23,0)</f>
        <v>0</v>
      </c>
      <c r="R97" s="1314">
        <f>VLOOKUP(D97,TONGHOPCONGDOI!$C$11:$AC$94,24,0)</f>
        <v>0</v>
      </c>
      <c r="S97" s="1314">
        <f>VLOOKUP(D97,TONGHOPCONGDOI!$C$11:$AC$94,25,0)</f>
        <v>0</v>
      </c>
      <c r="T97" s="1314"/>
      <c r="U97" s="1315"/>
      <c r="V97" s="1315"/>
      <c r="W97" s="1315"/>
      <c r="X97" s="1314">
        <f t="shared" si="16"/>
        <v>0</v>
      </c>
      <c r="Y97" s="1314">
        <f t="shared" si="12"/>
        <v>753728</v>
      </c>
      <c r="Z97" s="1310"/>
      <c r="AA97" s="1321">
        <f t="shared" si="19"/>
        <v>753728</v>
      </c>
      <c r="AB97" s="1310"/>
      <c r="AC97" s="1316"/>
      <c r="AD97" s="1317"/>
      <c r="AE97" s="1318"/>
      <c r="AF97" s="1319"/>
      <c r="AG97" s="1319"/>
      <c r="AH97" s="1319"/>
      <c r="AI97" s="1319"/>
      <c r="AJ97" s="1319"/>
      <c r="AK97" s="1319"/>
      <c r="AL97" s="1319"/>
    </row>
    <row r="98" spans="1:38" s="1336" customFormat="1" ht="33" customHeight="1">
      <c r="A98" s="1306">
        <v>79</v>
      </c>
      <c r="B98" s="1307">
        <v>79</v>
      </c>
      <c r="C98" s="1323"/>
      <c r="D98" s="1324" t="str">
        <f>TONGHOPCONGDOI!C93</f>
        <v>A. Trí</v>
      </c>
      <c r="E98" s="1323" t="s">
        <v>351</v>
      </c>
      <c r="F98" s="1325"/>
      <c r="G98" s="1326">
        <f t="shared" si="18"/>
        <v>0</v>
      </c>
      <c r="H98" s="1326"/>
      <c r="I98" s="1326"/>
      <c r="J98" s="1326"/>
      <c r="K98" s="1327"/>
      <c r="L98" s="1328"/>
      <c r="M98" s="1329"/>
      <c r="N98" s="1330"/>
      <c r="O98" s="1330"/>
      <c r="P98" s="1330"/>
      <c r="Q98" s="1330"/>
      <c r="R98" s="1330"/>
      <c r="S98" s="1330"/>
      <c r="T98" s="1330"/>
      <c r="U98" s="1331"/>
      <c r="V98" s="1331"/>
      <c r="W98" s="1331"/>
      <c r="X98" s="1314">
        <f t="shared" si="16"/>
        <v>0</v>
      </c>
      <c r="Y98" s="1330">
        <f t="shared" si="12"/>
        <v>0</v>
      </c>
      <c r="Z98" s="1326"/>
      <c r="AA98" s="1332">
        <f t="shared" si="19"/>
        <v>0</v>
      </c>
      <c r="AB98" s="1326"/>
      <c r="AC98" s="1333"/>
      <c r="AD98" s="1334"/>
      <c r="AE98" s="1318"/>
      <c r="AF98" s="1319"/>
      <c r="AG98" s="1335"/>
      <c r="AH98" s="1335"/>
      <c r="AI98" s="1335"/>
      <c r="AJ98" s="1335"/>
      <c r="AK98" s="1335"/>
      <c r="AL98" s="1335"/>
    </row>
    <row r="99" spans="1:38" s="1338" customFormat="1" ht="33" customHeight="1">
      <c r="A99" s="1306">
        <v>80</v>
      </c>
      <c r="B99" s="1307">
        <v>80</v>
      </c>
      <c r="C99" s="1323"/>
      <c r="D99" s="1324" t="str">
        <f>TONGHOPCONGDOI!C94</f>
        <v>T. Tạch</v>
      </c>
      <c r="E99" s="1323" t="s">
        <v>26</v>
      </c>
      <c r="F99" s="1325"/>
      <c r="G99" s="1326">
        <f t="shared" si="18"/>
        <v>0</v>
      </c>
      <c r="H99" s="1326"/>
      <c r="I99" s="1326"/>
      <c r="J99" s="1326"/>
      <c r="K99" s="1327"/>
      <c r="L99" s="1328"/>
      <c r="M99" s="1329"/>
      <c r="N99" s="1330"/>
      <c r="O99" s="1330"/>
      <c r="P99" s="1330"/>
      <c r="Q99" s="1330"/>
      <c r="R99" s="1330"/>
      <c r="S99" s="1330"/>
      <c r="T99" s="1330"/>
      <c r="U99" s="1331"/>
      <c r="V99" s="1331"/>
      <c r="W99" s="1331"/>
      <c r="X99" s="1314">
        <f t="shared" si="16"/>
        <v>0</v>
      </c>
      <c r="Y99" s="1330">
        <f>G99+M99+X99</f>
        <v>0</v>
      </c>
      <c r="Z99" s="1326"/>
      <c r="AA99" s="1332">
        <f t="shared" si="19"/>
        <v>0</v>
      </c>
      <c r="AB99" s="1326"/>
      <c r="AC99" s="1333"/>
      <c r="AD99" s="1334"/>
      <c r="AE99" s="1318"/>
      <c r="AF99" s="1319"/>
      <c r="AG99" s="1337"/>
      <c r="AH99" s="1337"/>
      <c r="AI99" s="1337"/>
      <c r="AJ99" s="1337"/>
      <c r="AK99" s="1337"/>
      <c r="AL99" s="1337"/>
    </row>
    <row r="100" spans="1:38" s="1338" customFormat="1" ht="33" customHeight="1">
      <c r="A100" s="1306">
        <v>81</v>
      </c>
      <c r="B100" s="1307">
        <v>81</v>
      </c>
      <c r="C100" s="1323"/>
      <c r="D100" s="1324" t="str">
        <f>TONGHOPCONGDOI!C95</f>
        <v>Chuyển 1</v>
      </c>
      <c r="E100" s="1323" t="s">
        <v>26</v>
      </c>
      <c r="F100" s="1325"/>
      <c r="G100" s="1326">
        <f t="shared" ref="G100" si="21">F100*25000</f>
        <v>0</v>
      </c>
      <c r="H100" s="1326"/>
      <c r="I100" s="1326"/>
      <c r="J100" s="1326"/>
      <c r="K100" s="1327"/>
      <c r="L100" s="1328"/>
      <c r="M100" s="1329"/>
      <c r="N100" s="1330"/>
      <c r="O100" s="1330"/>
      <c r="P100" s="1330"/>
      <c r="Q100" s="1330"/>
      <c r="R100" s="1330"/>
      <c r="S100" s="1330"/>
      <c r="T100" s="1330"/>
      <c r="U100" s="1331"/>
      <c r="V100" s="1331"/>
      <c r="W100" s="1331"/>
      <c r="X100" s="1314">
        <f t="shared" si="16"/>
        <v>0</v>
      </c>
      <c r="Y100" s="1330">
        <f>G100+M100+X100</f>
        <v>0</v>
      </c>
      <c r="Z100" s="1326"/>
      <c r="AA100" s="1332">
        <f t="shared" ref="AA100" si="22">Y100-Z100</f>
        <v>0</v>
      </c>
      <c r="AB100" s="1326"/>
      <c r="AC100" s="1333"/>
      <c r="AD100" s="1334"/>
      <c r="AE100" s="1318"/>
      <c r="AF100" s="1319"/>
      <c r="AG100" s="1337"/>
      <c r="AH100" s="1337"/>
      <c r="AI100" s="1337"/>
      <c r="AJ100" s="1337"/>
      <c r="AK100" s="1337"/>
      <c r="AL100" s="1337"/>
    </row>
    <row r="101" spans="1:38" s="1205" customFormat="1" ht="33" customHeight="1">
      <c r="A101" s="1521" t="s">
        <v>542</v>
      </c>
      <c r="B101" s="1521"/>
      <c r="C101" s="1521"/>
      <c r="D101" s="1521"/>
      <c r="E101" s="1521"/>
      <c r="F101" s="600">
        <f>SUM(F102:F167)</f>
        <v>0</v>
      </c>
      <c r="G101" s="600">
        <f t="shared" ref="G101:AB101" si="23">SUM(G102:G167)</f>
        <v>0</v>
      </c>
      <c r="H101" s="600">
        <f t="shared" si="23"/>
        <v>248798</v>
      </c>
      <c r="I101" s="600">
        <f t="shared" si="23"/>
        <v>0</v>
      </c>
      <c r="J101" s="600">
        <f t="shared" si="23"/>
        <v>630</v>
      </c>
      <c r="K101" s="600">
        <f t="shared" si="23"/>
        <v>107930.46899999998</v>
      </c>
      <c r="L101" s="600">
        <f t="shared" si="23"/>
        <v>0</v>
      </c>
      <c r="M101" s="600">
        <f t="shared" si="23"/>
        <v>436313678</v>
      </c>
      <c r="N101" s="600">
        <f t="shared" si="23"/>
        <v>1390</v>
      </c>
      <c r="O101" s="600">
        <f t="shared" si="23"/>
        <v>230</v>
      </c>
      <c r="P101" s="600">
        <f t="shared" si="23"/>
        <v>116</v>
      </c>
      <c r="Q101" s="600">
        <f t="shared" si="23"/>
        <v>0</v>
      </c>
      <c r="R101" s="600">
        <f t="shared" si="23"/>
        <v>0</v>
      </c>
      <c r="S101" s="600">
        <f t="shared" si="23"/>
        <v>0</v>
      </c>
      <c r="T101" s="600">
        <f t="shared" si="23"/>
        <v>0</v>
      </c>
      <c r="U101" s="600">
        <f t="shared" si="23"/>
        <v>116</v>
      </c>
      <c r="V101" s="600">
        <f t="shared" si="23"/>
        <v>0</v>
      </c>
      <c r="W101" s="600">
        <f t="shared" si="23"/>
        <v>0</v>
      </c>
      <c r="X101" s="600">
        <f t="shared" si="23"/>
        <v>73619283</v>
      </c>
      <c r="Y101" s="600">
        <f t="shared" si="23"/>
        <v>509932961</v>
      </c>
      <c r="Z101" s="600">
        <f t="shared" si="23"/>
        <v>0</v>
      </c>
      <c r="AA101" s="600">
        <f t="shared" si="23"/>
        <v>509932961</v>
      </c>
      <c r="AB101" s="600">
        <f t="shared" si="23"/>
        <v>0</v>
      </c>
      <c r="AC101" s="1194"/>
      <c r="AD101" s="1195"/>
      <c r="AE101" s="1196"/>
      <c r="AF101" s="1188"/>
      <c r="AG101" s="1204"/>
      <c r="AH101" s="1204"/>
      <c r="AI101" s="1204"/>
      <c r="AJ101" s="1204"/>
      <c r="AK101" s="1204"/>
      <c r="AL101" s="1204"/>
    </row>
    <row r="102" spans="1:38" s="1205" customFormat="1" ht="33" customHeight="1">
      <c r="A102" s="1206">
        <v>82</v>
      </c>
      <c r="B102" s="1207">
        <v>1</v>
      </c>
      <c r="C102" s="1208" t="str">
        <f>'Chấm công KT'!C95</f>
        <v>04072</v>
      </c>
      <c r="D102" s="1208" t="str">
        <f>TONGHOPCONGDOI!C97</f>
        <v xml:space="preserve">T. Lun </v>
      </c>
      <c r="E102" s="1208" t="s">
        <v>26</v>
      </c>
      <c r="F102" s="1209"/>
      <c r="G102" s="242">
        <f t="shared" ref="G102:G166" si="24">F102*25000</f>
        <v>0</v>
      </c>
      <c r="H102" s="242">
        <f>VLOOKUP(D102,TONGHOPCONGDOI!C97:AD161,16,0)</f>
        <v>4005</v>
      </c>
      <c r="I102" s="242">
        <f>VLOOKUP(D102,TONGHOPCONGDOI!C97:AD161,18,0)</f>
        <v>0</v>
      </c>
      <c r="J102" s="242"/>
      <c r="K102" s="601">
        <f t="shared" ref="K102:K133" si="25">$AJ$8/$AJ$7*H102+I102*$AJ$9+J102*$AJ$10</f>
        <v>1732.4091765006149</v>
      </c>
      <c r="L102" s="602" t="str">
        <f>VLOOKUP(D102,'BTH mủ tạp'!$D$98:$AN$160,37,0)</f>
        <v>A</v>
      </c>
      <c r="M102" s="603">
        <f>ROUND((IF(L102="A",(H102*$AA$11*6.1),IF(L102="B",(H102*$AA$11*5.8),IF(L102="C",(H102*$AA$11*5.5),IF(L102="C.",(H102*$AA$11*5.5),IF(L102="D",(H102*$AA$11*5.2),0)))))*$F$11+(I102*$AJ$9*$F$11*6.1)+J102*$F$11*$AJ$10*6.1),0)</f>
        <v>7088388</v>
      </c>
      <c r="N102" s="604">
        <f>VLOOKUP(D102,TONGHOPCONGDOI!$C$97:$AD$154,20,0)</f>
        <v>24</v>
      </c>
      <c r="O102" s="604">
        <f>VLOOKUP(D102,TONGHOPCONGDOI!$C$97:$AD$154,21,0)</f>
        <v>4</v>
      </c>
      <c r="P102" s="604">
        <f>VLOOKUP(D102,TONGHOPCONGDOI!$C$97:$AD$154,22,0)</f>
        <v>2</v>
      </c>
      <c r="Q102" s="604">
        <f>VLOOKUP(D102,TONGHOPCONGDOI!$C$97:$AD$154,23,0)</f>
        <v>0</v>
      </c>
      <c r="R102" s="604">
        <f>VLOOKUP(D102,TONGHOPCONGDOI!$C$97:$AD$154,24,0)</f>
        <v>0</v>
      </c>
      <c r="S102" s="604">
        <f>VLOOKUP(D102,TONGHOPCONGDOI!$C$97:$AD$154,25,0)</f>
        <v>0</v>
      </c>
      <c r="T102" s="604"/>
      <c r="U102" s="1192">
        <f>P102</f>
        <v>2</v>
      </c>
      <c r="V102" s="1193"/>
      <c r="W102" s="1193"/>
      <c r="X102" s="604">
        <f>ROUND(((N102*46.1)+(O102*76.9)+(P102*92.2)+(Q102*153.8)+(R102*92.2)+(S102*153.8))*$F$11+(T102*25000)+(U102*100000),0)</f>
        <v>1272143</v>
      </c>
      <c r="Y102" s="604">
        <f t="shared" ref="Y102:Y133" si="26">G102+M102+X102</f>
        <v>8360531</v>
      </c>
      <c r="Z102" s="608"/>
      <c r="AA102" s="1197">
        <f t="shared" ref="AA102:AA162" si="27">Y102-Z102</f>
        <v>8360531</v>
      </c>
      <c r="AB102" s="242"/>
      <c r="AC102" s="1210">
        <v>1</v>
      </c>
      <c r="AD102" s="1195"/>
      <c r="AE102" s="1196"/>
      <c r="AF102" s="1188"/>
      <c r="AG102" s="1204"/>
      <c r="AH102" s="1204"/>
      <c r="AI102" s="1204"/>
      <c r="AJ102" s="1204"/>
      <c r="AK102" s="1204"/>
      <c r="AL102" s="1204"/>
    </row>
    <row r="103" spans="1:38" s="1205" customFormat="1" ht="33" customHeight="1">
      <c r="A103" s="1206">
        <v>83</v>
      </c>
      <c r="B103" s="1208">
        <v>2</v>
      </c>
      <c r="C103" s="1208" t="str">
        <f>'Chấm công KT'!C96</f>
        <v>03466</v>
      </c>
      <c r="D103" s="1208" t="str">
        <f>TONGHOPCONGDOI!C98</f>
        <v>N. Keo</v>
      </c>
      <c r="E103" s="1208" t="s">
        <v>26</v>
      </c>
      <c r="F103" s="1209"/>
      <c r="G103" s="242">
        <f t="shared" si="24"/>
        <v>0</v>
      </c>
      <c r="H103" s="242">
        <f>VLOOKUP(D103,TONGHOPCONGDOI!C98:AD161,16,0)</f>
        <v>3645</v>
      </c>
      <c r="I103" s="242">
        <f>VLOOKUP(D103,TONGHOPCONGDOI!C98:AD161,18,0)</f>
        <v>0</v>
      </c>
      <c r="J103" s="242"/>
      <c r="K103" s="601">
        <f t="shared" si="25"/>
        <v>1576.6870033320201</v>
      </c>
      <c r="L103" s="602" t="str">
        <f>VLOOKUP(D103,'BTH mủ tạp'!$D$98:$AN$160,37,0)</f>
        <v>A</v>
      </c>
      <c r="M103" s="603">
        <f t="shared" ref="M103:M162" si="28">ROUND((IF(L103="A",(H103*$AA$11*6.1),IF(L103="B",(H103*$AA$11*5.8),IF(L103="C",(H103*$AA$11*5.5),IF(L103="C.",(H103*$AA$11*5.5),IF(L103="D",(H103*$AA$11*5.2),0)))))*$F$11+(I103*$AJ$9*$F$11*6.1)+J103*$F$11*$AJ$10*6.1),0)</f>
        <v>6451229</v>
      </c>
      <c r="N103" s="604">
        <f>VLOOKUP(D103,TONGHOPCONGDOI!$C$97:$AD$154,20,0)</f>
        <v>23</v>
      </c>
      <c r="O103" s="604">
        <f>VLOOKUP(D103,TONGHOPCONGDOI!$C$97:$AD$154,21,0)</f>
        <v>4</v>
      </c>
      <c r="P103" s="604">
        <f>VLOOKUP(D103,TONGHOPCONGDOI!$C$97:$AD$154,22,0)</f>
        <v>2</v>
      </c>
      <c r="Q103" s="604">
        <f>VLOOKUP(D103,TONGHOPCONGDOI!$C$97:$AD$154,23,0)</f>
        <v>0</v>
      </c>
      <c r="R103" s="604">
        <f>VLOOKUP(D103,TONGHOPCONGDOI!$C$97:$AD$154,24,0)</f>
        <v>0</v>
      </c>
      <c r="S103" s="604">
        <f>VLOOKUP(D103,TONGHOPCONGDOI!$C$97:$AD$154,25,0)</f>
        <v>0</v>
      </c>
      <c r="T103" s="604"/>
      <c r="U103" s="1192">
        <f t="shared" ref="U103:U165" si="29">P103</f>
        <v>2</v>
      </c>
      <c r="V103" s="1193"/>
      <c r="W103" s="1193"/>
      <c r="X103" s="604">
        <f t="shared" si="16"/>
        <v>1241221</v>
      </c>
      <c r="Y103" s="604">
        <f t="shared" si="26"/>
        <v>7692450</v>
      </c>
      <c r="Z103" s="608"/>
      <c r="AA103" s="1197">
        <f t="shared" si="27"/>
        <v>7692450</v>
      </c>
      <c r="AB103" s="242"/>
      <c r="AC103" s="1210">
        <v>2</v>
      </c>
      <c r="AD103" s="1195"/>
      <c r="AE103" s="1196"/>
      <c r="AF103" s="1188"/>
      <c r="AG103" s="1204"/>
      <c r="AH103" s="1204"/>
      <c r="AI103" s="1204"/>
      <c r="AJ103" s="1204"/>
      <c r="AK103" s="1204"/>
      <c r="AL103" s="1204"/>
    </row>
    <row r="104" spans="1:38" s="1205" customFormat="1" ht="33" customHeight="1">
      <c r="A104" s="1206">
        <v>84</v>
      </c>
      <c r="B104" s="1207">
        <v>3</v>
      </c>
      <c r="C104" s="1208" t="str">
        <f>'Chấm công KT'!C97</f>
        <v>03590</v>
      </c>
      <c r="D104" s="1208" t="str">
        <f>TONGHOPCONGDOI!C99</f>
        <v>T .Nhum</v>
      </c>
      <c r="E104" s="1208" t="s">
        <v>26</v>
      </c>
      <c r="F104" s="1209"/>
      <c r="G104" s="242">
        <f t="shared" si="24"/>
        <v>0</v>
      </c>
      <c r="H104" s="242">
        <f>VLOOKUP(D104,TONGHOPCONGDOI!C99:AD161,16,0)</f>
        <v>3643</v>
      </c>
      <c r="I104" s="242">
        <f>VLOOKUP(D104,TONGHOPCONGDOI!C99:AD161,18,0)</f>
        <v>0</v>
      </c>
      <c r="J104" s="242"/>
      <c r="K104" s="601">
        <f t="shared" si="25"/>
        <v>1575.8218801477501</v>
      </c>
      <c r="L104" s="602" t="str">
        <f>VLOOKUP(D104,'BTH mủ tạp'!$D$98:$AN$160,37,0)</f>
        <v>A</v>
      </c>
      <c r="M104" s="603">
        <f t="shared" si="28"/>
        <v>6447690</v>
      </c>
      <c r="N104" s="604">
        <f>VLOOKUP(D104,TONGHOPCONGDOI!$C$97:$AD$154,20,0)</f>
        <v>24</v>
      </c>
      <c r="O104" s="604">
        <f>VLOOKUP(D104,TONGHOPCONGDOI!$C$97:$AD$154,21,0)</f>
        <v>4</v>
      </c>
      <c r="P104" s="604">
        <f>VLOOKUP(D104,TONGHOPCONGDOI!$C$97:$AD$154,22,0)</f>
        <v>2</v>
      </c>
      <c r="Q104" s="604">
        <f>VLOOKUP(D104,TONGHOPCONGDOI!$C$97:$AD$154,23,0)</f>
        <v>0</v>
      </c>
      <c r="R104" s="604">
        <f>VLOOKUP(D104,TONGHOPCONGDOI!$C$97:$AD$154,24,0)</f>
        <v>0</v>
      </c>
      <c r="S104" s="604">
        <f>VLOOKUP(D104,TONGHOPCONGDOI!$C$97:$AD$154,25,0)</f>
        <v>0</v>
      </c>
      <c r="T104" s="604"/>
      <c r="U104" s="1192">
        <f t="shared" si="29"/>
        <v>2</v>
      </c>
      <c r="V104" s="1193"/>
      <c r="W104" s="1193"/>
      <c r="X104" s="604">
        <f t="shared" si="16"/>
        <v>1272143</v>
      </c>
      <c r="Y104" s="604">
        <f t="shared" si="26"/>
        <v>7719833</v>
      </c>
      <c r="Z104" s="608"/>
      <c r="AA104" s="1197">
        <f t="shared" si="27"/>
        <v>7719833</v>
      </c>
      <c r="AB104" s="242"/>
      <c r="AC104" s="1210">
        <v>3</v>
      </c>
      <c r="AD104" s="1195"/>
      <c r="AE104" s="1196"/>
      <c r="AF104" s="1188"/>
      <c r="AG104" s="1204"/>
      <c r="AH104" s="1204"/>
      <c r="AI104" s="1204"/>
      <c r="AJ104" s="1204"/>
      <c r="AK104" s="1204"/>
      <c r="AL104" s="1204"/>
    </row>
    <row r="105" spans="1:38" s="1205" customFormat="1" ht="33" customHeight="1">
      <c r="A105" s="1206">
        <v>85</v>
      </c>
      <c r="B105" s="1208">
        <v>4</v>
      </c>
      <c r="C105" s="1208" t="str">
        <f>'Chấm công KT'!C98</f>
        <v>03591</v>
      </c>
      <c r="D105" s="1208" t="str">
        <f>TONGHOPCONGDOI!C100</f>
        <v>N.Vông Ma Ni</v>
      </c>
      <c r="E105" s="1208" t="s">
        <v>26</v>
      </c>
      <c r="F105" s="1209"/>
      <c r="G105" s="242">
        <f t="shared" si="24"/>
        <v>0</v>
      </c>
      <c r="H105" s="242">
        <f>VLOOKUP(D105,TONGHOPCONGDOI!C100:AD161,16,0)</f>
        <v>4069</v>
      </c>
      <c r="I105" s="242">
        <f>VLOOKUP(D105,TONGHOPCONGDOI!C100:AD161,18,0)</f>
        <v>0</v>
      </c>
      <c r="J105" s="242"/>
      <c r="K105" s="601">
        <f t="shared" si="25"/>
        <v>1760.0931183972539</v>
      </c>
      <c r="L105" s="602" t="str">
        <f>VLOOKUP(D105,'BTH mủ tạp'!$D$98:$AN$160,37,0)</f>
        <v>A</v>
      </c>
      <c r="M105" s="603">
        <f t="shared" si="28"/>
        <v>7201660</v>
      </c>
      <c r="N105" s="604">
        <f>VLOOKUP(D105,TONGHOPCONGDOI!$C$97:$AD$154,20,0)</f>
        <v>24</v>
      </c>
      <c r="O105" s="604">
        <f>VLOOKUP(D105,TONGHOPCONGDOI!$C$97:$AD$154,21,0)</f>
        <v>4</v>
      </c>
      <c r="P105" s="604">
        <f>VLOOKUP(D105,TONGHOPCONGDOI!$C$97:$AD$154,22,0)</f>
        <v>2</v>
      </c>
      <c r="Q105" s="604">
        <f>VLOOKUP(D105,TONGHOPCONGDOI!$C$97:$AD$154,23,0)</f>
        <v>0</v>
      </c>
      <c r="R105" s="604">
        <f>VLOOKUP(D105,TONGHOPCONGDOI!$C$97:$AD$154,24,0)</f>
        <v>0</v>
      </c>
      <c r="S105" s="604">
        <f>VLOOKUP(D105,TONGHOPCONGDOI!$C$97:$AD$154,25,0)</f>
        <v>0</v>
      </c>
      <c r="T105" s="604"/>
      <c r="U105" s="1192">
        <f t="shared" si="29"/>
        <v>2</v>
      </c>
      <c r="V105" s="1193"/>
      <c r="W105" s="1193"/>
      <c r="X105" s="604">
        <f t="shared" si="16"/>
        <v>1272143</v>
      </c>
      <c r="Y105" s="604">
        <f t="shared" si="26"/>
        <v>8473803</v>
      </c>
      <c r="Z105" s="608"/>
      <c r="AA105" s="1197">
        <f t="shared" si="27"/>
        <v>8473803</v>
      </c>
      <c r="AB105" s="242"/>
      <c r="AC105" s="1210">
        <v>4</v>
      </c>
      <c r="AD105" s="1195"/>
      <c r="AE105" s="1196"/>
      <c r="AF105" s="1188"/>
      <c r="AG105" s="1204"/>
      <c r="AH105" s="1204"/>
      <c r="AI105" s="1204"/>
      <c r="AJ105" s="1204"/>
      <c r="AK105" s="1204"/>
      <c r="AL105" s="1204"/>
    </row>
    <row r="106" spans="1:38" s="1205" customFormat="1" ht="33" customHeight="1">
      <c r="A106" s="1206">
        <v>86</v>
      </c>
      <c r="B106" s="1207">
        <v>5</v>
      </c>
      <c r="C106" s="1208" t="str">
        <f>'Chấm công KT'!C99</f>
        <v>03592</v>
      </c>
      <c r="D106" s="1208" t="str">
        <f>TONGHOPCONGDOI!C101</f>
        <v>Đao Hương</v>
      </c>
      <c r="E106" s="1208" t="s">
        <v>26</v>
      </c>
      <c r="F106" s="1209"/>
      <c r="G106" s="242">
        <f t="shared" si="24"/>
        <v>0</v>
      </c>
      <c r="H106" s="242">
        <f>VLOOKUP(D106,TONGHOPCONGDOI!C101:AD161,16,0)</f>
        <v>3738</v>
      </c>
      <c r="I106" s="242">
        <f>VLOOKUP(D106,TONGHOPCONGDOI!C101:AD161,18,0)</f>
        <v>0</v>
      </c>
      <c r="J106" s="242"/>
      <c r="K106" s="601">
        <f t="shared" si="25"/>
        <v>1616.9152314005737</v>
      </c>
      <c r="L106" s="602" t="str">
        <f>VLOOKUP(D106,'BTH mủ tạp'!$D$98:$AN$160,37,0)</f>
        <v>A</v>
      </c>
      <c r="M106" s="603">
        <f t="shared" si="28"/>
        <v>6615829</v>
      </c>
      <c r="N106" s="604">
        <f>VLOOKUP(D106,TONGHOPCONGDOI!$C$97:$AD$154,20,0)</f>
        <v>24</v>
      </c>
      <c r="O106" s="604">
        <f>VLOOKUP(D106,TONGHOPCONGDOI!$C$97:$AD$154,21,0)</f>
        <v>4</v>
      </c>
      <c r="P106" s="604">
        <f>VLOOKUP(D106,TONGHOPCONGDOI!$C$97:$AD$154,22,0)</f>
        <v>2</v>
      </c>
      <c r="Q106" s="604">
        <f>VLOOKUP(D106,TONGHOPCONGDOI!$C$97:$AD$154,23,0)</f>
        <v>0</v>
      </c>
      <c r="R106" s="604">
        <f>VLOOKUP(D106,TONGHOPCONGDOI!$C$97:$AD$154,24,0)</f>
        <v>0</v>
      </c>
      <c r="S106" s="604">
        <f>VLOOKUP(D106,TONGHOPCONGDOI!$C$97:$AD$154,25,0)</f>
        <v>0</v>
      </c>
      <c r="T106" s="604"/>
      <c r="U106" s="1192">
        <f t="shared" si="29"/>
        <v>2</v>
      </c>
      <c r="V106" s="1193"/>
      <c r="W106" s="1193"/>
      <c r="X106" s="604">
        <f t="shared" si="16"/>
        <v>1272143</v>
      </c>
      <c r="Y106" s="604">
        <f t="shared" si="26"/>
        <v>7887972</v>
      </c>
      <c r="Z106" s="608"/>
      <c r="AA106" s="1197">
        <f t="shared" si="27"/>
        <v>7887972</v>
      </c>
      <c r="AB106" s="242"/>
      <c r="AC106" s="1210">
        <v>5</v>
      </c>
      <c r="AD106" s="1195"/>
      <c r="AE106" s="1196"/>
      <c r="AF106" s="1188"/>
      <c r="AG106" s="1204"/>
      <c r="AH106" s="1204"/>
      <c r="AI106" s="1204"/>
      <c r="AJ106" s="1204"/>
      <c r="AK106" s="1204"/>
      <c r="AL106" s="1204"/>
    </row>
    <row r="107" spans="1:38" s="1205" customFormat="1" ht="33" customHeight="1">
      <c r="A107" s="1206">
        <v>87</v>
      </c>
      <c r="B107" s="1208">
        <v>6</v>
      </c>
      <c r="C107" s="1208" t="str">
        <f>'Chấm công KT'!C100</f>
        <v>03593</v>
      </c>
      <c r="D107" s="1208" t="str">
        <f>TONGHOPCONGDOI!C102</f>
        <v>T. Xi Nun</v>
      </c>
      <c r="E107" s="1208" t="s">
        <v>26</v>
      </c>
      <c r="F107" s="1209"/>
      <c r="G107" s="242">
        <f t="shared" si="24"/>
        <v>0</v>
      </c>
      <c r="H107" s="242">
        <f>VLOOKUP(D107,TONGHOPCONGDOI!C102:AD161,16,0)</f>
        <v>5007</v>
      </c>
      <c r="I107" s="242">
        <f>VLOOKUP(D107,TONGHOPCONGDOI!C102:AD161,18,0)</f>
        <v>0</v>
      </c>
      <c r="J107" s="242"/>
      <c r="K107" s="601">
        <f t="shared" si="25"/>
        <v>2165.8358918198696</v>
      </c>
      <c r="L107" s="602" t="str">
        <f>VLOOKUP(D107,'BTH mủ tạp'!$D$98:$AN$160,37,0)</f>
        <v>B</v>
      </c>
      <c r="M107" s="603">
        <f t="shared" si="28"/>
        <v>8425985</v>
      </c>
      <c r="N107" s="604">
        <f>VLOOKUP(D107,TONGHOPCONGDOI!$C$97:$AD$154,20,0)</f>
        <v>22</v>
      </c>
      <c r="O107" s="604">
        <f>VLOOKUP(D107,TONGHOPCONGDOI!$C$97:$AD$154,21,0)</f>
        <v>4</v>
      </c>
      <c r="P107" s="604">
        <f>VLOOKUP(D107,TONGHOPCONGDOI!$C$97:$AD$154,22,0)</f>
        <v>2</v>
      </c>
      <c r="Q107" s="604">
        <f>VLOOKUP(D107,TONGHOPCONGDOI!$C$97:$AD$154,23,0)</f>
        <v>0</v>
      </c>
      <c r="R107" s="604">
        <f>VLOOKUP(D107,TONGHOPCONGDOI!$C$97:$AD$154,24,0)</f>
        <v>0</v>
      </c>
      <c r="S107" s="604">
        <f>VLOOKUP(D107,TONGHOPCONGDOI!$C$97:$AD$154,25,0)</f>
        <v>0</v>
      </c>
      <c r="T107" s="604"/>
      <c r="U107" s="1192">
        <f t="shared" si="29"/>
        <v>2</v>
      </c>
      <c r="V107" s="1193"/>
      <c r="W107" s="1193"/>
      <c r="X107" s="604">
        <f t="shared" si="16"/>
        <v>1210299</v>
      </c>
      <c r="Y107" s="604">
        <f t="shared" si="26"/>
        <v>9636284</v>
      </c>
      <c r="Z107" s="608"/>
      <c r="AA107" s="1197">
        <f t="shared" si="27"/>
        <v>9636284</v>
      </c>
      <c r="AB107" s="242"/>
      <c r="AC107" s="1210">
        <v>6</v>
      </c>
      <c r="AD107" s="1195"/>
      <c r="AE107" s="1196"/>
      <c r="AF107" s="1188"/>
      <c r="AG107" s="1204"/>
      <c r="AH107" s="1204"/>
      <c r="AI107" s="1204"/>
      <c r="AJ107" s="1204"/>
      <c r="AK107" s="1204"/>
      <c r="AL107" s="1204"/>
    </row>
    <row r="108" spans="1:38" s="1205" customFormat="1" ht="33" customHeight="1">
      <c r="A108" s="1206">
        <v>88</v>
      </c>
      <c r="B108" s="1207">
        <v>7</v>
      </c>
      <c r="C108" s="1208" t="str">
        <f>'Chấm công KT'!C101</f>
        <v>03594</v>
      </c>
      <c r="D108" s="1208" t="str">
        <f>TONGHOPCONGDOI!C103</f>
        <v>T. Bun Hinh</v>
      </c>
      <c r="E108" s="1208" t="s">
        <v>26</v>
      </c>
      <c r="F108" s="1209"/>
      <c r="G108" s="242">
        <f t="shared" si="24"/>
        <v>0</v>
      </c>
      <c r="H108" s="242">
        <f>VLOOKUP(D108,TONGHOPCONGDOI!C103:AD161,16,0)</f>
        <v>3159</v>
      </c>
      <c r="I108" s="242">
        <f>VLOOKUP(D108,TONGHOPCONGDOI!C103:AD161,18,0)</f>
        <v>0</v>
      </c>
      <c r="J108" s="242"/>
      <c r="K108" s="601">
        <f t="shared" si="25"/>
        <v>1366.4620695544174</v>
      </c>
      <c r="L108" s="602" t="str">
        <f>VLOOKUP(D108,'BTH mủ tạp'!$D$98:$AN$160,37,0)</f>
        <v>A</v>
      </c>
      <c r="M108" s="603">
        <f t="shared" si="28"/>
        <v>5591065</v>
      </c>
      <c r="N108" s="604">
        <f>VLOOKUP(D108,TONGHOPCONGDOI!$C$97:$AD$154,20,0)</f>
        <v>24</v>
      </c>
      <c r="O108" s="604">
        <f>VLOOKUP(D108,TONGHOPCONGDOI!$C$97:$AD$154,21,0)</f>
        <v>4</v>
      </c>
      <c r="P108" s="604">
        <f>VLOOKUP(D108,TONGHOPCONGDOI!$C$97:$AD$154,22,0)</f>
        <v>2</v>
      </c>
      <c r="Q108" s="604">
        <f>VLOOKUP(D108,TONGHOPCONGDOI!$C$97:$AD$154,23,0)</f>
        <v>0</v>
      </c>
      <c r="R108" s="604">
        <f>VLOOKUP(D108,TONGHOPCONGDOI!$C$97:$AD$154,24,0)</f>
        <v>0</v>
      </c>
      <c r="S108" s="604">
        <f>VLOOKUP(D108,TONGHOPCONGDOI!$C$97:$AD$154,25,0)</f>
        <v>0</v>
      </c>
      <c r="T108" s="604"/>
      <c r="U108" s="1192">
        <f t="shared" si="29"/>
        <v>2</v>
      </c>
      <c r="V108" s="1193"/>
      <c r="W108" s="1193"/>
      <c r="X108" s="604">
        <f t="shared" si="16"/>
        <v>1272143</v>
      </c>
      <c r="Y108" s="604">
        <f t="shared" si="26"/>
        <v>6863208</v>
      </c>
      <c r="Z108" s="608"/>
      <c r="AA108" s="1197">
        <f t="shared" si="27"/>
        <v>6863208</v>
      </c>
      <c r="AB108" s="242"/>
      <c r="AC108" s="1210">
        <v>7</v>
      </c>
      <c r="AD108" s="1195"/>
      <c r="AE108" s="1196"/>
      <c r="AF108" s="1188"/>
      <c r="AG108" s="1204"/>
      <c r="AH108" s="1204"/>
      <c r="AI108" s="1204"/>
      <c r="AJ108" s="1204"/>
      <c r="AK108" s="1204"/>
      <c r="AL108" s="1204"/>
    </row>
    <row r="109" spans="1:38" s="1205" customFormat="1" ht="33" customHeight="1">
      <c r="A109" s="1206">
        <v>89</v>
      </c>
      <c r="B109" s="1208">
        <v>8</v>
      </c>
      <c r="C109" s="1208" t="str">
        <f>'Chấm công KT'!C102</f>
        <v>04073</v>
      </c>
      <c r="D109" s="1208" t="str">
        <f>TONGHOPCONGDOI!C104</f>
        <v>T. Miềng</v>
      </c>
      <c r="E109" s="1208" t="s">
        <v>26</v>
      </c>
      <c r="F109" s="1209"/>
      <c r="G109" s="242">
        <f t="shared" si="24"/>
        <v>0</v>
      </c>
      <c r="H109" s="242">
        <f>VLOOKUP(D109,TONGHOPCONGDOI!C104:AD161,16,0)</f>
        <v>2961</v>
      </c>
      <c r="I109" s="242">
        <f>VLOOKUP(D109,TONGHOPCONGDOI!C104:AD161,18,0)</f>
        <v>0</v>
      </c>
      <c r="J109" s="242"/>
      <c r="K109" s="601">
        <f t="shared" si="25"/>
        <v>1280.8148743116906</v>
      </c>
      <c r="L109" s="602" t="str">
        <f>VLOOKUP(D109,'BTH mủ tạp'!$D$98:$AN$160,37,0)</f>
        <v>B</v>
      </c>
      <c r="M109" s="603">
        <f t="shared" si="28"/>
        <v>4982892</v>
      </c>
      <c r="N109" s="604">
        <f>VLOOKUP(D109,TONGHOPCONGDOI!$C$97:$AD$154,20,0)</f>
        <v>22</v>
      </c>
      <c r="O109" s="604">
        <f>VLOOKUP(D109,TONGHOPCONGDOI!$C$97:$AD$154,21,0)</f>
        <v>4</v>
      </c>
      <c r="P109" s="604">
        <f>VLOOKUP(D109,TONGHOPCONGDOI!$C$97:$AD$154,22,0)</f>
        <v>2</v>
      </c>
      <c r="Q109" s="604">
        <f>VLOOKUP(D109,TONGHOPCONGDOI!$C$97:$AD$154,23,0)</f>
        <v>0</v>
      </c>
      <c r="R109" s="604">
        <f>VLOOKUP(D109,TONGHOPCONGDOI!$C$97:$AD$154,24,0)</f>
        <v>0</v>
      </c>
      <c r="S109" s="604">
        <f>VLOOKUP(D109,TONGHOPCONGDOI!$C$97:$AD$154,25,0)</f>
        <v>0</v>
      </c>
      <c r="T109" s="604"/>
      <c r="U109" s="1192">
        <f t="shared" si="29"/>
        <v>2</v>
      </c>
      <c r="V109" s="1193"/>
      <c r="W109" s="1193"/>
      <c r="X109" s="604">
        <f t="shared" si="16"/>
        <v>1210299</v>
      </c>
      <c r="Y109" s="604">
        <f t="shared" si="26"/>
        <v>6193191</v>
      </c>
      <c r="Z109" s="608"/>
      <c r="AA109" s="1197">
        <f t="shared" si="27"/>
        <v>6193191</v>
      </c>
      <c r="AB109" s="242"/>
      <c r="AC109" s="1210">
        <v>8</v>
      </c>
      <c r="AD109" s="1195"/>
      <c r="AE109" s="1196"/>
      <c r="AF109" s="1188"/>
      <c r="AG109" s="1204"/>
      <c r="AH109" s="1204"/>
      <c r="AI109" s="1204"/>
      <c r="AJ109" s="1204"/>
      <c r="AK109" s="1204"/>
      <c r="AL109" s="1204"/>
    </row>
    <row r="110" spans="1:38" s="1205" customFormat="1" ht="33" customHeight="1">
      <c r="A110" s="1206">
        <v>90</v>
      </c>
      <c r="B110" s="1207">
        <v>9</v>
      </c>
      <c r="C110" s="1208" t="str">
        <f>'Chấm công KT'!C103</f>
        <v>03596</v>
      </c>
      <c r="D110" s="1208" t="str">
        <f>TONGHOPCONGDOI!C105</f>
        <v>N. Xúc</v>
      </c>
      <c r="E110" s="1208" t="s">
        <v>26</v>
      </c>
      <c r="F110" s="1209"/>
      <c r="G110" s="242">
        <f t="shared" si="24"/>
        <v>0</v>
      </c>
      <c r="H110" s="242">
        <f>VLOOKUP(D110,TONGHOPCONGDOI!C105:AD161,16,0)</f>
        <v>3504</v>
      </c>
      <c r="I110" s="242">
        <f>VLOOKUP(D110,TONGHOPCONGDOI!C105:AD161,18,0)</f>
        <v>0</v>
      </c>
      <c r="J110" s="242"/>
      <c r="K110" s="601">
        <f t="shared" si="25"/>
        <v>1515.6958188409874</v>
      </c>
      <c r="L110" s="602" t="str">
        <f>VLOOKUP(D110,'BTH mủ tạp'!$D$98:$AN$160,37,0)</f>
        <v>B</v>
      </c>
      <c r="M110" s="603">
        <f t="shared" si="28"/>
        <v>5896675</v>
      </c>
      <c r="N110" s="604">
        <f>VLOOKUP(D110,TONGHOPCONGDOI!$C$97:$AD$154,20,0)</f>
        <v>23</v>
      </c>
      <c r="O110" s="604">
        <f>VLOOKUP(D110,TONGHOPCONGDOI!$C$97:$AD$154,21,0)</f>
        <v>3</v>
      </c>
      <c r="P110" s="604">
        <f>VLOOKUP(D110,TONGHOPCONGDOI!$C$97:$AD$154,22,0)</f>
        <v>2</v>
      </c>
      <c r="Q110" s="604">
        <f>VLOOKUP(D110,TONGHOPCONGDOI!$C$97:$AD$154,23,0)</f>
        <v>0</v>
      </c>
      <c r="R110" s="604">
        <f>VLOOKUP(D110,TONGHOPCONGDOI!$C$97:$AD$154,24,0)</f>
        <v>0</v>
      </c>
      <c r="S110" s="604">
        <f>VLOOKUP(D110,TONGHOPCONGDOI!$C$97:$AD$154,25,0)</f>
        <v>0</v>
      </c>
      <c r="T110" s="604"/>
      <c r="U110" s="1192">
        <f t="shared" si="29"/>
        <v>2</v>
      </c>
      <c r="V110" s="1193"/>
      <c r="W110" s="1193"/>
      <c r="X110" s="604">
        <f t="shared" si="16"/>
        <v>1189639</v>
      </c>
      <c r="Y110" s="604">
        <f t="shared" si="26"/>
        <v>7086314</v>
      </c>
      <c r="Z110" s="608"/>
      <c r="AA110" s="1197">
        <f t="shared" si="27"/>
        <v>7086314</v>
      </c>
      <c r="AB110" s="242"/>
      <c r="AC110" s="1210">
        <v>9</v>
      </c>
      <c r="AD110" s="1195"/>
      <c r="AE110" s="1196"/>
      <c r="AF110" s="1188"/>
      <c r="AG110" s="1204"/>
      <c r="AH110" s="1204"/>
      <c r="AI110" s="1204"/>
      <c r="AJ110" s="1204"/>
      <c r="AK110" s="1204"/>
      <c r="AL110" s="1204"/>
    </row>
    <row r="111" spans="1:38" s="1205" customFormat="1" ht="33" customHeight="1">
      <c r="A111" s="1206">
        <v>91</v>
      </c>
      <c r="B111" s="1208">
        <v>10</v>
      </c>
      <c r="C111" s="1208" t="str">
        <f>'Chấm công KT'!C104</f>
        <v>03597</v>
      </c>
      <c r="D111" s="1208" t="str">
        <f>TONGHOPCONGDOI!C106</f>
        <v>N. Lẹ</v>
      </c>
      <c r="E111" s="1208" t="s">
        <v>26</v>
      </c>
      <c r="F111" s="1209"/>
      <c r="G111" s="242">
        <f t="shared" si="24"/>
        <v>0</v>
      </c>
      <c r="H111" s="242">
        <f>VLOOKUP(D111,TONGHOPCONGDOI!C106:AD161,16,0)</f>
        <v>3777</v>
      </c>
      <c r="I111" s="242">
        <f>VLOOKUP(D111,TONGHOPCONGDOI!C106:AD161,18,0)</f>
        <v>0</v>
      </c>
      <c r="J111" s="242"/>
      <c r="K111" s="601">
        <f t="shared" si="25"/>
        <v>1633.7851334938382</v>
      </c>
      <c r="L111" s="602" t="str">
        <f>VLOOKUP(D111,'BTH mủ tạp'!$D$98:$AN$160,37,0)</f>
        <v>A</v>
      </c>
      <c r="M111" s="603">
        <f t="shared" si="28"/>
        <v>6684854</v>
      </c>
      <c r="N111" s="604">
        <f>VLOOKUP(D111,TONGHOPCONGDOI!$C$97:$AD$154,20,0)</f>
        <v>24</v>
      </c>
      <c r="O111" s="604">
        <f>VLOOKUP(D111,TONGHOPCONGDOI!$C$97:$AD$154,21,0)</f>
        <v>4</v>
      </c>
      <c r="P111" s="604">
        <f>VLOOKUP(D111,TONGHOPCONGDOI!$C$97:$AD$154,22,0)</f>
        <v>2</v>
      </c>
      <c r="Q111" s="604">
        <f>VLOOKUP(D111,TONGHOPCONGDOI!$C$97:$AD$154,23,0)</f>
        <v>0</v>
      </c>
      <c r="R111" s="604">
        <f>VLOOKUP(D111,TONGHOPCONGDOI!$C$97:$AD$154,24,0)</f>
        <v>0</v>
      </c>
      <c r="S111" s="604">
        <f>VLOOKUP(D111,TONGHOPCONGDOI!$C$97:$AD$154,25,0)</f>
        <v>0</v>
      </c>
      <c r="T111" s="604"/>
      <c r="U111" s="1192">
        <f t="shared" si="29"/>
        <v>2</v>
      </c>
      <c r="V111" s="1193"/>
      <c r="W111" s="1193"/>
      <c r="X111" s="604">
        <f t="shared" si="16"/>
        <v>1272143</v>
      </c>
      <c r="Y111" s="604">
        <f t="shared" si="26"/>
        <v>7956997</v>
      </c>
      <c r="Z111" s="608"/>
      <c r="AA111" s="1197">
        <f t="shared" si="27"/>
        <v>7956997</v>
      </c>
      <c r="AB111" s="242"/>
      <c r="AC111" s="1210">
        <v>10</v>
      </c>
      <c r="AD111" s="1195"/>
      <c r="AE111" s="1196"/>
      <c r="AF111" s="1188"/>
      <c r="AG111" s="1204"/>
      <c r="AH111" s="1204"/>
      <c r="AI111" s="1204"/>
      <c r="AJ111" s="1204"/>
      <c r="AK111" s="1204"/>
      <c r="AL111" s="1204"/>
    </row>
    <row r="112" spans="1:38" s="1205" customFormat="1" ht="33" customHeight="1">
      <c r="A112" s="1206">
        <v>92</v>
      </c>
      <c r="B112" s="1207">
        <v>11</v>
      </c>
      <c r="C112" s="1208" t="str">
        <f>'Chấm công KT'!C105</f>
        <v>03598</v>
      </c>
      <c r="D112" s="1208" t="str">
        <f>TONGHOPCONGDOI!C107</f>
        <v>N . Thích</v>
      </c>
      <c r="E112" s="1208" t="s">
        <v>26</v>
      </c>
      <c r="F112" s="1209"/>
      <c r="G112" s="242">
        <f t="shared" si="24"/>
        <v>0</v>
      </c>
      <c r="H112" s="242">
        <f>VLOOKUP(D112,TONGHOPCONGDOI!C107:AD161,16,0)</f>
        <v>3807</v>
      </c>
      <c r="I112" s="242">
        <f>VLOOKUP(D112,TONGHOPCONGDOI!C107:AD161,18,0)</f>
        <v>0</v>
      </c>
      <c r="J112" s="242"/>
      <c r="K112" s="601">
        <f t="shared" si="25"/>
        <v>1646.7619812578878</v>
      </c>
      <c r="L112" s="602" t="str">
        <f>VLOOKUP(D112,'BTH mủ tạp'!$D$98:$AN$160,37,0)</f>
        <v>A</v>
      </c>
      <c r="M112" s="603">
        <f t="shared" si="28"/>
        <v>6737951</v>
      </c>
      <c r="N112" s="604">
        <f>VLOOKUP(D112,TONGHOPCONGDOI!$C$97:$AD$154,20,0)</f>
        <v>24</v>
      </c>
      <c r="O112" s="604">
        <f>VLOOKUP(D112,TONGHOPCONGDOI!$C$97:$AD$154,21,0)</f>
        <v>4</v>
      </c>
      <c r="P112" s="604">
        <f>VLOOKUP(D112,TONGHOPCONGDOI!$C$97:$AD$154,22,0)</f>
        <v>2</v>
      </c>
      <c r="Q112" s="604">
        <f>VLOOKUP(D112,TONGHOPCONGDOI!$C$97:$AD$154,23,0)</f>
        <v>0</v>
      </c>
      <c r="R112" s="604">
        <f>VLOOKUP(D112,TONGHOPCONGDOI!$C$97:$AD$154,24,0)</f>
        <v>0</v>
      </c>
      <c r="S112" s="604">
        <f>VLOOKUP(D112,TONGHOPCONGDOI!$C$97:$AD$154,25,0)</f>
        <v>0</v>
      </c>
      <c r="T112" s="604"/>
      <c r="U112" s="1192">
        <f t="shared" si="29"/>
        <v>2</v>
      </c>
      <c r="V112" s="1193"/>
      <c r="W112" s="1193"/>
      <c r="X112" s="604">
        <f t="shared" si="16"/>
        <v>1272143</v>
      </c>
      <c r="Y112" s="604">
        <f t="shared" si="26"/>
        <v>8010094</v>
      </c>
      <c r="Z112" s="608"/>
      <c r="AA112" s="1197">
        <f t="shared" si="27"/>
        <v>8010094</v>
      </c>
      <c r="AB112" s="242"/>
      <c r="AC112" s="1210">
        <v>11</v>
      </c>
      <c r="AD112" s="1195"/>
      <c r="AE112" s="1196"/>
      <c r="AF112" s="1188"/>
      <c r="AG112" s="1204"/>
      <c r="AH112" s="1204"/>
      <c r="AI112" s="1204"/>
      <c r="AJ112" s="1204"/>
      <c r="AK112" s="1204"/>
      <c r="AL112" s="1204"/>
    </row>
    <row r="113" spans="1:38" s="1205" customFormat="1" ht="33" customHeight="1">
      <c r="A113" s="1206">
        <v>93</v>
      </c>
      <c r="B113" s="1208">
        <v>12</v>
      </c>
      <c r="C113" s="1208" t="str">
        <f>'Chấm công KT'!C106</f>
        <v>03599</v>
      </c>
      <c r="D113" s="1208" t="str">
        <f>TONGHOPCONGDOI!C108</f>
        <v>N. Cong Mi</v>
      </c>
      <c r="E113" s="1208" t="s">
        <v>26</v>
      </c>
      <c r="F113" s="1209"/>
      <c r="G113" s="242">
        <f t="shared" si="24"/>
        <v>0</v>
      </c>
      <c r="H113" s="242">
        <f>VLOOKUP(D113,TONGHOPCONGDOI!C108:AD161,16,0)</f>
        <v>3349</v>
      </c>
      <c r="I113" s="242">
        <f>VLOOKUP(D113,TONGHOPCONGDOI!C108:AD161,18,0)</f>
        <v>0</v>
      </c>
      <c r="J113" s="242"/>
      <c r="K113" s="601">
        <f t="shared" si="25"/>
        <v>1448.6487720600646</v>
      </c>
      <c r="L113" s="602" t="str">
        <f>VLOOKUP(D113,'BTH mủ tạp'!$D$98:$AN$160,37,0)</f>
        <v>A</v>
      </c>
      <c r="M113" s="603">
        <f t="shared" si="28"/>
        <v>5927343</v>
      </c>
      <c r="N113" s="604">
        <f>VLOOKUP(D113,TONGHOPCONGDOI!$C$97:$AD$154,20,0)</f>
        <v>24</v>
      </c>
      <c r="O113" s="604">
        <f>VLOOKUP(D113,TONGHOPCONGDOI!$C$97:$AD$154,21,0)</f>
        <v>4</v>
      </c>
      <c r="P113" s="604">
        <f>VLOOKUP(D113,TONGHOPCONGDOI!$C$97:$AD$154,22,0)</f>
        <v>2</v>
      </c>
      <c r="Q113" s="604">
        <f>VLOOKUP(D113,TONGHOPCONGDOI!$C$97:$AD$154,23,0)</f>
        <v>0</v>
      </c>
      <c r="R113" s="604">
        <f>VLOOKUP(D113,TONGHOPCONGDOI!$C$97:$AD$154,24,0)</f>
        <v>0</v>
      </c>
      <c r="S113" s="604">
        <f>VLOOKUP(D113,TONGHOPCONGDOI!$C$97:$AD$154,25,0)</f>
        <v>0</v>
      </c>
      <c r="T113" s="604"/>
      <c r="U113" s="1192">
        <f t="shared" si="29"/>
        <v>2</v>
      </c>
      <c r="V113" s="1193"/>
      <c r="W113" s="1193"/>
      <c r="X113" s="604">
        <f t="shared" si="16"/>
        <v>1272143</v>
      </c>
      <c r="Y113" s="604">
        <f t="shared" si="26"/>
        <v>7199486</v>
      </c>
      <c r="Z113" s="608"/>
      <c r="AA113" s="1197">
        <f t="shared" si="27"/>
        <v>7199486</v>
      </c>
      <c r="AB113" s="242"/>
      <c r="AC113" s="1210">
        <v>12</v>
      </c>
      <c r="AD113" s="1195"/>
      <c r="AE113" s="1196"/>
      <c r="AF113" s="1188"/>
      <c r="AG113" s="1204"/>
      <c r="AH113" s="1204"/>
      <c r="AI113" s="1204"/>
      <c r="AJ113" s="1204"/>
      <c r="AK113" s="1204"/>
      <c r="AL113" s="1204"/>
    </row>
    <row r="114" spans="1:38" s="1205" customFormat="1" ht="33" customHeight="1">
      <c r="A114" s="1206">
        <v>94</v>
      </c>
      <c r="B114" s="1207">
        <v>13</v>
      </c>
      <c r="C114" s="1208" t="str">
        <f>'Chấm công KT'!C107</f>
        <v>04074</v>
      </c>
      <c r="D114" s="1208" t="str">
        <f>TONGHOPCONGDOI!C109</f>
        <v>T. Na</v>
      </c>
      <c r="E114" s="1208" t="s">
        <v>26</v>
      </c>
      <c r="F114" s="1209"/>
      <c r="G114" s="242">
        <f t="shared" si="24"/>
        <v>0</v>
      </c>
      <c r="H114" s="242">
        <f>VLOOKUP(D114,TONGHOPCONGDOI!C109:AD161,16,0)</f>
        <v>3122</v>
      </c>
      <c r="I114" s="242">
        <f>VLOOKUP(D114,TONGHOPCONGDOI!C109:AD161,18,0)</f>
        <v>0</v>
      </c>
      <c r="J114" s="242"/>
      <c r="K114" s="601">
        <f t="shared" si="25"/>
        <v>1350.457290645423</v>
      </c>
      <c r="L114" s="602" t="str">
        <f>VLOOKUP(D114,'BTH mủ tạp'!$D$98:$AN$160,37,0)</f>
        <v>A</v>
      </c>
      <c r="M114" s="603">
        <f t="shared" si="28"/>
        <v>5525580</v>
      </c>
      <c r="N114" s="604">
        <f>VLOOKUP(D114,TONGHOPCONGDOI!$C$97:$AD$154,20,0)</f>
        <v>22</v>
      </c>
      <c r="O114" s="604">
        <f>VLOOKUP(D114,TONGHOPCONGDOI!$C$97:$AD$154,21,0)</f>
        <v>4</v>
      </c>
      <c r="P114" s="604">
        <f>VLOOKUP(D114,TONGHOPCONGDOI!$C$97:$AD$154,22,0)</f>
        <v>2</v>
      </c>
      <c r="Q114" s="604">
        <f>VLOOKUP(D114,TONGHOPCONGDOI!$C$97:$AD$154,23,0)</f>
        <v>0</v>
      </c>
      <c r="R114" s="604">
        <f>VLOOKUP(D114,TONGHOPCONGDOI!$C$97:$AD$154,24,0)</f>
        <v>0</v>
      </c>
      <c r="S114" s="604">
        <f>VLOOKUP(D114,TONGHOPCONGDOI!$C$97:$AD$154,25,0)</f>
        <v>0</v>
      </c>
      <c r="T114" s="604"/>
      <c r="U114" s="1192">
        <f t="shared" si="29"/>
        <v>2</v>
      </c>
      <c r="V114" s="1193"/>
      <c r="W114" s="1193"/>
      <c r="X114" s="604">
        <f t="shared" si="16"/>
        <v>1210299</v>
      </c>
      <c r="Y114" s="604">
        <f t="shared" si="26"/>
        <v>6735879</v>
      </c>
      <c r="Z114" s="608"/>
      <c r="AA114" s="1197">
        <f t="shared" si="27"/>
        <v>6735879</v>
      </c>
      <c r="AB114" s="242"/>
      <c r="AC114" s="1210">
        <v>13</v>
      </c>
      <c r="AD114" s="1195"/>
      <c r="AE114" s="1196"/>
      <c r="AF114" s="1188"/>
      <c r="AG114" s="1204"/>
      <c r="AH114" s="1204"/>
      <c r="AI114" s="1204"/>
      <c r="AJ114" s="1204"/>
      <c r="AK114" s="1204"/>
      <c r="AL114" s="1204"/>
    </row>
    <row r="115" spans="1:38" s="1205" customFormat="1" ht="33" customHeight="1">
      <c r="A115" s="1206">
        <v>95</v>
      </c>
      <c r="B115" s="1208">
        <v>14</v>
      </c>
      <c r="C115" s="1208" t="str">
        <f>'Chấm công KT'!C108</f>
        <v>03601</v>
      </c>
      <c r="D115" s="1208" t="str">
        <f>TONGHOPCONGDOI!C110</f>
        <v>T. Khăm Mặn</v>
      </c>
      <c r="E115" s="1208" t="s">
        <v>26</v>
      </c>
      <c r="F115" s="1209"/>
      <c r="G115" s="242">
        <f t="shared" si="24"/>
        <v>0</v>
      </c>
      <c r="H115" s="242">
        <f>VLOOKUP(D115,TONGHOPCONGDOI!C110:AD161,16,0)</f>
        <v>5050</v>
      </c>
      <c r="I115" s="242">
        <f>VLOOKUP(D115,TONGHOPCONGDOI!C110:AD161,18,0)</f>
        <v>0</v>
      </c>
      <c r="J115" s="242"/>
      <c r="K115" s="601">
        <f t="shared" si="25"/>
        <v>2184.4360402816742</v>
      </c>
      <c r="L115" s="602" t="str">
        <f>VLOOKUP(D115,'BTH mủ tạp'!$D$98:$AN$160,37,0)</f>
        <v>A</v>
      </c>
      <c r="M115" s="603">
        <f t="shared" si="28"/>
        <v>8937917</v>
      </c>
      <c r="N115" s="604">
        <f>VLOOKUP(D115,TONGHOPCONGDOI!$C$97:$AD$154,20,0)</f>
        <v>24</v>
      </c>
      <c r="O115" s="604">
        <f>VLOOKUP(D115,TONGHOPCONGDOI!$C$97:$AD$154,21,0)</f>
        <v>4</v>
      </c>
      <c r="P115" s="604">
        <f>VLOOKUP(D115,TONGHOPCONGDOI!$C$97:$AD$154,22,0)</f>
        <v>2</v>
      </c>
      <c r="Q115" s="604">
        <f>VLOOKUP(D115,TONGHOPCONGDOI!$C$97:$AD$154,23,0)</f>
        <v>0</v>
      </c>
      <c r="R115" s="604">
        <f>VLOOKUP(D115,TONGHOPCONGDOI!$C$97:$AD$154,24,0)</f>
        <v>0</v>
      </c>
      <c r="S115" s="604">
        <f>VLOOKUP(D115,TONGHOPCONGDOI!$C$97:$AD$154,25,0)</f>
        <v>0</v>
      </c>
      <c r="T115" s="604"/>
      <c r="U115" s="1192">
        <f t="shared" si="29"/>
        <v>2</v>
      </c>
      <c r="V115" s="1193"/>
      <c r="W115" s="1193"/>
      <c r="X115" s="604">
        <f t="shared" si="16"/>
        <v>1272143</v>
      </c>
      <c r="Y115" s="604">
        <f t="shared" si="26"/>
        <v>10210060</v>
      </c>
      <c r="Z115" s="608"/>
      <c r="AA115" s="1197">
        <f t="shared" si="27"/>
        <v>10210060</v>
      </c>
      <c r="AB115" s="242"/>
      <c r="AC115" s="1210">
        <v>14</v>
      </c>
      <c r="AD115" s="1195"/>
      <c r="AE115" s="1196"/>
      <c r="AF115" s="1188"/>
      <c r="AG115" s="1204"/>
      <c r="AH115" s="1204"/>
      <c r="AI115" s="1204"/>
      <c r="AJ115" s="1204"/>
      <c r="AK115" s="1204"/>
      <c r="AL115" s="1204"/>
    </row>
    <row r="116" spans="1:38" s="1205" customFormat="1" ht="33" customHeight="1">
      <c r="A116" s="1206">
        <v>96</v>
      </c>
      <c r="B116" s="1207">
        <v>15</v>
      </c>
      <c r="C116" s="1208" t="str">
        <f>'Chấm công KT'!C109</f>
        <v>03602</v>
      </c>
      <c r="D116" s="1208" t="str">
        <f>TONGHOPCONGDOI!C111</f>
        <v>T . In Tong</v>
      </c>
      <c r="E116" s="1208" t="s">
        <v>26</v>
      </c>
      <c r="F116" s="1209"/>
      <c r="G116" s="242">
        <f t="shared" si="24"/>
        <v>0</v>
      </c>
      <c r="H116" s="242">
        <f>VLOOKUP(D116,TONGHOPCONGDOI!C111:AD161,16,0)</f>
        <v>3873</v>
      </c>
      <c r="I116" s="242">
        <f>VLOOKUP(D116,TONGHOPCONGDOI!C111:AD161,18,0)</f>
        <v>0</v>
      </c>
      <c r="J116" s="242"/>
      <c r="K116" s="601">
        <f t="shared" si="25"/>
        <v>1675.3110463387968</v>
      </c>
      <c r="L116" s="602" t="str">
        <f>VLOOKUP(D116,'BTH mủ tạp'!$D$98:$AN$160,37,0)</f>
        <v>A</v>
      </c>
      <c r="M116" s="603">
        <f t="shared" si="28"/>
        <v>6854763</v>
      </c>
      <c r="N116" s="604">
        <f>VLOOKUP(D116,TONGHOPCONGDOI!$C$97:$AD$154,20,0)</f>
        <v>24</v>
      </c>
      <c r="O116" s="604">
        <f>VLOOKUP(D116,TONGHOPCONGDOI!$C$97:$AD$154,21,0)</f>
        <v>4</v>
      </c>
      <c r="P116" s="604">
        <f>VLOOKUP(D116,TONGHOPCONGDOI!$C$97:$AD$154,22,0)</f>
        <v>2</v>
      </c>
      <c r="Q116" s="604">
        <f>VLOOKUP(D116,TONGHOPCONGDOI!$C$97:$AD$154,23,0)</f>
        <v>0</v>
      </c>
      <c r="R116" s="604">
        <f>VLOOKUP(D116,TONGHOPCONGDOI!$C$97:$AD$154,24,0)</f>
        <v>0</v>
      </c>
      <c r="S116" s="604">
        <f>VLOOKUP(D116,TONGHOPCONGDOI!$C$97:$AD$154,25,0)</f>
        <v>0</v>
      </c>
      <c r="T116" s="604"/>
      <c r="U116" s="1192">
        <f t="shared" si="29"/>
        <v>2</v>
      </c>
      <c r="V116" s="1193"/>
      <c r="W116" s="1193"/>
      <c r="X116" s="604">
        <f t="shared" si="16"/>
        <v>1272143</v>
      </c>
      <c r="Y116" s="604">
        <f t="shared" si="26"/>
        <v>8126906</v>
      </c>
      <c r="Z116" s="608"/>
      <c r="AA116" s="1197">
        <f t="shared" si="27"/>
        <v>8126906</v>
      </c>
      <c r="AB116" s="242"/>
      <c r="AC116" s="1210">
        <v>15</v>
      </c>
      <c r="AD116" s="1195"/>
      <c r="AE116" s="1196"/>
      <c r="AF116" s="1188"/>
      <c r="AG116" s="1204"/>
      <c r="AH116" s="1204"/>
      <c r="AI116" s="1204"/>
      <c r="AJ116" s="1204"/>
      <c r="AK116" s="1204"/>
      <c r="AL116" s="1204"/>
    </row>
    <row r="117" spans="1:38" s="1205" customFormat="1" ht="33" customHeight="1">
      <c r="A117" s="1206">
        <v>97</v>
      </c>
      <c r="B117" s="1208">
        <v>16</v>
      </c>
      <c r="C117" s="1208" t="str">
        <f>'Chấm công KT'!C110</f>
        <v>03496</v>
      </c>
      <c r="D117" s="1208" t="str">
        <f>TONGHOPCONGDOI!C112</f>
        <v>T. Lốp</v>
      </c>
      <c r="E117" s="1208" t="s">
        <v>26</v>
      </c>
      <c r="F117" s="1209"/>
      <c r="G117" s="242">
        <f t="shared" si="24"/>
        <v>0</v>
      </c>
      <c r="H117" s="242">
        <f>VLOOKUP(D117,TONGHOPCONGDOI!C112:AD161,16,0)</f>
        <v>3944</v>
      </c>
      <c r="I117" s="242">
        <f>VLOOKUP(D117,TONGHOPCONGDOI!C112:AD161,18,0)</f>
        <v>0</v>
      </c>
      <c r="J117" s="242"/>
      <c r="K117" s="601">
        <f t="shared" si="25"/>
        <v>1706.0229193803807</v>
      </c>
      <c r="L117" s="602" t="str">
        <f>VLOOKUP(D117,'BTH mủ tạp'!$D$98:$AN$160,37,0)</f>
        <v>A</v>
      </c>
      <c r="M117" s="603">
        <f t="shared" si="28"/>
        <v>6980425</v>
      </c>
      <c r="N117" s="604">
        <f>VLOOKUP(D117,TONGHOPCONGDOI!$C$97:$AD$154,20,0)</f>
        <v>24</v>
      </c>
      <c r="O117" s="604">
        <f>VLOOKUP(D117,TONGHOPCONGDOI!$C$97:$AD$154,21,0)</f>
        <v>4</v>
      </c>
      <c r="P117" s="604">
        <f>VLOOKUP(D117,TONGHOPCONGDOI!$C$97:$AD$154,22,0)</f>
        <v>2</v>
      </c>
      <c r="Q117" s="604">
        <f>VLOOKUP(D117,TONGHOPCONGDOI!$C$97:$AD$154,23,0)</f>
        <v>0</v>
      </c>
      <c r="R117" s="604">
        <f>VLOOKUP(D117,TONGHOPCONGDOI!$C$97:$AD$154,24,0)</f>
        <v>0</v>
      </c>
      <c r="S117" s="604">
        <f>VLOOKUP(D117,TONGHOPCONGDOI!$C$97:$AD$154,25,0)</f>
        <v>0</v>
      </c>
      <c r="T117" s="604"/>
      <c r="U117" s="1192">
        <f t="shared" si="29"/>
        <v>2</v>
      </c>
      <c r="V117" s="1193"/>
      <c r="W117" s="1193"/>
      <c r="X117" s="604">
        <f t="shared" si="16"/>
        <v>1272143</v>
      </c>
      <c r="Y117" s="604">
        <f t="shared" si="26"/>
        <v>8252568</v>
      </c>
      <c r="Z117" s="608"/>
      <c r="AA117" s="1197">
        <f t="shared" si="27"/>
        <v>8252568</v>
      </c>
      <c r="AB117" s="242"/>
      <c r="AC117" s="1210">
        <v>16</v>
      </c>
      <c r="AD117" s="1195"/>
      <c r="AE117" s="1196"/>
      <c r="AF117" s="1188"/>
      <c r="AG117" s="1204"/>
      <c r="AH117" s="1204"/>
      <c r="AI117" s="1204"/>
      <c r="AJ117" s="1204"/>
      <c r="AK117" s="1204"/>
      <c r="AL117" s="1204"/>
    </row>
    <row r="118" spans="1:38" s="1205" customFormat="1" ht="33" customHeight="1">
      <c r="A118" s="1206">
        <v>98</v>
      </c>
      <c r="B118" s="1207">
        <v>17</v>
      </c>
      <c r="C118" s="1208" t="str">
        <f>'Chấm công KT'!C111</f>
        <v>03604</v>
      </c>
      <c r="D118" s="1208" t="str">
        <f>TONGHOPCONGDOI!C113</f>
        <v>T. Lăm Phêng</v>
      </c>
      <c r="E118" s="1208" t="s">
        <v>26</v>
      </c>
      <c r="F118" s="1209"/>
      <c r="G118" s="242">
        <f t="shared" si="24"/>
        <v>0</v>
      </c>
      <c r="H118" s="242">
        <f>VLOOKUP(D118,TONGHOPCONGDOI!C113:AD161,16,0)</f>
        <v>6421</v>
      </c>
      <c r="I118" s="242">
        <f>VLOOKUP(D118,TONGHOPCONGDOI!C113:AD161,18,0)</f>
        <v>0</v>
      </c>
      <c r="J118" s="242"/>
      <c r="K118" s="601">
        <f t="shared" si="25"/>
        <v>2777.4779830987386</v>
      </c>
      <c r="L118" s="602" t="str">
        <f>VLOOKUP(D118,'BTH mủ tạp'!$D$98:$AN$160,37,0)</f>
        <v>A</v>
      </c>
      <c r="M118" s="603">
        <f t="shared" si="28"/>
        <v>11364429</v>
      </c>
      <c r="N118" s="604">
        <f>VLOOKUP(D118,TONGHOPCONGDOI!$C$97:$AD$154,20,0)</f>
        <v>24</v>
      </c>
      <c r="O118" s="604">
        <f>VLOOKUP(D118,TONGHOPCONGDOI!$C$97:$AD$154,21,0)</f>
        <v>4</v>
      </c>
      <c r="P118" s="604">
        <f>VLOOKUP(D118,TONGHOPCONGDOI!$C$97:$AD$154,22,0)</f>
        <v>2</v>
      </c>
      <c r="Q118" s="604">
        <f>VLOOKUP(D118,TONGHOPCONGDOI!$C$97:$AD$154,23,0)</f>
        <v>0</v>
      </c>
      <c r="R118" s="604">
        <f>VLOOKUP(D118,TONGHOPCONGDOI!$C$97:$AD$154,24,0)</f>
        <v>0</v>
      </c>
      <c r="S118" s="604">
        <f>VLOOKUP(D118,TONGHOPCONGDOI!$C$97:$AD$154,25,0)</f>
        <v>0</v>
      </c>
      <c r="T118" s="604"/>
      <c r="U118" s="1192">
        <f t="shared" si="29"/>
        <v>2</v>
      </c>
      <c r="V118" s="1193"/>
      <c r="W118" s="1193"/>
      <c r="X118" s="604">
        <f t="shared" si="16"/>
        <v>1272143</v>
      </c>
      <c r="Y118" s="604">
        <f t="shared" si="26"/>
        <v>12636572</v>
      </c>
      <c r="Z118" s="608"/>
      <c r="AA118" s="1197">
        <f t="shared" si="27"/>
        <v>12636572</v>
      </c>
      <c r="AB118" s="242"/>
      <c r="AC118" s="1210">
        <v>17</v>
      </c>
      <c r="AD118" s="1195"/>
      <c r="AE118" s="1196"/>
      <c r="AF118" s="1188"/>
      <c r="AG118" s="1204"/>
      <c r="AH118" s="1204"/>
      <c r="AI118" s="1204"/>
      <c r="AJ118" s="1204"/>
      <c r="AK118" s="1204"/>
      <c r="AL118" s="1204"/>
    </row>
    <row r="119" spans="1:38" s="1205" customFormat="1" ht="33" customHeight="1">
      <c r="A119" s="1206">
        <v>99</v>
      </c>
      <c r="B119" s="1208">
        <v>18</v>
      </c>
      <c r="C119" s="1208" t="str">
        <f>'Chấm công KT'!C112</f>
        <v>04075</v>
      </c>
      <c r="D119" s="1208" t="str">
        <f>TONGHOPCONGDOI!C114</f>
        <v>T Xèng</v>
      </c>
      <c r="E119" s="1208" t="s">
        <v>26</v>
      </c>
      <c r="F119" s="1209"/>
      <c r="G119" s="242">
        <f t="shared" si="24"/>
        <v>0</v>
      </c>
      <c r="H119" s="242">
        <f>VLOOKUP(D119,TONGHOPCONGDOI!C114:AD161,16,0)</f>
        <v>4782</v>
      </c>
      <c r="I119" s="242">
        <f>VLOOKUP(D119,TONGHOPCONGDOI!C114:AD161,18,0)</f>
        <v>0</v>
      </c>
      <c r="J119" s="242"/>
      <c r="K119" s="601">
        <f t="shared" si="25"/>
        <v>2068.509533589498</v>
      </c>
      <c r="L119" s="602" t="str">
        <f>VLOOKUP(D119,'BTH mủ tạp'!$D$98:$AN$160,37,0)</f>
        <v>A</v>
      </c>
      <c r="M119" s="603">
        <f t="shared" si="28"/>
        <v>8463588</v>
      </c>
      <c r="N119" s="604">
        <f>VLOOKUP(D119,TONGHOPCONGDOI!$C$97:$AD$154,20,0)</f>
        <v>24</v>
      </c>
      <c r="O119" s="604">
        <f>VLOOKUP(D119,TONGHOPCONGDOI!$C$97:$AD$154,21,0)</f>
        <v>4</v>
      </c>
      <c r="P119" s="604">
        <f>VLOOKUP(D119,TONGHOPCONGDOI!$C$97:$AD$154,22,0)</f>
        <v>2</v>
      </c>
      <c r="Q119" s="604">
        <f>VLOOKUP(D119,TONGHOPCONGDOI!$C$97:$AD$154,23,0)</f>
        <v>0</v>
      </c>
      <c r="R119" s="604">
        <f>VLOOKUP(D119,TONGHOPCONGDOI!$C$97:$AD$154,24,0)</f>
        <v>0</v>
      </c>
      <c r="S119" s="604">
        <f>VLOOKUP(D119,TONGHOPCONGDOI!$C$97:$AD$154,25,0)</f>
        <v>0</v>
      </c>
      <c r="T119" s="604"/>
      <c r="U119" s="1192">
        <f t="shared" si="29"/>
        <v>2</v>
      </c>
      <c r="V119" s="1193"/>
      <c r="W119" s="1193"/>
      <c r="X119" s="604">
        <f t="shared" si="16"/>
        <v>1272143</v>
      </c>
      <c r="Y119" s="604">
        <f t="shared" si="26"/>
        <v>9735731</v>
      </c>
      <c r="Z119" s="608"/>
      <c r="AA119" s="1197">
        <f t="shared" si="27"/>
        <v>9735731</v>
      </c>
      <c r="AB119" s="242"/>
      <c r="AC119" s="1210">
        <v>18</v>
      </c>
      <c r="AD119" s="1195"/>
      <c r="AE119" s="1196"/>
      <c r="AF119" s="1188"/>
      <c r="AG119" s="1204"/>
      <c r="AH119" s="1204"/>
      <c r="AI119" s="1204"/>
      <c r="AJ119" s="1204"/>
      <c r="AK119" s="1204"/>
      <c r="AL119" s="1204"/>
    </row>
    <row r="120" spans="1:38" s="1205" customFormat="1" ht="33" customHeight="1">
      <c r="A120" s="1206">
        <v>100</v>
      </c>
      <c r="B120" s="1207">
        <v>19</v>
      </c>
      <c r="C120" s="1208" t="str">
        <f>'Chấm công KT'!C113</f>
        <v>03509</v>
      </c>
      <c r="D120" s="1208" t="str">
        <f>TONGHOPCONGDOI!C115</f>
        <v>T. May</v>
      </c>
      <c r="E120" s="1208" t="s">
        <v>26</v>
      </c>
      <c r="F120" s="1209"/>
      <c r="G120" s="242">
        <f t="shared" si="24"/>
        <v>0</v>
      </c>
      <c r="H120" s="242">
        <f>VLOOKUP(D120,TONGHOPCONGDOI!C115:AD161,16,0)</f>
        <v>4545</v>
      </c>
      <c r="I120" s="242">
        <f>VLOOKUP(D120,TONGHOPCONGDOI!C115:AD161,18,0)</f>
        <v>0</v>
      </c>
      <c r="J120" s="242"/>
      <c r="K120" s="601">
        <f t="shared" si="25"/>
        <v>1965.9924362535066</v>
      </c>
      <c r="L120" s="602" t="str">
        <f>VLOOKUP(D120,'BTH mủ tạp'!$D$98:$AN$160,37,0)</f>
        <v>A</v>
      </c>
      <c r="M120" s="603">
        <f t="shared" si="28"/>
        <v>8044125</v>
      </c>
      <c r="N120" s="604">
        <f>VLOOKUP(D120,TONGHOPCONGDOI!$C$97:$AD$154,20,0)</f>
        <v>24</v>
      </c>
      <c r="O120" s="604">
        <f>VLOOKUP(D120,TONGHOPCONGDOI!$C$97:$AD$154,21,0)</f>
        <v>3</v>
      </c>
      <c r="P120" s="604">
        <f>VLOOKUP(D120,TONGHOPCONGDOI!$C$97:$AD$154,22,0)</f>
        <v>2</v>
      </c>
      <c r="Q120" s="604">
        <f>VLOOKUP(D120,TONGHOPCONGDOI!$C$97:$AD$154,23,0)</f>
        <v>0</v>
      </c>
      <c r="R120" s="604">
        <f>VLOOKUP(D120,TONGHOPCONGDOI!$C$97:$AD$154,24,0)</f>
        <v>0</v>
      </c>
      <c r="S120" s="604">
        <f>VLOOKUP(D120,TONGHOPCONGDOI!$C$97:$AD$154,25,0)</f>
        <v>0</v>
      </c>
      <c r="T120" s="604"/>
      <c r="U120" s="1192">
        <f t="shared" si="29"/>
        <v>2</v>
      </c>
      <c r="V120" s="1193"/>
      <c r="W120" s="1193"/>
      <c r="X120" s="604">
        <f t="shared" si="16"/>
        <v>1220561</v>
      </c>
      <c r="Y120" s="604">
        <f t="shared" si="26"/>
        <v>9264686</v>
      </c>
      <c r="Z120" s="608"/>
      <c r="AA120" s="1197">
        <f t="shared" si="27"/>
        <v>9264686</v>
      </c>
      <c r="AB120" s="242"/>
      <c r="AC120" s="1210">
        <v>19</v>
      </c>
      <c r="AD120" s="1195"/>
      <c r="AE120" s="1196"/>
      <c r="AF120" s="1188"/>
      <c r="AG120" s="1204"/>
      <c r="AH120" s="1204"/>
      <c r="AI120" s="1204"/>
      <c r="AJ120" s="1204"/>
      <c r="AK120" s="1204"/>
      <c r="AL120" s="1204"/>
    </row>
    <row r="121" spans="1:38" s="1205" customFormat="1" ht="33" customHeight="1">
      <c r="A121" s="1206">
        <v>101</v>
      </c>
      <c r="B121" s="1208">
        <v>20</v>
      </c>
      <c r="C121" s="1208" t="str">
        <f>'Chấm công KT'!C114</f>
        <v>03607</v>
      </c>
      <c r="D121" s="1208" t="str">
        <f>TONGHOPCONGDOI!C116</f>
        <v>T. Huôn</v>
      </c>
      <c r="E121" s="1208" t="s">
        <v>26</v>
      </c>
      <c r="F121" s="1209"/>
      <c r="G121" s="242">
        <f t="shared" si="24"/>
        <v>0</v>
      </c>
      <c r="H121" s="242">
        <f>VLOOKUP(D121,TONGHOPCONGDOI!C116:AD161,16,0)</f>
        <v>3436</v>
      </c>
      <c r="I121" s="242">
        <f>VLOOKUP(D121,TONGHOPCONGDOI!C116:AD161,18,0)</f>
        <v>0</v>
      </c>
      <c r="J121" s="242"/>
      <c r="K121" s="601">
        <f t="shared" si="25"/>
        <v>1486.2816305758083</v>
      </c>
      <c r="L121" s="602" t="str">
        <f>VLOOKUP(D121,'BTH mủ tạp'!$D$98:$AN$160,37,0)</f>
        <v>A</v>
      </c>
      <c r="M121" s="603">
        <f t="shared" si="28"/>
        <v>6081323</v>
      </c>
      <c r="N121" s="604">
        <f>VLOOKUP(D121,TONGHOPCONGDOI!$C$97:$AD$154,20,0)</f>
        <v>23</v>
      </c>
      <c r="O121" s="604">
        <f>VLOOKUP(D121,TONGHOPCONGDOI!$C$97:$AD$154,21,0)</f>
        <v>3</v>
      </c>
      <c r="P121" s="604">
        <f>VLOOKUP(D121,TONGHOPCONGDOI!$C$97:$AD$154,22,0)</f>
        <v>2</v>
      </c>
      <c r="Q121" s="604">
        <f>VLOOKUP(D121,TONGHOPCONGDOI!$C$97:$AD$154,23,0)</f>
        <v>0</v>
      </c>
      <c r="R121" s="604">
        <f>VLOOKUP(D121,TONGHOPCONGDOI!$C$97:$AD$154,24,0)</f>
        <v>0</v>
      </c>
      <c r="S121" s="604">
        <f>VLOOKUP(D121,TONGHOPCONGDOI!$C$97:$AD$154,25,0)</f>
        <v>0</v>
      </c>
      <c r="T121" s="604"/>
      <c r="U121" s="1192">
        <f t="shared" si="29"/>
        <v>2</v>
      </c>
      <c r="V121" s="1193"/>
      <c r="W121" s="1193"/>
      <c r="X121" s="604">
        <f t="shared" si="16"/>
        <v>1189639</v>
      </c>
      <c r="Y121" s="604">
        <f t="shared" si="26"/>
        <v>7270962</v>
      </c>
      <c r="Z121" s="608"/>
      <c r="AA121" s="1197">
        <f t="shared" si="27"/>
        <v>7270962</v>
      </c>
      <c r="AB121" s="242"/>
      <c r="AC121" s="1210">
        <v>20</v>
      </c>
      <c r="AD121" s="1195"/>
      <c r="AE121" s="1196"/>
      <c r="AF121" s="1188"/>
      <c r="AG121" s="1204"/>
      <c r="AH121" s="1204"/>
      <c r="AI121" s="1204"/>
      <c r="AJ121" s="1204"/>
      <c r="AK121" s="1204"/>
      <c r="AL121" s="1204"/>
    </row>
    <row r="122" spans="1:38" s="1205" customFormat="1" ht="33" customHeight="1">
      <c r="A122" s="1206">
        <v>102</v>
      </c>
      <c r="B122" s="1207">
        <v>21</v>
      </c>
      <c r="C122" s="1208" t="str">
        <f>'Chấm công KT'!C115</f>
        <v>02729</v>
      </c>
      <c r="D122" s="1208" t="str">
        <f>TONGHOPCONGDOI!C117</f>
        <v>N. Lay</v>
      </c>
      <c r="E122" s="1208" t="s">
        <v>26</v>
      </c>
      <c r="F122" s="1209"/>
      <c r="G122" s="242">
        <f t="shared" si="24"/>
        <v>0</v>
      </c>
      <c r="H122" s="242">
        <f>VLOOKUP(D122,TONGHOPCONGDOI!C117:AD161,16,0)</f>
        <v>3427</v>
      </c>
      <c r="I122" s="242">
        <f>VLOOKUP(D122,TONGHOPCONGDOI!C117:AD161,18,0)</f>
        <v>0</v>
      </c>
      <c r="J122" s="242"/>
      <c r="K122" s="601">
        <f t="shared" si="25"/>
        <v>1482.3885762465934</v>
      </c>
      <c r="L122" s="602" t="str">
        <f>VLOOKUP(D122,'BTH mủ tạp'!$D$98:$AN$160,37,0)</f>
        <v>A</v>
      </c>
      <c r="M122" s="603">
        <f t="shared" si="28"/>
        <v>6065394</v>
      </c>
      <c r="N122" s="604">
        <f>VLOOKUP(D122,TONGHOPCONGDOI!$C$97:$AD$154,20,0)</f>
        <v>22</v>
      </c>
      <c r="O122" s="604">
        <f>VLOOKUP(D122,TONGHOPCONGDOI!$C$97:$AD$154,21,0)</f>
        <v>3</v>
      </c>
      <c r="P122" s="604">
        <f>VLOOKUP(D122,TONGHOPCONGDOI!$C$97:$AD$154,22,0)</f>
        <v>2</v>
      </c>
      <c r="Q122" s="604">
        <f>VLOOKUP(D122,TONGHOPCONGDOI!$C$97:$AD$154,23,0)</f>
        <v>0</v>
      </c>
      <c r="R122" s="604">
        <f>VLOOKUP(D122,TONGHOPCONGDOI!$C$97:$AD$154,24,0)</f>
        <v>0</v>
      </c>
      <c r="S122" s="604">
        <f>VLOOKUP(D122,TONGHOPCONGDOI!$C$97:$AD$154,25,0)</f>
        <v>0</v>
      </c>
      <c r="T122" s="604"/>
      <c r="U122" s="1192">
        <f t="shared" si="29"/>
        <v>2</v>
      </c>
      <c r="V122" s="1193"/>
      <c r="W122" s="1193"/>
      <c r="X122" s="604">
        <f t="shared" si="16"/>
        <v>1158717</v>
      </c>
      <c r="Y122" s="604">
        <f t="shared" si="26"/>
        <v>7224111</v>
      </c>
      <c r="Z122" s="608"/>
      <c r="AA122" s="1197">
        <f t="shared" si="27"/>
        <v>7224111</v>
      </c>
      <c r="AB122" s="242"/>
      <c r="AC122" s="1210">
        <v>21</v>
      </c>
      <c r="AD122" s="1195"/>
      <c r="AE122" s="1196"/>
      <c r="AF122" s="1188"/>
      <c r="AG122" s="1204"/>
      <c r="AH122" s="1204"/>
      <c r="AI122" s="1204"/>
      <c r="AJ122" s="1204"/>
      <c r="AK122" s="1204"/>
      <c r="AL122" s="1204"/>
    </row>
    <row r="123" spans="1:38" s="1205" customFormat="1" ht="33" customHeight="1">
      <c r="A123" s="1206">
        <v>103</v>
      </c>
      <c r="B123" s="1208">
        <v>22</v>
      </c>
      <c r="C123" s="1208" t="str">
        <f>'Chấm công KT'!C116</f>
        <v>03608</v>
      </c>
      <c r="D123" s="1208" t="str">
        <f>TONGHOPCONGDOI!C118</f>
        <v>N. Pon</v>
      </c>
      <c r="E123" s="1208" t="s">
        <v>26</v>
      </c>
      <c r="F123" s="1209"/>
      <c r="G123" s="242">
        <f t="shared" si="24"/>
        <v>0</v>
      </c>
      <c r="H123" s="242">
        <f>VLOOKUP(D123,TONGHOPCONGDOI!C118:AD161,16,0)</f>
        <v>4685</v>
      </c>
      <c r="I123" s="242">
        <f>VLOOKUP(D123,TONGHOPCONGDOI!C118:AD161,18,0)</f>
        <v>0</v>
      </c>
      <c r="J123" s="242"/>
      <c r="K123" s="601">
        <f t="shared" si="25"/>
        <v>2026.5510591524046</v>
      </c>
      <c r="L123" s="602" t="str">
        <f>VLOOKUP(D123,'BTH mủ tạp'!$D$98:$AN$160,37,0)</f>
        <v>A</v>
      </c>
      <c r="M123" s="603">
        <f t="shared" si="28"/>
        <v>8291909</v>
      </c>
      <c r="N123" s="604">
        <f>VLOOKUP(D123,TONGHOPCONGDOI!$C$97:$AD$154,20,0)</f>
        <v>24</v>
      </c>
      <c r="O123" s="604">
        <f>VLOOKUP(D123,TONGHOPCONGDOI!$C$97:$AD$154,21,0)</f>
        <v>4</v>
      </c>
      <c r="P123" s="604">
        <f>VLOOKUP(D123,TONGHOPCONGDOI!$C$97:$AD$154,22,0)</f>
        <v>2</v>
      </c>
      <c r="Q123" s="604">
        <f>VLOOKUP(D123,TONGHOPCONGDOI!$C$97:$AD$154,23,0)</f>
        <v>0</v>
      </c>
      <c r="R123" s="604">
        <f>VLOOKUP(D123,TONGHOPCONGDOI!$C$97:$AD$154,24,0)</f>
        <v>0</v>
      </c>
      <c r="S123" s="604">
        <f>VLOOKUP(D123,TONGHOPCONGDOI!$C$97:$AD$154,25,0)</f>
        <v>0</v>
      </c>
      <c r="T123" s="604"/>
      <c r="U123" s="1192">
        <f t="shared" si="29"/>
        <v>2</v>
      </c>
      <c r="V123" s="1193"/>
      <c r="W123" s="1193"/>
      <c r="X123" s="604">
        <f t="shared" si="16"/>
        <v>1272143</v>
      </c>
      <c r="Y123" s="604">
        <f t="shared" si="26"/>
        <v>9564052</v>
      </c>
      <c r="Z123" s="608"/>
      <c r="AA123" s="1197">
        <f t="shared" si="27"/>
        <v>9564052</v>
      </c>
      <c r="AB123" s="242"/>
      <c r="AC123" s="1210">
        <v>22</v>
      </c>
      <c r="AD123" s="1195"/>
      <c r="AE123" s="1196"/>
      <c r="AF123" s="1188"/>
      <c r="AG123" s="1204"/>
      <c r="AH123" s="1204"/>
      <c r="AI123" s="1204"/>
      <c r="AJ123" s="1204"/>
      <c r="AK123" s="1204"/>
      <c r="AL123" s="1204"/>
    </row>
    <row r="124" spans="1:38" s="1205" customFormat="1" ht="33" customHeight="1">
      <c r="A124" s="1206">
        <v>104</v>
      </c>
      <c r="B124" s="1207">
        <v>23</v>
      </c>
      <c r="C124" s="1208" t="str">
        <f>'Chấm công KT'!C117</f>
        <v>03609</v>
      </c>
      <c r="D124" s="1208" t="str">
        <f>TONGHOPCONGDOI!C119</f>
        <v>N. Bun Đi</v>
      </c>
      <c r="E124" s="1208" t="s">
        <v>26</v>
      </c>
      <c r="F124" s="1209"/>
      <c r="G124" s="242">
        <f t="shared" si="24"/>
        <v>0</v>
      </c>
      <c r="H124" s="242">
        <f>VLOOKUP(D124,TONGHOPCONGDOI!C119:AD161,16,0)</f>
        <v>3807</v>
      </c>
      <c r="I124" s="242">
        <f>VLOOKUP(D124,TONGHOPCONGDOI!C119:AD161,18,0)</f>
        <v>0</v>
      </c>
      <c r="J124" s="242"/>
      <c r="K124" s="601">
        <f t="shared" si="25"/>
        <v>1646.7619812578878</v>
      </c>
      <c r="L124" s="602" t="str">
        <f>VLOOKUP(D124,'BTH mủ tạp'!$D$98:$AN$160,37,0)</f>
        <v>A</v>
      </c>
      <c r="M124" s="603">
        <f t="shared" si="28"/>
        <v>6737951</v>
      </c>
      <c r="N124" s="604">
        <f>VLOOKUP(D124,TONGHOPCONGDOI!$C$97:$AD$154,20,0)</f>
        <v>24</v>
      </c>
      <c r="O124" s="604">
        <f>VLOOKUP(D124,TONGHOPCONGDOI!$C$97:$AD$154,21,0)</f>
        <v>4</v>
      </c>
      <c r="P124" s="604">
        <f>VLOOKUP(D124,TONGHOPCONGDOI!$C$97:$AD$154,22,0)</f>
        <v>2</v>
      </c>
      <c r="Q124" s="604">
        <f>VLOOKUP(D124,TONGHOPCONGDOI!$C$97:$AD$154,23,0)</f>
        <v>0</v>
      </c>
      <c r="R124" s="604">
        <f>VLOOKUP(D124,TONGHOPCONGDOI!$C$97:$AD$154,24,0)</f>
        <v>0</v>
      </c>
      <c r="S124" s="604">
        <f>VLOOKUP(D124,TONGHOPCONGDOI!$C$97:$AD$154,25,0)</f>
        <v>0</v>
      </c>
      <c r="T124" s="604"/>
      <c r="U124" s="1192">
        <f t="shared" si="29"/>
        <v>2</v>
      </c>
      <c r="V124" s="1193"/>
      <c r="W124" s="1193"/>
      <c r="X124" s="604">
        <f t="shared" si="16"/>
        <v>1272143</v>
      </c>
      <c r="Y124" s="604">
        <f t="shared" si="26"/>
        <v>8010094</v>
      </c>
      <c r="Z124" s="608"/>
      <c r="AA124" s="1197">
        <f t="shared" si="27"/>
        <v>8010094</v>
      </c>
      <c r="AB124" s="242"/>
      <c r="AC124" s="1210">
        <v>23</v>
      </c>
      <c r="AD124" s="1195"/>
      <c r="AE124" s="1196"/>
      <c r="AF124" s="1188"/>
      <c r="AG124" s="1204"/>
      <c r="AH124" s="1204"/>
      <c r="AI124" s="1204"/>
      <c r="AJ124" s="1204"/>
      <c r="AK124" s="1204"/>
      <c r="AL124" s="1204"/>
    </row>
    <row r="125" spans="1:38" s="1205" customFormat="1" ht="33" customHeight="1">
      <c r="A125" s="1206">
        <v>105</v>
      </c>
      <c r="B125" s="1208">
        <v>24</v>
      </c>
      <c r="C125" s="1208" t="str">
        <f>'Chấm công KT'!C118</f>
        <v>03610</v>
      </c>
      <c r="D125" s="1208" t="str">
        <f>TONGHOPCONGDOI!C120</f>
        <v>N. Phon</v>
      </c>
      <c r="E125" s="1208" t="s">
        <v>26</v>
      </c>
      <c r="F125" s="1209"/>
      <c r="G125" s="242">
        <f t="shared" si="24"/>
        <v>0</v>
      </c>
      <c r="H125" s="242">
        <f>VLOOKUP(D125,TONGHOPCONGDOI!C120:AD161,16,0)</f>
        <v>3891</v>
      </c>
      <c r="I125" s="242">
        <f>VLOOKUP(D125,TONGHOPCONGDOI!C120:AD161,18,0)</f>
        <v>0</v>
      </c>
      <c r="J125" s="242"/>
      <c r="K125" s="601">
        <f t="shared" si="25"/>
        <v>1683.0971549972264</v>
      </c>
      <c r="L125" s="602" t="str">
        <f>VLOOKUP(D125,'BTH mủ tạp'!$D$98:$AN$160,37,0)</f>
        <v>B</v>
      </c>
      <c r="M125" s="603">
        <f t="shared" si="28"/>
        <v>6547935</v>
      </c>
      <c r="N125" s="604">
        <f>VLOOKUP(D125,TONGHOPCONGDOI!$C$97:$AD$154,20,0)</f>
        <v>24</v>
      </c>
      <c r="O125" s="604">
        <f>VLOOKUP(D125,TONGHOPCONGDOI!$C$97:$AD$154,21,0)</f>
        <v>4</v>
      </c>
      <c r="P125" s="604">
        <f>VLOOKUP(D125,TONGHOPCONGDOI!$C$97:$AD$154,22,0)</f>
        <v>2</v>
      </c>
      <c r="Q125" s="604">
        <f>VLOOKUP(D125,TONGHOPCONGDOI!$C$97:$AD$154,23,0)</f>
        <v>0</v>
      </c>
      <c r="R125" s="604">
        <f>VLOOKUP(D125,TONGHOPCONGDOI!$C$97:$AD$154,24,0)</f>
        <v>0</v>
      </c>
      <c r="S125" s="604">
        <f>VLOOKUP(D125,TONGHOPCONGDOI!$C$97:$AD$154,25,0)</f>
        <v>0</v>
      </c>
      <c r="T125" s="604"/>
      <c r="U125" s="1192">
        <f t="shared" si="29"/>
        <v>2</v>
      </c>
      <c r="V125" s="1193"/>
      <c r="W125" s="1193"/>
      <c r="X125" s="604">
        <f t="shared" si="16"/>
        <v>1272143</v>
      </c>
      <c r="Y125" s="604">
        <f t="shared" si="26"/>
        <v>7820078</v>
      </c>
      <c r="Z125" s="608"/>
      <c r="AA125" s="1197">
        <f t="shared" si="27"/>
        <v>7820078</v>
      </c>
      <c r="AB125" s="242"/>
      <c r="AC125" s="1210">
        <v>24</v>
      </c>
      <c r="AD125" s="1195"/>
      <c r="AE125" s="1196"/>
      <c r="AF125" s="1188"/>
      <c r="AG125" s="1204"/>
      <c r="AH125" s="1204"/>
      <c r="AI125" s="1204"/>
      <c r="AJ125" s="1204"/>
      <c r="AK125" s="1204"/>
      <c r="AL125" s="1204"/>
    </row>
    <row r="126" spans="1:38" s="1205" customFormat="1" ht="33" customHeight="1">
      <c r="A126" s="1206">
        <v>106</v>
      </c>
      <c r="B126" s="1207">
        <v>25</v>
      </c>
      <c r="C126" s="1208" t="str">
        <f>'Chấm công KT'!C119</f>
        <v>04076</v>
      </c>
      <c r="D126" s="1208" t="str">
        <f>TONGHOPCONGDOI!C121</f>
        <v xml:space="preserve">N. Bun </v>
      </c>
      <c r="E126" s="1208" t="s">
        <v>26</v>
      </c>
      <c r="F126" s="1209"/>
      <c r="G126" s="242">
        <f t="shared" si="24"/>
        <v>0</v>
      </c>
      <c r="H126" s="242">
        <f>VLOOKUP(D126,TONGHOPCONGDOI!C121:AD161,16,0)</f>
        <v>4862</v>
      </c>
      <c r="I126" s="242">
        <f>VLOOKUP(D126,TONGHOPCONGDOI!C121:AD161,18,0)</f>
        <v>0</v>
      </c>
      <c r="J126" s="242"/>
      <c r="K126" s="601">
        <f t="shared" si="25"/>
        <v>2103.114460960297</v>
      </c>
      <c r="L126" s="602" t="str">
        <f>VLOOKUP(D126,'BTH mủ tạp'!$D$98:$AN$160,37,0)</f>
        <v>A</v>
      </c>
      <c r="M126" s="603">
        <f t="shared" si="28"/>
        <v>8605179</v>
      </c>
      <c r="N126" s="604">
        <f>VLOOKUP(D126,TONGHOPCONGDOI!$C$97:$AD$154,20,0)</f>
        <v>24</v>
      </c>
      <c r="O126" s="604">
        <f>VLOOKUP(D126,TONGHOPCONGDOI!$C$97:$AD$154,21,0)</f>
        <v>4</v>
      </c>
      <c r="P126" s="604">
        <f>VLOOKUP(D126,TONGHOPCONGDOI!$C$97:$AD$154,22,0)</f>
        <v>2</v>
      </c>
      <c r="Q126" s="604">
        <f>VLOOKUP(D126,TONGHOPCONGDOI!$C$97:$AD$154,23,0)</f>
        <v>0</v>
      </c>
      <c r="R126" s="604">
        <f>VLOOKUP(D126,TONGHOPCONGDOI!$C$97:$AD$154,24,0)</f>
        <v>0</v>
      </c>
      <c r="S126" s="604">
        <f>VLOOKUP(D126,TONGHOPCONGDOI!$C$97:$AD$154,25,0)</f>
        <v>0</v>
      </c>
      <c r="T126" s="604"/>
      <c r="U126" s="1192">
        <f t="shared" si="29"/>
        <v>2</v>
      </c>
      <c r="V126" s="1193"/>
      <c r="W126" s="1193"/>
      <c r="X126" s="604">
        <f t="shared" si="16"/>
        <v>1272143</v>
      </c>
      <c r="Y126" s="604">
        <f t="shared" si="26"/>
        <v>9877322</v>
      </c>
      <c r="Z126" s="608"/>
      <c r="AA126" s="1197">
        <f t="shared" si="27"/>
        <v>9877322</v>
      </c>
      <c r="AB126" s="242"/>
      <c r="AC126" s="1210">
        <v>25</v>
      </c>
      <c r="AD126" s="1195"/>
      <c r="AE126" s="1196"/>
      <c r="AF126" s="1188"/>
      <c r="AG126" s="1204"/>
      <c r="AH126" s="1204"/>
      <c r="AI126" s="1204"/>
      <c r="AJ126" s="1204"/>
      <c r="AK126" s="1204"/>
      <c r="AL126" s="1204"/>
    </row>
    <row r="127" spans="1:38" s="1205" customFormat="1" ht="33" customHeight="1">
      <c r="A127" s="1206">
        <v>107</v>
      </c>
      <c r="B127" s="1208">
        <v>26</v>
      </c>
      <c r="C127" s="1208" t="str">
        <f>'Chấm công KT'!C120</f>
        <v>03612</v>
      </c>
      <c r="D127" s="1208" t="str">
        <f>TONGHOPCONGDOI!C122</f>
        <v>N. Phu Văn</v>
      </c>
      <c r="E127" s="1208" t="s">
        <v>26</v>
      </c>
      <c r="F127" s="1209"/>
      <c r="G127" s="242">
        <f t="shared" si="24"/>
        <v>0</v>
      </c>
      <c r="H127" s="242">
        <f>VLOOKUP(D127,TONGHOPCONGDOI!C122:AD161,16,0)</f>
        <v>4904</v>
      </c>
      <c r="I127" s="242">
        <f>VLOOKUP(D127,TONGHOPCONGDOI!C122:AD161,18,0)</f>
        <v>0</v>
      </c>
      <c r="J127" s="242"/>
      <c r="K127" s="601">
        <f t="shared" si="25"/>
        <v>2121.2820478299664</v>
      </c>
      <c r="L127" s="602" t="str">
        <f>VLOOKUP(D127,'BTH mủ tạp'!$D$98:$AN$160,37,0)</f>
        <v>A</v>
      </c>
      <c r="M127" s="603">
        <f t="shared" si="28"/>
        <v>8679514</v>
      </c>
      <c r="N127" s="604">
        <f>VLOOKUP(D127,TONGHOPCONGDOI!$C$97:$AD$154,20,0)</f>
        <v>24</v>
      </c>
      <c r="O127" s="604">
        <f>VLOOKUP(D127,TONGHOPCONGDOI!$C$97:$AD$154,21,0)</f>
        <v>4</v>
      </c>
      <c r="P127" s="604">
        <f>VLOOKUP(D127,TONGHOPCONGDOI!$C$97:$AD$154,22,0)</f>
        <v>2</v>
      </c>
      <c r="Q127" s="604">
        <f>VLOOKUP(D127,TONGHOPCONGDOI!$C$97:$AD$154,23,0)</f>
        <v>0</v>
      </c>
      <c r="R127" s="604">
        <f>VLOOKUP(D127,TONGHOPCONGDOI!$C$97:$AD$154,24,0)</f>
        <v>0</v>
      </c>
      <c r="S127" s="604">
        <f>VLOOKUP(D127,TONGHOPCONGDOI!$C$97:$AD$154,25,0)</f>
        <v>0</v>
      </c>
      <c r="T127" s="604"/>
      <c r="U127" s="1192">
        <f t="shared" si="29"/>
        <v>2</v>
      </c>
      <c r="V127" s="1193"/>
      <c r="W127" s="1193"/>
      <c r="X127" s="604">
        <f t="shared" si="16"/>
        <v>1272143</v>
      </c>
      <c r="Y127" s="604">
        <f t="shared" si="26"/>
        <v>9951657</v>
      </c>
      <c r="Z127" s="608"/>
      <c r="AA127" s="1197">
        <f t="shared" si="27"/>
        <v>9951657</v>
      </c>
      <c r="AB127" s="242"/>
      <c r="AC127" s="1210">
        <v>26</v>
      </c>
      <c r="AD127" s="1195"/>
      <c r="AE127" s="1196"/>
      <c r="AF127" s="1188"/>
      <c r="AG127" s="1204"/>
      <c r="AH127" s="1204"/>
      <c r="AI127" s="1204"/>
      <c r="AJ127" s="1204"/>
      <c r="AK127" s="1204"/>
      <c r="AL127" s="1204"/>
    </row>
    <row r="128" spans="1:38" s="1205" customFormat="1" ht="33" customHeight="1">
      <c r="A128" s="1206">
        <v>108</v>
      </c>
      <c r="B128" s="1207">
        <v>27</v>
      </c>
      <c r="C128" s="1208" t="str">
        <f>'Chấm công KT'!C121</f>
        <v>03613</v>
      </c>
      <c r="D128" s="1208" t="str">
        <f>TONGHOPCONGDOI!C123</f>
        <v>N. Lỷ</v>
      </c>
      <c r="E128" s="1208" t="s">
        <v>26</v>
      </c>
      <c r="F128" s="1209"/>
      <c r="G128" s="242">
        <f t="shared" si="24"/>
        <v>0</v>
      </c>
      <c r="H128" s="242">
        <f>VLOOKUP(D128,TONGHOPCONGDOI!C123:AD161,16,0)</f>
        <v>5601</v>
      </c>
      <c r="I128" s="242">
        <f>VLOOKUP(D128,TONGHOPCONGDOI!C123:AD161,18,0)</f>
        <v>0</v>
      </c>
      <c r="J128" s="242"/>
      <c r="K128" s="601">
        <f t="shared" si="25"/>
        <v>2422.7774775480507</v>
      </c>
      <c r="L128" s="602" t="str">
        <f>VLOOKUP(D128,'BTH mủ tạp'!$D$98:$AN$160,37,0)</f>
        <v>A</v>
      </c>
      <c r="M128" s="603">
        <f t="shared" si="28"/>
        <v>9913124</v>
      </c>
      <c r="N128" s="604">
        <f>VLOOKUP(D128,TONGHOPCONGDOI!$C$97:$AD$154,20,0)</f>
        <v>24</v>
      </c>
      <c r="O128" s="604">
        <f>VLOOKUP(D128,TONGHOPCONGDOI!$C$97:$AD$154,21,0)</f>
        <v>4</v>
      </c>
      <c r="P128" s="604">
        <f>VLOOKUP(D128,TONGHOPCONGDOI!$C$97:$AD$154,22,0)</f>
        <v>2</v>
      </c>
      <c r="Q128" s="604">
        <f>VLOOKUP(D128,TONGHOPCONGDOI!$C$97:$AD$154,23,0)</f>
        <v>0</v>
      </c>
      <c r="R128" s="604">
        <f>VLOOKUP(D128,TONGHOPCONGDOI!$C$97:$AD$154,24,0)</f>
        <v>0</v>
      </c>
      <c r="S128" s="604">
        <f>VLOOKUP(D128,TONGHOPCONGDOI!$C$97:$AD$154,25,0)</f>
        <v>0</v>
      </c>
      <c r="T128" s="604"/>
      <c r="U128" s="1192">
        <f t="shared" si="29"/>
        <v>2</v>
      </c>
      <c r="V128" s="1193"/>
      <c r="W128" s="1193"/>
      <c r="X128" s="604">
        <f t="shared" si="16"/>
        <v>1272143</v>
      </c>
      <c r="Y128" s="604">
        <f t="shared" si="26"/>
        <v>11185267</v>
      </c>
      <c r="Z128" s="608"/>
      <c r="AA128" s="1197">
        <f t="shared" si="27"/>
        <v>11185267</v>
      </c>
      <c r="AB128" s="242"/>
      <c r="AC128" s="1210">
        <v>27</v>
      </c>
      <c r="AD128" s="1195"/>
      <c r="AE128" s="1196"/>
      <c r="AF128" s="1188"/>
      <c r="AG128" s="1204"/>
      <c r="AH128" s="1204"/>
      <c r="AI128" s="1204"/>
      <c r="AJ128" s="1204"/>
      <c r="AK128" s="1204"/>
      <c r="AL128" s="1204"/>
    </row>
    <row r="129" spans="1:38" s="1205" customFormat="1" ht="33" customHeight="1">
      <c r="A129" s="1206">
        <v>109</v>
      </c>
      <c r="B129" s="1208">
        <v>28</v>
      </c>
      <c r="C129" s="1208" t="str">
        <f>'Chấm công KT'!C122</f>
        <v>04077</v>
      </c>
      <c r="D129" s="1208" t="str">
        <f>TONGHOPCONGDOI!C124</f>
        <v>N. Quen</v>
      </c>
      <c r="E129" s="1208" t="s">
        <v>26</v>
      </c>
      <c r="F129" s="1209"/>
      <c r="G129" s="242">
        <f t="shared" si="24"/>
        <v>0</v>
      </c>
      <c r="H129" s="242">
        <f>VLOOKUP(D129,TONGHOPCONGDOI!C124:AD161,16,0)</f>
        <v>4775</v>
      </c>
      <c r="I129" s="242">
        <f>VLOOKUP(D129,TONGHOPCONGDOI!C124:AD161,18,0)</f>
        <v>0</v>
      </c>
      <c r="J129" s="242"/>
      <c r="K129" s="601">
        <f t="shared" si="25"/>
        <v>2065.4816024445531</v>
      </c>
      <c r="L129" s="602" t="str">
        <f>VLOOKUP(D129,'BTH mủ tạp'!$D$98:$AN$160,37,0)</f>
        <v>A</v>
      </c>
      <c r="M129" s="603">
        <f t="shared" si="28"/>
        <v>8451199</v>
      </c>
      <c r="N129" s="604">
        <f>VLOOKUP(D129,TONGHOPCONGDOI!$C$97:$AD$154,20,0)</f>
        <v>24</v>
      </c>
      <c r="O129" s="604">
        <f>VLOOKUP(D129,TONGHOPCONGDOI!$C$97:$AD$154,21,0)</f>
        <v>4</v>
      </c>
      <c r="P129" s="604">
        <f>VLOOKUP(D129,TONGHOPCONGDOI!$C$97:$AD$154,22,0)</f>
        <v>2</v>
      </c>
      <c r="Q129" s="604">
        <f>VLOOKUP(D129,TONGHOPCONGDOI!$C$97:$AD$154,23,0)</f>
        <v>0</v>
      </c>
      <c r="R129" s="604">
        <f>VLOOKUP(D129,TONGHOPCONGDOI!$C$97:$AD$154,24,0)</f>
        <v>0</v>
      </c>
      <c r="S129" s="604">
        <f>VLOOKUP(D129,TONGHOPCONGDOI!$C$97:$AD$154,25,0)</f>
        <v>0</v>
      </c>
      <c r="T129" s="604"/>
      <c r="U129" s="1192">
        <f t="shared" si="29"/>
        <v>2</v>
      </c>
      <c r="V129" s="1193"/>
      <c r="W129" s="1193"/>
      <c r="X129" s="604">
        <f t="shared" si="16"/>
        <v>1272143</v>
      </c>
      <c r="Y129" s="604">
        <f t="shared" si="26"/>
        <v>9723342</v>
      </c>
      <c r="Z129" s="608"/>
      <c r="AA129" s="1197">
        <f t="shared" si="27"/>
        <v>9723342</v>
      </c>
      <c r="AB129" s="242"/>
      <c r="AC129" s="1210">
        <v>28</v>
      </c>
      <c r="AD129" s="1195"/>
      <c r="AE129" s="1196"/>
      <c r="AF129" s="1188"/>
      <c r="AG129" s="1204"/>
      <c r="AH129" s="1204"/>
      <c r="AI129" s="1204"/>
      <c r="AJ129" s="1204"/>
      <c r="AK129" s="1204"/>
      <c r="AL129" s="1204"/>
    </row>
    <row r="130" spans="1:38" s="1205" customFormat="1" ht="33" customHeight="1">
      <c r="A130" s="1206">
        <v>110</v>
      </c>
      <c r="B130" s="1207">
        <v>29</v>
      </c>
      <c r="C130" s="1208" t="str">
        <f>'Chấm công KT'!C123</f>
        <v>03615</v>
      </c>
      <c r="D130" s="1208" t="str">
        <f>TONGHOPCONGDOI!C125</f>
        <v>T. Xi Nuôn</v>
      </c>
      <c r="E130" s="1208" t="s">
        <v>26</v>
      </c>
      <c r="F130" s="1209"/>
      <c r="G130" s="242">
        <f t="shared" si="24"/>
        <v>0</v>
      </c>
      <c r="H130" s="242">
        <f>VLOOKUP(D130,TONGHOPCONGDOI!C125:AD161,16,0)</f>
        <v>3395</v>
      </c>
      <c r="I130" s="242">
        <f>VLOOKUP(D130,TONGHOPCONGDOI!C125:AD161,18,0)</f>
        <v>0</v>
      </c>
      <c r="J130" s="242"/>
      <c r="K130" s="601">
        <f t="shared" si="25"/>
        <v>1468.546605298274</v>
      </c>
      <c r="L130" s="602" t="str">
        <f>VLOOKUP(D130,'BTH mủ tạp'!$D$98:$AN$160,37,0)</f>
        <v>A</v>
      </c>
      <c r="M130" s="603">
        <f t="shared" si="28"/>
        <v>6008758</v>
      </c>
      <c r="N130" s="604">
        <f>VLOOKUP(D130,TONGHOPCONGDOI!$C$97:$AD$154,20,0)</f>
        <v>22</v>
      </c>
      <c r="O130" s="604">
        <f>VLOOKUP(D130,TONGHOPCONGDOI!$C$97:$AD$154,21,0)</f>
        <v>4</v>
      </c>
      <c r="P130" s="604">
        <f>VLOOKUP(D130,TONGHOPCONGDOI!$C$97:$AD$154,22,0)</f>
        <v>2</v>
      </c>
      <c r="Q130" s="604">
        <f>VLOOKUP(D130,TONGHOPCONGDOI!$C$97:$AD$154,23,0)</f>
        <v>0</v>
      </c>
      <c r="R130" s="604">
        <f>VLOOKUP(D130,TONGHOPCONGDOI!$C$97:$AD$154,24,0)</f>
        <v>0</v>
      </c>
      <c r="S130" s="604">
        <f>VLOOKUP(D130,TONGHOPCONGDOI!$C$97:$AD$154,25,0)</f>
        <v>0</v>
      </c>
      <c r="T130" s="604"/>
      <c r="U130" s="1192">
        <f t="shared" si="29"/>
        <v>2</v>
      </c>
      <c r="V130" s="1193"/>
      <c r="W130" s="1193"/>
      <c r="X130" s="604">
        <f t="shared" si="16"/>
        <v>1210299</v>
      </c>
      <c r="Y130" s="604">
        <f t="shared" si="26"/>
        <v>7219057</v>
      </c>
      <c r="Z130" s="608"/>
      <c r="AA130" s="1197">
        <f t="shared" si="27"/>
        <v>7219057</v>
      </c>
      <c r="AB130" s="242"/>
      <c r="AC130" s="1210">
        <v>29</v>
      </c>
      <c r="AD130" s="1195"/>
      <c r="AE130" s="1196"/>
      <c r="AF130" s="1188"/>
      <c r="AG130" s="1204"/>
      <c r="AH130" s="1204"/>
      <c r="AI130" s="1204"/>
      <c r="AJ130" s="1204"/>
      <c r="AK130" s="1204"/>
      <c r="AL130" s="1204"/>
    </row>
    <row r="131" spans="1:38" s="1205" customFormat="1" ht="33" customHeight="1">
      <c r="A131" s="1206">
        <v>111</v>
      </c>
      <c r="B131" s="1208">
        <v>30</v>
      </c>
      <c r="C131" s="1208" t="str">
        <f>'Chấm công KT'!C124</f>
        <v>03616</v>
      </c>
      <c r="D131" s="1208" t="str">
        <f>TONGHOPCONGDOI!C126</f>
        <v>N. Ốc</v>
      </c>
      <c r="E131" s="1208" t="s">
        <v>26</v>
      </c>
      <c r="F131" s="1209"/>
      <c r="G131" s="242">
        <f t="shared" si="24"/>
        <v>0</v>
      </c>
      <c r="H131" s="242">
        <f>VLOOKUP(D131,TONGHOPCONGDOI!C126:AD161,16,0)</f>
        <v>5368</v>
      </c>
      <c r="I131" s="242">
        <f>VLOOKUP(D131,TONGHOPCONGDOI!C126:AD161,18,0)</f>
        <v>0</v>
      </c>
      <c r="J131" s="242"/>
      <c r="K131" s="601">
        <f t="shared" si="25"/>
        <v>2321.9906265805994</v>
      </c>
      <c r="L131" s="602" t="str">
        <f>VLOOKUP(D131,'BTH mủ tạp'!$D$98:$AN$160,37,0)</f>
        <v>A</v>
      </c>
      <c r="M131" s="603">
        <f t="shared" si="28"/>
        <v>9500740</v>
      </c>
      <c r="N131" s="604">
        <f>VLOOKUP(D131,TONGHOPCONGDOI!$C$97:$AD$154,20,0)</f>
        <v>24</v>
      </c>
      <c r="O131" s="604">
        <f>VLOOKUP(D131,TONGHOPCONGDOI!$C$97:$AD$154,21,0)</f>
        <v>4</v>
      </c>
      <c r="P131" s="604">
        <f>VLOOKUP(D131,TONGHOPCONGDOI!$C$97:$AD$154,22,0)</f>
        <v>2</v>
      </c>
      <c r="Q131" s="604">
        <f>VLOOKUP(D131,TONGHOPCONGDOI!$C$97:$AD$154,23,0)</f>
        <v>0</v>
      </c>
      <c r="R131" s="604">
        <f>VLOOKUP(D131,TONGHOPCONGDOI!$C$97:$AD$154,24,0)</f>
        <v>0</v>
      </c>
      <c r="S131" s="604">
        <f>VLOOKUP(D131,TONGHOPCONGDOI!$C$97:$AD$154,25,0)</f>
        <v>0</v>
      </c>
      <c r="T131" s="604"/>
      <c r="U131" s="1192">
        <f t="shared" si="29"/>
        <v>2</v>
      </c>
      <c r="V131" s="1193"/>
      <c r="W131" s="1193"/>
      <c r="X131" s="604">
        <f t="shared" si="16"/>
        <v>1272143</v>
      </c>
      <c r="Y131" s="604">
        <f t="shared" si="26"/>
        <v>10772883</v>
      </c>
      <c r="Z131" s="608"/>
      <c r="AA131" s="1197">
        <f t="shared" si="27"/>
        <v>10772883</v>
      </c>
      <c r="AB131" s="242"/>
      <c r="AC131" s="1210">
        <v>30</v>
      </c>
      <c r="AD131" s="1195"/>
      <c r="AE131" s="1196"/>
      <c r="AF131" s="1188"/>
      <c r="AG131" s="1204"/>
      <c r="AH131" s="1204"/>
      <c r="AI131" s="1204"/>
      <c r="AJ131" s="1204"/>
      <c r="AK131" s="1204"/>
      <c r="AL131" s="1204"/>
    </row>
    <row r="132" spans="1:38" s="1205" customFormat="1" ht="33" customHeight="1">
      <c r="A132" s="1206">
        <v>112</v>
      </c>
      <c r="B132" s="1207">
        <v>31</v>
      </c>
      <c r="C132" s="1208" t="str">
        <f>'Chấm công KT'!C125</f>
        <v>03617</v>
      </c>
      <c r="D132" s="1208" t="str">
        <f>TONGHOPCONGDOI!C127</f>
        <v>T. Văn Nô</v>
      </c>
      <c r="E132" s="1208" t="s">
        <v>26</v>
      </c>
      <c r="F132" s="1209"/>
      <c r="G132" s="242">
        <f t="shared" si="24"/>
        <v>0</v>
      </c>
      <c r="H132" s="242">
        <f>VLOOKUP(D132,TONGHOPCONGDOI!C127:AD161,16,0)</f>
        <v>4616</v>
      </c>
      <c r="I132" s="242">
        <f>VLOOKUP(D132,TONGHOPCONGDOI!C127:AD161,18,0)</f>
        <v>0</v>
      </c>
      <c r="J132" s="242"/>
      <c r="K132" s="601">
        <f t="shared" si="25"/>
        <v>1996.7043092950905</v>
      </c>
      <c r="L132" s="602" t="str">
        <f>VLOOKUP(D132,'BTH mủ tạp'!$D$98:$AN$160,37,0)</f>
        <v>A</v>
      </c>
      <c r="M132" s="603">
        <f t="shared" si="28"/>
        <v>8169787</v>
      </c>
      <c r="N132" s="604">
        <f>VLOOKUP(D132,TONGHOPCONGDOI!$C$97:$AD$154,20,0)</f>
        <v>24</v>
      </c>
      <c r="O132" s="604">
        <f>VLOOKUP(D132,TONGHOPCONGDOI!$C$97:$AD$154,21,0)</f>
        <v>4</v>
      </c>
      <c r="P132" s="604">
        <f>VLOOKUP(D132,TONGHOPCONGDOI!$C$97:$AD$154,22,0)</f>
        <v>2</v>
      </c>
      <c r="Q132" s="604">
        <f>VLOOKUP(D132,TONGHOPCONGDOI!$C$97:$AD$154,23,0)</f>
        <v>0</v>
      </c>
      <c r="R132" s="604">
        <f>VLOOKUP(D132,TONGHOPCONGDOI!$C$97:$AD$154,24,0)</f>
        <v>0</v>
      </c>
      <c r="S132" s="604">
        <f>VLOOKUP(D132,TONGHOPCONGDOI!$C$97:$AD$154,25,0)</f>
        <v>0</v>
      </c>
      <c r="T132" s="604"/>
      <c r="U132" s="1192">
        <f t="shared" si="29"/>
        <v>2</v>
      </c>
      <c r="V132" s="1193"/>
      <c r="W132" s="1193"/>
      <c r="X132" s="604">
        <f t="shared" si="16"/>
        <v>1272143</v>
      </c>
      <c r="Y132" s="604">
        <f t="shared" si="26"/>
        <v>9441930</v>
      </c>
      <c r="Z132" s="608"/>
      <c r="AA132" s="1197">
        <f t="shared" si="27"/>
        <v>9441930</v>
      </c>
      <c r="AB132" s="242"/>
      <c r="AC132" s="1210">
        <v>31</v>
      </c>
      <c r="AD132" s="1195"/>
      <c r="AE132" s="1196"/>
      <c r="AF132" s="1188"/>
      <c r="AG132" s="1204"/>
      <c r="AH132" s="1204"/>
      <c r="AI132" s="1204"/>
      <c r="AJ132" s="1204"/>
      <c r="AK132" s="1204"/>
      <c r="AL132" s="1204"/>
    </row>
    <row r="133" spans="1:38" s="1205" customFormat="1" ht="33" customHeight="1">
      <c r="A133" s="1206">
        <v>113</v>
      </c>
      <c r="B133" s="1208">
        <v>32</v>
      </c>
      <c r="C133" s="1208" t="str">
        <f>'Chấm công KT'!C126</f>
        <v>03618</v>
      </c>
      <c r="D133" s="1208" t="str">
        <f>TONGHOPCONGDOI!C128</f>
        <v>N. Văn Ta</v>
      </c>
      <c r="E133" s="1208" t="s">
        <v>26</v>
      </c>
      <c r="F133" s="1209"/>
      <c r="G133" s="242">
        <f t="shared" si="24"/>
        <v>0</v>
      </c>
      <c r="H133" s="242">
        <f>VLOOKUP(D133,TONGHOPCONGDOI!C128:AD161,16,0)</f>
        <v>4951</v>
      </c>
      <c r="I133" s="242">
        <f>VLOOKUP(D133,TONGHOPCONGDOI!C128:AD161,18,0)</f>
        <v>0</v>
      </c>
      <c r="J133" s="242"/>
      <c r="K133" s="601">
        <f t="shared" si="25"/>
        <v>2141.6124426603105</v>
      </c>
      <c r="L133" s="602" t="str">
        <f>VLOOKUP(D133,'BTH mủ tạp'!$D$98:$AN$160,37,0)</f>
        <v>A</v>
      </c>
      <c r="M133" s="603">
        <f t="shared" si="28"/>
        <v>8762699</v>
      </c>
      <c r="N133" s="604">
        <f>VLOOKUP(D133,TONGHOPCONGDOI!$C$97:$AD$154,20,0)</f>
        <v>23</v>
      </c>
      <c r="O133" s="604">
        <f>VLOOKUP(D133,TONGHOPCONGDOI!$C$97:$AD$154,21,0)</f>
        <v>4</v>
      </c>
      <c r="P133" s="604">
        <f>VLOOKUP(D133,TONGHOPCONGDOI!$C$97:$AD$154,22,0)</f>
        <v>2</v>
      </c>
      <c r="Q133" s="604">
        <f>VLOOKUP(D133,TONGHOPCONGDOI!$C$97:$AD$154,23,0)</f>
        <v>0</v>
      </c>
      <c r="R133" s="604">
        <f>VLOOKUP(D133,TONGHOPCONGDOI!$C$97:$AD$154,24,0)</f>
        <v>0</v>
      </c>
      <c r="S133" s="604">
        <f>VLOOKUP(D133,TONGHOPCONGDOI!$C$97:$AD$154,25,0)</f>
        <v>0</v>
      </c>
      <c r="T133" s="604"/>
      <c r="U133" s="1192">
        <f t="shared" si="29"/>
        <v>2</v>
      </c>
      <c r="V133" s="1193"/>
      <c r="W133" s="1193"/>
      <c r="X133" s="604">
        <f t="shared" si="16"/>
        <v>1241221</v>
      </c>
      <c r="Y133" s="604">
        <f t="shared" si="26"/>
        <v>10003920</v>
      </c>
      <c r="Z133" s="608"/>
      <c r="AA133" s="1197">
        <f t="shared" si="27"/>
        <v>10003920</v>
      </c>
      <c r="AB133" s="242"/>
      <c r="AC133" s="1210">
        <v>32</v>
      </c>
      <c r="AD133" s="1195"/>
      <c r="AE133" s="1196"/>
      <c r="AF133" s="1188"/>
      <c r="AG133" s="1204"/>
      <c r="AH133" s="1204"/>
      <c r="AI133" s="1204"/>
      <c r="AJ133" s="1204"/>
      <c r="AK133" s="1204"/>
      <c r="AL133" s="1204"/>
    </row>
    <row r="134" spans="1:38" s="1205" customFormat="1" ht="33" customHeight="1">
      <c r="A134" s="1206">
        <v>114</v>
      </c>
      <c r="B134" s="1207">
        <v>33</v>
      </c>
      <c r="C134" s="1208" t="str">
        <f>'Chấm công KT'!C127</f>
        <v>03619</v>
      </c>
      <c r="D134" s="1208" t="str">
        <f>TONGHOPCONGDOI!C129</f>
        <v>T. Thon</v>
      </c>
      <c r="E134" s="1208" t="s">
        <v>26</v>
      </c>
      <c r="F134" s="1209"/>
      <c r="G134" s="242">
        <f t="shared" si="24"/>
        <v>0</v>
      </c>
      <c r="H134" s="242">
        <f>VLOOKUP(D134,TONGHOPCONGDOI!C129:AD161,16,0)</f>
        <v>4008</v>
      </c>
      <c r="I134" s="242">
        <f>VLOOKUP(D134,TONGHOPCONGDOI!C129:AD161,18,0)</f>
        <v>0</v>
      </c>
      <c r="J134" s="242"/>
      <c r="K134" s="601">
        <f t="shared" ref="K134:K163" si="30">$AJ$8/$AJ$7*H134+I134*$AJ$9+J134*$AJ$10</f>
        <v>1733.7068612770197</v>
      </c>
      <c r="L134" s="602" t="str">
        <f>VLOOKUP(D134,'BTH mủ tạp'!$D$98:$AN$160,37,0)</f>
        <v>A</v>
      </c>
      <c r="M134" s="603">
        <f t="shared" si="28"/>
        <v>7093697</v>
      </c>
      <c r="N134" s="604">
        <f>VLOOKUP(D134,TONGHOPCONGDOI!$C$97:$AD$154,20,0)</f>
        <v>21</v>
      </c>
      <c r="O134" s="604">
        <f>VLOOKUP(D134,TONGHOPCONGDOI!$C$97:$AD$154,21,0)</f>
        <v>4</v>
      </c>
      <c r="P134" s="604">
        <f>VLOOKUP(D134,TONGHOPCONGDOI!$C$97:$AD$154,22,0)</f>
        <v>2</v>
      </c>
      <c r="Q134" s="604">
        <f>VLOOKUP(D134,TONGHOPCONGDOI!$C$97:$AD$154,23,0)</f>
        <v>0</v>
      </c>
      <c r="R134" s="604">
        <f>VLOOKUP(D134,TONGHOPCONGDOI!$C$97:$AD$154,24,0)</f>
        <v>0</v>
      </c>
      <c r="S134" s="604">
        <f>VLOOKUP(D134,TONGHOPCONGDOI!$C$97:$AD$154,25,0)</f>
        <v>0</v>
      </c>
      <c r="T134" s="604"/>
      <c r="U134" s="1192">
        <f t="shared" si="29"/>
        <v>2</v>
      </c>
      <c r="V134" s="1193"/>
      <c r="W134" s="1193"/>
      <c r="X134" s="604">
        <f t="shared" si="16"/>
        <v>1179377</v>
      </c>
      <c r="Y134" s="604">
        <f t="shared" ref="Y134:Y165" si="31">G134+M134+X134</f>
        <v>8273074</v>
      </c>
      <c r="Z134" s="608"/>
      <c r="AA134" s="1197">
        <f t="shared" si="27"/>
        <v>8273074</v>
      </c>
      <c r="AB134" s="242"/>
      <c r="AC134" s="1210">
        <v>33</v>
      </c>
      <c r="AD134" s="1195"/>
      <c r="AE134" s="1196"/>
      <c r="AF134" s="1188"/>
      <c r="AG134" s="1204"/>
      <c r="AH134" s="1204"/>
      <c r="AI134" s="1204"/>
      <c r="AJ134" s="1204"/>
      <c r="AK134" s="1204"/>
      <c r="AL134" s="1204"/>
    </row>
    <row r="135" spans="1:38" s="1205" customFormat="1" ht="33" customHeight="1">
      <c r="A135" s="1206">
        <v>115</v>
      </c>
      <c r="B135" s="1208">
        <v>34</v>
      </c>
      <c r="C135" s="1208" t="str">
        <f>'Chấm công KT'!C128</f>
        <v>03620</v>
      </c>
      <c r="D135" s="1208" t="str">
        <f>TONGHOPCONGDOI!C130</f>
        <v>Bun Thon</v>
      </c>
      <c r="E135" s="1208" t="s">
        <v>26</v>
      </c>
      <c r="F135" s="1209"/>
      <c r="G135" s="242">
        <f t="shared" si="24"/>
        <v>0</v>
      </c>
      <c r="H135" s="242">
        <f>VLOOKUP(D135,TONGHOPCONGDOI!C130:AD161,16,0)</f>
        <v>3951</v>
      </c>
      <c r="I135" s="242">
        <f>VLOOKUP(D135,TONGHOPCONGDOI!C130:AD161,18,0)</f>
        <v>0</v>
      </c>
      <c r="J135" s="242"/>
      <c r="K135" s="601">
        <f t="shared" si="30"/>
        <v>1709.0508505253256</v>
      </c>
      <c r="L135" s="602" t="str">
        <f>VLOOKUP(D135,'BTH mủ tạp'!$D$98:$AN$160,37,0)</f>
        <v>A</v>
      </c>
      <c r="M135" s="603">
        <f t="shared" si="28"/>
        <v>6992814</v>
      </c>
      <c r="N135" s="604">
        <f>VLOOKUP(D135,TONGHOPCONGDOI!$C$97:$AD$154,20,0)</f>
        <v>24</v>
      </c>
      <c r="O135" s="604">
        <f>VLOOKUP(D135,TONGHOPCONGDOI!$C$97:$AD$154,21,0)</f>
        <v>4</v>
      </c>
      <c r="P135" s="604">
        <f>VLOOKUP(D135,TONGHOPCONGDOI!$C$97:$AD$154,22,0)</f>
        <v>2</v>
      </c>
      <c r="Q135" s="604">
        <f>VLOOKUP(D135,TONGHOPCONGDOI!$C$97:$AD$154,23,0)</f>
        <v>0</v>
      </c>
      <c r="R135" s="604">
        <f>VLOOKUP(D135,TONGHOPCONGDOI!$C$97:$AD$154,24,0)</f>
        <v>0</v>
      </c>
      <c r="S135" s="604">
        <f>VLOOKUP(D135,TONGHOPCONGDOI!$C$97:$AD$154,25,0)</f>
        <v>0</v>
      </c>
      <c r="T135" s="604"/>
      <c r="U135" s="1192">
        <f t="shared" si="29"/>
        <v>2</v>
      </c>
      <c r="V135" s="1193"/>
      <c r="W135" s="1193"/>
      <c r="X135" s="604">
        <f t="shared" si="16"/>
        <v>1272143</v>
      </c>
      <c r="Y135" s="604">
        <f t="shared" si="31"/>
        <v>8264957</v>
      </c>
      <c r="Z135" s="608"/>
      <c r="AA135" s="1197">
        <f t="shared" si="27"/>
        <v>8264957</v>
      </c>
      <c r="AB135" s="242"/>
      <c r="AC135" s="1210">
        <v>34</v>
      </c>
      <c r="AD135" s="1195"/>
      <c r="AE135" s="1196"/>
      <c r="AF135" s="1188"/>
      <c r="AG135" s="1204"/>
      <c r="AH135" s="1204"/>
      <c r="AI135" s="1204"/>
      <c r="AJ135" s="1204"/>
      <c r="AK135" s="1204"/>
      <c r="AL135" s="1204"/>
    </row>
    <row r="136" spans="1:38" s="1205" customFormat="1" ht="33" customHeight="1">
      <c r="A136" s="1206">
        <v>116</v>
      </c>
      <c r="B136" s="1207">
        <v>35</v>
      </c>
      <c r="C136" s="1208" t="str">
        <f>'Chấm công KT'!C129</f>
        <v>04078</v>
      </c>
      <c r="D136" s="1208" t="str">
        <f>TONGHOPCONGDOI!C131</f>
        <v>Lăm Thong</v>
      </c>
      <c r="E136" s="1208" t="s">
        <v>26</v>
      </c>
      <c r="F136" s="1209"/>
      <c r="G136" s="242">
        <f t="shared" si="24"/>
        <v>0</v>
      </c>
      <c r="H136" s="242">
        <f>VLOOKUP(D136,TONGHOPCONGDOI!C131:AD161,16,0)</f>
        <v>3837</v>
      </c>
      <c r="I136" s="242">
        <f>VLOOKUP(D136,TONGHOPCONGDOI!C131:AD161,18,0)</f>
        <v>0</v>
      </c>
      <c r="J136" s="242"/>
      <c r="K136" s="601">
        <f t="shared" si="30"/>
        <v>1659.7388290219374</v>
      </c>
      <c r="L136" s="602" t="str">
        <f>VLOOKUP(D136,'BTH mủ tạp'!$D$98:$AN$160,37,0)</f>
        <v>B</v>
      </c>
      <c r="M136" s="603">
        <f t="shared" si="28"/>
        <v>6457061</v>
      </c>
      <c r="N136" s="604">
        <f>VLOOKUP(D136,TONGHOPCONGDOI!$C$97:$AD$154,20,0)</f>
        <v>23</v>
      </c>
      <c r="O136" s="604">
        <f>VLOOKUP(D136,TONGHOPCONGDOI!$C$97:$AD$154,21,0)</f>
        <v>3</v>
      </c>
      <c r="P136" s="604">
        <f>VLOOKUP(D136,TONGHOPCONGDOI!$C$97:$AD$154,22,0)</f>
        <v>2</v>
      </c>
      <c r="Q136" s="604">
        <f>VLOOKUP(D136,TONGHOPCONGDOI!$C$97:$AD$154,23,0)</f>
        <v>0</v>
      </c>
      <c r="R136" s="604">
        <f>VLOOKUP(D136,TONGHOPCONGDOI!$C$97:$AD$154,24,0)</f>
        <v>0</v>
      </c>
      <c r="S136" s="604">
        <f>VLOOKUP(D136,TONGHOPCONGDOI!$C$97:$AD$154,25,0)</f>
        <v>0</v>
      </c>
      <c r="T136" s="604"/>
      <c r="U136" s="1192">
        <f t="shared" si="29"/>
        <v>2</v>
      </c>
      <c r="V136" s="1193"/>
      <c r="W136" s="1193"/>
      <c r="X136" s="604">
        <f t="shared" si="16"/>
        <v>1189639</v>
      </c>
      <c r="Y136" s="604">
        <f t="shared" si="31"/>
        <v>7646700</v>
      </c>
      <c r="Z136" s="608"/>
      <c r="AA136" s="1197">
        <f t="shared" si="27"/>
        <v>7646700</v>
      </c>
      <c r="AB136" s="242"/>
      <c r="AC136" s="1210">
        <v>35</v>
      </c>
      <c r="AD136" s="1195"/>
      <c r="AE136" s="1196"/>
      <c r="AF136" s="1188"/>
      <c r="AG136" s="1204"/>
      <c r="AH136" s="1204"/>
      <c r="AI136" s="1204"/>
      <c r="AJ136" s="1204"/>
      <c r="AK136" s="1204"/>
      <c r="AL136" s="1204"/>
    </row>
    <row r="137" spans="1:38" s="1205" customFormat="1" ht="33" customHeight="1">
      <c r="A137" s="1206">
        <v>117</v>
      </c>
      <c r="B137" s="1208">
        <v>36</v>
      </c>
      <c r="C137" s="1208" t="str">
        <f>'Chấm công KT'!C130</f>
        <v>03622</v>
      </c>
      <c r="D137" s="1208" t="str">
        <f>TONGHOPCONGDOI!C132</f>
        <v>N. Xeo Khăm</v>
      </c>
      <c r="E137" s="1208" t="s">
        <v>26</v>
      </c>
      <c r="F137" s="1209"/>
      <c r="G137" s="242">
        <f t="shared" si="24"/>
        <v>0</v>
      </c>
      <c r="H137" s="242">
        <f>VLOOKUP(D137,TONGHOPCONGDOI!C132:AD161,16,0)</f>
        <v>4495</v>
      </c>
      <c r="I137" s="242">
        <f>VLOOKUP(D137,TONGHOPCONGDOI!C132:AD161,18,0)</f>
        <v>0</v>
      </c>
      <c r="J137" s="242"/>
      <c r="K137" s="601">
        <f t="shared" si="30"/>
        <v>1944.3643566467574</v>
      </c>
      <c r="L137" s="602" t="str">
        <f>VLOOKUP(D137,'BTH mủ tạp'!$D$98:$AN$160,37,0)</f>
        <v>A</v>
      </c>
      <c r="M137" s="603">
        <f t="shared" si="28"/>
        <v>7955631</v>
      </c>
      <c r="N137" s="604">
        <f>VLOOKUP(D137,TONGHOPCONGDOI!$C$97:$AD$154,20,0)</f>
        <v>24</v>
      </c>
      <c r="O137" s="604">
        <f>VLOOKUP(D137,TONGHOPCONGDOI!$C$97:$AD$154,21,0)</f>
        <v>4</v>
      </c>
      <c r="P137" s="604">
        <f>VLOOKUP(D137,TONGHOPCONGDOI!$C$97:$AD$154,22,0)</f>
        <v>2</v>
      </c>
      <c r="Q137" s="604">
        <f>VLOOKUP(D137,TONGHOPCONGDOI!$C$97:$AD$154,23,0)</f>
        <v>0</v>
      </c>
      <c r="R137" s="604">
        <f>VLOOKUP(D137,TONGHOPCONGDOI!$C$97:$AD$154,24,0)</f>
        <v>0</v>
      </c>
      <c r="S137" s="604">
        <f>VLOOKUP(D137,TONGHOPCONGDOI!$C$97:$AD$154,25,0)</f>
        <v>0</v>
      </c>
      <c r="T137" s="604"/>
      <c r="U137" s="1192">
        <f t="shared" si="29"/>
        <v>2</v>
      </c>
      <c r="V137" s="1193"/>
      <c r="W137" s="1193"/>
      <c r="X137" s="604">
        <f t="shared" si="16"/>
        <v>1272143</v>
      </c>
      <c r="Y137" s="604">
        <f t="shared" si="31"/>
        <v>9227774</v>
      </c>
      <c r="Z137" s="608"/>
      <c r="AA137" s="1197">
        <f t="shared" si="27"/>
        <v>9227774</v>
      </c>
      <c r="AB137" s="242"/>
      <c r="AC137" s="1210">
        <v>36</v>
      </c>
      <c r="AD137" s="1195"/>
      <c r="AE137" s="1196"/>
      <c r="AF137" s="1188"/>
      <c r="AG137" s="1204"/>
      <c r="AH137" s="1204"/>
      <c r="AI137" s="1204"/>
      <c r="AJ137" s="1204"/>
      <c r="AK137" s="1204"/>
      <c r="AL137" s="1204"/>
    </row>
    <row r="138" spans="1:38" s="1205" customFormat="1" ht="33" customHeight="1">
      <c r="A138" s="1206">
        <v>118</v>
      </c>
      <c r="B138" s="1207">
        <v>37</v>
      </c>
      <c r="C138" s="1208" t="str">
        <f>'Chấm công KT'!C131</f>
        <v>03623</v>
      </c>
      <c r="D138" s="1208" t="str">
        <f>TONGHOPCONGDOI!C133</f>
        <v>T. Khăm...</v>
      </c>
      <c r="E138" s="1208" t="s">
        <v>26</v>
      </c>
      <c r="F138" s="1209"/>
      <c r="G138" s="242">
        <f t="shared" si="24"/>
        <v>0</v>
      </c>
      <c r="H138" s="242">
        <f>VLOOKUP(D138,TONGHOPCONGDOI!C133:AD161,16,0)</f>
        <v>5063</v>
      </c>
      <c r="I138" s="242">
        <f>VLOOKUP(D138,TONGHOPCONGDOI!C133:AD161,18,0)</f>
        <v>0</v>
      </c>
      <c r="J138" s="242"/>
      <c r="K138" s="601">
        <f t="shared" si="30"/>
        <v>2190.0593409794287</v>
      </c>
      <c r="L138" s="602" t="str">
        <f>VLOOKUP(D138,'BTH mủ tạp'!$D$98:$AN$160,37,0)</f>
        <v>A</v>
      </c>
      <c r="M138" s="603">
        <f t="shared" si="28"/>
        <v>8960926</v>
      </c>
      <c r="N138" s="604">
        <f>VLOOKUP(D138,TONGHOPCONGDOI!$C$97:$AD$154,20,0)</f>
        <v>24</v>
      </c>
      <c r="O138" s="604">
        <f>VLOOKUP(D138,TONGHOPCONGDOI!$C$97:$AD$154,21,0)</f>
        <v>4</v>
      </c>
      <c r="P138" s="604">
        <f>VLOOKUP(D138,TONGHOPCONGDOI!$C$97:$AD$154,22,0)</f>
        <v>2</v>
      </c>
      <c r="Q138" s="604">
        <f>VLOOKUP(D138,TONGHOPCONGDOI!$C$97:$AD$154,23,0)</f>
        <v>0</v>
      </c>
      <c r="R138" s="604">
        <f>VLOOKUP(D138,TONGHOPCONGDOI!$C$97:$AD$154,24,0)</f>
        <v>0</v>
      </c>
      <c r="S138" s="604">
        <f>VLOOKUP(D138,TONGHOPCONGDOI!$C$97:$AD$154,25,0)</f>
        <v>0</v>
      </c>
      <c r="T138" s="604"/>
      <c r="U138" s="1192">
        <f t="shared" si="29"/>
        <v>2</v>
      </c>
      <c r="V138" s="1193"/>
      <c r="W138" s="1193"/>
      <c r="X138" s="604">
        <f t="shared" si="16"/>
        <v>1272143</v>
      </c>
      <c r="Y138" s="604">
        <f t="shared" si="31"/>
        <v>10233069</v>
      </c>
      <c r="Z138" s="608"/>
      <c r="AA138" s="1197">
        <f t="shared" si="27"/>
        <v>10233069</v>
      </c>
      <c r="AB138" s="242"/>
      <c r="AC138" s="1210">
        <v>37</v>
      </c>
      <c r="AD138" s="1195"/>
      <c r="AE138" s="1196"/>
      <c r="AF138" s="1188"/>
      <c r="AG138" s="1204"/>
      <c r="AH138" s="1204"/>
      <c r="AI138" s="1204"/>
      <c r="AJ138" s="1204"/>
      <c r="AK138" s="1204"/>
      <c r="AL138" s="1204"/>
    </row>
    <row r="139" spans="1:38" s="1205" customFormat="1" ht="33" customHeight="1">
      <c r="A139" s="1206">
        <v>119</v>
      </c>
      <c r="B139" s="1208">
        <v>38</v>
      </c>
      <c r="C139" s="1208" t="str">
        <f>'Chấm công KT'!C132</f>
        <v>03532</v>
      </c>
      <c r="D139" s="1208" t="str">
        <f>TONGHOPCONGDOI!C134</f>
        <v>N. Túc</v>
      </c>
      <c r="E139" s="1208" t="s">
        <v>26</v>
      </c>
      <c r="F139" s="1209"/>
      <c r="G139" s="242">
        <f t="shared" si="24"/>
        <v>0</v>
      </c>
      <c r="H139" s="242">
        <f>VLOOKUP(D139,TONGHOPCONGDOI!C134:AD161,16,0)</f>
        <v>4701</v>
      </c>
      <c r="I139" s="242">
        <f>VLOOKUP(D139,TONGHOPCONGDOI!C134:AD161,18,0)</f>
        <v>0</v>
      </c>
      <c r="J139" s="242"/>
      <c r="K139" s="601">
        <f t="shared" si="30"/>
        <v>2033.4720446265644</v>
      </c>
      <c r="L139" s="602" t="str">
        <f>VLOOKUP(D139,'BTH mủ tạp'!$D$98:$AN$160,37,0)</f>
        <v>A</v>
      </c>
      <c r="M139" s="603">
        <f t="shared" si="28"/>
        <v>8320227</v>
      </c>
      <c r="N139" s="604">
        <f>VLOOKUP(D139,TONGHOPCONGDOI!$C$97:$AD$154,20,0)</f>
        <v>24</v>
      </c>
      <c r="O139" s="604">
        <f>VLOOKUP(D139,TONGHOPCONGDOI!$C$97:$AD$154,21,0)</f>
        <v>4</v>
      </c>
      <c r="P139" s="604">
        <f>VLOOKUP(D139,TONGHOPCONGDOI!$C$97:$AD$154,22,0)</f>
        <v>2</v>
      </c>
      <c r="Q139" s="604">
        <f>VLOOKUP(D139,TONGHOPCONGDOI!$C$97:$AD$154,23,0)</f>
        <v>0</v>
      </c>
      <c r="R139" s="604">
        <f>VLOOKUP(D139,TONGHOPCONGDOI!$C$97:$AD$154,24,0)</f>
        <v>0</v>
      </c>
      <c r="S139" s="604">
        <f>VLOOKUP(D139,TONGHOPCONGDOI!$C$97:$AD$154,25,0)</f>
        <v>0</v>
      </c>
      <c r="T139" s="604"/>
      <c r="U139" s="1192">
        <f t="shared" si="29"/>
        <v>2</v>
      </c>
      <c r="V139" s="1193"/>
      <c r="W139" s="1193"/>
      <c r="X139" s="604">
        <f t="shared" si="16"/>
        <v>1272143</v>
      </c>
      <c r="Y139" s="604">
        <f t="shared" si="31"/>
        <v>9592370</v>
      </c>
      <c r="Z139" s="608"/>
      <c r="AA139" s="1197">
        <f t="shared" si="27"/>
        <v>9592370</v>
      </c>
      <c r="AB139" s="242"/>
      <c r="AC139" s="1210">
        <v>38</v>
      </c>
      <c r="AD139" s="1195"/>
      <c r="AE139" s="1196"/>
      <c r="AF139" s="1188"/>
      <c r="AG139" s="1204"/>
      <c r="AH139" s="1204"/>
      <c r="AI139" s="1204"/>
      <c r="AJ139" s="1204"/>
      <c r="AK139" s="1204"/>
      <c r="AL139" s="1204"/>
    </row>
    <row r="140" spans="1:38" s="1205" customFormat="1" ht="33" customHeight="1">
      <c r="A140" s="1206">
        <v>120</v>
      </c>
      <c r="B140" s="1207">
        <v>39</v>
      </c>
      <c r="C140" s="1208" t="str">
        <f>'Chấm công KT'!C133</f>
        <v>03625</v>
      </c>
      <c r="D140" s="1208" t="str">
        <f>TONGHOPCONGDOI!C135</f>
        <v>N. Pheng</v>
      </c>
      <c r="E140" s="1208" t="s">
        <v>26</v>
      </c>
      <c r="F140" s="1209"/>
      <c r="G140" s="242">
        <f t="shared" si="24"/>
        <v>0</v>
      </c>
      <c r="H140" s="242">
        <f>VLOOKUP(D140,TONGHOPCONGDOI!C135:AD161,16,0)</f>
        <v>5219</v>
      </c>
      <c r="I140" s="242">
        <f>VLOOKUP(D140,TONGHOPCONGDOI!C135:AD161,18,0)</f>
        <v>0</v>
      </c>
      <c r="J140" s="242"/>
      <c r="K140" s="601">
        <f t="shared" si="30"/>
        <v>2257.5389493524867</v>
      </c>
      <c r="L140" s="602" t="str">
        <f>VLOOKUP(D140,'BTH mủ tạp'!$D$98:$AN$160,37,0)</f>
        <v>A</v>
      </c>
      <c r="M140" s="603">
        <f t="shared" si="28"/>
        <v>9237028</v>
      </c>
      <c r="N140" s="604">
        <f>VLOOKUP(D140,TONGHOPCONGDOI!$C$97:$AD$154,20,0)</f>
        <v>24</v>
      </c>
      <c r="O140" s="604">
        <f>VLOOKUP(D140,TONGHOPCONGDOI!$C$97:$AD$154,21,0)</f>
        <v>4</v>
      </c>
      <c r="P140" s="604">
        <f>VLOOKUP(D140,TONGHOPCONGDOI!$C$97:$AD$154,22,0)</f>
        <v>2</v>
      </c>
      <c r="Q140" s="604">
        <f>VLOOKUP(D140,TONGHOPCONGDOI!$C$97:$AD$154,23,0)</f>
        <v>0</v>
      </c>
      <c r="R140" s="604">
        <f>VLOOKUP(D140,TONGHOPCONGDOI!$C$97:$AD$154,24,0)</f>
        <v>0</v>
      </c>
      <c r="S140" s="604">
        <f>VLOOKUP(D140,TONGHOPCONGDOI!$C$97:$AD$154,25,0)</f>
        <v>0</v>
      </c>
      <c r="T140" s="604"/>
      <c r="U140" s="1192">
        <f t="shared" si="29"/>
        <v>2</v>
      </c>
      <c r="V140" s="1193"/>
      <c r="W140" s="1193"/>
      <c r="X140" s="604">
        <f t="shared" si="16"/>
        <v>1272143</v>
      </c>
      <c r="Y140" s="604">
        <f t="shared" si="31"/>
        <v>10509171</v>
      </c>
      <c r="Z140" s="608"/>
      <c r="AA140" s="1197">
        <f t="shared" si="27"/>
        <v>10509171</v>
      </c>
      <c r="AB140" s="242"/>
      <c r="AC140" s="1210">
        <v>39</v>
      </c>
      <c r="AD140" s="1195"/>
      <c r="AE140" s="1196"/>
      <c r="AF140" s="1188"/>
      <c r="AG140" s="1204"/>
      <c r="AH140" s="1204"/>
      <c r="AI140" s="1204"/>
      <c r="AJ140" s="1204"/>
      <c r="AK140" s="1204"/>
      <c r="AL140" s="1204"/>
    </row>
    <row r="141" spans="1:38" s="1205" customFormat="1" ht="33" customHeight="1">
      <c r="A141" s="1206">
        <v>121</v>
      </c>
      <c r="B141" s="1208">
        <v>40</v>
      </c>
      <c r="C141" s="1208" t="str">
        <f>'Chấm công KT'!C134</f>
        <v>03587</v>
      </c>
      <c r="D141" s="1208" t="str">
        <f>TONGHOPCONGDOI!C136</f>
        <v>N. Mom</v>
      </c>
      <c r="E141" s="1208" t="s">
        <v>26</v>
      </c>
      <c r="F141" s="1209"/>
      <c r="G141" s="242">
        <f t="shared" si="24"/>
        <v>0</v>
      </c>
      <c r="H141" s="242">
        <f>VLOOKUP(D141,TONGHOPCONGDOI!C136:AD161,16,0)</f>
        <v>4609</v>
      </c>
      <c r="I141" s="242">
        <f>VLOOKUP(D141,TONGHOPCONGDOI!C136:AD161,18,0)</f>
        <v>0</v>
      </c>
      <c r="J141" s="242"/>
      <c r="K141" s="601">
        <f t="shared" si="30"/>
        <v>1993.6763781501456</v>
      </c>
      <c r="L141" s="602" t="str">
        <f>VLOOKUP(D141,'BTH mủ tạp'!$D$98:$AN$160,37,0)</f>
        <v>A</v>
      </c>
      <c r="M141" s="603">
        <f t="shared" si="28"/>
        <v>8157398</v>
      </c>
      <c r="N141" s="604">
        <f>VLOOKUP(D141,TONGHOPCONGDOI!$C$97:$AD$154,20,0)</f>
        <v>24</v>
      </c>
      <c r="O141" s="604">
        <f>VLOOKUP(D141,TONGHOPCONGDOI!$C$97:$AD$154,21,0)</f>
        <v>4</v>
      </c>
      <c r="P141" s="604">
        <f>VLOOKUP(D141,TONGHOPCONGDOI!$C$97:$AD$154,22,0)</f>
        <v>2</v>
      </c>
      <c r="Q141" s="604">
        <f>VLOOKUP(D141,TONGHOPCONGDOI!$C$97:$AD$154,23,0)</f>
        <v>0</v>
      </c>
      <c r="R141" s="604">
        <f>VLOOKUP(D141,TONGHOPCONGDOI!$C$97:$AD$154,24,0)</f>
        <v>0</v>
      </c>
      <c r="S141" s="604">
        <f>VLOOKUP(D141,TONGHOPCONGDOI!$C$97:$AD$154,25,0)</f>
        <v>0</v>
      </c>
      <c r="T141" s="604"/>
      <c r="U141" s="1192">
        <f t="shared" si="29"/>
        <v>2</v>
      </c>
      <c r="V141" s="1193"/>
      <c r="W141" s="1193"/>
      <c r="X141" s="604">
        <f t="shared" si="16"/>
        <v>1272143</v>
      </c>
      <c r="Y141" s="604">
        <f t="shared" si="31"/>
        <v>9429541</v>
      </c>
      <c r="Z141" s="608"/>
      <c r="AA141" s="1197">
        <f t="shared" si="27"/>
        <v>9429541</v>
      </c>
      <c r="AB141" s="242"/>
      <c r="AC141" s="1210">
        <v>40</v>
      </c>
      <c r="AD141" s="1195"/>
      <c r="AE141" s="1196"/>
      <c r="AF141" s="1188"/>
      <c r="AG141" s="1204"/>
      <c r="AH141" s="1204"/>
      <c r="AI141" s="1204"/>
      <c r="AJ141" s="1204"/>
      <c r="AK141" s="1204"/>
      <c r="AL141" s="1204"/>
    </row>
    <row r="142" spans="1:38" s="1205" customFormat="1" ht="33" customHeight="1">
      <c r="A142" s="1206">
        <v>122</v>
      </c>
      <c r="B142" s="1207">
        <v>41</v>
      </c>
      <c r="C142" s="1208" t="str">
        <f>'Chấm công KT'!C135</f>
        <v>04079</v>
      </c>
      <c r="D142" s="1208" t="str">
        <f>TONGHOPCONGDOI!C137</f>
        <v>T. Môn</v>
      </c>
      <c r="E142" s="1208" t="s">
        <v>26</v>
      </c>
      <c r="F142" s="1209"/>
      <c r="G142" s="242">
        <f t="shared" si="24"/>
        <v>0</v>
      </c>
      <c r="H142" s="242">
        <f>VLOOKUP(D142,TONGHOPCONGDOI!C137:AD161,16,0)</f>
        <v>3579</v>
      </c>
      <c r="I142" s="242">
        <f>VLOOKUP(D142,TONGHOPCONGDOI!C137:AD161,18,0)</f>
        <v>0</v>
      </c>
      <c r="J142" s="242"/>
      <c r="K142" s="601">
        <f t="shared" si="30"/>
        <v>1548.1379382511111</v>
      </c>
      <c r="L142" s="602" t="str">
        <f>VLOOKUP(D142,'BTH mủ tạp'!$D$98:$AN$160,37,0)</f>
        <v>B</v>
      </c>
      <c r="M142" s="603">
        <f t="shared" si="28"/>
        <v>6022888</v>
      </c>
      <c r="N142" s="604">
        <f>VLOOKUP(D142,TONGHOPCONGDOI!$C$97:$AD$154,20,0)</f>
        <v>24</v>
      </c>
      <c r="O142" s="604">
        <f>VLOOKUP(D142,TONGHOPCONGDOI!$C$97:$AD$154,21,0)</f>
        <v>4</v>
      </c>
      <c r="P142" s="604">
        <f>VLOOKUP(D142,TONGHOPCONGDOI!$C$97:$AD$154,22,0)</f>
        <v>2</v>
      </c>
      <c r="Q142" s="604">
        <f>VLOOKUP(D142,TONGHOPCONGDOI!$C$97:$AD$154,23,0)</f>
        <v>0</v>
      </c>
      <c r="R142" s="604">
        <f>VLOOKUP(D142,TONGHOPCONGDOI!$C$97:$AD$154,24,0)</f>
        <v>0</v>
      </c>
      <c r="S142" s="604">
        <f>VLOOKUP(D142,TONGHOPCONGDOI!$C$97:$AD$154,25,0)</f>
        <v>0</v>
      </c>
      <c r="T142" s="604"/>
      <c r="U142" s="1192">
        <f t="shared" si="29"/>
        <v>2</v>
      </c>
      <c r="V142" s="1193"/>
      <c r="W142" s="1193"/>
      <c r="X142" s="604">
        <f t="shared" si="16"/>
        <v>1272143</v>
      </c>
      <c r="Y142" s="604">
        <f t="shared" si="31"/>
        <v>7295031</v>
      </c>
      <c r="Z142" s="608"/>
      <c r="AA142" s="1197">
        <f t="shared" si="27"/>
        <v>7295031</v>
      </c>
      <c r="AB142" s="242"/>
      <c r="AC142" s="1210">
        <v>41</v>
      </c>
      <c r="AD142" s="1195"/>
      <c r="AE142" s="1196"/>
      <c r="AF142" s="1188"/>
      <c r="AG142" s="1204"/>
      <c r="AH142" s="1204"/>
      <c r="AI142" s="1204"/>
      <c r="AJ142" s="1204"/>
      <c r="AK142" s="1204"/>
      <c r="AL142" s="1204"/>
    </row>
    <row r="143" spans="1:38" s="1205" customFormat="1" ht="33" customHeight="1">
      <c r="A143" s="1206">
        <v>123</v>
      </c>
      <c r="B143" s="1208">
        <v>42</v>
      </c>
      <c r="C143" s="1208" t="str">
        <f>'Chấm công KT'!C136</f>
        <v>03628</v>
      </c>
      <c r="D143" s="1208" t="str">
        <f>TONGHOPCONGDOI!C138</f>
        <v>Khăn Hạ</v>
      </c>
      <c r="E143" s="1208" t="s">
        <v>26</v>
      </c>
      <c r="F143" s="1209"/>
      <c r="G143" s="242">
        <f t="shared" si="24"/>
        <v>0</v>
      </c>
      <c r="H143" s="242">
        <f>VLOOKUP(D143,TONGHOPCONGDOI!C138:AD161,16,0)</f>
        <v>3414</v>
      </c>
      <c r="I143" s="242">
        <f>VLOOKUP(D143,TONGHOPCONGDOI!C138:AD161,18,0)</f>
        <v>0</v>
      </c>
      <c r="J143" s="242"/>
      <c r="K143" s="601">
        <f t="shared" si="30"/>
        <v>1476.7652755488386</v>
      </c>
      <c r="L143" s="602" t="str">
        <f>VLOOKUP(D143,'BTH mủ tạp'!$D$98:$AN$160,37,0)</f>
        <v>B</v>
      </c>
      <c r="M143" s="603">
        <f t="shared" si="28"/>
        <v>5745219</v>
      </c>
      <c r="N143" s="604">
        <f>VLOOKUP(D143,TONGHOPCONGDOI!$C$97:$AD$154,20,0)</f>
        <v>22</v>
      </c>
      <c r="O143" s="604">
        <f>VLOOKUP(D143,TONGHOPCONGDOI!$C$97:$AD$154,21,0)</f>
        <v>3</v>
      </c>
      <c r="P143" s="604">
        <f>VLOOKUP(D143,TONGHOPCONGDOI!$C$97:$AD$154,22,0)</f>
        <v>2</v>
      </c>
      <c r="Q143" s="604">
        <f>VLOOKUP(D143,TONGHOPCONGDOI!$C$97:$AD$154,23,0)</f>
        <v>0</v>
      </c>
      <c r="R143" s="604">
        <f>VLOOKUP(D143,TONGHOPCONGDOI!$C$97:$AD$154,24,0)</f>
        <v>0</v>
      </c>
      <c r="S143" s="604">
        <f>VLOOKUP(D143,TONGHOPCONGDOI!$C$97:$AD$154,25,0)</f>
        <v>0</v>
      </c>
      <c r="T143" s="604"/>
      <c r="U143" s="1192">
        <f t="shared" si="29"/>
        <v>2</v>
      </c>
      <c r="V143" s="1193"/>
      <c r="W143" s="1193"/>
      <c r="X143" s="604">
        <f t="shared" si="16"/>
        <v>1158717</v>
      </c>
      <c r="Y143" s="604">
        <f t="shared" si="31"/>
        <v>6903936</v>
      </c>
      <c r="Z143" s="608"/>
      <c r="AA143" s="1197">
        <f t="shared" si="27"/>
        <v>6903936</v>
      </c>
      <c r="AB143" s="242"/>
      <c r="AC143" s="1210">
        <v>42</v>
      </c>
      <c r="AD143" s="1195"/>
      <c r="AE143" s="1196"/>
      <c r="AF143" s="1188"/>
      <c r="AG143" s="1204"/>
      <c r="AH143" s="1204"/>
      <c r="AI143" s="1204"/>
      <c r="AJ143" s="1204"/>
      <c r="AK143" s="1204"/>
      <c r="AL143" s="1204"/>
    </row>
    <row r="144" spans="1:38" s="1205" customFormat="1" ht="33" customHeight="1">
      <c r="A144" s="1206">
        <v>124</v>
      </c>
      <c r="B144" s="1207">
        <v>43</v>
      </c>
      <c r="C144" s="1208" t="str">
        <f>'Chấm công KT'!C137</f>
        <v>03629</v>
      </c>
      <c r="D144" s="1208" t="str">
        <f>TONGHOPCONGDOI!C139</f>
        <v>T. Chăn La .</v>
      </c>
      <c r="E144" s="1208" t="s">
        <v>26</v>
      </c>
      <c r="F144" s="1209"/>
      <c r="G144" s="242">
        <f t="shared" si="24"/>
        <v>0</v>
      </c>
      <c r="H144" s="242">
        <f>VLOOKUP(D144,TONGHOPCONGDOI!C139:AD161,16,0)</f>
        <v>3661</v>
      </c>
      <c r="I144" s="242">
        <f>VLOOKUP(D144,TONGHOPCONGDOI!C139:AD161,18,0)</f>
        <v>0</v>
      </c>
      <c r="J144" s="242"/>
      <c r="K144" s="601">
        <f t="shared" si="30"/>
        <v>1583.6079888061799</v>
      </c>
      <c r="L144" s="602" t="str">
        <f>VLOOKUP(D144,'BTH mủ tạp'!$D$98:$AN$160,37,0)</f>
        <v>A</v>
      </c>
      <c r="M144" s="603">
        <f t="shared" si="28"/>
        <v>6479547</v>
      </c>
      <c r="N144" s="604">
        <f>VLOOKUP(D144,TONGHOPCONGDOI!$C$97:$AD$154,20,0)</f>
        <v>24</v>
      </c>
      <c r="O144" s="604">
        <f>VLOOKUP(D144,TONGHOPCONGDOI!$C$97:$AD$154,21,0)</f>
        <v>4</v>
      </c>
      <c r="P144" s="604">
        <f>VLOOKUP(D144,TONGHOPCONGDOI!$C$97:$AD$154,22,0)</f>
        <v>2</v>
      </c>
      <c r="Q144" s="604">
        <f>VLOOKUP(D144,TONGHOPCONGDOI!$C$97:$AD$154,23,0)</f>
        <v>0</v>
      </c>
      <c r="R144" s="604">
        <f>VLOOKUP(D144,TONGHOPCONGDOI!$C$97:$AD$154,24,0)</f>
        <v>0</v>
      </c>
      <c r="S144" s="604">
        <f>VLOOKUP(D144,TONGHOPCONGDOI!$C$97:$AD$154,25,0)</f>
        <v>0</v>
      </c>
      <c r="T144" s="604"/>
      <c r="U144" s="1192">
        <f t="shared" si="29"/>
        <v>2</v>
      </c>
      <c r="V144" s="1193"/>
      <c r="W144" s="1193"/>
      <c r="X144" s="604">
        <f t="shared" si="16"/>
        <v>1272143</v>
      </c>
      <c r="Y144" s="604">
        <f t="shared" si="31"/>
        <v>7751690</v>
      </c>
      <c r="Z144" s="608"/>
      <c r="AA144" s="1197">
        <f t="shared" si="27"/>
        <v>7751690</v>
      </c>
      <c r="AB144" s="242"/>
      <c r="AC144" s="1210">
        <v>43</v>
      </c>
      <c r="AD144" s="1195"/>
      <c r="AE144" s="1196"/>
      <c r="AF144" s="1188"/>
      <c r="AG144" s="1204"/>
      <c r="AH144" s="1204"/>
      <c r="AI144" s="1204"/>
      <c r="AJ144" s="1204"/>
      <c r="AK144" s="1204"/>
      <c r="AL144" s="1204"/>
    </row>
    <row r="145" spans="1:38" s="1205" customFormat="1" ht="33" customHeight="1">
      <c r="A145" s="1206">
        <v>125</v>
      </c>
      <c r="B145" s="1208">
        <v>44</v>
      </c>
      <c r="C145" s="1208" t="str">
        <f>'Chấm công KT'!C138</f>
        <v>03630</v>
      </c>
      <c r="D145" s="1208" t="str">
        <f>TONGHOPCONGDOI!C140</f>
        <v>T. Nú</v>
      </c>
      <c r="E145" s="1208" t="s">
        <v>26</v>
      </c>
      <c r="F145" s="1209"/>
      <c r="G145" s="242">
        <f t="shared" si="24"/>
        <v>0</v>
      </c>
      <c r="H145" s="242">
        <f>VLOOKUP(D145,TONGHOPCONGDOI!C140:AD161,16,0)</f>
        <v>3370</v>
      </c>
      <c r="I145" s="242">
        <f>VLOOKUP(D145,TONGHOPCONGDOI!C140:AD161,18,0)</f>
        <v>0</v>
      </c>
      <c r="J145" s="242"/>
      <c r="K145" s="601">
        <f t="shared" si="30"/>
        <v>1457.7325654948993</v>
      </c>
      <c r="L145" s="602" t="str">
        <f>VLOOKUP(D145,'BTH mủ tạp'!$D$98:$AN$160,37,0)</f>
        <v>B</v>
      </c>
      <c r="M145" s="603">
        <f t="shared" si="28"/>
        <v>5671174</v>
      </c>
      <c r="N145" s="604">
        <f>VLOOKUP(D145,TONGHOPCONGDOI!$C$97:$AD$154,20,0)</f>
        <v>22</v>
      </c>
      <c r="O145" s="604">
        <f>VLOOKUP(D145,TONGHOPCONGDOI!$C$97:$AD$154,21,0)</f>
        <v>3</v>
      </c>
      <c r="P145" s="604">
        <f>VLOOKUP(D145,TONGHOPCONGDOI!$C$97:$AD$154,22,0)</f>
        <v>2</v>
      </c>
      <c r="Q145" s="604">
        <f>VLOOKUP(D145,TONGHOPCONGDOI!$C$97:$AD$154,23,0)</f>
        <v>0</v>
      </c>
      <c r="R145" s="604">
        <f>VLOOKUP(D145,TONGHOPCONGDOI!$C$97:$AD$154,24,0)</f>
        <v>0</v>
      </c>
      <c r="S145" s="604">
        <f>VLOOKUP(D145,TONGHOPCONGDOI!$C$97:$AD$154,25,0)</f>
        <v>0</v>
      </c>
      <c r="T145" s="604"/>
      <c r="U145" s="1192">
        <f t="shared" si="29"/>
        <v>2</v>
      </c>
      <c r="V145" s="1193"/>
      <c r="W145" s="1193"/>
      <c r="X145" s="604">
        <f t="shared" ref="X145:X167" si="32">ROUND(((N145*46.1)+(O145*76.9)+(P145*92.2)+(Q145*153.8)+(R145*92.2)+(S145*153.8))*$F$11+(T145*25000)+(U145*100000),0)</f>
        <v>1158717</v>
      </c>
      <c r="Y145" s="604">
        <f t="shared" si="31"/>
        <v>6829891</v>
      </c>
      <c r="Z145" s="608"/>
      <c r="AA145" s="1197">
        <f t="shared" si="27"/>
        <v>6829891</v>
      </c>
      <c r="AB145" s="242"/>
      <c r="AC145" s="1210">
        <v>44</v>
      </c>
      <c r="AD145" s="1195"/>
      <c r="AE145" s="1196"/>
      <c r="AF145" s="1188"/>
      <c r="AG145" s="1204"/>
      <c r="AH145" s="1204"/>
      <c r="AI145" s="1204"/>
      <c r="AJ145" s="1204"/>
      <c r="AK145" s="1204"/>
      <c r="AL145" s="1204"/>
    </row>
    <row r="146" spans="1:38" s="1205" customFormat="1" ht="33" customHeight="1">
      <c r="A146" s="1206">
        <v>126</v>
      </c>
      <c r="B146" s="1207">
        <v>45</v>
      </c>
      <c r="C146" s="1208" t="str">
        <f>'Chấm công KT'!C139</f>
        <v>03631</v>
      </c>
      <c r="D146" s="1208" t="str">
        <f>TONGHOPCONGDOI!C141</f>
        <v>T. Xan Nha</v>
      </c>
      <c r="E146" s="1208" t="s">
        <v>26</v>
      </c>
      <c r="F146" s="1209"/>
      <c r="G146" s="242">
        <f t="shared" si="24"/>
        <v>0</v>
      </c>
      <c r="H146" s="242">
        <f>VLOOKUP(D146,TONGHOPCONGDOI!C141:AD161,16,0)</f>
        <v>3493</v>
      </c>
      <c r="I146" s="242">
        <f>VLOOKUP(D146,TONGHOPCONGDOI!C141:AD161,18,0)</f>
        <v>0</v>
      </c>
      <c r="J146" s="242"/>
      <c r="K146" s="601">
        <f t="shared" si="30"/>
        <v>1510.9376413275024</v>
      </c>
      <c r="L146" s="602" t="str">
        <f>VLOOKUP(D146,'BTH mủ tạp'!$D$98:$AN$160,37,0)</f>
        <v>B</v>
      </c>
      <c r="M146" s="603">
        <f t="shared" si="28"/>
        <v>5878164</v>
      </c>
      <c r="N146" s="604">
        <f>VLOOKUP(D146,TONGHOPCONGDOI!$C$97:$AD$154,20,0)</f>
        <v>24</v>
      </c>
      <c r="O146" s="604">
        <f>VLOOKUP(D146,TONGHOPCONGDOI!$C$97:$AD$154,21,0)</f>
        <v>4</v>
      </c>
      <c r="P146" s="604">
        <f>VLOOKUP(D146,TONGHOPCONGDOI!$C$97:$AD$154,22,0)</f>
        <v>2</v>
      </c>
      <c r="Q146" s="604">
        <f>VLOOKUP(D146,TONGHOPCONGDOI!$C$97:$AD$154,23,0)</f>
        <v>0</v>
      </c>
      <c r="R146" s="604">
        <f>VLOOKUP(D146,TONGHOPCONGDOI!$C$97:$AD$154,24,0)</f>
        <v>0</v>
      </c>
      <c r="S146" s="604">
        <f>VLOOKUP(D146,TONGHOPCONGDOI!$C$97:$AD$154,25,0)</f>
        <v>0</v>
      </c>
      <c r="T146" s="604"/>
      <c r="U146" s="1192">
        <f t="shared" si="29"/>
        <v>2</v>
      </c>
      <c r="V146" s="1193"/>
      <c r="W146" s="1193"/>
      <c r="X146" s="604">
        <f t="shared" si="32"/>
        <v>1272143</v>
      </c>
      <c r="Y146" s="604">
        <f t="shared" si="31"/>
        <v>7150307</v>
      </c>
      <c r="Z146" s="608"/>
      <c r="AA146" s="1197">
        <f t="shared" si="27"/>
        <v>7150307</v>
      </c>
      <c r="AB146" s="242"/>
      <c r="AC146" s="1210">
        <v>45</v>
      </c>
      <c r="AD146" s="1195"/>
      <c r="AE146" s="1196"/>
      <c r="AF146" s="1188"/>
      <c r="AG146" s="1204"/>
      <c r="AH146" s="1204"/>
      <c r="AI146" s="1204"/>
      <c r="AJ146" s="1204"/>
      <c r="AK146" s="1204"/>
      <c r="AL146" s="1204"/>
    </row>
    <row r="147" spans="1:38" s="1205" customFormat="1" ht="33" customHeight="1">
      <c r="A147" s="1206">
        <v>127</v>
      </c>
      <c r="B147" s="1208">
        <v>46</v>
      </c>
      <c r="C147" s="1208" t="str">
        <f>'Chấm công KT'!C140</f>
        <v>03632</v>
      </c>
      <c r="D147" s="1208" t="str">
        <f>TONGHOPCONGDOI!C142</f>
        <v>T. A lem</v>
      </c>
      <c r="E147" s="1208" t="s">
        <v>26</v>
      </c>
      <c r="F147" s="1209"/>
      <c r="G147" s="242">
        <f t="shared" si="24"/>
        <v>0</v>
      </c>
      <c r="H147" s="242">
        <f>VLOOKUP(D147,TONGHOPCONGDOI!C142:AD161,16,0)</f>
        <v>5684</v>
      </c>
      <c r="I147" s="242">
        <f>VLOOKUP(D147,TONGHOPCONGDOI!C142:AD161,18,0)</f>
        <v>0</v>
      </c>
      <c r="J147" s="242"/>
      <c r="K147" s="601">
        <f t="shared" si="30"/>
        <v>2458.6800896952545</v>
      </c>
      <c r="L147" s="602" t="str">
        <f>VLOOKUP(D147,'BTH mủ tạp'!$D$98:$AN$160,37,0)</f>
        <v>A</v>
      </c>
      <c r="M147" s="603">
        <f t="shared" si="28"/>
        <v>10060024</v>
      </c>
      <c r="N147" s="604">
        <f>VLOOKUP(D147,TONGHOPCONGDOI!$C$97:$AD$154,20,0)</f>
        <v>24</v>
      </c>
      <c r="O147" s="604">
        <f>VLOOKUP(D147,TONGHOPCONGDOI!$C$97:$AD$154,21,0)</f>
        <v>4</v>
      </c>
      <c r="P147" s="604">
        <f>VLOOKUP(D147,TONGHOPCONGDOI!$C$97:$AD$154,22,0)</f>
        <v>2</v>
      </c>
      <c r="Q147" s="604">
        <f>VLOOKUP(D147,TONGHOPCONGDOI!$C$97:$AD$154,23,0)</f>
        <v>0</v>
      </c>
      <c r="R147" s="604">
        <f>VLOOKUP(D147,TONGHOPCONGDOI!$C$97:$AD$154,24,0)</f>
        <v>0</v>
      </c>
      <c r="S147" s="604">
        <f>VLOOKUP(D147,TONGHOPCONGDOI!$C$97:$AD$154,25,0)</f>
        <v>0</v>
      </c>
      <c r="T147" s="604"/>
      <c r="U147" s="1192">
        <f t="shared" si="29"/>
        <v>2</v>
      </c>
      <c r="V147" s="1193"/>
      <c r="W147" s="1193"/>
      <c r="X147" s="604">
        <f t="shared" si="32"/>
        <v>1272143</v>
      </c>
      <c r="Y147" s="604">
        <f t="shared" si="31"/>
        <v>11332167</v>
      </c>
      <c r="Z147" s="608"/>
      <c r="AA147" s="1197">
        <f t="shared" si="27"/>
        <v>11332167</v>
      </c>
      <c r="AB147" s="242"/>
      <c r="AC147" s="1210">
        <v>46</v>
      </c>
      <c r="AD147" s="1195"/>
      <c r="AE147" s="1196"/>
      <c r="AF147" s="1188"/>
      <c r="AG147" s="1204"/>
      <c r="AH147" s="1204"/>
      <c r="AI147" s="1204"/>
      <c r="AJ147" s="1204"/>
      <c r="AK147" s="1204"/>
      <c r="AL147" s="1204"/>
    </row>
    <row r="148" spans="1:38" s="1205" customFormat="1" ht="33" customHeight="1">
      <c r="A148" s="1206">
        <v>128</v>
      </c>
      <c r="B148" s="1207">
        <v>47</v>
      </c>
      <c r="C148" s="1208" t="str">
        <f>'Chấm công KT'!C141</f>
        <v>04080</v>
      </c>
      <c r="D148" s="1208" t="str">
        <f>TONGHOPCONGDOI!C143</f>
        <v>T. Phan</v>
      </c>
      <c r="E148" s="1208" t="s">
        <v>26</v>
      </c>
      <c r="F148" s="1209"/>
      <c r="G148" s="242">
        <f t="shared" si="24"/>
        <v>0</v>
      </c>
      <c r="H148" s="242">
        <f>VLOOKUP(D148,TONGHOPCONGDOI!C143:AD161,16,0)</f>
        <v>4333</v>
      </c>
      <c r="I148" s="242">
        <f>VLOOKUP(D148,TONGHOPCONGDOI!C143:AD161,18,0)</f>
        <v>0</v>
      </c>
      <c r="J148" s="242"/>
      <c r="K148" s="601">
        <f t="shared" si="30"/>
        <v>1874.2893787208898</v>
      </c>
      <c r="L148" s="602" t="str">
        <f>VLOOKUP(D148,'BTH mủ tạp'!$D$98:$AN$160,37,0)</f>
        <v>A</v>
      </c>
      <c r="M148" s="603">
        <f t="shared" si="28"/>
        <v>7668910</v>
      </c>
      <c r="N148" s="604">
        <f>VLOOKUP(D148,TONGHOPCONGDOI!$C$97:$AD$154,20,0)</f>
        <v>24</v>
      </c>
      <c r="O148" s="604">
        <f>VLOOKUP(D148,TONGHOPCONGDOI!$C$97:$AD$154,21,0)</f>
        <v>4</v>
      </c>
      <c r="P148" s="604">
        <f>VLOOKUP(D148,TONGHOPCONGDOI!$C$97:$AD$154,22,0)</f>
        <v>2</v>
      </c>
      <c r="Q148" s="604">
        <f>VLOOKUP(D148,TONGHOPCONGDOI!$C$97:$AD$154,23,0)</f>
        <v>0</v>
      </c>
      <c r="R148" s="604">
        <f>VLOOKUP(D148,TONGHOPCONGDOI!$C$97:$AD$154,24,0)</f>
        <v>0</v>
      </c>
      <c r="S148" s="604">
        <f>VLOOKUP(D148,TONGHOPCONGDOI!$C$97:$AD$154,25,0)</f>
        <v>0</v>
      </c>
      <c r="T148" s="604"/>
      <c r="U148" s="1192">
        <f t="shared" si="29"/>
        <v>2</v>
      </c>
      <c r="V148" s="1193"/>
      <c r="W148" s="1193"/>
      <c r="X148" s="604">
        <f t="shared" si="32"/>
        <v>1272143</v>
      </c>
      <c r="Y148" s="604">
        <f t="shared" si="31"/>
        <v>8941053</v>
      </c>
      <c r="Z148" s="608"/>
      <c r="AA148" s="1197">
        <f t="shared" si="27"/>
        <v>8941053</v>
      </c>
      <c r="AB148" s="242"/>
      <c r="AC148" s="1210">
        <v>47</v>
      </c>
      <c r="AD148" s="1195"/>
      <c r="AE148" s="1196"/>
      <c r="AF148" s="1188"/>
      <c r="AG148" s="1204"/>
      <c r="AH148" s="1204"/>
      <c r="AI148" s="1204"/>
      <c r="AJ148" s="1204"/>
      <c r="AK148" s="1204"/>
      <c r="AL148" s="1204"/>
    </row>
    <row r="149" spans="1:38" s="1205" customFormat="1" ht="33" customHeight="1">
      <c r="A149" s="1206">
        <v>129</v>
      </c>
      <c r="B149" s="1208">
        <v>48</v>
      </c>
      <c r="C149" s="1208" t="str">
        <f>'Chấm công KT'!C142</f>
        <v>03634</v>
      </c>
      <c r="D149" s="1208" t="str">
        <f>TONGHOPCONGDOI!C144</f>
        <v>T . Cổ</v>
      </c>
      <c r="E149" s="1208" t="s">
        <v>26</v>
      </c>
      <c r="F149" s="1209"/>
      <c r="G149" s="242">
        <f t="shared" si="24"/>
        <v>0</v>
      </c>
      <c r="H149" s="242">
        <f>VLOOKUP(D149,TONGHOPCONGDOI!C144:AD161,16,0)</f>
        <v>6313</v>
      </c>
      <c r="I149" s="242">
        <f>VLOOKUP(D149,TONGHOPCONGDOI!C144:AD161,18,0)</f>
        <v>0</v>
      </c>
      <c r="J149" s="242"/>
      <c r="K149" s="601">
        <f t="shared" si="30"/>
        <v>2730.76133114816</v>
      </c>
      <c r="L149" s="602" t="str">
        <f>VLOOKUP(D149,'BTH mủ tạp'!$D$98:$AN$160,37,0)</f>
        <v>B</v>
      </c>
      <c r="M149" s="603">
        <f t="shared" si="28"/>
        <v>10623776</v>
      </c>
      <c r="N149" s="604">
        <f>VLOOKUP(D149,TONGHOPCONGDOI!$C$97:$AD$154,20,0)</f>
        <v>23</v>
      </c>
      <c r="O149" s="604">
        <f>VLOOKUP(D149,TONGHOPCONGDOI!$C$97:$AD$154,21,0)</f>
        <v>4</v>
      </c>
      <c r="P149" s="604">
        <f>VLOOKUP(D149,TONGHOPCONGDOI!$C$97:$AD$154,22,0)</f>
        <v>2</v>
      </c>
      <c r="Q149" s="604">
        <f>VLOOKUP(D149,TONGHOPCONGDOI!$C$97:$AD$154,23,0)</f>
        <v>0</v>
      </c>
      <c r="R149" s="604">
        <f>VLOOKUP(D149,TONGHOPCONGDOI!$C$97:$AD$154,24,0)</f>
        <v>0</v>
      </c>
      <c r="S149" s="604">
        <f>VLOOKUP(D149,TONGHOPCONGDOI!$C$97:$AD$154,25,0)</f>
        <v>0</v>
      </c>
      <c r="T149" s="604"/>
      <c r="U149" s="1192">
        <f t="shared" si="29"/>
        <v>2</v>
      </c>
      <c r="V149" s="1193"/>
      <c r="W149" s="1193"/>
      <c r="X149" s="604">
        <f t="shared" si="32"/>
        <v>1241221</v>
      </c>
      <c r="Y149" s="604">
        <f t="shared" si="31"/>
        <v>11864997</v>
      </c>
      <c r="Z149" s="608"/>
      <c r="AA149" s="1197">
        <f t="shared" si="27"/>
        <v>11864997</v>
      </c>
      <c r="AB149" s="242"/>
      <c r="AC149" s="1210">
        <v>48</v>
      </c>
      <c r="AD149" s="1195"/>
      <c r="AE149" s="1196"/>
      <c r="AF149" s="1188"/>
      <c r="AG149" s="1204"/>
      <c r="AH149" s="1204"/>
      <c r="AI149" s="1204"/>
      <c r="AJ149" s="1204"/>
      <c r="AK149" s="1204"/>
      <c r="AL149" s="1204"/>
    </row>
    <row r="150" spans="1:38" s="1205" customFormat="1" ht="33" customHeight="1">
      <c r="A150" s="1206">
        <v>130</v>
      </c>
      <c r="B150" s="1207">
        <v>49</v>
      </c>
      <c r="C150" s="1208" t="str">
        <f>'Chấm công KT'!C143</f>
        <v>03635</v>
      </c>
      <c r="D150" s="1208" t="str">
        <f>TONGHOPCONGDOI!C145</f>
        <v>N. Phim Pha</v>
      </c>
      <c r="E150" s="1208" t="s">
        <v>26</v>
      </c>
      <c r="F150" s="1209"/>
      <c r="G150" s="242">
        <f t="shared" si="24"/>
        <v>0</v>
      </c>
      <c r="H150" s="242">
        <f>VLOOKUP(D150,TONGHOPCONGDOI!C145:AD161,16,0)</f>
        <v>3924</v>
      </c>
      <c r="I150" s="242">
        <f>VLOOKUP(D150,TONGHOPCONGDOI!C145:AD163,18,0)</f>
        <v>0</v>
      </c>
      <c r="J150" s="242"/>
      <c r="K150" s="601">
        <f t="shared" si="30"/>
        <v>1697.3716875376811</v>
      </c>
      <c r="L150" s="602" t="str">
        <f>VLOOKUP(D150,'BTH mủ tạp'!$D$98:$AN$160,37,0)</f>
        <v>B</v>
      </c>
      <c r="M150" s="603">
        <f t="shared" si="28"/>
        <v>6603468</v>
      </c>
      <c r="N150" s="604">
        <f>VLOOKUP(D150,TONGHOPCONGDOI!$C$97:$AD$154,20,0)</f>
        <v>21</v>
      </c>
      <c r="O150" s="604">
        <f>VLOOKUP(D150,TONGHOPCONGDOI!$C$97:$AD$154,21,0)</f>
        <v>3</v>
      </c>
      <c r="P150" s="604">
        <f>VLOOKUP(D150,TONGHOPCONGDOI!$C$97:$AD$154,22,0)</f>
        <v>2</v>
      </c>
      <c r="Q150" s="604">
        <f>VLOOKUP(D150,TONGHOPCONGDOI!$C$97:$AD$154,23,0)</f>
        <v>0</v>
      </c>
      <c r="R150" s="604">
        <f>VLOOKUP(D150,TONGHOPCONGDOI!$C$97:$AD$154,24,0)</f>
        <v>0</v>
      </c>
      <c r="S150" s="604">
        <f>VLOOKUP(D150,TONGHOPCONGDOI!$C$97:$AD$154,25,0)</f>
        <v>0</v>
      </c>
      <c r="T150" s="604"/>
      <c r="U150" s="1192">
        <f t="shared" si="29"/>
        <v>2</v>
      </c>
      <c r="V150" s="1193"/>
      <c r="W150" s="1193"/>
      <c r="X150" s="604">
        <f t="shared" si="32"/>
        <v>1127795</v>
      </c>
      <c r="Y150" s="604">
        <f t="shared" si="31"/>
        <v>7731263</v>
      </c>
      <c r="Z150" s="608"/>
      <c r="AA150" s="1197">
        <f t="shared" si="27"/>
        <v>7731263</v>
      </c>
      <c r="AB150" s="242"/>
      <c r="AC150" s="1210">
        <v>49</v>
      </c>
      <c r="AD150" s="1195"/>
      <c r="AE150" s="1196"/>
      <c r="AF150" s="1188"/>
      <c r="AG150" s="1204"/>
      <c r="AH150" s="1204"/>
      <c r="AI150" s="1204"/>
      <c r="AJ150" s="1204"/>
      <c r="AK150" s="1204"/>
      <c r="AL150" s="1204"/>
    </row>
    <row r="151" spans="1:38" s="1205" customFormat="1" ht="33" customHeight="1">
      <c r="A151" s="1206">
        <v>131</v>
      </c>
      <c r="B151" s="1208">
        <v>50</v>
      </c>
      <c r="C151" s="1208" t="str">
        <f>'Chấm công KT'!C144</f>
        <v>03636</v>
      </c>
      <c r="D151" s="1208" t="str">
        <f>TONGHOPCONGDOI!C146</f>
        <v xml:space="preserve">T. Xeng </v>
      </c>
      <c r="E151" s="1208" t="s">
        <v>26</v>
      </c>
      <c r="F151" s="1209"/>
      <c r="G151" s="242">
        <f t="shared" si="24"/>
        <v>0</v>
      </c>
      <c r="H151" s="242">
        <f>VLOOKUP(D151,TONGHOPCONGDOI!C146:AD161,16,0)</f>
        <v>4460</v>
      </c>
      <c r="I151" s="242">
        <f>VLOOKUP(D151,TONGHOPCONGDOI!C146:AD164,18,0)</f>
        <v>0</v>
      </c>
      <c r="J151" s="242"/>
      <c r="K151" s="601">
        <f t="shared" si="30"/>
        <v>1929.224700922033</v>
      </c>
      <c r="L151" s="602" t="str">
        <f>VLOOKUP(D151,'BTH mủ tạp'!$D$98:$AN$160,37,0)</f>
        <v>B</v>
      </c>
      <c r="M151" s="603">
        <f t="shared" si="28"/>
        <v>7505471</v>
      </c>
      <c r="N151" s="604">
        <f>VLOOKUP(D151,TONGHOPCONGDOI!$C$97:$AD$154,20,0)</f>
        <v>24</v>
      </c>
      <c r="O151" s="604">
        <f>VLOOKUP(D151,TONGHOPCONGDOI!$C$97:$AD$154,21,0)</f>
        <v>4</v>
      </c>
      <c r="P151" s="604">
        <f>VLOOKUP(D151,TONGHOPCONGDOI!$C$97:$AD$154,22,0)</f>
        <v>2</v>
      </c>
      <c r="Q151" s="604">
        <f>VLOOKUP(D151,TONGHOPCONGDOI!$C$97:$AD$154,23,0)</f>
        <v>0</v>
      </c>
      <c r="R151" s="604">
        <f>VLOOKUP(D151,TONGHOPCONGDOI!$C$97:$AD$154,24,0)</f>
        <v>0</v>
      </c>
      <c r="S151" s="604">
        <f>VLOOKUP(D151,TONGHOPCONGDOI!$C$97:$AD$154,25,0)</f>
        <v>0</v>
      </c>
      <c r="T151" s="604"/>
      <c r="U151" s="1192">
        <f t="shared" si="29"/>
        <v>2</v>
      </c>
      <c r="V151" s="1193"/>
      <c r="W151" s="1193"/>
      <c r="X151" s="604">
        <f t="shared" si="32"/>
        <v>1272143</v>
      </c>
      <c r="Y151" s="604">
        <f t="shared" si="31"/>
        <v>8777614</v>
      </c>
      <c r="Z151" s="608"/>
      <c r="AA151" s="1197">
        <f t="shared" si="27"/>
        <v>8777614</v>
      </c>
      <c r="AB151" s="242"/>
      <c r="AC151" s="1210">
        <v>50</v>
      </c>
      <c r="AD151" s="1195"/>
      <c r="AE151" s="1196"/>
      <c r="AF151" s="1188"/>
      <c r="AG151" s="1204"/>
      <c r="AH151" s="1204"/>
      <c r="AI151" s="1204"/>
      <c r="AJ151" s="1204"/>
      <c r="AK151" s="1204"/>
      <c r="AL151" s="1204"/>
    </row>
    <row r="152" spans="1:38" s="1205" customFormat="1" ht="33" customHeight="1">
      <c r="A152" s="1206">
        <v>132</v>
      </c>
      <c r="B152" s="1207">
        <v>51</v>
      </c>
      <c r="C152" s="1208" t="str">
        <f>'Chấm công KT'!C145</f>
        <v>03637</v>
      </c>
      <c r="D152" s="1208" t="str">
        <f>TONGHOPCONGDOI!C147</f>
        <v>T. Vạt</v>
      </c>
      <c r="E152" s="1208" t="s">
        <v>26</v>
      </c>
      <c r="F152" s="1209"/>
      <c r="G152" s="242">
        <f t="shared" si="24"/>
        <v>0</v>
      </c>
      <c r="H152" s="242">
        <f>VLOOKUP(D152,TONGHOPCONGDOI!C147:AD161,16,0)</f>
        <v>4547</v>
      </c>
      <c r="I152" s="242">
        <f>VLOOKUP(D152,TONGHOPCONGDOI!C147:AD165,18,0)</f>
        <v>0</v>
      </c>
      <c r="J152" s="242"/>
      <c r="K152" s="601">
        <f t="shared" si="30"/>
        <v>1966.8575594377767</v>
      </c>
      <c r="L152" s="602" t="str">
        <f>VLOOKUP(D152,'BTH mủ tạp'!$D$98:$AN$160,37,0)</f>
        <v>B</v>
      </c>
      <c r="M152" s="603">
        <f t="shared" si="28"/>
        <v>7651878</v>
      </c>
      <c r="N152" s="604">
        <f>VLOOKUP(D152,TONGHOPCONGDOI!$C$97:$AD$154,20,0)</f>
        <v>24</v>
      </c>
      <c r="O152" s="604">
        <f>VLOOKUP(D152,TONGHOPCONGDOI!$C$97:$AD$154,21,0)</f>
        <v>4</v>
      </c>
      <c r="P152" s="604">
        <f>VLOOKUP(D152,TONGHOPCONGDOI!$C$97:$AD$154,22,0)</f>
        <v>2</v>
      </c>
      <c r="Q152" s="604">
        <f>VLOOKUP(D152,TONGHOPCONGDOI!$C$97:$AD$154,23,0)</f>
        <v>0</v>
      </c>
      <c r="R152" s="604">
        <f>VLOOKUP(D152,TONGHOPCONGDOI!$C$97:$AD$154,24,0)</f>
        <v>0</v>
      </c>
      <c r="S152" s="604">
        <f>VLOOKUP(D152,TONGHOPCONGDOI!$C$97:$AD$154,25,0)</f>
        <v>0</v>
      </c>
      <c r="T152" s="604"/>
      <c r="U152" s="1192">
        <f t="shared" si="29"/>
        <v>2</v>
      </c>
      <c r="V152" s="1193"/>
      <c r="W152" s="1193"/>
      <c r="X152" s="604">
        <f t="shared" si="32"/>
        <v>1272143</v>
      </c>
      <c r="Y152" s="604">
        <f t="shared" si="31"/>
        <v>8924021</v>
      </c>
      <c r="Z152" s="608"/>
      <c r="AA152" s="1197">
        <f t="shared" si="27"/>
        <v>8924021</v>
      </c>
      <c r="AB152" s="242"/>
      <c r="AC152" s="1210">
        <v>51</v>
      </c>
      <c r="AD152" s="1195"/>
      <c r="AE152" s="1196"/>
      <c r="AF152" s="1188"/>
      <c r="AG152" s="1204"/>
      <c r="AH152" s="1204"/>
      <c r="AI152" s="1204"/>
      <c r="AJ152" s="1204"/>
      <c r="AK152" s="1204"/>
      <c r="AL152" s="1204"/>
    </row>
    <row r="153" spans="1:38" s="1205" customFormat="1" ht="33" customHeight="1">
      <c r="A153" s="1206">
        <v>133</v>
      </c>
      <c r="B153" s="1208">
        <v>52</v>
      </c>
      <c r="C153" s="1208" t="str">
        <f>'Chấm công KT'!C146</f>
        <v>03638</v>
      </c>
      <c r="D153" s="1208" t="str">
        <f>TONGHOPCONGDOI!C148</f>
        <v>T. Lay</v>
      </c>
      <c r="E153" s="1208" t="s">
        <v>26</v>
      </c>
      <c r="F153" s="1209"/>
      <c r="G153" s="242">
        <f t="shared" si="24"/>
        <v>0</v>
      </c>
      <c r="H153" s="242">
        <f>VLOOKUP(D153,TONGHOPCONGDOI!C148:AD161,16,0)</f>
        <v>4087</v>
      </c>
      <c r="I153" s="242">
        <f>VLOOKUP(D153,TONGHOPCONGDOI!C148:AD166,18,0)</f>
        <v>0</v>
      </c>
      <c r="J153" s="242"/>
      <c r="K153" s="601">
        <f t="shared" si="30"/>
        <v>1767.8792270556835</v>
      </c>
      <c r="L153" s="602" t="str">
        <f>VLOOKUP(D153,'BTH mủ tạp'!$D$98:$AN$160,37,0)</f>
        <v>A</v>
      </c>
      <c r="M153" s="603">
        <f t="shared" si="28"/>
        <v>7233518</v>
      </c>
      <c r="N153" s="604">
        <f>VLOOKUP(D153,TONGHOPCONGDOI!$C$97:$AD$154,20,0)</f>
        <v>24</v>
      </c>
      <c r="O153" s="604">
        <f>VLOOKUP(D153,TONGHOPCONGDOI!$C$97:$AD$154,21,0)</f>
        <v>4</v>
      </c>
      <c r="P153" s="604">
        <f>VLOOKUP(D153,TONGHOPCONGDOI!$C$97:$AD$154,22,0)</f>
        <v>2</v>
      </c>
      <c r="Q153" s="604">
        <f>VLOOKUP(D153,TONGHOPCONGDOI!$C$97:$AD$154,23,0)</f>
        <v>0</v>
      </c>
      <c r="R153" s="604">
        <f>VLOOKUP(D153,TONGHOPCONGDOI!$C$97:$AD$154,24,0)</f>
        <v>0</v>
      </c>
      <c r="S153" s="604">
        <f>VLOOKUP(D153,TONGHOPCONGDOI!$C$97:$AD$154,25,0)</f>
        <v>0</v>
      </c>
      <c r="T153" s="604"/>
      <c r="U153" s="1192">
        <f t="shared" si="29"/>
        <v>2</v>
      </c>
      <c r="V153" s="1193"/>
      <c r="W153" s="1193"/>
      <c r="X153" s="604">
        <f t="shared" si="32"/>
        <v>1272143</v>
      </c>
      <c r="Y153" s="604">
        <f t="shared" si="31"/>
        <v>8505661</v>
      </c>
      <c r="Z153" s="608"/>
      <c r="AA153" s="1197">
        <f t="shared" si="27"/>
        <v>8505661</v>
      </c>
      <c r="AB153" s="242"/>
      <c r="AC153" s="1210">
        <v>52</v>
      </c>
      <c r="AD153" s="1195"/>
      <c r="AE153" s="1196"/>
      <c r="AF153" s="1188"/>
      <c r="AG153" s="1204"/>
      <c r="AH153" s="1204"/>
      <c r="AI153" s="1204"/>
      <c r="AJ153" s="1204"/>
      <c r="AK153" s="1204"/>
      <c r="AL153" s="1204"/>
    </row>
    <row r="154" spans="1:38" s="1205" customFormat="1" ht="33" customHeight="1">
      <c r="A154" s="1206">
        <v>134</v>
      </c>
      <c r="B154" s="1207">
        <v>53</v>
      </c>
      <c r="C154" s="1208" t="str">
        <f>'Chấm công KT'!C147</f>
        <v>04081</v>
      </c>
      <c r="D154" s="1208" t="str">
        <f>TONGHOPCONGDOI!C149</f>
        <v>N. Nọi</v>
      </c>
      <c r="E154" s="1208" t="s">
        <v>26</v>
      </c>
      <c r="F154" s="1209"/>
      <c r="G154" s="242">
        <f t="shared" si="24"/>
        <v>0</v>
      </c>
      <c r="H154" s="242">
        <f>VLOOKUP(D154,TONGHOPCONGDOI!C149:AD161,16,0)</f>
        <v>4165</v>
      </c>
      <c r="I154" s="242">
        <f>VLOOKUP(D154,TONGHOPCONGDOI!C149:AD167,18,0)</f>
        <v>0</v>
      </c>
      <c r="J154" s="242"/>
      <c r="K154" s="601">
        <f t="shared" si="30"/>
        <v>1801.6190312422123</v>
      </c>
      <c r="L154" s="602" t="str">
        <f>VLOOKUP(D154,'BTH mủ tạp'!$D$98:$AN$160,37,0)</f>
        <v>A</v>
      </c>
      <c r="M154" s="603">
        <f t="shared" si="28"/>
        <v>7371569</v>
      </c>
      <c r="N154" s="604">
        <f>VLOOKUP(D154,TONGHOPCONGDOI!$C$97:$AD$154,20,0)</f>
        <v>24</v>
      </c>
      <c r="O154" s="604">
        <f>VLOOKUP(D154,TONGHOPCONGDOI!$C$97:$AD$154,21,0)</f>
        <v>4</v>
      </c>
      <c r="P154" s="604">
        <f>VLOOKUP(D154,TONGHOPCONGDOI!$C$97:$AD$154,22,0)</f>
        <v>2</v>
      </c>
      <c r="Q154" s="604">
        <f>VLOOKUP(D154,TONGHOPCONGDOI!$C$97:$AD$154,23,0)</f>
        <v>0</v>
      </c>
      <c r="R154" s="604">
        <f>VLOOKUP(D154,TONGHOPCONGDOI!$C$97:$AD$154,24,0)</f>
        <v>0</v>
      </c>
      <c r="S154" s="604">
        <f>VLOOKUP(D154,TONGHOPCONGDOI!$C$97:$AD$154,25,0)</f>
        <v>0</v>
      </c>
      <c r="T154" s="604"/>
      <c r="U154" s="1192">
        <f t="shared" si="29"/>
        <v>2</v>
      </c>
      <c r="V154" s="1193"/>
      <c r="W154" s="1193"/>
      <c r="X154" s="604">
        <f t="shared" si="32"/>
        <v>1272143</v>
      </c>
      <c r="Y154" s="604">
        <f t="shared" si="31"/>
        <v>8643712</v>
      </c>
      <c r="Z154" s="608"/>
      <c r="AA154" s="1197">
        <f t="shared" si="27"/>
        <v>8643712</v>
      </c>
      <c r="AB154" s="242"/>
      <c r="AC154" s="1210">
        <v>53</v>
      </c>
      <c r="AD154" s="1195"/>
      <c r="AE154" s="1196"/>
      <c r="AF154" s="1188"/>
      <c r="AG154" s="1204"/>
      <c r="AH154" s="1204"/>
      <c r="AI154" s="1204"/>
      <c r="AJ154" s="1204"/>
      <c r="AK154" s="1204"/>
      <c r="AL154" s="1204"/>
    </row>
    <row r="155" spans="1:38" s="1205" customFormat="1" ht="33" customHeight="1">
      <c r="A155" s="1206">
        <v>135</v>
      </c>
      <c r="B155" s="1208">
        <v>54</v>
      </c>
      <c r="C155" s="1208" t="str">
        <f>'Chấm công KT'!C148</f>
        <v>04082</v>
      </c>
      <c r="D155" s="1208" t="str">
        <f>TONGHOPCONGDOI!C150</f>
        <v>T Bun Xi</v>
      </c>
      <c r="E155" s="1208" t="s">
        <v>26</v>
      </c>
      <c r="F155" s="1209"/>
      <c r="G155" s="242">
        <f t="shared" si="24"/>
        <v>0</v>
      </c>
      <c r="H155" s="242">
        <f>VLOOKUP(D155,TONGHOPCONGDOI!C150:AD161,16,0)</f>
        <v>4270</v>
      </c>
      <c r="I155" s="242">
        <f>VLOOKUP(D155,TONGHOPCONGDOI!C150:AD168,18,0)</f>
        <v>0</v>
      </c>
      <c r="J155" s="242"/>
      <c r="K155" s="601">
        <f t="shared" si="30"/>
        <v>1847.0379984163858</v>
      </c>
      <c r="L155" s="602" t="str">
        <f>VLOOKUP(D155,'BTH mủ tạp'!$D$98:$AN$160,37,0)</f>
        <v>B</v>
      </c>
      <c r="M155" s="603">
        <f t="shared" si="28"/>
        <v>7185731</v>
      </c>
      <c r="N155" s="604">
        <f>VLOOKUP(D155,TONGHOPCONGDOI!$C$97:$AD$154,20,0)</f>
        <v>23</v>
      </c>
      <c r="O155" s="604">
        <f>VLOOKUP(D155,TONGHOPCONGDOI!$C$97:$AD$154,21,0)</f>
        <v>3</v>
      </c>
      <c r="P155" s="604">
        <f>VLOOKUP(D155,TONGHOPCONGDOI!$C$97:$AD$154,22,0)</f>
        <v>2</v>
      </c>
      <c r="Q155" s="604">
        <f>VLOOKUP(D155,TONGHOPCONGDOI!$C$97:$AD$154,23,0)</f>
        <v>0</v>
      </c>
      <c r="R155" s="604">
        <f>VLOOKUP(D155,TONGHOPCONGDOI!$C$97:$AD$154,24,0)</f>
        <v>0</v>
      </c>
      <c r="S155" s="604">
        <f>VLOOKUP(D155,TONGHOPCONGDOI!$C$97:$AD$154,25,0)</f>
        <v>0</v>
      </c>
      <c r="T155" s="604"/>
      <c r="U155" s="1192">
        <f t="shared" si="29"/>
        <v>2</v>
      </c>
      <c r="V155" s="1193"/>
      <c r="W155" s="1193"/>
      <c r="X155" s="604">
        <f t="shared" si="32"/>
        <v>1189639</v>
      </c>
      <c r="Y155" s="604">
        <f t="shared" si="31"/>
        <v>8375370</v>
      </c>
      <c r="Z155" s="608"/>
      <c r="AA155" s="1197">
        <f t="shared" si="27"/>
        <v>8375370</v>
      </c>
      <c r="AB155" s="242"/>
      <c r="AC155" s="1210">
        <v>54</v>
      </c>
      <c r="AD155" s="1195"/>
      <c r="AE155" s="1196"/>
      <c r="AF155" s="1188"/>
      <c r="AG155" s="1204"/>
      <c r="AH155" s="1204"/>
      <c r="AI155" s="1204"/>
      <c r="AJ155" s="1204"/>
      <c r="AK155" s="1204"/>
      <c r="AL155" s="1204"/>
    </row>
    <row r="156" spans="1:38" s="1205" customFormat="1" ht="33" customHeight="1">
      <c r="A156" s="1206">
        <v>136</v>
      </c>
      <c r="B156" s="1207">
        <v>55</v>
      </c>
      <c r="C156" s="1208" t="str">
        <f>'Chấm công KT'!C149</f>
        <v>04083</v>
      </c>
      <c r="D156" s="1208" t="str">
        <f>TONGHOPCONGDOI!C151</f>
        <v>N. Bù</v>
      </c>
      <c r="E156" s="1208" t="s">
        <v>26</v>
      </c>
      <c r="F156" s="1209"/>
      <c r="G156" s="242">
        <f t="shared" si="24"/>
        <v>0</v>
      </c>
      <c r="H156" s="242">
        <f>VLOOKUP(D156,TONGHOPCONGDOI!C151:AD161,16,0)</f>
        <v>3799</v>
      </c>
      <c r="I156" s="242">
        <f>VLOOKUP(D156,TONGHOPCONGDOI!C151:AD169,18,0)</f>
        <v>0</v>
      </c>
      <c r="J156" s="242"/>
      <c r="K156" s="601">
        <f t="shared" si="30"/>
        <v>1643.3014885208079</v>
      </c>
      <c r="L156" s="602" t="str">
        <f>VLOOKUP(D156,'BTH mủ tạp'!$D$98:$AN$160,37,0)</f>
        <v>A</v>
      </c>
      <c r="M156" s="603">
        <f t="shared" si="28"/>
        <v>6723792</v>
      </c>
      <c r="N156" s="604">
        <f>VLOOKUP(D156,TONGHOPCONGDOI!$C$97:$AD$154,20,0)</f>
        <v>23</v>
      </c>
      <c r="O156" s="604">
        <f>VLOOKUP(D156,TONGHOPCONGDOI!$C$97:$AD$154,21,0)</f>
        <v>2</v>
      </c>
      <c r="P156" s="604">
        <f>VLOOKUP(D156,TONGHOPCONGDOI!$C$97:$AD$154,22,0)</f>
        <v>2</v>
      </c>
      <c r="Q156" s="604">
        <f>VLOOKUP(D156,TONGHOPCONGDOI!$C$97:$AD$154,23,0)</f>
        <v>0</v>
      </c>
      <c r="R156" s="604">
        <f>VLOOKUP(D156,TONGHOPCONGDOI!$C$97:$AD$154,24,0)</f>
        <v>0</v>
      </c>
      <c r="S156" s="604">
        <f>VLOOKUP(D156,TONGHOPCONGDOI!$C$97:$AD$154,25,0)</f>
        <v>0</v>
      </c>
      <c r="T156" s="604"/>
      <c r="U156" s="1192">
        <f t="shared" si="29"/>
        <v>2</v>
      </c>
      <c r="V156" s="1193"/>
      <c r="W156" s="1193"/>
      <c r="X156" s="604">
        <f t="shared" si="32"/>
        <v>1138058</v>
      </c>
      <c r="Y156" s="604">
        <f t="shared" si="31"/>
        <v>7861850</v>
      </c>
      <c r="Z156" s="608"/>
      <c r="AA156" s="1197">
        <f t="shared" si="27"/>
        <v>7861850</v>
      </c>
      <c r="AB156" s="242"/>
      <c r="AC156" s="1210">
        <v>55</v>
      </c>
      <c r="AD156" s="1195"/>
      <c r="AE156" s="1196"/>
      <c r="AF156" s="1188"/>
      <c r="AG156" s="1204"/>
      <c r="AH156" s="1204"/>
      <c r="AI156" s="1204"/>
      <c r="AJ156" s="1204"/>
      <c r="AK156" s="1204"/>
      <c r="AL156" s="1204"/>
    </row>
    <row r="157" spans="1:38" s="1205" customFormat="1" ht="33" customHeight="1">
      <c r="A157" s="1206">
        <v>137</v>
      </c>
      <c r="B157" s="1208">
        <v>56</v>
      </c>
      <c r="C157" s="1208" t="str">
        <f>'Chấm công KT'!C150</f>
        <v>03642</v>
      </c>
      <c r="D157" s="1208" t="str">
        <f>TONGHOPCONGDOI!C152</f>
        <v>T. Xơn</v>
      </c>
      <c r="E157" s="1208" t="s">
        <v>26</v>
      </c>
      <c r="F157" s="1209"/>
      <c r="G157" s="242">
        <f t="shared" si="24"/>
        <v>0</v>
      </c>
      <c r="H157" s="242">
        <f>VLOOKUP(D157,TONGHOPCONGDOI!C152:AD161,16,0)</f>
        <v>4201</v>
      </c>
      <c r="I157" s="242">
        <f>VLOOKUP(D157,TONGHOPCONGDOI!C152:AD170,18,0)</f>
        <v>0</v>
      </c>
      <c r="J157" s="242"/>
      <c r="K157" s="601">
        <f t="shared" si="30"/>
        <v>1817.1912485590719</v>
      </c>
      <c r="L157" s="602" t="str">
        <f>VLOOKUP(D157,'BTH mủ tạp'!$D$98:$AN$160,37,0)</f>
        <v>A</v>
      </c>
      <c r="M157" s="603">
        <f t="shared" si="28"/>
        <v>7435285</v>
      </c>
      <c r="N157" s="604">
        <f>VLOOKUP(D157,TONGHOPCONGDOI!$C$97:$AD$154,20,0)</f>
        <v>23</v>
      </c>
      <c r="O157" s="604">
        <f>VLOOKUP(D157,TONGHOPCONGDOI!$C$97:$AD$154,21,0)</f>
        <v>3</v>
      </c>
      <c r="P157" s="604">
        <f>VLOOKUP(D157,TONGHOPCONGDOI!$C$97:$AD$154,22,0)</f>
        <v>2</v>
      </c>
      <c r="Q157" s="604">
        <f>VLOOKUP(D157,TONGHOPCONGDOI!$C$97:$AD$154,23,0)</f>
        <v>0</v>
      </c>
      <c r="R157" s="604">
        <f>VLOOKUP(D157,TONGHOPCONGDOI!$C$97:$AD$154,24,0)</f>
        <v>0</v>
      </c>
      <c r="S157" s="604">
        <f>VLOOKUP(D157,TONGHOPCONGDOI!$C$97:$AD$154,25,0)</f>
        <v>0</v>
      </c>
      <c r="T157" s="604"/>
      <c r="U157" s="1192">
        <f t="shared" si="29"/>
        <v>2</v>
      </c>
      <c r="V157" s="1193"/>
      <c r="W157" s="1193"/>
      <c r="X157" s="604">
        <f t="shared" si="32"/>
        <v>1189639</v>
      </c>
      <c r="Y157" s="604">
        <f t="shared" si="31"/>
        <v>8624924</v>
      </c>
      <c r="Z157" s="608"/>
      <c r="AA157" s="1197">
        <f t="shared" si="27"/>
        <v>8624924</v>
      </c>
      <c r="AB157" s="242"/>
      <c r="AC157" s="1210">
        <v>56</v>
      </c>
      <c r="AD157" s="1195"/>
      <c r="AE157" s="1196"/>
      <c r="AF157" s="1188"/>
      <c r="AG157" s="1204"/>
      <c r="AH157" s="1204"/>
      <c r="AI157" s="1204"/>
      <c r="AJ157" s="1204"/>
      <c r="AK157" s="1204"/>
      <c r="AL157" s="1204"/>
    </row>
    <row r="158" spans="1:38" s="1205" customFormat="1" ht="33" customHeight="1">
      <c r="A158" s="1206">
        <v>138</v>
      </c>
      <c r="B158" s="1207">
        <v>57</v>
      </c>
      <c r="C158" s="1208" t="str">
        <f>'Chấm công KT'!C151</f>
        <v>04084</v>
      </c>
      <c r="D158" s="1208" t="str">
        <f>TONGHOPCONGDOI!C153</f>
        <v>T. Thi</v>
      </c>
      <c r="E158" s="1208" t="s">
        <v>26</v>
      </c>
      <c r="F158" s="1209"/>
      <c r="G158" s="242">
        <f t="shared" si="24"/>
        <v>0</v>
      </c>
      <c r="H158" s="242">
        <f>VLOOKUP(D158,TONGHOPCONGDOI!C153:AD161,16,0)</f>
        <v>4872</v>
      </c>
      <c r="I158" s="242">
        <f>VLOOKUP(D158,TONGHOPCONGDOI!C153:AD171,18,0)</f>
        <v>0</v>
      </c>
      <c r="J158" s="242"/>
      <c r="K158" s="601">
        <f t="shared" si="30"/>
        <v>2107.4400768816467</v>
      </c>
      <c r="L158" s="602" t="str">
        <f>VLOOKUP(D158,'BTH mủ tạp'!$D$98:$AN$160,37,0)</f>
        <v>A</v>
      </c>
      <c r="M158" s="603">
        <f t="shared" si="28"/>
        <v>8622878</v>
      </c>
      <c r="N158" s="604">
        <f>VLOOKUP(D158,TONGHOPCONGDOI!$C$97:$AD$154,20,0)</f>
        <v>24</v>
      </c>
      <c r="O158" s="604">
        <f>VLOOKUP(D158,TONGHOPCONGDOI!$C$97:$AD$154,21,0)</f>
        <v>4</v>
      </c>
      <c r="P158" s="604">
        <f>VLOOKUP(D158,TONGHOPCONGDOI!$C$97:$AD$154,22,0)</f>
        <v>2</v>
      </c>
      <c r="Q158" s="604">
        <f>VLOOKUP(D158,TONGHOPCONGDOI!$C$97:$AD$154,23,0)</f>
        <v>0</v>
      </c>
      <c r="R158" s="604">
        <f>VLOOKUP(D158,TONGHOPCONGDOI!$C$97:$AD$154,24,0)</f>
        <v>0</v>
      </c>
      <c r="S158" s="604">
        <f>VLOOKUP(D158,TONGHOPCONGDOI!$C$97:$AD$154,25,0)</f>
        <v>0</v>
      </c>
      <c r="T158" s="604"/>
      <c r="U158" s="1192">
        <f t="shared" si="29"/>
        <v>2</v>
      </c>
      <c r="V158" s="1193"/>
      <c r="W158" s="1193"/>
      <c r="X158" s="604">
        <f t="shared" si="32"/>
        <v>1272143</v>
      </c>
      <c r="Y158" s="604">
        <f t="shared" si="31"/>
        <v>9895021</v>
      </c>
      <c r="Z158" s="608"/>
      <c r="AA158" s="1197">
        <f t="shared" si="27"/>
        <v>9895021</v>
      </c>
      <c r="AB158" s="242"/>
      <c r="AC158" s="1210">
        <v>57</v>
      </c>
      <c r="AD158" s="1195"/>
      <c r="AE158" s="1196"/>
      <c r="AF158" s="1188"/>
      <c r="AG158" s="1204"/>
      <c r="AH158" s="1204"/>
      <c r="AI158" s="1204"/>
      <c r="AJ158" s="1204"/>
      <c r="AK158" s="1204"/>
      <c r="AL158" s="1204"/>
    </row>
    <row r="159" spans="1:38" s="1205" customFormat="1" ht="33" customHeight="1">
      <c r="A159" s="1206">
        <v>139</v>
      </c>
      <c r="B159" s="1208">
        <v>58</v>
      </c>
      <c r="C159" s="1208" t="str">
        <f>'Chấm công KT'!C152</f>
        <v>04085</v>
      </c>
      <c r="D159" s="1208" t="str">
        <f>TONGHOPCONGDOI!C154</f>
        <v>On chay</v>
      </c>
      <c r="E159" s="1208" t="s">
        <v>26</v>
      </c>
      <c r="F159" s="1209"/>
      <c r="G159" s="242">
        <f t="shared" si="24"/>
        <v>0</v>
      </c>
      <c r="H159" s="242">
        <f>VLOOKUP(D159,TONGHOPCONGDOI!C154:AD163,16,0)</f>
        <v>4473</v>
      </c>
      <c r="I159" s="242">
        <f>VLOOKUP(D159,TONGHOPCONGDOI!C154:AD172,18,0)</f>
        <v>0</v>
      </c>
      <c r="J159" s="242"/>
      <c r="K159" s="601">
        <f t="shared" si="30"/>
        <v>1934.8480016197877</v>
      </c>
      <c r="L159" s="602" t="str">
        <f>VLOOKUP(D159,'BTH mủ tạp'!$D$98:$AN$160,37,0)</f>
        <v>A</v>
      </c>
      <c r="M159" s="603">
        <f t="shared" si="28"/>
        <v>7916694</v>
      </c>
      <c r="N159" s="604">
        <f>VLOOKUP(D159,TONGHOPCONGDOI!$C$97:$AD$154,20,0)</f>
        <v>24</v>
      </c>
      <c r="O159" s="604">
        <f>VLOOKUP(D159,TONGHOPCONGDOI!$C$97:$AD$154,21,0)</f>
        <v>4</v>
      </c>
      <c r="P159" s="604">
        <f>VLOOKUP(D159,TONGHOPCONGDOI!$C$97:$AD$159,22,0)</f>
        <v>2</v>
      </c>
      <c r="Q159" s="604">
        <f>VLOOKUP(D159,TONGHOPCONGDOI!$C$97:$AD$154,23,0)</f>
        <v>0</v>
      </c>
      <c r="R159" s="604">
        <f>VLOOKUP(D159,TONGHOPCONGDOI!$C$97:$AD$154,24,0)</f>
        <v>0</v>
      </c>
      <c r="S159" s="604">
        <f>VLOOKUP(D159,TONGHOPCONGDOI!$C$97:$AD$154,25,0)</f>
        <v>0</v>
      </c>
      <c r="T159" s="604"/>
      <c r="U159" s="1192">
        <f t="shared" si="29"/>
        <v>2</v>
      </c>
      <c r="V159" s="1193"/>
      <c r="W159" s="1193"/>
      <c r="X159" s="604">
        <f t="shared" si="32"/>
        <v>1272143</v>
      </c>
      <c r="Y159" s="604">
        <f t="shared" si="31"/>
        <v>9188837</v>
      </c>
      <c r="Z159" s="608"/>
      <c r="AA159" s="1197">
        <f t="shared" si="27"/>
        <v>9188837</v>
      </c>
      <c r="AB159" s="242"/>
      <c r="AC159" s="1210">
        <v>58</v>
      </c>
      <c r="AD159" s="1195"/>
      <c r="AE159" s="1196"/>
      <c r="AF159" s="1188"/>
      <c r="AG159" s="1204"/>
      <c r="AH159" s="1204"/>
      <c r="AI159" s="1204"/>
      <c r="AJ159" s="1204"/>
      <c r="AK159" s="1204"/>
      <c r="AL159" s="1204"/>
    </row>
    <row r="160" spans="1:38" s="1205" customFormat="1" ht="33" customHeight="1">
      <c r="A160" s="1206">
        <v>140</v>
      </c>
      <c r="B160" s="1207">
        <v>59</v>
      </c>
      <c r="C160" s="1208">
        <f>'Chấm công KT'!C153</f>
        <v>0</v>
      </c>
      <c r="D160" s="1208" t="str">
        <f>TONGHOPCONGDOI!C155</f>
        <v>T. Thong</v>
      </c>
      <c r="E160" s="1208" t="s">
        <v>26</v>
      </c>
      <c r="F160" s="1209">
        <f>VLOOKUP(D160,TONGHOPCONGDOI!C155:Q161,15,0)</f>
        <v>0</v>
      </c>
      <c r="G160" s="242">
        <f t="shared" si="24"/>
        <v>0</v>
      </c>
      <c r="H160" s="242">
        <f>VLOOKUP(D160,TONGHOPCONGDOI!C155:AD164,16,0)</f>
        <v>995</v>
      </c>
      <c r="I160" s="242">
        <f>VLOOKUP(D160,TONGHOPCONGDOI!C155:AD173,18,0)</f>
        <v>0</v>
      </c>
      <c r="J160" s="242"/>
      <c r="K160" s="601">
        <f t="shared" si="30"/>
        <v>430.39878417431004</v>
      </c>
      <c r="L160" s="602" t="str">
        <f>VLOOKUP(D160,'BTH mủ tạp'!$D$98:$AN$160,37,0)</f>
        <v>C.</v>
      </c>
      <c r="M160" s="603">
        <f t="shared" si="28"/>
        <v>1587819</v>
      </c>
      <c r="N160" s="604">
        <f>VLOOKUP(D160,TONGHOPCONGDOI!$C$97:$AD$161,20,0)</f>
        <v>11</v>
      </c>
      <c r="O160" s="604">
        <f>VLOOKUP(D160,TONGHOPCONGDOI!$C$97:$AD$161,21,0)</f>
        <v>3</v>
      </c>
      <c r="P160" s="604">
        <f>VLOOKUP(D160,TONGHOPCONGDOI!$C$97:$AD$159,22,0)</f>
        <v>0</v>
      </c>
      <c r="Q160" s="604">
        <f>VLOOKUP(D160,TONGHOPCONGDOI!$C$97:$AD$161,23,0)</f>
        <v>0</v>
      </c>
      <c r="R160" s="604">
        <f>VLOOKUP(D160,TONGHOPCONGDOI!$C$97:$AD$161,24,0)</f>
        <v>0</v>
      </c>
      <c r="S160" s="604">
        <f>VLOOKUP(D160,TONGHOPCONGDOI!$C$97:$AD$161,25,0)</f>
        <v>0</v>
      </c>
      <c r="T160" s="604">
        <f>VLOOKUP(D160,TONGHOPCONGDOI!$C$97:$AD$160,24,0)</f>
        <v>0</v>
      </c>
      <c r="U160" s="1192">
        <f t="shared" si="29"/>
        <v>0</v>
      </c>
      <c r="V160" s="1193"/>
      <c r="W160" s="1193"/>
      <c r="X160" s="604">
        <f t="shared" si="32"/>
        <v>494887</v>
      </c>
      <c r="Y160" s="604">
        <f t="shared" si="31"/>
        <v>2082706</v>
      </c>
      <c r="Z160" s="608"/>
      <c r="AA160" s="1197">
        <f t="shared" si="27"/>
        <v>2082706</v>
      </c>
      <c r="AB160" s="242"/>
      <c r="AC160" s="1210">
        <v>59</v>
      </c>
      <c r="AD160" s="1195"/>
      <c r="AE160" s="1196"/>
      <c r="AF160" s="1188"/>
      <c r="AG160" s="1204"/>
      <c r="AH160" s="1204"/>
      <c r="AI160" s="1204"/>
      <c r="AJ160" s="1204"/>
      <c r="AK160" s="1204"/>
      <c r="AL160" s="1204"/>
    </row>
    <row r="161" spans="1:38" s="1205" customFormat="1" ht="33" customHeight="1">
      <c r="A161" s="1206">
        <v>141</v>
      </c>
      <c r="B161" s="1208">
        <v>60</v>
      </c>
      <c r="C161" s="1208">
        <f>'Chấm công KT'!C154</f>
        <v>0</v>
      </c>
      <c r="D161" s="1208" t="str">
        <f>TONGHOPCONGDOI!C156</f>
        <v>T. Khách</v>
      </c>
      <c r="E161" s="1208" t="s">
        <v>26</v>
      </c>
      <c r="F161" s="1209">
        <f>VLOOKUP(D161,TONGHOPCONGDOI!C156:Q161,15,0)</f>
        <v>0</v>
      </c>
      <c r="G161" s="242">
        <f t="shared" si="24"/>
        <v>0</v>
      </c>
      <c r="H161" s="242">
        <f>VLOOKUP(D161,TONGHOPCONGDOI!C156:AD165,16,0)</f>
        <v>610</v>
      </c>
      <c r="I161" s="242">
        <f>VLOOKUP(D161,TONGHOPCONGDOI!C156:AD174,18,0)</f>
        <v>0</v>
      </c>
      <c r="J161" s="242"/>
      <c r="K161" s="601">
        <f t="shared" si="30"/>
        <v>263.8625712023408</v>
      </c>
      <c r="L161" s="602" t="str">
        <f>VLOOKUP(D161,'BTH mủ tạp'!$D$98:$AN$160,37,0)</f>
        <v>C.</v>
      </c>
      <c r="M161" s="603">
        <f t="shared" si="28"/>
        <v>973437</v>
      </c>
      <c r="N161" s="604">
        <f>VLOOKUP(D161,TONGHOPCONGDOI!$C$97:$AD$161,20,0)</f>
        <v>9</v>
      </c>
      <c r="O161" s="604">
        <f>VLOOKUP(D161,TONGHOPCONGDOI!$C$97:$AD$161,21,0)</f>
        <v>3</v>
      </c>
      <c r="P161" s="604">
        <f>VLOOKUP(D161,TONGHOPCONGDOI!$C$97:$AD$159,22,0)</f>
        <v>0</v>
      </c>
      <c r="Q161" s="604">
        <f>VLOOKUP(D161,TONGHOPCONGDOI!$C$97:$AD$161,23,0)</f>
        <v>0</v>
      </c>
      <c r="R161" s="604">
        <f>VLOOKUP(D161,TONGHOPCONGDOI!$C$97:$AD$161,24,0)</f>
        <v>0</v>
      </c>
      <c r="S161" s="604">
        <f>VLOOKUP(D161,TONGHOPCONGDOI!$C$97:$AD$161,25,0)</f>
        <v>0</v>
      </c>
      <c r="T161" s="604">
        <f>VLOOKUP(D161,TONGHOPCONGDOI!$C$97:$AD$160,24,0)</f>
        <v>0</v>
      </c>
      <c r="U161" s="1192">
        <f t="shared" si="29"/>
        <v>0</v>
      </c>
      <c r="V161" s="1193"/>
      <c r="W161" s="1193"/>
      <c r="X161" s="604">
        <f t="shared" si="32"/>
        <v>433043</v>
      </c>
      <c r="Y161" s="604">
        <f t="shared" si="31"/>
        <v>1406480</v>
      </c>
      <c r="Z161" s="608"/>
      <c r="AA161" s="1197">
        <f t="shared" si="27"/>
        <v>1406480</v>
      </c>
      <c r="AB161" s="242"/>
      <c r="AC161" s="1210">
        <v>60</v>
      </c>
      <c r="AD161" s="1195"/>
      <c r="AE161" s="1196"/>
      <c r="AF161" s="1188"/>
      <c r="AG161" s="1204"/>
      <c r="AH161" s="1204"/>
      <c r="AI161" s="1204"/>
      <c r="AJ161" s="1204"/>
      <c r="AK161" s="1204"/>
      <c r="AL161" s="1204"/>
    </row>
    <row r="162" spans="1:38" s="1205" customFormat="1" ht="33" customHeight="1">
      <c r="A162" s="1206">
        <v>142</v>
      </c>
      <c r="B162" s="1207">
        <v>61</v>
      </c>
      <c r="C162" s="1208">
        <f>'Chấm công KT'!C155</f>
        <v>0</v>
      </c>
      <c r="D162" s="1208" t="str">
        <f>TONGHOPCONGDOI!C157</f>
        <v>Nang On Xi</v>
      </c>
      <c r="E162" s="1208" t="s">
        <v>26</v>
      </c>
      <c r="F162" s="1209">
        <f>VLOOKUP(D162,TONGHOPCONGDOI!C157:Q161,15,0)</f>
        <v>0</v>
      </c>
      <c r="G162" s="242">
        <f t="shared" si="24"/>
        <v>0</v>
      </c>
      <c r="H162" s="242">
        <f>VLOOKUP(D162,TONGHOPCONGDOI!C157:AD166,16,0)</f>
        <v>322</v>
      </c>
      <c r="I162" s="242">
        <f>VLOOKUP(D162,TONGHOPCONGDOI!C157:AD175,18,0)</f>
        <v>0</v>
      </c>
      <c r="J162" s="242"/>
      <c r="K162" s="601">
        <f t="shared" si="30"/>
        <v>139.28483266746517</v>
      </c>
      <c r="L162" s="602" t="str">
        <f>VLOOKUP(D162,'BTH mủ tạp'!$D$98:$AN$160,37,0)</f>
        <v>C.</v>
      </c>
      <c r="M162" s="603">
        <f t="shared" si="28"/>
        <v>513847</v>
      </c>
      <c r="N162" s="604">
        <f>VLOOKUP(D162,TONGHOPCONGDOI!$C$97:$AD$161,20,0)</f>
        <v>4</v>
      </c>
      <c r="O162" s="604">
        <f>VLOOKUP(D162,TONGHOPCONGDOI!$C$97:$AD$161,21,0)</f>
        <v>3</v>
      </c>
      <c r="P162" s="604">
        <f>VLOOKUP(D162,TONGHOPCONGDOI!$C$97:$AD$159,22,0)</f>
        <v>0</v>
      </c>
      <c r="Q162" s="604">
        <f>VLOOKUP(D162,TONGHOPCONGDOI!$C$97:$AD$161,23,0)</f>
        <v>0</v>
      </c>
      <c r="R162" s="604">
        <f>VLOOKUP(D162,TONGHOPCONGDOI!$C$97:$AD$161,24,0)</f>
        <v>0</v>
      </c>
      <c r="S162" s="604">
        <f>VLOOKUP(D162,TONGHOPCONGDOI!$C$97:$AD$161,25,0)</f>
        <v>0</v>
      </c>
      <c r="T162" s="604">
        <f>VLOOKUP(D162,TONGHOPCONGDOI!$C$97:$AD$160,24,0)</f>
        <v>0</v>
      </c>
      <c r="U162" s="1192">
        <f t="shared" si="29"/>
        <v>0</v>
      </c>
      <c r="V162" s="1193"/>
      <c r="W162" s="1193"/>
      <c r="X162" s="604">
        <f t="shared" si="32"/>
        <v>278432</v>
      </c>
      <c r="Y162" s="604">
        <f t="shared" si="31"/>
        <v>792279</v>
      </c>
      <c r="Z162" s="608"/>
      <c r="AA162" s="1197">
        <f t="shared" si="27"/>
        <v>792279</v>
      </c>
      <c r="AB162" s="242"/>
      <c r="AC162" s="1210">
        <v>61</v>
      </c>
      <c r="AD162" s="1195"/>
      <c r="AE162" s="1196"/>
      <c r="AF162" s="1188"/>
      <c r="AG162" s="1204"/>
      <c r="AH162" s="1204"/>
      <c r="AI162" s="1204"/>
      <c r="AJ162" s="1204"/>
      <c r="AK162" s="1204"/>
      <c r="AL162" s="1204"/>
    </row>
    <row r="163" spans="1:38" s="1205" customFormat="1" ht="33" customHeight="1">
      <c r="A163" s="1206">
        <v>143</v>
      </c>
      <c r="B163" s="1208">
        <v>62</v>
      </c>
      <c r="C163" s="1208">
        <f>'Chấm công KT'!C156</f>
        <v>0</v>
      </c>
      <c r="D163" s="1208" t="str">
        <f>TONGHOPCONGDOI!C158</f>
        <v>Thảo Túc</v>
      </c>
      <c r="E163" s="1208" t="s">
        <v>26</v>
      </c>
      <c r="F163" s="1209">
        <f>VLOOKUP(D163,TONGHOPCONGDOI!C158:Q161,15,0)</f>
        <v>0</v>
      </c>
      <c r="G163" s="242">
        <f t="shared" si="24"/>
        <v>0</v>
      </c>
      <c r="H163" s="242">
        <f>VLOOKUP(D163,TONGHOPCONGDOI!C158:AD167,16,0)</f>
        <v>224</v>
      </c>
      <c r="I163" s="242">
        <f>VLOOKUP(D163,TONGHOPCONGDOI!C158:AD176,18,0)</f>
        <v>0</v>
      </c>
      <c r="J163" s="242"/>
      <c r="K163" s="601">
        <f t="shared" si="30"/>
        <v>96.893796638236637</v>
      </c>
      <c r="L163" s="602" t="str">
        <f>VLOOKUP(D163,'BTH mủ tạp'!$D$98:$AN$160,37,0)</f>
        <v>C.</v>
      </c>
      <c r="M163" s="603">
        <f>ROUND((IF(L163="A",(H163*$AA$11*6.1),IF(L163="B",(H163*$AA$11*5.8),IF(L163="C",(H163*$AA$11*5.5),IF(L163="C.",(H163*$AA$11*5.5),IF(L163="D",(H163*$AA$11*5.2),0)))))*$F$11+(I163*$AJ$9*$F$11*6.1)+J163*$F$11*$AJ$10*6.1),0)</f>
        <v>357459</v>
      </c>
      <c r="N163" s="604">
        <f>VLOOKUP(D163,TONGHOPCONGDOI!$C$97:$AD$161,20,0)</f>
        <v>3</v>
      </c>
      <c r="O163" s="604">
        <f>VLOOKUP(D163,TONGHOPCONGDOI!$C$97:$AD$161,21,0)</f>
        <v>1</v>
      </c>
      <c r="P163" s="604">
        <f>VLOOKUP(D163,TONGHOPCONGDOI!$C$97:$AD$159,22,0)</f>
        <v>0</v>
      </c>
      <c r="Q163" s="604">
        <f>VLOOKUP(D163,TONGHOPCONGDOI!$C$97:$AD$161,23,0)</f>
        <v>0</v>
      </c>
      <c r="R163" s="604">
        <f>VLOOKUP(D163,TONGHOPCONGDOI!$C$97:$AD$161,24,0)</f>
        <v>0</v>
      </c>
      <c r="S163" s="604">
        <f>VLOOKUP(D163,TONGHOPCONGDOI!$C$97:$AD$161,25,0)</f>
        <v>0</v>
      </c>
      <c r="T163" s="604">
        <f>VLOOKUP(D163,TONGHOPCONGDOI!$C$97:$AD$160,24,0)</f>
        <v>0</v>
      </c>
      <c r="U163" s="1192">
        <f t="shared" si="29"/>
        <v>0</v>
      </c>
      <c r="V163" s="1193"/>
      <c r="W163" s="1193"/>
      <c r="X163" s="604">
        <f>ROUND(((N163*46.1)+(O163*76.9)+(P163*92.2)+(Q163*153.8)+(R163*92.2)+(S163*153.8))*$F$11+(T163*25000)+(U163*100000),0)</f>
        <v>144348</v>
      </c>
      <c r="Y163" s="604">
        <f t="shared" si="31"/>
        <v>501807</v>
      </c>
      <c r="Z163" s="608"/>
      <c r="AA163" s="1197">
        <f t="shared" ref="AA163:AA166" si="33">Y163-Z163</f>
        <v>501807</v>
      </c>
      <c r="AB163" s="242"/>
      <c r="AC163" s="1210">
        <v>62</v>
      </c>
      <c r="AD163" s="1195"/>
      <c r="AE163" s="1196"/>
      <c r="AF163" s="1188"/>
      <c r="AG163" s="1204"/>
      <c r="AH163" s="1204"/>
      <c r="AI163" s="1204"/>
      <c r="AJ163" s="1204"/>
      <c r="AK163" s="1204"/>
      <c r="AL163" s="1204"/>
    </row>
    <row r="164" spans="1:38" s="1205" customFormat="1" ht="33" customHeight="1">
      <c r="A164" s="1206">
        <v>144</v>
      </c>
      <c r="B164" s="1207">
        <v>63</v>
      </c>
      <c r="C164" s="1208">
        <f>'Chấm công KT'!C157</f>
        <v>0</v>
      </c>
      <c r="D164" s="1208" t="str">
        <f>TONGHOPCONGDOI!C159</f>
        <v>Mủ Xi Rum 2</v>
      </c>
      <c r="E164" s="1208" t="s">
        <v>26</v>
      </c>
      <c r="F164" s="1209">
        <f>VLOOKUP(D164,TONGHOPCONGDOI!C159:Q161,15,0)</f>
        <v>0</v>
      </c>
      <c r="G164" s="242">
        <f t="shared" ref="G164" si="34">F164*25000</f>
        <v>0</v>
      </c>
      <c r="H164" s="242"/>
      <c r="I164" s="242"/>
      <c r="J164" s="242">
        <f>'Trạm 2'!I79</f>
        <v>630</v>
      </c>
      <c r="K164" s="1113">
        <f>'Trạm 2'!J79</f>
        <v>310.00999999999993</v>
      </c>
      <c r="L164" s="602"/>
      <c r="M164" s="1111">
        <f>ROUND((K164*6.1*F11),0)</f>
        <v>1268448</v>
      </c>
      <c r="N164" s="604"/>
      <c r="O164" s="604"/>
      <c r="P164" s="604"/>
      <c r="Q164" s="604"/>
      <c r="R164" s="604"/>
      <c r="S164" s="604"/>
      <c r="T164" s="604"/>
      <c r="U164" s="1192">
        <f t="shared" si="29"/>
        <v>0</v>
      </c>
      <c r="V164" s="1193"/>
      <c r="W164" s="1193"/>
      <c r="X164" s="604">
        <f t="shared" si="32"/>
        <v>0</v>
      </c>
      <c r="Y164" s="604">
        <f t="shared" si="31"/>
        <v>1268448</v>
      </c>
      <c r="Z164" s="608"/>
      <c r="AA164" s="1197">
        <f t="shared" ref="AA164" si="35">Y164-Z164</f>
        <v>1268448</v>
      </c>
      <c r="AB164" s="242"/>
      <c r="AC164" s="1210">
        <v>63</v>
      </c>
      <c r="AD164" s="1195"/>
      <c r="AE164" s="1196"/>
      <c r="AF164" s="1188"/>
      <c r="AG164" s="1204"/>
      <c r="AH164" s="1204"/>
      <c r="AI164" s="1204"/>
      <c r="AJ164" s="1204"/>
      <c r="AK164" s="1204"/>
      <c r="AL164" s="1204"/>
    </row>
    <row r="165" spans="1:38" s="1203" customFormat="1" ht="33" customHeight="1">
      <c r="A165" s="1206">
        <v>145</v>
      </c>
      <c r="B165" s="1208">
        <v>64</v>
      </c>
      <c r="C165" s="1211"/>
      <c r="D165" s="1211" t="str">
        <f>TONGHOPCONGDOI!C160</f>
        <v>Mon (3)</v>
      </c>
      <c r="E165" s="1211" t="s">
        <v>26</v>
      </c>
      <c r="F165" s="1212"/>
      <c r="G165" s="941">
        <f t="shared" si="24"/>
        <v>0</v>
      </c>
      <c r="H165" s="941"/>
      <c r="I165" s="941"/>
      <c r="J165" s="941"/>
      <c r="K165" s="942"/>
      <c r="L165" s="943"/>
      <c r="M165" s="944"/>
      <c r="N165" s="945"/>
      <c r="O165" s="945"/>
      <c r="P165" s="945"/>
      <c r="Q165" s="945"/>
      <c r="R165" s="945"/>
      <c r="S165" s="945"/>
      <c r="T165" s="945"/>
      <c r="U165" s="1192">
        <f t="shared" si="29"/>
        <v>0</v>
      </c>
      <c r="V165" s="1198"/>
      <c r="W165" s="1198"/>
      <c r="X165" s="604">
        <f t="shared" si="32"/>
        <v>0</v>
      </c>
      <c r="Y165" s="945">
        <f t="shared" si="31"/>
        <v>0</v>
      </c>
      <c r="Z165" s="946"/>
      <c r="AA165" s="1199">
        <f t="shared" si="33"/>
        <v>0</v>
      </c>
      <c r="AB165" s="941"/>
      <c r="AC165" s="1200"/>
      <c r="AD165" s="1201"/>
      <c r="AE165" s="1196"/>
      <c r="AF165" s="1188"/>
      <c r="AG165" s="1202"/>
      <c r="AH165" s="1202"/>
      <c r="AI165" s="1202"/>
      <c r="AJ165" s="1202"/>
      <c r="AK165" s="1202"/>
      <c r="AL165" s="1202"/>
    </row>
    <row r="166" spans="1:38" s="1203" customFormat="1" ht="33" customHeight="1">
      <c r="A166" s="1206">
        <v>146</v>
      </c>
      <c r="B166" s="1207">
        <v>65</v>
      </c>
      <c r="C166" s="1211"/>
      <c r="D166" s="1211" t="str">
        <f>TONGHOPCONGDOI!C161</f>
        <v>T. Huân</v>
      </c>
      <c r="E166" s="1211" t="s">
        <v>26</v>
      </c>
      <c r="F166" s="1212"/>
      <c r="G166" s="941">
        <f t="shared" si="24"/>
        <v>0</v>
      </c>
      <c r="H166" s="941"/>
      <c r="I166" s="941"/>
      <c r="J166" s="941"/>
      <c r="K166" s="942"/>
      <c r="L166" s="943"/>
      <c r="M166" s="944"/>
      <c r="N166" s="945"/>
      <c r="O166" s="945"/>
      <c r="P166" s="945"/>
      <c r="Q166" s="945"/>
      <c r="R166" s="945"/>
      <c r="S166" s="945"/>
      <c r="T166" s="945"/>
      <c r="U166" s="1198">
        <f t="shared" ref="U166" si="36">SUM(N166:T166)</f>
        <v>0</v>
      </c>
      <c r="V166" s="1198"/>
      <c r="W166" s="1198"/>
      <c r="X166" s="604">
        <f t="shared" si="32"/>
        <v>0</v>
      </c>
      <c r="Y166" s="945">
        <f t="shared" ref="Y166" si="37">G166+M166+X166</f>
        <v>0</v>
      </c>
      <c r="Z166" s="946"/>
      <c r="AA166" s="1199">
        <f t="shared" si="33"/>
        <v>0</v>
      </c>
      <c r="AB166" s="941"/>
      <c r="AC166" s="1200"/>
      <c r="AD166" s="1201"/>
      <c r="AE166" s="1196"/>
      <c r="AF166" s="1188"/>
      <c r="AG166" s="1202"/>
      <c r="AH166" s="1202"/>
      <c r="AI166" s="1202"/>
      <c r="AJ166" s="1202"/>
      <c r="AK166" s="1202"/>
      <c r="AL166" s="1202"/>
    </row>
    <row r="167" spans="1:38" s="1203" customFormat="1" ht="33" customHeight="1">
      <c r="A167" s="1206">
        <v>147</v>
      </c>
      <c r="B167" s="1208">
        <v>66</v>
      </c>
      <c r="C167" s="1211"/>
      <c r="D167" s="1211" t="str">
        <f>TONGHOPCONGDOI!C162</f>
        <v>Chuyển 2</v>
      </c>
      <c r="E167" s="1211" t="s">
        <v>26</v>
      </c>
      <c r="F167" s="1212"/>
      <c r="G167" s="941">
        <f t="shared" ref="G167" si="38">F167*25000</f>
        <v>0</v>
      </c>
      <c r="H167" s="941"/>
      <c r="I167" s="941"/>
      <c r="J167" s="941"/>
      <c r="K167" s="942"/>
      <c r="L167" s="943"/>
      <c r="M167" s="944"/>
      <c r="N167" s="945"/>
      <c r="O167" s="945"/>
      <c r="P167" s="945"/>
      <c r="Q167" s="945"/>
      <c r="R167" s="945"/>
      <c r="S167" s="945"/>
      <c r="T167" s="945"/>
      <c r="U167" s="1198">
        <f t="shared" ref="U167" si="39">SUM(N167:T167)</f>
        <v>0</v>
      </c>
      <c r="V167" s="1198"/>
      <c r="W167" s="1198"/>
      <c r="X167" s="604">
        <f t="shared" si="32"/>
        <v>0</v>
      </c>
      <c r="Y167" s="945">
        <f t="shared" ref="Y167" si="40">G167+M167+X167</f>
        <v>0</v>
      </c>
      <c r="Z167" s="946"/>
      <c r="AA167" s="1199">
        <f t="shared" ref="AA167" si="41">Y167-Z167</f>
        <v>0</v>
      </c>
      <c r="AB167" s="941"/>
      <c r="AC167" s="1200"/>
      <c r="AD167" s="1201"/>
      <c r="AE167" s="1196"/>
      <c r="AF167" s="1188"/>
      <c r="AG167" s="1202"/>
      <c r="AH167" s="1202"/>
      <c r="AI167" s="1202"/>
      <c r="AJ167" s="1202"/>
      <c r="AK167" s="1202"/>
      <c r="AL167" s="1202"/>
    </row>
    <row r="168" spans="1:38" s="1205" customFormat="1" ht="33" customHeight="1">
      <c r="A168" s="1526" t="s">
        <v>354</v>
      </c>
      <c r="B168" s="1526"/>
      <c r="C168" s="1526"/>
      <c r="D168" s="1526"/>
      <c r="E168" s="1526"/>
      <c r="F168" s="609">
        <f t="shared" ref="F168:K168" si="42">F15+F101</f>
        <v>0</v>
      </c>
      <c r="G168" s="600">
        <f t="shared" si="42"/>
        <v>0</v>
      </c>
      <c r="H168" s="600">
        <f t="shared" si="42"/>
        <v>540469</v>
      </c>
      <c r="I168" s="600">
        <f t="shared" si="42"/>
        <v>0</v>
      </c>
      <c r="J168" s="600">
        <f t="shared" si="42"/>
        <v>970</v>
      </c>
      <c r="K168" s="600">
        <f t="shared" si="42"/>
        <v>232698.69100000002</v>
      </c>
      <c r="L168" s="600"/>
      <c r="M168" s="600">
        <f t="shared" ref="M168:AA168" si="43">M15+M101</f>
        <v>943882925</v>
      </c>
      <c r="N168" s="600">
        <f t="shared" si="43"/>
        <v>3255</v>
      </c>
      <c r="O168" s="600">
        <f t="shared" si="43"/>
        <v>373</v>
      </c>
      <c r="P168" s="600">
        <f t="shared" si="43"/>
        <v>116</v>
      </c>
      <c r="Q168" s="600">
        <f t="shared" si="43"/>
        <v>146</v>
      </c>
      <c r="R168" s="600">
        <f t="shared" si="43"/>
        <v>0</v>
      </c>
      <c r="S168" s="600">
        <f t="shared" si="43"/>
        <v>0</v>
      </c>
      <c r="T168" s="600">
        <f t="shared" si="43"/>
        <v>0</v>
      </c>
      <c r="U168" s="600">
        <f t="shared" si="43"/>
        <v>262</v>
      </c>
      <c r="V168" s="600">
        <f t="shared" si="43"/>
        <v>0</v>
      </c>
      <c r="W168" s="600">
        <f t="shared" si="43"/>
        <v>0</v>
      </c>
      <c r="X168" s="600">
        <f t="shared" si="43"/>
        <v>168326837</v>
      </c>
      <c r="Y168" s="600">
        <f t="shared" si="43"/>
        <v>1112209762</v>
      </c>
      <c r="Z168" s="609">
        <f t="shared" si="43"/>
        <v>0</v>
      </c>
      <c r="AA168" s="600">
        <f t="shared" si="43"/>
        <v>1112209762</v>
      </c>
      <c r="AB168" s="609" t="e">
        <f>AB15+#REF!+AB101+#REF!</f>
        <v>#REF!</v>
      </c>
      <c r="AC168" s="1213"/>
      <c r="AD168" s="1214"/>
      <c r="AE168" s="1215">
        <f>'Trạm 1'!Z101+'Trạm 2'!Z83</f>
        <v>1112209762</v>
      </c>
      <c r="AF168" s="1204"/>
      <c r="AG168" s="1204"/>
      <c r="AH168" s="1204"/>
      <c r="AI168" s="1204"/>
      <c r="AJ168" s="1204"/>
      <c r="AK168" s="1204"/>
      <c r="AL168" s="1204"/>
    </row>
    <row r="169" spans="1:38" s="1216" customFormat="1" ht="35.450000000000003" customHeight="1">
      <c r="A169" s="1525" t="s">
        <v>852</v>
      </c>
      <c r="B169" s="1525"/>
      <c r="C169" s="1525"/>
      <c r="D169" s="1525"/>
      <c r="E169" s="1525"/>
      <c r="F169" s="1525"/>
      <c r="G169" s="1525"/>
      <c r="H169" s="1525"/>
      <c r="I169" s="1525"/>
      <c r="J169" s="1525"/>
      <c r="K169" s="1525"/>
      <c r="L169" s="1525"/>
      <c r="M169" s="1525"/>
      <c r="N169" s="1525"/>
      <c r="O169" s="1525"/>
      <c r="P169" s="1525"/>
      <c r="Q169" s="1525"/>
      <c r="R169" s="1525"/>
      <c r="S169" s="1525"/>
      <c r="T169" s="1525"/>
      <c r="U169" s="1525"/>
      <c r="V169" s="1525"/>
      <c r="W169" s="1525"/>
      <c r="X169" s="1525"/>
      <c r="Y169" s="1525"/>
      <c r="Z169" s="1525"/>
      <c r="AA169" s="1525"/>
      <c r="AB169" s="1525"/>
      <c r="AC169" s="1525"/>
      <c r="AE169" s="1160"/>
      <c r="AF169" s="1160"/>
      <c r="AG169" s="1160"/>
      <c r="AH169" s="1160"/>
      <c r="AI169" s="1160"/>
      <c r="AJ169" s="1160"/>
      <c r="AK169" s="1160"/>
      <c r="AL169" s="1160"/>
    </row>
    <row r="170" spans="1:38" s="1216" customFormat="1" ht="10.15" customHeight="1">
      <c r="A170" s="1217"/>
      <c r="B170" s="1217"/>
      <c r="C170" s="1217"/>
      <c r="D170" s="1217"/>
      <c r="E170" s="1217"/>
      <c r="F170" s="1217"/>
      <c r="G170" s="1217"/>
      <c r="H170" s="1217"/>
      <c r="I170" s="1217"/>
      <c r="J170" s="1217"/>
      <c r="K170" s="1217"/>
      <c r="L170" s="1217"/>
      <c r="M170" s="1217"/>
      <c r="N170" s="1217"/>
      <c r="O170" s="1217"/>
      <c r="P170" s="1217"/>
      <c r="Q170" s="1217"/>
      <c r="R170" s="1217"/>
      <c r="S170" s="1217"/>
      <c r="T170" s="1217"/>
      <c r="U170" s="1217"/>
      <c r="V170" s="1217"/>
      <c r="W170" s="1217"/>
      <c r="X170" s="1217"/>
      <c r="Y170" s="1217"/>
      <c r="Z170" s="1217"/>
      <c r="AA170" s="1217"/>
      <c r="AB170" s="1217"/>
      <c r="AC170" s="1217"/>
      <c r="AE170" s="1160"/>
      <c r="AF170" s="1160"/>
      <c r="AG170" s="1160"/>
      <c r="AH170" s="1160"/>
      <c r="AI170" s="1160"/>
      <c r="AJ170" s="1160"/>
      <c r="AK170" s="1160"/>
      <c r="AL170" s="1160"/>
    </row>
    <row r="171" spans="1:38" s="1216" customFormat="1" ht="23.25" customHeight="1">
      <c r="B171" s="1218"/>
      <c r="C171" s="1219"/>
      <c r="D171" s="1219"/>
      <c r="E171" s="1219"/>
      <c r="F171" s="611"/>
      <c r="G171" s="612"/>
      <c r="H171" s="612"/>
      <c r="I171" s="612"/>
      <c r="J171" s="612"/>
      <c r="K171" s="613"/>
      <c r="L171" s="614"/>
      <c r="M171" s="612"/>
      <c r="N171" s="612"/>
      <c r="O171" s="612"/>
      <c r="P171" s="611"/>
      <c r="Q171" s="611"/>
      <c r="R171" s="611"/>
      <c r="S171" s="611"/>
      <c r="T171" s="611"/>
      <c r="U171" s="1532" t="s">
        <v>815</v>
      </c>
      <c r="V171" s="1532"/>
      <c r="W171" s="1532"/>
      <c r="X171" s="1532"/>
      <c r="Y171" s="1532"/>
      <c r="Z171" s="1532"/>
      <c r="AA171" s="1532"/>
      <c r="AB171" s="1532"/>
      <c r="AC171" s="1532"/>
      <c r="AD171" s="1220"/>
      <c r="AE171" s="1221"/>
      <c r="AF171" s="1160"/>
      <c r="AG171" s="1160"/>
      <c r="AH171" s="1160"/>
      <c r="AI171" s="1160"/>
      <c r="AJ171" s="1160"/>
      <c r="AK171" s="1160"/>
      <c r="AL171" s="1160"/>
    </row>
    <row r="172" spans="1:38" ht="15.75" customHeight="1">
      <c r="E172" s="615"/>
      <c r="F172" s="616"/>
      <c r="T172" s="1222"/>
      <c r="Z172" s="1223"/>
      <c r="AA172" s="1223"/>
      <c r="AB172" s="1223"/>
    </row>
    <row r="173" spans="1:38" s="1170" customFormat="1" ht="31.9" customHeight="1">
      <c r="B173" s="1533" t="s">
        <v>554</v>
      </c>
      <c r="C173" s="1533"/>
      <c r="D173" s="1533"/>
      <c r="E173" s="1533"/>
      <c r="F173" s="1533"/>
      <c r="G173" s="1533"/>
      <c r="H173" s="1533"/>
      <c r="I173" s="1533"/>
      <c r="J173" s="1533"/>
      <c r="K173" s="1533"/>
      <c r="L173" s="1533"/>
      <c r="M173" s="1533"/>
      <c r="N173" s="1533"/>
      <c r="O173" s="1533"/>
      <c r="P173" s="1533"/>
      <c r="Q173" s="1533"/>
      <c r="R173" s="1533"/>
      <c r="S173" s="1533"/>
      <c r="T173" s="1533"/>
      <c r="U173" s="1533"/>
      <c r="V173" s="1533"/>
      <c r="W173" s="1533"/>
      <c r="X173" s="1533"/>
      <c r="Y173" s="1533"/>
      <c r="Z173" s="1533"/>
      <c r="AA173" s="1533"/>
      <c r="AB173" s="1533"/>
      <c r="AC173" s="1533"/>
      <c r="AD173" s="1185"/>
      <c r="AE173" s="1507">
        <f>AE171-AE168</f>
        <v>-1112209762</v>
      </c>
      <c r="AF173" s="1224"/>
      <c r="AG173" s="1224"/>
      <c r="AH173" s="1224"/>
      <c r="AI173" s="1224"/>
      <c r="AJ173" s="1224"/>
      <c r="AK173" s="1224"/>
      <c r="AL173" s="1224"/>
    </row>
    <row r="174" spans="1:38" s="1170" customFormat="1" ht="15.75" customHeight="1">
      <c r="B174" s="1225"/>
      <c r="C174" s="1225"/>
      <c r="D174" s="1191"/>
      <c r="E174" s="1191"/>
      <c r="F174" s="1191"/>
      <c r="G174" s="1191"/>
      <c r="H174" s="1191"/>
      <c r="I174" s="1191"/>
      <c r="J174" s="1191"/>
      <c r="K174" s="1226"/>
      <c r="L174" s="1191"/>
      <c r="M174" s="1227"/>
      <c r="N174" s="1227"/>
      <c r="O174" s="1227"/>
      <c r="P174" s="1227"/>
      <c r="Q174" s="1227"/>
      <c r="R174" s="1227"/>
      <c r="S174" s="1227"/>
      <c r="T174" s="1227"/>
      <c r="U174" s="1227"/>
      <c r="V174" s="1227"/>
      <c r="W174" s="1227"/>
      <c r="X174" s="1228"/>
      <c r="Y174" s="1191"/>
      <c r="Z174" s="1191"/>
      <c r="AA174" s="1191"/>
      <c r="AB174" s="1191"/>
      <c r="AC174" s="1227"/>
      <c r="AE174" s="1507"/>
      <c r="AF174" s="1224"/>
      <c r="AG174" s="1224"/>
      <c r="AH174" s="1224"/>
      <c r="AI174" s="1224"/>
      <c r="AJ174" s="1224"/>
      <c r="AK174" s="1224"/>
      <c r="AL174" s="1224"/>
    </row>
    <row r="175" spans="1:38" s="1170" customFormat="1" ht="15.75" customHeight="1">
      <c r="B175" s="1225"/>
      <c r="C175" s="1225"/>
      <c r="D175" s="1191"/>
      <c r="E175" s="1191"/>
      <c r="F175" s="1191"/>
      <c r="G175" s="1191"/>
      <c r="H175" s="1191"/>
      <c r="I175" s="1191"/>
      <c r="J175" s="1191"/>
      <c r="K175" s="1226"/>
      <c r="L175" s="1191"/>
      <c r="M175" s="1227"/>
      <c r="N175" s="1227"/>
      <c r="O175" s="1227"/>
      <c r="P175" s="1227"/>
      <c r="Q175" s="1227"/>
      <c r="R175" s="1227"/>
      <c r="S175" s="1227"/>
      <c r="T175" s="1227"/>
      <c r="U175" s="1227"/>
      <c r="V175" s="1227"/>
      <c r="W175" s="1227"/>
      <c r="X175" s="1228"/>
      <c r="Y175" s="1191"/>
      <c r="Z175" s="1191"/>
      <c r="AA175" s="1191"/>
      <c r="AB175" s="1191"/>
      <c r="AC175" s="1227"/>
      <c r="AE175" s="1224"/>
      <c r="AF175" s="1224"/>
      <c r="AG175" s="1224"/>
      <c r="AH175" s="1224"/>
      <c r="AI175" s="1224"/>
      <c r="AJ175" s="1224"/>
      <c r="AK175" s="1224"/>
      <c r="AL175" s="1224"/>
    </row>
    <row r="176" spans="1:38" s="1170" customFormat="1" ht="15.75" customHeight="1">
      <c r="C176" s="1229"/>
      <c r="D176" s="1229"/>
      <c r="E176" s="1229"/>
      <c r="F176" s="1229"/>
      <c r="G176" s="1229"/>
      <c r="H176" s="1229"/>
      <c r="J176" s="1229"/>
      <c r="K176" s="1229"/>
      <c r="L176" s="1229"/>
      <c r="M176" s="1229"/>
      <c r="N176" s="1229"/>
      <c r="AE176" s="1224"/>
      <c r="AF176" s="1224"/>
      <c r="AG176" s="1224"/>
      <c r="AH176" s="1224"/>
      <c r="AI176" s="1224"/>
      <c r="AJ176" s="1224"/>
      <c r="AK176" s="1224"/>
      <c r="AL176" s="1224"/>
    </row>
    <row r="177" spans="2:38" s="1170" customFormat="1" ht="15.75" customHeight="1">
      <c r="B177" s="1225"/>
      <c r="C177" s="1225"/>
      <c r="D177" s="1191"/>
      <c r="E177" s="1191"/>
      <c r="F177" s="1191"/>
      <c r="G177" s="1191"/>
      <c r="H177" s="1191"/>
      <c r="I177" s="1191"/>
      <c r="J177" s="1191"/>
      <c r="K177" s="1226"/>
      <c r="L177" s="1191"/>
      <c r="M177" s="1227"/>
      <c r="N177" s="1227"/>
      <c r="O177" s="1227"/>
      <c r="P177" s="1227"/>
      <c r="Q177" s="1227"/>
      <c r="R177" s="1227"/>
      <c r="S177" s="1227"/>
      <c r="T177" s="1227"/>
      <c r="U177" s="1227"/>
      <c r="V177" s="1227"/>
      <c r="W177" s="1227"/>
      <c r="X177" s="1228"/>
      <c r="Y177" s="1191"/>
      <c r="Z177" s="1191"/>
      <c r="AA177" s="1191"/>
      <c r="AB177" s="1191"/>
      <c r="AC177" s="1227"/>
      <c r="AE177" s="1230">
        <f>X168/25000</f>
        <v>6733.07348</v>
      </c>
      <c r="AF177" s="1224"/>
      <c r="AG177" s="1224"/>
      <c r="AH177" s="1224"/>
      <c r="AI177" s="1224"/>
      <c r="AJ177" s="1224"/>
      <c r="AK177" s="1224"/>
      <c r="AL177" s="1224"/>
    </row>
    <row r="178" spans="2:38" s="1170" customFormat="1" ht="15.75" customHeight="1">
      <c r="B178" s="1231"/>
      <c r="D178" s="1185"/>
      <c r="E178" s="1185"/>
      <c r="F178" s="1185"/>
      <c r="G178" s="1185"/>
      <c r="H178" s="1185"/>
      <c r="I178" s="1185"/>
      <c r="J178" s="1185"/>
      <c r="K178" s="1232"/>
      <c r="L178" s="1185"/>
      <c r="P178" s="1233"/>
      <c r="Q178" s="1233"/>
      <c r="R178" s="1233"/>
      <c r="S178" s="1233"/>
      <c r="X178" s="1233"/>
      <c r="Y178" s="1185"/>
      <c r="Z178" s="1185"/>
      <c r="AA178" s="1185"/>
      <c r="AB178" s="1185"/>
      <c r="AE178" s="1224"/>
      <c r="AF178" s="1224"/>
      <c r="AG178" s="1224"/>
      <c r="AH178" s="1224"/>
      <c r="AI178" s="1224"/>
      <c r="AJ178" s="1224"/>
      <c r="AK178" s="1224"/>
      <c r="AL178" s="1224"/>
    </row>
    <row r="179" spans="2:38" s="1170" customFormat="1" ht="15.75" customHeight="1">
      <c r="B179" s="1231"/>
      <c r="D179" s="1185"/>
      <c r="E179" s="1185"/>
      <c r="F179" s="1185"/>
      <c r="G179" s="1185"/>
      <c r="H179" s="1185"/>
      <c r="I179" s="1185"/>
      <c r="J179" s="1185"/>
      <c r="K179" s="1232"/>
      <c r="L179" s="1185"/>
      <c r="M179" s="1233"/>
      <c r="Y179" s="1185"/>
      <c r="Z179" s="1185"/>
      <c r="AA179" s="1185"/>
      <c r="AB179" s="1185"/>
      <c r="AE179" s="1224">
        <f>G168/25000</f>
        <v>0</v>
      </c>
      <c r="AF179" s="1224"/>
      <c r="AG179" s="1224"/>
      <c r="AH179" s="1224"/>
      <c r="AI179" s="1224"/>
      <c r="AJ179" s="1224"/>
      <c r="AK179" s="1224"/>
      <c r="AL179" s="1224"/>
    </row>
    <row r="180" spans="2:38" s="1170" customFormat="1" ht="15.75" customHeight="1">
      <c r="B180" s="1231"/>
      <c r="D180" s="1185"/>
      <c r="E180" s="1185"/>
      <c r="F180" s="1234"/>
      <c r="G180" s="1185"/>
      <c r="H180" s="1185"/>
      <c r="I180" s="1185"/>
      <c r="J180" s="1185"/>
      <c r="K180" s="1232"/>
      <c r="L180" s="1185"/>
      <c r="X180" s="1233"/>
      <c r="Y180" s="1185"/>
      <c r="Z180" s="1185"/>
      <c r="AA180" s="1185"/>
      <c r="AB180" s="1185"/>
      <c r="AE180" s="1224"/>
      <c r="AF180" s="1224"/>
      <c r="AG180" s="1224"/>
      <c r="AH180" s="1224"/>
      <c r="AI180" s="1224"/>
      <c r="AJ180" s="1224"/>
      <c r="AK180" s="1224"/>
      <c r="AL180" s="1224"/>
    </row>
    <row r="181" spans="2:38" s="1170" customFormat="1" ht="18.75" customHeight="1">
      <c r="B181" s="1231"/>
      <c r="D181" s="1185"/>
      <c r="E181" s="1235"/>
      <c r="F181" s="1236"/>
      <c r="G181" s="1185"/>
      <c r="H181" s="1185"/>
      <c r="I181" s="1185"/>
      <c r="J181" s="1185"/>
      <c r="K181" s="1232"/>
      <c r="L181" s="1185"/>
      <c r="X181" s="1233"/>
      <c r="Y181" s="1185"/>
      <c r="Z181" s="1185"/>
      <c r="AA181" s="1185"/>
      <c r="AB181" s="1185"/>
      <c r="AE181" s="1224"/>
      <c r="AF181" s="1224"/>
      <c r="AG181" s="1224"/>
      <c r="AH181" s="1224"/>
      <c r="AI181" s="1224"/>
      <c r="AJ181" s="1224"/>
      <c r="AK181" s="1224"/>
      <c r="AL181" s="1224"/>
    </row>
    <row r="182" spans="2:38" s="1170" customFormat="1" ht="28.5" customHeight="1">
      <c r="B182" s="1231"/>
      <c r="D182" s="1214"/>
      <c r="E182" s="1214"/>
      <c r="F182" s="1214"/>
      <c r="G182" s="1237"/>
      <c r="H182" s="1214"/>
      <c r="I182" s="1214"/>
      <c r="J182" s="1214"/>
      <c r="K182" s="1214"/>
      <c r="L182" s="1214"/>
      <c r="M182" s="1214"/>
      <c r="N182" s="1214"/>
      <c r="O182" s="1214"/>
      <c r="P182" s="1214"/>
      <c r="Q182" s="1214"/>
      <c r="R182" s="1214"/>
      <c r="S182" s="1214"/>
      <c r="T182" s="1214"/>
      <c r="U182" s="1214"/>
      <c r="V182" s="1237"/>
      <c r="W182" s="1237"/>
      <c r="X182" s="1214"/>
      <c r="Y182" s="1214"/>
      <c r="Z182" s="1214"/>
      <c r="AA182" s="1214"/>
      <c r="AE182" s="1224"/>
      <c r="AF182" s="1224"/>
      <c r="AG182" s="1224"/>
      <c r="AH182" s="1224"/>
      <c r="AI182" s="1224"/>
      <c r="AJ182" s="1224"/>
      <c r="AK182" s="1224"/>
      <c r="AL182" s="1224"/>
    </row>
    <row r="183" spans="2:38" s="1170" customFormat="1" ht="18.75" customHeight="1">
      <c r="B183" s="1231"/>
      <c r="D183" s="1185"/>
      <c r="E183" s="1185"/>
      <c r="F183" s="1233"/>
      <c r="G183" s="1185"/>
      <c r="H183" s="1185"/>
      <c r="I183" s="1185"/>
      <c r="J183" s="1185"/>
      <c r="K183" s="1232"/>
      <c r="L183" s="1184"/>
      <c r="X183" s="1233"/>
      <c r="Y183" s="1235"/>
      <c r="Z183" s="1185"/>
      <c r="AA183" s="1185"/>
      <c r="AB183" s="1185"/>
      <c r="AE183" s="1224"/>
      <c r="AF183" s="1224"/>
      <c r="AG183" s="1224"/>
      <c r="AH183" s="1224"/>
      <c r="AI183" s="1224"/>
      <c r="AJ183" s="1224"/>
      <c r="AK183" s="1224"/>
      <c r="AL183" s="1224"/>
    </row>
    <row r="184" spans="2:38" s="1170" customFormat="1" ht="18.75" customHeight="1">
      <c r="B184" s="1231"/>
      <c r="D184" s="1185"/>
      <c r="E184" s="1235"/>
      <c r="F184" s="1233"/>
      <c r="G184" s="1238"/>
      <c r="H184" s="1238"/>
      <c r="I184" s="1238"/>
      <c r="J184" s="1238"/>
      <c r="K184" s="1232"/>
      <c r="L184" s="1184"/>
      <c r="M184" s="1233"/>
      <c r="X184" s="1156"/>
      <c r="Y184" s="1228"/>
      <c r="Z184" s="1227"/>
      <c r="AA184" s="1227"/>
      <c r="AB184" s="1227"/>
      <c r="AE184" s="1224"/>
      <c r="AF184" s="1224"/>
      <c r="AG184" s="1224"/>
      <c r="AH184" s="1224"/>
      <c r="AI184" s="1224"/>
      <c r="AJ184" s="1224"/>
      <c r="AK184" s="1224"/>
      <c r="AL184" s="1224"/>
    </row>
    <row r="185" spans="2:38" ht="24.75" customHeight="1">
      <c r="C185" s="1156"/>
      <c r="D185" s="1156"/>
      <c r="E185" s="1222"/>
      <c r="F185" s="1222"/>
      <c r="L185" s="1158"/>
      <c r="M185" s="1156"/>
    </row>
    <row r="186" spans="2:38" ht="24.75" customHeight="1">
      <c r="C186" s="1156"/>
      <c r="D186" s="1239" t="e">
        <f>#REF!+#REF!+#REF!+#REF!</f>
        <v>#REF!</v>
      </c>
      <c r="E186" s="1240"/>
      <c r="F186" s="1222" t="s">
        <v>355</v>
      </c>
      <c r="G186" s="1222"/>
      <c r="H186" s="1222"/>
      <c r="I186" s="1222"/>
      <c r="J186" s="1222"/>
      <c r="K186" s="1529">
        <f>SUMIF($L$16:$L$166,"A",$K$16:$K$166)</f>
        <v>192551.67837158771</v>
      </c>
      <c r="L186" s="1529"/>
      <c r="M186" s="618">
        <f>(K186*6.1)*$F$11</f>
        <v>787851379.08560956</v>
      </c>
      <c r="N186" s="618"/>
      <c r="O186" s="618"/>
      <c r="P186" s="1241"/>
      <c r="Q186" s="1241"/>
      <c r="R186" s="1241"/>
      <c r="S186" s="1241"/>
      <c r="U186" s="1156">
        <f>7.2+0.6+21+5+70</f>
        <v>103.8</v>
      </c>
    </row>
    <row r="187" spans="2:38" ht="24.75" customHeight="1">
      <c r="C187" s="1156"/>
      <c r="D187" s="1156"/>
      <c r="F187" s="1222" t="s">
        <v>356</v>
      </c>
      <c r="G187" s="1222"/>
      <c r="H187" s="1222"/>
      <c r="I187" s="1222"/>
      <c r="J187" s="1222"/>
      <c r="K187" s="1529">
        <f>SUMIF($L$16:$L$166,"B",$K$16:$K$166)</f>
        <v>38379.785301203599</v>
      </c>
      <c r="L187" s="1529"/>
      <c r="M187" s="618">
        <f>(K187*5.8)*$F$11</f>
        <v>149313023.7740849</v>
      </c>
      <c r="N187" s="618"/>
      <c r="O187" s="618"/>
      <c r="P187" s="1222"/>
      <c r="Q187" s="1222"/>
      <c r="R187" s="1222"/>
      <c r="S187" s="1222"/>
    </row>
    <row r="188" spans="2:38" ht="24.75" customHeight="1">
      <c r="C188" s="1156"/>
      <c r="D188" s="1156"/>
      <c r="F188" s="1222" t="s">
        <v>357</v>
      </c>
      <c r="G188" s="1222"/>
      <c r="H188" s="1222"/>
      <c r="I188" s="1222"/>
      <c r="J188" s="1222"/>
      <c r="K188" s="1529">
        <f>SUMIF($L$16:$L$166,"C",$K$16:$K$166)+SUMIF($L$16:$L$166,"C.",$K$16:$K$166)</f>
        <v>1273.0053272086923</v>
      </c>
      <c r="L188" s="1529"/>
      <c r="M188" s="618">
        <f>(K188*5.5)*$F$11</f>
        <v>4696345.7930317633</v>
      </c>
      <c r="N188" s="618"/>
      <c r="O188" s="618"/>
      <c r="T188" s="1241"/>
      <c r="U188" s="1241"/>
      <c r="V188" s="1241"/>
      <c r="W188" s="1241"/>
      <c r="X188" s="1241"/>
      <c r="Y188" s="1241"/>
      <c r="Z188" s="1241"/>
      <c r="AA188" s="1222"/>
    </row>
    <row r="189" spans="2:38" ht="24.75" customHeight="1">
      <c r="C189" s="1156"/>
      <c r="D189" s="1156"/>
      <c r="F189" s="1222" t="s">
        <v>358</v>
      </c>
      <c r="G189" s="1222"/>
      <c r="H189" s="1222"/>
      <c r="I189" s="1222"/>
      <c r="J189" s="1222"/>
      <c r="K189" s="1529">
        <f>SUMIF($L$16:$L$166,"D",$K$16:$K$166)+SUMIF($L$16:$L$166,"D.",$K$16:$K$166)</f>
        <v>0</v>
      </c>
      <c r="L189" s="1529"/>
      <c r="M189" s="618"/>
      <c r="N189" s="618"/>
      <c r="O189" s="618"/>
      <c r="T189" s="1242"/>
      <c r="U189" s="1242"/>
      <c r="V189" s="1242"/>
      <c r="W189" s="1242"/>
      <c r="X189" s="1242"/>
      <c r="Y189" s="1242"/>
      <c r="Z189" s="1242"/>
      <c r="AA189" s="1222"/>
    </row>
    <row r="190" spans="2:38" ht="24.75" customHeight="1">
      <c r="C190" s="1156"/>
      <c r="D190" s="1156"/>
      <c r="F190" s="1222" t="s">
        <v>481</v>
      </c>
      <c r="G190" s="1222"/>
      <c r="H190" s="1222"/>
      <c r="I190" s="1222"/>
      <c r="J190" s="1222"/>
      <c r="K190" s="1529">
        <f>'BTH mủ Sỉum'!AJ20</f>
        <v>494.22199999999998</v>
      </c>
      <c r="L190" s="1529"/>
      <c r="M190" s="618">
        <f>(K190*6.1)*$F$11</f>
        <v>2022176.5271919998</v>
      </c>
      <c r="N190" s="618"/>
      <c r="O190" s="618"/>
      <c r="T190" s="1242"/>
      <c r="U190" s="1242"/>
      <c r="V190" s="1242"/>
      <c r="W190" s="1242"/>
      <c r="X190" s="1242"/>
      <c r="Y190" s="1242"/>
      <c r="Z190" s="1242"/>
      <c r="AA190" s="1222"/>
    </row>
    <row r="191" spans="2:38" ht="24.75" customHeight="1">
      <c r="C191" s="1156"/>
      <c r="D191" s="1156"/>
      <c r="F191" s="1156"/>
      <c r="K191" s="1529">
        <f>SUM(K186:L190)</f>
        <v>232698.69100000002</v>
      </c>
      <c r="L191" s="1529"/>
      <c r="M191" s="618">
        <f>SUM(M186:M190)</f>
        <v>943882925.17991829</v>
      </c>
      <c r="N191" s="618"/>
      <c r="O191" s="618"/>
      <c r="P191" s="1511">
        <f>M191+M202+M203</f>
        <v>1112209724.9719183</v>
      </c>
      <c r="Q191" s="1511"/>
      <c r="R191" s="1511"/>
      <c r="S191" s="1511"/>
      <c r="T191" s="1511"/>
      <c r="U191" s="1511"/>
      <c r="V191" s="1158"/>
      <c r="W191" s="1158"/>
      <c r="X191" s="1158"/>
      <c r="Z191" s="1156" t="e">
        <f>P191-#REF!</f>
        <v>#REF!</v>
      </c>
    </row>
    <row r="192" spans="2:38" ht="24.75" customHeight="1">
      <c r="C192" s="1156"/>
      <c r="D192" s="1156"/>
      <c r="F192" s="1156"/>
      <c r="K192" s="1156"/>
      <c r="L192" s="1156"/>
      <c r="M192" s="727"/>
      <c r="N192" s="727"/>
      <c r="O192" s="727"/>
    </row>
    <row r="193" spans="2:28" ht="24.75" customHeight="1">
      <c r="C193" s="1156"/>
      <c r="D193" s="1156"/>
      <c r="F193" s="1156" t="s">
        <v>359</v>
      </c>
      <c r="K193" s="1156"/>
      <c r="L193" s="1156">
        <v>3255</v>
      </c>
      <c r="M193" s="619">
        <f>(L193*46.1)*$F$11</f>
        <v>100651227.17999999</v>
      </c>
      <c r="N193" s="619"/>
      <c r="O193" s="619"/>
      <c r="P193" s="1156" t="s">
        <v>792</v>
      </c>
    </row>
    <row r="194" spans="2:28" ht="24.75" customHeight="1">
      <c r="C194" s="1156"/>
      <c r="D194" s="1156"/>
      <c r="F194" s="1156" t="s">
        <v>360</v>
      </c>
      <c r="K194" s="1156"/>
      <c r="L194" s="1156">
        <v>373</v>
      </c>
      <c r="M194" s="759">
        <f>(L194*76.9)*$F$11</f>
        <v>19239878.612</v>
      </c>
      <c r="N194" s="619"/>
      <c r="O194" s="619"/>
    </row>
    <row r="195" spans="2:28" ht="24.75" customHeight="1">
      <c r="B195" s="1156"/>
      <c r="F195" s="1156" t="s">
        <v>836</v>
      </c>
      <c r="K195" s="1156"/>
      <c r="L195" s="1156">
        <v>116</v>
      </c>
      <c r="M195" s="619">
        <f>(L195*92.2)*$F$11</f>
        <v>7173912.352</v>
      </c>
      <c r="N195" s="619"/>
      <c r="O195" s="619"/>
      <c r="P195" s="591"/>
      <c r="Q195" s="591"/>
      <c r="R195" s="591"/>
      <c r="S195" s="591"/>
    </row>
    <row r="196" spans="2:28" ht="24.75" customHeight="1">
      <c r="B196" s="1156"/>
      <c r="F196" s="1156" t="s">
        <v>837</v>
      </c>
      <c r="K196" s="1156"/>
      <c r="L196" s="1156">
        <v>146</v>
      </c>
      <c r="M196" s="1117">
        <f>(L196*153.8)*$F$11</f>
        <v>15061781.648000002</v>
      </c>
      <c r="N196" s="619"/>
      <c r="O196" s="619"/>
      <c r="P196" s="591"/>
      <c r="Q196" s="591"/>
      <c r="R196" s="591"/>
      <c r="S196" s="591"/>
    </row>
    <row r="197" spans="2:28" ht="24.75" customHeight="1">
      <c r="B197" s="1156"/>
      <c r="F197" s="1156" t="s">
        <v>838</v>
      </c>
      <c r="K197" s="1156"/>
      <c r="L197" s="1156">
        <f>L195+L196</f>
        <v>262</v>
      </c>
      <c r="M197" s="619">
        <f>L197*100000</f>
        <v>26200000</v>
      </c>
      <c r="N197" s="619"/>
      <c r="O197" s="619"/>
      <c r="P197" s="591"/>
      <c r="Q197" s="591"/>
      <c r="R197" s="591"/>
      <c r="S197" s="591"/>
    </row>
    <row r="198" spans="2:28" ht="24.75" customHeight="1">
      <c r="B198" s="1156"/>
      <c r="F198" s="1517" t="s">
        <v>511</v>
      </c>
      <c r="G198" s="1518"/>
      <c r="K198" s="1156"/>
      <c r="L198" s="1156"/>
      <c r="M198" s="619">
        <f>L198*25000</f>
        <v>0</v>
      </c>
      <c r="N198" s="619"/>
      <c r="O198" s="619"/>
      <c r="P198" s="591"/>
      <c r="Q198" s="591"/>
      <c r="R198" s="591"/>
      <c r="S198" s="591"/>
    </row>
    <row r="199" spans="2:28" ht="24.75" customHeight="1">
      <c r="B199" s="1156"/>
      <c r="F199" s="1517" t="s">
        <v>492</v>
      </c>
      <c r="G199" s="1518"/>
      <c r="K199" s="1156"/>
      <c r="L199" s="1156"/>
      <c r="M199" s="619">
        <f>L199*20000</f>
        <v>0</v>
      </c>
      <c r="N199" s="619"/>
      <c r="O199" s="619"/>
      <c r="P199" s="591"/>
      <c r="Q199" s="591"/>
      <c r="R199" s="591"/>
      <c r="S199" s="591"/>
    </row>
    <row r="200" spans="2:28" ht="24.75" customHeight="1">
      <c r="B200" s="1156"/>
      <c r="F200" s="1517" t="s">
        <v>491</v>
      </c>
      <c r="G200" s="1518"/>
      <c r="K200" s="1156"/>
      <c r="L200" s="1156"/>
      <c r="M200" s="619">
        <f>L200*10000</f>
        <v>0</v>
      </c>
      <c r="N200" s="619"/>
      <c r="O200" s="619"/>
      <c r="P200" s="591"/>
      <c r="Q200" s="591"/>
      <c r="R200" s="591"/>
      <c r="S200" s="591"/>
    </row>
    <row r="201" spans="2:28" ht="24.75" customHeight="1">
      <c r="B201" s="1156"/>
      <c r="F201" s="1156" t="s">
        <v>361</v>
      </c>
      <c r="K201" s="1156"/>
      <c r="L201" s="1156"/>
      <c r="M201" s="619">
        <f>L201*10000</f>
        <v>0</v>
      </c>
      <c r="N201" s="619"/>
      <c r="O201" s="1531">
        <f>U168*25000</f>
        <v>6550000</v>
      </c>
      <c r="P201" s="1531"/>
      <c r="Q201" s="591"/>
      <c r="R201" s="591"/>
      <c r="S201" s="591"/>
      <c r="AA201" s="1158"/>
      <c r="AB201" s="1158"/>
    </row>
    <row r="202" spans="2:28" ht="24.75" customHeight="1">
      <c r="B202" s="1156"/>
      <c r="C202" s="1243"/>
      <c r="F202" s="1156"/>
      <c r="K202" s="1511"/>
      <c r="L202" s="1511"/>
      <c r="M202" s="1530">
        <f>SUM(M193:M201)</f>
        <v>168326799.792</v>
      </c>
      <c r="N202" s="1530"/>
      <c r="O202" s="727"/>
      <c r="P202" s="591"/>
      <c r="Q202" s="591">
        <f>X168-M202</f>
        <v>37.208000004291534</v>
      </c>
      <c r="R202" s="591"/>
      <c r="S202" s="591"/>
      <c r="Y202" s="1511"/>
      <c r="Z202" s="1511"/>
    </row>
    <row r="203" spans="2:28" ht="24.75" customHeight="1">
      <c r="B203" s="1156"/>
      <c r="C203" s="1244"/>
      <c r="F203" s="1156" t="s">
        <v>362</v>
      </c>
      <c r="K203" s="1527">
        <f>F101+F15</f>
        <v>0</v>
      </c>
      <c r="L203" s="1527"/>
      <c r="M203" s="619">
        <f>K203*25000</f>
        <v>0</v>
      </c>
      <c r="N203" s="619"/>
      <c r="O203" s="619"/>
      <c r="P203" s="591"/>
      <c r="Q203" s="591"/>
      <c r="R203" s="591"/>
      <c r="S203" s="591"/>
      <c r="Y203" s="1511">
        <f>M203+M202+M191</f>
        <v>1112209724.9719183</v>
      </c>
      <c r="Z203" s="1511"/>
      <c r="AA203" s="1511"/>
    </row>
    <row r="204" spans="2:28" ht="24.75" customHeight="1">
      <c r="F204" s="1156"/>
      <c r="K204" s="1156"/>
      <c r="L204" s="1156"/>
      <c r="M204" s="590"/>
      <c r="N204" s="728"/>
      <c r="O204" s="728"/>
      <c r="P204" s="591"/>
      <c r="Q204" s="591"/>
      <c r="R204" s="591"/>
      <c r="S204" s="591"/>
      <c r="AA204" s="1156">
        <f>M205-Y203</f>
        <v>37.028081655502319</v>
      </c>
    </row>
    <row r="205" spans="2:28" ht="24.75" customHeight="1">
      <c r="B205" s="1156"/>
      <c r="F205" s="1156"/>
      <c r="K205" s="1156"/>
      <c r="L205" s="1156"/>
      <c r="M205" s="1528">
        <f>AA101+AA15</f>
        <v>1112209762</v>
      </c>
      <c r="N205" s="1528"/>
      <c r="O205" s="726"/>
      <c r="P205" s="591"/>
      <c r="Q205" s="591"/>
      <c r="R205" s="591"/>
      <c r="S205" s="591"/>
    </row>
    <row r="206" spans="2:28" ht="24.75" customHeight="1">
      <c r="F206" s="1156"/>
      <c r="K206" s="1156"/>
      <c r="L206" s="1156"/>
      <c r="M206" s="590"/>
      <c r="N206" s="728"/>
      <c r="O206" s="728"/>
      <c r="P206" s="591"/>
      <c r="Q206" s="591"/>
      <c r="R206" s="591"/>
      <c r="S206" s="591"/>
    </row>
    <row r="207" spans="2:28" ht="24.75" customHeight="1">
      <c r="B207" s="1156"/>
      <c r="G207" s="1222"/>
      <c r="H207" s="1222"/>
      <c r="I207" s="1222"/>
      <c r="J207" s="1222"/>
      <c r="K207" s="619"/>
    </row>
    <row r="208" spans="2:28" ht="24.75" customHeight="1">
      <c r="B208" s="1156"/>
      <c r="N208" s="1222"/>
      <c r="O208" s="1222"/>
    </row>
    <row r="209" spans="2:24" ht="24.75" customHeight="1"/>
    <row r="210" spans="2:24" ht="24.75" customHeight="1"/>
    <row r="211" spans="2:24" ht="24.75" customHeight="1"/>
    <row r="212" spans="2:24" ht="24.75" customHeight="1">
      <c r="B212" s="1156"/>
      <c r="G212" s="1222">
        <v>2551.8899999999994</v>
      </c>
      <c r="H212" s="1222"/>
      <c r="I212" s="1222"/>
      <c r="J212" s="1222"/>
    </row>
    <row r="213" spans="2:24" ht="48" customHeight="1">
      <c r="B213" s="1156"/>
      <c r="C213" s="1156"/>
      <c r="D213" s="1156"/>
      <c r="F213" s="1156"/>
      <c r="G213" s="1222">
        <f>+G203-G212</f>
        <v>-2551.8899999999994</v>
      </c>
      <c r="H213" s="1222"/>
      <c r="I213" s="1222"/>
      <c r="J213" s="1222"/>
    </row>
    <row r="219" spans="2:24" ht="48" customHeight="1">
      <c r="B219" s="1156"/>
      <c r="C219" s="1156"/>
      <c r="D219" s="1156"/>
      <c r="F219" s="1156"/>
      <c r="L219" s="728">
        <v>1678</v>
      </c>
      <c r="M219" s="591">
        <v>1573</v>
      </c>
      <c r="N219" s="1156">
        <v>1187</v>
      </c>
      <c r="P219" s="1156">
        <v>1183</v>
      </c>
      <c r="X219" s="1156">
        <f>SUM(L219:P219)</f>
        <v>5621</v>
      </c>
    </row>
    <row r="220" spans="2:24" ht="48" customHeight="1">
      <c r="B220" s="1156"/>
      <c r="C220" s="1156"/>
      <c r="D220" s="1156"/>
      <c r="F220" s="1156"/>
      <c r="L220" s="728">
        <v>257</v>
      </c>
      <c r="M220" s="591">
        <v>244</v>
      </c>
      <c r="N220" s="1156">
        <v>183</v>
      </c>
      <c r="P220" s="1156">
        <v>182</v>
      </c>
      <c r="X220" s="1156">
        <f>SUM(L220:P220)</f>
        <v>866</v>
      </c>
    </row>
    <row r="221" spans="2:24" ht="48" customHeight="1">
      <c r="B221" s="1156"/>
      <c r="C221" s="1156"/>
      <c r="D221" s="1156"/>
      <c r="F221" s="1156"/>
      <c r="L221" s="728">
        <v>1935</v>
      </c>
      <c r="M221" s="591">
        <v>1817</v>
      </c>
      <c r="N221" s="1156">
        <v>1370</v>
      </c>
      <c r="P221" s="1156">
        <v>1365</v>
      </c>
      <c r="X221" s="1156">
        <f>SUM(L221:P221)</f>
        <v>6487</v>
      </c>
    </row>
    <row r="223" spans="2:24" ht="48" customHeight="1">
      <c r="H223" s="1339">
        <f>SUBTOTAL(9,H89:H96)</f>
        <v>802</v>
      </c>
    </row>
    <row r="224" spans="2:24" ht="48" customHeight="1">
      <c r="H224" s="1339">
        <f>SUBTOTAL(9,H160:H163)</f>
        <v>2151</v>
      </c>
    </row>
  </sheetData>
  <autoFilter ref="A15:AL221">
    <filterColumn colId="0" showButton="0"/>
    <filterColumn colId="1" showButton="0"/>
    <filterColumn colId="2" showButton="0"/>
    <filterColumn colId="3" showButton="0"/>
  </autoFilter>
  <mergeCells count="49">
    <mergeCell ref="Y202:Z202"/>
    <mergeCell ref="P191:U191"/>
    <mergeCell ref="O201:P201"/>
    <mergeCell ref="U171:AC171"/>
    <mergeCell ref="B173:AC173"/>
    <mergeCell ref="F200:G200"/>
    <mergeCell ref="K203:L203"/>
    <mergeCell ref="M205:N205"/>
    <mergeCell ref="K186:L186"/>
    <mergeCell ref="K187:L187"/>
    <mergeCell ref="K188:L188"/>
    <mergeCell ref="K189:L189"/>
    <mergeCell ref="M202:N202"/>
    <mergeCell ref="K190:L190"/>
    <mergeCell ref="K202:L202"/>
    <mergeCell ref="K191:L191"/>
    <mergeCell ref="Y12:Y14"/>
    <mergeCell ref="Z12:Z14"/>
    <mergeCell ref="A169:AC169"/>
    <mergeCell ref="A12:B14"/>
    <mergeCell ref="A15:E15"/>
    <mergeCell ref="C12:C14"/>
    <mergeCell ref="D12:D14"/>
    <mergeCell ref="E12:E14"/>
    <mergeCell ref="A101:E101"/>
    <mergeCell ref="A168:E168"/>
    <mergeCell ref="AK6:AL6"/>
    <mergeCell ref="B7:H7"/>
    <mergeCell ref="B9:AC9"/>
    <mergeCell ref="D11:E11"/>
    <mergeCell ref="Y11:Z11"/>
    <mergeCell ref="AG6:AH6"/>
    <mergeCell ref="AI6:AJ6"/>
    <mergeCell ref="Y203:AA203"/>
    <mergeCell ref="AE2:AF2"/>
    <mergeCell ref="B3:AC3"/>
    <mergeCell ref="B4:AC4"/>
    <mergeCell ref="B5:AC5"/>
    <mergeCell ref="B6:H6"/>
    <mergeCell ref="AE6:AF6"/>
    <mergeCell ref="AE173:AE174"/>
    <mergeCell ref="F199:G199"/>
    <mergeCell ref="F198:G198"/>
    <mergeCell ref="F12:X12"/>
    <mergeCell ref="AA12:AA14"/>
    <mergeCell ref="AC12:AC14"/>
    <mergeCell ref="F13:G13"/>
    <mergeCell ref="H13:M13"/>
    <mergeCell ref="N13:X13"/>
  </mergeCells>
  <printOptions horizontalCentered="1"/>
  <pageMargins left="0.37" right="0.17" top="0.25" bottom="0.21" header="0.17" footer="0.196850393700787"/>
  <pageSetup paperSize="9" scale="50" fitToHeight="0" orientation="landscape" r:id="rId1"/>
  <headerFooter>
    <oddFooter>&amp;R&amp;P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92D050"/>
  </sheetPr>
  <dimension ref="A1:AC31"/>
  <sheetViews>
    <sheetView workbookViewId="0">
      <pane ySplit="1" topLeftCell="A11" activePane="bottomLeft" state="frozen"/>
      <selection activeCell="AQ93" sqref="AQ93"/>
      <selection pane="bottomLeft" activeCell="H26" sqref="H26"/>
    </sheetView>
  </sheetViews>
  <sheetFormatPr defaultColWidth="9.140625" defaultRowHeight="16.5"/>
  <cols>
    <col min="1" max="1" width="5" style="120" customWidth="1"/>
    <col min="2" max="2" width="21.7109375" style="120" customWidth="1"/>
    <col min="3" max="3" width="19.85546875" style="120" customWidth="1"/>
    <col min="4" max="4" width="10.42578125" style="120" customWidth="1"/>
    <col min="5" max="5" width="15.28515625" style="120" customWidth="1"/>
    <col min="6" max="6" width="17.28515625" style="120" customWidth="1"/>
    <col min="7" max="7" width="14.42578125" style="120" customWidth="1"/>
    <col min="8" max="8" width="15.28515625" style="120" customWidth="1"/>
    <col min="9" max="9" width="13.7109375" style="120" customWidth="1"/>
    <col min="10" max="10" width="16.140625" style="120" customWidth="1"/>
    <col min="11" max="11" width="8.42578125" style="120" customWidth="1"/>
    <col min="12" max="12" width="12.85546875" style="120" customWidth="1"/>
    <col min="13" max="13" width="13.42578125" style="120" customWidth="1"/>
    <col min="14" max="15" width="7.85546875" style="120" customWidth="1"/>
    <col min="16" max="16" width="7.28515625" style="120" customWidth="1"/>
    <col min="17" max="17" width="7.42578125" style="120" customWidth="1"/>
    <col min="18" max="18" width="6.28515625" style="120" customWidth="1"/>
    <col min="19" max="19" width="5.7109375" style="120" customWidth="1"/>
    <col min="20" max="20" width="6" style="120" customWidth="1"/>
    <col min="21" max="21" width="4.85546875" style="120" customWidth="1"/>
    <col min="22" max="22" width="6" style="120" customWidth="1"/>
    <col min="23" max="23" width="6.5703125" style="120" customWidth="1"/>
    <col min="24" max="24" width="8.140625" style="120" customWidth="1"/>
    <col min="25" max="25" width="6" style="120" customWidth="1"/>
    <col min="26" max="26" width="8.140625" style="120" customWidth="1"/>
    <col min="27" max="27" width="15" style="120" bestFit="1" customWidth="1"/>
    <col min="28" max="28" width="17.85546875" style="120" bestFit="1" customWidth="1"/>
    <col min="29" max="29" width="12.85546875" style="120" bestFit="1" customWidth="1"/>
    <col min="30" max="16384" width="9.140625" style="120"/>
  </cols>
  <sheetData>
    <row r="1" spans="1:29">
      <c r="A1" s="1534" t="s">
        <v>51</v>
      </c>
      <c r="B1" s="1534"/>
      <c r="C1" s="1534"/>
      <c r="D1" s="1534"/>
      <c r="E1" s="1534"/>
      <c r="F1" s="1534"/>
      <c r="G1" s="1534"/>
      <c r="H1" s="1534"/>
      <c r="I1" s="1534"/>
      <c r="J1" s="1534"/>
    </row>
    <row r="2" spans="1:29">
      <c r="A2" s="1534" t="s">
        <v>38</v>
      </c>
      <c r="B2" s="1534"/>
      <c r="C2" s="1534"/>
      <c r="D2" s="1534"/>
      <c r="E2" s="1534"/>
      <c r="F2" s="1534"/>
      <c r="G2" s="1534"/>
      <c r="H2" s="1534"/>
      <c r="I2" s="1534"/>
      <c r="J2" s="1534"/>
      <c r="K2" s="14"/>
      <c r="L2" s="14"/>
      <c r="M2" s="14"/>
      <c r="N2" s="3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9">
      <c r="A3" s="1539" t="s">
        <v>278</v>
      </c>
      <c r="B3" s="1534"/>
      <c r="C3" s="1534"/>
      <c r="D3" s="1534"/>
      <c r="E3" s="1534"/>
      <c r="F3" s="1534"/>
      <c r="G3" s="1534"/>
      <c r="H3" s="1534"/>
      <c r="I3" s="1534"/>
      <c r="J3" s="1534"/>
      <c r="K3" s="15"/>
      <c r="L3" s="15"/>
      <c r="M3" s="15"/>
      <c r="N3" s="15"/>
      <c r="O3" s="314"/>
      <c r="Q3" s="15"/>
      <c r="R3" s="15"/>
      <c r="S3" s="15"/>
      <c r="T3" s="15"/>
      <c r="U3" s="15"/>
      <c r="V3" s="15"/>
      <c r="W3" s="15"/>
      <c r="X3" s="15"/>
      <c r="Y3" s="15"/>
      <c r="Z3" s="314"/>
    </row>
    <row r="4" spans="1:29">
      <c r="K4" s="15"/>
      <c r="L4" s="15"/>
      <c r="M4" s="15"/>
      <c r="N4" s="15"/>
      <c r="O4" s="314"/>
      <c r="Q4" s="15"/>
      <c r="R4" s="15"/>
      <c r="S4" s="15"/>
      <c r="T4" s="15"/>
      <c r="U4" s="15"/>
      <c r="V4" s="15"/>
      <c r="W4" s="15"/>
      <c r="X4" s="15"/>
      <c r="Y4" s="15"/>
      <c r="Z4" s="314"/>
    </row>
    <row r="5" spans="1:29" ht="25.15" customHeight="1">
      <c r="A5" s="1535" t="s">
        <v>550</v>
      </c>
      <c r="B5" s="1535"/>
      <c r="C5" s="1535"/>
      <c r="D5" s="1535"/>
      <c r="E5" s="1535"/>
      <c r="F5" s="150"/>
      <c r="G5" s="150"/>
      <c r="H5" s="150"/>
      <c r="I5" s="150"/>
      <c r="J5" s="150"/>
      <c r="K5" s="316"/>
      <c r="L5" s="316"/>
      <c r="M5" s="316"/>
      <c r="N5" s="317"/>
      <c r="O5" s="318"/>
      <c r="P5" s="319"/>
      <c r="Q5" s="320"/>
      <c r="R5" s="320"/>
      <c r="S5" s="320"/>
      <c r="T5" s="320"/>
      <c r="U5" s="320"/>
      <c r="V5" s="320"/>
      <c r="W5" s="320"/>
      <c r="X5" s="320"/>
      <c r="Y5" s="320"/>
      <c r="Z5" s="314"/>
      <c r="AA5" s="321">
        <f>1372+388</f>
        <v>1760</v>
      </c>
      <c r="AB5" s="120">
        <f>AA5*30000</f>
        <v>52800000</v>
      </c>
      <c r="AC5" s="120" t="e">
        <f>AB5+#REF!+#REF!</f>
        <v>#REF!</v>
      </c>
    </row>
    <row r="6" spans="1:29" ht="22.15" customHeight="1">
      <c r="A6" s="1540" t="s">
        <v>540</v>
      </c>
      <c r="B6" s="1540"/>
      <c r="C6" s="1540"/>
      <c r="D6" s="1540"/>
      <c r="E6" s="1540"/>
      <c r="F6" s="503"/>
      <c r="G6" s="503"/>
      <c r="H6" s="315"/>
      <c r="I6" s="315"/>
      <c r="J6" s="315"/>
      <c r="K6" s="316"/>
      <c r="L6" s="316"/>
      <c r="M6" s="316"/>
      <c r="N6" s="317"/>
      <c r="O6" s="318"/>
      <c r="P6" s="319"/>
      <c r="Q6" s="320"/>
      <c r="R6" s="320"/>
      <c r="S6" s="320"/>
      <c r="T6" s="320"/>
      <c r="U6" s="320"/>
      <c r="V6" s="320"/>
      <c r="W6" s="320"/>
      <c r="X6" s="320"/>
      <c r="Y6" s="320"/>
      <c r="Z6" s="314"/>
      <c r="AA6" s="321"/>
    </row>
    <row r="7" spans="1:29">
      <c r="A7" s="703"/>
      <c r="B7" s="703"/>
      <c r="C7" s="703"/>
      <c r="D7" s="703"/>
      <c r="E7" s="703"/>
      <c r="F7" s="503"/>
      <c r="G7" s="503"/>
      <c r="H7" s="315"/>
      <c r="I7" s="315"/>
      <c r="J7" s="315"/>
      <c r="K7" s="316"/>
      <c r="L7" s="316"/>
      <c r="M7" s="316"/>
      <c r="N7" s="317"/>
      <c r="O7" s="318"/>
      <c r="P7" s="319"/>
      <c r="Q7" s="320"/>
      <c r="R7" s="320"/>
      <c r="S7" s="320"/>
      <c r="T7" s="320"/>
      <c r="U7" s="320"/>
      <c r="V7" s="320"/>
      <c r="W7" s="320"/>
      <c r="X7" s="320"/>
      <c r="Y7" s="320"/>
      <c r="Z7" s="314"/>
      <c r="AA7" s="321"/>
    </row>
    <row r="8" spans="1:29" ht="20.25">
      <c r="A8" s="1536" t="s">
        <v>818</v>
      </c>
      <c r="B8" s="1537"/>
      <c r="C8" s="1537"/>
      <c r="D8" s="1537"/>
      <c r="E8" s="1537"/>
      <c r="F8" s="1537"/>
      <c r="G8" s="1537"/>
      <c r="H8" s="1537"/>
      <c r="I8" s="1537"/>
      <c r="J8" s="1537"/>
      <c r="K8" s="316"/>
      <c r="L8" s="316"/>
      <c r="M8" s="316"/>
      <c r="N8" s="317"/>
      <c r="O8" s="318"/>
      <c r="P8" s="319"/>
      <c r="Q8" s="320"/>
      <c r="R8" s="320"/>
      <c r="S8" s="320"/>
      <c r="T8" s="320"/>
      <c r="U8" s="320"/>
      <c r="V8" s="320"/>
      <c r="W8" s="320"/>
      <c r="X8" s="320"/>
      <c r="Y8" s="320"/>
      <c r="Z8" s="314"/>
      <c r="AA8" s="321"/>
    </row>
    <row r="9" spans="1:29" ht="27" customHeight="1">
      <c r="A9" s="509"/>
      <c r="B9" s="324"/>
      <c r="C9" s="324"/>
      <c r="D9" s="509"/>
      <c r="E9" s="509"/>
      <c r="F9" s="509"/>
      <c r="G9" s="509"/>
      <c r="H9" s="509"/>
      <c r="I9" s="509"/>
      <c r="J9" s="430" t="s">
        <v>353</v>
      </c>
      <c r="K9" s="322"/>
      <c r="L9" s="322"/>
      <c r="M9" s="322"/>
      <c r="N9" s="322"/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3"/>
    </row>
    <row r="10" spans="1:29" ht="16.5" customHeight="1">
      <c r="A10" s="1547" t="s">
        <v>4</v>
      </c>
      <c r="B10" s="1547" t="s">
        <v>61</v>
      </c>
      <c r="C10" s="1547" t="s">
        <v>8</v>
      </c>
      <c r="D10" s="1542" t="s">
        <v>31</v>
      </c>
      <c r="E10" s="1542" t="s">
        <v>289</v>
      </c>
      <c r="F10" s="1548" t="s">
        <v>290</v>
      </c>
      <c r="G10" s="1542" t="s">
        <v>800</v>
      </c>
      <c r="H10" s="1547" t="s">
        <v>243</v>
      </c>
      <c r="I10" s="1520" t="s">
        <v>154</v>
      </c>
      <c r="J10" s="1520" t="s">
        <v>346</v>
      </c>
      <c r="K10" s="328"/>
      <c r="L10" s="329"/>
      <c r="M10" s="330"/>
    </row>
    <row r="11" spans="1:29" ht="39.75" customHeight="1">
      <c r="A11" s="1547"/>
      <c r="B11" s="1547"/>
      <c r="C11" s="1547"/>
      <c r="D11" s="1542"/>
      <c r="E11" s="1542"/>
      <c r="F11" s="1548"/>
      <c r="G11" s="1542"/>
      <c r="H11" s="1547"/>
      <c r="I11" s="1520"/>
      <c r="J11" s="1520"/>
      <c r="K11" s="331"/>
      <c r="L11" s="329"/>
      <c r="M11" s="330"/>
    </row>
    <row r="12" spans="1:29" ht="20.25" customHeight="1">
      <c r="A12" s="447" t="s">
        <v>864</v>
      </c>
      <c r="B12" s="1541" t="s">
        <v>858</v>
      </c>
      <c r="C12" s="1541"/>
      <c r="D12" s="1098">
        <f>SUM(D13:D15)</f>
        <v>90</v>
      </c>
      <c r="E12" s="1098">
        <f>SUM(E13:E15)</f>
        <v>6000000</v>
      </c>
      <c r="F12" s="1098"/>
      <c r="G12" s="1098">
        <f t="shared" ref="G12:J12" si="0">SUM(G13:G15)</f>
        <v>1800000</v>
      </c>
      <c r="H12" s="1098">
        <f t="shared" si="0"/>
        <v>7800000</v>
      </c>
      <c r="I12" s="1098">
        <f t="shared" si="0"/>
        <v>65000</v>
      </c>
      <c r="J12" s="1098">
        <f t="shared" si="0"/>
        <v>7735000</v>
      </c>
      <c r="K12" s="331"/>
      <c r="L12" s="329"/>
      <c r="M12" s="330"/>
    </row>
    <row r="13" spans="1:29" ht="20.25" customHeight="1">
      <c r="A13" s="233">
        <v>1</v>
      </c>
      <c r="B13" s="416" t="str">
        <f>'Bảng ĐP - BV  '!B14</f>
        <v>Pôn</v>
      </c>
      <c r="C13" s="233"/>
      <c r="D13" s="233">
        <f>'Bảng ĐP - BV  '!AI14</f>
        <v>30</v>
      </c>
      <c r="E13" s="491">
        <v>2000000</v>
      </c>
      <c r="F13" s="491"/>
      <c r="G13" s="491">
        <f>D13*20000</f>
        <v>600000</v>
      </c>
      <c r="H13" s="451">
        <f>E13+G13</f>
        <v>2600000</v>
      </c>
      <c r="I13" s="493"/>
      <c r="J13" s="489">
        <f>H13-I13</f>
        <v>2600000</v>
      </c>
      <c r="K13" s="331"/>
      <c r="L13" s="329"/>
      <c r="M13" s="330"/>
    </row>
    <row r="14" spans="1:29" ht="20.25" customHeight="1">
      <c r="A14" s="233">
        <v>2</v>
      </c>
      <c r="B14" s="416" t="str">
        <f>'Bảng ĐP - BV  '!B15</f>
        <v>Đô La</v>
      </c>
      <c r="C14" s="233"/>
      <c r="D14" s="233">
        <f>'Bảng ĐP - BV  '!AI15</f>
        <v>30</v>
      </c>
      <c r="E14" s="491">
        <v>2000000</v>
      </c>
      <c r="F14" s="491"/>
      <c r="G14" s="491">
        <f t="shared" ref="G14:G15" si="1">D14*20000</f>
        <v>600000</v>
      </c>
      <c r="H14" s="451">
        <f t="shared" ref="H14:H15" si="2">E14+G14</f>
        <v>2600000</v>
      </c>
      <c r="I14" s="493"/>
      <c r="J14" s="489">
        <f t="shared" ref="J14:J15" si="3">H14-I14</f>
        <v>2600000</v>
      </c>
      <c r="K14" s="331"/>
      <c r="L14" s="329"/>
      <c r="M14" s="330"/>
    </row>
    <row r="15" spans="1:29" ht="20.25" customHeight="1">
      <c r="A15" s="233">
        <v>3</v>
      </c>
      <c r="B15" s="416" t="str">
        <f>'Bảng ĐP - BV  '!B16</f>
        <v xml:space="preserve">Thảo Mét </v>
      </c>
      <c r="C15" s="233"/>
      <c r="D15" s="233">
        <f>'Bảng ĐP - BV  '!AI16</f>
        <v>30</v>
      </c>
      <c r="E15" s="491">
        <v>2000000</v>
      </c>
      <c r="F15" s="491"/>
      <c r="G15" s="491">
        <f t="shared" si="1"/>
        <v>600000</v>
      </c>
      <c r="H15" s="451">
        <f t="shared" si="2"/>
        <v>2600000</v>
      </c>
      <c r="I15" s="778">
        <f>IF(H15&gt;65000000,((H15-65000000)*25%+10685000),IF(H15&gt;25000000,((H15-25000000)*20%+2685000),IF(H15&gt;15000000,((H15-15000000)*15%+1185000),IF(H15&gt;5000000,(H15-5000000)*10%+185000,IF(H15&gt;1300000,(H15-1300000)*5%,0)))))</f>
        <v>65000</v>
      </c>
      <c r="J15" s="489">
        <f t="shared" si="3"/>
        <v>2535000</v>
      </c>
      <c r="K15" s="331"/>
      <c r="L15" s="329"/>
      <c r="M15" s="330"/>
    </row>
    <row r="16" spans="1:29" ht="20.25" customHeight="1">
      <c r="A16" s="447" t="s">
        <v>59</v>
      </c>
      <c r="B16" s="1543" t="s">
        <v>859</v>
      </c>
      <c r="C16" s="1544"/>
      <c r="D16" s="672">
        <f t="shared" ref="D16:J16" si="4">SUM(D17:D18)</f>
        <v>60</v>
      </c>
      <c r="E16" s="1098">
        <f t="shared" si="4"/>
        <v>6000000</v>
      </c>
      <c r="F16" s="1098">
        <f t="shared" si="4"/>
        <v>8168177.9012614693</v>
      </c>
      <c r="G16" s="1098"/>
      <c r="H16" s="1098">
        <f>SUM(H17:H18)</f>
        <v>14168177.901261467</v>
      </c>
      <c r="I16" s="1098">
        <f t="shared" si="4"/>
        <v>786817.79012614687</v>
      </c>
      <c r="J16" s="1098">
        <f t="shared" si="4"/>
        <v>13381360.111135323</v>
      </c>
      <c r="K16" s="331"/>
      <c r="L16" s="329"/>
      <c r="M16" s="330"/>
    </row>
    <row r="17" spans="1:13" ht="20.25" customHeight="1">
      <c r="A17" s="233"/>
      <c r="B17" s="416" t="str">
        <f>'Bảng ĐP - BV  '!B12</f>
        <v>Thảo Văn Vông</v>
      </c>
      <c r="C17" s="233"/>
      <c r="D17" s="233">
        <f>'Bảng ĐP - BV  '!AI12</f>
        <v>30</v>
      </c>
      <c r="E17" s="491">
        <f>'Tỉ lệ hoàn thành '!J22</f>
        <v>3000000</v>
      </c>
      <c r="F17" s="491">
        <f>'Tỉ lệ hoàn thành '!L22</f>
        <v>4120785.3137614694</v>
      </c>
      <c r="G17" s="491"/>
      <c r="H17" s="451">
        <f>F17+E17</f>
        <v>7120785.313761469</v>
      </c>
      <c r="I17" s="493">
        <f>IF(H17&gt;65000000,((H17-65000000)*25%+10685000),IF(H17&gt;25000000,((H17-25000000)*20%+2685000),IF(H17&gt;15000000,((H17-15000000)*15%+1185000),IF(H17&gt;5000000,(H17-5000000)*10%+185000,IF(H17&gt;1300000,(H17-1300000)*5%,0)))))</f>
        <v>397078.53137614694</v>
      </c>
      <c r="J17" s="489">
        <f>H17-I17</f>
        <v>6723706.7823853223</v>
      </c>
      <c r="K17" s="331"/>
      <c r="L17" s="329"/>
      <c r="M17" s="330"/>
    </row>
    <row r="18" spans="1:13" ht="20.25" customHeight="1">
      <c r="A18" s="233"/>
      <c r="B18" s="416" t="str">
        <f>'Bảng ĐP - BV  '!B13</f>
        <v>Thảo Phôn Chay</v>
      </c>
      <c r="C18" s="233"/>
      <c r="D18" s="233">
        <f>'Bảng ĐP - BV  '!AI13</f>
        <v>30</v>
      </c>
      <c r="E18" s="491">
        <f>'Tỉ lệ hoàn thành '!J23</f>
        <v>3000000</v>
      </c>
      <c r="F18" s="491">
        <f>'Tỉ lệ hoàn thành '!L23</f>
        <v>4047392.5874999994</v>
      </c>
      <c r="G18" s="491"/>
      <c r="H18" s="451">
        <f>F18+E18</f>
        <v>7047392.5874999994</v>
      </c>
      <c r="I18" s="493">
        <f>IF(H18&gt;65000000,((H18-65000000)*25%+10685000),IF(H18&gt;25000000,((H18-25000000)*20%+2685000),IF(H18&gt;15000000,((H18-15000000)*15%+1185000),IF(H18&gt;5000000,(H18-5000000)*10%+185000,IF(H18&gt;1300000,(H18-1300000)*5%,0)))))</f>
        <v>389739.25874999992</v>
      </c>
      <c r="J18" s="489">
        <f>H18-I18</f>
        <v>6657653.3287499994</v>
      </c>
      <c r="K18" s="331"/>
      <c r="L18" s="329"/>
      <c r="M18" s="330"/>
    </row>
    <row r="19" spans="1:13" s="434" customFormat="1" ht="20.25" customHeight="1">
      <c r="A19" s="487" t="s">
        <v>88</v>
      </c>
      <c r="B19" s="1550" t="s">
        <v>161</v>
      </c>
      <c r="C19" s="1550"/>
      <c r="D19" s="487">
        <f>D20</f>
        <v>30</v>
      </c>
      <c r="E19" s="490">
        <f t="shared" ref="E19:J19" si="5">E20</f>
        <v>2000000.0000000002</v>
      </c>
      <c r="F19" s="490"/>
      <c r="G19" s="490"/>
      <c r="H19" s="490">
        <f t="shared" si="5"/>
        <v>2000000.0000000002</v>
      </c>
      <c r="I19" s="490">
        <f t="shared" si="5"/>
        <v>35000.000000000015</v>
      </c>
      <c r="J19" s="490">
        <f t="shared" si="5"/>
        <v>1965000.0000000002</v>
      </c>
      <c r="K19" s="431"/>
      <c r="L19" s="432"/>
      <c r="M19" s="433"/>
    </row>
    <row r="20" spans="1:13" ht="20.25" customHeight="1">
      <c r="A20" s="233">
        <v>1</v>
      </c>
      <c r="B20" s="416" t="str">
        <f>'Bảng ĐP - BV  '!B17</f>
        <v>N. Nhung  ( VP)</v>
      </c>
      <c r="C20" s="233"/>
      <c r="D20" s="233">
        <f>'Bảng ĐP - BV  '!AI17</f>
        <v>30</v>
      </c>
      <c r="E20" s="491">
        <f>(2000000/D20)*30</f>
        <v>2000000.0000000002</v>
      </c>
      <c r="F20" s="491"/>
      <c r="G20" s="491"/>
      <c r="H20" s="492">
        <f>E20</f>
        <v>2000000.0000000002</v>
      </c>
      <c r="I20" s="493">
        <f t="shared" ref="I20" si="6">IF(H20&gt;65000000,((H20-65000000)*25%+10685000),IF(H20&gt;25000000,((H20-25000000)*20%+2685000),IF(H20&gt;15000000,((H20-15000000)*15%+1185000),IF(H20&gt;5000000,(H20-5000000)*10%+185000,IF(H20&gt;1300000,(H20-1300000)*5%,0)))))</f>
        <v>35000.000000000015</v>
      </c>
      <c r="J20" s="489">
        <f>H20-I20</f>
        <v>1965000.0000000002</v>
      </c>
      <c r="K20" s="331"/>
      <c r="L20" s="329"/>
      <c r="M20" s="330"/>
    </row>
    <row r="21" spans="1:13" ht="20.25" customHeight="1">
      <c r="A21" s="1547" t="s">
        <v>148</v>
      </c>
      <c r="B21" s="1547"/>
      <c r="C21" s="1547"/>
      <c r="D21" s="780">
        <f>D12+D16+D19</f>
        <v>180</v>
      </c>
      <c r="E21" s="780">
        <f t="shared" ref="E21:J21" si="7">E12+E16+E19</f>
        <v>14000000</v>
      </c>
      <c r="F21" s="780">
        <f t="shared" si="7"/>
        <v>8168177.9012614693</v>
      </c>
      <c r="G21" s="780">
        <f t="shared" si="7"/>
        <v>1800000</v>
      </c>
      <c r="H21" s="780">
        <f t="shared" si="7"/>
        <v>23968177.901261467</v>
      </c>
      <c r="I21" s="780">
        <f t="shared" si="7"/>
        <v>886817.79012614687</v>
      </c>
      <c r="J21" s="780">
        <f t="shared" si="7"/>
        <v>23081360.111135323</v>
      </c>
      <c r="K21" s="331"/>
      <c r="L21" s="332"/>
      <c r="M21" s="333"/>
    </row>
    <row r="22" spans="1:13" ht="21.75" customHeight="1">
      <c r="A22" s="1546" t="s">
        <v>853</v>
      </c>
      <c r="B22" s="1546"/>
      <c r="C22" s="1546"/>
      <c r="D22" s="1546"/>
      <c r="E22" s="1546"/>
      <c r="F22" s="1546"/>
      <c r="G22" s="1546"/>
      <c r="H22" s="1546"/>
      <c r="I22" s="1546"/>
      <c r="J22" s="1546"/>
    </row>
    <row r="23" spans="1:13" ht="17.25">
      <c r="F23" s="1549" t="s">
        <v>817</v>
      </c>
      <c r="G23" s="1549"/>
      <c r="H23" s="1549"/>
      <c r="I23" s="1549"/>
      <c r="J23" s="1549"/>
      <c r="K23" s="781"/>
    </row>
    <row r="24" spans="1:13">
      <c r="A24" s="1538" t="s">
        <v>755</v>
      </c>
      <c r="B24" s="1538"/>
      <c r="C24" s="1538"/>
      <c r="D24" s="1538"/>
      <c r="E24" s="1538"/>
      <c r="F24" s="1538"/>
      <c r="G24" s="1538"/>
      <c r="H24" s="1538"/>
      <c r="I24" s="1538"/>
      <c r="J24" s="1538"/>
    </row>
    <row r="30" spans="1:13">
      <c r="B30" s="235"/>
      <c r="C30" s="1545"/>
      <c r="D30" s="1545"/>
      <c r="E30" s="1545"/>
      <c r="F30" s="1540"/>
      <c r="G30" s="1540"/>
      <c r="H30" s="1540"/>
      <c r="I30" s="1545"/>
      <c r="J30" s="1545"/>
    </row>
    <row r="31" spans="1:13">
      <c r="D31" s="120" t="s">
        <v>153</v>
      </c>
    </row>
  </sheetData>
  <mergeCells count="26">
    <mergeCell ref="C30:E30"/>
    <mergeCell ref="I10:I11"/>
    <mergeCell ref="J10:J11"/>
    <mergeCell ref="A22:J22"/>
    <mergeCell ref="C10:C11"/>
    <mergeCell ref="D10:D11"/>
    <mergeCell ref="E10:E11"/>
    <mergeCell ref="F10:F11"/>
    <mergeCell ref="H10:H11"/>
    <mergeCell ref="F23:J23"/>
    <mergeCell ref="F30:H30"/>
    <mergeCell ref="I30:J30"/>
    <mergeCell ref="A10:A11"/>
    <mergeCell ref="B10:B11"/>
    <mergeCell ref="B19:C19"/>
    <mergeCell ref="A21:C21"/>
    <mergeCell ref="A1:J1"/>
    <mergeCell ref="A5:E5"/>
    <mergeCell ref="A8:J8"/>
    <mergeCell ref="A24:J24"/>
    <mergeCell ref="A2:J2"/>
    <mergeCell ref="A3:J3"/>
    <mergeCell ref="A6:E6"/>
    <mergeCell ref="B12:C12"/>
    <mergeCell ref="G10:G11"/>
    <mergeCell ref="B16:C16"/>
  </mergeCells>
  <printOptions horizontalCentered="1"/>
  <pageMargins left="0.35433070866141736" right="0.15748031496062992" top="0.23622047244094491" bottom="0.19685039370078741" header="0.15748031496062992" footer="0.19685039370078741"/>
  <pageSetup paperSize="9" fitToHeight="0" orientation="landscape" r:id="rId1"/>
  <headerFooter>
    <oddFooter>&amp;R&amp;P</oddFooter>
  </headerFooter>
  <colBreaks count="1" manualBreakCount="1">
    <brk id="10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2D050"/>
  </sheetPr>
  <dimension ref="A1:R210"/>
  <sheetViews>
    <sheetView topLeftCell="A7" zoomScale="85" zoomScaleNormal="85" workbookViewId="0">
      <selection activeCell="K166" sqref="K166"/>
    </sheetView>
  </sheetViews>
  <sheetFormatPr defaultColWidth="9.140625" defaultRowHeight="15"/>
  <cols>
    <col min="1" max="1" width="3.85546875" style="2" customWidth="1"/>
    <col min="2" max="2" width="4.28515625" style="705" customWidth="1"/>
    <col min="3" max="3" width="9.85546875" style="84" hidden="1" customWidth="1"/>
    <col min="4" max="4" width="20.140625" style="2" customWidth="1"/>
    <col min="5" max="5" width="15.85546875" style="2" customWidth="1"/>
    <col min="6" max="6" width="13.140625" style="47" customWidth="1"/>
    <col min="7" max="7" width="17.140625" style="2" customWidth="1"/>
    <col min="8" max="8" width="13.5703125" style="2" customWidth="1"/>
    <col min="9" max="9" width="19.28515625" style="2" customWidth="1"/>
    <col min="10" max="10" width="20" style="2" customWidth="1"/>
    <col min="11" max="11" width="25.28515625" style="2" customWidth="1"/>
    <col min="12" max="12" width="9.140625" style="2" hidden="1" customWidth="1"/>
    <col min="13" max="13" width="0.140625" style="2" customWidth="1"/>
    <col min="14" max="14" width="19.7109375" style="12" customWidth="1"/>
    <col min="15" max="15" width="22.7109375" style="2" customWidth="1"/>
    <col min="16" max="16" width="16.5703125" style="2" bestFit="1" customWidth="1"/>
    <col min="17" max="16384" width="9.140625" style="2"/>
  </cols>
  <sheetData>
    <row r="1" spans="1:18" ht="22.5">
      <c r="B1" s="1577" t="s">
        <v>51</v>
      </c>
      <c r="C1" s="1577"/>
      <c r="D1" s="1577"/>
      <c r="E1" s="1577"/>
      <c r="F1" s="1577"/>
      <c r="G1" s="1577"/>
      <c r="H1" s="1577"/>
      <c r="I1" s="1577"/>
      <c r="J1" s="1577"/>
      <c r="K1" s="1577"/>
      <c r="L1" s="1577"/>
      <c r="M1" s="1577"/>
      <c r="N1" s="1577"/>
      <c r="O1" s="671"/>
      <c r="P1" s="671"/>
      <c r="Q1" s="671"/>
      <c r="R1" s="671"/>
    </row>
    <row r="2" spans="1:18" ht="22.5">
      <c r="B2" s="1577" t="s">
        <v>38</v>
      </c>
      <c r="C2" s="1577"/>
      <c r="D2" s="1577"/>
      <c r="E2" s="1577"/>
      <c r="F2" s="1577"/>
      <c r="G2" s="1577"/>
      <c r="H2" s="1577"/>
      <c r="I2" s="1577"/>
      <c r="J2" s="1577"/>
      <c r="K2" s="1577"/>
      <c r="L2" s="1577"/>
      <c r="M2" s="1577"/>
      <c r="N2" s="1577"/>
      <c r="O2" s="671"/>
      <c r="P2" s="671"/>
      <c r="Q2" s="671"/>
      <c r="R2" s="671"/>
    </row>
    <row r="3" spans="1:18" ht="22.5">
      <c r="B3" s="1579" t="s">
        <v>277</v>
      </c>
      <c r="C3" s="1579"/>
      <c r="D3" s="1579"/>
      <c r="E3" s="1579"/>
      <c r="F3" s="1579"/>
      <c r="G3" s="1579"/>
      <c r="H3" s="1579"/>
      <c r="I3" s="1579"/>
      <c r="J3" s="1579"/>
      <c r="K3" s="1579"/>
      <c r="L3" s="1579"/>
      <c r="M3" s="1579"/>
      <c r="N3" s="1579"/>
      <c r="O3" s="671"/>
      <c r="P3" s="671"/>
      <c r="Q3" s="671"/>
      <c r="R3" s="671"/>
    </row>
    <row r="5" spans="1:18" s="150" customFormat="1" ht="16.5">
      <c r="B5" s="1578" t="s">
        <v>550</v>
      </c>
      <c r="C5" s="1578"/>
      <c r="D5" s="1578"/>
      <c r="E5" s="1578"/>
      <c r="F5" s="1578"/>
      <c r="G5" s="1578"/>
      <c r="H5" s="1578"/>
      <c r="I5" s="1578"/>
      <c r="J5" s="119"/>
      <c r="K5" s="119"/>
      <c r="L5" s="119"/>
      <c r="M5" s="119"/>
      <c r="N5" s="119"/>
    </row>
    <row r="6" spans="1:18" s="150" customFormat="1" ht="16.5">
      <c r="B6" s="1456" t="s">
        <v>540</v>
      </c>
      <c r="C6" s="1456"/>
      <c r="D6" s="1456"/>
      <c r="E6" s="1456"/>
      <c r="F6" s="1456"/>
      <c r="G6" s="1456"/>
      <c r="H6" s="1456"/>
      <c r="I6" s="1456"/>
      <c r="J6" s="119"/>
      <c r="K6" s="119"/>
      <c r="L6" s="119"/>
      <c r="M6" s="119"/>
      <c r="N6" s="119"/>
    </row>
    <row r="7" spans="1:18" s="150" customFormat="1" ht="16.5">
      <c r="F7" s="157"/>
      <c r="N7" s="12"/>
    </row>
    <row r="8" spans="1:18" s="150" customFormat="1" ht="20.25">
      <c r="B8" s="1580" t="s">
        <v>856</v>
      </c>
      <c r="C8" s="1580"/>
      <c r="D8" s="1580"/>
      <c r="E8" s="1580"/>
      <c r="F8" s="1580"/>
      <c r="G8" s="1580"/>
      <c r="H8" s="1580"/>
      <c r="I8" s="1580"/>
      <c r="J8" s="1580"/>
      <c r="K8" s="1580"/>
      <c r="L8" s="1580"/>
      <c r="M8" s="1580"/>
      <c r="N8" s="1580"/>
    </row>
    <row r="9" spans="1:18" ht="18.75"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</row>
    <row r="10" spans="1:18">
      <c r="B10" s="28"/>
      <c r="C10" s="121"/>
      <c r="D10" s="12"/>
      <c r="E10" s="12"/>
      <c r="F10" s="122"/>
      <c r="G10" s="12"/>
      <c r="H10" s="12"/>
      <c r="I10" s="12"/>
      <c r="J10" s="12"/>
      <c r="K10" s="12"/>
      <c r="L10" s="12"/>
      <c r="M10" s="12"/>
    </row>
    <row r="11" spans="1:18" ht="29.25" customHeight="1">
      <c r="A11" s="1547" t="s">
        <v>4</v>
      </c>
      <c r="B11" s="1547"/>
      <c r="C11" s="1542" t="s">
        <v>89</v>
      </c>
      <c r="D11" s="1569" t="s">
        <v>5</v>
      </c>
      <c r="E11" s="1547" t="s">
        <v>717</v>
      </c>
      <c r="F11" s="1547" t="s">
        <v>352</v>
      </c>
      <c r="G11" s="1547"/>
      <c r="H11" s="1547"/>
      <c r="I11" s="1542" t="s">
        <v>364</v>
      </c>
      <c r="J11" s="1542" t="s">
        <v>9</v>
      </c>
      <c r="K11" s="1542" t="s">
        <v>346</v>
      </c>
      <c r="L11" s="1542" t="s">
        <v>10</v>
      </c>
      <c r="M11" s="1542" t="s">
        <v>11</v>
      </c>
      <c r="N11" s="1542" t="s">
        <v>62</v>
      </c>
    </row>
    <row r="12" spans="1:18" ht="36.75" customHeight="1">
      <c r="A12" s="1547"/>
      <c r="B12" s="1547"/>
      <c r="C12" s="1542"/>
      <c r="D12" s="1570"/>
      <c r="E12" s="1547"/>
      <c r="F12" s="672" t="s">
        <v>20</v>
      </c>
      <c r="G12" s="505" t="s">
        <v>21</v>
      </c>
      <c r="H12" s="505" t="s">
        <v>857</v>
      </c>
      <c r="I12" s="1547"/>
      <c r="J12" s="1542"/>
      <c r="K12" s="1542"/>
      <c r="L12" s="1547"/>
      <c r="M12" s="1547"/>
      <c r="N12" s="1547"/>
    </row>
    <row r="13" spans="1:18" ht="24.75" customHeight="1">
      <c r="A13" s="1571" t="s">
        <v>538</v>
      </c>
      <c r="B13" s="1572"/>
      <c r="C13" s="1572"/>
      <c r="D13" s="1573"/>
      <c r="E13" s="233">
        <f>'Trạm 1'!A100</f>
        <v>81</v>
      </c>
      <c r="F13" s="604">
        <f>SUM(F14:F98)</f>
        <v>0</v>
      </c>
      <c r="G13" s="604">
        <f t="shared" ref="G13:M13" si="0">SUM(G14:G98)</f>
        <v>507569247</v>
      </c>
      <c r="H13" s="604">
        <f t="shared" si="0"/>
        <v>94707554</v>
      </c>
      <c r="I13" s="604">
        <f t="shared" si="0"/>
        <v>602276801</v>
      </c>
      <c r="J13" s="604">
        <f t="shared" si="0"/>
        <v>0</v>
      </c>
      <c r="K13" s="604">
        <f t="shared" si="0"/>
        <v>602276801</v>
      </c>
      <c r="L13" s="673">
        <f t="shared" si="0"/>
        <v>0</v>
      </c>
      <c r="M13" s="673">
        <f t="shared" si="0"/>
        <v>602276801</v>
      </c>
      <c r="N13" s="447"/>
    </row>
    <row r="14" spans="1:18" s="125" customFormat="1" ht="21.6" hidden="1" customHeight="1">
      <c r="A14" s="870">
        <v>1</v>
      </c>
      <c r="B14" s="233">
        <v>1</v>
      </c>
      <c r="C14" s="674">
        <f>'Chấm công KT'!C13</f>
        <v>0</v>
      </c>
      <c r="D14" s="610" t="str">
        <f>'CNKT '!D16</f>
        <v xml:space="preserve">T. Lăm  </v>
      </c>
      <c r="E14" s="610" t="s">
        <v>26</v>
      </c>
      <c r="F14" s="604">
        <f>VLOOKUP(D14,'CNKT '!$D$16:$G$93,4,0)</f>
        <v>0</v>
      </c>
      <c r="G14" s="604">
        <f>VLOOKUP(D14,'CNKT '!$D$16:$M$93,10,0)</f>
        <v>7670640</v>
      </c>
      <c r="H14" s="604">
        <f>VLOOKUP(D14,'CNKT '!$D$16:$X$93,21,0)</f>
        <v>1200036</v>
      </c>
      <c r="I14" s="604">
        <f>SUM(F14:H14)</f>
        <v>8870676</v>
      </c>
      <c r="J14" s="604"/>
      <c r="K14" s="604">
        <f>VLOOKUP(D14,'CNKT '!$D$16:$AA$93,24,0)</f>
        <v>8870676</v>
      </c>
      <c r="L14" s="604"/>
      <c r="M14" s="606">
        <f>K14-L14</f>
        <v>8870676</v>
      </c>
      <c r="N14" s="277"/>
      <c r="O14" s="124"/>
    </row>
    <row r="15" spans="1:18" s="125" customFormat="1" ht="21.75" hidden="1" customHeight="1">
      <c r="A15" s="870">
        <v>2</v>
      </c>
      <c r="B15" s="233">
        <v>2</v>
      </c>
      <c r="C15" s="674" t="str">
        <f>'Chấm công KT'!C14</f>
        <v>04052</v>
      </c>
      <c r="D15" s="610" t="str">
        <f>'CNKT '!D17</f>
        <v>T. Feng</v>
      </c>
      <c r="E15" s="610" t="s">
        <v>26</v>
      </c>
      <c r="F15" s="604">
        <f>VLOOKUP(D15,'CNKT '!$D$16:$G$93,4,0)</f>
        <v>0</v>
      </c>
      <c r="G15" s="604">
        <f>VLOOKUP(D15,'CNKT '!$D$16:$M$93,10,0)</f>
        <v>6707660</v>
      </c>
      <c r="H15" s="604">
        <f>VLOOKUP(D15,'CNKT '!$D$16:$X$93,21,0)</f>
        <v>1200036</v>
      </c>
      <c r="I15" s="604">
        <f t="shared" ref="I15:I78" si="1">SUM(F15:H15)</f>
        <v>7907696</v>
      </c>
      <c r="J15" s="604"/>
      <c r="K15" s="604">
        <f>VLOOKUP(D15,'CNKT '!$D$16:$AA$93,24,0)</f>
        <v>7907696</v>
      </c>
      <c r="L15" s="604"/>
      <c r="M15" s="606">
        <f t="shared" ref="M15:M78" si="2">K15-L15</f>
        <v>7907696</v>
      </c>
      <c r="N15" s="277"/>
      <c r="O15" s="124"/>
    </row>
    <row r="16" spans="1:18" s="125" customFormat="1" ht="21.75" hidden="1" customHeight="1">
      <c r="A16" s="870">
        <v>3</v>
      </c>
      <c r="B16" s="233">
        <v>3</v>
      </c>
      <c r="C16" s="674" t="str">
        <f>'Chấm công KT'!C15</f>
        <v>02725</v>
      </c>
      <c r="D16" s="610" t="str">
        <f>'CNKT '!D18</f>
        <v>T. Sa Văn</v>
      </c>
      <c r="E16" s="610" t="s">
        <v>26</v>
      </c>
      <c r="F16" s="604">
        <f>VLOOKUP(D16,'CNKT '!$D$16:$G$93,4,0)</f>
        <v>0</v>
      </c>
      <c r="G16" s="604">
        <f>VLOOKUP(D16,'CNKT '!$D$16:$M$93,10,0)</f>
        <v>5935178</v>
      </c>
      <c r="H16" s="604">
        <f>VLOOKUP(D16,'CNKT '!$D$16:$X$93,21,0)</f>
        <v>1251618</v>
      </c>
      <c r="I16" s="604">
        <f t="shared" si="1"/>
        <v>7186796</v>
      </c>
      <c r="J16" s="604"/>
      <c r="K16" s="604">
        <f>VLOOKUP(D16,'CNKT '!$D$16:$AA$93,24,0)</f>
        <v>7186796</v>
      </c>
      <c r="L16" s="604"/>
      <c r="M16" s="606">
        <f t="shared" si="2"/>
        <v>7186796</v>
      </c>
      <c r="N16" s="277"/>
      <c r="O16" s="124"/>
    </row>
    <row r="17" spans="1:15" s="125" customFormat="1" ht="21.75" hidden="1" customHeight="1">
      <c r="A17" s="870">
        <v>4</v>
      </c>
      <c r="B17" s="233">
        <v>4</v>
      </c>
      <c r="C17" s="674" t="str">
        <f>'Chấm công KT'!C16</f>
        <v>04053</v>
      </c>
      <c r="D17" s="610" t="str">
        <f>'CNKT '!D19</f>
        <v>Lăm Ma Thu</v>
      </c>
      <c r="E17" s="610" t="s">
        <v>26</v>
      </c>
      <c r="F17" s="604">
        <f>VLOOKUP(D17,'CNKT '!$D$16:$G$93,4,0)</f>
        <v>0</v>
      </c>
      <c r="G17" s="604">
        <f>VLOOKUP(D17,'CNKT '!$D$16:$M$93,10,0)</f>
        <v>6335400</v>
      </c>
      <c r="H17" s="604">
        <f>VLOOKUP(D17,'CNKT '!$D$16:$X$93,21,0)</f>
        <v>1313462</v>
      </c>
      <c r="I17" s="604">
        <f t="shared" si="1"/>
        <v>7648862</v>
      </c>
      <c r="J17" s="604"/>
      <c r="K17" s="604">
        <f>VLOOKUP(D17,'CNKT '!$D$16:$AA$93,24,0)</f>
        <v>7648862</v>
      </c>
      <c r="L17" s="604"/>
      <c r="M17" s="606">
        <f t="shared" si="2"/>
        <v>7648862</v>
      </c>
      <c r="N17" s="277"/>
      <c r="O17" s="124"/>
    </row>
    <row r="18" spans="1:15" s="125" customFormat="1" ht="21.75" hidden="1" customHeight="1">
      <c r="A18" s="870">
        <v>5</v>
      </c>
      <c r="B18" s="233">
        <v>5</v>
      </c>
      <c r="C18" s="674" t="str">
        <f>'Chấm công KT'!C17</f>
        <v>03459</v>
      </c>
      <c r="D18" s="610" t="str">
        <f>'CNKT '!D20</f>
        <v>N. Vạt</v>
      </c>
      <c r="E18" s="610" t="s">
        <v>26</v>
      </c>
      <c r="F18" s="604">
        <f>VLOOKUP(D18,'CNKT '!$D$16:$G$93,4,0)</f>
        <v>0</v>
      </c>
      <c r="G18" s="604">
        <f>VLOOKUP(D18,'CNKT '!$D$16:$M$93,10,0)</f>
        <v>5641565</v>
      </c>
      <c r="H18" s="604">
        <f>VLOOKUP(D18,'CNKT '!$D$16:$X$93,21,0)</f>
        <v>1251618</v>
      </c>
      <c r="I18" s="604">
        <f t="shared" si="1"/>
        <v>6893183</v>
      </c>
      <c r="J18" s="604"/>
      <c r="K18" s="604">
        <f>VLOOKUP(D18,'CNKT '!$D$16:$AA$93,24,0)</f>
        <v>6893183</v>
      </c>
      <c r="L18" s="604"/>
      <c r="M18" s="606">
        <f t="shared" si="2"/>
        <v>6893183</v>
      </c>
      <c r="N18" s="277"/>
      <c r="O18" s="124"/>
    </row>
    <row r="19" spans="1:15" s="125" customFormat="1" ht="21.75" hidden="1" customHeight="1">
      <c r="A19" s="870">
        <v>6</v>
      </c>
      <c r="B19" s="233">
        <v>6</v>
      </c>
      <c r="C19" s="674" t="str">
        <f>'Chấm công KT'!C18</f>
        <v>04054</v>
      </c>
      <c r="D19" s="610" t="str">
        <f>'CNKT '!D21</f>
        <v>N. Kay Son</v>
      </c>
      <c r="E19" s="610" t="s">
        <v>26</v>
      </c>
      <c r="F19" s="604">
        <f>VLOOKUP(D19,'CNKT '!$D$16:$G$93,4,0)</f>
        <v>0</v>
      </c>
      <c r="G19" s="604">
        <f>VLOOKUP(D19,'CNKT '!$D$16:$M$93,10,0)</f>
        <v>7153322</v>
      </c>
      <c r="H19" s="604">
        <f>VLOOKUP(D19,'CNKT '!$D$16:$X$93,21,0)</f>
        <v>1282540</v>
      </c>
      <c r="I19" s="604">
        <f t="shared" si="1"/>
        <v>8435862</v>
      </c>
      <c r="J19" s="604"/>
      <c r="K19" s="604">
        <f>VLOOKUP(D19,'CNKT '!$D$16:$AA$93,24,0)</f>
        <v>8435862</v>
      </c>
      <c r="L19" s="604"/>
      <c r="M19" s="606">
        <f t="shared" si="2"/>
        <v>8435862</v>
      </c>
      <c r="N19" s="277"/>
      <c r="O19" s="124"/>
    </row>
    <row r="20" spans="1:15" s="125" customFormat="1" ht="21.75" hidden="1" customHeight="1">
      <c r="A20" s="870">
        <v>7</v>
      </c>
      <c r="B20" s="233">
        <v>7</v>
      </c>
      <c r="C20" s="674" t="str">
        <f>'Chấm công KT'!C19</f>
        <v>04055</v>
      </c>
      <c r="D20" s="610" t="str">
        <f>'CNKT '!D22</f>
        <v>T. Đèng 1</v>
      </c>
      <c r="E20" s="610" t="s">
        <v>26</v>
      </c>
      <c r="F20" s="604">
        <f>VLOOKUP(D20,'CNKT '!$D$16:$G$93,4,0)</f>
        <v>0</v>
      </c>
      <c r="G20" s="604">
        <f>VLOOKUP(D20,'CNKT '!$D$16:$M$93,10,0)</f>
        <v>6372102</v>
      </c>
      <c r="H20" s="604">
        <f>VLOOKUP(D20,'CNKT '!$D$16:$X$93,21,0)</f>
        <v>1313462</v>
      </c>
      <c r="I20" s="604">
        <f t="shared" si="1"/>
        <v>7685564</v>
      </c>
      <c r="J20" s="604"/>
      <c r="K20" s="604">
        <f>VLOOKUP(D20,'CNKT '!$D$16:$AA$93,24,0)</f>
        <v>7685564</v>
      </c>
      <c r="L20" s="604"/>
      <c r="M20" s="606">
        <f t="shared" si="2"/>
        <v>7685564</v>
      </c>
      <c r="N20" s="277"/>
      <c r="O20" s="124"/>
    </row>
    <row r="21" spans="1:15" s="125" customFormat="1" ht="21.75" hidden="1" customHeight="1">
      <c r="A21" s="870">
        <v>8</v>
      </c>
      <c r="B21" s="233">
        <v>8</v>
      </c>
      <c r="C21" s="674" t="str">
        <f>'Chấm công KT'!C20</f>
        <v>03462</v>
      </c>
      <c r="D21" s="610" t="str">
        <f>'CNKT '!D23</f>
        <v>T . Bua Ngân</v>
      </c>
      <c r="E21" s="610" t="s">
        <v>26</v>
      </c>
      <c r="F21" s="604">
        <f>VLOOKUP(D21,'CNKT '!$D$16:$G$93,4,0)</f>
        <v>0</v>
      </c>
      <c r="G21" s="604">
        <f>VLOOKUP(D21,'CNKT '!$D$16:$M$93,10,0)</f>
        <v>6421037</v>
      </c>
      <c r="H21" s="604">
        <f>VLOOKUP(D21,'CNKT '!$D$16:$X$93,21,0)</f>
        <v>1282540</v>
      </c>
      <c r="I21" s="604">
        <f t="shared" si="1"/>
        <v>7703577</v>
      </c>
      <c r="J21" s="604"/>
      <c r="K21" s="604">
        <f>VLOOKUP(D21,'CNKT '!$D$16:$AA$93,24,0)</f>
        <v>7703577</v>
      </c>
      <c r="L21" s="604"/>
      <c r="M21" s="606">
        <f t="shared" si="2"/>
        <v>7703577</v>
      </c>
      <c r="N21" s="277"/>
      <c r="O21" s="124"/>
    </row>
    <row r="22" spans="1:15" s="125" customFormat="1" ht="21.75" hidden="1" customHeight="1">
      <c r="A22" s="870">
        <v>9</v>
      </c>
      <c r="B22" s="233">
        <v>9</v>
      </c>
      <c r="C22" s="674" t="str">
        <f>'Chấm công KT'!C21</f>
        <v>03463</v>
      </c>
      <c r="D22" s="610" t="str">
        <f>'CNKT '!D24</f>
        <v>T Căng</v>
      </c>
      <c r="E22" s="610" t="s">
        <v>26</v>
      </c>
      <c r="F22" s="604">
        <f>VLOOKUP(D22,'CNKT '!$D$16:$G$93,4,0)</f>
        <v>0</v>
      </c>
      <c r="G22" s="604">
        <f>VLOOKUP(D22,'CNKT '!$D$16:$M$93,10,0)</f>
        <v>8004451</v>
      </c>
      <c r="H22" s="604">
        <f>VLOOKUP(D22,'CNKT '!$D$16:$X$93,21,0)</f>
        <v>1282540</v>
      </c>
      <c r="I22" s="604">
        <f t="shared" si="1"/>
        <v>9286991</v>
      </c>
      <c r="J22" s="604"/>
      <c r="K22" s="604">
        <f>VLOOKUP(D22,'CNKT '!$D$16:$AA$93,24,0)</f>
        <v>9286991</v>
      </c>
      <c r="L22" s="604"/>
      <c r="M22" s="606">
        <f t="shared" si="2"/>
        <v>9286991</v>
      </c>
      <c r="N22" s="277"/>
      <c r="O22" s="124"/>
    </row>
    <row r="23" spans="1:15" s="125" customFormat="1" ht="21.75" hidden="1" customHeight="1">
      <c r="A23" s="870">
        <v>10</v>
      </c>
      <c r="B23" s="233">
        <v>10</v>
      </c>
      <c r="C23" s="674" t="str">
        <f>'Chấm công KT'!C22</f>
        <v>03464</v>
      </c>
      <c r="D23" s="610" t="str">
        <f>'CNKT '!D25</f>
        <v>N. Phôn 1</v>
      </c>
      <c r="E23" s="610" t="s">
        <v>26</v>
      </c>
      <c r="F23" s="604">
        <f>VLOOKUP(D23,'CNKT '!$D$16:$G$93,4,0)</f>
        <v>0</v>
      </c>
      <c r="G23" s="604">
        <f>VLOOKUP(D23,'CNKT '!$D$16:$M$93,10,0)</f>
        <v>8105817</v>
      </c>
      <c r="H23" s="604">
        <f>VLOOKUP(D23,'CNKT '!$D$16:$X$93,21,0)</f>
        <v>1282540</v>
      </c>
      <c r="I23" s="604">
        <f t="shared" si="1"/>
        <v>9388357</v>
      </c>
      <c r="J23" s="604"/>
      <c r="K23" s="604">
        <f>VLOOKUP(D23,'CNKT '!$D$16:$AA$93,24,0)</f>
        <v>9388357</v>
      </c>
      <c r="L23" s="604"/>
      <c r="M23" s="606">
        <f t="shared" si="2"/>
        <v>9388357</v>
      </c>
      <c r="N23" s="277"/>
      <c r="O23" s="124"/>
    </row>
    <row r="24" spans="1:15" s="125" customFormat="1" ht="21.75" hidden="1" customHeight="1">
      <c r="A24" s="870">
        <v>11</v>
      </c>
      <c r="B24" s="233">
        <v>11</v>
      </c>
      <c r="C24" s="674" t="str">
        <f>'Chấm công KT'!C23</f>
        <v>03465</v>
      </c>
      <c r="D24" s="610" t="str">
        <f>'CNKT '!D26</f>
        <v>T. In Păn</v>
      </c>
      <c r="E24" s="610" t="s">
        <v>26</v>
      </c>
      <c r="F24" s="604">
        <f>VLOOKUP(D24,'CNKT '!$D$16:$G$93,4,0)</f>
        <v>0</v>
      </c>
      <c r="G24" s="604">
        <f>VLOOKUP(D24,'CNKT '!$D$16:$M$93,10,0)</f>
        <v>6282969</v>
      </c>
      <c r="H24" s="604">
        <f>VLOOKUP(D24,'CNKT '!$D$16:$X$93,21,0)</f>
        <v>1282540</v>
      </c>
      <c r="I24" s="604">
        <f t="shared" si="1"/>
        <v>7565509</v>
      </c>
      <c r="J24" s="604"/>
      <c r="K24" s="604">
        <f>VLOOKUP(D24,'CNKT '!$D$16:$AA$93,24,0)</f>
        <v>7565509</v>
      </c>
      <c r="L24" s="604"/>
      <c r="M24" s="606">
        <f t="shared" si="2"/>
        <v>7565509</v>
      </c>
      <c r="N24" s="277"/>
      <c r="O24" s="124"/>
    </row>
    <row r="25" spans="1:15" s="125" customFormat="1" ht="21.75" hidden="1" customHeight="1">
      <c r="A25" s="870">
        <v>12</v>
      </c>
      <c r="B25" s="233">
        <v>12</v>
      </c>
      <c r="C25" s="674" t="str">
        <f>'Chấm công KT'!C24</f>
        <v>03466</v>
      </c>
      <c r="D25" s="610" t="str">
        <f>'CNKT '!D27</f>
        <v>N. Keo</v>
      </c>
      <c r="E25" s="610" t="s">
        <v>26</v>
      </c>
      <c r="F25" s="604">
        <f>VLOOKUP(D25,'CNKT '!$D$16:$G$93,4,0)</f>
        <v>0</v>
      </c>
      <c r="G25" s="604">
        <f>VLOOKUP(D25,'CNKT '!$D$16:$M$93,10,0)</f>
        <v>7604228</v>
      </c>
      <c r="H25" s="604">
        <f>VLOOKUP(D25,'CNKT '!$D$16:$X$93,21,0)</f>
        <v>1313462</v>
      </c>
      <c r="I25" s="604">
        <f t="shared" si="1"/>
        <v>8917690</v>
      </c>
      <c r="J25" s="604"/>
      <c r="K25" s="604">
        <f>VLOOKUP(D25,'CNKT '!$D$16:$AA$93,24,0)</f>
        <v>8917690</v>
      </c>
      <c r="L25" s="604"/>
      <c r="M25" s="606">
        <f t="shared" si="2"/>
        <v>8917690</v>
      </c>
      <c r="N25" s="277"/>
      <c r="O25" s="124"/>
    </row>
    <row r="26" spans="1:15" s="125" customFormat="1" ht="21.75" hidden="1" customHeight="1">
      <c r="A26" s="870">
        <v>13</v>
      </c>
      <c r="B26" s="233">
        <v>13</v>
      </c>
      <c r="C26" s="674" t="str">
        <f>'Chấm công KT'!C25</f>
        <v>02727</v>
      </c>
      <c r="D26" s="610" t="str">
        <f>'CNKT '!D28</f>
        <v>T. Thong Đon</v>
      </c>
      <c r="E26" s="610" t="s">
        <v>26</v>
      </c>
      <c r="F26" s="604">
        <f>VLOOKUP(D26,'CNKT '!$D$16:$G$93,4,0)</f>
        <v>0</v>
      </c>
      <c r="G26" s="604">
        <f>VLOOKUP(D26,'CNKT '!$D$16:$M$93,10,0)</f>
        <v>7445188</v>
      </c>
      <c r="H26" s="604">
        <f>VLOOKUP(D26,'CNKT '!$D$16:$X$93,21,0)</f>
        <v>1282540</v>
      </c>
      <c r="I26" s="604">
        <f t="shared" si="1"/>
        <v>8727728</v>
      </c>
      <c r="J26" s="604"/>
      <c r="K26" s="604">
        <f>VLOOKUP(D26,'CNKT '!$D$16:$AA$93,24,0)</f>
        <v>8727728</v>
      </c>
      <c r="L26" s="604"/>
      <c r="M26" s="606">
        <f t="shared" si="2"/>
        <v>8727728</v>
      </c>
      <c r="N26" s="277"/>
      <c r="O26" s="124"/>
    </row>
    <row r="27" spans="1:15" s="125" customFormat="1" ht="21.75" hidden="1" customHeight="1">
      <c r="A27" s="870">
        <v>14</v>
      </c>
      <c r="B27" s="233">
        <v>14</v>
      </c>
      <c r="C27" s="674" t="str">
        <f>'Chấm công KT'!C26</f>
        <v>03467</v>
      </c>
      <c r="D27" s="610" t="str">
        <f>'CNKT '!D29</f>
        <v>T. Hin</v>
      </c>
      <c r="E27" s="610" t="s">
        <v>26</v>
      </c>
      <c r="F27" s="604">
        <f>VLOOKUP(D27,'CNKT '!$D$16:$G$93,4,0)</f>
        <v>0</v>
      </c>
      <c r="G27" s="604">
        <f>VLOOKUP(D27,'CNKT '!$D$16:$M$93,10,0)</f>
        <v>7224978</v>
      </c>
      <c r="H27" s="604">
        <f>VLOOKUP(D27,'CNKT '!$D$16:$X$93,21,0)</f>
        <v>1313462</v>
      </c>
      <c r="I27" s="604">
        <f t="shared" si="1"/>
        <v>8538440</v>
      </c>
      <c r="J27" s="604"/>
      <c r="K27" s="604">
        <f>VLOOKUP(D27,'CNKT '!$D$16:$AA$93,24,0)</f>
        <v>8538440</v>
      </c>
      <c r="L27" s="604"/>
      <c r="M27" s="606">
        <f t="shared" si="2"/>
        <v>8538440</v>
      </c>
      <c r="N27" s="277"/>
      <c r="O27" s="124"/>
    </row>
    <row r="28" spans="1:15" s="125" customFormat="1" ht="21.75" hidden="1" customHeight="1">
      <c r="A28" s="870">
        <v>15</v>
      </c>
      <c r="B28" s="233">
        <v>15</v>
      </c>
      <c r="C28" s="674" t="str">
        <f>'Chấm công KT'!C27</f>
        <v>04056</v>
      </c>
      <c r="D28" s="610" t="str">
        <f>'CNKT '!D30</f>
        <v>N. Ly Phon</v>
      </c>
      <c r="E28" s="610" t="s">
        <v>26</v>
      </c>
      <c r="F28" s="604">
        <f>VLOOKUP(D28,'CNKT '!$D$16:$G$93,4,0)</f>
        <v>0</v>
      </c>
      <c r="G28" s="604">
        <f>VLOOKUP(D28,'CNKT '!$D$16:$M$93,10,0)</f>
        <v>6651963</v>
      </c>
      <c r="H28" s="604">
        <f>VLOOKUP(D28,'CNKT '!$D$16:$X$93,21,0)</f>
        <v>1313462</v>
      </c>
      <c r="I28" s="604">
        <f t="shared" si="1"/>
        <v>7965425</v>
      </c>
      <c r="J28" s="604"/>
      <c r="K28" s="604">
        <f>VLOOKUP(D28,'CNKT '!$D$16:$AA$93,24,0)</f>
        <v>7965425</v>
      </c>
      <c r="L28" s="604"/>
      <c r="M28" s="606">
        <f t="shared" si="2"/>
        <v>7965425</v>
      </c>
      <c r="N28" s="277"/>
      <c r="O28" s="124"/>
    </row>
    <row r="29" spans="1:15" s="125" customFormat="1" ht="21.75" hidden="1" customHeight="1">
      <c r="A29" s="870">
        <v>16</v>
      </c>
      <c r="B29" s="233">
        <v>16</v>
      </c>
      <c r="C29" s="674" t="str">
        <f>'Chấm công KT'!C28</f>
        <v>03469</v>
      </c>
      <c r="D29" s="610" t="str">
        <f>'CNKT '!D31</f>
        <v>T. Xôm Va Nít</v>
      </c>
      <c r="E29" s="610" t="s">
        <v>26</v>
      </c>
      <c r="F29" s="604">
        <f>VLOOKUP(D29,'CNKT '!$D$16:$G$93,4,0)</f>
        <v>0</v>
      </c>
      <c r="G29" s="604">
        <f>VLOOKUP(D29,'CNKT '!$D$16:$M$93,10,0)</f>
        <v>7875121</v>
      </c>
      <c r="H29" s="604">
        <f>VLOOKUP(D29,'CNKT '!$D$16:$X$93,21,0)</f>
        <v>1282540</v>
      </c>
      <c r="I29" s="604">
        <f t="shared" si="1"/>
        <v>9157661</v>
      </c>
      <c r="J29" s="604"/>
      <c r="K29" s="604">
        <f>VLOOKUP(D29,'CNKT '!$D$16:$AA$93,24,0)</f>
        <v>9157661</v>
      </c>
      <c r="L29" s="604"/>
      <c r="M29" s="606">
        <f t="shared" si="2"/>
        <v>9157661</v>
      </c>
      <c r="N29" s="277"/>
      <c r="O29" s="124"/>
    </row>
    <row r="30" spans="1:15" s="125" customFormat="1" ht="21.75" hidden="1" customHeight="1">
      <c r="A30" s="870">
        <v>17</v>
      </c>
      <c r="B30" s="233">
        <v>17</v>
      </c>
      <c r="C30" s="674" t="str">
        <f>'Chấm công KT'!C29</f>
        <v>03470</v>
      </c>
      <c r="D30" s="610" t="str">
        <f>'CNKT '!D32</f>
        <v>T. Lọi</v>
      </c>
      <c r="E30" s="610" t="s">
        <v>26</v>
      </c>
      <c r="F30" s="604">
        <f>VLOOKUP(D30,'CNKT '!$D$16:$G$93,4,0)</f>
        <v>0</v>
      </c>
      <c r="G30" s="604">
        <f>VLOOKUP(D30,'CNKT '!$D$16:$M$93,10,0)</f>
        <v>6045283</v>
      </c>
      <c r="H30" s="604">
        <f>VLOOKUP(D30,'CNKT '!$D$16:$X$93,21,0)</f>
        <v>1282540</v>
      </c>
      <c r="I30" s="604">
        <f t="shared" si="1"/>
        <v>7327823</v>
      </c>
      <c r="J30" s="604"/>
      <c r="K30" s="604">
        <f>VLOOKUP(D30,'CNKT '!$D$16:$AA$93,24,0)</f>
        <v>7327823</v>
      </c>
      <c r="L30" s="604"/>
      <c r="M30" s="606">
        <f t="shared" si="2"/>
        <v>7327823</v>
      </c>
      <c r="N30" s="277"/>
      <c r="O30" s="124"/>
    </row>
    <row r="31" spans="1:15" s="125" customFormat="1" ht="21.75" hidden="1" customHeight="1">
      <c r="A31" s="870">
        <v>18</v>
      </c>
      <c r="B31" s="233">
        <v>18</v>
      </c>
      <c r="C31" s="674" t="str">
        <f>'Chấm công KT'!C30</f>
        <v>03471</v>
      </c>
      <c r="D31" s="610" t="str">
        <f>'CNKT '!D33</f>
        <v>T. Phô Thong</v>
      </c>
      <c r="E31" s="610" t="s">
        <v>26</v>
      </c>
      <c r="F31" s="604">
        <f>VLOOKUP(D31,'CNKT '!$D$16:$G$93,4,0)</f>
        <v>0</v>
      </c>
      <c r="G31" s="604">
        <f>VLOOKUP(D31,'CNKT '!$D$16:$M$93,10,0)</f>
        <v>8850336</v>
      </c>
      <c r="H31" s="604">
        <f>VLOOKUP(D31,'CNKT '!$D$16:$X$93,21,0)</f>
        <v>1313462</v>
      </c>
      <c r="I31" s="604">
        <f t="shared" si="1"/>
        <v>10163798</v>
      </c>
      <c r="J31" s="604"/>
      <c r="K31" s="604">
        <f>VLOOKUP(D31,'CNKT '!$D$16:$AA$93,24,0)</f>
        <v>10163798</v>
      </c>
      <c r="L31" s="604"/>
      <c r="M31" s="606">
        <f t="shared" si="2"/>
        <v>10163798</v>
      </c>
      <c r="N31" s="277"/>
      <c r="O31" s="124"/>
    </row>
    <row r="32" spans="1:15" s="125" customFormat="1" ht="21.75" hidden="1" customHeight="1">
      <c r="A32" s="870">
        <v>19</v>
      </c>
      <c r="B32" s="233">
        <v>19</v>
      </c>
      <c r="C32" s="674" t="str">
        <f>'Chấm công KT'!C31</f>
        <v>03472</v>
      </c>
      <c r="D32" s="610" t="str">
        <f>'CNKT '!D34</f>
        <v>N. Soi</v>
      </c>
      <c r="E32" s="610" t="s">
        <v>26</v>
      </c>
      <c r="F32" s="604">
        <f>VLOOKUP(D32,'CNKT '!$D$16:$G$93,4,0)</f>
        <v>0</v>
      </c>
      <c r="G32" s="604">
        <f>VLOOKUP(D32,'CNKT '!$D$16:$M$93,10,0)</f>
        <v>7100891</v>
      </c>
      <c r="H32" s="604">
        <f>VLOOKUP(D32,'CNKT '!$D$16:$X$93,21,0)</f>
        <v>1251618</v>
      </c>
      <c r="I32" s="604">
        <f t="shared" si="1"/>
        <v>8352509</v>
      </c>
      <c r="J32" s="604"/>
      <c r="K32" s="604">
        <f>VLOOKUP(D32,'CNKT '!$D$16:$AA$93,24,0)</f>
        <v>8352509</v>
      </c>
      <c r="L32" s="604"/>
      <c r="M32" s="606">
        <f t="shared" si="2"/>
        <v>8352509</v>
      </c>
      <c r="N32" s="277"/>
      <c r="O32" s="124"/>
    </row>
    <row r="33" spans="1:15" s="125" customFormat="1" ht="21.75" hidden="1" customHeight="1">
      <c r="A33" s="870">
        <v>20</v>
      </c>
      <c r="B33" s="233">
        <v>20</v>
      </c>
      <c r="C33" s="674" t="str">
        <f>'Chấm công KT'!C32</f>
        <v>03473</v>
      </c>
      <c r="D33" s="610" t="str">
        <f>'CNKT '!D35</f>
        <v>N. Me Kha La</v>
      </c>
      <c r="E33" s="610" t="s">
        <v>26</v>
      </c>
      <c r="F33" s="604">
        <f>VLOOKUP(D33,'CNKT '!$D$16:$G$93,4,0)</f>
        <v>0</v>
      </c>
      <c r="G33" s="604">
        <f>VLOOKUP(D33,'CNKT '!$D$16:$M$93,10,0)</f>
        <v>6307437</v>
      </c>
      <c r="H33" s="604">
        <f>VLOOKUP(D33,'CNKT '!$D$16:$X$93,21,0)</f>
        <v>1282540</v>
      </c>
      <c r="I33" s="604">
        <f t="shared" si="1"/>
        <v>7589977</v>
      </c>
      <c r="J33" s="604"/>
      <c r="K33" s="604">
        <f>VLOOKUP(D33,'CNKT '!$D$16:$AA$93,24,0)</f>
        <v>7589977</v>
      </c>
      <c r="L33" s="604"/>
      <c r="M33" s="606">
        <f t="shared" si="2"/>
        <v>7589977</v>
      </c>
      <c r="N33" s="277"/>
      <c r="O33" s="124"/>
    </row>
    <row r="34" spans="1:15" s="125" customFormat="1" ht="21.75" hidden="1" customHeight="1">
      <c r="A34" s="870">
        <v>21</v>
      </c>
      <c r="B34" s="233">
        <v>21</v>
      </c>
      <c r="C34" s="674" t="str">
        <f>'Chấm công KT'!C33</f>
        <v>03474</v>
      </c>
      <c r="D34" s="610" t="str">
        <f>'CNKT '!D36</f>
        <v>N. Mon Khăm</v>
      </c>
      <c r="E34" s="610" t="s">
        <v>26</v>
      </c>
      <c r="F34" s="604">
        <f>VLOOKUP(D34,'CNKT '!$D$16:$G$93,4,0)</f>
        <v>0</v>
      </c>
      <c r="G34" s="604">
        <f>VLOOKUP(D34,'CNKT '!$D$16:$M$93,10,0)</f>
        <v>6655229</v>
      </c>
      <c r="H34" s="604">
        <f>VLOOKUP(D34,'CNKT '!$D$16:$X$93,21,0)</f>
        <v>1251618</v>
      </c>
      <c r="I34" s="604">
        <f t="shared" si="1"/>
        <v>7906847</v>
      </c>
      <c r="J34" s="604"/>
      <c r="K34" s="604">
        <f>VLOOKUP(D34,'CNKT '!$D$16:$AA$93,24,0)</f>
        <v>7906847</v>
      </c>
      <c r="L34" s="604"/>
      <c r="M34" s="606">
        <f t="shared" si="2"/>
        <v>7906847</v>
      </c>
      <c r="N34" s="277"/>
      <c r="O34" s="124"/>
    </row>
    <row r="35" spans="1:15" s="125" customFormat="1" ht="21.75" hidden="1" customHeight="1">
      <c r="A35" s="870">
        <v>22</v>
      </c>
      <c r="B35" s="233">
        <v>22</v>
      </c>
      <c r="C35" s="674">
        <f>'Chấm công KT'!C34</f>
        <v>0</v>
      </c>
      <c r="D35" s="610" t="str">
        <f>'CNKT '!D37</f>
        <v>N.Choi</v>
      </c>
      <c r="E35" s="610" t="s">
        <v>26</v>
      </c>
      <c r="F35" s="604">
        <f>VLOOKUP(D35,'CNKT '!$D$16:$G$93,4,0)</f>
        <v>0</v>
      </c>
      <c r="G35" s="604">
        <f>VLOOKUP(D35,'CNKT '!$D$16:$M$93,10,0)</f>
        <v>6099461</v>
      </c>
      <c r="H35" s="604">
        <f>VLOOKUP(D35,'CNKT '!$D$16:$X$93,21,0)</f>
        <v>1313462</v>
      </c>
      <c r="I35" s="604">
        <f t="shared" si="1"/>
        <v>7412923</v>
      </c>
      <c r="J35" s="604"/>
      <c r="K35" s="604">
        <f>VLOOKUP(D35,'CNKT '!$D$16:$AA$93,24,0)</f>
        <v>7412923</v>
      </c>
      <c r="L35" s="604"/>
      <c r="M35" s="606">
        <f t="shared" si="2"/>
        <v>7412923</v>
      </c>
      <c r="N35" s="277"/>
      <c r="O35" s="124"/>
    </row>
    <row r="36" spans="1:15" s="125" customFormat="1" ht="21.75" hidden="1" customHeight="1">
      <c r="A36" s="870">
        <v>23</v>
      </c>
      <c r="B36" s="233">
        <v>23</v>
      </c>
      <c r="C36" s="674" t="str">
        <f>'Chấm công KT'!C35</f>
        <v>03476</v>
      </c>
      <c r="D36" s="610" t="str">
        <f>'CNKT '!D38</f>
        <v>T. Bin Ly.</v>
      </c>
      <c r="E36" s="610" t="s">
        <v>26</v>
      </c>
      <c r="F36" s="604">
        <f>VLOOKUP(D36,'CNKT '!$D$16:$G$93,4,0)</f>
        <v>0</v>
      </c>
      <c r="G36" s="604">
        <f>VLOOKUP(D36,'CNKT '!$D$16:$M$93,10,0)</f>
        <v>7457421</v>
      </c>
      <c r="H36" s="604">
        <f>VLOOKUP(D36,'CNKT '!$D$16:$X$93,21,0)</f>
        <v>1313462</v>
      </c>
      <c r="I36" s="604">
        <f t="shared" si="1"/>
        <v>8770883</v>
      </c>
      <c r="J36" s="604"/>
      <c r="K36" s="604">
        <f>VLOOKUP(D36,'CNKT '!$D$16:$AA$93,24,0)</f>
        <v>8770883</v>
      </c>
      <c r="L36" s="604"/>
      <c r="M36" s="606">
        <f t="shared" si="2"/>
        <v>8770883</v>
      </c>
      <c r="N36" s="277"/>
      <c r="O36" s="124"/>
    </row>
    <row r="37" spans="1:15" s="125" customFormat="1" ht="21.75" hidden="1" customHeight="1">
      <c r="A37" s="870">
        <v>24</v>
      </c>
      <c r="B37" s="233">
        <v>24</v>
      </c>
      <c r="C37" s="674">
        <f>'Chấm công KT'!C36</f>
        <v>0</v>
      </c>
      <c r="D37" s="610" t="str">
        <f>'CNKT '!D39</f>
        <v>N. Tinh</v>
      </c>
      <c r="E37" s="610" t="s">
        <v>26</v>
      </c>
      <c r="F37" s="604">
        <f>VLOOKUP(D37,'CNKT '!$D$16:$G$93,4,0)</f>
        <v>0</v>
      </c>
      <c r="G37" s="604">
        <f>VLOOKUP(D37,'CNKT '!$D$16:$M$93,10,0)</f>
        <v>6503179</v>
      </c>
      <c r="H37" s="604">
        <f>VLOOKUP(D37,'CNKT '!$D$16:$X$93,21,0)</f>
        <v>1313462</v>
      </c>
      <c r="I37" s="604">
        <f t="shared" si="1"/>
        <v>7816641</v>
      </c>
      <c r="J37" s="604"/>
      <c r="K37" s="604">
        <f>VLOOKUP(D37,'CNKT '!$D$16:$AA$93,24,0)</f>
        <v>7816641</v>
      </c>
      <c r="L37" s="604"/>
      <c r="M37" s="606">
        <f t="shared" si="2"/>
        <v>7816641</v>
      </c>
      <c r="N37" s="277"/>
      <c r="O37" s="124"/>
    </row>
    <row r="38" spans="1:15" s="125" customFormat="1" ht="21.75" hidden="1" customHeight="1">
      <c r="A38" s="870">
        <v>25</v>
      </c>
      <c r="B38" s="233">
        <v>25</v>
      </c>
      <c r="C38" s="674" t="str">
        <f>'Chấm công KT'!C37</f>
        <v>03478</v>
      </c>
      <c r="D38" s="610" t="str">
        <f>'CNKT '!D40</f>
        <v>N. Nong</v>
      </c>
      <c r="E38" s="610" t="s">
        <v>26</v>
      </c>
      <c r="F38" s="604">
        <f>VLOOKUP(D38,'CNKT '!$D$16:$G$93,4,0)</f>
        <v>0</v>
      </c>
      <c r="G38" s="604">
        <f>VLOOKUP(D38,'CNKT '!$D$16:$M$93,10,0)</f>
        <v>6676889</v>
      </c>
      <c r="H38" s="604">
        <f>VLOOKUP(D38,'CNKT '!$D$16:$X$93,21,0)</f>
        <v>1313462</v>
      </c>
      <c r="I38" s="604">
        <f t="shared" si="1"/>
        <v>7990351</v>
      </c>
      <c r="J38" s="604"/>
      <c r="K38" s="604">
        <f>VLOOKUP(D38,'CNKT '!$D$16:$AA$93,24,0)</f>
        <v>7990351</v>
      </c>
      <c r="L38" s="604"/>
      <c r="M38" s="606">
        <f t="shared" si="2"/>
        <v>7990351</v>
      </c>
      <c r="N38" s="277"/>
      <c r="O38" s="124"/>
    </row>
    <row r="39" spans="1:15" s="125" customFormat="1" ht="21.75" hidden="1" customHeight="1">
      <c r="A39" s="870">
        <v>26</v>
      </c>
      <c r="B39" s="233">
        <v>26</v>
      </c>
      <c r="C39" s="674" t="str">
        <f>'Chấm công KT'!C38</f>
        <v>03479</v>
      </c>
      <c r="D39" s="610" t="str">
        <f>'CNKT '!D41</f>
        <v>N. Tun 1</v>
      </c>
      <c r="E39" s="610" t="s">
        <v>26</v>
      </c>
      <c r="F39" s="604">
        <f>VLOOKUP(D39,'CNKT '!$D$16:$G$93,4,0)</f>
        <v>0</v>
      </c>
      <c r="G39" s="604">
        <f>VLOOKUP(D39,'CNKT '!$D$16:$M$93,10,0)</f>
        <v>7219735</v>
      </c>
      <c r="H39" s="604">
        <f>VLOOKUP(D39,'CNKT '!$D$16:$X$93,21,0)</f>
        <v>1313462</v>
      </c>
      <c r="I39" s="604">
        <f t="shared" si="1"/>
        <v>8533197</v>
      </c>
      <c r="J39" s="604"/>
      <c r="K39" s="604">
        <f>VLOOKUP(D39,'CNKT '!$D$16:$AA$93,24,0)</f>
        <v>8533197</v>
      </c>
      <c r="L39" s="604"/>
      <c r="M39" s="606">
        <f t="shared" si="2"/>
        <v>8533197</v>
      </c>
      <c r="N39" s="277"/>
      <c r="O39" s="124"/>
    </row>
    <row r="40" spans="1:15" s="125" customFormat="1" ht="21.75" hidden="1" customHeight="1">
      <c r="A40" s="870">
        <v>27</v>
      </c>
      <c r="B40" s="233">
        <v>27</v>
      </c>
      <c r="C40" s="674" t="str">
        <f>'Chấm công KT'!C39</f>
        <v>03480</v>
      </c>
      <c r="D40" s="610" t="str">
        <f>'CNKT '!D42</f>
        <v>T . Lốc</v>
      </c>
      <c r="E40" s="610" t="s">
        <v>26</v>
      </c>
      <c r="F40" s="604">
        <f>VLOOKUP(D40,'CNKT '!$D$16:$G$93,4,0)</f>
        <v>0</v>
      </c>
      <c r="G40" s="604">
        <f>VLOOKUP(D40,'CNKT '!$D$16:$M$93,10,0)</f>
        <v>7197015</v>
      </c>
      <c r="H40" s="604">
        <f>VLOOKUP(D40,'CNKT '!$D$16:$X$93,21,0)</f>
        <v>1313462</v>
      </c>
      <c r="I40" s="604">
        <f t="shared" si="1"/>
        <v>8510477</v>
      </c>
      <c r="J40" s="604"/>
      <c r="K40" s="604">
        <f>VLOOKUP(D40,'CNKT '!$D$16:$AA$93,24,0)</f>
        <v>8510477</v>
      </c>
      <c r="L40" s="604"/>
      <c r="M40" s="606">
        <f t="shared" si="2"/>
        <v>8510477</v>
      </c>
      <c r="N40" s="277"/>
      <c r="O40" s="124"/>
    </row>
    <row r="41" spans="1:15" s="125" customFormat="1" ht="21.75" hidden="1" customHeight="1">
      <c r="A41" s="870">
        <v>28</v>
      </c>
      <c r="B41" s="233">
        <v>28</v>
      </c>
      <c r="C41" s="674" t="str">
        <f>'Chấm công KT'!C40</f>
        <v>03481</v>
      </c>
      <c r="D41" s="610" t="str">
        <f>'CNKT '!D43</f>
        <v>N . Khâm (1)</v>
      </c>
      <c r="E41" s="610" t="s">
        <v>26</v>
      </c>
      <c r="F41" s="604">
        <f>VLOOKUP(D41,'CNKT '!$D$16:$G$93,4,0)</f>
        <v>0</v>
      </c>
      <c r="G41" s="604">
        <f>VLOOKUP(D41,'CNKT '!$D$16:$M$93,10,0)</f>
        <v>7654911</v>
      </c>
      <c r="H41" s="604">
        <f>VLOOKUP(D41,'CNKT '!$D$16:$X$93,21,0)</f>
        <v>1251618</v>
      </c>
      <c r="I41" s="604">
        <f t="shared" si="1"/>
        <v>8906529</v>
      </c>
      <c r="J41" s="604"/>
      <c r="K41" s="604">
        <f>VLOOKUP(D41,'CNKT '!$D$16:$AA$93,24,0)</f>
        <v>8906529</v>
      </c>
      <c r="L41" s="604"/>
      <c r="M41" s="606">
        <f t="shared" si="2"/>
        <v>8906529</v>
      </c>
      <c r="N41" s="277"/>
      <c r="O41" s="124"/>
    </row>
    <row r="42" spans="1:15" s="125" customFormat="1" ht="21.75" hidden="1" customHeight="1">
      <c r="A42" s="870">
        <v>29</v>
      </c>
      <c r="B42" s="233">
        <v>29</v>
      </c>
      <c r="C42" s="674" t="str">
        <f>'Chấm công KT'!C41</f>
        <v>03482</v>
      </c>
      <c r="D42" s="610" t="str">
        <f>'CNKT '!D44</f>
        <v>T . Phết</v>
      </c>
      <c r="E42" s="610" t="s">
        <v>26</v>
      </c>
      <c r="F42" s="604">
        <f>VLOOKUP(D42,'CNKT '!$D$16:$G$93,4,0)</f>
        <v>0</v>
      </c>
      <c r="G42" s="604">
        <f>VLOOKUP(D42,'CNKT '!$D$16:$M$93,10,0)</f>
        <v>7494123</v>
      </c>
      <c r="H42" s="604">
        <f>VLOOKUP(D42,'CNKT '!$D$16:$X$93,21,0)</f>
        <v>1251618</v>
      </c>
      <c r="I42" s="604">
        <f t="shared" si="1"/>
        <v>8745741</v>
      </c>
      <c r="J42" s="604"/>
      <c r="K42" s="604">
        <f>VLOOKUP(D42,'CNKT '!$D$16:$AA$93,24,0)</f>
        <v>8745741</v>
      </c>
      <c r="L42" s="604"/>
      <c r="M42" s="606">
        <f t="shared" si="2"/>
        <v>8745741</v>
      </c>
      <c r="N42" s="277"/>
      <c r="O42" s="124"/>
    </row>
    <row r="43" spans="1:15" s="125" customFormat="1" ht="21.75" hidden="1" customHeight="1">
      <c r="A43" s="870">
        <v>30</v>
      </c>
      <c r="B43" s="233">
        <v>30</v>
      </c>
      <c r="C43" s="674" t="str">
        <f>'Chấm công KT'!C42</f>
        <v>03483</v>
      </c>
      <c r="D43" s="610" t="str">
        <f>'CNKT '!D45</f>
        <v>T. Viêng Sa Văn</v>
      </c>
      <c r="E43" s="610" t="s">
        <v>26</v>
      </c>
      <c r="F43" s="604">
        <f>VLOOKUP(D43,'CNKT '!$D$16:$G$93,4,0)</f>
        <v>0</v>
      </c>
      <c r="G43" s="604">
        <f>VLOOKUP(D43,'CNKT '!$D$16:$M$93,10,0)</f>
        <v>7773755</v>
      </c>
      <c r="H43" s="604">
        <f>VLOOKUP(D43,'CNKT '!$D$16:$X$93,21,0)</f>
        <v>1282540</v>
      </c>
      <c r="I43" s="604">
        <f t="shared" si="1"/>
        <v>9056295</v>
      </c>
      <c r="J43" s="604"/>
      <c r="K43" s="604">
        <f>VLOOKUP(D43,'CNKT '!$D$16:$AA$93,24,0)</f>
        <v>9056295</v>
      </c>
      <c r="L43" s="604"/>
      <c r="M43" s="606">
        <f t="shared" si="2"/>
        <v>9056295</v>
      </c>
      <c r="N43" s="277"/>
      <c r="O43" s="124"/>
    </row>
    <row r="44" spans="1:15" s="125" customFormat="1" ht="21.75" hidden="1" customHeight="1">
      <c r="A44" s="870">
        <v>31</v>
      </c>
      <c r="B44" s="233">
        <v>31</v>
      </c>
      <c r="C44" s="674" t="str">
        <f>'Chấm công KT'!C43</f>
        <v>03484</v>
      </c>
      <c r="D44" s="610" t="str">
        <f>'CNKT '!D46</f>
        <v>T. Ca Te</v>
      </c>
      <c r="E44" s="610" t="s">
        <v>26</v>
      </c>
      <c r="F44" s="604">
        <f>VLOOKUP(D44,'CNKT '!$D$16:$G$93,4,0)</f>
        <v>0</v>
      </c>
      <c r="G44" s="604">
        <f>VLOOKUP(D44,'CNKT '!$D$16:$M$93,10,0)</f>
        <v>7403243</v>
      </c>
      <c r="H44" s="604">
        <f>VLOOKUP(D44,'CNKT '!$D$16:$X$93,21,0)</f>
        <v>1313462</v>
      </c>
      <c r="I44" s="604">
        <f t="shared" si="1"/>
        <v>8716705</v>
      </c>
      <c r="J44" s="604"/>
      <c r="K44" s="604">
        <f>VLOOKUP(D44,'CNKT '!$D$16:$AA$93,24,0)</f>
        <v>8716705</v>
      </c>
      <c r="L44" s="604"/>
      <c r="M44" s="606">
        <f t="shared" si="2"/>
        <v>8716705</v>
      </c>
      <c r="N44" s="277"/>
      <c r="O44" s="124"/>
    </row>
    <row r="45" spans="1:15" s="125" customFormat="1" ht="21.75" hidden="1" customHeight="1">
      <c r="A45" s="870">
        <v>32</v>
      </c>
      <c r="B45" s="233">
        <v>32</v>
      </c>
      <c r="C45" s="674" t="str">
        <f>'Chấm công KT'!C44</f>
        <v>03485</v>
      </c>
      <c r="D45" s="610" t="str">
        <f>'CNKT '!D47</f>
        <v>T. Lâm Phon</v>
      </c>
      <c r="E45" s="610" t="s">
        <v>26</v>
      </c>
      <c r="F45" s="604">
        <f>VLOOKUP(D45,'CNKT '!$D$16:$G$93,4,0)</f>
        <v>0</v>
      </c>
      <c r="G45" s="604">
        <f>VLOOKUP(D45,'CNKT '!$D$16:$M$93,10,0)</f>
        <v>7992217</v>
      </c>
      <c r="H45" s="604">
        <f>VLOOKUP(D45,'CNKT '!$D$16:$X$93,21,0)</f>
        <v>1313462</v>
      </c>
      <c r="I45" s="604">
        <f t="shared" si="1"/>
        <v>9305679</v>
      </c>
      <c r="J45" s="604"/>
      <c r="K45" s="604">
        <f>VLOOKUP(D45,'CNKT '!$D$16:$AA$93,24,0)</f>
        <v>9305679</v>
      </c>
      <c r="L45" s="604"/>
      <c r="M45" s="606">
        <f t="shared" si="2"/>
        <v>9305679</v>
      </c>
      <c r="N45" s="277"/>
      <c r="O45" s="124"/>
    </row>
    <row r="46" spans="1:15" s="125" customFormat="1" ht="21.75" hidden="1" customHeight="1">
      <c r="A46" s="870">
        <v>33</v>
      </c>
      <c r="B46" s="233">
        <v>33</v>
      </c>
      <c r="C46" s="674" t="str">
        <f>'Chấm công KT'!C45</f>
        <v>02712</v>
      </c>
      <c r="D46" s="610" t="str">
        <f>'CNKT '!D48</f>
        <v>T. Sô Đa</v>
      </c>
      <c r="E46" s="610" t="s">
        <v>26</v>
      </c>
      <c r="F46" s="604">
        <f>VLOOKUP(D46,'CNKT '!$D$16:$G$93,4,0)</f>
        <v>0</v>
      </c>
      <c r="G46" s="604">
        <f>VLOOKUP(D46,'CNKT '!$D$16:$M$93,10,0)</f>
        <v>6940103</v>
      </c>
      <c r="H46" s="604">
        <f>VLOOKUP(D46,'CNKT '!$D$16:$X$93,21,0)</f>
        <v>1313462</v>
      </c>
      <c r="I46" s="604">
        <f t="shared" si="1"/>
        <v>8253565</v>
      </c>
      <c r="J46" s="604"/>
      <c r="K46" s="604">
        <f>VLOOKUP(D46,'CNKT '!$D$16:$AA$93,24,0)</f>
        <v>8253565</v>
      </c>
      <c r="L46" s="604"/>
      <c r="M46" s="606">
        <f t="shared" si="2"/>
        <v>8253565</v>
      </c>
      <c r="N46" s="277"/>
      <c r="O46" s="124"/>
    </row>
    <row r="47" spans="1:15" s="125" customFormat="1" ht="21.75" hidden="1" customHeight="1">
      <c r="A47" s="870">
        <v>34</v>
      </c>
      <c r="B47" s="233">
        <v>34</v>
      </c>
      <c r="C47" s="674">
        <f>'Chấm công KT'!C46</f>
        <v>0</v>
      </c>
      <c r="D47" s="610" t="str">
        <f>'CNKT '!D49</f>
        <v>N. Pheng Mi</v>
      </c>
      <c r="E47" s="610" t="s">
        <v>26</v>
      </c>
      <c r="F47" s="604">
        <f>VLOOKUP(D47,'CNKT '!$D$16:$G$93,4,0)</f>
        <v>0</v>
      </c>
      <c r="G47" s="604">
        <f>VLOOKUP(D47,'CNKT '!$D$16:$M$93,10,0)</f>
        <v>8395935</v>
      </c>
      <c r="H47" s="604">
        <f>VLOOKUP(D47,'CNKT '!$D$16:$X$93,21,0)</f>
        <v>1313462</v>
      </c>
      <c r="I47" s="604">
        <f t="shared" si="1"/>
        <v>9709397</v>
      </c>
      <c r="J47" s="604"/>
      <c r="K47" s="604">
        <f>VLOOKUP(D47,'CNKT '!$D$16:$AA$93,24,0)</f>
        <v>9709397</v>
      </c>
      <c r="L47" s="604"/>
      <c r="M47" s="606">
        <f t="shared" si="2"/>
        <v>9709397</v>
      </c>
      <c r="N47" s="277"/>
      <c r="O47" s="124"/>
    </row>
    <row r="48" spans="1:15" s="125" customFormat="1" ht="21.75" hidden="1" customHeight="1">
      <c r="A48" s="870">
        <v>35</v>
      </c>
      <c r="B48" s="233">
        <v>35</v>
      </c>
      <c r="C48" s="674" t="str">
        <f>'Chấm công KT'!C47</f>
        <v>02714</v>
      </c>
      <c r="D48" s="610" t="str">
        <f>'CNKT '!D50</f>
        <v>N. Tủn</v>
      </c>
      <c r="E48" s="610" t="s">
        <v>26</v>
      </c>
      <c r="F48" s="604">
        <f>VLOOKUP(D48,'CNKT '!$D$16:$G$93,4,0)</f>
        <v>0</v>
      </c>
      <c r="G48" s="604">
        <f>VLOOKUP(D48,'CNKT '!$D$16:$M$93,10,0)</f>
        <v>6555610</v>
      </c>
      <c r="H48" s="604">
        <f>VLOOKUP(D48,'CNKT '!$D$16:$X$93,21,0)</f>
        <v>1282540</v>
      </c>
      <c r="I48" s="604">
        <f t="shared" si="1"/>
        <v>7838150</v>
      </c>
      <c r="J48" s="604"/>
      <c r="K48" s="604">
        <f>VLOOKUP(D48,'CNKT '!$D$16:$AA$93,24,0)</f>
        <v>7838150</v>
      </c>
      <c r="L48" s="604"/>
      <c r="M48" s="606">
        <f t="shared" si="2"/>
        <v>7838150</v>
      </c>
      <c r="N48" s="277"/>
      <c r="O48" s="124"/>
    </row>
    <row r="49" spans="1:15" s="125" customFormat="1" ht="21.75" hidden="1" customHeight="1">
      <c r="A49" s="870">
        <v>36</v>
      </c>
      <c r="B49" s="233">
        <v>36</v>
      </c>
      <c r="C49" s="674" t="str">
        <f>'Chấm công KT'!C48</f>
        <v>02713</v>
      </c>
      <c r="D49" s="610" t="str">
        <f>'CNKT '!D51</f>
        <v>T. Lung</v>
      </c>
      <c r="E49" s="610" t="s">
        <v>26</v>
      </c>
      <c r="F49" s="604">
        <f>VLOOKUP(D49,'CNKT '!$D$16:$G$93,4,0)</f>
        <v>0</v>
      </c>
      <c r="G49" s="604">
        <f>VLOOKUP(D49,'CNKT '!$D$16:$M$93,10,0)</f>
        <v>6686687</v>
      </c>
      <c r="H49" s="604">
        <f>VLOOKUP(D49,'CNKT '!$D$16:$X$93,21,0)</f>
        <v>1282540</v>
      </c>
      <c r="I49" s="604">
        <f t="shared" si="1"/>
        <v>7969227</v>
      </c>
      <c r="J49" s="604"/>
      <c r="K49" s="604">
        <f>VLOOKUP(D49,'CNKT '!$D$16:$AA$93,24,0)</f>
        <v>7969227</v>
      </c>
      <c r="L49" s="604"/>
      <c r="M49" s="606">
        <f t="shared" si="2"/>
        <v>7969227</v>
      </c>
      <c r="N49" s="277"/>
      <c r="O49" s="124"/>
    </row>
    <row r="50" spans="1:15" s="125" customFormat="1" ht="21.75" hidden="1" customHeight="1">
      <c r="A50" s="870">
        <v>37</v>
      </c>
      <c r="B50" s="233">
        <v>37</v>
      </c>
      <c r="C50" s="674" t="str">
        <f>'Chấm công KT'!C49</f>
        <v>04058</v>
      </c>
      <c r="D50" s="610" t="str">
        <f>'CNKT '!D52</f>
        <v>T. Bi Ly (2)</v>
      </c>
      <c r="E50" s="610" t="s">
        <v>26</v>
      </c>
      <c r="F50" s="604">
        <f>VLOOKUP(D50,'CNKT '!$D$16:$G$93,4,0)</f>
        <v>0</v>
      </c>
      <c r="G50" s="604">
        <f>VLOOKUP(D50,'CNKT '!$D$16:$M$93,10,0)</f>
        <v>7230221</v>
      </c>
      <c r="H50" s="604">
        <f>VLOOKUP(D50,'CNKT '!$D$16:$X$93,21,0)</f>
        <v>1313462</v>
      </c>
      <c r="I50" s="604">
        <f t="shared" si="1"/>
        <v>8543683</v>
      </c>
      <c r="J50" s="604"/>
      <c r="K50" s="604">
        <f>VLOOKUP(D50,'CNKT '!$D$16:$AA$93,24,0)</f>
        <v>8543683</v>
      </c>
      <c r="L50" s="604"/>
      <c r="M50" s="606">
        <f t="shared" si="2"/>
        <v>8543683</v>
      </c>
      <c r="N50" s="277"/>
      <c r="O50" s="124"/>
    </row>
    <row r="51" spans="1:15" s="125" customFormat="1" ht="21.75" hidden="1" customHeight="1">
      <c r="A51" s="870">
        <v>38</v>
      </c>
      <c r="B51" s="233">
        <v>38</v>
      </c>
      <c r="C51" s="674" t="str">
        <f>'Chấm công KT'!C50</f>
        <v>03487</v>
      </c>
      <c r="D51" s="610" t="str">
        <f>'CNKT '!D53</f>
        <v>N. Ba Say</v>
      </c>
      <c r="E51" s="610" t="s">
        <v>26</v>
      </c>
      <c r="F51" s="604">
        <f>VLOOKUP(D51,'CNKT '!$D$16:$G$93,4,0)</f>
        <v>0</v>
      </c>
      <c r="G51" s="604">
        <f>VLOOKUP(D51,'CNKT '!$D$16:$M$93,10,0)</f>
        <v>5127742</v>
      </c>
      <c r="H51" s="604">
        <f>VLOOKUP(D51,'CNKT '!$D$16:$X$93,21,0)</f>
        <v>1251618</v>
      </c>
      <c r="I51" s="604">
        <f t="shared" si="1"/>
        <v>6379360</v>
      </c>
      <c r="J51" s="604"/>
      <c r="K51" s="604">
        <f>VLOOKUP(D51,'CNKT '!$D$16:$AA$93,24,0)</f>
        <v>6379360</v>
      </c>
      <c r="L51" s="604"/>
      <c r="M51" s="606">
        <f t="shared" si="2"/>
        <v>6379360</v>
      </c>
      <c r="N51" s="277"/>
      <c r="O51" s="124"/>
    </row>
    <row r="52" spans="1:15" s="125" customFormat="1" ht="21.75" hidden="1" customHeight="1">
      <c r="A52" s="870">
        <v>39</v>
      </c>
      <c r="B52" s="233">
        <v>39</v>
      </c>
      <c r="C52" s="674" t="str">
        <f>'Chấm công KT'!C51</f>
        <v>03488</v>
      </c>
      <c r="D52" s="610" t="str">
        <f>'CNKT '!D54</f>
        <v>N. Đeng</v>
      </c>
      <c r="E52" s="610" t="s">
        <v>26</v>
      </c>
      <c r="F52" s="604">
        <f>VLOOKUP(D52,'CNKT '!$D$16:$G$93,4,0)</f>
        <v>0</v>
      </c>
      <c r="G52" s="604">
        <f>VLOOKUP(D52,'CNKT '!$D$16:$M$93,10,0)</f>
        <v>7039722</v>
      </c>
      <c r="H52" s="604">
        <f>VLOOKUP(D52,'CNKT '!$D$16:$X$93,21,0)</f>
        <v>1282540</v>
      </c>
      <c r="I52" s="604">
        <f t="shared" si="1"/>
        <v>8322262</v>
      </c>
      <c r="J52" s="604"/>
      <c r="K52" s="604">
        <f>VLOOKUP(D52,'CNKT '!$D$16:$AA$93,24,0)</f>
        <v>8322262</v>
      </c>
      <c r="L52" s="604"/>
      <c r="M52" s="606">
        <f t="shared" si="2"/>
        <v>8322262</v>
      </c>
      <c r="N52" s="277"/>
      <c r="O52" s="124"/>
    </row>
    <row r="53" spans="1:15" s="125" customFormat="1" ht="21.75" hidden="1" customHeight="1">
      <c r="A53" s="870">
        <v>40</v>
      </c>
      <c r="B53" s="233">
        <v>40</v>
      </c>
      <c r="C53" s="674" t="str">
        <f>'Chấm công KT'!C52</f>
        <v>03489</v>
      </c>
      <c r="D53" s="610" t="str">
        <f>'CNKT '!D55</f>
        <v>T. Tinh</v>
      </c>
      <c r="E53" s="610" t="s">
        <v>26</v>
      </c>
      <c r="F53" s="604">
        <f>VLOOKUP(D53,'CNKT '!$D$16:$G$93,4,0)</f>
        <v>0</v>
      </c>
      <c r="G53" s="604">
        <f>VLOOKUP(D53,'CNKT '!$D$16:$M$93,10,0)</f>
        <v>4707722</v>
      </c>
      <c r="H53" s="604">
        <f>VLOOKUP(D53,'CNKT '!$D$16:$X$93,21,0)</f>
        <v>1251618</v>
      </c>
      <c r="I53" s="604">
        <f t="shared" si="1"/>
        <v>5959340</v>
      </c>
      <c r="J53" s="604"/>
      <c r="K53" s="604">
        <f>VLOOKUP(D53,'CNKT '!$D$16:$AA$93,24,0)</f>
        <v>5959340</v>
      </c>
      <c r="L53" s="604"/>
      <c r="M53" s="606">
        <f t="shared" si="2"/>
        <v>5959340</v>
      </c>
      <c r="N53" s="277"/>
      <c r="O53" s="124"/>
    </row>
    <row r="54" spans="1:15" s="125" customFormat="1" ht="21.75" hidden="1" customHeight="1">
      <c r="A54" s="870">
        <v>41</v>
      </c>
      <c r="B54" s="233">
        <v>41</v>
      </c>
      <c r="C54" s="674" t="str">
        <f>'Chấm công KT'!C53</f>
        <v>04059</v>
      </c>
      <c r="D54" s="610" t="str">
        <f>'CNKT '!D56</f>
        <v>T. Khăm Pỏi</v>
      </c>
      <c r="E54" s="610" t="s">
        <v>26</v>
      </c>
      <c r="F54" s="604">
        <f>VLOOKUP(D54,'CNKT '!$D$16:$G$93,4,0)</f>
        <v>0</v>
      </c>
      <c r="G54" s="604">
        <f>VLOOKUP(D54,'CNKT '!$D$16:$M$93,10,0)</f>
        <v>6629013</v>
      </c>
      <c r="H54" s="604">
        <f>VLOOKUP(D54,'CNKT '!$D$16:$X$93,21,0)</f>
        <v>1313462</v>
      </c>
      <c r="I54" s="604">
        <f t="shared" si="1"/>
        <v>7942475</v>
      </c>
      <c r="J54" s="604"/>
      <c r="K54" s="604">
        <f>VLOOKUP(D54,'CNKT '!$D$16:$AA$93,24,0)</f>
        <v>7942475</v>
      </c>
      <c r="L54" s="604"/>
      <c r="M54" s="606">
        <f t="shared" si="2"/>
        <v>7942475</v>
      </c>
      <c r="N54" s="277"/>
      <c r="O54" s="124"/>
    </row>
    <row r="55" spans="1:15" s="125" customFormat="1" ht="21.75" hidden="1" customHeight="1">
      <c r="A55" s="870">
        <v>42</v>
      </c>
      <c r="B55" s="233">
        <v>42</v>
      </c>
      <c r="C55" s="674" t="str">
        <f>'Chấm công KT'!C54</f>
        <v>03491</v>
      </c>
      <c r="D55" s="610" t="str">
        <f>'CNKT '!D57</f>
        <v>Lăm Ngân</v>
      </c>
      <c r="E55" s="610" t="s">
        <v>26</v>
      </c>
      <c r="F55" s="604">
        <f>VLOOKUP(D55,'CNKT '!$D$16:$G$93,4,0)</f>
        <v>0</v>
      </c>
      <c r="G55" s="604">
        <f>VLOOKUP(D55,'CNKT '!$D$16:$M$93,10,0)</f>
        <v>7165556</v>
      </c>
      <c r="H55" s="604">
        <f>VLOOKUP(D55,'CNKT '!$D$16:$X$93,21,0)</f>
        <v>1282540</v>
      </c>
      <c r="I55" s="604">
        <f t="shared" si="1"/>
        <v>8448096</v>
      </c>
      <c r="J55" s="604"/>
      <c r="K55" s="604">
        <f>VLOOKUP(D55,'CNKT '!$D$16:$AA$93,24,0)</f>
        <v>8448096</v>
      </c>
      <c r="L55" s="604"/>
      <c r="M55" s="606">
        <f t="shared" si="2"/>
        <v>8448096</v>
      </c>
      <c r="N55" s="277"/>
      <c r="O55" s="124"/>
    </row>
    <row r="56" spans="1:15" s="125" customFormat="1" ht="21.75" hidden="1" customHeight="1">
      <c r="A56" s="870">
        <v>43</v>
      </c>
      <c r="B56" s="233">
        <v>43</v>
      </c>
      <c r="C56" s="674" t="str">
        <f>'Chấm công KT'!C55</f>
        <v>04060</v>
      </c>
      <c r="D56" s="610" t="str">
        <f>'CNKT '!D58</f>
        <v>T. Không</v>
      </c>
      <c r="E56" s="610" t="s">
        <v>26</v>
      </c>
      <c r="F56" s="604">
        <f>VLOOKUP(D56,'CNKT '!$D$16:$G$93,4,0)</f>
        <v>0</v>
      </c>
      <c r="G56" s="604">
        <f>VLOOKUP(D56,'CNKT '!$D$16:$M$93,10,0)</f>
        <v>7466160</v>
      </c>
      <c r="H56" s="604">
        <f>VLOOKUP(D56,'CNKT '!$D$16:$X$93,21,0)</f>
        <v>1313462</v>
      </c>
      <c r="I56" s="604">
        <f t="shared" si="1"/>
        <v>8779622</v>
      </c>
      <c r="J56" s="604"/>
      <c r="K56" s="604">
        <f>VLOOKUP(D56,'CNKT '!$D$16:$AA$93,24,0)</f>
        <v>8779622</v>
      </c>
      <c r="L56" s="604"/>
      <c r="M56" s="606">
        <f t="shared" si="2"/>
        <v>8779622</v>
      </c>
      <c r="N56" s="277"/>
      <c r="O56" s="124"/>
    </row>
    <row r="57" spans="1:15" s="125" customFormat="1" ht="21.75" hidden="1" customHeight="1">
      <c r="A57" s="870">
        <v>44</v>
      </c>
      <c r="B57" s="233">
        <v>44</v>
      </c>
      <c r="C57" s="674" t="str">
        <f>'Chấm công KT'!C56</f>
        <v>03492</v>
      </c>
      <c r="D57" s="610" t="str">
        <f>'CNKT '!D59</f>
        <v>T. Lem</v>
      </c>
      <c r="E57" s="610" t="s">
        <v>26</v>
      </c>
      <c r="F57" s="604">
        <f>VLOOKUP(D57,'CNKT '!$D$16:$G$93,4,0)</f>
        <v>0</v>
      </c>
      <c r="G57" s="604">
        <f>VLOOKUP(D57,'CNKT '!$D$16:$M$93,10,0)</f>
        <v>7759773</v>
      </c>
      <c r="H57" s="604">
        <f>VLOOKUP(D57,'CNKT '!$D$16:$X$93,21,0)</f>
        <v>1313462</v>
      </c>
      <c r="I57" s="604">
        <f t="shared" si="1"/>
        <v>9073235</v>
      </c>
      <c r="J57" s="604"/>
      <c r="K57" s="604">
        <f>VLOOKUP(D57,'CNKT '!$D$16:$AA$93,24,0)</f>
        <v>9073235</v>
      </c>
      <c r="L57" s="604"/>
      <c r="M57" s="606">
        <f t="shared" si="2"/>
        <v>9073235</v>
      </c>
      <c r="N57" s="277"/>
      <c r="O57" s="124"/>
    </row>
    <row r="58" spans="1:15" s="125" customFormat="1" ht="21.75" hidden="1" customHeight="1">
      <c r="A58" s="870">
        <v>45</v>
      </c>
      <c r="B58" s="233">
        <v>45</v>
      </c>
      <c r="C58" s="674" t="str">
        <f>'Chấm công KT'!C57</f>
        <v>03493</v>
      </c>
      <c r="D58" s="610" t="str">
        <f>'CNKT '!D60</f>
        <v>T. Pông</v>
      </c>
      <c r="E58" s="610" t="s">
        <v>26</v>
      </c>
      <c r="F58" s="604">
        <f>VLOOKUP(D58,'CNKT '!$D$16:$G$93,4,0)</f>
        <v>0</v>
      </c>
      <c r="G58" s="604">
        <f>VLOOKUP(D58,'CNKT '!$D$16:$M$93,10,0)</f>
        <v>8245633</v>
      </c>
      <c r="H58" s="604">
        <f>VLOOKUP(D58,'CNKT '!$D$16:$X$93,21,0)</f>
        <v>1313462</v>
      </c>
      <c r="I58" s="604">
        <f t="shared" si="1"/>
        <v>9559095</v>
      </c>
      <c r="J58" s="604"/>
      <c r="K58" s="604">
        <f>VLOOKUP(D58,'CNKT '!$D$16:$AA$93,24,0)</f>
        <v>9559095</v>
      </c>
      <c r="L58" s="604"/>
      <c r="M58" s="606">
        <f t="shared" si="2"/>
        <v>9559095</v>
      </c>
      <c r="N58" s="277"/>
      <c r="O58" s="124"/>
    </row>
    <row r="59" spans="1:15" s="125" customFormat="1" ht="21.75" hidden="1" customHeight="1">
      <c r="A59" s="870">
        <v>46</v>
      </c>
      <c r="B59" s="233">
        <v>46</v>
      </c>
      <c r="C59" s="674" t="str">
        <f>'Chấm công KT'!C58</f>
        <v>03496</v>
      </c>
      <c r="D59" s="610" t="str">
        <f>'CNKT '!D61</f>
        <v>T. Lốp</v>
      </c>
      <c r="E59" s="610" t="s">
        <v>26</v>
      </c>
      <c r="F59" s="604">
        <f>VLOOKUP(D59,'CNKT '!$D$16:$G$93,4,0)</f>
        <v>0</v>
      </c>
      <c r="G59" s="604">
        <f>VLOOKUP(D59,'CNKT '!$D$16:$M$93,10,0)</f>
        <v>9138706</v>
      </c>
      <c r="H59" s="604">
        <f>VLOOKUP(D59,'CNKT '!$D$16:$X$93,21,0)</f>
        <v>1313462</v>
      </c>
      <c r="I59" s="604">
        <f t="shared" si="1"/>
        <v>10452168</v>
      </c>
      <c r="J59" s="604"/>
      <c r="K59" s="604">
        <f>VLOOKUP(D59,'CNKT '!$D$16:$AA$93,24,0)</f>
        <v>10452168</v>
      </c>
      <c r="L59" s="604"/>
      <c r="M59" s="606">
        <f t="shared" si="2"/>
        <v>10452168</v>
      </c>
      <c r="N59" s="277"/>
      <c r="O59" s="124"/>
    </row>
    <row r="60" spans="1:15" s="125" customFormat="1" ht="21.75" hidden="1" customHeight="1">
      <c r="A60" s="870">
        <v>47</v>
      </c>
      <c r="B60" s="233">
        <v>47</v>
      </c>
      <c r="C60" s="674" t="str">
        <f>'Chấm công KT'!C59</f>
        <v>04061</v>
      </c>
      <c r="D60" s="610" t="str">
        <f>'CNKT '!D62</f>
        <v>N. Nu Ni</v>
      </c>
      <c r="E60" s="610" t="s">
        <v>26</v>
      </c>
      <c r="F60" s="604">
        <f>VLOOKUP(D60,'CNKT '!$D$16:$G$93,4,0)</f>
        <v>0</v>
      </c>
      <c r="G60" s="604">
        <f>VLOOKUP(D60,'CNKT '!$D$16:$M$93,10,0)</f>
        <v>8595172</v>
      </c>
      <c r="H60" s="604">
        <f>VLOOKUP(D60,'CNKT '!$D$16:$X$93,21,0)</f>
        <v>1313462</v>
      </c>
      <c r="I60" s="604">
        <f t="shared" si="1"/>
        <v>9908634</v>
      </c>
      <c r="J60" s="604"/>
      <c r="K60" s="604">
        <f>VLOOKUP(D60,'CNKT '!$D$16:$AA$93,24,0)</f>
        <v>9908634</v>
      </c>
      <c r="L60" s="604"/>
      <c r="M60" s="606">
        <f t="shared" si="2"/>
        <v>9908634</v>
      </c>
      <c r="N60" s="277"/>
      <c r="O60" s="124"/>
    </row>
    <row r="61" spans="1:15" s="125" customFormat="1" ht="21.75" hidden="1" customHeight="1">
      <c r="A61" s="870">
        <v>48</v>
      </c>
      <c r="B61" s="233">
        <v>48</v>
      </c>
      <c r="C61" s="674" t="str">
        <f>'Chấm công KT'!C60</f>
        <v>03494</v>
      </c>
      <c r="D61" s="610" t="str">
        <f>'CNKT '!D63</f>
        <v>T. Đi</v>
      </c>
      <c r="E61" s="610" t="s">
        <v>26</v>
      </c>
      <c r="F61" s="604">
        <f>VLOOKUP(D61,'CNKT '!$D$16:$G$93,4,0)</f>
        <v>0</v>
      </c>
      <c r="G61" s="604">
        <f>VLOOKUP(D61,'CNKT '!$D$16:$M$93,10,0)</f>
        <v>6583573</v>
      </c>
      <c r="H61" s="604">
        <f>VLOOKUP(D61,'CNKT '!$D$16:$X$93,21,0)</f>
        <v>1313462</v>
      </c>
      <c r="I61" s="604">
        <f t="shared" si="1"/>
        <v>7897035</v>
      </c>
      <c r="J61" s="604"/>
      <c r="K61" s="604">
        <f>VLOOKUP(D61,'CNKT '!$D$16:$AA$93,24,0)</f>
        <v>7897035</v>
      </c>
      <c r="L61" s="604"/>
      <c r="M61" s="606">
        <f t="shared" si="2"/>
        <v>7897035</v>
      </c>
      <c r="N61" s="277"/>
      <c r="O61" s="124"/>
    </row>
    <row r="62" spans="1:15" s="125" customFormat="1" ht="21.75" hidden="1" customHeight="1">
      <c r="A62" s="870">
        <v>49</v>
      </c>
      <c r="B62" s="233">
        <v>49</v>
      </c>
      <c r="C62" s="674" t="str">
        <f>'Chấm công KT'!C61</f>
        <v>03495</v>
      </c>
      <c r="D62" s="610" t="str">
        <f>'CNKT '!D64</f>
        <v>N. On Xi</v>
      </c>
      <c r="E62" s="610" t="s">
        <v>26</v>
      </c>
      <c r="F62" s="604">
        <f>VLOOKUP(D62,'CNKT '!$D$16:$G$93,4,0)</f>
        <v>0</v>
      </c>
      <c r="G62" s="604">
        <f>VLOOKUP(D62,'CNKT '!$D$16:$M$93,10,0)</f>
        <v>7125359</v>
      </c>
      <c r="H62" s="604">
        <f>VLOOKUP(D62,'CNKT '!$D$16:$X$93,21,0)</f>
        <v>1230958</v>
      </c>
      <c r="I62" s="604">
        <f t="shared" si="1"/>
        <v>8356317</v>
      </c>
      <c r="J62" s="604"/>
      <c r="K62" s="604">
        <f>VLOOKUP(D62,'CNKT '!$D$16:$AA$93,24,0)</f>
        <v>8356317</v>
      </c>
      <c r="L62" s="604"/>
      <c r="M62" s="606">
        <f t="shared" si="2"/>
        <v>8356317</v>
      </c>
      <c r="N62" s="277"/>
      <c r="O62" s="124"/>
    </row>
    <row r="63" spans="1:15" s="125" customFormat="1" ht="21.75" hidden="1" customHeight="1">
      <c r="A63" s="870">
        <v>50</v>
      </c>
      <c r="B63" s="233">
        <v>50</v>
      </c>
      <c r="C63" s="674" t="str">
        <f>'Chấm công KT'!C62</f>
        <v>04062</v>
      </c>
      <c r="D63" s="610" t="str">
        <f>'CNKT '!D65</f>
        <v>N. Thông La</v>
      </c>
      <c r="E63" s="610" t="s">
        <v>26</v>
      </c>
      <c r="F63" s="604">
        <f>VLOOKUP(D63,'CNKT '!$D$16:$G$93,4,0)</f>
        <v>0</v>
      </c>
      <c r="G63" s="604">
        <f>VLOOKUP(D63,'CNKT '!$D$16:$M$93,10,0)</f>
        <v>8647603</v>
      </c>
      <c r="H63" s="604">
        <f>VLOOKUP(D63,'CNKT '!$D$16:$X$93,21,0)</f>
        <v>1313462</v>
      </c>
      <c r="I63" s="604">
        <f t="shared" si="1"/>
        <v>9961065</v>
      </c>
      <c r="J63" s="604"/>
      <c r="K63" s="604">
        <f>VLOOKUP(D63,'CNKT '!$D$16:$AA$93,24,0)</f>
        <v>9961065</v>
      </c>
      <c r="L63" s="604"/>
      <c r="M63" s="606">
        <f t="shared" si="2"/>
        <v>9961065</v>
      </c>
      <c r="N63" s="277"/>
      <c r="O63" s="124"/>
    </row>
    <row r="64" spans="1:15" s="125" customFormat="1" ht="21.75" hidden="1" customHeight="1">
      <c r="A64" s="870">
        <v>51</v>
      </c>
      <c r="B64" s="233">
        <v>51</v>
      </c>
      <c r="C64" s="674" t="str">
        <f>'Chấm công KT'!C63</f>
        <v>03497</v>
      </c>
      <c r="D64" s="610" t="str">
        <f>'CNKT '!D66</f>
        <v>T. Son Xay</v>
      </c>
      <c r="E64" s="610" t="s">
        <v>26</v>
      </c>
      <c r="F64" s="604">
        <f>VLOOKUP(D64,'CNKT '!$D$16:$G$93,4,0)</f>
        <v>0</v>
      </c>
      <c r="G64" s="604">
        <f>VLOOKUP(D64,'CNKT '!$D$16:$M$93,10,0)</f>
        <v>8292820</v>
      </c>
      <c r="H64" s="604">
        <f>VLOOKUP(D64,'CNKT '!$D$16:$X$93,21,0)</f>
        <v>1251618</v>
      </c>
      <c r="I64" s="604">
        <f t="shared" si="1"/>
        <v>9544438</v>
      </c>
      <c r="J64" s="604"/>
      <c r="K64" s="604">
        <f>VLOOKUP(D64,'CNKT '!$D$16:$AA$93,24,0)</f>
        <v>9544438</v>
      </c>
      <c r="L64" s="604"/>
      <c r="M64" s="606">
        <f t="shared" si="2"/>
        <v>9544438</v>
      </c>
      <c r="N64" s="277"/>
      <c r="O64" s="124"/>
    </row>
    <row r="65" spans="1:15" s="125" customFormat="1" ht="21.75" hidden="1" customHeight="1">
      <c r="A65" s="870">
        <v>52</v>
      </c>
      <c r="B65" s="233">
        <v>52</v>
      </c>
      <c r="C65" s="674" t="str">
        <f>'Chấm công KT'!C64</f>
        <v>03498</v>
      </c>
      <c r="D65" s="610" t="str">
        <f>'CNKT '!D67</f>
        <v>N. Lăm Phay</v>
      </c>
      <c r="E65" s="610" t="s">
        <v>26</v>
      </c>
      <c r="F65" s="604">
        <f>VLOOKUP(D65,'CNKT '!$D$16:$G$93,4,0)</f>
        <v>0</v>
      </c>
      <c r="G65" s="604">
        <f>VLOOKUP(D65,'CNKT '!$D$16:$M$93,10,0)</f>
        <v>8081349</v>
      </c>
      <c r="H65" s="604">
        <f>VLOOKUP(D65,'CNKT '!$D$16:$X$93,21,0)</f>
        <v>1282540</v>
      </c>
      <c r="I65" s="604">
        <f t="shared" si="1"/>
        <v>9363889</v>
      </c>
      <c r="J65" s="604"/>
      <c r="K65" s="604">
        <f>VLOOKUP(D65,'CNKT '!$D$16:$AA$93,24,0)</f>
        <v>9363889</v>
      </c>
      <c r="L65" s="604"/>
      <c r="M65" s="606">
        <f t="shared" si="2"/>
        <v>9363889</v>
      </c>
      <c r="N65" s="277"/>
      <c r="O65" s="124"/>
    </row>
    <row r="66" spans="1:15" s="125" customFormat="1" ht="21.75" hidden="1" customHeight="1">
      <c r="A66" s="870">
        <v>53</v>
      </c>
      <c r="B66" s="233">
        <v>53</v>
      </c>
      <c r="C66" s="674" t="str">
        <f>'Chấm công KT'!C65</f>
        <v>02706</v>
      </c>
      <c r="D66" s="610" t="str">
        <f>'CNKT '!D68</f>
        <v>T. Nhung</v>
      </c>
      <c r="E66" s="610" t="s">
        <v>26</v>
      </c>
      <c r="F66" s="604">
        <f>VLOOKUP(D66,'CNKT '!$D$16:$G$93,4,0)</f>
        <v>0</v>
      </c>
      <c r="G66" s="604">
        <f>VLOOKUP(D66,'CNKT '!$D$16:$M$93,10,0)</f>
        <v>7654911</v>
      </c>
      <c r="H66" s="604">
        <f>VLOOKUP(D66,'CNKT '!$D$16:$X$93,21,0)</f>
        <v>1313462</v>
      </c>
      <c r="I66" s="604">
        <f t="shared" si="1"/>
        <v>8968373</v>
      </c>
      <c r="J66" s="604"/>
      <c r="K66" s="604">
        <f>VLOOKUP(D66,'CNKT '!$D$16:$AA$93,24,0)</f>
        <v>8968373</v>
      </c>
      <c r="L66" s="604"/>
      <c r="M66" s="606">
        <f t="shared" si="2"/>
        <v>8968373</v>
      </c>
      <c r="N66" s="277"/>
      <c r="O66" s="124"/>
    </row>
    <row r="67" spans="1:15" s="125" customFormat="1" ht="21.75" hidden="1" customHeight="1">
      <c r="A67" s="870">
        <v>54</v>
      </c>
      <c r="B67" s="233">
        <v>54</v>
      </c>
      <c r="C67" s="674">
        <f>'Chấm công KT'!C66</f>
        <v>0</v>
      </c>
      <c r="D67" s="610" t="str">
        <f>'CNKT '!D69</f>
        <v>N. In Ton</v>
      </c>
      <c r="E67" s="610" t="s">
        <v>26</v>
      </c>
      <c r="F67" s="604">
        <f>VLOOKUP(D67,'CNKT '!$D$16:$G$93,4,0)</f>
        <v>0</v>
      </c>
      <c r="G67" s="604">
        <f>VLOOKUP(D67,'CNKT '!$D$16:$M$93,10,0)</f>
        <v>6691930</v>
      </c>
      <c r="H67" s="604">
        <f>VLOOKUP(D67,'CNKT '!$D$16:$X$93,21,0)</f>
        <v>1313462</v>
      </c>
      <c r="I67" s="604">
        <f t="shared" si="1"/>
        <v>8005392</v>
      </c>
      <c r="J67" s="604"/>
      <c r="K67" s="604">
        <f>VLOOKUP(D67,'CNKT '!$D$16:$AA$93,24,0)</f>
        <v>8005392</v>
      </c>
      <c r="L67" s="604"/>
      <c r="M67" s="606">
        <f t="shared" si="2"/>
        <v>8005392</v>
      </c>
      <c r="N67" s="277"/>
      <c r="O67" s="124"/>
    </row>
    <row r="68" spans="1:15" s="125" customFormat="1" ht="21.75" hidden="1" customHeight="1">
      <c r="A68" s="870">
        <v>55</v>
      </c>
      <c r="B68" s="233">
        <v>55</v>
      </c>
      <c r="C68" s="674" t="str">
        <f>'Chấm công KT'!C67</f>
        <v>04064</v>
      </c>
      <c r="D68" s="610" t="str">
        <f>'CNKT '!D70</f>
        <v>N. Khay Chăn</v>
      </c>
      <c r="E68" s="610" t="s">
        <v>26</v>
      </c>
      <c r="F68" s="604">
        <f>VLOOKUP(D68,'CNKT '!$D$16:$G$93,4,0)</f>
        <v>0</v>
      </c>
      <c r="G68" s="604">
        <f>VLOOKUP(D68,'CNKT '!$D$16:$M$93,10,0)</f>
        <v>8568957</v>
      </c>
      <c r="H68" s="604">
        <f>VLOOKUP(D68,'CNKT '!$D$16:$X$93,21,0)</f>
        <v>1313462</v>
      </c>
      <c r="I68" s="604">
        <f t="shared" si="1"/>
        <v>9882419</v>
      </c>
      <c r="J68" s="604"/>
      <c r="K68" s="604">
        <f>VLOOKUP(D68,'CNKT '!$D$16:$AA$93,24,0)</f>
        <v>9882419</v>
      </c>
      <c r="L68" s="604"/>
      <c r="M68" s="606">
        <f t="shared" si="2"/>
        <v>9882419</v>
      </c>
      <c r="N68" s="277"/>
      <c r="O68" s="124"/>
    </row>
    <row r="69" spans="1:15" s="125" customFormat="1" ht="21.75" hidden="1" customHeight="1">
      <c r="A69" s="870">
        <v>56</v>
      </c>
      <c r="B69" s="233">
        <v>56</v>
      </c>
      <c r="C69" s="674" t="str">
        <f>'Chấm công KT'!C68</f>
        <v>03501</v>
      </c>
      <c r="D69" s="610" t="str">
        <f>'CNKT '!D71</f>
        <v>T Dăn</v>
      </c>
      <c r="E69" s="610" t="s">
        <v>26</v>
      </c>
      <c r="F69" s="604">
        <f>VLOOKUP(D69,'CNKT '!$D$16:$G$93,4,0)</f>
        <v>0</v>
      </c>
      <c r="G69" s="604">
        <f>VLOOKUP(D69,'CNKT '!$D$16:$M$93,10,0)</f>
        <v>6115190</v>
      </c>
      <c r="H69" s="604">
        <f>VLOOKUP(D69,'CNKT '!$D$16:$X$93,21,0)</f>
        <v>1282540</v>
      </c>
      <c r="I69" s="604">
        <f t="shared" si="1"/>
        <v>7397730</v>
      </c>
      <c r="J69" s="604"/>
      <c r="K69" s="604">
        <f>VLOOKUP(D69,'CNKT '!$D$16:$AA$93,24,0)</f>
        <v>7397730</v>
      </c>
      <c r="L69" s="604"/>
      <c r="M69" s="606">
        <f t="shared" si="2"/>
        <v>7397730</v>
      </c>
      <c r="N69" s="277"/>
      <c r="O69" s="124"/>
    </row>
    <row r="70" spans="1:15" s="125" customFormat="1" ht="21.75" hidden="1" customHeight="1">
      <c r="A70" s="870">
        <v>57</v>
      </c>
      <c r="B70" s="233">
        <v>57</v>
      </c>
      <c r="C70" s="674" t="str">
        <f>'Chấm công KT'!C69</f>
        <v>03502</v>
      </c>
      <c r="D70" s="610" t="str">
        <f>'CNKT '!D72</f>
        <v>T. Xợt</v>
      </c>
      <c r="E70" s="610" t="s">
        <v>26</v>
      </c>
      <c r="F70" s="604">
        <f>VLOOKUP(D70,'CNKT '!$D$16:$G$93,4,0)</f>
        <v>0</v>
      </c>
      <c r="G70" s="604">
        <f>VLOOKUP(D70,'CNKT '!$D$16:$M$93,10,0)</f>
        <v>6698921</v>
      </c>
      <c r="H70" s="604">
        <f>VLOOKUP(D70,'CNKT '!$D$16:$X$93,21,0)</f>
        <v>1313462</v>
      </c>
      <c r="I70" s="604">
        <f t="shared" si="1"/>
        <v>8012383</v>
      </c>
      <c r="J70" s="604"/>
      <c r="K70" s="604">
        <f>VLOOKUP(D70,'CNKT '!$D$16:$AA$93,24,0)</f>
        <v>8012383</v>
      </c>
      <c r="L70" s="604"/>
      <c r="M70" s="606">
        <f t="shared" si="2"/>
        <v>8012383</v>
      </c>
      <c r="N70" s="277"/>
      <c r="O70" s="124"/>
    </row>
    <row r="71" spans="1:15" s="125" customFormat="1" ht="21.75" hidden="1" customHeight="1">
      <c r="A71" s="870">
        <v>58</v>
      </c>
      <c r="B71" s="233">
        <v>58</v>
      </c>
      <c r="C71" s="674" t="str">
        <f>'Chấm công KT'!C70</f>
        <v>04065</v>
      </c>
      <c r="D71" s="610" t="str">
        <f>'CNKT '!D73</f>
        <v>N. Phết 2</v>
      </c>
      <c r="E71" s="610" t="s">
        <v>26</v>
      </c>
      <c r="F71" s="604">
        <f>VLOOKUP(D71,'CNKT '!$D$16:$G$93,4,0)</f>
        <v>0</v>
      </c>
      <c r="G71" s="604">
        <f>VLOOKUP(D71,'CNKT '!$D$16:$M$93,10,0)</f>
        <v>7200510</v>
      </c>
      <c r="H71" s="604">
        <f>VLOOKUP(D71,'CNKT '!$D$16:$X$93,21,0)</f>
        <v>1313462</v>
      </c>
      <c r="I71" s="604">
        <f t="shared" si="1"/>
        <v>8513972</v>
      </c>
      <c r="J71" s="604"/>
      <c r="K71" s="604">
        <f>VLOOKUP(D71,'CNKT '!$D$16:$AA$93,24,0)</f>
        <v>8513972</v>
      </c>
      <c r="L71" s="604"/>
      <c r="M71" s="606">
        <f t="shared" si="2"/>
        <v>8513972</v>
      </c>
      <c r="N71" s="277"/>
      <c r="O71" s="124"/>
    </row>
    <row r="72" spans="1:15" s="125" customFormat="1" ht="21.75" hidden="1" customHeight="1">
      <c r="A72" s="870">
        <v>59</v>
      </c>
      <c r="B72" s="233">
        <v>59</v>
      </c>
      <c r="C72" s="674" t="str">
        <f>'Chấm công KT'!C71</f>
        <v>03504</v>
      </c>
      <c r="D72" s="610" t="str">
        <f>'CNKT '!D74</f>
        <v>T. Cạp</v>
      </c>
      <c r="E72" s="610" t="s">
        <v>26</v>
      </c>
      <c r="F72" s="604">
        <f>VLOOKUP(D72,'CNKT '!$D$16:$G$93,4,0)</f>
        <v>0</v>
      </c>
      <c r="G72" s="604">
        <f>VLOOKUP(D72,'CNKT '!$D$16:$M$93,10,0)</f>
        <v>5781380</v>
      </c>
      <c r="H72" s="604">
        <f>VLOOKUP(D72,'CNKT '!$D$16:$X$93,21,0)</f>
        <v>1282540</v>
      </c>
      <c r="I72" s="604">
        <f t="shared" si="1"/>
        <v>7063920</v>
      </c>
      <c r="J72" s="604"/>
      <c r="K72" s="604">
        <f>VLOOKUP(D72,'CNKT '!$D$16:$AA$93,24,0)</f>
        <v>7063920</v>
      </c>
      <c r="L72" s="604"/>
      <c r="M72" s="606">
        <f t="shared" si="2"/>
        <v>7063920</v>
      </c>
      <c r="N72" s="277"/>
      <c r="O72" s="124"/>
    </row>
    <row r="73" spans="1:15" s="125" customFormat="1" ht="21.75" hidden="1" customHeight="1">
      <c r="A73" s="870">
        <v>60</v>
      </c>
      <c r="B73" s="233">
        <v>60</v>
      </c>
      <c r="C73" s="674">
        <f>'Chấm công KT'!C72</f>
        <v>0</v>
      </c>
      <c r="D73" s="610" t="str">
        <f>'CNKT '!D75</f>
        <v>N. Ních</v>
      </c>
      <c r="E73" s="610" t="s">
        <v>26</v>
      </c>
      <c r="F73" s="604">
        <f>VLOOKUP(D73,'CNKT '!$D$16:$G$93,4,0)</f>
        <v>0</v>
      </c>
      <c r="G73" s="604">
        <f>VLOOKUP(D73,'CNKT '!$D$16:$M$93,10,0)</f>
        <v>5688151</v>
      </c>
      <c r="H73" s="604">
        <f>VLOOKUP(D73,'CNKT '!$D$16:$X$93,21,0)</f>
        <v>1282540</v>
      </c>
      <c r="I73" s="604">
        <f t="shared" si="1"/>
        <v>6970691</v>
      </c>
      <c r="J73" s="604"/>
      <c r="K73" s="604">
        <f>VLOOKUP(D73,'CNKT '!$D$16:$AA$93,24,0)</f>
        <v>6970691</v>
      </c>
      <c r="L73" s="604"/>
      <c r="M73" s="606">
        <f t="shared" si="2"/>
        <v>6970691</v>
      </c>
      <c r="N73" s="277"/>
      <c r="O73" s="124"/>
    </row>
    <row r="74" spans="1:15" s="125" customFormat="1" ht="21.75" hidden="1" customHeight="1">
      <c r="A74" s="870">
        <v>61</v>
      </c>
      <c r="B74" s="233">
        <v>61</v>
      </c>
      <c r="C74" s="674" t="str">
        <f>'Chấm công KT'!C73</f>
        <v>03506</v>
      </c>
      <c r="D74" s="610" t="str">
        <f>'CNKT '!D76</f>
        <v>N. Bua Hom</v>
      </c>
      <c r="E74" s="610" t="s">
        <v>26</v>
      </c>
      <c r="F74" s="604">
        <f>VLOOKUP(D74,'CNKT '!$D$16:$G$93,4,0)</f>
        <v>0</v>
      </c>
      <c r="G74" s="604">
        <f>VLOOKUP(D74,'CNKT '!$D$16:$M$93,10,0)</f>
        <v>7506357</v>
      </c>
      <c r="H74" s="604">
        <f>VLOOKUP(D74,'CNKT '!$D$16:$X$93,21,0)</f>
        <v>1282540</v>
      </c>
      <c r="I74" s="604">
        <f t="shared" si="1"/>
        <v>8788897</v>
      </c>
      <c r="J74" s="604"/>
      <c r="K74" s="604">
        <f>VLOOKUP(D74,'CNKT '!$D$16:$AA$93,24,0)</f>
        <v>8788897</v>
      </c>
      <c r="L74" s="604"/>
      <c r="M74" s="606">
        <f t="shared" si="2"/>
        <v>8788897</v>
      </c>
      <c r="N74" s="277"/>
      <c r="O74" s="124"/>
    </row>
    <row r="75" spans="1:15" s="125" customFormat="1" ht="21.75" hidden="1" customHeight="1">
      <c r="A75" s="870">
        <v>62</v>
      </c>
      <c r="B75" s="233">
        <v>62</v>
      </c>
      <c r="C75" s="674" t="str">
        <f>'Chấm công KT'!C74</f>
        <v>04067</v>
      </c>
      <c r="D75" s="610" t="str">
        <f>'CNKT '!D77</f>
        <v>N. Lăm Phay (2)</v>
      </c>
      <c r="E75" s="610" t="s">
        <v>26</v>
      </c>
      <c r="F75" s="604">
        <f>VLOOKUP(D75,'CNKT '!$D$16:$G$93,4,0)</f>
        <v>0</v>
      </c>
      <c r="G75" s="604">
        <f>VLOOKUP(D75,'CNKT '!$D$16:$M$93,10,0)</f>
        <v>6130920</v>
      </c>
      <c r="H75" s="604">
        <f>VLOOKUP(D75,'CNKT '!$D$16:$X$93,21,0)</f>
        <v>1313462</v>
      </c>
      <c r="I75" s="604">
        <f t="shared" si="1"/>
        <v>7444382</v>
      </c>
      <c r="J75" s="604"/>
      <c r="K75" s="604">
        <f>VLOOKUP(D75,'CNKT '!$D$16:$AA$93,24,0)</f>
        <v>7444382</v>
      </c>
      <c r="L75" s="604"/>
      <c r="M75" s="606">
        <f t="shared" si="2"/>
        <v>7444382</v>
      </c>
      <c r="N75" s="277"/>
      <c r="O75" s="124"/>
    </row>
    <row r="76" spans="1:15" s="125" customFormat="1" ht="21.75" hidden="1" customHeight="1">
      <c r="A76" s="870">
        <v>63</v>
      </c>
      <c r="B76" s="233">
        <v>63</v>
      </c>
      <c r="C76" s="674" t="str">
        <f>'Chấm công KT'!C75</f>
        <v>03508</v>
      </c>
      <c r="D76" s="610" t="str">
        <f>'CNKT '!D78</f>
        <v>T. Đèng</v>
      </c>
      <c r="E76" s="610" t="s">
        <v>26</v>
      </c>
      <c r="F76" s="604">
        <f>VLOOKUP(D76,'CNKT '!$D$16:$G$93,4,0)</f>
        <v>0</v>
      </c>
      <c r="G76" s="604">
        <f>VLOOKUP(D76,'CNKT '!$D$16:$M$93,10,0)</f>
        <v>5299303</v>
      </c>
      <c r="H76" s="604">
        <f>VLOOKUP(D76,'CNKT '!$D$16:$X$93,21,0)</f>
        <v>1313462</v>
      </c>
      <c r="I76" s="604">
        <f t="shared" si="1"/>
        <v>6612765</v>
      </c>
      <c r="J76" s="604"/>
      <c r="K76" s="604">
        <f>VLOOKUP(D76,'CNKT '!$D$16:$AA$93,24,0)</f>
        <v>6612765</v>
      </c>
      <c r="L76" s="604"/>
      <c r="M76" s="606">
        <f t="shared" si="2"/>
        <v>6612765</v>
      </c>
      <c r="N76" s="277"/>
      <c r="O76" s="124"/>
    </row>
    <row r="77" spans="1:15" s="125" customFormat="1" ht="21.75" hidden="1" customHeight="1">
      <c r="A77" s="870">
        <v>64</v>
      </c>
      <c r="B77" s="233">
        <v>64</v>
      </c>
      <c r="C77" s="674" t="str">
        <f>'Chấm công KT'!C76</f>
        <v>03512</v>
      </c>
      <c r="D77" s="610" t="str">
        <f>'CNKT '!D79</f>
        <v>N. Đon</v>
      </c>
      <c r="E77" s="610" t="s">
        <v>26</v>
      </c>
      <c r="F77" s="604">
        <f>VLOOKUP(D77,'CNKT '!$D$16:$G$93,4,0)</f>
        <v>0</v>
      </c>
      <c r="G77" s="604">
        <f>VLOOKUP(D77,'CNKT '!$D$16:$M$93,10,0)</f>
        <v>6015514</v>
      </c>
      <c r="H77" s="604">
        <f>VLOOKUP(D77,'CNKT '!$D$16:$X$93,21,0)</f>
        <v>1282540</v>
      </c>
      <c r="I77" s="604">
        <f t="shared" si="1"/>
        <v>7298054</v>
      </c>
      <c r="J77" s="604"/>
      <c r="K77" s="604">
        <f>VLOOKUP(D77,'CNKT '!$D$16:$AA$93,24,0)</f>
        <v>7298054</v>
      </c>
      <c r="L77" s="604"/>
      <c r="M77" s="606">
        <f t="shared" si="2"/>
        <v>7298054</v>
      </c>
      <c r="N77" s="277"/>
      <c r="O77" s="124"/>
    </row>
    <row r="78" spans="1:15" s="125" customFormat="1" ht="21.75" hidden="1" customHeight="1">
      <c r="A78" s="870">
        <v>65</v>
      </c>
      <c r="B78" s="233">
        <v>65</v>
      </c>
      <c r="C78" s="674" t="str">
        <f>'Chấm công KT'!C77</f>
        <v>04068</v>
      </c>
      <c r="D78" s="610" t="str">
        <f>'CNKT '!D80</f>
        <v xml:space="preserve">T. La </v>
      </c>
      <c r="E78" s="610" t="s">
        <v>26</v>
      </c>
      <c r="F78" s="604">
        <f>VLOOKUP(D78,'CNKT '!$D$16:$G$93,4,0)</f>
        <v>0</v>
      </c>
      <c r="G78" s="604">
        <f>VLOOKUP(D78,'CNKT '!$D$16:$M$93,10,0)</f>
        <v>6194983</v>
      </c>
      <c r="H78" s="604">
        <f>VLOOKUP(D78,'CNKT '!$D$16:$X$93,21,0)</f>
        <v>1282540</v>
      </c>
      <c r="I78" s="604">
        <f t="shared" si="1"/>
        <v>7477523</v>
      </c>
      <c r="J78" s="604"/>
      <c r="K78" s="604">
        <f>VLOOKUP(D78,'CNKT '!$D$16:$AA$93,24,0)</f>
        <v>7477523</v>
      </c>
      <c r="L78" s="604"/>
      <c r="M78" s="606">
        <f t="shared" si="2"/>
        <v>7477523</v>
      </c>
      <c r="N78" s="277"/>
      <c r="O78" s="124"/>
    </row>
    <row r="79" spans="1:15" s="125" customFormat="1" ht="21.75" hidden="1" customHeight="1">
      <c r="A79" s="870">
        <v>66</v>
      </c>
      <c r="B79" s="233">
        <v>66</v>
      </c>
      <c r="C79" s="674" t="str">
        <f>'Chấm công KT'!C78</f>
        <v>04069</v>
      </c>
      <c r="D79" s="610" t="str">
        <f>'CNKT '!D81</f>
        <v>T. Bờm</v>
      </c>
      <c r="E79" s="610" t="s">
        <v>26</v>
      </c>
      <c r="F79" s="604">
        <f>VLOOKUP(D79,'CNKT '!$D$16:$G$93,4,0)</f>
        <v>0</v>
      </c>
      <c r="G79" s="604">
        <f>VLOOKUP(D79,'CNKT '!$D$16:$M$93,10,0)</f>
        <v>6120434</v>
      </c>
      <c r="H79" s="604">
        <f>VLOOKUP(D79,'CNKT '!$D$16:$X$93,21,0)</f>
        <v>1251618</v>
      </c>
      <c r="I79" s="604">
        <f t="shared" ref="I79:I85" si="3">SUM(F79:H79)</f>
        <v>7372052</v>
      </c>
      <c r="J79" s="604"/>
      <c r="K79" s="604">
        <f>VLOOKUP(D79,'CNKT '!$D$16:$AA$93,24,0)</f>
        <v>7372052</v>
      </c>
      <c r="L79" s="604"/>
      <c r="M79" s="606">
        <f t="shared" ref="M79:M86" si="4">K79-L79</f>
        <v>7372052</v>
      </c>
      <c r="N79" s="277"/>
      <c r="O79" s="124"/>
    </row>
    <row r="80" spans="1:15" s="125" customFormat="1" ht="21.75" hidden="1" customHeight="1">
      <c r="A80" s="870">
        <v>67</v>
      </c>
      <c r="B80" s="233">
        <v>67</v>
      </c>
      <c r="C80" s="674" t="str">
        <f>'Chấm công KT'!C79</f>
        <v>03546</v>
      </c>
      <c r="D80" s="610" t="str">
        <f>'CNKT '!D82</f>
        <v>T. Nọi</v>
      </c>
      <c r="E80" s="610" t="s">
        <v>26</v>
      </c>
      <c r="F80" s="604">
        <f>VLOOKUP(D80,'CNKT '!$D$16:$G$93,4,0)</f>
        <v>0</v>
      </c>
      <c r="G80" s="604">
        <f>VLOOKUP(D80,'CNKT '!$D$16:$M$93,10,0)</f>
        <v>6244520</v>
      </c>
      <c r="H80" s="604">
        <f>VLOOKUP(D80,'CNKT '!$D$16:$X$93,21,0)</f>
        <v>1313462</v>
      </c>
      <c r="I80" s="604">
        <f t="shared" si="3"/>
        <v>7557982</v>
      </c>
      <c r="J80" s="604"/>
      <c r="K80" s="604">
        <f>VLOOKUP(D80,'CNKT '!$D$16:$AA$93,24,0)</f>
        <v>7557982</v>
      </c>
      <c r="L80" s="604"/>
      <c r="M80" s="606">
        <f t="shared" si="4"/>
        <v>7557982</v>
      </c>
      <c r="N80" s="277"/>
      <c r="O80" s="124"/>
    </row>
    <row r="81" spans="1:15" s="125" customFormat="1" ht="21.75" hidden="1" customHeight="1">
      <c r="A81" s="870">
        <v>68</v>
      </c>
      <c r="B81" s="233">
        <v>68</v>
      </c>
      <c r="C81" s="674" t="str">
        <f>'Chấm công KT'!C80</f>
        <v>03571</v>
      </c>
      <c r="D81" s="610" t="str">
        <f>'CNKT '!D83</f>
        <v>T. Ê</v>
      </c>
      <c r="E81" s="610" t="s">
        <v>26</v>
      </c>
      <c r="F81" s="604">
        <f>VLOOKUP(D81,'CNKT '!$D$16:$G$93,4,0)</f>
        <v>0</v>
      </c>
      <c r="G81" s="604">
        <f>VLOOKUP(D81,'CNKT '!$D$16:$M$93,10,0)</f>
        <v>4912116</v>
      </c>
      <c r="H81" s="604">
        <f>VLOOKUP(D81,'CNKT '!$D$16:$X$93,21,0)</f>
        <v>1313462</v>
      </c>
      <c r="I81" s="604">
        <f t="shared" si="3"/>
        <v>6225578</v>
      </c>
      <c r="J81" s="604"/>
      <c r="K81" s="604">
        <f>VLOOKUP(D81,'CNKT '!$D$16:$AA$93,24,0)</f>
        <v>6225578</v>
      </c>
      <c r="L81" s="604"/>
      <c r="M81" s="606">
        <f t="shared" si="4"/>
        <v>6225578</v>
      </c>
      <c r="N81" s="277"/>
      <c r="O81" s="124"/>
    </row>
    <row r="82" spans="1:15" s="125" customFormat="1" ht="21.75" hidden="1" customHeight="1">
      <c r="A82" s="870">
        <v>69</v>
      </c>
      <c r="B82" s="233">
        <v>69</v>
      </c>
      <c r="C82" s="674">
        <f>'Chấm công KT'!C81</f>
        <v>0</v>
      </c>
      <c r="D82" s="610" t="str">
        <f>'CNKT '!D84</f>
        <v>T. Tu</v>
      </c>
      <c r="E82" s="610" t="s">
        <v>26</v>
      </c>
      <c r="F82" s="604">
        <f>VLOOKUP(D82,'CNKT '!$D$16:$G$93,4,0)</f>
        <v>0</v>
      </c>
      <c r="G82" s="604">
        <f>VLOOKUP(D82,'CNKT '!$D$16:$M$93,10,0)</f>
        <v>7968064</v>
      </c>
      <c r="H82" s="604">
        <f>VLOOKUP(D82,'CNKT '!$D$16:$X$93,21,0)</f>
        <v>1282540</v>
      </c>
      <c r="I82" s="604">
        <f t="shared" si="3"/>
        <v>9250604</v>
      </c>
      <c r="J82" s="604"/>
      <c r="K82" s="604">
        <f>VLOOKUP(D82,'CNKT '!$D$16:$AA$93,24,0)</f>
        <v>9250604</v>
      </c>
      <c r="L82" s="604"/>
      <c r="M82" s="606">
        <f t="shared" si="4"/>
        <v>9250604</v>
      </c>
      <c r="N82" s="277"/>
      <c r="O82" s="124"/>
    </row>
    <row r="83" spans="1:15" s="125" customFormat="1" ht="21.75" hidden="1" customHeight="1">
      <c r="A83" s="870">
        <v>70</v>
      </c>
      <c r="B83" s="233">
        <v>70</v>
      </c>
      <c r="C83" s="674" t="str">
        <f>'Chấm công KT'!C82</f>
        <v>03515</v>
      </c>
      <c r="D83" s="610" t="str">
        <f>'CNKT '!D85</f>
        <v>N. Xi</v>
      </c>
      <c r="E83" s="610" t="s">
        <v>26</v>
      </c>
      <c r="F83" s="604">
        <f>VLOOKUP(D83,'CNKT '!$D$16:$G$93,4,0)</f>
        <v>0</v>
      </c>
      <c r="G83" s="604">
        <f>VLOOKUP(D83,'CNKT '!$D$16:$M$93,10,0)</f>
        <v>6541628</v>
      </c>
      <c r="H83" s="604">
        <f>VLOOKUP(D83,'CNKT '!$D$16:$X$93,21,0)</f>
        <v>1313462</v>
      </c>
      <c r="I83" s="604">
        <f t="shared" si="3"/>
        <v>7855090</v>
      </c>
      <c r="J83" s="604"/>
      <c r="K83" s="604">
        <f>VLOOKUP(D83,'CNKT '!$D$16:$AA$93,24,0)</f>
        <v>7855090</v>
      </c>
      <c r="L83" s="604"/>
      <c r="M83" s="606">
        <f t="shared" si="4"/>
        <v>7855090</v>
      </c>
      <c r="N83" s="277"/>
      <c r="O83" s="124"/>
    </row>
    <row r="84" spans="1:15" s="125" customFormat="1" ht="21.75" hidden="1" customHeight="1">
      <c r="A84" s="870">
        <v>71</v>
      </c>
      <c r="B84" s="233">
        <v>71</v>
      </c>
      <c r="C84" s="674" t="str">
        <f>'Chấm công KT'!C83</f>
        <v>03516</v>
      </c>
      <c r="D84" s="610" t="str">
        <f>'CNKT '!D86</f>
        <v>N. Chay</v>
      </c>
      <c r="E84" s="610" t="s">
        <v>26</v>
      </c>
      <c r="F84" s="604">
        <f>VLOOKUP(D84,'CNKT '!$D$16:$G$93,4,0)</f>
        <v>0</v>
      </c>
      <c r="G84" s="604">
        <f>VLOOKUP(D84,'CNKT '!$D$16:$M$93,10,0)</f>
        <v>6891168</v>
      </c>
      <c r="H84" s="604">
        <f>VLOOKUP(D84,'CNKT '!$D$16:$X$93,21,0)</f>
        <v>1313462</v>
      </c>
      <c r="I84" s="604">
        <f t="shared" si="3"/>
        <v>8204630</v>
      </c>
      <c r="J84" s="604"/>
      <c r="K84" s="604">
        <f>VLOOKUP(D84,'CNKT '!$D$16:$AA$93,24,0)</f>
        <v>8204630</v>
      </c>
      <c r="L84" s="604"/>
      <c r="M84" s="606">
        <f t="shared" si="4"/>
        <v>8204630</v>
      </c>
      <c r="N84" s="277"/>
      <c r="O84" s="124"/>
    </row>
    <row r="85" spans="1:15" s="125" customFormat="1" ht="21.75" hidden="1" customHeight="1">
      <c r="A85" s="870">
        <v>72</v>
      </c>
      <c r="B85" s="233">
        <v>72</v>
      </c>
      <c r="C85" s="674" t="str">
        <f>'Chấm công KT'!C84</f>
        <v>03544</v>
      </c>
      <c r="D85" s="610" t="str">
        <f>'CNKT '!D87</f>
        <v>T. Ta</v>
      </c>
      <c r="E85" s="610" t="s">
        <v>26</v>
      </c>
      <c r="F85" s="604">
        <f>VLOOKUP(D85,'CNKT '!$D$16:$G$93,4,0)</f>
        <v>0</v>
      </c>
      <c r="G85" s="604">
        <f>VLOOKUP(D85,'CNKT '!$D$16:$M$93,10,0)</f>
        <v>4468860</v>
      </c>
      <c r="H85" s="604">
        <f>VLOOKUP(D85,'CNKT '!$D$16:$X$93,21,0)</f>
        <v>1313462</v>
      </c>
      <c r="I85" s="604">
        <f t="shared" si="3"/>
        <v>5782322</v>
      </c>
      <c r="J85" s="604"/>
      <c r="K85" s="604">
        <f>VLOOKUP(D85,'CNKT '!$D$16:$AA$93,24,0)</f>
        <v>5782322</v>
      </c>
      <c r="L85" s="604"/>
      <c r="M85" s="606">
        <f t="shared" si="4"/>
        <v>5782322</v>
      </c>
      <c r="N85" s="277"/>
      <c r="O85" s="124"/>
    </row>
    <row r="86" spans="1:15" s="125" customFormat="1" ht="21.75" hidden="1" customHeight="1">
      <c r="A86" s="870">
        <v>73</v>
      </c>
      <c r="B86" s="233">
        <v>73</v>
      </c>
      <c r="C86" s="674" t="str">
        <f>'Chấm công KT'!C85</f>
        <v>04071</v>
      </c>
      <c r="D86" s="610" t="str">
        <f>'CNKT '!D88</f>
        <v>T. Ne</v>
      </c>
      <c r="E86" s="610" t="s">
        <v>26</v>
      </c>
      <c r="F86" s="604">
        <f>VLOOKUP(D86,'CNKT '!$D$16:$G$99,4,0)</f>
        <v>0</v>
      </c>
      <c r="G86" s="604">
        <f>VLOOKUP(D86,'CNKT '!$D$16:$M$99,10,0)</f>
        <v>4580713</v>
      </c>
      <c r="H86" s="604">
        <f>VLOOKUP(D86,'CNKT '!$D$16:$X$93,21,0)</f>
        <v>1313462</v>
      </c>
      <c r="I86" s="604">
        <f>SUM(F86:H86)</f>
        <v>5894175</v>
      </c>
      <c r="J86" s="604"/>
      <c r="K86" s="604">
        <f>VLOOKUP(D86,'CNKT '!$D$16:$AA$93,24,0)</f>
        <v>5894175</v>
      </c>
      <c r="L86" s="604"/>
      <c r="M86" s="606">
        <f t="shared" si="4"/>
        <v>5894175</v>
      </c>
      <c r="N86" s="277"/>
      <c r="O86" s="124"/>
    </row>
    <row r="87" spans="1:15" s="125" customFormat="1" ht="21.75" hidden="1" customHeight="1">
      <c r="A87" s="870">
        <v>74</v>
      </c>
      <c r="B87" s="233">
        <v>74</v>
      </c>
      <c r="C87" s="674">
        <f>'Chấm công KT'!C86</f>
        <v>0</v>
      </c>
      <c r="D87" s="610" t="str">
        <f>'CNKT '!D89</f>
        <v>T. Tý</v>
      </c>
      <c r="E87" s="610" t="s">
        <v>26</v>
      </c>
      <c r="F87" s="604">
        <f>VLOOKUP(D87,'CNKT '!$D$16:$G$99,4,0)</f>
        <v>0</v>
      </c>
      <c r="G87" s="604">
        <f>VLOOKUP(D87,'CNKT '!$D$16:$M$99,10,0)</f>
        <v>215884</v>
      </c>
      <c r="H87" s="604">
        <f>VLOOKUP(D87,'CNKT '!$D$16:$X$93,21,0)</f>
        <v>216454</v>
      </c>
      <c r="I87" s="604">
        <f t="shared" ref="I87:I96" si="5">SUM(F87:H87)</f>
        <v>432338</v>
      </c>
      <c r="J87" s="604"/>
      <c r="K87" s="604">
        <f>VLOOKUP(D87,'CNKT '!$D$16:$AA$93,24,0)</f>
        <v>432338</v>
      </c>
      <c r="L87" s="604"/>
      <c r="M87" s="606">
        <f t="shared" ref="M87:M91" si="6">K87-L87</f>
        <v>432338</v>
      </c>
      <c r="N87" s="277"/>
      <c r="O87" s="124"/>
    </row>
    <row r="88" spans="1:15" s="125" customFormat="1" ht="21.75" hidden="1" customHeight="1">
      <c r="A88" s="870">
        <v>75</v>
      </c>
      <c r="B88" s="233">
        <v>75</v>
      </c>
      <c r="C88" s="674">
        <f>'Chấm công KT'!C87</f>
        <v>0</v>
      </c>
      <c r="D88" s="610" t="str">
        <f>'CNKT '!D90</f>
        <v>T. Lã</v>
      </c>
      <c r="E88" s="610" t="s">
        <v>26</v>
      </c>
      <c r="F88" s="604">
        <f>VLOOKUP(D88,'CNKT '!$D$16:$G$99,4,0)</f>
        <v>0</v>
      </c>
      <c r="G88" s="604">
        <f>VLOOKUP(D88,'CNKT '!$D$16:$M$99,10,0)</f>
        <v>425464</v>
      </c>
      <c r="H88" s="604">
        <f>VLOOKUP(D88,'CNKT '!$D$16:$X$93,21,0)</f>
        <v>92766</v>
      </c>
      <c r="I88" s="604">
        <f t="shared" si="5"/>
        <v>518230</v>
      </c>
      <c r="J88" s="604"/>
      <c r="K88" s="604">
        <f>VLOOKUP(D88,'CNKT '!$D$16:$AA$93,24,0)</f>
        <v>518230</v>
      </c>
      <c r="L88" s="604"/>
      <c r="M88" s="606">
        <f t="shared" si="6"/>
        <v>518230</v>
      </c>
      <c r="N88" s="277"/>
      <c r="O88" s="124"/>
    </row>
    <row r="89" spans="1:15" s="125" customFormat="1" ht="21.75" hidden="1" customHeight="1">
      <c r="A89" s="870">
        <v>76</v>
      </c>
      <c r="B89" s="233">
        <v>76</v>
      </c>
      <c r="C89" s="674">
        <f>'Chấm công KT'!C88</f>
        <v>0</v>
      </c>
      <c r="D89" s="610" t="str">
        <f>'CNKT '!D91</f>
        <v>N. Veo</v>
      </c>
      <c r="E89" s="610" t="s">
        <v>26</v>
      </c>
      <c r="F89" s="604">
        <f>VLOOKUP(D89,'CNKT '!$D$16:$G$99,4,0)</f>
        <v>0</v>
      </c>
      <c r="G89" s="604">
        <f>VLOOKUP(D89,'CNKT '!$D$16:$M$99,10,0)</f>
        <v>209580</v>
      </c>
      <c r="H89" s="604">
        <f>VLOOKUP(D89,'CNKT '!$D$16:$X$93,21,0)</f>
        <v>61844</v>
      </c>
      <c r="I89" s="604">
        <f t="shared" si="5"/>
        <v>271424</v>
      </c>
      <c r="J89" s="604"/>
      <c r="K89" s="604">
        <f>VLOOKUP(D89,'CNKT '!$D$16:$AA$93,24,0)</f>
        <v>271424</v>
      </c>
      <c r="L89" s="604"/>
      <c r="M89" s="606">
        <f t="shared" si="6"/>
        <v>271424</v>
      </c>
      <c r="N89" s="277"/>
      <c r="O89" s="124"/>
    </row>
    <row r="90" spans="1:15" s="125" customFormat="1" ht="21.75" hidden="1" customHeight="1">
      <c r="A90" s="870">
        <v>77</v>
      </c>
      <c r="B90" s="233">
        <v>77</v>
      </c>
      <c r="C90" s="674">
        <f>'Chấm công KT'!C89</f>
        <v>0</v>
      </c>
      <c r="D90" s="610" t="str">
        <f>'CNKT '!D92</f>
        <v>T. Pu</v>
      </c>
      <c r="E90" s="610" t="s">
        <v>26</v>
      </c>
      <c r="F90" s="604">
        <f>VLOOKUP(D90,'CNKT '!$D$16:$G$99,4,0)</f>
        <v>0</v>
      </c>
      <c r="G90" s="604">
        <f>VLOOKUP(D90,'CNKT '!$D$16:$M$99,10,0)</f>
        <v>412858</v>
      </c>
      <c r="H90" s="604">
        <f>VLOOKUP(D90,'CNKT '!$D$16:$X$93,21,0)</f>
        <v>61844</v>
      </c>
      <c r="I90" s="604">
        <f t="shared" si="5"/>
        <v>474702</v>
      </c>
      <c r="J90" s="604"/>
      <c r="K90" s="604">
        <f>VLOOKUP(D90,'CNKT '!$D$16:$AA$93,24,0)</f>
        <v>474702</v>
      </c>
      <c r="L90" s="604"/>
      <c r="M90" s="606">
        <f t="shared" si="6"/>
        <v>474702</v>
      </c>
      <c r="N90" s="277"/>
      <c r="O90" s="124"/>
    </row>
    <row r="91" spans="1:15" s="125" customFormat="1" ht="22.9" hidden="1" customHeight="1">
      <c r="A91" s="870">
        <v>78</v>
      </c>
      <c r="B91" s="233">
        <v>78</v>
      </c>
      <c r="C91" s="674">
        <f>'Chấm công KT'!C90</f>
        <v>0</v>
      </c>
      <c r="D91" s="610" t="str">
        <f>'CNKT '!D93</f>
        <v>T. Ta.</v>
      </c>
      <c r="E91" s="610" t="s">
        <v>26</v>
      </c>
      <c r="F91" s="604">
        <f>VLOOKUP(D91,'CNKT '!$D$16:$G$99,4,0)</f>
        <v>0</v>
      </c>
      <c r="G91" s="604">
        <f>VLOOKUP(D91,'CNKT '!$D$16:$M$99,10,0)</f>
        <v>0</v>
      </c>
      <c r="H91" s="604">
        <f>VLOOKUP(D91,'CNKT '!$D$16:$X$97,21,0)</f>
        <v>0</v>
      </c>
      <c r="I91" s="604">
        <f t="shared" si="5"/>
        <v>0</v>
      </c>
      <c r="J91" s="604"/>
      <c r="K91" s="604">
        <f>VLOOKUP(D91,'CNKT '!$D$16:$AA$97,24,0)</f>
        <v>0</v>
      </c>
      <c r="L91" s="604"/>
      <c r="M91" s="606">
        <f t="shared" si="6"/>
        <v>0</v>
      </c>
      <c r="N91" s="277"/>
      <c r="O91" s="124"/>
    </row>
    <row r="92" spans="1:15" s="125" customFormat="1" ht="21.6" hidden="1" customHeight="1">
      <c r="A92" s="870">
        <v>79</v>
      </c>
      <c r="B92" s="233">
        <v>79</v>
      </c>
      <c r="C92" s="674">
        <f>'Chấm công KT'!C91</f>
        <v>0</v>
      </c>
      <c r="D92" s="610" t="str">
        <f>'CNKT '!D94</f>
        <v>N. Nang</v>
      </c>
      <c r="E92" s="610" t="s">
        <v>26</v>
      </c>
      <c r="F92" s="604">
        <f>VLOOKUP(D92,'CNKT '!$D$16:$G$99,4,0)</f>
        <v>0</v>
      </c>
      <c r="G92" s="604">
        <f>VLOOKUP(D92,'CNKT '!$D$16:$M$99,10,0)</f>
        <v>0</v>
      </c>
      <c r="H92" s="604">
        <f>VLOOKUP(D92,'CNKT '!$D$16:$X$97,21,0)</f>
        <v>0</v>
      </c>
      <c r="I92" s="604">
        <f t="shared" si="5"/>
        <v>0</v>
      </c>
      <c r="J92" s="604"/>
      <c r="K92" s="604">
        <f>VLOOKUP(D92,'CNKT '!$D$16:$AA$97,24,0)</f>
        <v>0</v>
      </c>
      <c r="L92" s="604"/>
      <c r="M92" s="606">
        <f t="shared" ref="M92:M97" si="7">K92-L92</f>
        <v>0</v>
      </c>
      <c r="N92" s="277"/>
      <c r="O92" s="124"/>
    </row>
    <row r="93" spans="1:15" s="125" customFormat="1" ht="21.75" hidden="1" customHeight="1">
      <c r="A93" s="870">
        <v>80</v>
      </c>
      <c r="B93" s="233">
        <v>80</v>
      </c>
      <c r="C93" s="674">
        <f>'Chấm công KT'!C92</f>
        <v>0</v>
      </c>
      <c r="D93" s="610" t="str">
        <f>'CNKT '!D95</f>
        <v>T. Tan</v>
      </c>
      <c r="E93" s="610" t="s">
        <v>26</v>
      </c>
      <c r="F93" s="604">
        <f>VLOOKUP(D93,'CNKT '!$D$16:$G$99,4,0)</f>
        <v>0</v>
      </c>
      <c r="G93" s="604">
        <f>VLOOKUP(D93,'CNKT '!$D$16:$M$99,10,0)</f>
        <v>0</v>
      </c>
      <c r="H93" s="604">
        <f>VLOOKUP(D93,'CNKT '!$D$16:$X$97,21,0)</f>
        <v>0</v>
      </c>
      <c r="I93" s="604">
        <f t="shared" si="5"/>
        <v>0</v>
      </c>
      <c r="J93" s="604"/>
      <c r="K93" s="604">
        <f>VLOOKUP(D93,'CNKT '!$D$16:$AA$97,24,0)</f>
        <v>0</v>
      </c>
      <c r="L93" s="604"/>
      <c r="M93" s="606">
        <f t="shared" si="7"/>
        <v>0</v>
      </c>
      <c r="N93" s="277"/>
      <c r="O93" s="124"/>
    </row>
    <row r="94" spans="1:15" s="125" customFormat="1" ht="21.75" hidden="1" customHeight="1">
      <c r="A94" s="870">
        <v>81</v>
      </c>
      <c r="B94" s="233">
        <v>81</v>
      </c>
      <c r="C94" s="674">
        <f>'Chấm công KT'!C94</f>
        <v>0</v>
      </c>
      <c r="D94" s="610">
        <f>'CNKT '!D96</f>
        <v>0</v>
      </c>
      <c r="E94" s="610" t="s">
        <v>26</v>
      </c>
      <c r="F94" s="604">
        <f>VLOOKUP(D94,'CNKT '!$D$16:$G$99,4,0)</f>
        <v>0</v>
      </c>
      <c r="G94" s="604">
        <f>VLOOKUP(D94,'CNKT '!$D$16:$M$99,10,0)</f>
        <v>0</v>
      </c>
      <c r="H94" s="604">
        <f>VLOOKUP(D94,'CNKT '!$D$16:$X$97,21,0)</f>
        <v>0</v>
      </c>
      <c r="I94" s="604">
        <f>SUM(F94:H94)</f>
        <v>0</v>
      </c>
      <c r="J94" s="604"/>
      <c r="K94" s="604">
        <f>VLOOKUP(D94,'CNKT '!$D$16:$AA$99,24,0)</f>
        <v>0</v>
      </c>
      <c r="L94" s="604"/>
      <c r="M94" s="606">
        <f t="shared" si="7"/>
        <v>0</v>
      </c>
      <c r="N94" s="277"/>
      <c r="O94" s="124"/>
    </row>
    <row r="95" spans="1:15" s="125" customFormat="1" ht="21.75" hidden="1" customHeight="1">
      <c r="A95" s="870">
        <v>78</v>
      </c>
      <c r="B95" s="233">
        <v>78</v>
      </c>
      <c r="C95" s="674"/>
      <c r="D95" s="610" t="str">
        <f>'CNKT '!D97</f>
        <v>Mủ Xi Rum 1</v>
      </c>
      <c r="E95" s="610" t="s">
        <v>26</v>
      </c>
      <c r="F95" s="604">
        <f>VLOOKUP(D95,'CNKT '!$D$16:$G$99,4,0)</f>
        <v>0</v>
      </c>
      <c r="G95" s="604">
        <f>VLOOKUP(D95,'CNKT '!$D$16:$M$99,10,0)</f>
        <v>753728</v>
      </c>
      <c r="H95" s="604"/>
      <c r="I95" s="604">
        <f t="shared" si="5"/>
        <v>753728</v>
      </c>
      <c r="J95" s="604"/>
      <c r="K95" s="604">
        <f>VLOOKUP(D95,'CNKT '!$D$16:$AA$99,24,0)</f>
        <v>753728</v>
      </c>
      <c r="L95" s="604"/>
      <c r="M95" s="606">
        <f t="shared" si="7"/>
        <v>753728</v>
      </c>
      <c r="N95" s="277"/>
      <c r="O95" s="124"/>
    </row>
    <row r="96" spans="1:15" s="869" customFormat="1" ht="21.75" hidden="1" customHeight="1">
      <c r="A96" s="870">
        <v>79</v>
      </c>
      <c r="B96" s="233">
        <v>79</v>
      </c>
      <c r="C96" s="957"/>
      <c r="D96" s="958" t="str">
        <f>'CNKT '!D98</f>
        <v>A. Trí</v>
      </c>
      <c r="E96" s="958" t="s">
        <v>351</v>
      </c>
      <c r="F96" s="945">
        <f>VLOOKUP(D96,'CNKT '!$D$16:$G$99,4,0)</f>
        <v>0</v>
      </c>
      <c r="G96" s="945"/>
      <c r="H96" s="945"/>
      <c r="I96" s="945">
        <f t="shared" si="5"/>
        <v>0</v>
      </c>
      <c r="J96" s="945"/>
      <c r="K96" s="945">
        <f>VLOOKUP(D96,'CNKT '!$D$16:$AA$99,24,0)</f>
        <v>0</v>
      </c>
      <c r="L96" s="945"/>
      <c r="M96" s="947">
        <f t="shared" si="7"/>
        <v>0</v>
      </c>
      <c r="N96" s="959"/>
      <c r="O96" s="867"/>
    </row>
    <row r="97" spans="1:16" s="869" customFormat="1" ht="21.75" hidden="1" customHeight="1">
      <c r="A97" s="870">
        <v>80</v>
      </c>
      <c r="B97" s="233">
        <v>80</v>
      </c>
      <c r="C97" s="957"/>
      <c r="D97" s="958" t="str">
        <f>'CNKT '!D99</f>
        <v>T. Tạch</v>
      </c>
      <c r="E97" s="958" t="s">
        <v>351</v>
      </c>
      <c r="F97" s="945">
        <f>VLOOKUP(D97,'CNKT '!$D$16:$G$99,4,0)</f>
        <v>0</v>
      </c>
      <c r="G97" s="945"/>
      <c r="H97" s="945"/>
      <c r="I97" s="945">
        <f t="shared" ref="I97" si="8">SUM(F97:H97)</f>
        <v>0</v>
      </c>
      <c r="J97" s="945"/>
      <c r="K97" s="945">
        <f>VLOOKUP(D97,'CNKT '!$D$16:$AA$99,24,0)</f>
        <v>0</v>
      </c>
      <c r="L97" s="945"/>
      <c r="M97" s="947">
        <f t="shared" si="7"/>
        <v>0</v>
      </c>
      <c r="N97" s="959"/>
      <c r="O97" s="867"/>
    </row>
    <row r="98" spans="1:16" s="869" customFormat="1" ht="21.75" hidden="1" customHeight="1">
      <c r="A98" s="870">
        <v>81</v>
      </c>
      <c r="B98" s="233">
        <v>81</v>
      </c>
      <c r="C98" s="957"/>
      <c r="D98" s="958" t="str">
        <f>'CNKT '!D100</f>
        <v>Chuyển 1</v>
      </c>
      <c r="E98" s="958" t="s">
        <v>351</v>
      </c>
      <c r="F98" s="945">
        <f>VLOOKUP(D98,'CNKT '!$D$16:$G$100,4,0)</f>
        <v>0</v>
      </c>
      <c r="G98" s="945"/>
      <c r="H98" s="945"/>
      <c r="I98" s="945">
        <f>SUM(F98:H98)</f>
        <v>0</v>
      </c>
      <c r="J98" s="945"/>
      <c r="K98" s="945">
        <f>VLOOKUP(D98,'CNKT '!$D$16:$AA$100,24,0)</f>
        <v>0</v>
      </c>
      <c r="L98" s="945"/>
      <c r="M98" s="947">
        <f t="shared" ref="M98" si="9">K98-L98</f>
        <v>0</v>
      </c>
      <c r="N98" s="959"/>
      <c r="O98" s="867"/>
    </row>
    <row r="99" spans="1:16" s="869" customFormat="1" ht="21.75" customHeight="1">
      <c r="A99" s="1571" t="s">
        <v>539</v>
      </c>
      <c r="B99" s="1572"/>
      <c r="C99" s="1572"/>
      <c r="D99" s="1573"/>
      <c r="E99" s="233">
        <f>'Trạm 2'!A82</f>
        <v>66</v>
      </c>
      <c r="F99" s="604">
        <f>SUM(F100:F165)</f>
        <v>0</v>
      </c>
      <c r="G99" s="604">
        <f t="shared" ref="G99:M99" si="10">SUM(G100:G165)</f>
        <v>436313678</v>
      </c>
      <c r="H99" s="604">
        <f t="shared" si="10"/>
        <v>73619283</v>
      </c>
      <c r="I99" s="604">
        <f t="shared" si="10"/>
        <v>509932961</v>
      </c>
      <c r="J99" s="604">
        <f t="shared" si="10"/>
        <v>0</v>
      </c>
      <c r="K99" s="604">
        <f t="shared" si="10"/>
        <v>509932961</v>
      </c>
      <c r="L99" s="673">
        <f t="shared" si="10"/>
        <v>0</v>
      </c>
      <c r="M99" s="673">
        <f t="shared" si="10"/>
        <v>509932961</v>
      </c>
      <c r="N99" s="866"/>
      <c r="O99" s="867" t="e">
        <f>I99-#REF!-#REF!-L99</f>
        <v>#REF!</v>
      </c>
      <c r="P99" s="868" t="e">
        <f>#REF!-O99</f>
        <v>#REF!</v>
      </c>
    </row>
    <row r="100" spans="1:16" s="126" customFormat="1" ht="21.75" hidden="1" customHeight="1">
      <c r="A100" s="870">
        <v>82</v>
      </c>
      <c r="B100" s="233">
        <v>1</v>
      </c>
      <c r="C100" s="674" t="str">
        <f>'Chấm công KT'!C95</f>
        <v>04072</v>
      </c>
      <c r="D100" s="605" t="str">
        <f>'CNKT '!D102</f>
        <v xml:space="preserve">T. Lun </v>
      </c>
      <c r="E100" s="605" t="s">
        <v>26</v>
      </c>
      <c r="F100" s="604">
        <f>VLOOKUP(D100,'CNKT '!$D$102:$G$165,4,0)</f>
        <v>0</v>
      </c>
      <c r="G100" s="604">
        <f>VLOOKUP(D100,'CNKT '!$D$102:$M$165,10,0)</f>
        <v>7088388</v>
      </c>
      <c r="H100" s="604">
        <f>VLOOKUP(D100,'CNKT '!$D$102:$X$165,21,0)</f>
        <v>1272143</v>
      </c>
      <c r="I100" s="604">
        <f t="shared" ref="I100" si="11">SUM(F100:H100)</f>
        <v>8360531</v>
      </c>
      <c r="J100" s="604"/>
      <c r="K100" s="604">
        <f>VLOOKUP(D100,'CNKT '!$D$102:$AA$165,24,0)</f>
        <v>8360531</v>
      </c>
      <c r="L100" s="604"/>
      <c r="M100" s="606">
        <f>K100-J100</f>
        <v>8360531</v>
      </c>
      <c r="N100" s="675"/>
    </row>
    <row r="101" spans="1:16" s="126" customFormat="1" ht="21.75" hidden="1" customHeight="1">
      <c r="A101" s="870">
        <v>83</v>
      </c>
      <c r="B101" s="233">
        <v>2</v>
      </c>
      <c r="C101" s="674" t="str">
        <f>'Chấm công KT'!C96</f>
        <v>03466</v>
      </c>
      <c r="D101" s="605" t="str">
        <f>'CNKT '!D103</f>
        <v>N. Keo</v>
      </c>
      <c r="E101" s="605" t="s">
        <v>26</v>
      </c>
      <c r="F101" s="604">
        <f>VLOOKUP(D101,'CNKT '!$D$102:$G$165,4,0)</f>
        <v>0</v>
      </c>
      <c r="G101" s="604">
        <f>VLOOKUP(D101,'CNKT '!$D$102:$M$165,10,0)</f>
        <v>6451229</v>
      </c>
      <c r="H101" s="604">
        <f>VLOOKUP(D101,'CNKT '!$D$102:$X$165,21,0)</f>
        <v>1241221</v>
      </c>
      <c r="I101" s="604">
        <f t="shared" ref="I101:I157" si="12">SUM(F101:H101)</f>
        <v>7692450</v>
      </c>
      <c r="J101" s="604"/>
      <c r="K101" s="604">
        <f>VLOOKUP(D101,'CNKT '!$D$102:$AA$165,24,0)</f>
        <v>7692450</v>
      </c>
      <c r="L101" s="604"/>
      <c r="M101" s="606">
        <f t="shared" ref="M101:M157" si="13">K101-J101</f>
        <v>7692450</v>
      </c>
      <c r="N101" s="675"/>
    </row>
    <row r="102" spans="1:16" s="126" customFormat="1" ht="21.75" hidden="1" customHeight="1">
      <c r="A102" s="870">
        <v>84</v>
      </c>
      <c r="B102" s="233">
        <v>3</v>
      </c>
      <c r="C102" s="674" t="str">
        <f>'Chấm công KT'!C97</f>
        <v>03590</v>
      </c>
      <c r="D102" s="605" t="str">
        <f>'CNKT '!D104</f>
        <v>T .Nhum</v>
      </c>
      <c r="E102" s="605" t="s">
        <v>26</v>
      </c>
      <c r="F102" s="604">
        <f>VLOOKUP(D102,'CNKT '!$D$102:$G$165,4,0)</f>
        <v>0</v>
      </c>
      <c r="G102" s="604">
        <f>VLOOKUP(D102,'CNKT '!$D$102:$M$165,10,0)</f>
        <v>6447690</v>
      </c>
      <c r="H102" s="604">
        <f>VLOOKUP(D102,'CNKT '!$D$102:$X$165,21,0)</f>
        <v>1272143</v>
      </c>
      <c r="I102" s="604">
        <f t="shared" si="12"/>
        <v>7719833</v>
      </c>
      <c r="J102" s="604"/>
      <c r="K102" s="604">
        <f>VLOOKUP(D102,'CNKT '!$D$102:$AA$165,24,0)</f>
        <v>7719833</v>
      </c>
      <c r="L102" s="604"/>
      <c r="M102" s="606">
        <f t="shared" si="13"/>
        <v>7719833</v>
      </c>
      <c r="N102" s="675"/>
    </row>
    <row r="103" spans="1:16" s="126" customFormat="1" ht="21.75" hidden="1" customHeight="1">
      <c r="A103" s="870">
        <v>85</v>
      </c>
      <c r="B103" s="233">
        <v>4</v>
      </c>
      <c r="C103" s="674" t="str">
        <f>'Chấm công KT'!C98</f>
        <v>03591</v>
      </c>
      <c r="D103" s="605" t="str">
        <f>'CNKT '!D105</f>
        <v>N.Vông Ma Ni</v>
      </c>
      <c r="E103" s="605" t="s">
        <v>26</v>
      </c>
      <c r="F103" s="604">
        <f>VLOOKUP(D103,'CNKT '!$D$102:$G$165,4,0)</f>
        <v>0</v>
      </c>
      <c r="G103" s="604">
        <f>VLOOKUP(D103,'CNKT '!$D$102:$M$165,10,0)</f>
        <v>7201660</v>
      </c>
      <c r="H103" s="604">
        <f>VLOOKUP(D103,'CNKT '!$D$102:$X$165,21,0)</f>
        <v>1272143</v>
      </c>
      <c r="I103" s="604">
        <f t="shared" si="12"/>
        <v>8473803</v>
      </c>
      <c r="J103" s="604"/>
      <c r="K103" s="604">
        <f>VLOOKUP(D103,'CNKT '!$D$102:$AA$165,24,0)</f>
        <v>8473803</v>
      </c>
      <c r="L103" s="604"/>
      <c r="M103" s="606">
        <f t="shared" si="13"/>
        <v>8473803</v>
      </c>
      <c r="N103" s="675"/>
    </row>
    <row r="104" spans="1:16" s="126" customFormat="1" ht="21.75" hidden="1" customHeight="1">
      <c r="A104" s="870">
        <v>86</v>
      </c>
      <c r="B104" s="233">
        <v>5</v>
      </c>
      <c r="C104" s="674" t="str">
        <f>'Chấm công KT'!C99</f>
        <v>03592</v>
      </c>
      <c r="D104" s="605" t="str">
        <f>'CNKT '!D106</f>
        <v>Đao Hương</v>
      </c>
      <c r="E104" s="605" t="s">
        <v>26</v>
      </c>
      <c r="F104" s="604">
        <f>VLOOKUP(D104,'CNKT '!$D$102:$G$165,4,0)</f>
        <v>0</v>
      </c>
      <c r="G104" s="604">
        <f>VLOOKUP(D104,'CNKT '!$D$102:$M$165,10,0)</f>
        <v>6615829</v>
      </c>
      <c r="H104" s="604">
        <f>VLOOKUP(D104,'CNKT '!$D$102:$X$165,21,0)</f>
        <v>1272143</v>
      </c>
      <c r="I104" s="604">
        <f t="shared" si="12"/>
        <v>7887972</v>
      </c>
      <c r="J104" s="604"/>
      <c r="K104" s="604">
        <f>VLOOKUP(D104,'CNKT '!$D$102:$AA$165,24,0)</f>
        <v>7887972</v>
      </c>
      <c r="L104" s="604"/>
      <c r="M104" s="606">
        <f t="shared" si="13"/>
        <v>7887972</v>
      </c>
      <c r="N104" s="675"/>
    </row>
    <row r="105" spans="1:16" s="126" customFormat="1" ht="21.75" hidden="1" customHeight="1">
      <c r="A105" s="870">
        <v>87</v>
      </c>
      <c r="B105" s="233">
        <v>6</v>
      </c>
      <c r="C105" s="674" t="str">
        <f>'Chấm công KT'!C100</f>
        <v>03593</v>
      </c>
      <c r="D105" s="605" t="str">
        <f>'CNKT '!D107</f>
        <v>T. Xi Nun</v>
      </c>
      <c r="E105" s="605" t="s">
        <v>26</v>
      </c>
      <c r="F105" s="604">
        <f>VLOOKUP(D105,'CNKT '!$D$102:$G$165,4,0)</f>
        <v>0</v>
      </c>
      <c r="G105" s="604">
        <f>VLOOKUP(D105,'CNKT '!$D$102:$M$165,10,0)</f>
        <v>8425985</v>
      </c>
      <c r="H105" s="604">
        <f>VLOOKUP(D105,'CNKT '!$D$102:$X$165,21,0)</f>
        <v>1210299</v>
      </c>
      <c r="I105" s="604">
        <f t="shared" si="12"/>
        <v>9636284</v>
      </c>
      <c r="J105" s="604"/>
      <c r="K105" s="604">
        <f>VLOOKUP(D105,'CNKT '!$D$102:$AA$165,24,0)</f>
        <v>9636284</v>
      </c>
      <c r="L105" s="604"/>
      <c r="M105" s="606">
        <f t="shared" si="13"/>
        <v>9636284</v>
      </c>
      <c r="N105" s="675"/>
    </row>
    <row r="106" spans="1:16" s="126" customFormat="1" ht="21.75" hidden="1" customHeight="1">
      <c r="A106" s="870">
        <v>88</v>
      </c>
      <c r="B106" s="233">
        <v>7</v>
      </c>
      <c r="C106" s="674" t="str">
        <f>'Chấm công KT'!C101</f>
        <v>03594</v>
      </c>
      <c r="D106" s="605" t="str">
        <f>'CNKT '!D108</f>
        <v>T. Bun Hinh</v>
      </c>
      <c r="E106" s="605" t="s">
        <v>26</v>
      </c>
      <c r="F106" s="604">
        <f>VLOOKUP(D106,'CNKT '!$D$102:$G$165,4,0)</f>
        <v>0</v>
      </c>
      <c r="G106" s="604">
        <f>VLOOKUP(D106,'CNKT '!$D$102:$M$165,10,0)</f>
        <v>5591065</v>
      </c>
      <c r="H106" s="604">
        <f>VLOOKUP(D106,'CNKT '!$D$102:$X$165,21,0)</f>
        <v>1272143</v>
      </c>
      <c r="I106" s="604">
        <f t="shared" si="12"/>
        <v>6863208</v>
      </c>
      <c r="J106" s="604"/>
      <c r="K106" s="604">
        <f>VLOOKUP(D106,'CNKT '!$D$102:$AA$165,24,0)</f>
        <v>6863208</v>
      </c>
      <c r="L106" s="604"/>
      <c r="M106" s="606">
        <f t="shared" si="13"/>
        <v>6863208</v>
      </c>
      <c r="N106" s="675"/>
    </row>
    <row r="107" spans="1:16" s="126" customFormat="1" ht="21.75" hidden="1" customHeight="1">
      <c r="A107" s="870">
        <v>89</v>
      </c>
      <c r="B107" s="233">
        <v>8</v>
      </c>
      <c r="C107" s="674" t="str">
        <f>'Chấm công KT'!C102</f>
        <v>04073</v>
      </c>
      <c r="D107" s="605" t="str">
        <f>'CNKT '!D109</f>
        <v>T. Miềng</v>
      </c>
      <c r="E107" s="605" t="s">
        <v>26</v>
      </c>
      <c r="F107" s="604">
        <f>VLOOKUP(D107,'CNKT '!$D$102:$G$165,4,0)</f>
        <v>0</v>
      </c>
      <c r="G107" s="604">
        <f>VLOOKUP(D107,'CNKT '!$D$102:$M$165,10,0)</f>
        <v>4982892</v>
      </c>
      <c r="H107" s="604">
        <f>VLOOKUP(D107,'CNKT '!$D$102:$X$165,21,0)</f>
        <v>1210299</v>
      </c>
      <c r="I107" s="604">
        <f t="shared" si="12"/>
        <v>6193191</v>
      </c>
      <c r="J107" s="604"/>
      <c r="K107" s="604">
        <f>VLOOKUP(D107,'CNKT '!$D$102:$AA$165,24,0)</f>
        <v>6193191</v>
      </c>
      <c r="L107" s="604"/>
      <c r="M107" s="606">
        <f t="shared" si="13"/>
        <v>6193191</v>
      </c>
      <c r="N107" s="675"/>
    </row>
    <row r="108" spans="1:16" s="126" customFormat="1" ht="21.75" hidden="1" customHeight="1">
      <c r="A108" s="870">
        <v>90</v>
      </c>
      <c r="B108" s="233">
        <v>9</v>
      </c>
      <c r="C108" s="674" t="str">
        <f>'Chấm công KT'!C103</f>
        <v>03596</v>
      </c>
      <c r="D108" s="605" t="str">
        <f>'CNKT '!D110</f>
        <v>N. Xúc</v>
      </c>
      <c r="E108" s="605" t="s">
        <v>26</v>
      </c>
      <c r="F108" s="604">
        <f>VLOOKUP(D108,'CNKT '!$D$102:$G$165,4,0)</f>
        <v>0</v>
      </c>
      <c r="G108" s="604">
        <f>VLOOKUP(D108,'CNKT '!$D$102:$M$165,10,0)</f>
        <v>5896675</v>
      </c>
      <c r="H108" s="604">
        <f>VLOOKUP(D108,'CNKT '!$D$102:$X$165,21,0)</f>
        <v>1189639</v>
      </c>
      <c r="I108" s="604">
        <f t="shared" si="12"/>
        <v>7086314</v>
      </c>
      <c r="J108" s="604"/>
      <c r="K108" s="604">
        <f>VLOOKUP(D108,'CNKT '!$D$102:$AA$165,24,0)</f>
        <v>7086314</v>
      </c>
      <c r="L108" s="604"/>
      <c r="M108" s="606">
        <f t="shared" si="13"/>
        <v>7086314</v>
      </c>
      <c r="N108" s="675"/>
    </row>
    <row r="109" spans="1:16" s="126" customFormat="1" ht="21.75" hidden="1" customHeight="1">
      <c r="A109" s="870">
        <v>91</v>
      </c>
      <c r="B109" s="233">
        <v>10</v>
      </c>
      <c r="C109" s="674" t="str">
        <f>'Chấm công KT'!C104</f>
        <v>03597</v>
      </c>
      <c r="D109" s="605" t="str">
        <f>'CNKT '!D111</f>
        <v>N. Lẹ</v>
      </c>
      <c r="E109" s="605" t="s">
        <v>26</v>
      </c>
      <c r="F109" s="604">
        <f>VLOOKUP(D109,'CNKT '!$D$102:$G$165,4,0)</f>
        <v>0</v>
      </c>
      <c r="G109" s="604">
        <f>VLOOKUP(D109,'CNKT '!$D$102:$M$165,10,0)</f>
        <v>6684854</v>
      </c>
      <c r="H109" s="604">
        <f>VLOOKUP(D109,'CNKT '!$D$102:$X$165,21,0)</f>
        <v>1272143</v>
      </c>
      <c r="I109" s="604">
        <f t="shared" si="12"/>
        <v>7956997</v>
      </c>
      <c r="J109" s="604"/>
      <c r="K109" s="604">
        <f>VLOOKUP(D109,'CNKT '!$D$102:$AA$165,24,0)</f>
        <v>7956997</v>
      </c>
      <c r="L109" s="604"/>
      <c r="M109" s="606">
        <f t="shared" si="13"/>
        <v>7956997</v>
      </c>
      <c r="N109" s="675"/>
    </row>
    <row r="110" spans="1:16" s="126" customFormat="1" ht="21.75" hidden="1" customHeight="1">
      <c r="A110" s="870">
        <v>92</v>
      </c>
      <c r="B110" s="233">
        <v>11</v>
      </c>
      <c r="C110" s="674" t="str">
        <f>'Chấm công KT'!C105</f>
        <v>03598</v>
      </c>
      <c r="D110" s="605" t="str">
        <f>'CNKT '!D112</f>
        <v>N . Thích</v>
      </c>
      <c r="E110" s="605" t="s">
        <v>26</v>
      </c>
      <c r="F110" s="604">
        <f>VLOOKUP(D110,'CNKT '!$D$102:$G$165,4,0)</f>
        <v>0</v>
      </c>
      <c r="G110" s="604">
        <f>VLOOKUP(D110,'CNKT '!$D$102:$M$165,10,0)</f>
        <v>6737951</v>
      </c>
      <c r="H110" s="604">
        <f>VLOOKUP(D110,'CNKT '!$D$102:$X$165,21,0)</f>
        <v>1272143</v>
      </c>
      <c r="I110" s="604">
        <f t="shared" si="12"/>
        <v>8010094</v>
      </c>
      <c r="J110" s="604"/>
      <c r="K110" s="604">
        <f>VLOOKUP(D110,'CNKT '!$D$102:$AA$165,24,0)</f>
        <v>8010094</v>
      </c>
      <c r="L110" s="604"/>
      <c r="M110" s="606">
        <f t="shared" si="13"/>
        <v>8010094</v>
      </c>
      <c r="N110" s="675"/>
    </row>
    <row r="111" spans="1:16" s="126" customFormat="1" ht="21.75" hidden="1" customHeight="1">
      <c r="A111" s="870">
        <v>93</v>
      </c>
      <c r="B111" s="233">
        <v>12</v>
      </c>
      <c r="C111" s="674" t="str">
        <f>'Chấm công KT'!C106</f>
        <v>03599</v>
      </c>
      <c r="D111" s="605" t="str">
        <f>'CNKT '!D113</f>
        <v>N. Cong Mi</v>
      </c>
      <c r="E111" s="605" t="s">
        <v>26</v>
      </c>
      <c r="F111" s="604">
        <f>VLOOKUP(D111,'CNKT '!$D$102:$G$165,4,0)</f>
        <v>0</v>
      </c>
      <c r="G111" s="604">
        <f>VLOOKUP(D111,'CNKT '!$D$102:$M$165,10,0)</f>
        <v>5927343</v>
      </c>
      <c r="H111" s="604">
        <f>VLOOKUP(D111,'CNKT '!$D$102:$X$165,21,0)</f>
        <v>1272143</v>
      </c>
      <c r="I111" s="604">
        <f t="shared" si="12"/>
        <v>7199486</v>
      </c>
      <c r="J111" s="604"/>
      <c r="K111" s="604">
        <f>VLOOKUP(D111,'CNKT '!$D$102:$AA$165,24,0)</f>
        <v>7199486</v>
      </c>
      <c r="L111" s="604"/>
      <c r="M111" s="606">
        <f t="shared" si="13"/>
        <v>7199486</v>
      </c>
      <c r="N111" s="675"/>
    </row>
    <row r="112" spans="1:16" s="126" customFormat="1" ht="21.75" hidden="1" customHeight="1">
      <c r="A112" s="870">
        <v>94</v>
      </c>
      <c r="B112" s="233">
        <v>13</v>
      </c>
      <c r="C112" s="674" t="str">
        <f>'Chấm công KT'!C107</f>
        <v>04074</v>
      </c>
      <c r="D112" s="605" t="str">
        <f>'CNKT '!D114</f>
        <v>T. Na</v>
      </c>
      <c r="E112" s="605" t="s">
        <v>26</v>
      </c>
      <c r="F112" s="604">
        <f>VLOOKUP(D112,'CNKT '!$D$102:$G$165,4,0)</f>
        <v>0</v>
      </c>
      <c r="G112" s="604">
        <f>VLOOKUP(D112,'CNKT '!$D$102:$M$165,10,0)</f>
        <v>5525580</v>
      </c>
      <c r="H112" s="604">
        <f>VLOOKUP(D112,'CNKT '!$D$102:$X$165,21,0)</f>
        <v>1210299</v>
      </c>
      <c r="I112" s="604">
        <f t="shared" si="12"/>
        <v>6735879</v>
      </c>
      <c r="J112" s="604"/>
      <c r="K112" s="604">
        <f>VLOOKUP(D112,'CNKT '!$D$102:$AA$165,24,0)</f>
        <v>6735879</v>
      </c>
      <c r="L112" s="604"/>
      <c r="M112" s="606">
        <f t="shared" si="13"/>
        <v>6735879</v>
      </c>
      <c r="N112" s="675"/>
    </row>
    <row r="113" spans="1:14" s="126" customFormat="1" ht="21.75" hidden="1" customHeight="1">
      <c r="A113" s="870">
        <v>95</v>
      </c>
      <c r="B113" s="233">
        <v>14</v>
      </c>
      <c r="C113" s="674" t="str">
        <f>'Chấm công KT'!C108</f>
        <v>03601</v>
      </c>
      <c r="D113" s="605" t="str">
        <f>'CNKT '!D115</f>
        <v>T. Khăm Mặn</v>
      </c>
      <c r="E113" s="605" t="s">
        <v>26</v>
      </c>
      <c r="F113" s="604">
        <f>VLOOKUP(D113,'CNKT '!$D$102:$G$165,4,0)</f>
        <v>0</v>
      </c>
      <c r="G113" s="604">
        <f>VLOOKUP(D113,'CNKT '!$D$102:$M$165,10,0)</f>
        <v>8937917</v>
      </c>
      <c r="H113" s="604">
        <f>VLOOKUP(D113,'CNKT '!$D$102:$X$165,21,0)</f>
        <v>1272143</v>
      </c>
      <c r="I113" s="604">
        <f t="shared" si="12"/>
        <v>10210060</v>
      </c>
      <c r="J113" s="604"/>
      <c r="K113" s="604">
        <f>VLOOKUP(D113,'CNKT '!$D$102:$AA$165,24,0)</f>
        <v>10210060</v>
      </c>
      <c r="L113" s="604"/>
      <c r="M113" s="606">
        <f t="shared" si="13"/>
        <v>10210060</v>
      </c>
      <c r="N113" s="675"/>
    </row>
    <row r="114" spans="1:14" s="126" customFormat="1" ht="21.75" hidden="1" customHeight="1">
      <c r="A114" s="870">
        <v>96</v>
      </c>
      <c r="B114" s="233">
        <v>15</v>
      </c>
      <c r="C114" s="674" t="str">
        <f>'Chấm công KT'!C109</f>
        <v>03602</v>
      </c>
      <c r="D114" s="605" t="str">
        <f>'CNKT '!D116</f>
        <v>T . In Tong</v>
      </c>
      <c r="E114" s="605" t="s">
        <v>26</v>
      </c>
      <c r="F114" s="604">
        <f>VLOOKUP(D114,'CNKT '!$D$102:$G$165,4,0)</f>
        <v>0</v>
      </c>
      <c r="G114" s="604">
        <f>VLOOKUP(D114,'CNKT '!$D$102:$M$165,10,0)</f>
        <v>6854763</v>
      </c>
      <c r="H114" s="604">
        <f>VLOOKUP(D114,'CNKT '!$D$102:$X$165,21,0)</f>
        <v>1272143</v>
      </c>
      <c r="I114" s="604">
        <f t="shared" si="12"/>
        <v>8126906</v>
      </c>
      <c r="J114" s="604"/>
      <c r="K114" s="604">
        <f>VLOOKUP(D114,'CNKT '!$D$102:$AA$165,24,0)</f>
        <v>8126906</v>
      </c>
      <c r="L114" s="604"/>
      <c r="M114" s="606">
        <f t="shared" si="13"/>
        <v>8126906</v>
      </c>
      <c r="N114" s="675"/>
    </row>
    <row r="115" spans="1:14" s="126" customFormat="1" ht="21.75" hidden="1" customHeight="1">
      <c r="A115" s="870">
        <v>97</v>
      </c>
      <c r="B115" s="233">
        <v>16</v>
      </c>
      <c r="C115" s="674" t="str">
        <f>'Chấm công KT'!C110</f>
        <v>03496</v>
      </c>
      <c r="D115" s="605" t="str">
        <f>'CNKT '!D117</f>
        <v>T. Lốp</v>
      </c>
      <c r="E115" s="605" t="s">
        <v>26</v>
      </c>
      <c r="F115" s="604">
        <f>VLOOKUP(D115,'CNKT '!$D$102:$G$165,4,0)</f>
        <v>0</v>
      </c>
      <c r="G115" s="604">
        <f>VLOOKUP(D115,'CNKT '!$D$102:$M$165,10,0)</f>
        <v>6980425</v>
      </c>
      <c r="H115" s="604">
        <f>VLOOKUP(D115,'CNKT '!$D$102:$X$165,21,0)</f>
        <v>1272143</v>
      </c>
      <c r="I115" s="604">
        <f t="shared" si="12"/>
        <v>8252568</v>
      </c>
      <c r="J115" s="604"/>
      <c r="K115" s="604">
        <f>VLOOKUP(D115,'CNKT '!$D$102:$AA$165,24,0)</f>
        <v>8252568</v>
      </c>
      <c r="L115" s="604"/>
      <c r="M115" s="606">
        <f t="shared" si="13"/>
        <v>8252568</v>
      </c>
      <c r="N115" s="675"/>
    </row>
    <row r="116" spans="1:14" s="126" customFormat="1" ht="21.75" hidden="1" customHeight="1">
      <c r="A116" s="870">
        <v>98</v>
      </c>
      <c r="B116" s="233">
        <v>17</v>
      </c>
      <c r="C116" s="674" t="str">
        <f>'Chấm công KT'!C111</f>
        <v>03604</v>
      </c>
      <c r="D116" s="605" t="str">
        <f>'CNKT '!D118</f>
        <v>T. Lăm Phêng</v>
      </c>
      <c r="E116" s="605" t="s">
        <v>26</v>
      </c>
      <c r="F116" s="604">
        <f>VLOOKUP(D116,'CNKT '!$D$102:$G$165,4,0)</f>
        <v>0</v>
      </c>
      <c r="G116" s="604">
        <f>VLOOKUP(D116,'CNKT '!$D$102:$M$165,10,0)</f>
        <v>11364429</v>
      </c>
      <c r="H116" s="604">
        <f>VLOOKUP(D116,'CNKT '!$D$102:$X$165,21,0)</f>
        <v>1272143</v>
      </c>
      <c r="I116" s="604">
        <f t="shared" si="12"/>
        <v>12636572</v>
      </c>
      <c r="J116" s="604"/>
      <c r="K116" s="604">
        <f>VLOOKUP(D116,'CNKT '!$D$102:$AA$165,24,0)</f>
        <v>12636572</v>
      </c>
      <c r="L116" s="604"/>
      <c r="M116" s="606">
        <f t="shared" si="13"/>
        <v>12636572</v>
      </c>
      <c r="N116" s="675"/>
    </row>
    <row r="117" spans="1:14" s="126" customFormat="1" ht="21.75" hidden="1" customHeight="1">
      <c r="A117" s="870">
        <v>99</v>
      </c>
      <c r="B117" s="233">
        <v>18</v>
      </c>
      <c r="C117" s="674" t="str">
        <f>'Chấm công KT'!C112</f>
        <v>04075</v>
      </c>
      <c r="D117" s="605" t="str">
        <f>'CNKT '!D119</f>
        <v>T Xèng</v>
      </c>
      <c r="E117" s="605" t="s">
        <v>26</v>
      </c>
      <c r="F117" s="604">
        <f>VLOOKUP(D117,'CNKT '!$D$102:$G$165,4,0)</f>
        <v>0</v>
      </c>
      <c r="G117" s="604">
        <f>VLOOKUP(D117,'CNKT '!$D$102:$M$165,10,0)</f>
        <v>8463588</v>
      </c>
      <c r="H117" s="604">
        <f>VLOOKUP(D117,'CNKT '!$D$102:$X$165,21,0)</f>
        <v>1272143</v>
      </c>
      <c r="I117" s="604">
        <f t="shared" si="12"/>
        <v>9735731</v>
      </c>
      <c r="J117" s="604"/>
      <c r="K117" s="604">
        <f>VLOOKUP(D117,'CNKT '!$D$102:$AA$165,24,0)</f>
        <v>9735731</v>
      </c>
      <c r="L117" s="604"/>
      <c r="M117" s="606">
        <f t="shared" si="13"/>
        <v>9735731</v>
      </c>
      <c r="N117" s="675"/>
    </row>
    <row r="118" spans="1:14" s="126" customFormat="1" ht="21.75" hidden="1" customHeight="1">
      <c r="A118" s="870">
        <v>100</v>
      </c>
      <c r="B118" s="233">
        <v>19</v>
      </c>
      <c r="C118" s="674" t="str">
        <f>'Chấm công KT'!C113</f>
        <v>03509</v>
      </c>
      <c r="D118" s="605" t="str">
        <f>'CNKT '!D120</f>
        <v>T. May</v>
      </c>
      <c r="E118" s="605" t="s">
        <v>26</v>
      </c>
      <c r="F118" s="604">
        <f>VLOOKUP(D118,'CNKT '!$D$102:$G$165,4,0)</f>
        <v>0</v>
      </c>
      <c r="G118" s="604">
        <f>VLOOKUP(D118,'CNKT '!$D$102:$M$165,10,0)</f>
        <v>8044125</v>
      </c>
      <c r="H118" s="604">
        <f>VLOOKUP(D118,'CNKT '!$D$102:$X$165,21,0)</f>
        <v>1220561</v>
      </c>
      <c r="I118" s="604">
        <f t="shared" si="12"/>
        <v>9264686</v>
      </c>
      <c r="J118" s="604"/>
      <c r="K118" s="604">
        <f>VLOOKUP(D118,'CNKT '!$D$102:$AA$165,24,0)</f>
        <v>9264686</v>
      </c>
      <c r="L118" s="604"/>
      <c r="M118" s="606">
        <f t="shared" si="13"/>
        <v>9264686</v>
      </c>
      <c r="N118" s="675"/>
    </row>
    <row r="119" spans="1:14" s="126" customFormat="1" ht="21.75" hidden="1" customHeight="1">
      <c r="A119" s="870">
        <v>101</v>
      </c>
      <c r="B119" s="233">
        <v>20</v>
      </c>
      <c r="C119" s="674" t="str">
        <f>'Chấm công KT'!C114</f>
        <v>03607</v>
      </c>
      <c r="D119" s="605" t="str">
        <f>'CNKT '!D121</f>
        <v>T. Huôn</v>
      </c>
      <c r="E119" s="605" t="s">
        <v>26</v>
      </c>
      <c r="F119" s="604">
        <f>VLOOKUP(D119,'CNKT '!$D$102:$G$165,4,0)</f>
        <v>0</v>
      </c>
      <c r="G119" s="604">
        <f>VLOOKUP(D119,'CNKT '!$D$102:$M$165,10,0)</f>
        <v>6081323</v>
      </c>
      <c r="H119" s="604">
        <f>VLOOKUP(D119,'CNKT '!$D$102:$X$165,21,0)</f>
        <v>1189639</v>
      </c>
      <c r="I119" s="604">
        <f t="shared" si="12"/>
        <v>7270962</v>
      </c>
      <c r="J119" s="604"/>
      <c r="K119" s="604">
        <f>VLOOKUP(D119,'CNKT '!$D$102:$AA$165,24,0)</f>
        <v>7270962</v>
      </c>
      <c r="L119" s="604"/>
      <c r="M119" s="606">
        <f t="shared" si="13"/>
        <v>7270962</v>
      </c>
      <c r="N119" s="675"/>
    </row>
    <row r="120" spans="1:14" s="126" customFormat="1" ht="21.75" hidden="1" customHeight="1">
      <c r="A120" s="870">
        <v>102</v>
      </c>
      <c r="B120" s="233">
        <v>21</v>
      </c>
      <c r="C120" s="674" t="str">
        <f>'Chấm công KT'!C115</f>
        <v>02729</v>
      </c>
      <c r="D120" s="605" t="str">
        <f>'CNKT '!D122</f>
        <v>N. Lay</v>
      </c>
      <c r="E120" s="605" t="s">
        <v>26</v>
      </c>
      <c r="F120" s="604">
        <f>VLOOKUP(D120,'CNKT '!$D$102:$G$165,4,0)</f>
        <v>0</v>
      </c>
      <c r="G120" s="604">
        <f>VLOOKUP(D120,'CNKT '!$D$102:$M$165,10,0)</f>
        <v>6065394</v>
      </c>
      <c r="H120" s="604">
        <f>VLOOKUP(D120,'CNKT '!$D$102:$X$165,21,0)</f>
        <v>1158717</v>
      </c>
      <c r="I120" s="604">
        <f t="shared" si="12"/>
        <v>7224111</v>
      </c>
      <c r="J120" s="604"/>
      <c r="K120" s="604">
        <f>VLOOKUP(D120,'CNKT '!$D$102:$AA$165,24,0)</f>
        <v>7224111</v>
      </c>
      <c r="L120" s="604"/>
      <c r="M120" s="606">
        <f t="shared" si="13"/>
        <v>7224111</v>
      </c>
      <c r="N120" s="675"/>
    </row>
    <row r="121" spans="1:14" s="126" customFormat="1" ht="21.75" hidden="1" customHeight="1">
      <c r="A121" s="870">
        <v>103</v>
      </c>
      <c r="B121" s="233">
        <v>22</v>
      </c>
      <c r="C121" s="674" t="str">
        <f>'Chấm công KT'!C116</f>
        <v>03608</v>
      </c>
      <c r="D121" s="605" t="str">
        <f>'CNKT '!D123</f>
        <v>N. Pon</v>
      </c>
      <c r="E121" s="605" t="s">
        <v>26</v>
      </c>
      <c r="F121" s="604">
        <f>VLOOKUP(D121,'CNKT '!$D$102:$G$165,4,0)</f>
        <v>0</v>
      </c>
      <c r="G121" s="604">
        <f>VLOOKUP(D121,'CNKT '!$D$102:$M$165,10,0)</f>
        <v>8291909</v>
      </c>
      <c r="H121" s="604">
        <f>VLOOKUP(D121,'CNKT '!$D$102:$X$165,21,0)</f>
        <v>1272143</v>
      </c>
      <c r="I121" s="604">
        <f t="shared" si="12"/>
        <v>9564052</v>
      </c>
      <c r="J121" s="604"/>
      <c r="K121" s="604">
        <f>VLOOKUP(D121,'CNKT '!$D$102:$AA$165,24,0)</f>
        <v>9564052</v>
      </c>
      <c r="L121" s="604"/>
      <c r="M121" s="606">
        <f t="shared" si="13"/>
        <v>9564052</v>
      </c>
      <c r="N121" s="675"/>
    </row>
    <row r="122" spans="1:14" s="126" customFormat="1" ht="21.75" hidden="1" customHeight="1">
      <c r="A122" s="870">
        <v>104</v>
      </c>
      <c r="B122" s="233">
        <v>23</v>
      </c>
      <c r="C122" s="674" t="str">
        <f>'Chấm công KT'!C117</f>
        <v>03609</v>
      </c>
      <c r="D122" s="605" t="str">
        <f>'CNKT '!D124</f>
        <v>N. Bun Đi</v>
      </c>
      <c r="E122" s="605" t="s">
        <v>26</v>
      </c>
      <c r="F122" s="604">
        <f>VLOOKUP(D122,'CNKT '!$D$102:$G$165,4,0)</f>
        <v>0</v>
      </c>
      <c r="G122" s="604">
        <f>VLOOKUP(D122,'CNKT '!$D$102:$M$165,10,0)</f>
        <v>6737951</v>
      </c>
      <c r="H122" s="604">
        <f>VLOOKUP(D122,'CNKT '!$D$102:$X$165,21,0)</f>
        <v>1272143</v>
      </c>
      <c r="I122" s="604">
        <f t="shared" si="12"/>
        <v>8010094</v>
      </c>
      <c r="J122" s="604"/>
      <c r="K122" s="604">
        <f>VLOOKUP(D122,'CNKT '!$D$102:$AA$165,24,0)</f>
        <v>8010094</v>
      </c>
      <c r="L122" s="604"/>
      <c r="M122" s="606">
        <f t="shared" si="13"/>
        <v>8010094</v>
      </c>
      <c r="N122" s="675"/>
    </row>
    <row r="123" spans="1:14" s="126" customFormat="1" ht="21.75" hidden="1" customHeight="1">
      <c r="A123" s="870">
        <v>105</v>
      </c>
      <c r="B123" s="233">
        <v>24</v>
      </c>
      <c r="C123" s="674" t="str">
        <f>'Chấm công KT'!C118</f>
        <v>03610</v>
      </c>
      <c r="D123" s="605" t="str">
        <f>'CNKT '!D125</f>
        <v>N. Phon</v>
      </c>
      <c r="E123" s="605" t="s">
        <v>26</v>
      </c>
      <c r="F123" s="604">
        <f>VLOOKUP(D123,'CNKT '!$D$102:$G$165,4,0)</f>
        <v>0</v>
      </c>
      <c r="G123" s="604">
        <f>VLOOKUP(D123,'CNKT '!$D$102:$M$165,10,0)</f>
        <v>6547935</v>
      </c>
      <c r="H123" s="604">
        <f>VLOOKUP(D123,'CNKT '!$D$102:$X$165,21,0)</f>
        <v>1272143</v>
      </c>
      <c r="I123" s="604">
        <f t="shared" si="12"/>
        <v>7820078</v>
      </c>
      <c r="J123" s="604"/>
      <c r="K123" s="604">
        <f>VLOOKUP(D123,'CNKT '!$D$102:$AA$165,24,0)</f>
        <v>7820078</v>
      </c>
      <c r="L123" s="604"/>
      <c r="M123" s="606">
        <f t="shared" si="13"/>
        <v>7820078</v>
      </c>
      <c r="N123" s="675"/>
    </row>
    <row r="124" spans="1:14" s="126" customFormat="1" ht="21.75" hidden="1" customHeight="1">
      <c r="A124" s="870">
        <v>106</v>
      </c>
      <c r="B124" s="233">
        <v>25</v>
      </c>
      <c r="C124" s="674" t="str">
        <f>'Chấm công KT'!C119</f>
        <v>04076</v>
      </c>
      <c r="D124" s="605" t="str">
        <f>'CNKT '!D126</f>
        <v xml:space="preserve">N. Bun </v>
      </c>
      <c r="E124" s="605" t="s">
        <v>26</v>
      </c>
      <c r="F124" s="604">
        <f>VLOOKUP(D124,'CNKT '!$D$102:$G$165,4,0)</f>
        <v>0</v>
      </c>
      <c r="G124" s="604">
        <f>VLOOKUP(D124,'CNKT '!$D$102:$M$165,10,0)</f>
        <v>8605179</v>
      </c>
      <c r="H124" s="604">
        <f>VLOOKUP(D124,'CNKT '!$D$102:$X$165,21,0)</f>
        <v>1272143</v>
      </c>
      <c r="I124" s="604">
        <f t="shared" si="12"/>
        <v>9877322</v>
      </c>
      <c r="J124" s="604"/>
      <c r="K124" s="604">
        <f>VLOOKUP(D124,'CNKT '!$D$102:$AA$165,24,0)</f>
        <v>9877322</v>
      </c>
      <c r="L124" s="604"/>
      <c r="M124" s="606">
        <f t="shared" si="13"/>
        <v>9877322</v>
      </c>
      <c r="N124" s="675"/>
    </row>
    <row r="125" spans="1:14" s="126" customFormat="1" ht="21.75" hidden="1" customHeight="1">
      <c r="A125" s="870">
        <v>107</v>
      </c>
      <c r="B125" s="233">
        <v>26</v>
      </c>
      <c r="C125" s="674" t="str">
        <f>'Chấm công KT'!C120</f>
        <v>03612</v>
      </c>
      <c r="D125" s="605" t="str">
        <f>'CNKT '!D127</f>
        <v>N. Phu Văn</v>
      </c>
      <c r="E125" s="605" t="s">
        <v>26</v>
      </c>
      <c r="F125" s="604">
        <f>VLOOKUP(D125,'CNKT '!$D$102:$G$165,4,0)</f>
        <v>0</v>
      </c>
      <c r="G125" s="604">
        <f>VLOOKUP(D125,'CNKT '!$D$102:$M$165,10,0)</f>
        <v>8679514</v>
      </c>
      <c r="H125" s="604">
        <f>VLOOKUP(D125,'CNKT '!$D$102:$X$165,21,0)</f>
        <v>1272143</v>
      </c>
      <c r="I125" s="604">
        <f t="shared" si="12"/>
        <v>9951657</v>
      </c>
      <c r="J125" s="604"/>
      <c r="K125" s="604">
        <f>VLOOKUP(D125,'CNKT '!$D$102:$AA$165,24,0)</f>
        <v>9951657</v>
      </c>
      <c r="L125" s="604"/>
      <c r="M125" s="606">
        <f t="shared" si="13"/>
        <v>9951657</v>
      </c>
      <c r="N125" s="675"/>
    </row>
    <row r="126" spans="1:14" s="126" customFormat="1" ht="21.75" hidden="1" customHeight="1">
      <c r="A126" s="870">
        <v>108</v>
      </c>
      <c r="B126" s="233">
        <v>27</v>
      </c>
      <c r="C126" s="674" t="str">
        <f>'Chấm công KT'!C121</f>
        <v>03613</v>
      </c>
      <c r="D126" s="605" t="str">
        <f>'CNKT '!D128</f>
        <v>N. Lỷ</v>
      </c>
      <c r="E126" s="605" t="s">
        <v>26</v>
      </c>
      <c r="F126" s="604">
        <f>VLOOKUP(D126,'CNKT '!$D$102:$G$165,4,0)</f>
        <v>0</v>
      </c>
      <c r="G126" s="604">
        <f>VLOOKUP(D126,'CNKT '!$D$102:$M$165,10,0)</f>
        <v>9913124</v>
      </c>
      <c r="H126" s="604">
        <f>VLOOKUP(D126,'CNKT '!$D$102:$X$165,21,0)</f>
        <v>1272143</v>
      </c>
      <c r="I126" s="604">
        <f t="shared" si="12"/>
        <v>11185267</v>
      </c>
      <c r="J126" s="604"/>
      <c r="K126" s="604">
        <f>VLOOKUP(D126,'CNKT '!$D$102:$AA$165,24,0)</f>
        <v>11185267</v>
      </c>
      <c r="L126" s="604"/>
      <c r="M126" s="606">
        <f t="shared" si="13"/>
        <v>11185267</v>
      </c>
      <c r="N126" s="675"/>
    </row>
    <row r="127" spans="1:14" s="126" customFormat="1" ht="21.75" hidden="1" customHeight="1">
      <c r="A127" s="870">
        <v>109</v>
      </c>
      <c r="B127" s="233">
        <v>28</v>
      </c>
      <c r="C127" s="674" t="str">
        <f>'Chấm công KT'!C122</f>
        <v>04077</v>
      </c>
      <c r="D127" s="605" t="str">
        <f>'CNKT '!D129</f>
        <v>N. Quen</v>
      </c>
      <c r="E127" s="605" t="s">
        <v>26</v>
      </c>
      <c r="F127" s="604">
        <f>VLOOKUP(D127,'CNKT '!$D$102:$G$165,4,0)</f>
        <v>0</v>
      </c>
      <c r="G127" s="604">
        <f>VLOOKUP(D127,'CNKT '!$D$102:$M$165,10,0)</f>
        <v>8451199</v>
      </c>
      <c r="H127" s="604">
        <f>VLOOKUP(D127,'CNKT '!$D$102:$X$165,21,0)</f>
        <v>1272143</v>
      </c>
      <c r="I127" s="604">
        <f t="shared" si="12"/>
        <v>9723342</v>
      </c>
      <c r="J127" s="604"/>
      <c r="K127" s="604">
        <f>VLOOKUP(D127,'CNKT '!$D$102:$AA$165,24,0)</f>
        <v>9723342</v>
      </c>
      <c r="L127" s="604"/>
      <c r="M127" s="606">
        <f t="shared" si="13"/>
        <v>9723342</v>
      </c>
      <c r="N127" s="675"/>
    </row>
    <row r="128" spans="1:14" s="126" customFormat="1" ht="21.75" hidden="1" customHeight="1">
      <c r="A128" s="870">
        <v>110</v>
      </c>
      <c r="B128" s="233">
        <v>29</v>
      </c>
      <c r="C128" s="674" t="str">
        <f>'Chấm công KT'!C123</f>
        <v>03615</v>
      </c>
      <c r="D128" s="605" t="str">
        <f>'CNKT '!D130</f>
        <v>T. Xi Nuôn</v>
      </c>
      <c r="E128" s="605" t="s">
        <v>26</v>
      </c>
      <c r="F128" s="604">
        <f>VLOOKUP(D128,'CNKT '!$D$102:$G$165,4,0)</f>
        <v>0</v>
      </c>
      <c r="G128" s="604">
        <f>VLOOKUP(D128,'CNKT '!$D$102:$M$165,10,0)</f>
        <v>6008758</v>
      </c>
      <c r="H128" s="604">
        <f>VLOOKUP(D128,'CNKT '!$D$102:$X$165,21,0)</f>
        <v>1210299</v>
      </c>
      <c r="I128" s="604">
        <f t="shared" si="12"/>
        <v>7219057</v>
      </c>
      <c r="J128" s="604"/>
      <c r="K128" s="604">
        <f>VLOOKUP(D128,'CNKT '!$D$102:$AA$165,24,0)</f>
        <v>7219057</v>
      </c>
      <c r="L128" s="604"/>
      <c r="M128" s="606">
        <f t="shared" si="13"/>
        <v>7219057</v>
      </c>
      <c r="N128" s="675"/>
    </row>
    <row r="129" spans="1:14" s="126" customFormat="1" ht="21.75" hidden="1" customHeight="1">
      <c r="A129" s="870">
        <v>111</v>
      </c>
      <c r="B129" s="233">
        <v>30</v>
      </c>
      <c r="C129" s="674" t="str">
        <f>'Chấm công KT'!C124</f>
        <v>03616</v>
      </c>
      <c r="D129" s="605" t="str">
        <f>'CNKT '!D131</f>
        <v>N. Ốc</v>
      </c>
      <c r="E129" s="605" t="s">
        <v>26</v>
      </c>
      <c r="F129" s="604">
        <f>VLOOKUP(D129,'CNKT '!$D$102:$G$165,4,0)</f>
        <v>0</v>
      </c>
      <c r="G129" s="604">
        <f>VLOOKUP(D129,'CNKT '!$D$102:$M$165,10,0)</f>
        <v>9500740</v>
      </c>
      <c r="H129" s="604">
        <f>VLOOKUP(D129,'CNKT '!$D$102:$X$165,21,0)</f>
        <v>1272143</v>
      </c>
      <c r="I129" s="604">
        <f t="shared" si="12"/>
        <v>10772883</v>
      </c>
      <c r="J129" s="604"/>
      <c r="K129" s="604">
        <f>VLOOKUP(D129,'CNKT '!$D$102:$AA$165,24,0)</f>
        <v>10772883</v>
      </c>
      <c r="L129" s="604"/>
      <c r="M129" s="606">
        <f t="shared" si="13"/>
        <v>10772883</v>
      </c>
      <c r="N129" s="675"/>
    </row>
    <row r="130" spans="1:14" s="126" customFormat="1" ht="21.75" hidden="1" customHeight="1">
      <c r="A130" s="870">
        <v>112</v>
      </c>
      <c r="B130" s="233">
        <v>31</v>
      </c>
      <c r="C130" s="674" t="str">
        <f>'Chấm công KT'!C125</f>
        <v>03617</v>
      </c>
      <c r="D130" s="605" t="str">
        <f>'CNKT '!D132</f>
        <v>T. Văn Nô</v>
      </c>
      <c r="E130" s="605" t="s">
        <v>26</v>
      </c>
      <c r="F130" s="604">
        <f>VLOOKUP(D130,'CNKT '!$D$102:$G$165,4,0)</f>
        <v>0</v>
      </c>
      <c r="G130" s="604">
        <f>VLOOKUP(D130,'CNKT '!$D$102:$M$165,10,0)</f>
        <v>8169787</v>
      </c>
      <c r="H130" s="604">
        <f>VLOOKUP(D130,'CNKT '!$D$102:$X$165,21,0)</f>
        <v>1272143</v>
      </c>
      <c r="I130" s="604">
        <f t="shared" si="12"/>
        <v>9441930</v>
      </c>
      <c r="J130" s="604"/>
      <c r="K130" s="604">
        <f>VLOOKUP(D130,'CNKT '!$D$102:$AA$165,24,0)</f>
        <v>9441930</v>
      </c>
      <c r="L130" s="604"/>
      <c r="M130" s="606">
        <f t="shared" si="13"/>
        <v>9441930</v>
      </c>
      <c r="N130" s="675"/>
    </row>
    <row r="131" spans="1:14" s="126" customFormat="1" ht="21.75" hidden="1" customHeight="1">
      <c r="A131" s="870">
        <v>113</v>
      </c>
      <c r="B131" s="233">
        <v>32</v>
      </c>
      <c r="C131" s="674" t="str">
        <f>'Chấm công KT'!C126</f>
        <v>03618</v>
      </c>
      <c r="D131" s="605" t="str">
        <f>'CNKT '!D133</f>
        <v>N. Văn Ta</v>
      </c>
      <c r="E131" s="605" t="s">
        <v>26</v>
      </c>
      <c r="F131" s="604">
        <f>VLOOKUP(D131,'CNKT '!$D$102:$G$165,4,0)</f>
        <v>0</v>
      </c>
      <c r="G131" s="604">
        <f>VLOOKUP(D131,'CNKT '!$D$102:$M$165,10,0)</f>
        <v>8762699</v>
      </c>
      <c r="H131" s="604">
        <f>VLOOKUP(D131,'CNKT '!$D$102:$X$165,21,0)</f>
        <v>1241221</v>
      </c>
      <c r="I131" s="604">
        <f t="shared" si="12"/>
        <v>10003920</v>
      </c>
      <c r="J131" s="604"/>
      <c r="K131" s="604">
        <f>VLOOKUP(D131,'CNKT '!$D$102:$AA$165,24,0)</f>
        <v>10003920</v>
      </c>
      <c r="L131" s="604"/>
      <c r="M131" s="606">
        <f t="shared" si="13"/>
        <v>10003920</v>
      </c>
      <c r="N131" s="675"/>
    </row>
    <row r="132" spans="1:14" s="126" customFormat="1" ht="21.75" hidden="1" customHeight="1">
      <c r="A132" s="870">
        <v>114</v>
      </c>
      <c r="B132" s="233">
        <v>33</v>
      </c>
      <c r="C132" s="674" t="str">
        <f>'Chấm công KT'!C127</f>
        <v>03619</v>
      </c>
      <c r="D132" s="605" t="str">
        <f>'CNKT '!D134</f>
        <v>T. Thon</v>
      </c>
      <c r="E132" s="605" t="s">
        <v>26</v>
      </c>
      <c r="F132" s="604">
        <f>VLOOKUP(D132,'CNKT '!$D$102:$G$165,4,0)</f>
        <v>0</v>
      </c>
      <c r="G132" s="604">
        <f>VLOOKUP(D132,'CNKT '!$D$102:$M$165,10,0)</f>
        <v>7093697</v>
      </c>
      <c r="H132" s="604">
        <f>VLOOKUP(D132,'CNKT '!$D$102:$X$165,21,0)</f>
        <v>1179377</v>
      </c>
      <c r="I132" s="604">
        <f t="shared" si="12"/>
        <v>8273074</v>
      </c>
      <c r="J132" s="604"/>
      <c r="K132" s="604">
        <f>VLOOKUP(D132,'CNKT '!$D$102:$AA$165,24,0)</f>
        <v>8273074</v>
      </c>
      <c r="L132" s="604"/>
      <c r="M132" s="606">
        <f t="shared" si="13"/>
        <v>8273074</v>
      </c>
      <c r="N132" s="675"/>
    </row>
    <row r="133" spans="1:14" s="126" customFormat="1" ht="21.75" hidden="1" customHeight="1">
      <c r="A133" s="870">
        <v>115</v>
      </c>
      <c r="B133" s="233">
        <v>34</v>
      </c>
      <c r="C133" s="674" t="str">
        <f>'Chấm công KT'!C128</f>
        <v>03620</v>
      </c>
      <c r="D133" s="605" t="str">
        <f>'CNKT '!D135</f>
        <v>Bun Thon</v>
      </c>
      <c r="E133" s="605" t="s">
        <v>26</v>
      </c>
      <c r="F133" s="604">
        <f>VLOOKUP(D133,'CNKT '!$D$102:$G$165,4,0)</f>
        <v>0</v>
      </c>
      <c r="G133" s="604">
        <f>VLOOKUP(D133,'CNKT '!$D$102:$M$165,10,0)</f>
        <v>6992814</v>
      </c>
      <c r="H133" s="604">
        <f>VLOOKUP(D133,'CNKT '!$D$102:$X$165,21,0)</f>
        <v>1272143</v>
      </c>
      <c r="I133" s="604">
        <f t="shared" si="12"/>
        <v>8264957</v>
      </c>
      <c r="J133" s="604"/>
      <c r="K133" s="604">
        <f>VLOOKUP(D133,'CNKT '!$D$102:$AA$165,24,0)</f>
        <v>8264957</v>
      </c>
      <c r="L133" s="604"/>
      <c r="M133" s="606">
        <f t="shared" si="13"/>
        <v>8264957</v>
      </c>
      <c r="N133" s="675"/>
    </row>
    <row r="134" spans="1:14" s="126" customFormat="1" ht="21.75" hidden="1" customHeight="1">
      <c r="A134" s="870">
        <v>116</v>
      </c>
      <c r="B134" s="233">
        <v>35</v>
      </c>
      <c r="C134" s="674" t="str">
        <f>'Chấm công KT'!C129</f>
        <v>04078</v>
      </c>
      <c r="D134" s="605" t="str">
        <f>'CNKT '!D136</f>
        <v>Lăm Thong</v>
      </c>
      <c r="E134" s="605" t="s">
        <v>26</v>
      </c>
      <c r="F134" s="604">
        <f>VLOOKUP(D134,'CNKT '!$D$102:$G$165,4,0)</f>
        <v>0</v>
      </c>
      <c r="G134" s="604">
        <f>VLOOKUP(D134,'CNKT '!$D$102:$M$165,10,0)</f>
        <v>6457061</v>
      </c>
      <c r="H134" s="604">
        <f>VLOOKUP(D134,'CNKT '!$D$102:$X$165,21,0)</f>
        <v>1189639</v>
      </c>
      <c r="I134" s="604">
        <f t="shared" si="12"/>
        <v>7646700</v>
      </c>
      <c r="J134" s="604"/>
      <c r="K134" s="604">
        <f>VLOOKUP(D134,'CNKT '!$D$102:$AA$165,24,0)</f>
        <v>7646700</v>
      </c>
      <c r="L134" s="604"/>
      <c r="M134" s="606">
        <f t="shared" si="13"/>
        <v>7646700</v>
      </c>
      <c r="N134" s="675"/>
    </row>
    <row r="135" spans="1:14" s="126" customFormat="1" ht="21.75" hidden="1" customHeight="1">
      <c r="A135" s="870">
        <v>117</v>
      </c>
      <c r="B135" s="233">
        <v>36</v>
      </c>
      <c r="C135" s="674" t="str">
        <f>'Chấm công KT'!C130</f>
        <v>03622</v>
      </c>
      <c r="D135" s="605" t="str">
        <f>'CNKT '!D137</f>
        <v>N. Xeo Khăm</v>
      </c>
      <c r="E135" s="605" t="s">
        <v>26</v>
      </c>
      <c r="F135" s="604">
        <f>VLOOKUP(D135,'CNKT '!$D$102:$G$165,4,0)</f>
        <v>0</v>
      </c>
      <c r="G135" s="604">
        <f>VLOOKUP(D135,'CNKT '!$D$102:$M$165,10,0)</f>
        <v>7955631</v>
      </c>
      <c r="H135" s="604">
        <f>VLOOKUP(D135,'CNKT '!$D$102:$X$165,21,0)</f>
        <v>1272143</v>
      </c>
      <c r="I135" s="604">
        <f t="shared" si="12"/>
        <v>9227774</v>
      </c>
      <c r="J135" s="604"/>
      <c r="K135" s="604">
        <f>VLOOKUP(D135,'CNKT '!$D$102:$AA$165,24,0)</f>
        <v>9227774</v>
      </c>
      <c r="L135" s="604"/>
      <c r="M135" s="606">
        <f t="shared" si="13"/>
        <v>9227774</v>
      </c>
      <c r="N135" s="675"/>
    </row>
    <row r="136" spans="1:14" s="126" customFormat="1" ht="21.75" hidden="1" customHeight="1">
      <c r="A136" s="870">
        <v>118</v>
      </c>
      <c r="B136" s="233">
        <v>37</v>
      </c>
      <c r="C136" s="674" t="str">
        <f>'Chấm công KT'!C131</f>
        <v>03623</v>
      </c>
      <c r="D136" s="605" t="str">
        <f>'CNKT '!D138</f>
        <v>T. Khăm...</v>
      </c>
      <c r="E136" s="605" t="s">
        <v>26</v>
      </c>
      <c r="F136" s="604">
        <f>VLOOKUP(D136,'CNKT '!$D$102:$G$165,4,0)</f>
        <v>0</v>
      </c>
      <c r="G136" s="604">
        <f>VLOOKUP(D136,'CNKT '!$D$102:$M$165,10,0)</f>
        <v>8960926</v>
      </c>
      <c r="H136" s="604">
        <f>VLOOKUP(D136,'CNKT '!$D$102:$X$165,21,0)</f>
        <v>1272143</v>
      </c>
      <c r="I136" s="604">
        <f t="shared" si="12"/>
        <v>10233069</v>
      </c>
      <c r="J136" s="604"/>
      <c r="K136" s="604">
        <f>VLOOKUP(D136,'CNKT '!$D$102:$AA$165,24,0)</f>
        <v>10233069</v>
      </c>
      <c r="L136" s="604"/>
      <c r="M136" s="606">
        <f t="shared" si="13"/>
        <v>10233069</v>
      </c>
      <c r="N136" s="675"/>
    </row>
    <row r="137" spans="1:14" s="126" customFormat="1" ht="21.75" hidden="1" customHeight="1">
      <c r="A137" s="870">
        <v>119</v>
      </c>
      <c r="B137" s="233">
        <v>38</v>
      </c>
      <c r="C137" s="674" t="str">
        <f>'Chấm công KT'!C132</f>
        <v>03532</v>
      </c>
      <c r="D137" s="605" t="str">
        <f>'CNKT '!D139</f>
        <v>N. Túc</v>
      </c>
      <c r="E137" s="605" t="s">
        <v>26</v>
      </c>
      <c r="F137" s="604">
        <f>VLOOKUP(D137,'CNKT '!$D$102:$G$165,4,0)</f>
        <v>0</v>
      </c>
      <c r="G137" s="604">
        <f>VLOOKUP(D137,'CNKT '!$D$102:$M$165,10,0)</f>
        <v>8320227</v>
      </c>
      <c r="H137" s="604">
        <f>VLOOKUP(D137,'CNKT '!$D$102:$X$165,21,0)</f>
        <v>1272143</v>
      </c>
      <c r="I137" s="604">
        <f t="shared" si="12"/>
        <v>9592370</v>
      </c>
      <c r="J137" s="604"/>
      <c r="K137" s="604">
        <f>VLOOKUP(D137,'CNKT '!$D$102:$AA$165,24,0)</f>
        <v>9592370</v>
      </c>
      <c r="L137" s="604"/>
      <c r="M137" s="606">
        <f t="shared" si="13"/>
        <v>9592370</v>
      </c>
      <c r="N137" s="675"/>
    </row>
    <row r="138" spans="1:14" s="126" customFormat="1" ht="21.75" hidden="1" customHeight="1">
      <c r="A138" s="870">
        <v>120</v>
      </c>
      <c r="B138" s="233">
        <v>39</v>
      </c>
      <c r="C138" s="674" t="str">
        <f>'Chấm công KT'!C133</f>
        <v>03625</v>
      </c>
      <c r="D138" s="605" t="str">
        <f>'CNKT '!D140</f>
        <v>N. Pheng</v>
      </c>
      <c r="E138" s="605" t="s">
        <v>26</v>
      </c>
      <c r="F138" s="604">
        <f>VLOOKUP(D138,'CNKT '!$D$102:$G$165,4,0)</f>
        <v>0</v>
      </c>
      <c r="G138" s="604">
        <f>VLOOKUP(D138,'CNKT '!$D$102:$M$165,10,0)</f>
        <v>9237028</v>
      </c>
      <c r="H138" s="604">
        <f>VLOOKUP(D138,'CNKT '!$D$102:$X$165,21,0)</f>
        <v>1272143</v>
      </c>
      <c r="I138" s="604">
        <f t="shared" si="12"/>
        <v>10509171</v>
      </c>
      <c r="J138" s="604"/>
      <c r="K138" s="604">
        <f>VLOOKUP(D138,'CNKT '!$D$102:$AA$165,24,0)</f>
        <v>10509171</v>
      </c>
      <c r="L138" s="604"/>
      <c r="M138" s="606">
        <f t="shared" si="13"/>
        <v>10509171</v>
      </c>
      <c r="N138" s="675"/>
    </row>
    <row r="139" spans="1:14" s="126" customFormat="1" ht="21.75" hidden="1" customHeight="1">
      <c r="A139" s="870">
        <v>121</v>
      </c>
      <c r="B139" s="233">
        <v>40</v>
      </c>
      <c r="C139" s="674" t="str">
        <f>'Chấm công KT'!C134</f>
        <v>03587</v>
      </c>
      <c r="D139" s="605" t="str">
        <f>'CNKT '!D141</f>
        <v>N. Mom</v>
      </c>
      <c r="E139" s="605" t="s">
        <v>26</v>
      </c>
      <c r="F139" s="604">
        <f>VLOOKUP(D139,'CNKT '!$D$102:$G$165,4,0)</f>
        <v>0</v>
      </c>
      <c r="G139" s="604">
        <f>VLOOKUP(D139,'CNKT '!$D$102:$M$165,10,0)</f>
        <v>8157398</v>
      </c>
      <c r="H139" s="604">
        <f>VLOOKUP(D139,'CNKT '!$D$102:$X$165,21,0)</f>
        <v>1272143</v>
      </c>
      <c r="I139" s="604">
        <f t="shared" si="12"/>
        <v>9429541</v>
      </c>
      <c r="J139" s="604"/>
      <c r="K139" s="604">
        <f>VLOOKUP(D139,'CNKT '!$D$102:$AA$165,24,0)</f>
        <v>9429541</v>
      </c>
      <c r="L139" s="604"/>
      <c r="M139" s="606">
        <f t="shared" si="13"/>
        <v>9429541</v>
      </c>
      <c r="N139" s="675"/>
    </row>
    <row r="140" spans="1:14" s="126" customFormat="1" ht="21.75" hidden="1" customHeight="1">
      <c r="A140" s="870">
        <v>122</v>
      </c>
      <c r="B140" s="233">
        <v>41</v>
      </c>
      <c r="C140" s="674" t="str">
        <f>'Chấm công KT'!C135</f>
        <v>04079</v>
      </c>
      <c r="D140" s="605" t="str">
        <f>'CNKT '!D142</f>
        <v>T. Môn</v>
      </c>
      <c r="E140" s="605" t="s">
        <v>26</v>
      </c>
      <c r="F140" s="604">
        <f>VLOOKUP(D140,'CNKT '!$D$102:$G$165,4,0)</f>
        <v>0</v>
      </c>
      <c r="G140" s="604">
        <f>VLOOKUP(D140,'CNKT '!$D$102:$M$165,10,0)</f>
        <v>6022888</v>
      </c>
      <c r="H140" s="604">
        <f>VLOOKUP(D140,'CNKT '!$D$102:$X$165,21,0)</f>
        <v>1272143</v>
      </c>
      <c r="I140" s="604">
        <f t="shared" si="12"/>
        <v>7295031</v>
      </c>
      <c r="J140" s="604"/>
      <c r="K140" s="604">
        <f>VLOOKUP(D140,'CNKT '!$D$102:$AA$165,24,0)</f>
        <v>7295031</v>
      </c>
      <c r="L140" s="604"/>
      <c r="M140" s="606">
        <f t="shared" si="13"/>
        <v>7295031</v>
      </c>
      <c r="N140" s="675"/>
    </row>
    <row r="141" spans="1:14" s="126" customFormat="1" ht="21.75" hidden="1" customHeight="1">
      <c r="A141" s="870">
        <v>123</v>
      </c>
      <c r="B141" s="233">
        <v>42</v>
      </c>
      <c r="C141" s="674" t="str">
        <f>'Chấm công KT'!C136</f>
        <v>03628</v>
      </c>
      <c r="D141" s="605" t="str">
        <f>'CNKT '!D143</f>
        <v>Khăn Hạ</v>
      </c>
      <c r="E141" s="605" t="s">
        <v>26</v>
      </c>
      <c r="F141" s="604">
        <f>VLOOKUP(D141,'CNKT '!$D$102:$G$165,4,0)</f>
        <v>0</v>
      </c>
      <c r="G141" s="604">
        <f>VLOOKUP(D141,'CNKT '!$D$102:$M$165,10,0)</f>
        <v>5745219</v>
      </c>
      <c r="H141" s="604">
        <f>VLOOKUP(D141,'CNKT '!$D$102:$X$165,21,0)</f>
        <v>1158717</v>
      </c>
      <c r="I141" s="604">
        <f t="shared" si="12"/>
        <v>6903936</v>
      </c>
      <c r="J141" s="604"/>
      <c r="K141" s="604">
        <f>VLOOKUP(D141,'CNKT '!$D$102:$AA$165,24,0)</f>
        <v>6903936</v>
      </c>
      <c r="L141" s="604"/>
      <c r="M141" s="606">
        <f t="shared" si="13"/>
        <v>6903936</v>
      </c>
      <c r="N141" s="675"/>
    </row>
    <row r="142" spans="1:14" s="126" customFormat="1" ht="21.75" hidden="1" customHeight="1">
      <c r="A142" s="870">
        <v>124</v>
      </c>
      <c r="B142" s="233">
        <v>43</v>
      </c>
      <c r="C142" s="674" t="str">
        <f>'Chấm công KT'!C137</f>
        <v>03629</v>
      </c>
      <c r="D142" s="605" t="str">
        <f>'CNKT '!D144</f>
        <v>T. Chăn La .</v>
      </c>
      <c r="E142" s="605" t="s">
        <v>26</v>
      </c>
      <c r="F142" s="604">
        <f>VLOOKUP(D142,'CNKT '!$D$102:$G$165,4,0)</f>
        <v>0</v>
      </c>
      <c r="G142" s="604">
        <f>VLOOKUP(D142,'CNKT '!$D$102:$M$165,10,0)</f>
        <v>6479547</v>
      </c>
      <c r="H142" s="604">
        <f>VLOOKUP(D142,'CNKT '!$D$102:$X$165,21,0)</f>
        <v>1272143</v>
      </c>
      <c r="I142" s="604">
        <f t="shared" si="12"/>
        <v>7751690</v>
      </c>
      <c r="J142" s="604"/>
      <c r="K142" s="604">
        <f>VLOOKUP(D142,'CNKT '!$D$102:$AA$165,24,0)</f>
        <v>7751690</v>
      </c>
      <c r="L142" s="604"/>
      <c r="M142" s="606">
        <f t="shared" si="13"/>
        <v>7751690</v>
      </c>
      <c r="N142" s="675"/>
    </row>
    <row r="143" spans="1:14" s="126" customFormat="1" ht="21.75" hidden="1" customHeight="1">
      <c r="A143" s="870">
        <v>125</v>
      </c>
      <c r="B143" s="233">
        <v>44</v>
      </c>
      <c r="C143" s="674" t="str">
        <f>'Chấm công KT'!C138</f>
        <v>03630</v>
      </c>
      <c r="D143" s="605" t="str">
        <f>'CNKT '!D145</f>
        <v>T. Nú</v>
      </c>
      <c r="E143" s="605" t="s">
        <v>26</v>
      </c>
      <c r="F143" s="604">
        <f>VLOOKUP(D143,'CNKT '!$D$102:$G$165,4,0)</f>
        <v>0</v>
      </c>
      <c r="G143" s="604">
        <f>VLOOKUP(D143,'CNKT '!$D$102:$M$165,10,0)</f>
        <v>5671174</v>
      </c>
      <c r="H143" s="604">
        <f>VLOOKUP(D143,'CNKT '!$D$102:$X$165,21,0)</f>
        <v>1158717</v>
      </c>
      <c r="I143" s="604">
        <f t="shared" si="12"/>
        <v>6829891</v>
      </c>
      <c r="J143" s="604"/>
      <c r="K143" s="604">
        <f>VLOOKUP(D143,'CNKT '!$D$102:$AA$165,24,0)</f>
        <v>6829891</v>
      </c>
      <c r="L143" s="604"/>
      <c r="M143" s="606">
        <f t="shared" si="13"/>
        <v>6829891</v>
      </c>
      <c r="N143" s="675"/>
    </row>
    <row r="144" spans="1:14" s="126" customFormat="1" ht="21.75" hidden="1" customHeight="1">
      <c r="A144" s="870">
        <v>126</v>
      </c>
      <c r="B144" s="233">
        <v>45</v>
      </c>
      <c r="C144" s="674" t="str">
        <f>'Chấm công KT'!C139</f>
        <v>03631</v>
      </c>
      <c r="D144" s="605" t="str">
        <f>'CNKT '!D146</f>
        <v>T. Xan Nha</v>
      </c>
      <c r="E144" s="605" t="s">
        <v>26</v>
      </c>
      <c r="F144" s="604">
        <f>VLOOKUP(D144,'CNKT '!$D$102:$G$165,4,0)</f>
        <v>0</v>
      </c>
      <c r="G144" s="604">
        <f>VLOOKUP(D144,'CNKT '!$D$102:$M$165,10,0)</f>
        <v>5878164</v>
      </c>
      <c r="H144" s="604">
        <f>VLOOKUP(D144,'CNKT '!$D$102:$X$165,21,0)</f>
        <v>1272143</v>
      </c>
      <c r="I144" s="604">
        <f t="shared" si="12"/>
        <v>7150307</v>
      </c>
      <c r="J144" s="604"/>
      <c r="K144" s="604">
        <f>VLOOKUP(D144,'CNKT '!$D$102:$AA$165,24,0)</f>
        <v>7150307</v>
      </c>
      <c r="L144" s="604"/>
      <c r="M144" s="606">
        <f t="shared" si="13"/>
        <v>7150307</v>
      </c>
      <c r="N144" s="675"/>
    </row>
    <row r="145" spans="1:14" s="126" customFormat="1" ht="21.75" hidden="1" customHeight="1">
      <c r="A145" s="870">
        <v>127</v>
      </c>
      <c r="B145" s="233">
        <v>46</v>
      </c>
      <c r="C145" s="674" t="str">
        <f>'Chấm công KT'!C140</f>
        <v>03632</v>
      </c>
      <c r="D145" s="605" t="str">
        <f>'CNKT '!D147</f>
        <v>T. A lem</v>
      </c>
      <c r="E145" s="605" t="s">
        <v>26</v>
      </c>
      <c r="F145" s="604">
        <f>VLOOKUP(D145,'CNKT '!$D$102:$G$165,4,0)</f>
        <v>0</v>
      </c>
      <c r="G145" s="604">
        <f>VLOOKUP(D145,'CNKT '!$D$102:$M$165,10,0)</f>
        <v>10060024</v>
      </c>
      <c r="H145" s="604">
        <f>VLOOKUP(D145,'CNKT '!$D$102:$X$165,21,0)</f>
        <v>1272143</v>
      </c>
      <c r="I145" s="604">
        <f t="shared" si="12"/>
        <v>11332167</v>
      </c>
      <c r="J145" s="604"/>
      <c r="K145" s="604">
        <f>VLOOKUP(D145,'CNKT '!$D$102:$AA$165,24,0)</f>
        <v>11332167</v>
      </c>
      <c r="L145" s="604"/>
      <c r="M145" s="606">
        <f t="shared" si="13"/>
        <v>11332167</v>
      </c>
      <c r="N145" s="675"/>
    </row>
    <row r="146" spans="1:14" s="126" customFormat="1" ht="21.75" hidden="1" customHeight="1">
      <c r="A146" s="870">
        <v>128</v>
      </c>
      <c r="B146" s="233">
        <v>47</v>
      </c>
      <c r="C146" s="674" t="str">
        <f>'Chấm công KT'!C141</f>
        <v>04080</v>
      </c>
      <c r="D146" s="605" t="str">
        <f>'CNKT '!D148</f>
        <v>T. Phan</v>
      </c>
      <c r="E146" s="605" t="s">
        <v>26</v>
      </c>
      <c r="F146" s="604">
        <f>VLOOKUP(D146,'CNKT '!$D$102:$G$165,4,0)</f>
        <v>0</v>
      </c>
      <c r="G146" s="604">
        <f>VLOOKUP(D146,'CNKT '!$D$102:$M$165,10,0)</f>
        <v>7668910</v>
      </c>
      <c r="H146" s="604">
        <f>VLOOKUP(D146,'CNKT '!$D$102:$X$165,21,0)</f>
        <v>1272143</v>
      </c>
      <c r="I146" s="604">
        <f t="shared" si="12"/>
        <v>8941053</v>
      </c>
      <c r="J146" s="604"/>
      <c r="K146" s="604">
        <f>VLOOKUP(D146,'CNKT '!$D$102:$AA$165,24,0)</f>
        <v>8941053</v>
      </c>
      <c r="L146" s="604"/>
      <c r="M146" s="606">
        <f t="shared" si="13"/>
        <v>8941053</v>
      </c>
      <c r="N146" s="675"/>
    </row>
    <row r="147" spans="1:14" s="126" customFormat="1" ht="21.75" hidden="1" customHeight="1">
      <c r="A147" s="870">
        <v>129</v>
      </c>
      <c r="B147" s="233">
        <v>48</v>
      </c>
      <c r="C147" s="674" t="str">
        <f>'Chấm công KT'!C142</f>
        <v>03634</v>
      </c>
      <c r="D147" s="605" t="str">
        <f>'CNKT '!D149</f>
        <v>T . Cổ</v>
      </c>
      <c r="E147" s="605" t="s">
        <v>26</v>
      </c>
      <c r="F147" s="604">
        <f>VLOOKUP(D147,'CNKT '!$D$102:$G$165,4,0)</f>
        <v>0</v>
      </c>
      <c r="G147" s="604">
        <f>VLOOKUP(D147,'CNKT '!$D$102:$M$165,10,0)</f>
        <v>10623776</v>
      </c>
      <c r="H147" s="604">
        <f>VLOOKUP(D147,'CNKT '!$D$102:$X$165,21,0)</f>
        <v>1241221</v>
      </c>
      <c r="I147" s="604">
        <f t="shared" si="12"/>
        <v>11864997</v>
      </c>
      <c r="J147" s="604"/>
      <c r="K147" s="604">
        <f>VLOOKUP(D147,'CNKT '!$D$102:$AA$165,24,0)</f>
        <v>11864997</v>
      </c>
      <c r="L147" s="604"/>
      <c r="M147" s="606">
        <f t="shared" si="13"/>
        <v>11864997</v>
      </c>
      <c r="N147" s="675"/>
    </row>
    <row r="148" spans="1:14" s="126" customFormat="1" ht="21.75" hidden="1" customHeight="1">
      <c r="A148" s="870">
        <v>130</v>
      </c>
      <c r="B148" s="233">
        <v>49</v>
      </c>
      <c r="C148" s="674" t="str">
        <f>'Chấm công KT'!C143</f>
        <v>03635</v>
      </c>
      <c r="D148" s="605" t="str">
        <f>'CNKT '!D150</f>
        <v>N. Phim Pha</v>
      </c>
      <c r="E148" s="605" t="s">
        <v>26</v>
      </c>
      <c r="F148" s="604">
        <f>VLOOKUP(D148,'CNKT '!$D$102:$G$165,4,0)</f>
        <v>0</v>
      </c>
      <c r="G148" s="604">
        <f>VLOOKUP(D148,'CNKT '!$D$102:$M$165,10,0)</f>
        <v>6603468</v>
      </c>
      <c r="H148" s="604">
        <f>VLOOKUP(D148,'CNKT '!$D$102:$X$165,21,0)</f>
        <v>1127795</v>
      </c>
      <c r="I148" s="604">
        <f t="shared" si="12"/>
        <v>7731263</v>
      </c>
      <c r="J148" s="604"/>
      <c r="K148" s="604">
        <f>VLOOKUP(D148,'CNKT '!$D$102:$AA$165,24,0)</f>
        <v>7731263</v>
      </c>
      <c r="L148" s="604"/>
      <c r="M148" s="606">
        <f t="shared" si="13"/>
        <v>7731263</v>
      </c>
      <c r="N148" s="675"/>
    </row>
    <row r="149" spans="1:14" s="126" customFormat="1" ht="21.75" hidden="1" customHeight="1">
      <c r="A149" s="870">
        <v>131</v>
      </c>
      <c r="B149" s="233">
        <v>50</v>
      </c>
      <c r="C149" s="674" t="str">
        <f>'Chấm công KT'!C144</f>
        <v>03636</v>
      </c>
      <c r="D149" s="605" t="str">
        <f>'CNKT '!D151</f>
        <v xml:space="preserve">T. Xeng </v>
      </c>
      <c r="E149" s="605" t="s">
        <v>26</v>
      </c>
      <c r="F149" s="604">
        <f>VLOOKUP(D149,'CNKT '!$D$102:$G$165,4,0)</f>
        <v>0</v>
      </c>
      <c r="G149" s="604">
        <f>VLOOKUP(D149,'CNKT '!$D$102:$M$165,10,0)</f>
        <v>7505471</v>
      </c>
      <c r="H149" s="604">
        <f>VLOOKUP(D149,'CNKT '!$D$102:$X$165,21,0)</f>
        <v>1272143</v>
      </c>
      <c r="I149" s="604">
        <f t="shared" si="12"/>
        <v>8777614</v>
      </c>
      <c r="J149" s="604"/>
      <c r="K149" s="604">
        <f>VLOOKUP(D149,'CNKT '!$D$102:$AA$165,24,0)</f>
        <v>8777614</v>
      </c>
      <c r="L149" s="604"/>
      <c r="M149" s="606">
        <f t="shared" si="13"/>
        <v>8777614</v>
      </c>
      <c r="N149" s="675"/>
    </row>
    <row r="150" spans="1:14" s="126" customFormat="1" ht="21.75" hidden="1" customHeight="1">
      <c r="A150" s="870">
        <v>132</v>
      </c>
      <c r="B150" s="233">
        <v>51</v>
      </c>
      <c r="C150" s="674" t="str">
        <f>'Chấm công KT'!C145</f>
        <v>03637</v>
      </c>
      <c r="D150" s="605" t="str">
        <f>'CNKT '!D152</f>
        <v>T. Vạt</v>
      </c>
      <c r="E150" s="605" t="s">
        <v>26</v>
      </c>
      <c r="F150" s="604">
        <f>VLOOKUP(D150,'CNKT '!$D$102:$G$165,4,0)</f>
        <v>0</v>
      </c>
      <c r="G150" s="604">
        <f>VLOOKUP(D150,'CNKT '!$D$102:$M$165,10,0)</f>
        <v>7651878</v>
      </c>
      <c r="H150" s="604">
        <f>VLOOKUP(D150,'CNKT '!$D$102:$X$165,21,0)</f>
        <v>1272143</v>
      </c>
      <c r="I150" s="604">
        <f t="shared" si="12"/>
        <v>8924021</v>
      </c>
      <c r="J150" s="604"/>
      <c r="K150" s="604">
        <f>VLOOKUP(D150,'CNKT '!$D$102:$AA$165,24,0)</f>
        <v>8924021</v>
      </c>
      <c r="L150" s="604"/>
      <c r="M150" s="606">
        <f t="shared" si="13"/>
        <v>8924021</v>
      </c>
      <c r="N150" s="675"/>
    </row>
    <row r="151" spans="1:14" s="126" customFormat="1" ht="21.75" hidden="1" customHeight="1">
      <c r="A151" s="870">
        <v>133</v>
      </c>
      <c r="B151" s="233">
        <v>52</v>
      </c>
      <c r="C151" s="674" t="str">
        <f>'Chấm công KT'!C146</f>
        <v>03638</v>
      </c>
      <c r="D151" s="605" t="str">
        <f>'CNKT '!D153</f>
        <v>T. Lay</v>
      </c>
      <c r="E151" s="605" t="s">
        <v>26</v>
      </c>
      <c r="F151" s="604">
        <f>VLOOKUP(D151,'CNKT '!$D$102:$G$165,4,0)</f>
        <v>0</v>
      </c>
      <c r="G151" s="604">
        <f>VLOOKUP(D151,'CNKT '!$D$102:$M$165,10,0)</f>
        <v>7233518</v>
      </c>
      <c r="H151" s="604">
        <f>VLOOKUP(D151,'CNKT '!$D$102:$X$165,21,0)</f>
        <v>1272143</v>
      </c>
      <c r="I151" s="604">
        <f t="shared" si="12"/>
        <v>8505661</v>
      </c>
      <c r="J151" s="604"/>
      <c r="K151" s="604">
        <f>VLOOKUP(D151,'CNKT '!$D$102:$AA$165,24,0)</f>
        <v>8505661</v>
      </c>
      <c r="L151" s="604"/>
      <c r="M151" s="606">
        <f t="shared" si="13"/>
        <v>8505661</v>
      </c>
      <c r="N151" s="675"/>
    </row>
    <row r="152" spans="1:14" s="126" customFormat="1" ht="21.75" hidden="1" customHeight="1">
      <c r="A152" s="870">
        <v>134</v>
      </c>
      <c r="B152" s="233">
        <v>53</v>
      </c>
      <c r="C152" s="674" t="str">
        <f>'Chấm công KT'!C147</f>
        <v>04081</v>
      </c>
      <c r="D152" s="605" t="str">
        <f>'CNKT '!D154</f>
        <v>N. Nọi</v>
      </c>
      <c r="E152" s="605" t="s">
        <v>26</v>
      </c>
      <c r="F152" s="604">
        <f>VLOOKUP(D152,'CNKT '!$D$102:$G$165,4,0)</f>
        <v>0</v>
      </c>
      <c r="G152" s="604">
        <f>VLOOKUP(D152,'CNKT '!$D$102:$M$165,10,0)</f>
        <v>7371569</v>
      </c>
      <c r="H152" s="604">
        <f>VLOOKUP(D152,'CNKT '!$D$102:$X$165,21,0)</f>
        <v>1272143</v>
      </c>
      <c r="I152" s="604">
        <f t="shared" si="12"/>
        <v>8643712</v>
      </c>
      <c r="J152" s="604"/>
      <c r="K152" s="604">
        <f>VLOOKUP(D152,'CNKT '!$D$102:$AA$165,24,0)</f>
        <v>8643712</v>
      </c>
      <c r="L152" s="604"/>
      <c r="M152" s="606">
        <f t="shared" si="13"/>
        <v>8643712</v>
      </c>
      <c r="N152" s="675"/>
    </row>
    <row r="153" spans="1:14" s="126" customFormat="1" ht="21.75" hidden="1" customHeight="1">
      <c r="A153" s="870">
        <v>135</v>
      </c>
      <c r="B153" s="233">
        <v>54</v>
      </c>
      <c r="C153" s="674" t="str">
        <f>'Chấm công KT'!C148</f>
        <v>04082</v>
      </c>
      <c r="D153" s="605" t="str">
        <f>'CNKT '!D155</f>
        <v>T Bun Xi</v>
      </c>
      <c r="E153" s="605" t="s">
        <v>26</v>
      </c>
      <c r="F153" s="604">
        <f>VLOOKUP(D153,'CNKT '!$D$102:$G$165,4,0)</f>
        <v>0</v>
      </c>
      <c r="G153" s="604">
        <f>VLOOKUP(D153,'CNKT '!$D$102:$M$165,10,0)</f>
        <v>7185731</v>
      </c>
      <c r="H153" s="604">
        <f>VLOOKUP(D153,'CNKT '!$D$102:$X$165,21,0)</f>
        <v>1189639</v>
      </c>
      <c r="I153" s="604">
        <f t="shared" si="12"/>
        <v>8375370</v>
      </c>
      <c r="J153" s="604"/>
      <c r="K153" s="604">
        <f>VLOOKUP(D153,'CNKT '!$D$102:$AA$165,24,0)</f>
        <v>8375370</v>
      </c>
      <c r="L153" s="604"/>
      <c r="M153" s="606">
        <f t="shared" si="13"/>
        <v>8375370</v>
      </c>
      <c r="N153" s="675"/>
    </row>
    <row r="154" spans="1:14" s="126" customFormat="1" ht="21.75" hidden="1" customHeight="1">
      <c r="A154" s="870">
        <v>136</v>
      </c>
      <c r="B154" s="233">
        <v>55</v>
      </c>
      <c r="C154" s="674" t="str">
        <f>'Chấm công KT'!C149</f>
        <v>04083</v>
      </c>
      <c r="D154" s="605" t="str">
        <f>'CNKT '!D156</f>
        <v>N. Bù</v>
      </c>
      <c r="E154" s="605" t="s">
        <v>26</v>
      </c>
      <c r="F154" s="604">
        <f>VLOOKUP(D154,'CNKT '!$D$102:$G$165,4,0)</f>
        <v>0</v>
      </c>
      <c r="G154" s="604">
        <f>VLOOKUP(D154,'CNKT '!$D$102:$M$165,10,0)</f>
        <v>6723792</v>
      </c>
      <c r="H154" s="604">
        <f>VLOOKUP(D154,'CNKT '!$D$102:$X$165,21,0)</f>
        <v>1138058</v>
      </c>
      <c r="I154" s="604">
        <f t="shared" si="12"/>
        <v>7861850</v>
      </c>
      <c r="J154" s="604"/>
      <c r="K154" s="604">
        <f>VLOOKUP(D154,'CNKT '!$D$102:$AA$165,24,0)</f>
        <v>7861850</v>
      </c>
      <c r="L154" s="604"/>
      <c r="M154" s="606">
        <f t="shared" si="13"/>
        <v>7861850</v>
      </c>
      <c r="N154" s="675"/>
    </row>
    <row r="155" spans="1:14" s="126" customFormat="1" ht="21.75" hidden="1" customHeight="1">
      <c r="A155" s="870">
        <v>137</v>
      </c>
      <c r="B155" s="233">
        <v>56</v>
      </c>
      <c r="C155" s="674" t="str">
        <f>'Chấm công KT'!C150</f>
        <v>03642</v>
      </c>
      <c r="D155" s="605" t="str">
        <f>'CNKT '!D157</f>
        <v>T. Xơn</v>
      </c>
      <c r="E155" s="605" t="s">
        <v>26</v>
      </c>
      <c r="F155" s="604">
        <f>VLOOKUP(D155,'CNKT '!$D$102:$G$165,4,0)</f>
        <v>0</v>
      </c>
      <c r="G155" s="604">
        <f>VLOOKUP(D155,'CNKT '!$D$102:$M$165,10,0)</f>
        <v>7435285</v>
      </c>
      <c r="H155" s="604">
        <f>VLOOKUP(D155,'CNKT '!$D$102:$X$165,21,0)</f>
        <v>1189639</v>
      </c>
      <c r="I155" s="604">
        <f t="shared" si="12"/>
        <v>8624924</v>
      </c>
      <c r="J155" s="604"/>
      <c r="K155" s="604">
        <f>VLOOKUP(D155,'CNKT '!$D$102:$AA$165,24,0)</f>
        <v>8624924</v>
      </c>
      <c r="L155" s="604"/>
      <c r="M155" s="606">
        <f t="shared" si="13"/>
        <v>8624924</v>
      </c>
      <c r="N155" s="675"/>
    </row>
    <row r="156" spans="1:14" s="126" customFormat="1" ht="21.75" hidden="1" customHeight="1">
      <c r="A156" s="870">
        <v>138</v>
      </c>
      <c r="B156" s="233">
        <v>57</v>
      </c>
      <c r="C156" s="674" t="str">
        <f>'Chấm công KT'!C151</f>
        <v>04084</v>
      </c>
      <c r="D156" s="605" t="str">
        <f>'CNKT '!D158</f>
        <v>T. Thi</v>
      </c>
      <c r="E156" s="605" t="s">
        <v>26</v>
      </c>
      <c r="F156" s="604">
        <f>VLOOKUP(D156,'CNKT '!$D$102:$G$165,4,0)</f>
        <v>0</v>
      </c>
      <c r="G156" s="604">
        <f>VLOOKUP(D156,'CNKT '!$D$102:$M$165,10,0)</f>
        <v>8622878</v>
      </c>
      <c r="H156" s="604">
        <f>VLOOKUP(D156,'CNKT '!$D$102:$X$165,21,0)</f>
        <v>1272143</v>
      </c>
      <c r="I156" s="604">
        <f t="shared" si="12"/>
        <v>9895021</v>
      </c>
      <c r="J156" s="604"/>
      <c r="K156" s="604">
        <f>VLOOKUP(D156,'CNKT '!$D$102:$AA$165,24,0)</f>
        <v>9895021</v>
      </c>
      <c r="L156" s="604"/>
      <c r="M156" s="606">
        <f t="shared" si="13"/>
        <v>9895021</v>
      </c>
      <c r="N156" s="675"/>
    </row>
    <row r="157" spans="1:14" s="126" customFormat="1" ht="21.75" hidden="1" customHeight="1">
      <c r="A157" s="870">
        <v>139</v>
      </c>
      <c r="B157" s="233">
        <v>58</v>
      </c>
      <c r="C157" s="674" t="str">
        <f>'Chấm công KT'!C152</f>
        <v>04085</v>
      </c>
      <c r="D157" s="605" t="str">
        <f>'CNKT '!D159</f>
        <v>On chay</v>
      </c>
      <c r="E157" s="605" t="s">
        <v>26</v>
      </c>
      <c r="F157" s="604">
        <f>VLOOKUP(D157,'CNKT '!$D$102:$G$165,4,0)</f>
        <v>0</v>
      </c>
      <c r="G157" s="604">
        <f>VLOOKUP(D157,'CNKT '!$D$102:$M$165,10,0)</f>
        <v>7916694</v>
      </c>
      <c r="H157" s="604">
        <f>VLOOKUP(D157,'CNKT '!$D$102:$X$165,21,0)</f>
        <v>1272143</v>
      </c>
      <c r="I157" s="604">
        <f t="shared" si="12"/>
        <v>9188837</v>
      </c>
      <c r="J157" s="604"/>
      <c r="K157" s="604">
        <f>VLOOKUP(D157,'CNKT '!$D$102:$AA$165,24,0)</f>
        <v>9188837</v>
      </c>
      <c r="L157" s="604"/>
      <c r="M157" s="606">
        <f t="shared" si="13"/>
        <v>9188837</v>
      </c>
      <c r="N157" s="675"/>
    </row>
    <row r="158" spans="1:14" s="126" customFormat="1" ht="21.75" hidden="1" customHeight="1">
      <c r="A158" s="870">
        <v>140</v>
      </c>
      <c r="B158" s="233">
        <v>59</v>
      </c>
      <c r="C158" s="674"/>
      <c r="D158" s="605" t="str">
        <f>'CNKT '!D160</f>
        <v>T. Thong</v>
      </c>
      <c r="E158" s="605" t="s">
        <v>26</v>
      </c>
      <c r="F158" s="604">
        <f>VLOOKUP(D158,'CNKT '!$D$102:$G$165,4,0)</f>
        <v>0</v>
      </c>
      <c r="G158" s="604">
        <f>VLOOKUP(D158,'CNKT '!$D$102:$M$165,10,0)</f>
        <v>1587819</v>
      </c>
      <c r="H158" s="604">
        <f>VLOOKUP(D158,'CNKT '!$D$102:$X$165,21,0)</f>
        <v>494887</v>
      </c>
      <c r="I158" s="604">
        <f t="shared" ref="I158:I162" si="14">SUM(F158:H158)</f>
        <v>2082706</v>
      </c>
      <c r="J158" s="604"/>
      <c r="K158" s="604">
        <f>VLOOKUP(D158,'CNKT '!$D$102:$AA$165,24,0)</f>
        <v>2082706</v>
      </c>
      <c r="L158" s="604"/>
      <c r="M158" s="606">
        <f t="shared" ref="M158:M162" si="15">K158-J158</f>
        <v>2082706</v>
      </c>
      <c r="N158" s="675"/>
    </row>
    <row r="159" spans="1:14" s="126" customFormat="1" ht="21.75" hidden="1" customHeight="1">
      <c r="A159" s="870">
        <v>141</v>
      </c>
      <c r="B159" s="233">
        <v>60</v>
      </c>
      <c r="C159" s="674"/>
      <c r="D159" s="605" t="str">
        <f>'CNKT '!D161</f>
        <v>T. Khách</v>
      </c>
      <c r="E159" s="605" t="s">
        <v>26</v>
      </c>
      <c r="F159" s="604">
        <f>VLOOKUP(D159,'CNKT '!$D$102:$G$165,4,0)</f>
        <v>0</v>
      </c>
      <c r="G159" s="604">
        <f>VLOOKUP(D159,'CNKT '!$D$102:$M$165,10,0)</f>
        <v>973437</v>
      </c>
      <c r="H159" s="604">
        <f>VLOOKUP(D159,'CNKT '!$D$102:$X$165,21,0)</f>
        <v>433043</v>
      </c>
      <c r="I159" s="604">
        <f t="shared" si="14"/>
        <v>1406480</v>
      </c>
      <c r="J159" s="604"/>
      <c r="K159" s="604">
        <f>VLOOKUP(D159,'CNKT '!$D$102:$AA$165,24,0)</f>
        <v>1406480</v>
      </c>
      <c r="L159" s="604"/>
      <c r="M159" s="606">
        <f t="shared" si="15"/>
        <v>1406480</v>
      </c>
      <c r="N159" s="675"/>
    </row>
    <row r="160" spans="1:14" s="126" customFormat="1" ht="21.75" hidden="1" customHeight="1">
      <c r="A160" s="870">
        <v>142</v>
      </c>
      <c r="B160" s="233">
        <v>61</v>
      </c>
      <c r="C160" s="674"/>
      <c r="D160" s="605" t="str">
        <f>'CNKT '!D162</f>
        <v>Nang On Xi</v>
      </c>
      <c r="E160" s="605" t="s">
        <v>26</v>
      </c>
      <c r="F160" s="604">
        <f>VLOOKUP(D160,'CNKT '!$D$102:$G$165,4,0)</f>
        <v>0</v>
      </c>
      <c r="G160" s="604">
        <f>VLOOKUP(D160,'CNKT '!$D$102:$M$165,10,0)</f>
        <v>513847</v>
      </c>
      <c r="H160" s="604">
        <f>VLOOKUP(D160,'CNKT '!$D$102:$X$165,21,0)</f>
        <v>278432</v>
      </c>
      <c r="I160" s="604">
        <f t="shared" si="14"/>
        <v>792279</v>
      </c>
      <c r="J160" s="604"/>
      <c r="K160" s="604">
        <f>VLOOKUP(D160,'CNKT '!$D$102:$AA$165,24,0)</f>
        <v>792279</v>
      </c>
      <c r="L160" s="604"/>
      <c r="M160" s="606">
        <f t="shared" si="15"/>
        <v>792279</v>
      </c>
      <c r="N160" s="675"/>
    </row>
    <row r="161" spans="1:16" s="126" customFormat="1" ht="21.75" hidden="1" customHeight="1">
      <c r="A161" s="870">
        <v>143</v>
      </c>
      <c r="B161" s="233">
        <v>62</v>
      </c>
      <c r="C161" s="674"/>
      <c r="D161" s="605" t="str">
        <f>'CNKT '!D163</f>
        <v>Thảo Túc</v>
      </c>
      <c r="E161" s="605" t="s">
        <v>26</v>
      </c>
      <c r="F161" s="604">
        <f>VLOOKUP(D161,'CNKT '!$D$102:$G$165,4,0)</f>
        <v>0</v>
      </c>
      <c r="G161" s="604">
        <f>VLOOKUP(D161,'CNKT '!$D$102:$M$165,10,0)</f>
        <v>357459</v>
      </c>
      <c r="H161" s="604">
        <f>VLOOKUP(D161,'CNKT '!$D$102:$X$165,21,0)</f>
        <v>144348</v>
      </c>
      <c r="I161" s="604">
        <f t="shared" si="14"/>
        <v>501807</v>
      </c>
      <c r="J161" s="604"/>
      <c r="K161" s="604">
        <f>VLOOKUP(D161,'CNKT '!$D$102:$AA$165,24,0)</f>
        <v>501807</v>
      </c>
      <c r="L161" s="604"/>
      <c r="M161" s="606">
        <f t="shared" si="15"/>
        <v>501807</v>
      </c>
      <c r="N161" s="675"/>
    </row>
    <row r="162" spans="1:16" s="126" customFormat="1" ht="21.75" hidden="1" customHeight="1">
      <c r="A162" s="870">
        <v>144</v>
      </c>
      <c r="B162" s="233">
        <v>63</v>
      </c>
      <c r="C162" s="674"/>
      <c r="D162" s="605" t="str">
        <f>'CNKT '!D164</f>
        <v>Mủ Xi Rum 2</v>
      </c>
      <c r="E162" s="605" t="s">
        <v>351</v>
      </c>
      <c r="F162" s="604">
        <f>VLOOKUP(D162,'CNKT '!$D$102:$G$165,4,0)</f>
        <v>0</v>
      </c>
      <c r="G162" s="604">
        <f>VLOOKUP(D162,'CNKT '!$D$102:$M$165,10,0)</f>
        <v>1268448</v>
      </c>
      <c r="H162" s="604">
        <f>VLOOKUP(D162,'CNKT '!$D$102:$X$165,21,0)</f>
        <v>0</v>
      </c>
      <c r="I162" s="604">
        <f t="shared" si="14"/>
        <v>1268448</v>
      </c>
      <c r="J162" s="604"/>
      <c r="K162" s="604">
        <f>VLOOKUP(D162,'CNKT '!$D$102:$AA$165,24,0)</f>
        <v>1268448</v>
      </c>
      <c r="L162" s="604"/>
      <c r="M162" s="606">
        <f t="shared" si="15"/>
        <v>1268448</v>
      </c>
      <c r="N162" s="675"/>
    </row>
    <row r="163" spans="1:16" s="961" customFormat="1" ht="21.75" hidden="1" customHeight="1">
      <c r="A163" s="870">
        <v>145</v>
      </c>
      <c r="B163" s="233">
        <v>64</v>
      </c>
      <c r="C163" s="957"/>
      <c r="D163" s="948" t="str">
        <f>'CNKT '!D165</f>
        <v>Mon (3)</v>
      </c>
      <c r="E163" s="948" t="s">
        <v>351</v>
      </c>
      <c r="F163" s="945">
        <f>VLOOKUP(D163,'CNKT '!$D$102:$G$165,4,0)</f>
        <v>0</v>
      </c>
      <c r="G163" s="945">
        <f>VLOOKUP(D163,'CNKT '!$D$102:$M$165,10,0)</f>
        <v>0</v>
      </c>
      <c r="H163" s="945">
        <f>VLOOKUP(D163,'CNKT '!$D$102:$X$165,21,0)</f>
        <v>0</v>
      </c>
      <c r="I163" s="945">
        <f t="shared" ref="I163:I164" si="16">SUM(F163:H163)</f>
        <v>0</v>
      </c>
      <c r="J163" s="945"/>
      <c r="K163" s="945">
        <f>VLOOKUP(D163,'CNKT '!$D$102:$AA$165,24,0)</f>
        <v>0</v>
      </c>
      <c r="L163" s="945"/>
      <c r="M163" s="947">
        <f t="shared" ref="M163:M164" si="17">K163-J163</f>
        <v>0</v>
      </c>
      <c r="N163" s="960"/>
    </row>
    <row r="164" spans="1:16" s="961" customFormat="1" ht="21.75" hidden="1" customHeight="1">
      <c r="A164" s="870">
        <v>146</v>
      </c>
      <c r="B164" s="233">
        <v>65</v>
      </c>
      <c r="C164" s="957"/>
      <c r="D164" s="948" t="str">
        <f>'CNKT '!D166</f>
        <v>T. Huân</v>
      </c>
      <c r="E164" s="948" t="s">
        <v>351</v>
      </c>
      <c r="F164" s="945">
        <f>VLOOKUP(D164,'CNKT '!$D$102:$G$166,4,0)</f>
        <v>0</v>
      </c>
      <c r="G164" s="945">
        <f>VLOOKUP(D164,'CNKT '!$D$102:$M$166,10,0)</f>
        <v>0</v>
      </c>
      <c r="H164" s="945">
        <f>VLOOKUP(D164,'CNKT '!$D$102:$X$166,21,0)</f>
        <v>0</v>
      </c>
      <c r="I164" s="945">
        <f t="shared" si="16"/>
        <v>0</v>
      </c>
      <c r="J164" s="945"/>
      <c r="K164" s="945">
        <f>VLOOKUP(D164,'CNKT '!$D$102:$AA$166,24,0)</f>
        <v>0</v>
      </c>
      <c r="L164" s="945"/>
      <c r="M164" s="947">
        <f t="shared" si="17"/>
        <v>0</v>
      </c>
      <c r="N164" s="960"/>
    </row>
    <row r="165" spans="1:16" s="961" customFormat="1" ht="21.75" hidden="1" customHeight="1">
      <c r="A165" s="870">
        <v>147</v>
      </c>
      <c r="B165" s="233">
        <v>66</v>
      </c>
      <c r="C165" s="957"/>
      <c r="D165" s="948" t="str">
        <f>'CNKT '!D167</f>
        <v>Chuyển 2</v>
      </c>
      <c r="E165" s="948" t="s">
        <v>351</v>
      </c>
      <c r="F165" s="945">
        <f>VLOOKUP(D165,'CNKT '!$D$102:$G$167,4,0)</f>
        <v>0</v>
      </c>
      <c r="G165" s="945">
        <f>VLOOKUP(D165,'CNKT '!$D$102:$M$167,10,0)</f>
        <v>0</v>
      </c>
      <c r="H165" s="945">
        <f>VLOOKUP(D165,'CNKT '!$D$102:$X$167,21,0)</f>
        <v>0</v>
      </c>
      <c r="I165" s="945">
        <f t="shared" ref="I165" si="18">SUM(F165:H165)</f>
        <v>0</v>
      </c>
      <c r="J165" s="945"/>
      <c r="K165" s="945">
        <f>VLOOKUP(D165,'CNKT '!$D$102:$AA$167,24,0)</f>
        <v>0</v>
      </c>
      <c r="L165" s="945"/>
      <c r="M165" s="947">
        <f t="shared" ref="M165" si="19">K165-J165</f>
        <v>0</v>
      </c>
      <c r="N165" s="960"/>
    </row>
    <row r="166" spans="1:16" s="125" customFormat="1" ht="21.6" customHeight="1">
      <c r="A166" s="1574" t="s">
        <v>858</v>
      </c>
      <c r="B166" s="1575"/>
      <c r="C166" s="1575"/>
      <c r="D166" s="1575"/>
      <c r="E166" s="1155">
        <v>3</v>
      </c>
      <c r="F166" s="604">
        <f>SUM(F167:F169)</f>
        <v>6000000</v>
      </c>
      <c r="G166" s="604"/>
      <c r="H166" s="604">
        <f t="shared" ref="H166:J166" si="20">SUM(H167:H169)</f>
        <v>1800000</v>
      </c>
      <c r="I166" s="604">
        <f t="shared" si="20"/>
        <v>7800000</v>
      </c>
      <c r="J166" s="604">
        <f t="shared" si="20"/>
        <v>65000</v>
      </c>
      <c r="K166" s="604">
        <f>SUM(K167:K169)</f>
        <v>7735000</v>
      </c>
      <c r="L166" s="673">
        <f>SUM(L171:L174)</f>
        <v>0</v>
      </c>
      <c r="M166" s="673">
        <f>SUM(M171:M174)</f>
        <v>15346360.111135323</v>
      </c>
      <c r="N166" s="677"/>
      <c r="O166" s="124"/>
      <c r="P166" s="127"/>
    </row>
    <row r="167" spans="1:16" s="125" customFormat="1" ht="21.6" hidden="1" customHeight="1">
      <c r="A167" s="1153"/>
      <c r="B167" s="1154"/>
      <c r="C167" s="1154"/>
      <c r="D167" s="277" t="str">
        <f>'lương gián tiếp'!B13</f>
        <v>Pôn</v>
      </c>
      <c r="E167" s="277" t="s">
        <v>802</v>
      </c>
      <c r="F167" s="604">
        <f>'lương gián tiếp'!E13</f>
        <v>2000000</v>
      </c>
      <c r="G167" s="604"/>
      <c r="H167" s="604">
        <f>'lương gián tiếp'!G13</f>
        <v>600000</v>
      </c>
      <c r="I167" s="604">
        <f>'lương gián tiếp'!H13</f>
        <v>2600000</v>
      </c>
      <c r="J167" s="604"/>
      <c r="K167" s="604">
        <f>I167-J167</f>
        <v>2600000</v>
      </c>
      <c r="L167" s="673"/>
      <c r="M167" s="673"/>
      <c r="N167" s="677"/>
      <c r="O167" s="124"/>
      <c r="P167" s="127"/>
    </row>
    <row r="168" spans="1:16" s="125" customFormat="1" ht="21.6" hidden="1" customHeight="1">
      <c r="A168" s="1153"/>
      <c r="B168" s="1154"/>
      <c r="C168" s="1154"/>
      <c r="D168" s="277" t="str">
        <f>'lương gián tiếp'!B14</f>
        <v>Đô La</v>
      </c>
      <c r="E168" s="277" t="s">
        <v>802</v>
      </c>
      <c r="F168" s="604">
        <f>'lương gián tiếp'!E14</f>
        <v>2000000</v>
      </c>
      <c r="G168" s="604"/>
      <c r="H168" s="604">
        <f>'lương gián tiếp'!G14</f>
        <v>600000</v>
      </c>
      <c r="I168" s="604">
        <f>'lương gián tiếp'!H14</f>
        <v>2600000</v>
      </c>
      <c r="J168" s="604"/>
      <c r="K168" s="604">
        <f t="shared" ref="K168:K169" si="21">I168-J168</f>
        <v>2600000</v>
      </c>
      <c r="L168" s="673"/>
      <c r="M168" s="673"/>
      <c r="N168" s="677"/>
      <c r="O168" s="124"/>
      <c r="P168" s="127"/>
    </row>
    <row r="169" spans="1:16" s="125" customFormat="1" ht="21.6" hidden="1" customHeight="1">
      <c r="A169" s="1153"/>
      <c r="B169" s="1154"/>
      <c r="C169" s="1154"/>
      <c r="D169" s="277" t="str">
        <f>'lương gián tiếp'!B15</f>
        <v xml:space="preserve">Thảo Mét </v>
      </c>
      <c r="E169" s="277" t="s">
        <v>802</v>
      </c>
      <c r="F169" s="604">
        <f>'lương gián tiếp'!E15</f>
        <v>2000000</v>
      </c>
      <c r="G169" s="604"/>
      <c r="H169" s="604">
        <f>'lương gián tiếp'!G15</f>
        <v>600000</v>
      </c>
      <c r="I169" s="604">
        <f>'lương gián tiếp'!H15</f>
        <v>2600000</v>
      </c>
      <c r="J169" s="604">
        <f>'lương gián tiếp'!I15</f>
        <v>65000</v>
      </c>
      <c r="K169" s="604">
        <f t="shared" si="21"/>
        <v>2535000</v>
      </c>
      <c r="L169" s="673"/>
      <c r="M169" s="673"/>
      <c r="N169" s="677"/>
      <c r="O169" s="124"/>
      <c r="P169" s="127"/>
    </row>
    <row r="170" spans="1:16" s="125" customFormat="1" ht="21.6" customHeight="1">
      <c r="A170" s="1574" t="s">
        <v>859</v>
      </c>
      <c r="B170" s="1575"/>
      <c r="C170" s="1575"/>
      <c r="D170" s="1576"/>
      <c r="E170" s="233">
        <v>2</v>
      </c>
      <c r="F170" s="604">
        <f>SUM(F171:F172)</f>
        <v>14168177.901261467</v>
      </c>
      <c r="G170" s="604"/>
      <c r="H170" s="604"/>
      <c r="I170" s="604">
        <f t="shared" ref="I170:K170" si="22">SUM(I171:I172)</f>
        <v>14168177.901261467</v>
      </c>
      <c r="J170" s="604">
        <f t="shared" si="22"/>
        <v>786817.79012614687</v>
      </c>
      <c r="K170" s="604">
        <f t="shared" si="22"/>
        <v>13381360.111135323</v>
      </c>
      <c r="L170" s="673"/>
      <c r="M170" s="673"/>
      <c r="N170" s="677"/>
      <c r="O170" s="124"/>
      <c r="P170" s="127"/>
    </row>
    <row r="171" spans="1:16" s="125" customFormat="1" ht="26.25" hidden="1" customHeight="1">
      <c r="A171" s="872"/>
      <c r="B171" s="298"/>
      <c r="C171" s="344"/>
      <c r="D171" s="277" t="str">
        <f>'lương gián tiếp'!B17</f>
        <v>Thảo Văn Vông</v>
      </c>
      <c r="E171" s="277" t="s">
        <v>424</v>
      </c>
      <c r="F171" s="242">
        <f>VLOOKUP(D171,'lương gián tiếp'!B17:J18,7,0)</f>
        <v>7120785.313761469</v>
      </c>
      <c r="G171" s="604"/>
      <c r="H171" s="604"/>
      <c r="I171" s="676">
        <f>VLOOKUP(D171,'lương gián tiếp'!B17:J18,7,0)</f>
        <v>7120785.313761469</v>
      </c>
      <c r="J171" s="604">
        <f>VLOOKUP(D171,'lương gián tiếp'!B17:J18,8,0)</f>
        <v>397078.53137614694</v>
      </c>
      <c r="K171" s="676">
        <f>I171-J171</f>
        <v>6723706.7823853223</v>
      </c>
      <c r="L171" s="242"/>
      <c r="M171" s="606">
        <f>K171</f>
        <v>6723706.7823853223</v>
      </c>
      <c r="N171" s="677"/>
      <c r="O171" s="124"/>
      <c r="P171" s="127"/>
    </row>
    <row r="172" spans="1:16" s="125" customFormat="1" ht="26.25" hidden="1" customHeight="1">
      <c r="A172" s="872"/>
      <c r="B172" s="298"/>
      <c r="C172" s="344"/>
      <c r="D172" s="277" t="str">
        <f>'lương gián tiếp'!B18</f>
        <v>Thảo Phôn Chay</v>
      </c>
      <c r="E172" s="277" t="s">
        <v>424</v>
      </c>
      <c r="F172" s="242">
        <f>VLOOKUP(D172,'lương gián tiếp'!B18:J19,7,0)</f>
        <v>7047392.5874999994</v>
      </c>
      <c r="G172" s="604"/>
      <c r="H172" s="604"/>
      <c r="I172" s="676">
        <f>VLOOKUP(D172,'lương gián tiếp'!B18:J19,7,0)</f>
        <v>7047392.5874999994</v>
      </c>
      <c r="J172" s="604">
        <f>VLOOKUP(D172,'lương gián tiếp'!B18:J19,8,0)</f>
        <v>389739.25874999992</v>
      </c>
      <c r="K172" s="676">
        <f>I172-J172</f>
        <v>6657653.3287499994</v>
      </c>
      <c r="L172" s="242"/>
      <c r="M172" s="606">
        <f>K172</f>
        <v>6657653.3287499994</v>
      </c>
      <c r="N172" s="677"/>
      <c r="O172" s="124"/>
      <c r="P172" s="127"/>
    </row>
    <row r="173" spans="1:16" s="125" customFormat="1" ht="26.25" customHeight="1">
      <c r="A173" s="1571" t="s">
        <v>160</v>
      </c>
      <c r="B173" s="1572"/>
      <c r="C173" s="1572"/>
      <c r="D173" s="1573"/>
      <c r="E173" s="233">
        <v>1</v>
      </c>
      <c r="F173" s="242">
        <f>F174</f>
        <v>2000000.0000000002</v>
      </c>
      <c r="G173" s="242"/>
      <c r="H173" s="242"/>
      <c r="I173" s="242">
        <f t="shared" ref="I173:K173" si="23">I174</f>
        <v>2000000.0000000002</v>
      </c>
      <c r="J173" s="242">
        <f t="shared" si="23"/>
        <v>35000.000000000015</v>
      </c>
      <c r="K173" s="242">
        <f t="shared" si="23"/>
        <v>1965000.0000000002</v>
      </c>
      <c r="L173" s="242"/>
      <c r="M173" s="606"/>
      <c r="N173" s="677"/>
      <c r="O173" s="124"/>
      <c r="P173" s="127"/>
    </row>
    <row r="174" spans="1:16" s="125" customFormat="1" ht="26.25" hidden="1" customHeight="1">
      <c r="A174" s="872"/>
      <c r="B174" s="298"/>
      <c r="C174" s="344"/>
      <c r="D174" s="277" t="str">
        <f>'lương gián tiếp'!B20</f>
        <v>N. Nhung  ( VP)</v>
      </c>
      <c r="E174" s="277" t="s">
        <v>161</v>
      </c>
      <c r="F174" s="242">
        <f>'lương gián tiếp'!E20</f>
        <v>2000000.0000000002</v>
      </c>
      <c r="G174" s="604"/>
      <c r="H174" s="604"/>
      <c r="I174" s="676">
        <f>F174</f>
        <v>2000000.0000000002</v>
      </c>
      <c r="J174" s="604">
        <f>'lương gián tiếp'!I20</f>
        <v>35000.000000000015</v>
      </c>
      <c r="K174" s="676">
        <f t="shared" ref="K174" si="24">I174-J174</f>
        <v>1965000.0000000002</v>
      </c>
      <c r="L174" s="242"/>
      <c r="M174" s="606">
        <f t="shared" ref="M174" si="25">K174</f>
        <v>1965000.0000000002</v>
      </c>
      <c r="N174" s="677"/>
      <c r="O174" s="124"/>
      <c r="P174" s="127"/>
    </row>
    <row r="175" spans="1:16" s="125" customFormat="1" ht="26.25" hidden="1" customHeight="1">
      <c r="A175" s="1551" t="s">
        <v>860</v>
      </c>
      <c r="B175" s="1552"/>
      <c r="C175" s="1552"/>
      <c r="D175" s="1552"/>
      <c r="E175" s="1553"/>
      <c r="F175" s="1151">
        <f t="shared" ref="F175:M175" si="26">F13+F99</f>
        <v>0</v>
      </c>
      <c r="G175" s="1151">
        <f t="shared" si="26"/>
        <v>943882925</v>
      </c>
      <c r="H175" s="1151">
        <f t="shared" si="26"/>
        <v>168326837</v>
      </c>
      <c r="I175" s="1151">
        <f t="shared" si="26"/>
        <v>1112209762</v>
      </c>
      <c r="J175" s="1151">
        <f t="shared" si="26"/>
        <v>0</v>
      </c>
      <c r="K175" s="1151">
        <f t="shared" si="26"/>
        <v>1112209762</v>
      </c>
      <c r="L175" s="673">
        <f t="shared" si="26"/>
        <v>0</v>
      </c>
      <c r="M175" s="673">
        <f t="shared" si="26"/>
        <v>1112209762</v>
      </c>
      <c r="N175" s="678"/>
      <c r="O175" s="128">
        <f>'CNKT '!AA168</f>
        <v>1112209762</v>
      </c>
      <c r="P175" s="1011">
        <f>O175-I175</f>
        <v>0</v>
      </c>
    </row>
    <row r="176" spans="1:16" s="125" customFormat="1" ht="26.25" hidden="1" customHeight="1">
      <c r="A176" s="1551" t="s">
        <v>861</v>
      </c>
      <c r="B176" s="1552"/>
      <c r="C176" s="1552"/>
      <c r="D176" s="1552"/>
      <c r="E176" s="1553"/>
      <c r="F176" s="1151">
        <f>F166</f>
        <v>6000000</v>
      </c>
      <c r="G176" s="1151"/>
      <c r="H176" s="1151">
        <f t="shared" ref="H176:K176" si="27">H166</f>
        <v>1800000</v>
      </c>
      <c r="I176" s="1151">
        <f t="shared" si="27"/>
        <v>7800000</v>
      </c>
      <c r="J176" s="1151">
        <f t="shared" si="27"/>
        <v>65000</v>
      </c>
      <c r="K176" s="1151">
        <f t="shared" si="27"/>
        <v>7735000</v>
      </c>
      <c r="L176" s="673"/>
      <c r="M176" s="673"/>
      <c r="N176" s="678"/>
      <c r="O176" s="128"/>
      <c r="P176" s="1011"/>
    </row>
    <row r="177" spans="1:17" s="125" customFormat="1" ht="26.25" hidden="1" customHeight="1">
      <c r="A177" s="1551" t="s">
        <v>862</v>
      </c>
      <c r="B177" s="1552"/>
      <c r="C177" s="1552"/>
      <c r="D177" s="1552"/>
      <c r="E177" s="1553"/>
      <c r="F177" s="1151">
        <f>F170</f>
        <v>14168177.901261467</v>
      </c>
      <c r="G177" s="1151"/>
      <c r="H177" s="1151"/>
      <c r="I177" s="1151">
        <f t="shared" ref="I177:K177" si="28">I170</f>
        <v>14168177.901261467</v>
      </c>
      <c r="J177" s="1151">
        <f t="shared" si="28"/>
        <v>786817.79012614687</v>
      </c>
      <c r="K177" s="1151">
        <f t="shared" si="28"/>
        <v>13381360.111135323</v>
      </c>
      <c r="L177" s="673"/>
      <c r="M177" s="673"/>
      <c r="N177" s="678"/>
      <c r="O177" s="128"/>
      <c r="P177" s="1011"/>
    </row>
    <row r="178" spans="1:17" s="125" customFormat="1" ht="21.75" hidden="1" customHeight="1">
      <c r="A178" s="1551" t="s">
        <v>863</v>
      </c>
      <c r="B178" s="1552"/>
      <c r="C178" s="1552"/>
      <c r="D178" s="1552"/>
      <c r="E178" s="1553"/>
      <c r="F178" s="1151">
        <f>F173</f>
        <v>2000000.0000000002</v>
      </c>
      <c r="G178" s="1151"/>
      <c r="H178" s="1151"/>
      <c r="I178" s="1151">
        <f t="shared" ref="I178:K178" si="29">I173</f>
        <v>2000000.0000000002</v>
      </c>
      <c r="J178" s="1151">
        <f t="shared" si="29"/>
        <v>35000.000000000015</v>
      </c>
      <c r="K178" s="1151">
        <f t="shared" si="29"/>
        <v>1965000.0000000002</v>
      </c>
      <c r="L178" s="673">
        <f>L166</f>
        <v>0</v>
      </c>
      <c r="M178" s="673">
        <f>M166</f>
        <v>15346360.111135323</v>
      </c>
      <c r="N178" s="678"/>
      <c r="O178" s="128"/>
    </row>
    <row r="179" spans="1:17" s="125" customFormat="1" ht="21.75" customHeight="1">
      <c r="A179" s="1554" t="s">
        <v>865</v>
      </c>
      <c r="B179" s="1555"/>
      <c r="C179" s="1555"/>
      <c r="D179" s="1555"/>
      <c r="E179" s="1556"/>
      <c r="F179" s="1151">
        <f>SUM(F175:F178)</f>
        <v>22168177.901261467</v>
      </c>
      <c r="G179" s="1151">
        <f t="shared" ref="G179:K179" si="30">SUM(G175:G178)</f>
        <v>943882925</v>
      </c>
      <c r="H179" s="1151">
        <f t="shared" si="30"/>
        <v>170126837</v>
      </c>
      <c r="I179" s="1152">
        <f t="shared" si="30"/>
        <v>1136177939.9012616</v>
      </c>
      <c r="J179" s="1151">
        <f t="shared" si="30"/>
        <v>886817.79012614687</v>
      </c>
      <c r="K179" s="1151">
        <f t="shared" si="30"/>
        <v>1135291122.1111352</v>
      </c>
      <c r="L179" s="673">
        <f t="shared" ref="L179:M179" si="31">SUM(L175:L178)</f>
        <v>0</v>
      </c>
      <c r="M179" s="673">
        <f t="shared" si="31"/>
        <v>1127556122.1111352</v>
      </c>
      <c r="N179" s="679"/>
      <c r="O179" s="124"/>
      <c r="P179" s="127"/>
    </row>
    <row r="180" spans="1:17" s="125" customFormat="1" ht="21.75" customHeight="1">
      <c r="A180" s="871"/>
      <c r="B180" s="1557" t="s">
        <v>854</v>
      </c>
      <c r="C180" s="1558"/>
      <c r="D180" s="1558"/>
      <c r="E180" s="1558"/>
      <c r="F180" s="1558"/>
      <c r="G180" s="1558"/>
      <c r="H180" s="1558"/>
      <c r="I180" s="1558"/>
      <c r="J180" s="1558"/>
      <c r="K180" s="1558"/>
      <c r="L180" s="1558"/>
      <c r="M180" s="1558"/>
      <c r="N180" s="1559"/>
      <c r="O180" s="124"/>
      <c r="P180" s="127"/>
    </row>
    <row r="181" spans="1:17" ht="16.5">
      <c r="B181" s="702"/>
      <c r="C181" s="637"/>
      <c r="D181" s="150"/>
      <c r="E181" s="150"/>
      <c r="F181" s="157"/>
      <c r="G181" s="150"/>
      <c r="H181" s="150"/>
      <c r="I181" s="1567" t="s">
        <v>819</v>
      </c>
      <c r="J181" s="1567"/>
      <c r="K181" s="1567"/>
      <c r="L181" s="1567"/>
      <c r="M181" s="1567"/>
      <c r="N181" s="1567"/>
      <c r="O181" s="48"/>
      <c r="Q181" s="50"/>
    </row>
    <row r="182" spans="1:17" s="42" customFormat="1" ht="16.5">
      <c r="B182" s="703"/>
      <c r="C182" s="229"/>
      <c r="D182" s="229"/>
      <c r="E182" s="229"/>
      <c r="F182" s="229"/>
      <c r="G182" s="229"/>
      <c r="H182" s="229"/>
      <c r="I182" s="229"/>
      <c r="J182" s="229"/>
      <c r="K182" s="229"/>
      <c r="L182" s="229"/>
      <c r="M182" s="703"/>
      <c r="N182" s="229"/>
      <c r="O182" s="50"/>
      <c r="P182" s="130"/>
    </row>
    <row r="183" spans="1:17" s="42" customFormat="1" ht="16.5">
      <c r="A183" s="1568" t="s">
        <v>29</v>
      </c>
      <c r="B183" s="1568"/>
      <c r="C183" s="1568"/>
      <c r="D183" s="1568"/>
      <c r="E183" s="1568" t="s">
        <v>28</v>
      </c>
      <c r="F183" s="1568"/>
      <c r="G183" s="1568" t="s">
        <v>27</v>
      </c>
      <c r="H183" s="1568"/>
      <c r="I183" s="1568" t="s">
        <v>553</v>
      </c>
      <c r="J183" s="1568"/>
      <c r="K183" s="1568" t="s">
        <v>769</v>
      </c>
      <c r="L183" s="1568"/>
      <c r="M183" s="1568"/>
      <c r="N183" s="1568"/>
      <c r="O183" s="49"/>
      <c r="P183" s="130"/>
    </row>
    <row r="184" spans="1:17" s="42" customFormat="1" ht="16.5">
      <c r="B184" s="703"/>
      <c r="C184" s="680"/>
      <c r="D184" s="703"/>
      <c r="E184" s="703"/>
      <c r="F184" s="706"/>
      <c r="G184" s="681"/>
      <c r="H184" s="681"/>
      <c r="I184" s="682"/>
      <c r="J184" s="703"/>
      <c r="K184" s="703"/>
      <c r="L184" s="703"/>
      <c r="M184" s="683"/>
      <c r="N184" s="703"/>
      <c r="O184" s="2"/>
    </row>
    <row r="185" spans="1:17" ht="16.5">
      <c r="B185" s="702"/>
      <c r="C185" s="637"/>
      <c r="D185" s="150"/>
      <c r="E185" s="150"/>
      <c r="F185" s="152"/>
      <c r="G185" s="152"/>
      <c r="H185" s="152"/>
      <c r="I185" s="152"/>
      <c r="J185" s="152"/>
      <c r="K185" s="152"/>
      <c r="L185" s="152"/>
      <c r="M185" s="152"/>
      <c r="N185" s="684"/>
      <c r="O185" s="50"/>
    </row>
    <row r="186" spans="1:17" ht="16.5">
      <c r="B186" s="702"/>
      <c r="C186" s="637"/>
      <c r="D186" s="150"/>
      <c r="E186" s="150"/>
      <c r="F186" s="152"/>
      <c r="G186" s="152"/>
      <c r="H186" s="152"/>
      <c r="I186" s="152"/>
      <c r="J186" s="152"/>
      <c r="K186" s="152"/>
      <c r="L186" s="152"/>
      <c r="M186" s="152"/>
      <c r="N186" s="684"/>
      <c r="O186" s="50"/>
    </row>
    <row r="187" spans="1:17" ht="16.5">
      <c r="B187" s="702"/>
      <c r="C187" s="637"/>
      <c r="D187" s="150"/>
      <c r="E187" s="150"/>
      <c r="F187" s="152"/>
      <c r="G187" s="152"/>
      <c r="H187" s="152"/>
      <c r="I187" s="152"/>
      <c r="J187" s="152"/>
      <c r="K187" s="152"/>
      <c r="L187" s="152"/>
      <c r="M187" s="152"/>
      <c r="N187" s="684"/>
      <c r="O187" s="50"/>
    </row>
    <row r="188" spans="1:17" ht="16.5">
      <c r="B188" s="702"/>
      <c r="C188" s="637"/>
      <c r="D188" s="150"/>
      <c r="E188" s="150"/>
      <c r="F188" s="704"/>
      <c r="G188" s="704"/>
      <c r="H188" s="685"/>
      <c r="I188" s="685"/>
      <c r="J188" s="704"/>
      <c r="K188" s="704"/>
      <c r="L188" s="704"/>
      <c r="M188" s="704"/>
      <c r="N188" s="150"/>
    </row>
    <row r="189" spans="1:17" ht="16.5">
      <c r="B189" s="702"/>
      <c r="C189" s="1540"/>
      <c r="D189" s="1540"/>
      <c r="E189" s="229"/>
      <c r="F189" s="1566"/>
      <c r="G189" s="1566"/>
      <c r="H189" s="683"/>
      <c r="I189" s="229"/>
      <c r="J189" s="617"/>
      <c r="K189" s="229"/>
      <c r="L189" s="229"/>
      <c r="M189" s="703"/>
      <c r="N189" s="150"/>
    </row>
    <row r="190" spans="1:17" ht="16.5">
      <c r="B190" s="702"/>
      <c r="C190" s="2"/>
      <c r="F190" s="2"/>
      <c r="N190" s="2"/>
      <c r="O190" s="49"/>
    </row>
    <row r="191" spans="1:17" ht="16.5">
      <c r="B191" s="702"/>
      <c r="C191" s="637"/>
      <c r="D191" s="150"/>
      <c r="E191" s="150"/>
      <c r="F191" s="157"/>
      <c r="G191" s="686"/>
      <c r="H191" s="687"/>
      <c r="I191" s="150"/>
      <c r="J191" s="157"/>
      <c r="K191" s="150"/>
      <c r="L191" s="150"/>
      <c r="M191" s="150"/>
      <c r="N191" s="150"/>
    </row>
    <row r="192" spans="1:17" ht="16.5">
      <c r="B192" s="702"/>
      <c r="C192" s="637"/>
      <c r="D192" s="150"/>
      <c r="E192" s="150"/>
      <c r="F192" s="688"/>
      <c r="G192" s="689"/>
      <c r="H192" s="689"/>
      <c r="I192" s="418"/>
      <c r="J192" s="1564"/>
      <c r="K192" s="1564"/>
      <c r="L192" s="150"/>
      <c r="M192" s="152"/>
      <c r="N192" s="150"/>
    </row>
    <row r="193" spans="6:16">
      <c r="F193" s="708"/>
      <c r="G193" s="1448"/>
      <c r="H193" s="1448"/>
      <c r="I193" s="48"/>
      <c r="K193" s="49"/>
      <c r="O193" s="50" t="e">
        <f>+I179-#REF!</f>
        <v>#REF!</v>
      </c>
      <c r="P193" s="50">
        <f>+I179-J179</f>
        <v>1135291122.1111355</v>
      </c>
    </row>
    <row r="194" spans="6:16">
      <c r="F194" s="708"/>
      <c r="G194" s="1565"/>
      <c r="H194" s="1563"/>
      <c r="I194" s="709"/>
      <c r="J194" s="709"/>
    </row>
    <row r="195" spans="6:16" ht="18.75">
      <c r="F195" s="707"/>
      <c r="G195" s="1560"/>
      <c r="H195" s="1561"/>
      <c r="I195" s="86"/>
      <c r="J195" s="48"/>
      <c r="K195" s="44"/>
    </row>
    <row r="196" spans="6:16">
      <c r="G196" s="1562"/>
      <c r="H196" s="1563"/>
      <c r="I196" s="50"/>
      <c r="K196" s="48"/>
    </row>
    <row r="197" spans="6:16">
      <c r="H197" s="49"/>
      <c r="I197" s="86"/>
      <c r="K197" s="85"/>
    </row>
    <row r="198" spans="6:16">
      <c r="H198" s="50"/>
      <c r="I198" s="50"/>
      <c r="J198" s="48"/>
      <c r="K198" s="48"/>
      <c r="M198" s="708"/>
    </row>
    <row r="199" spans="6:16">
      <c r="H199" s="86"/>
      <c r="I199" s="49"/>
      <c r="M199" s="47"/>
    </row>
    <row r="200" spans="6:16">
      <c r="F200" s="708"/>
      <c r="K200" s="50"/>
      <c r="M200" s="49"/>
    </row>
    <row r="201" spans="6:16">
      <c r="F201" s="708"/>
      <c r="G201" s="49"/>
      <c r="K201" s="50"/>
      <c r="M201" s="49"/>
    </row>
    <row r="202" spans="6:16">
      <c r="F202" s="708"/>
      <c r="H202" s="48"/>
      <c r="L202" s="49"/>
    </row>
    <row r="203" spans="6:16">
      <c r="M203" s="196"/>
    </row>
    <row r="210" spans="6:6">
      <c r="F210" s="47" t="s">
        <v>155</v>
      </c>
    </row>
  </sheetData>
  <mergeCells count="41">
    <mergeCell ref="A176:E176"/>
    <mergeCell ref="A177:E177"/>
    <mergeCell ref="B1:N1"/>
    <mergeCell ref="B2:N2"/>
    <mergeCell ref="B5:I5"/>
    <mergeCell ref="B6:I6"/>
    <mergeCell ref="B3:N3"/>
    <mergeCell ref="B8:N8"/>
    <mergeCell ref="E11:E12"/>
    <mergeCell ref="F11:H11"/>
    <mergeCell ref="I11:I12"/>
    <mergeCell ref="N11:N12"/>
    <mergeCell ref="M11:M12"/>
    <mergeCell ref="J11:J12"/>
    <mergeCell ref="K11:K12"/>
    <mergeCell ref="L11:L12"/>
    <mergeCell ref="A11:B12"/>
    <mergeCell ref="C11:C12"/>
    <mergeCell ref="A175:E175"/>
    <mergeCell ref="D11:D12"/>
    <mergeCell ref="A13:D13"/>
    <mergeCell ref="A99:D99"/>
    <mergeCell ref="A166:D166"/>
    <mergeCell ref="A170:D170"/>
    <mergeCell ref="A173:D173"/>
    <mergeCell ref="A178:E178"/>
    <mergeCell ref="A179:E179"/>
    <mergeCell ref="B180:N180"/>
    <mergeCell ref="G195:H195"/>
    <mergeCell ref="G196:H196"/>
    <mergeCell ref="J192:K192"/>
    <mergeCell ref="G193:H193"/>
    <mergeCell ref="G194:H194"/>
    <mergeCell ref="F189:G189"/>
    <mergeCell ref="C189:D189"/>
    <mergeCell ref="I181:N181"/>
    <mergeCell ref="E183:F183"/>
    <mergeCell ref="G183:H183"/>
    <mergeCell ref="I183:J183"/>
    <mergeCell ref="K183:N183"/>
    <mergeCell ref="A183:D183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83" fitToHeight="0" orientation="landscape" r:id="rId1"/>
  <headerFooter>
    <oddFooter>&amp;R&amp;P</oddFooter>
  </headerFooter>
  <colBreaks count="1" manualBreakCount="1">
    <brk id="14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49"/>
  <sheetViews>
    <sheetView topLeftCell="A7" zoomScale="85" zoomScaleNormal="85" workbookViewId="0">
      <selection activeCell="I23" sqref="I23"/>
    </sheetView>
  </sheetViews>
  <sheetFormatPr defaultColWidth="9.140625" defaultRowHeight="15"/>
  <cols>
    <col min="1" max="1" width="3.85546875" style="2" customWidth="1"/>
    <col min="2" max="2" width="4.28515625" style="705" customWidth="1"/>
    <col min="3" max="3" width="9.85546875" style="84" hidden="1" customWidth="1"/>
    <col min="4" max="4" width="20.140625" style="2" customWidth="1"/>
    <col min="5" max="5" width="15.85546875" style="2" customWidth="1"/>
    <col min="6" max="6" width="13.140625" style="47" customWidth="1"/>
    <col min="7" max="7" width="17.140625" style="2" customWidth="1"/>
    <col min="8" max="8" width="13.5703125" style="2" customWidth="1"/>
    <col min="9" max="9" width="19.28515625" style="2" customWidth="1"/>
    <col min="10" max="10" width="20" style="2" customWidth="1"/>
    <col min="11" max="11" width="25.28515625" style="2" customWidth="1"/>
    <col min="12" max="12" width="9.140625" style="2" hidden="1" customWidth="1"/>
    <col min="13" max="13" width="0.140625" style="2" customWidth="1"/>
    <col min="14" max="14" width="19.7109375" style="12" customWidth="1"/>
    <col min="15" max="15" width="22.7109375" style="2" customWidth="1"/>
    <col min="16" max="16" width="16.5703125" style="2" bestFit="1" customWidth="1"/>
    <col min="17" max="16384" width="9.140625" style="2"/>
  </cols>
  <sheetData>
    <row r="1" spans="1:18" ht="22.5">
      <c r="B1" s="1577" t="s">
        <v>51</v>
      </c>
      <c r="C1" s="1577"/>
      <c r="D1" s="1577"/>
      <c r="E1" s="1577"/>
      <c r="F1" s="1577"/>
      <c r="G1" s="1577"/>
      <c r="H1" s="1577"/>
      <c r="I1" s="1577"/>
      <c r="J1" s="1577"/>
      <c r="K1" s="1577"/>
      <c r="L1" s="1577"/>
      <c r="M1" s="1577"/>
      <c r="N1" s="1577"/>
      <c r="O1" s="671"/>
      <c r="P1" s="671"/>
      <c r="Q1" s="671"/>
      <c r="R1" s="671"/>
    </row>
    <row r="2" spans="1:18" ht="22.5">
      <c r="B2" s="1577" t="s">
        <v>38</v>
      </c>
      <c r="C2" s="1577"/>
      <c r="D2" s="1577"/>
      <c r="E2" s="1577"/>
      <c r="F2" s="1577"/>
      <c r="G2" s="1577"/>
      <c r="H2" s="1577"/>
      <c r="I2" s="1577"/>
      <c r="J2" s="1577"/>
      <c r="K2" s="1577"/>
      <c r="L2" s="1577"/>
      <c r="M2" s="1577"/>
      <c r="N2" s="1577"/>
      <c r="O2" s="671"/>
      <c r="P2" s="671"/>
      <c r="Q2" s="671"/>
      <c r="R2" s="671"/>
    </row>
    <row r="3" spans="1:18" ht="22.5">
      <c r="B3" s="1579" t="s">
        <v>277</v>
      </c>
      <c r="C3" s="1579"/>
      <c r="D3" s="1579"/>
      <c r="E3" s="1579"/>
      <c r="F3" s="1579"/>
      <c r="G3" s="1579"/>
      <c r="H3" s="1579"/>
      <c r="I3" s="1579"/>
      <c r="J3" s="1579"/>
      <c r="K3" s="1579"/>
      <c r="L3" s="1579"/>
      <c r="M3" s="1579"/>
      <c r="N3" s="1579"/>
      <c r="O3" s="671"/>
      <c r="P3" s="671"/>
      <c r="Q3" s="671"/>
      <c r="R3" s="671"/>
    </row>
    <row r="5" spans="1:18" s="150" customFormat="1" ht="16.5">
      <c r="B5" s="1578" t="s">
        <v>550</v>
      </c>
      <c r="C5" s="1578"/>
      <c r="D5" s="1578"/>
      <c r="E5" s="1578"/>
      <c r="F5" s="1578"/>
      <c r="G5" s="1578"/>
      <c r="H5" s="1578"/>
      <c r="I5" s="1578"/>
      <c r="J5" s="119"/>
      <c r="K5" s="119"/>
      <c r="L5" s="119"/>
      <c r="M5" s="119"/>
      <c r="N5" s="119"/>
    </row>
    <row r="6" spans="1:18" s="150" customFormat="1" ht="16.5">
      <c r="B6" s="1456" t="s">
        <v>540</v>
      </c>
      <c r="C6" s="1456"/>
      <c r="D6" s="1456"/>
      <c r="E6" s="1456"/>
      <c r="F6" s="1456"/>
      <c r="G6" s="1456"/>
      <c r="H6" s="1456"/>
      <c r="I6" s="1456"/>
      <c r="J6" s="119"/>
      <c r="K6" s="119"/>
      <c r="L6" s="119"/>
      <c r="M6" s="119"/>
      <c r="N6" s="119"/>
    </row>
    <row r="7" spans="1:18" s="150" customFormat="1" ht="16.5">
      <c r="F7" s="157"/>
      <c r="N7" s="12"/>
    </row>
    <row r="8" spans="1:18" s="150" customFormat="1" ht="20.25">
      <c r="B8" s="1580" t="s">
        <v>856</v>
      </c>
      <c r="C8" s="1580"/>
      <c r="D8" s="1580"/>
      <c r="E8" s="1580"/>
      <c r="F8" s="1580"/>
      <c r="G8" s="1580"/>
      <c r="H8" s="1580"/>
      <c r="I8" s="1580"/>
      <c r="J8" s="1580"/>
      <c r="K8" s="1580"/>
      <c r="L8" s="1580"/>
      <c r="M8" s="1580"/>
      <c r="N8" s="1580"/>
    </row>
    <row r="9" spans="1:18" ht="18.75"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</row>
    <row r="10" spans="1:18">
      <c r="B10" s="28"/>
      <c r="C10" s="121"/>
      <c r="D10" s="12"/>
      <c r="E10" s="12"/>
      <c r="F10" s="122"/>
      <c r="G10" s="12"/>
      <c r="H10" s="12"/>
      <c r="I10" s="12"/>
      <c r="J10" s="12"/>
      <c r="K10" s="12"/>
      <c r="L10" s="12"/>
      <c r="M10" s="12"/>
    </row>
    <row r="11" spans="1:18" ht="29.25" customHeight="1">
      <c r="A11" s="1547" t="s">
        <v>4</v>
      </c>
      <c r="B11" s="1547"/>
      <c r="C11" s="1542" t="s">
        <v>89</v>
      </c>
      <c r="D11" s="1547" t="s">
        <v>5</v>
      </c>
      <c r="E11" s="1547" t="s">
        <v>717</v>
      </c>
      <c r="F11" s="1547" t="s">
        <v>352</v>
      </c>
      <c r="G11" s="1547"/>
      <c r="H11" s="1547"/>
      <c r="I11" s="1542" t="s">
        <v>364</v>
      </c>
      <c r="J11" s="1542" t="s">
        <v>9</v>
      </c>
      <c r="K11" s="1542" t="s">
        <v>346</v>
      </c>
      <c r="L11" s="1542" t="s">
        <v>10</v>
      </c>
      <c r="M11" s="1542" t="s">
        <v>11</v>
      </c>
      <c r="N11" s="1542" t="s">
        <v>62</v>
      </c>
    </row>
    <row r="12" spans="1:18" ht="36.75" customHeight="1">
      <c r="A12" s="1547"/>
      <c r="B12" s="1547"/>
      <c r="C12" s="1542"/>
      <c r="D12" s="1547"/>
      <c r="E12" s="1547"/>
      <c r="F12" s="672" t="s">
        <v>20</v>
      </c>
      <c r="G12" s="505" t="s">
        <v>21</v>
      </c>
      <c r="H12" s="505" t="s">
        <v>857</v>
      </c>
      <c r="I12" s="1547"/>
      <c r="J12" s="1542"/>
      <c r="K12" s="1542"/>
      <c r="L12" s="1547"/>
      <c r="M12" s="1547"/>
      <c r="N12" s="1547"/>
    </row>
    <row r="13" spans="1:18" ht="24.75" customHeight="1">
      <c r="A13" s="1583" t="s">
        <v>538</v>
      </c>
      <c r="B13" s="1583"/>
      <c r="C13" s="1583"/>
      <c r="D13" s="1583"/>
      <c r="E13" s="233">
        <f>'Trạm 1'!A100</f>
        <v>81</v>
      </c>
      <c r="F13" s="604">
        <f>'Trạm 1'!F101</f>
        <v>0</v>
      </c>
      <c r="G13" s="604">
        <f>'Trạm 1'!L101</f>
        <v>507569247</v>
      </c>
      <c r="H13" s="604">
        <f>'Trạm 1'!W101</f>
        <v>94707554</v>
      </c>
      <c r="I13" s="604">
        <f>F13+G13+H13</f>
        <v>602276801</v>
      </c>
      <c r="J13" s="604"/>
      <c r="K13" s="604">
        <f>I13-J13</f>
        <v>602276801</v>
      </c>
      <c r="L13" s="673" t="e">
        <f>SUM(#REF!)</f>
        <v>#REF!</v>
      </c>
      <c r="M13" s="673" t="e">
        <f>SUM(#REF!)</f>
        <v>#REF!</v>
      </c>
      <c r="N13" s="447"/>
    </row>
    <row r="14" spans="1:18" s="869" customFormat="1" ht="21.75" customHeight="1">
      <c r="A14" s="1583" t="s">
        <v>539</v>
      </c>
      <c r="B14" s="1583"/>
      <c r="C14" s="1583"/>
      <c r="D14" s="1583"/>
      <c r="E14" s="233">
        <f>'Trạm 2'!A82</f>
        <v>66</v>
      </c>
      <c r="F14" s="604">
        <f>'Trạm 2'!F83</f>
        <v>0</v>
      </c>
      <c r="G14" s="604">
        <f>'Trạm 2'!L83</f>
        <v>436313678</v>
      </c>
      <c r="H14" s="604">
        <f>'Trạm 2'!W83</f>
        <v>73619283</v>
      </c>
      <c r="I14" s="604">
        <f>F14+G14+H14</f>
        <v>509932961</v>
      </c>
      <c r="J14" s="604"/>
      <c r="K14" s="604">
        <f t="shared" ref="K14:K17" si="0">I14-J14</f>
        <v>509932961</v>
      </c>
      <c r="L14" s="673" t="e">
        <f>SUM(#REF!)</f>
        <v>#REF!</v>
      </c>
      <c r="M14" s="673" t="e">
        <f>SUM(#REF!)</f>
        <v>#REF!</v>
      </c>
      <c r="N14" s="866"/>
      <c r="O14" s="867" t="e">
        <f>I14-#REF!-#REF!-L14</f>
        <v>#REF!</v>
      </c>
      <c r="P14" s="868" t="e">
        <f>#REF!-O14</f>
        <v>#REF!</v>
      </c>
    </row>
    <row r="15" spans="1:18" s="125" customFormat="1" ht="21.6" customHeight="1">
      <c r="A15" s="1584" t="s">
        <v>858</v>
      </c>
      <c r="B15" s="1584"/>
      <c r="C15" s="1584"/>
      <c r="D15" s="1584"/>
      <c r="E15" s="298">
        <v>3</v>
      </c>
      <c r="F15" s="604">
        <f>'lương gián tiếp'!E12</f>
        <v>6000000</v>
      </c>
      <c r="G15" s="604"/>
      <c r="H15" s="604">
        <f>'lương gián tiếp'!G12</f>
        <v>1800000</v>
      </c>
      <c r="I15" s="604">
        <f t="shared" ref="I15" si="1">F15+G15+H15</f>
        <v>7800000</v>
      </c>
      <c r="J15" s="604">
        <f>'lương gián tiếp'!I12</f>
        <v>65000</v>
      </c>
      <c r="K15" s="604">
        <f t="shared" si="0"/>
        <v>7735000</v>
      </c>
      <c r="L15" s="673">
        <f>SUM(L17:L17)</f>
        <v>0</v>
      </c>
      <c r="M15" s="673">
        <f>SUM(M17:M17)</f>
        <v>0</v>
      </c>
      <c r="N15" s="677"/>
      <c r="O15" s="124"/>
      <c r="P15" s="127"/>
    </row>
    <row r="16" spans="1:18" s="125" customFormat="1" ht="21.6" customHeight="1">
      <c r="A16" s="1584" t="s">
        <v>859</v>
      </c>
      <c r="B16" s="1584"/>
      <c r="C16" s="1584"/>
      <c r="D16" s="1584"/>
      <c r="E16" s="233">
        <v>2</v>
      </c>
      <c r="F16" s="604">
        <f>'lương gián tiếp'!E16</f>
        <v>6000000</v>
      </c>
      <c r="G16" s="604"/>
      <c r="H16" s="604"/>
      <c r="I16" s="604">
        <f>'lương gián tiếp'!H16</f>
        <v>14168177.901261467</v>
      </c>
      <c r="J16" s="604">
        <f>'lương gián tiếp'!I16</f>
        <v>786817.79012614687</v>
      </c>
      <c r="K16" s="604">
        <f t="shared" si="0"/>
        <v>13381360.111135321</v>
      </c>
      <c r="L16" s="673"/>
      <c r="M16" s="673"/>
      <c r="N16" s="677"/>
      <c r="O16" s="124"/>
      <c r="P16" s="127"/>
    </row>
    <row r="17" spans="1:17" s="125" customFormat="1" ht="26.25" customHeight="1">
      <c r="A17" s="1583" t="s">
        <v>160</v>
      </c>
      <c r="B17" s="1583"/>
      <c r="C17" s="1583"/>
      <c r="D17" s="1583"/>
      <c r="E17" s="233">
        <v>1</v>
      </c>
      <c r="F17" s="242">
        <f>'lương gián tiếp'!E19</f>
        <v>2000000.0000000002</v>
      </c>
      <c r="G17" s="242"/>
      <c r="H17" s="242"/>
      <c r="I17" s="242">
        <f>'lương gián tiếp'!H20</f>
        <v>2000000.0000000002</v>
      </c>
      <c r="J17" s="242">
        <f>'lương gián tiếp'!I19</f>
        <v>35000.000000000015</v>
      </c>
      <c r="K17" s="604">
        <f t="shared" si="0"/>
        <v>1965000.0000000002</v>
      </c>
      <c r="L17" s="242"/>
      <c r="M17" s="606"/>
      <c r="N17" s="677"/>
      <c r="O17" s="124"/>
      <c r="P17" s="127"/>
    </row>
    <row r="18" spans="1:17" s="125" customFormat="1" ht="21.75" customHeight="1">
      <c r="A18" s="1582" t="s">
        <v>865</v>
      </c>
      <c r="B18" s="1582"/>
      <c r="C18" s="1582"/>
      <c r="D18" s="1582"/>
      <c r="E18" s="1582"/>
      <c r="F18" s="1152">
        <f t="shared" ref="F18:H18" si="2">SUM(F13:F17)</f>
        <v>14000000</v>
      </c>
      <c r="G18" s="1152">
        <f t="shared" si="2"/>
        <v>943882925</v>
      </c>
      <c r="H18" s="1152">
        <f t="shared" si="2"/>
        <v>170126837</v>
      </c>
      <c r="I18" s="1152">
        <f>SUM(I13:I17)</f>
        <v>1136177939.9012616</v>
      </c>
      <c r="J18" s="1152">
        <f t="shared" ref="J18:K18" si="3">SUM(J13:J17)</f>
        <v>886817.79012614687</v>
      </c>
      <c r="K18" s="1152">
        <f t="shared" si="3"/>
        <v>1135291122.1111352</v>
      </c>
      <c r="L18" s="673" t="e">
        <f>SUM(#REF!)</f>
        <v>#REF!</v>
      </c>
      <c r="M18" s="673" t="e">
        <f>SUM(#REF!)</f>
        <v>#REF!</v>
      </c>
      <c r="N18" s="679"/>
      <c r="O18" s="124">
        <f>I18-J18</f>
        <v>1135291122.1111355</v>
      </c>
      <c r="P18" s="127"/>
    </row>
    <row r="19" spans="1:17" s="125" customFormat="1" ht="21.75" customHeight="1">
      <c r="A19" s="1581" t="s">
        <v>854</v>
      </c>
      <c r="B19" s="1581"/>
      <c r="C19" s="1581"/>
      <c r="D19" s="1581"/>
      <c r="E19" s="1581"/>
      <c r="F19" s="1581"/>
      <c r="G19" s="1581"/>
      <c r="H19" s="1581"/>
      <c r="I19" s="1581"/>
      <c r="J19" s="1581"/>
      <c r="K19" s="1581"/>
      <c r="L19" s="1581"/>
      <c r="M19" s="1581"/>
      <c r="N19" s="1581"/>
      <c r="O19" s="124"/>
      <c r="P19" s="127"/>
    </row>
    <row r="20" spans="1:17" ht="16.5">
      <c r="B20" s="702"/>
      <c r="C20" s="637"/>
      <c r="D20" s="150"/>
      <c r="E20" s="150"/>
      <c r="F20" s="157"/>
      <c r="G20" s="150"/>
      <c r="H20" s="150"/>
      <c r="I20" s="1567" t="s">
        <v>819</v>
      </c>
      <c r="J20" s="1567"/>
      <c r="K20" s="1567"/>
      <c r="L20" s="1567"/>
      <c r="M20" s="1567"/>
      <c r="N20" s="1567"/>
      <c r="O20" s="48"/>
      <c r="Q20" s="50"/>
    </row>
    <row r="21" spans="1:17" s="42" customFormat="1" ht="16.5">
      <c r="B21" s="703"/>
      <c r="C21" s="229"/>
      <c r="D21" s="229"/>
      <c r="E21" s="229"/>
      <c r="F21" s="229"/>
      <c r="G21" s="229"/>
      <c r="H21" s="229"/>
      <c r="I21" s="229"/>
      <c r="J21" s="229"/>
      <c r="K21" s="229"/>
      <c r="L21" s="229"/>
      <c r="M21" s="703"/>
      <c r="N21" s="229"/>
      <c r="O21" s="50"/>
      <c r="P21" s="130"/>
    </row>
    <row r="22" spans="1:17" s="42" customFormat="1" ht="16.5">
      <c r="A22" s="1568" t="s">
        <v>29</v>
      </c>
      <c r="B22" s="1568"/>
      <c r="C22" s="1568"/>
      <c r="D22" s="1568"/>
      <c r="E22" s="1568" t="s">
        <v>28</v>
      </c>
      <c r="F22" s="1568"/>
      <c r="G22" s="1568" t="s">
        <v>27</v>
      </c>
      <c r="H22" s="1568"/>
      <c r="I22" s="1568" t="s">
        <v>553</v>
      </c>
      <c r="J22" s="1568"/>
      <c r="K22" s="1568" t="s">
        <v>769</v>
      </c>
      <c r="L22" s="1568"/>
      <c r="M22" s="1568"/>
      <c r="N22" s="1568"/>
      <c r="O22" s="49"/>
      <c r="P22" s="130"/>
    </row>
    <row r="23" spans="1:17" s="42" customFormat="1" ht="16.5">
      <c r="B23" s="703"/>
      <c r="C23" s="680"/>
      <c r="D23" s="703"/>
      <c r="E23" s="703"/>
      <c r="F23" s="706"/>
      <c r="G23" s="681"/>
      <c r="H23" s="681"/>
      <c r="I23" s="682"/>
      <c r="J23" s="703"/>
      <c r="K23" s="703"/>
      <c r="L23" s="703"/>
      <c r="M23" s="683"/>
      <c r="N23" s="703"/>
      <c r="O23" s="2"/>
    </row>
    <row r="24" spans="1:17" ht="16.5">
      <c r="B24" s="702"/>
      <c r="C24" s="637"/>
      <c r="D24" s="150"/>
      <c r="E24" s="150"/>
      <c r="F24" s="152"/>
      <c r="G24" s="152"/>
      <c r="H24" s="152"/>
      <c r="I24" s="152"/>
      <c r="J24" s="152"/>
      <c r="K24" s="152"/>
      <c r="L24" s="152"/>
      <c r="M24" s="152"/>
      <c r="N24" s="684"/>
      <c r="O24" s="50"/>
    </row>
    <row r="25" spans="1:17" ht="16.5">
      <c r="B25" s="702"/>
      <c r="C25" s="637"/>
      <c r="D25" s="150"/>
      <c r="E25" s="150"/>
      <c r="F25" s="152"/>
      <c r="G25" s="152"/>
      <c r="H25" s="152"/>
      <c r="I25" s="152"/>
      <c r="J25" s="152"/>
      <c r="K25" s="152"/>
      <c r="L25" s="152"/>
      <c r="M25" s="152"/>
      <c r="N25" s="684"/>
      <c r="O25" s="50"/>
    </row>
    <row r="26" spans="1:17" ht="16.5">
      <c r="B26" s="702"/>
      <c r="C26" s="637"/>
      <c r="D26" s="150"/>
      <c r="E26" s="150"/>
      <c r="F26" s="152"/>
      <c r="G26" s="152"/>
      <c r="H26" s="152"/>
      <c r="I26" s="152"/>
      <c r="J26" s="152"/>
      <c r="K26" s="152"/>
      <c r="L26" s="152"/>
      <c r="M26" s="152"/>
      <c r="N26" s="684"/>
      <c r="O26" s="50"/>
    </row>
    <row r="27" spans="1:17" ht="16.5">
      <c r="B27" s="702"/>
      <c r="C27" s="637"/>
      <c r="D27" s="150"/>
      <c r="E27" s="150"/>
      <c r="F27" s="704"/>
      <c r="G27" s="704"/>
      <c r="H27" s="685"/>
      <c r="I27" s="685"/>
      <c r="J27" s="704"/>
      <c r="K27" s="704"/>
      <c r="L27" s="704"/>
      <c r="M27" s="704"/>
      <c r="N27" s="150"/>
    </row>
    <row r="28" spans="1:17" ht="16.5">
      <c r="B28" s="702"/>
      <c r="C28" s="1540"/>
      <c r="D28" s="1540"/>
      <c r="E28" s="229"/>
      <c r="F28" s="1566"/>
      <c r="G28" s="1566"/>
      <c r="H28" s="683"/>
      <c r="I28" s="229"/>
      <c r="J28" s="617"/>
      <c r="K28" s="229"/>
      <c r="L28" s="229"/>
      <c r="M28" s="703"/>
      <c r="N28" s="150"/>
    </row>
    <row r="29" spans="1:17" ht="16.5">
      <c r="B29" s="702"/>
      <c r="C29" s="2"/>
      <c r="F29" s="2"/>
      <c r="N29" s="2"/>
      <c r="O29" s="49"/>
    </row>
    <row r="30" spans="1:17" ht="16.5">
      <c r="B30" s="702"/>
      <c r="C30" s="637"/>
      <c r="D30" s="150"/>
      <c r="E30" s="150"/>
      <c r="F30" s="157"/>
      <c r="G30" s="686"/>
      <c r="H30" s="687"/>
      <c r="I30" s="150"/>
      <c r="J30" s="157"/>
      <c r="K30" s="150"/>
      <c r="L30" s="150"/>
      <c r="M30" s="150"/>
      <c r="N30" s="150"/>
    </row>
    <row r="31" spans="1:17" ht="16.5">
      <c r="B31" s="702"/>
      <c r="C31" s="637"/>
      <c r="D31" s="150"/>
      <c r="E31" s="150"/>
      <c r="F31" s="688"/>
      <c r="G31" s="689"/>
      <c r="H31" s="689"/>
      <c r="I31" s="418"/>
      <c r="J31" s="1564"/>
      <c r="K31" s="1564"/>
      <c r="L31" s="150"/>
      <c r="M31" s="152"/>
      <c r="N31" s="150"/>
    </row>
    <row r="32" spans="1:17">
      <c r="F32" s="708"/>
      <c r="G32" s="1448"/>
      <c r="H32" s="1448"/>
      <c r="I32" s="48"/>
      <c r="K32" s="49"/>
      <c r="O32" s="50" t="e">
        <f>+I18-#REF!</f>
        <v>#REF!</v>
      </c>
      <c r="P32" s="50">
        <f>+I18-J18</f>
        <v>1135291122.1111355</v>
      </c>
    </row>
    <row r="33" spans="6:13">
      <c r="F33" s="708"/>
      <c r="G33" s="1565"/>
      <c r="H33" s="1563"/>
      <c r="I33" s="709"/>
      <c r="J33" s="709"/>
    </row>
    <row r="34" spans="6:13" ht="18.75">
      <c r="F34" s="707"/>
      <c r="G34" s="1560"/>
      <c r="H34" s="1561"/>
      <c r="I34" s="86"/>
      <c r="J34" s="48"/>
      <c r="K34" s="44"/>
    </row>
    <row r="35" spans="6:13">
      <c r="G35" s="1562"/>
      <c r="H35" s="1563"/>
      <c r="I35" s="50"/>
      <c r="K35" s="48"/>
    </row>
    <row r="36" spans="6:13">
      <c r="H36" s="49"/>
      <c r="I36" s="86"/>
      <c r="K36" s="85"/>
    </row>
    <row r="37" spans="6:13">
      <c r="H37" s="50"/>
      <c r="I37" s="50"/>
      <c r="J37" s="48"/>
      <c r="K37" s="48"/>
      <c r="M37" s="708"/>
    </row>
    <row r="38" spans="6:13">
      <c r="H38" s="86"/>
      <c r="I38" s="49"/>
      <c r="M38" s="47"/>
    </row>
    <row r="39" spans="6:13">
      <c r="F39" s="708"/>
      <c r="K39" s="50"/>
      <c r="M39" s="49"/>
    </row>
    <row r="40" spans="6:13">
      <c r="F40" s="708"/>
      <c r="G40" s="49"/>
      <c r="K40" s="50"/>
      <c r="M40" s="49"/>
    </row>
    <row r="41" spans="6:13">
      <c r="F41" s="708"/>
      <c r="H41" s="48"/>
      <c r="L41" s="49"/>
    </row>
    <row r="42" spans="6:13">
      <c r="M42" s="196"/>
    </row>
    <row r="49" spans="6:6">
      <c r="F49" s="47" t="s">
        <v>155</v>
      </c>
    </row>
  </sheetData>
  <mergeCells count="37">
    <mergeCell ref="B8:N8"/>
    <mergeCell ref="B1:N1"/>
    <mergeCell ref="B2:N2"/>
    <mergeCell ref="B3:N3"/>
    <mergeCell ref="B5:I5"/>
    <mergeCell ref="B6:I6"/>
    <mergeCell ref="K11:K12"/>
    <mergeCell ref="L11:L12"/>
    <mergeCell ref="M11:M12"/>
    <mergeCell ref="N11:N12"/>
    <mergeCell ref="A13:D13"/>
    <mergeCell ref="A11:B12"/>
    <mergeCell ref="C11:C12"/>
    <mergeCell ref="D11:D12"/>
    <mergeCell ref="E11:E12"/>
    <mergeCell ref="F11:H11"/>
    <mergeCell ref="I11:I12"/>
    <mergeCell ref="A14:D14"/>
    <mergeCell ref="A15:D15"/>
    <mergeCell ref="A16:D16"/>
    <mergeCell ref="A17:D17"/>
    <mergeCell ref="J11:J12"/>
    <mergeCell ref="A18:E18"/>
    <mergeCell ref="I20:N20"/>
    <mergeCell ref="A22:D22"/>
    <mergeCell ref="E22:F22"/>
    <mergeCell ref="G22:H22"/>
    <mergeCell ref="I22:J22"/>
    <mergeCell ref="K22:N22"/>
    <mergeCell ref="G35:H35"/>
    <mergeCell ref="A19:N19"/>
    <mergeCell ref="C28:D28"/>
    <mergeCell ref="F28:G28"/>
    <mergeCell ref="J31:K31"/>
    <mergeCell ref="G32:H32"/>
    <mergeCell ref="G33:H33"/>
    <mergeCell ref="G34:H34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83" fitToHeight="0" orientation="landscape" r:id="rId1"/>
  <headerFooter>
    <oddFooter>&amp;R&amp;P</oddFooter>
  </headerFooter>
  <colBreaks count="1" manualBreakCount="1">
    <brk id="14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B42"/>
  <sheetViews>
    <sheetView topLeftCell="A7" zoomScale="70" zoomScaleNormal="70" workbookViewId="0">
      <selection activeCell="M12" sqref="M12:M23"/>
    </sheetView>
  </sheetViews>
  <sheetFormatPr defaultColWidth="9.140625" defaultRowHeight="12.75"/>
  <cols>
    <col min="1" max="1" width="5.28515625" style="244" customWidth="1"/>
    <col min="2" max="2" width="24.42578125" style="244" customWidth="1"/>
    <col min="3" max="3" width="19.28515625" style="244" customWidth="1"/>
    <col min="4" max="4" width="10.5703125" style="244" customWidth="1"/>
    <col min="5" max="6" width="10" style="244" customWidth="1"/>
    <col min="7" max="7" width="15.28515625" style="244" customWidth="1"/>
    <col min="8" max="8" width="20" style="253" customWidth="1"/>
    <col min="9" max="9" width="22.42578125" style="253" customWidth="1"/>
    <col min="10" max="11" width="16.140625" style="244" customWidth="1"/>
    <col min="12" max="12" width="21.85546875" style="244" customWidth="1"/>
    <col min="13" max="13" width="21.42578125" style="253" bestFit="1" customWidth="1"/>
    <col min="14" max="14" width="18.7109375" style="253" customWidth="1"/>
    <col min="15" max="15" width="9.28515625" style="261" bestFit="1" customWidth="1"/>
    <col min="16" max="16" width="19.7109375" style="244" customWidth="1"/>
    <col min="17" max="17" width="12.5703125" style="244" customWidth="1"/>
    <col min="18" max="20" width="9.140625" style="244"/>
    <col min="21" max="21" width="9.140625" style="247"/>
    <col min="22" max="16384" width="9.140625" style="244"/>
  </cols>
  <sheetData>
    <row r="1" spans="1:262" ht="18.75">
      <c r="A1" s="1586" t="s">
        <v>51</v>
      </c>
      <c r="B1" s="1586"/>
      <c r="C1" s="1586"/>
      <c r="D1" s="1586"/>
      <c r="E1" s="1586"/>
      <c r="F1" s="1586"/>
      <c r="G1" s="1586"/>
      <c r="H1" s="1586"/>
      <c r="I1" s="1586"/>
      <c r="J1" s="1586"/>
      <c r="K1" s="1586"/>
      <c r="L1" s="1586"/>
      <c r="M1" s="1586"/>
      <c r="N1" s="1586"/>
      <c r="O1" s="262"/>
      <c r="P1" s="262"/>
      <c r="Q1" s="262"/>
      <c r="R1" s="262"/>
      <c r="S1" s="262"/>
      <c r="T1" s="262"/>
      <c r="U1" s="262"/>
      <c r="V1" s="262"/>
    </row>
    <row r="2" spans="1:262" ht="18.75">
      <c r="A2" s="1586" t="s">
        <v>0</v>
      </c>
      <c r="B2" s="1586"/>
      <c r="C2" s="1586"/>
      <c r="D2" s="1586"/>
      <c r="E2" s="1586"/>
      <c r="F2" s="1586"/>
      <c r="G2" s="1586"/>
      <c r="H2" s="1586"/>
      <c r="I2" s="1586"/>
      <c r="J2" s="1586"/>
      <c r="K2" s="1586"/>
      <c r="L2" s="1586"/>
      <c r="M2" s="1586"/>
      <c r="N2" s="1586"/>
      <c r="O2" s="144"/>
      <c r="P2" s="144"/>
      <c r="Q2" s="144"/>
      <c r="R2" s="144"/>
      <c r="S2" s="144"/>
      <c r="T2" s="144"/>
      <c r="U2" s="144"/>
      <c r="V2" s="144"/>
    </row>
    <row r="3" spans="1:262" ht="18.75">
      <c r="A3" s="1587" t="s">
        <v>267</v>
      </c>
      <c r="B3" s="1587"/>
      <c r="C3" s="1587"/>
      <c r="D3" s="1587"/>
      <c r="E3" s="1587"/>
      <c r="F3" s="1587"/>
      <c r="G3" s="1587"/>
      <c r="H3" s="1587"/>
      <c r="I3" s="1587"/>
      <c r="J3" s="1587"/>
      <c r="K3" s="1587"/>
      <c r="L3" s="1587"/>
      <c r="M3" s="1587"/>
      <c r="N3" s="1587"/>
      <c r="O3" s="250"/>
    </row>
    <row r="4" spans="1:262" ht="18.75">
      <c r="A4" s="1588" t="s">
        <v>732</v>
      </c>
      <c r="B4" s="1588"/>
      <c r="C4" s="1588"/>
      <c r="D4" s="1588"/>
      <c r="E4" s="1588"/>
      <c r="F4" s="1588"/>
      <c r="G4" s="1588"/>
      <c r="H4" s="251"/>
      <c r="I4" s="251"/>
      <c r="J4" s="508"/>
      <c r="K4" s="508"/>
      <c r="L4" s="508"/>
      <c r="M4" s="251"/>
      <c r="N4" s="251"/>
      <c r="O4" s="245"/>
      <c r="P4" s="246"/>
      <c r="Q4" s="246"/>
      <c r="R4" s="246"/>
      <c r="S4" s="246"/>
    </row>
    <row r="5" spans="1:262" ht="18.75">
      <c r="A5" s="1586" t="s">
        <v>540</v>
      </c>
      <c r="B5" s="1586"/>
      <c r="C5" s="1586"/>
      <c r="D5" s="1586"/>
      <c r="E5" s="1586"/>
      <c r="F5" s="1586"/>
      <c r="G5" s="1586"/>
      <c r="H5" s="276"/>
      <c r="I5" s="276"/>
      <c r="J5" s="507"/>
      <c r="K5" s="507"/>
      <c r="L5" s="507"/>
      <c r="M5" s="276"/>
      <c r="N5" s="276"/>
      <c r="O5" s="248"/>
      <c r="P5" s="506"/>
      <c r="Q5" s="506"/>
      <c r="R5" s="506"/>
      <c r="S5" s="506"/>
    </row>
    <row r="6" spans="1:262" ht="18.75">
      <c r="A6" s="251"/>
      <c r="B6" s="251"/>
      <c r="C6" s="251"/>
      <c r="D6" s="251"/>
      <c r="E6" s="251"/>
      <c r="F6" s="251"/>
      <c r="G6" s="251"/>
      <c r="H6" s="252"/>
      <c r="I6" s="252"/>
      <c r="J6" s="251"/>
      <c r="K6" s="251"/>
      <c r="L6" s="251"/>
      <c r="M6" s="252"/>
      <c r="N6" s="252"/>
      <c r="O6" s="250"/>
    </row>
    <row r="7" spans="1:262">
      <c r="H7" s="249"/>
      <c r="I7" s="249"/>
      <c r="M7" s="249"/>
      <c r="N7" s="249"/>
      <c r="O7" s="250"/>
    </row>
    <row r="8" spans="1:262" ht="22.5">
      <c r="A8" s="1585" t="s">
        <v>821</v>
      </c>
      <c r="B8" s="1585"/>
      <c r="C8" s="1585"/>
      <c r="D8" s="1585"/>
      <c r="E8" s="1585"/>
      <c r="F8" s="1585"/>
      <c r="G8" s="1585"/>
      <c r="H8" s="1585"/>
      <c r="I8" s="1585"/>
      <c r="J8" s="1585"/>
      <c r="K8" s="1585"/>
      <c r="L8" s="1585"/>
      <c r="M8" s="1585"/>
      <c r="N8" s="1585"/>
      <c r="O8" s="263"/>
      <c r="P8" s="263"/>
      <c r="Q8" s="263"/>
      <c r="R8" s="263"/>
      <c r="S8" s="263"/>
      <c r="T8" s="263"/>
      <c r="U8" s="263"/>
      <c r="V8" s="263"/>
    </row>
    <row r="9" spans="1:262" ht="20.25">
      <c r="A9" s="1590"/>
      <c r="B9" s="1590"/>
      <c r="C9" s="1590"/>
      <c r="D9" s="1590"/>
      <c r="E9" s="1590"/>
      <c r="F9" s="1590"/>
      <c r="G9" s="1590"/>
      <c r="H9" s="1590"/>
      <c r="I9" s="1590"/>
      <c r="J9" s="1590"/>
      <c r="K9" s="1590"/>
      <c r="L9" s="1590"/>
      <c r="M9" s="1590"/>
      <c r="N9" s="1590"/>
      <c r="O9" s="263"/>
      <c r="P9" s="263"/>
      <c r="Q9" s="263"/>
      <c r="R9" s="263"/>
      <c r="S9" s="263"/>
      <c r="T9" s="263"/>
      <c r="U9" s="263"/>
      <c r="V9" s="263"/>
    </row>
    <row r="10" spans="1:262" ht="102.75" customHeight="1">
      <c r="A10" s="383" t="s">
        <v>4</v>
      </c>
      <c r="B10" s="383" t="s">
        <v>13</v>
      </c>
      <c r="C10" s="383" t="s">
        <v>6</v>
      </c>
      <c r="D10" s="383" t="s">
        <v>733</v>
      </c>
      <c r="E10" s="383" t="s">
        <v>1</v>
      </c>
      <c r="F10" s="838" t="s">
        <v>731</v>
      </c>
      <c r="G10" s="384" t="s">
        <v>273</v>
      </c>
      <c r="H10" s="385" t="s">
        <v>274</v>
      </c>
      <c r="I10" s="386" t="s">
        <v>291</v>
      </c>
      <c r="J10" s="838" t="s">
        <v>734</v>
      </c>
      <c r="K10" s="384" t="s">
        <v>15</v>
      </c>
      <c r="L10" s="838" t="s">
        <v>735</v>
      </c>
      <c r="M10" s="386" t="s">
        <v>283</v>
      </c>
      <c r="N10" s="387" t="s">
        <v>62</v>
      </c>
      <c r="O10" s="265"/>
      <c r="P10" s="265">
        <f>5000000*4</f>
        <v>20000000</v>
      </c>
      <c r="Q10" s="265"/>
      <c r="R10" s="265"/>
      <c r="S10" s="265"/>
      <c r="T10" s="265"/>
      <c r="U10" s="265"/>
      <c r="V10" s="265"/>
      <c r="W10" s="26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56"/>
      <c r="CL10" s="156"/>
      <c r="CM10" s="156"/>
      <c r="CN10" s="156"/>
      <c r="CO10" s="156"/>
      <c r="CP10" s="156"/>
      <c r="CQ10" s="156"/>
      <c r="CR10" s="156"/>
      <c r="CS10" s="156"/>
      <c r="CT10" s="156"/>
      <c r="CU10" s="156"/>
      <c r="CV10" s="156"/>
      <c r="CW10" s="156"/>
      <c r="CX10" s="156"/>
      <c r="CY10" s="156"/>
      <c r="CZ10" s="156"/>
      <c r="DA10" s="156"/>
      <c r="DB10" s="156"/>
      <c r="DC10" s="156"/>
      <c r="DD10" s="156"/>
      <c r="DE10" s="156"/>
      <c r="DF10" s="156"/>
      <c r="DG10" s="156"/>
      <c r="DH10" s="156"/>
      <c r="DI10" s="156"/>
      <c r="DJ10" s="156"/>
      <c r="DK10" s="156"/>
      <c r="DL10" s="156"/>
      <c r="DM10" s="156"/>
      <c r="DN10" s="156"/>
      <c r="DO10" s="156"/>
      <c r="DP10" s="156"/>
      <c r="DQ10" s="156"/>
      <c r="DR10" s="156"/>
      <c r="DS10" s="156"/>
      <c r="DT10" s="156"/>
      <c r="DU10" s="156"/>
      <c r="DV10" s="156"/>
      <c r="DW10" s="156"/>
      <c r="DX10" s="156"/>
      <c r="DY10" s="156"/>
      <c r="DZ10" s="156"/>
      <c r="EA10" s="156"/>
      <c r="EB10" s="156"/>
      <c r="EC10" s="156"/>
      <c r="ED10" s="156"/>
      <c r="EE10" s="156"/>
      <c r="EF10" s="156"/>
      <c r="EG10" s="156"/>
      <c r="EH10" s="156"/>
      <c r="EI10" s="156"/>
      <c r="EJ10" s="156"/>
      <c r="EK10" s="156"/>
      <c r="EL10" s="156"/>
      <c r="EM10" s="156"/>
      <c r="EN10" s="156"/>
      <c r="EO10" s="156"/>
      <c r="EP10" s="156"/>
      <c r="EQ10" s="156"/>
      <c r="ER10" s="156"/>
      <c r="ES10" s="156"/>
      <c r="ET10" s="156"/>
      <c r="EU10" s="156"/>
      <c r="EV10" s="156"/>
      <c r="EW10" s="156"/>
      <c r="EX10" s="156"/>
      <c r="EY10" s="156"/>
      <c r="EZ10" s="156"/>
      <c r="FA10" s="156"/>
      <c r="FB10" s="156"/>
      <c r="FC10" s="156"/>
      <c r="FD10" s="156"/>
      <c r="FE10" s="156"/>
      <c r="FF10" s="156"/>
      <c r="FG10" s="156"/>
      <c r="FH10" s="156"/>
      <c r="FI10" s="156"/>
      <c r="FJ10" s="156"/>
      <c r="FK10" s="156"/>
      <c r="FL10" s="156"/>
      <c r="FM10" s="156"/>
      <c r="FN10" s="156"/>
      <c r="FO10" s="156"/>
      <c r="FP10" s="156"/>
      <c r="FQ10" s="156"/>
      <c r="FR10" s="156"/>
      <c r="FS10" s="156"/>
      <c r="FT10" s="156"/>
      <c r="FU10" s="156"/>
      <c r="FV10" s="156"/>
      <c r="FW10" s="156"/>
      <c r="FX10" s="156"/>
      <c r="FY10" s="156"/>
      <c r="FZ10" s="156"/>
      <c r="GA10" s="156"/>
      <c r="GB10" s="156"/>
      <c r="GC10" s="156"/>
      <c r="GD10" s="156"/>
      <c r="GE10" s="156"/>
      <c r="GF10" s="156"/>
      <c r="GG10" s="156"/>
      <c r="GH10" s="156"/>
      <c r="GI10" s="156"/>
      <c r="GJ10" s="156"/>
      <c r="GK10" s="156"/>
      <c r="GL10" s="156"/>
      <c r="GM10" s="156"/>
      <c r="GN10" s="156"/>
      <c r="GO10" s="156"/>
      <c r="GP10" s="156"/>
      <c r="GQ10" s="156"/>
      <c r="GR10" s="156"/>
      <c r="GS10" s="156"/>
      <c r="GT10" s="156"/>
      <c r="GU10" s="156"/>
      <c r="GV10" s="156"/>
      <c r="GW10" s="156"/>
      <c r="GX10" s="156"/>
      <c r="GY10" s="156"/>
      <c r="GZ10" s="156"/>
      <c r="HA10" s="156"/>
      <c r="HB10" s="156"/>
      <c r="HC10" s="156"/>
      <c r="HD10" s="156"/>
      <c r="HE10" s="156"/>
      <c r="HF10" s="156"/>
      <c r="HG10" s="156"/>
      <c r="HH10" s="156"/>
      <c r="HI10" s="156"/>
      <c r="HJ10" s="156"/>
      <c r="HK10" s="156"/>
      <c r="HL10" s="156"/>
      <c r="HM10" s="156"/>
      <c r="HN10" s="156"/>
      <c r="HO10" s="156"/>
      <c r="HP10" s="156"/>
      <c r="HQ10" s="156"/>
      <c r="HR10" s="156"/>
      <c r="HS10" s="156"/>
      <c r="HT10" s="156"/>
      <c r="HU10" s="156"/>
      <c r="HV10" s="156"/>
      <c r="HW10" s="156"/>
      <c r="HX10" s="156"/>
      <c r="HY10" s="156"/>
      <c r="HZ10" s="156"/>
      <c r="IA10" s="156"/>
      <c r="IB10" s="156"/>
      <c r="IC10" s="156"/>
      <c r="ID10" s="156"/>
      <c r="IE10" s="156"/>
      <c r="IF10" s="156"/>
      <c r="IG10" s="156"/>
      <c r="IH10" s="156"/>
      <c r="II10" s="156"/>
      <c r="IJ10" s="156"/>
      <c r="IK10" s="156"/>
      <c r="IL10" s="156"/>
      <c r="IM10" s="156"/>
      <c r="IN10" s="156"/>
      <c r="IO10" s="156"/>
      <c r="IP10" s="156"/>
      <c r="IQ10" s="156"/>
      <c r="IR10" s="156"/>
      <c r="IS10" s="156"/>
      <c r="IT10" s="156"/>
      <c r="IU10" s="156"/>
      <c r="IV10" s="156"/>
      <c r="IW10" s="156"/>
      <c r="IX10" s="156"/>
      <c r="IY10" s="156"/>
      <c r="IZ10" s="156"/>
      <c r="JA10" s="156"/>
      <c r="JB10" s="156"/>
    </row>
    <row r="11" spans="1:262" ht="39" customHeight="1">
      <c r="A11" s="383"/>
      <c r="B11" s="383"/>
      <c r="C11" s="383"/>
      <c r="D11" s="383"/>
      <c r="E11" s="383"/>
      <c r="F11" s="383"/>
      <c r="G11" s="388" t="s">
        <v>268</v>
      </c>
      <c r="H11" s="388" t="s">
        <v>269</v>
      </c>
      <c r="I11" s="388" t="s">
        <v>299</v>
      </c>
      <c r="J11" s="388" t="s">
        <v>270</v>
      </c>
      <c r="K11" s="388" t="s">
        <v>271</v>
      </c>
      <c r="L11" s="388" t="s">
        <v>272</v>
      </c>
      <c r="M11" s="573" t="s">
        <v>420</v>
      </c>
      <c r="N11" s="387"/>
      <c r="O11" s="265"/>
      <c r="P11" s="265"/>
      <c r="Q11" s="265"/>
      <c r="R11" s="265"/>
      <c r="S11" s="265"/>
      <c r="T11" s="265"/>
      <c r="U11" s="265"/>
      <c r="V11" s="265"/>
      <c r="W11" s="26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56"/>
      <c r="CM11" s="156"/>
      <c r="CN11" s="156"/>
      <c r="CO11" s="156"/>
      <c r="CP11" s="156"/>
      <c r="CQ11" s="156"/>
      <c r="CR11" s="156"/>
      <c r="CS11" s="156"/>
      <c r="CT11" s="156"/>
      <c r="CU11" s="156"/>
      <c r="CV11" s="156"/>
      <c r="CW11" s="156"/>
      <c r="CX11" s="156"/>
      <c r="CY11" s="156"/>
      <c r="CZ11" s="156"/>
      <c r="DA11" s="156"/>
      <c r="DB11" s="156"/>
      <c r="DC11" s="156"/>
      <c r="DD11" s="156"/>
      <c r="DE11" s="156"/>
      <c r="DF11" s="156"/>
      <c r="DG11" s="156"/>
      <c r="DH11" s="156"/>
      <c r="DI11" s="156"/>
      <c r="DJ11" s="156"/>
      <c r="DK11" s="156"/>
      <c r="DL11" s="156"/>
      <c r="DM11" s="156"/>
      <c r="DN11" s="156"/>
      <c r="DO11" s="156"/>
      <c r="DP11" s="156"/>
      <c r="DQ11" s="156"/>
      <c r="DR11" s="156"/>
      <c r="DS11" s="156"/>
      <c r="DT11" s="156"/>
      <c r="DU11" s="156"/>
      <c r="DV11" s="156"/>
      <c r="DW11" s="156"/>
      <c r="DX11" s="156"/>
      <c r="DY11" s="156"/>
      <c r="DZ11" s="156"/>
      <c r="EA11" s="156"/>
      <c r="EB11" s="156"/>
      <c r="EC11" s="156"/>
      <c r="ED11" s="156"/>
      <c r="EE11" s="156"/>
      <c r="EF11" s="156"/>
      <c r="EG11" s="156"/>
      <c r="EH11" s="156"/>
      <c r="EI11" s="156"/>
      <c r="EJ11" s="156"/>
      <c r="EK11" s="156"/>
      <c r="EL11" s="156"/>
      <c r="EM11" s="156"/>
      <c r="EN11" s="156"/>
      <c r="EO11" s="156"/>
      <c r="EP11" s="156"/>
      <c r="EQ11" s="156"/>
      <c r="ER11" s="156"/>
      <c r="ES11" s="156"/>
      <c r="ET11" s="156"/>
      <c r="EU11" s="156"/>
      <c r="EV11" s="156"/>
      <c r="EW11" s="156"/>
      <c r="EX11" s="156"/>
      <c r="EY11" s="156"/>
      <c r="EZ11" s="156"/>
      <c r="FA11" s="156"/>
      <c r="FB11" s="156"/>
      <c r="FC11" s="156"/>
      <c r="FD11" s="156"/>
      <c r="FE11" s="156"/>
      <c r="FF11" s="156"/>
      <c r="FG11" s="156"/>
      <c r="FH11" s="156"/>
      <c r="FI11" s="156"/>
      <c r="FJ11" s="156"/>
      <c r="FK11" s="156"/>
      <c r="FL11" s="156"/>
      <c r="FM11" s="156"/>
      <c r="FN11" s="156"/>
      <c r="FO11" s="156"/>
      <c r="FP11" s="156"/>
      <c r="FQ11" s="156"/>
      <c r="FR11" s="156"/>
      <c r="FS11" s="156"/>
      <c r="FT11" s="156"/>
      <c r="FU11" s="156"/>
      <c r="FV11" s="156"/>
      <c r="FW11" s="156"/>
      <c r="FX11" s="156"/>
      <c r="FY11" s="156"/>
      <c r="FZ11" s="156"/>
      <c r="GA11" s="156"/>
      <c r="GB11" s="156"/>
      <c r="GC11" s="156"/>
      <c r="GD11" s="156"/>
      <c r="GE11" s="156"/>
      <c r="GF11" s="156"/>
      <c r="GG11" s="156"/>
      <c r="GH11" s="156"/>
      <c r="GI11" s="156"/>
      <c r="GJ11" s="156"/>
      <c r="GK11" s="156"/>
      <c r="GL11" s="156"/>
      <c r="GM11" s="156"/>
      <c r="GN11" s="156"/>
      <c r="GO11" s="156"/>
      <c r="GP11" s="156"/>
      <c r="GQ11" s="156"/>
      <c r="GR11" s="156"/>
      <c r="GS11" s="156"/>
      <c r="GT11" s="156"/>
      <c r="GU11" s="156"/>
      <c r="GV11" s="156"/>
      <c r="GW11" s="156"/>
      <c r="GX11" s="156"/>
      <c r="GY11" s="156"/>
      <c r="GZ11" s="156"/>
      <c r="HA11" s="156"/>
      <c r="HB11" s="156"/>
      <c r="HC11" s="156"/>
      <c r="HD11" s="156"/>
      <c r="HE11" s="156"/>
      <c r="HF11" s="156"/>
      <c r="HG11" s="156"/>
      <c r="HH11" s="156"/>
      <c r="HI11" s="156"/>
      <c r="HJ11" s="156"/>
      <c r="HK11" s="156"/>
      <c r="HL11" s="156"/>
      <c r="HM11" s="156"/>
      <c r="HN11" s="156"/>
      <c r="HO11" s="156"/>
      <c r="HP11" s="156"/>
      <c r="HQ11" s="156"/>
      <c r="HR11" s="156"/>
      <c r="HS11" s="156"/>
      <c r="HT11" s="156"/>
      <c r="HU11" s="156"/>
      <c r="HV11" s="156"/>
      <c r="HW11" s="156"/>
      <c r="HX11" s="156"/>
      <c r="HY11" s="156"/>
      <c r="HZ11" s="156"/>
      <c r="IA11" s="156"/>
      <c r="IB11" s="156"/>
      <c r="IC11" s="156"/>
      <c r="ID11" s="156"/>
      <c r="IE11" s="156"/>
      <c r="IF11" s="156"/>
      <c r="IG11" s="156"/>
      <c r="IH11" s="156"/>
      <c r="II11" s="156"/>
      <c r="IJ11" s="156"/>
      <c r="IK11" s="156"/>
      <c r="IL11" s="156"/>
      <c r="IM11" s="156"/>
      <c r="IN11" s="156"/>
      <c r="IO11" s="156"/>
      <c r="IP11" s="156"/>
      <c r="IQ11" s="156"/>
      <c r="IR11" s="156"/>
      <c r="IS11" s="156"/>
      <c r="IT11" s="156"/>
      <c r="IU11" s="156"/>
      <c r="IV11" s="156"/>
      <c r="IW11" s="156"/>
      <c r="IX11" s="156"/>
      <c r="IY11" s="156"/>
      <c r="IZ11" s="156"/>
      <c r="JA11" s="156"/>
      <c r="JB11" s="156"/>
    </row>
    <row r="12" spans="1:262" ht="22.5" customHeight="1">
      <c r="A12" s="873" t="s">
        <v>130</v>
      </c>
      <c r="B12" s="873"/>
      <c r="C12" s="873"/>
      <c r="D12" s="383"/>
      <c r="E12" s="383"/>
      <c r="F12" s="383"/>
      <c r="G12" s="565"/>
      <c r="H12" s="572"/>
      <c r="I12" s="574"/>
      <c r="J12" s="565">
        <f>SUM(J13:J20)</f>
        <v>2730</v>
      </c>
      <c r="K12" s="565">
        <f>SUM(K13:K20)</f>
        <v>150</v>
      </c>
      <c r="L12" s="571">
        <f>SUM(L13:L20)</f>
        <v>3421.4753486644922</v>
      </c>
      <c r="M12" s="571">
        <f>SUM(M13:M20)</f>
        <v>5431.4753486644922</v>
      </c>
      <c r="N12" s="387"/>
      <c r="O12" s="265"/>
      <c r="P12" s="265"/>
      <c r="Q12" s="265"/>
      <c r="R12" s="265"/>
      <c r="S12" s="265"/>
      <c r="T12" s="265"/>
      <c r="U12" s="265"/>
      <c r="V12" s="265"/>
      <c r="W12" s="26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6"/>
      <c r="CM12" s="156"/>
      <c r="CN12" s="156"/>
      <c r="CO12" s="156"/>
      <c r="CP12" s="156"/>
      <c r="CQ12" s="156"/>
      <c r="CR12" s="156"/>
      <c r="CS12" s="156"/>
      <c r="CT12" s="156"/>
      <c r="CU12" s="156"/>
      <c r="CV12" s="156"/>
      <c r="CW12" s="156"/>
      <c r="CX12" s="156"/>
      <c r="CY12" s="156"/>
      <c r="CZ12" s="156"/>
      <c r="DA12" s="156"/>
      <c r="DB12" s="156"/>
      <c r="DC12" s="156"/>
      <c r="DD12" s="156"/>
      <c r="DE12" s="156"/>
      <c r="DF12" s="156"/>
      <c r="DG12" s="156"/>
      <c r="DH12" s="156"/>
      <c r="DI12" s="156"/>
      <c r="DJ12" s="156"/>
      <c r="DK12" s="156"/>
      <c r="DL12" s="156"/>
      <c r="DM12" s="156"/>
      <c r="DN12" s="156"/>
      <c r="DO12" s="156"/>
      <c r="DP12" s="156"/>
      <c r="DQ12" s="156"/>
      <c r="DR12" s="156"/>
      <c r="DS12" s="156"/>
      <c r="DT12" s="156"/>
      <c r="DU12" s="156"/>
      <c r="DV12" s="156"/>
      <c r="DW12" s="156"/>
      <c r="DX12" s="156"/>
      <c r="DY12" s="156"/>
      <c r="DZ12" s="156"/>
      <c r="EA12" s="156"/>
      <c r="EB12" s="156"/>
      <c r="EC12" s="156"/>
      <c r="ED12" s="156"/>
      <c r="EE12" s="156"/>
      <c r="EF12" s="156"/>
      <c r="EG12" s="156"/>
      <c r="EH12" s="156"/>
      <c r="EI12" s="156"/>
      <c r="EJ12" s="156"/>
      <c r="EK12" s="156"/>
      <c r="EL12" s="156"/>
      <c r="EM12" s="156"/>
      <c r="EN12" s="156"/>
      <c r="EO12" s="156"/>
      <c r="EP12" s="156"/>
      <c r="EQ12" s="156"/>
      <c r="ER12" s="156"/>
      <c r="ES12" s="156"/>
      <c r="ET12" s="156"/>
      <c r="EU12" s="156"/>
      <c r="EV12" s="156"/>
      <c r="EW12" s="156"/>
      <c r="EX12" s="156"/>
      <c r="EY12" s="156"/>
      <c r="EZ12" s="156"/>
      <c r="FA12" s="156"/>
      <c r="FB12" s="156"/>
      <c r="FC12" s="156"/>
      <c r="FD12" s="156"/>
      <c r="FE12" s="156"/>
      <c r="FF12" s="156"/>
      <c r="FG12" s="156"/>
      <c r="FH12" s="156"/>
      <c r="FI12" s="156"/>
      <c r="FJ12" s="156"/>
      <c r="FK12" s="156"/>
      <c r="FL12" s="156"/>
      <c r="FM12" s="156"/>
      <c r="FN12" s="156"/>
      <c r="FO12" s="156"/>
      <c r="FP12" s="156"/>
      <c r="FQ12" s="156"/>
      <c r="FR12" s="156"/>
      <c r="FS12" s="156"/>
      <c r="FT12" s="156"/>
      <c r="FU12" s="156"/>
      <c r="FV12" s="156"/>
      <c r="FW12" s="156"/>
      <c r="FX12" s="156"/>
      <c r="FY12" s="156"/>
      <c r="FZ12" s="156"/>
      <c r="GA12" s="156"/>
      <c r="GB12" s="156"/>
      <c r="GC12" s="156"/>
      <c r="GD12" s="156"/>
      <c r="GE12" s="156"/>
      <c r="GF12" s="156"/>
      <c r="GG12" s="156"/>
      <c r="GH12" s="156"/>
      <c r="GI12" s="156"/>
      <c r="GJ12" s="156"/>
      <c r="GK12" s="156"/>
      <c r="GL12" s="156"/>
      <c r="GM12" s="156"/>
      <c r="GN12" s="156"/>
      <c r="GO12" s="156"/>
      <c r="GP12" s="156"/>
      <c r="GQ12" s="156"/>
      <c r="GR12" s="156"/>
      <c r="GS12" s="156"/>
      <c r="GT12" s="156"/>
      <c r="GU12" s="156"/>
      <c r="GV12" s="156"/>
      <c r="GW12" s="156"/>
      <c r="GX12" s="156"/>
      <c r="GY12" s="156"/>
      <c r="GZ12" s="156"/>
      <c r="HA12" s="156"/>
      <c r="HB12" s="156"/>
      <c r="HC12" s="156"/>
      <c r="HD12" s="156"/>
      <c r="HE12" s="156"/>
      <c r="HF12" s="156"/>
      <c r="HG12" s="156"/>
      <c r="HH12" s="156"/>
      <c r="HI12" s="156"/>
      <c r="HJ12" s="156"/>
      <c r="HK12" s="156"/>
      <c r="HL12" s="156"/>
      <c r="HM12" s="156"/>
      <c r="HN12" s="156"/>
      <c r="HO12" s="156"/>
      <c r="HP12" s="156"/>
      <c r="HQ12" s="156"/>
      <c r="HR12" s="156"/>
      <c r="HS12" s="156"/>
      <c r="HT12" s="156"/>
      <c r="HU12" s="156"/>
      <c r="HV12" s="156"/>
      <c r="HW12" s="156"/>
      <c r="HX12" s="156"/>
      <c r="HY12" s="156"/>
      <c r="HZ12" s="156"/>
      <c r="IA12" s="156"/>
      <c r="IB12" s="156"/>
      <c r="IC12" s="156"/>
      <c r="ID12" s="156"/>
      <c r="IE12" s="156"/>
      <c r="IF12" s="156"/>
      <c r="IG12" s="156"/>
      <c r="IH12" s="156"/>
      <c r="II12" s="156"/>
      <c r="IJ12" s="156"/>
      <c r="IK12" s="156"/>
      <c r="IL12" s="156"/>
      <c r="IM12" s="156"/>
      <c r="IN12" s="156"/>
      <c r="IO12" s="156"/>
      <c r="IP12" s="156"/>
      <c r="IQ12" s="156"/>
      <c r="IR12" s="156"/>
      <c r="IS12" s="156"/>
      <c r="IT12" s="156"/>
      <c r="IU12" s="156"/>
      <c r="IV12" s="156"/>
      <c r="IW12" s="156"/>
      <c r="IX12" s="156"/>
      <c r="IY12" s="156"/>
      <c r="IZ12" s="156"/>
      <c r="JA12" s="156"/>
      <c r="JB12" s="156"/>
    </row>
    <row r="13" spans="1:262" ht="22.5" customHeight="1">
      <c r="A13" s="902">
        <v>1</v>
      </c>
      <c r="B13" s="903" t="s">
        <v>760</v>
      </c>
      <c r="C13" s="903" t="s">
        <v>761</v>
      </c>
      <c r="D13" s="383"/>
      <c r="E13" s="903" t="s">
        <v>174</v>
      </c>
      <c r="F13" s="383"/>
      <c r="G13" s="937">
        <v>379</v>
      </c>
      <c r="H13" s="904">
        <v>430.25077499999998</v>
      </c>
      <c r="I13" s="901">
        <f>H13/G13*100%</f>
        <v>1.1352263192612138</v>
      </c>
      <c r="J13" s="905">
        <v>820</v>
      </c>
      <c r="K13" s="779">
        <v>50</v>
      </c>
      <c r="L13" s="906">
        <f>(J13+K13)*I13</f>
        <v>987.64689775725594</v>
      </c>
      <c r="M13" s="900">
        <f>L13</f>
        <v>987.64689775725594</v>
      </c>
      <c r="N13" s="387"/>
      <c r="O13" s="265"/>
      <c r="P13" s="265"/>
      <c r="Q13" s="265"/>
      <c r="R13" s="265"/>
      <c r="S13" s="265"/>
      <c r="T13" s="265"/>
      <c r="U13" s="265"/>
      <c r="V13" s="265"/>
      <c r="W13" s="26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6"/>
      <c r="CM13" s="156"/>
      <c r="CN13" s="156"/>
      <c r="CO13" s="156"/>
      <c r="CP13" s="156"/>
      <c r="CQ13" s="156"/>
      <c r="CR13" s="156"/>
      <c r="CS13" s="156"/>
      <c r="CT13" s="156"/>
      <c r="CU13" s="156"/>
      <c r="CV13" s="156"/>
      <c r="CW13" s="156"/>
      <c r="CX13" s="156"/>
      <c r="CY13" s="156"/>
      <c r="CZ13" s="156"/>
      <c r="DA13" s="156"/>
      <c r="DB13" s="156"/>
      <c r="DC13" s="156"/>
      <c r="DD13" s="156"/>
      <c r="DE13" s="156"/>
      <c r="DF13" s="156"/>
      <c r="DG13" s="156"/>
      <c r="DH13" s="156"/>
      <c r="DI13" s="156"/>
      <c r="DJ13" s="156"/>
      <c r="DK13" s="156"/>
      <c r="DL13" s="156"/>
      <c r="DM13" s="156"/>
      <c r="DN13" s="156"/>
      <c r="DO13" s="156"/>
      <c r="DP13" s="156"/>
      <c r="DQ13" s="156"/>
      <c r="DR13" s="156"/>
      <c r="DS13" s="156"/>
      <c r="DT13" s="156"/>
      <c r="DU13" s="156"/>
      <c r="DV13" s="156"/>
      <c r="DW13" s="156"/>
      <c r="DX13" s="156"/>
      <c r="DY13" s="156"/>
      <c r="DZ13" s="156"/>
      <c r="EA13" s="156"/>
      <c r="EB13" s="156"/>
      <c r="EC13" s="156"/>
      <c r="ED13" s="156"/>
      <c r="EE13" s="156"/>
      <c r="EF13" s="156"/>
      <c r="EG13" s="156"/>
      <c r="EH13" s="156"/>
      <c r="EI13" s="156"/>
      <c r="EJ13" s="156"/>
      <c r="EK13" s="156"/>
      <c r="EL13" s="156"/>
      <c r="EM13" s="156"/>
      <c r="EN13" s="156"/>
      <c r="EO13" s="156"/>
      <c r="EP13" s="156"/>
      <c r="EQ13" s="156"/>
      <c r="ER13" s="156"/>
      <c r="ES13" s="156"/>
      <c r="ET13" s="156"/>
      <c r="EU13" s="156"/>
      <c r="EV13" s="156"/>
      <c r="EW13" s="156"/>
      <c r="EX13" s="156"/>
      <c r="EY13" s="156"/>
      <c r="EZ13" s="156"/>
      <c r="FA13" s="156"/>
      <c r="FB13" s="156"/>
      <c r="FC13" s="156"/>
      <c r="FD13" s="156"/>
      <c r="FE13" s="156"/>
      <c r="FF13" s="156"/>
      <c r="FG13" s="156"/>
      <c r="FH13" s="156"/>
      <c r="FI13" s="156"/>
      <c r="FJ13" s="156"/>
      <c r="FK13" s="156"/>
      <c r="FL13" s="156"/>
      <c r="FM13" s="156"/>
      <c r="FN13" s="156"/>
      <c r="FO13" s="156"/>
      <c r="FP13" s="156"/>
      <c r="FQ13" s="156"/>
      <c r="FR13" s="156"/>
      <c r="FS13" s="156"/>
      <c r="FT13" s="156"/>
      <c r="FU13" s="156"/>
      <c r="FV13" s="156"/>
      <c r="FW13" s="156"/>
      <c r="FX13" s="156"/>
      <c r="FY13" s="156"/>
      <c r="FZ13" s="156"/>
      <c r="GA13" s="156"/>
      <c r="GB13" s="156"/>
      <c r="GC13" s="156"/>
      <c r="GD13" s="156"/>
      <c r="GE13" s="156"/>
      <c r="GF13" s="156"/>
      <c r="GG13" s="156"/>
      <c r="GH13" s="156"/>
      <c r="GI13" s="156"/>
      <c r="GJ13" s="156"/>
      <c r="GK13" s="156"/>
      <c r="GL13" s="156"/>
      <c r="GM13" s="156"/>
      <c r="GN13" s="156"/>
      <c r="GO13" s="156"/>
      <c r="GP13" s="156"/>
      <c r="GQ13" s="156"/>
      <c r="GR13" s="156"/>
      <c r="GS13" s="156"/>
      <c r="GT13" s="156"/>
      <c r="GU13" s="156"/>
      <c r="GV13" s="156"/>
      <c r="GW13" s="156"/>
      <c r="GX13" s="156"/>
      <c r="GY13" s="156"/>
      <c r="GZ13" s="156"/>
      <c r="HA13" s="156"/>
      <c r="HB13" s="156"/>
      <c r="HC13" s="156"/>
      <c r="HD13" s="156"/>
      <c r="HE13" s="156"/>
      <c r="HF13" s="156"/>
      <c r="HG13" s="156"/>
      <c r="HH13" s="156"/>
      <c r="HI13" s="156"/>
      <c r="HJ13" s="156"/>
      <c r="HK13" s="156"/>
      <c r="HL13" s="156"/>
      <c r="HM13" s="156"/>
      <c r="HN13" s="156"/>
      <c r="HO13" s="156"/>
      <c r="HP13" s="156"/>
      <c r="HQ13" s="156"/>
      <c r="HR13" s="156"/>
      <c r="HS13" s="156"/>
      <c r="HT13" s="156"/>
      <c r="HU13" s="156"/>
      <c r="HV13" s="156"/>
      <c r="HW13" s="156"/>
      <c r="HX13" s="156"/>
      <c r="HY13" s="156"/>
      <c r="HZ13" s="156"/>
      <c r="IA13" s="156"/>
      <c r="IB13" s="156"/>
      <c r="IC13" s="156"/>
      <c r="ID13" s="156"/>
      <c r="IE13" s="156"/>
      <c r="IF13" s="156"/>
      <c r="IG13" s="156"/>
      <c r="IH13" s="156"/>
      <c r="II13" s="156"/>
      <c r="IJ13" s="156"/>
      <c r="IK13" s="156"/>
      <c r="IL13" s="156"/>
      <c r="IM13" s="156"/>
      <c r="IN13" s="156"/>
      <c r="IO13" s="156"/>
      <c r="IP13" s="156"/>
      <c r="IQ13" s="156"/>
      <c r="IR13" s="156"/>
      <c r="IS13" s="156"/>
      <c r="IT13" s="156"/>
      <c r="IU13" s="156"/>
      <c r="IV13" s="156"/>
      <c r="IW13" s="156"/>
      <c r="IX13" s="156"/>
      <c r="IY13" s="156"/>
      <c r="IZ13" s="156"/>
      <c r="JA13" s="156"/>
      <c r="JB13" s="156"/>
    </row>
    <row r="14" spans="1:262" ht="22.5" customHeight="1">
      <c r="A14" s="902">
        <v>2</v>
      </c>
      <c r="B14" s="902" t="str">
        <f>'Bảng CC - NV'!B12</f>
        <v>Nguyễn Minh Thành</v>
      </c>
      <c r="C14" s="907" t="s">
        <v>187</v>
      </c>
      <c r="D14" s="935" t="s">
        <v>115</v>
      </c>
      <c r="E14" s="903" t="s">
        <v>174</v>
      </c>
      <c r="F14" s="902">
        <v>1.2</v>
      </c>
      <c r="G14" s="937">
        <f>G16+G17</f>
        <v>205</v>
      </c>
      <c r="H14" s="904">
        <f>H16+H17</f>
        <v>232.69869100000003</v>
      </c>
      <c r="I14" s="839">
        <f>H14/G14*100%</f>
        <v>1.1351155658536587</v>
      </c>
      <c r="J14" s="905">
        <v>360</v>
      </c>
      <c r="K14" s="779">
        <v>100</v>
      </c>
      <c r="L14" s="908">
        <f>300*I14*F14</f>
        <v>408.64160370731713</v>
      </c>
      <c r="M14" s="906">
        <f>J14+L14+K14</f>
        <v>868.64160370731713</v>
      </c>
      <c r="N14" s="387"/>
      <c r="O14" s="265"/>
      <c r="P14" s="265"/>
      <c r="Q14" s="265"/>
      <c r="R14" s="265"/>
      <c r="S14" s="265"/>
      <c r="T14" s="265"/>
      <c r="U14" s="265"/>
      <c r="V14" s="265"/>
      <c r="W14" s="26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6"/>
      <c r="CN14" s="156"/>
      <c r="CO14" s="156"/>
      <c r="CP14" s="156"/>
      <c r="CQ14" s="156"/>
      <c r="CR14" s="156"/>
      <c r="CS14" s="156"/>
      <c r="CT14" s="156"/>
      <c r="CU14" s="156"/>
      <c r="CV14" s="156"/>
      <c r="CW14" s="156"/>
      <c r="CX14" s="156"/>
      <c r="CY14" s="156"/>
      <c r="CZ14" s="156"/>
      <c r="DA14" s="156"/>
      <c r="DB14" s="156"/>
      <c r="DC14" s="156"/>
      <c r="DD14" s="156"/>
      <c r="DE14" s="156"/>
      <c r="DF14" s="156"/>
      <c r="DG14" s="156"/>
      <c r="DH14" s="156"/>
      <c r="DI14" s="156"/>
      <c r="DJ14" s="156"/>
      <c r="DK14" s="156"/>
      <c r="DL14" s="156"/>
      <c r="DM14" s="156"/>
      <c r="DN14" s="156"/>
      <c r="DO14" s="156"/>
      <c r="DP14" s="156"/>
      <c r="DQ14" s="156"/>
      <c r="DR14" s="156"/>
      <c r="DS14" s="156"/>
      <c r="DT14" s="156"/>
      <c r="DU14" s="156"/>
      <c r="DV14" s="156"/>
      <c r="DW14" s="156"/>
      <c r="DX14" s="156"/>
      <c r="DY14" s="156"/>
      <c r="DZ14" s="156"/>
      <c r="EA14" s="156"/>
      <c r="EB14" s="156"/>
      <c r="EC14" s="156"/>
      <c r="ED14" s="156"/>
      <c r="EE14" s="156"/>
      <c r="EF14" s="156"/>
      <c r="EG14" s="156"/>
      <c r="EH14" s="156"/>
      <c r="EI14" s="156"/>
      <c r="EJ14" s="156"/>
      <c r="EK14" s="156"/>
      <c r="EL14" s="156"/>
      <c r="EM14" s="156"/>
      <c r="EN14" s="156"/>
      <c r="EO14" s="156"/>
      <c r="EP14" s="156"/>
      <c r="EQ14" s="156"/>
      <c r="ER14" s="156"/>
      <c r="ES14" s="156"/>
      <c r="ET14" s="156"/>
      <c r="EU14" s="156"/>
      <c r="EV14" s="156"/>
      <c r="EW14" s="156"/>
      <c r="EX14" s="156"/>
      <c r="EY14" s="156"/>
      <c r="EZ14" s="156"/>
      <c r="FA14" s="156"/>
      <c r="FB14" s="156"/>
      <c r="FC14" s="156"/>
      <c r="FD14" s="156"/>
      <c r="FE14" s="156"/>
      <c r="FF14" s="156"/>
      <c r="FG14" s="156"/>
      <c r="FH14" s="156"/>
      <c r="FI14" s="156"/>
      <c r="FJ14" s="156"/>
      <c r="FK14" s="156"/>
      <c r="FL14" s="156"/>
      <c r="FM14" s="156"/>
      <c r="FN14" s="156"/>
      <c r="FO14" s="156"/>
      <c r="FP14" s="156"/>
      <c r="FQ14" s="156"/>
      <c r="FR14" s="156"/>
      <c r="FS14" s="156"/>
      <c r="FT14" s="156"/>
      <c r="FU14" s="156"/>
      <c r="FV14" s="156"/>
      <c r="FW14" s="156"/>
      <c r="FX14" s="156"/>
      <c r="FY14" s="156"/>
      <c r="FZ14" s="156"/>
      <c r="GA14" s="156"/>
      <c r="GB14" s="156"/>
      <c r="GC14" s="156"/>
      <c r="GD14" s="156"/>
      <c r="GE14" s="156"/>
      <c r="GF14" s="156"/>
      <c r="GG14" s="156"/>
      <c r="GH14" s="156"/>
      <c r="GI14" s="156"/>
      <c r="GJ14" s="156"/>
      <c r="GK14" s="156"/>
      <c r="GL14" s="156"/>
      <c r="GM14" s="156"/>
      <c r="GN14" s="156"/>
      <c r="GO14" s="156"/>
      <c r="GP14" s="156"/>
      <c r="GQ14" s="156"/>
      <c r="GR14" s="156"/>
      <c r="GS14" s="156"/>
      <c r="GT14" s="156"/>
      <c r="GU14" s="156"/>
      <c r="GV14" s="156"/>
      <c r="GW14" s="156"/>
      <c r="GX14" s="156"/>
      <c r="GY14" s="156"/>
      <c r="GZ14" s="156"/>
      <c r="HA14" s="156"/>
      <c r="HB14" s="156"/>
      <c r="HC14" s="156"/>
      <c r="HD14" s="156"/>
      <c r="HE14" s="156"/>
      <c r="HF14" s="156"/>
      <c r="HG14" s="156"/>
      <c r="HH14" s="156"/>
      <c r="HI14" s="156"/>
      <c r="HJ14" s="156"/>
      <c r="HK14" s="156"/>
      <c r="HL14" s="156"/>
      <c r="HM14" s="156"/>
      <c r="HN14" s="156"/>
      <c r="HO14" s="156"/>
      <c r="HP14" s="156"/>
      <c r="HQ14" s="156"/>
      <c r="HR14" s="156"/>
      <c r="HS14" s="156"/>
      <c r="HT14" s="156"/>
      <c r="HU14" s="156"/>
      <c r="HV14" s="156"/>
      <c r="HW14" s="156"/>
      <c r="HX14" s="156"/>
      <c r="HY14" s="156"/>
      <c r="HZ14" s="156"/>
      <c r="IA14" s="156"/>
      <c r="IB14" s="156"/>
      <c r="IC14" s="156"/>
      <c r="ID14" s="156"/>
      <c r="IE14" s="156"/>
      <c r="IF14" s="156"/>
      <c r="IG14" s="156"/>
      <c r="IH14" s="156"/>
      <c r="II14" s="156"/>
      <c r="IJ14" s="156"/>
      <c r="IK14" s="156"/>
      <c r="IL14" s="156"/>
      <c r="IM14" s="156"/>
      <c r="IN14" s="156"/>
      <c r="IO14" s="156"/>
      <c r="IP14" s="156"/>
      <c r="IQ14" s="156"/>
      <c r="IR14" s="156"/>
      <c r="IS14" s="156"/>
      <c r="IT14" s="156"/>
      <c r="IU14" s="156"/>
      <c r="IV14" s="156"/>
      <c r="IW14" s="156"/>
      <c r="IX14" s="156"/>
      <c r="IY14" s="156"/>
      <c r="IZ14" s="156"/>
      <c r="JA14" s="156"/>
      <c r="JB14" s="156"/>
    </row>
    <row r="15" spans="1:262" ht="22.5" customHeight="1">
      <c r="A15" s="902">
        <v>3</v>
      </c>
      <c r="B15" s="907" t="str">
        <f>'Bảng CC - NV'!B13</f>
        <v>Trần Viết Hùng</v>
      </c>
      <c r="C15" s="907" t="s">
        <v>563</v>
      </c>
      <c r="D15" s="935" t="s">
        <v>115</v>
      </c>
      <c r="E15" s="903" t="s">
        <v>174</v>
      </c>
      <c r="F15" s="902"/>
      <c r="G15" s="936">
        <f>G14</f>
        <v>205</v>
      </c>
      <c r="H15" s="999">
        <f>H14</f>
        <v>232.69869100000003</v>
      </c>
      <c r="I15" s="839">
        <f t="shared" ref="I15" si="0">H15/G15*100%</f>
        <v>1.1351155658536587</v>
      </c>
      <c r="J15" s="903">
        <v>280</v>
      </c>
      <c r="K15" s="903"/>
      <c r="L15" s="908">
        <f>280*I15</f>
        <v>317.83235843902446</v>
      </c>
      <c r="M15" s="906">
        <f t="shared" ref="M15" si="1">J15+L15+K15</f>
        <v>597.83235843902446</v>
      </c>
      <c r="N15" s="387"/>
      <c r="O15" s="265"/>
      <c r="P15" s="265"/>
      <c r="Q15" s="265"/>
      <c r="R15" s="265"/>
      <c r="S15" s="265"/>
      <c r="T15" s="265"/>
      <c r="U15" s="265"/>
      <c r="V15" s="265"/>
      <c r="W15" s="26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6"/>
      <c r="CN15" s="156"/>
      <c r="CO15" s="156"/>
      <c r="CP15" s="156"/>
      <c r="CQ15" s="156"/>
      <c r="CR15" s="156"/>
      <c r="CS15" s="156"/>
      <c r="CT15" s="156"/>
      <c r="CU15" s="156"/>
      <c r="CV15" s="156"/>
      <c r="CW15" s="156"/>
      <c r="CX15" s="156"/>
      <c r="CY15" s="156"/>
      <c r="CZ15" s="156"/>
      <c r="DA15" s="156"/>
      <c r="DB15" s="156"/>
      <c r="DC15" s="156"/>
      <c r="DD15" s="156"/>
      <c r="DE15" s="156"/>
      <c r="DF15" s="156"/>
      <c r="DG15" s="156"/>
      <c r="DH15" s="156"/>
      <c r="DI15" s="156"/>
      <c r="DJ15" s="156"/>
      <c r="DK15" s="156"/>
      <c r="DL15" s="156"/>
      <c r="DM15" s="156"/>
      <c r="DN15" s="156"/>
      <c r="DO15" s="156"/>
      <c r="DP15" s="156"/>
      <c r="DQ15" s="156"/>
      <c r="DR15" s="156"/>
      <c r="DS15" s="156"/>
      <c r="DT15" s="156"/>
      <c r="DU15" s="156"/>
      <c r="DV15" s="156"/>
      <c r="DW15" s="156"/>
      <c r="DX15" s="156"/>
      <c r="DY15" s="156"/>
      <c r="DZ15" s="156"/>
      <c r="EA15" s="156"/>
      <c r="EB15" s="156"/>
      <c r="EC15" s="156"/>
      <c r="ED15" s="156"/>
      <c r="EE15" s="156"/>
      <c r="EF15" s="156"/>
      <c r="EG15" s="156"/>
      <c r="EH15" s="156"/>
      <c r="EI15" s="156"/>
      <c r="EJ15" s="156"/>
      <c r="EK15" s="156"/>
      <c r="EL15" s="156"/>
      <c r="EM15" s="156"/>
      <c r="EN15" s="156"/>
      <c r="EO15" s="156"/>
      <c r="EP15" s="156"/>
      <c r="EQ15" s="156"/>
      <c r="ER15" s="156"/>
      <c r="ES15" s="156"/>
      <c r="ET15" s="156"/>
      <c r="EU15" s="156"/>
      <c r="EV15" s="156"/>
      <c r="EW15" s="156"/>
      <c r="EX15" s="156"/>
      <c r="EY15" s="156"/>
      <c r="EZ15" s="156"/>
      <c r="FA15" s="156"/>
      <c r="FB15" s="156"/>
      <c r="FC15" s="156"/>
      <c r="FD15" s="156"/>
      <c r="FE15" s="156"/>
      <c r="FF15" s="156"/>
      <c r="FG15" s="156"/>
      <c r="FH15" s="156"/>
      <c r="FI15" s="156"/>
      <c r="FJ15" s="156"/>
      <c r="FK15" s="156"/>
      <c r="FL15" s="156"/>
      <c r="FM15" s="156"/>
      <c r="FN15" s="156"/>
      <c r="FO15" s="156"/>
      <c r="FP15" s="156"/>
      <c r="FQ15" s="156"/>
      <c r="FR15" s="156"/>
      <c r="FS15" s="156"/>
      <c r="FT15" s="156"/>
      <c r="FU15" s="156"/>
      <c r="FV15" s="156"/>
      <c r="FW15" s="156"/>
      <c r="FX15" s="156"/>
      <c r="FY15" s="156"/>
      <c r="FZ15" s="156"/>
      <c r="GA15" s="156"/>
      <c r="GB15" s="156"/>
      <c r="GC15" s="156"/>
      <c r="GD15" s="156"/>
      <c r="GE15" s="156"/>
      <c r="GF15" s="156"/>
      <c r="GG15" s="156"/>
      <c r="GH15" s="156"/>
      <c r="GI15" s="156"/>
      <c r="GJ15" s="156"/>
      <c r="GK15" s="156"/>
      <c r="GL15" s="156"/>
      <c r="GM15" s="156"/>
      <c r="GN15" s="156"/>
      <c r="GO15" s="156"/>
      <c r="GP15" s="156"/>
      <c r="GQ15" s="156"/>
      <c r="GR15" s="156"/>
      <c r="GS15" s="156"/>
      <c r="GT15" s="156"/>
      <c r="GU15" s="156"/>
      <c r="GV15" s="156"/>
      <c r="GW15" s="156"/>
      <c r="GX15" s="156"/>
      <c r="GY15" s="156"/>
      <c r="GZ15" s="156"/>
      <c r="HA15" s="156"/>
      <c r="HB15" s="156"/>
      <c r="HC15" s="156"/>
      <c r="HD15" s="156"/>
      <c r="HE15" s="156"/>
      <c r="HF15" s="156"/>
      <c r="HG15" s="156"/>
      <c r="HH15" s="156"/>
      <c r="HI15" s="156"/>
      <c r="HJ15" s="156"/>
      <c r="HK15" s="156"/>
      <c r="HL15" s="156"/>
      <c r="HM15" s="156"/>
      <c r="HN15" s="156"/>
      <c r="HO15" s="156"/>
      <c r="HP15" s="156"/>
      <c r="HQ15" s="156"/>
      <c r="HR15" s="156"/>
      <c r="HS15" s="156"/>
      <c r="HT15" s="156"/>
      <c r="HU15" s="156"/>
      <c r="HV15" s="156"/>
      <c r="HW15" s="156"/>
      <c r="HX15" s="156"/>
      <c r="HY15" s="156"/>
      <c r="HZ15" s="156"/>
      <c r="IA15" s="156"/>
      <c r="IB15" s="156"/>
      <c r="IC15" s="156"/>
      <c r="ID15" s="156"/>
      <c r="IE15" s="156"/>
      <c r="IF15" s="156"/>
      <c r="IG15" s="156"/>
      <c r="IH15" s="156"/>
      <c r="II15" s="156"/>
      <c r="IJ15" s="156"/>
      <c r="IK15" s="156"/>
      <c r="IL15" s="156"/>
      <c r="IM15" s="156"/>
      <c r="IN15" s="156"/>
      <c r="IO15" s="156"/>
      <c r="IP15" s="156"/>
      <c r="IQ15" s="156"/>
      <c r="IR15" s="156"/>
      <c r="IS15" s="156"/>
      <c r="IT15" s="156"/>
      <c r="IU15" s="156"/>
      <c r="IV15" s="156"/>
      <c r="IW15" s="156"/>
      <c r="IX15" s="156"/>
      <c r="IY15" s="156"/>
      <c r="IZ15" s="156"/>
      <c r="JA15" s="156"/>
      <c r="JB15" s="156"/>
    </row>
    <row r="16" spans="1:262" ht="22.5" customHeight="1">
      <c r="A16" s="902">
        <v>4</v>
      </c>
      <c r="B16" s="907" t="s">
        <v>123</v>
      </c>
      <c r="C16" s="907" t="s">
        <v>216</v>
      </c>
      <c r="D16" s="903" t="s">
        <v>538</v>
      </c>
      <c r="E16" s="903" t="s">
        <v>174</v>
      </c>
      <c r="F16" s="902">
        <v>1.2</v>
      </c>
      <c r="G16" s="938">
        <v>109</v>
      </c>
      <c r="H16" s="999">
        <f>'Trạm 1'!J101/1000</f>
        <v>124.76822200000004</v>
      </c>
      <c r="I16" s="839">
        <f>H16/G16*100%</f>
        <v>1.1446625871559637</v>
      </c>
      <c r="J16" s="903">
        <v>310</v>
      </c>
      <c r="K16" s="903"/>
      <c r="L16" s="908">
        <f>280*I16*F16</f>
        <v>384.60662928440377</v>
      </c>
      <c r="M16" s="906">
        <f t="shared" ref="M16:M20" si="2">J16+L16+K16</f>
        <v>694.60662928440377</v>
      </c>
      <c r="N16" s="390"/>
      <c r="O16" s="300" t="e">
        <f>#REF!/#REF!</f>
        <v>#REF!</v>
      </c>
      <c r="P16" s="301" t="e">
        <f>L16*O16</f>
        <v>#REF!</v>
      </c>
      <c r="Q16" s="299" t="e">
        <f>J16+P16</f>
        <v>#REF!</v>
      </c>
    </row>
    <row r="17" spans="1:262" ht="22.5" customHeight="1">
      <c r="A17" s="902">
        <v>5</v>
      </c>
      <c r="B17" s="907" t="s">
        <v>42</v>
      </c>
      <c r="C17" s="907" t="s">
        <v>216</v>
      </c>
      <c r="D17" s="903" t="s">
        <v>539</v>
      </c>
      <c r="E17" s="903" t="s">
        <v>174</v>
      </c>
      <c r="F17" s="902">
        <v>1.2</v>
      </c>
      <c r="G17" s="938">
        <v>96</v>
      </c>
      <c r="H17" s="999">
        <f>'Trạm 2'!J83/1000</f>
        <v>107.93046899999999</v>
      </c>
      <c r="I17" s="839">
        <f>H17/G17*100%</f>
        <v>1.1242757187499999</v>
      </c>
      <c r="J17" s="903">
        <v>310</v>
      </c>
      <c r="K17" s="903"/>
      <c r="L17" s="908">
        <f>280*I17*F17</f>
        <v>377.75664149999994</v>
      </c>
      <c r="M17" s="906">
        <f t="shared" si="2"/>
        <v>687.75664149999989</v>
      </c>
      <c r="N17" s="390"/>
      <c r="O17" s="300" t="e">
        <f>#REF!/#REF!</f>
        <v>#REF!</v>
      </c>
      <c r="P17" s="301" t="e">
        <f>L17*O17</f>
        <v>#REF!</v>
      </c>
      <c r="Q17" s="299" t="e">
        <f>J17+P17</f>
        <v>#REF!</v>
      </c>
    </row>
    <row r="18" spans="1:262" ht="22.5" customHeight="1">
      <c r="A18" s="902">
        <v>6</v>
      </c>
      <c r="B18" s="907" t="str">
        <f>'Bảng CC - NV'!B14</f>
        <v>Trần Thị Kim Ngân</v>
      </c>
      <c r="C18" s="907" t="s">
        <v>552</v>
      </c>
      <c r="D18" s="903" t="s">
        <v>539</v>
      </c>
      <c r="E18" s="903" t="s">
        <v>174</v>
      </c>
      <c r="F18" s="902">
        <f>F17</f>
        <v>1.2</v>
      </c>
      <c r="G18" s="936">
        <f>G17</f>
        <v>96</v>
      </c>
      <c r="H18" s="999">
        <f>H17</f>
        <v>107.93046899999999</v>
      </c>
      <c r="I18" s="839">
        <f t="shared" ref="I18:I20" si="3">H18/G18*100%</f>
        <v>1.1242757187499999</v>
      </c>
      <c r="J18" s="903">
        <v>230</v>
      </c>
      <c r="K18" s="903"/>
      <c r="L18" s="908">
        <f>280*I18*F18</f>
        <v>377.75664149999994</v>
      </c>
      <c r="M18" s="906">
        <f>J18+L18+K18</f>
        <v>607.75664149999989</v>
      </c>
      <c r="N18" s="390"/>
      <c r="O18" s="300"/>
      <c r="P18" s="301" t="e">
        <f>M18-#REF!</f>
        <v>#REF!</v>
      </c>
      <c r="Q18" s="299"/>
    </row>
    <row r="19" spans="1:262" ht="22.5" customHeight="1">
      <c r="A19" s="902">
        <v>7</v>
      </c>
      <c r="B19" s="907" t="str">
        <f>'Bảng CC - NV'!B16</f>
        <v>Lê Minh Trí</v>
      </c>
      <c r="C19" s="907" t="s">
        <v>133</v>
      </c>
      <c r="D19" s="903" t="s">
        <v>538</v>
      </c>
      <c r="E19" s="903" t="s">
        <v>174</v>
      </c>
      <c r="F19" s="383"/>
      <c r="G19" s="936">
        <f>G16</f>
        <v>109</v>
      </c>
      <c r="H19" s="999">
        <f>H16</f>
        <v>124.76822200000004</v>
      </c>
      <c r="I19" s="839">
        <f>H19/G19*100%</f>
        <v>1.1446625871559637</v>
      </c>
      <c r="J19" s="903">
        <v>210</v>
      </c>
      <c r="K19" s="903"/>
      <c r="L19" s="908">
        <f>250*I19</f>
        <v>286.1656467889909</v>
      </c>
      <c r="M19" s="906">
        <f t="shared" si="2"/>
        <v>496.1656467889909</v>
      </c>
      <c r="N19" s="390"/>
      <c r="O19" s="300"/>
      <c r="P19" s="301"/>
      <c r="Q19" s="299"/>
    </row>
    <row r="20" spans="1:262" ht="22.5" customHeight="1">
      <c r="A20" s="902">
        <v>8</v>
      </c>
      <c r="B20" s="907" t="str">
        <f>'Bảng CC - NV'!B17</f>
        <v>Nguyễn Văn Cương</v>
      </c>
      <c r="C20" s="907" t="s">
        <v>133</v>
      </c>
      <c r="D20" s="903" t="s">
        <v>539</v>
      </c>
      <c r="E20" s="903" t="s">
        <v>174</v>
      </c>
      <c r="F20" s="383"/>
      <c r="G20" s="936">
        <f>G17</f>
        <v>96</v>
      </c>
      <c r="H20" s="999">
        <f>H17</f>
        <v>107.93046899999999</v>
      </c>
      <c r="I20" s="839">
        <f t="shared" si="3"/>
        <v>1.1242757187499999</v>
      </c>
      <c r="J20" s="903">
        <v>210</v>
      </c>
      <c r="K20" s="903"/>
      <c r="L20" s="908">
        <f>250*I20</f>
        <v>281.06892968749997</v>
      </c>
      <c r="M20" s="906">
        <f t="shared" si="2"/>
        <v>491.06892968749997</v>
      </c>
      <c r="N20" s="390"/>
      <c r="O20" s="300"/>
      <c r="P20" s="301"/>
      <c r="Q20" s="299"/>
    </row>
    <row r="21" spans="1:262" ht="28.5" customHeight="1">
      <c r="A21" s="873" t="s">
        <v>284</v>
      </c>
      <c r="B21" s="873"/>
      <c r="C21" s="873"/>
      <c r="D21" s="903"/>
      <c r="E21" s="903"/>
      <c r="F21" s="903"/>
      <c r="G21" s="565"/>
      <c r="H21" s="571"/>
      <c r="I21" s="940"/>
      <c r="J21" s="565">
        <f t="shared" ref="J21" si="4">SUM(J22:J23)</f>
        <v>6000000</v>
      </c>
      <c r="K21" s="565"/>
      <c r="L21" s="565">
        <f>SUM(L22:L23)</f>
        <v>8168177.9012614693</v>
      </c>
      <c r="M21" s="565">
        <f>SUM(M22:M23)</f>
        <v>14168178</v>
      </c>
      <c r="N21" s="390"/>
      <c r="O21" s="250"/>
    </row>
    <row r="22" spans="1:262" ht="26.25" customHeight="1">
      <c r="A22" s="902">
        <v>1</v>
      </c>
      <c r="B22" s="903" t="s">
        <v>2</v>
      </c>
      <c r="C22" s="907" t="s">
        <v>552</v>
      </c>
      <c r="D22" s="903" t="s">
        <v>538</v>
      </c>
      <c r="E22" s="903" t="s">
        <v>108</v>
      </c>
      <c r="F22" s="902">
        <f t="shared" ref="F22:G23" si="5">F16</f>
        <v>1.2</v>
      </c>
      <c r="G22" s="389">
        <f t="shared" si="5"/>
        <v>109</v>
      </c>
      <c r="H22" s="1000">
        <f>H16</f>
        <v>124.76822200000004</v>
      </c>
      <c r="I22" s="839">
        <f>H22/G22*100%</f>
        <v>1.1446625871559637</v>
      </c>
      <c r="J22" s="909">
        <v>3000000</v>
      </c>
      <c r="K22" s="909"/>
      <c r="L22" s="910">
        <f>3000000*I22*F22</f>
        <v>4120785.3137614694</v>
      </c>
      <c r="M22" s="390">
        <f>ROUND((J22+L22),0)</f>
        <v>7120785</v>
      </c>
      <c r="N22" s="390"/>
      <c r="O22" s="300" t="e">
        <f>#REF!/#REF!</f>
        <v>#REF!</v>
      </c>
      <c r="P22" s="302" t="e">
        <f>L22*O22</f>
        <v>#REF!</v>
      </c>
      <c r="Q22" s="303" t="e">
        <f>J22+P22</f>
        <v>#REF!</v>
      </c>
    </row>
    <row r="23" spans="1:262" ht="26.25" customHeight="1">
      <c r="A23" s="902">
        <v>2</v>
      </c>
      <c r="B23" s="907" t="s">
        <v>156</v>
      </c>
      <c r="C23" s="907" t="s">
        <v>552</v>
      </c>
      <c r="D23" s="903" t="s">
        <v>539</v>
      </c>
      <c r="E23" s="903" t="s">
        <v>108</v>
      </c>
      <c r="F23" s="902">
        <f t="shared" si="5"/>
        <v>1.2</v>
      </c>
      <c r="G23" s="389">
        <f t="shared" si="5"/>
        <v>96</v>
      </c>
      <c r="H23" s="1000">
        <f>H17</f>
        <v>107.93046899999999</v>
      </c>
      <c r="I23" s="839">
        <f>H23/G23*100%</f>
        <v>1.1242757187499999</v>
      </c>
      <c r="J23" s="909">
        <v>3000000</v>
      </c>
      <c r="K23" s="909"/>
      <c r="L23" s="910">
        <f>3000000*I23*F23</f>
        <v>4047392.5874999994</v>
      </c>
      <c r="M23" s="390">
        <f>ROUND((J23+L23),0)</f>
        <v>7047393</v>
      </c>
      <c r="N23" s="391"/>
      <c r="O23" s="300" t="e">
        <f>#REF!/#REF!</f>
        <v>#REF!</v>
      </c>
      <c r="P23" s="302" t="e">
        <f>L23*O23</f>
        <v>#REF!</v>
      </c>
      <c r="Q23" s="303" t="e">
        <f>J23+P23</f>
        <v>#REF!</v>
      </c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S23" s="144"/>
      <c r="DT23" s="144"/>
      <c r="DU23" s="144"/>
      <c r="DV23" s="144"/>
      <c r="DW23" s="144"/>
      <c r="DX23" s="144"/>
      <c r="DY23" s="144"/>
      <c r="DZ23" s="144"/>
      <c r="EA23" s="144"/>
      <c r="EB23" s="144"/>
      <c r="EC23" s="144"/>
      <c r="ED23" s="144"/>
      <c r="EE23" s="144"/>
      <c r="EF23" s="144"/>
      <c r="EG23" s="144"/>
      <c r="EH23" s="144"/>
      <c r="EI23" s="144"/>
      <c r="EJ23" s="144"/>
      <c r="EK23" s="144"/>
      <c r="EL23" s="144"/>
      <c r="EM23" s="144"/>
      <c r="EN23" s="144"/>
      <c r="EO23" s="144"/>
      <c r="EP23" s="144"/>
      <c r="EQ23" s="144"/>
      <c r="ER23" s="144"/>
      <c r="ES23" s="144"/>
      <c r="ET23" s="144"/>
      <c r="EU23" s="144"/>
      <c r="EV23" s="144"/>
      <c r="EW23" s="144"/>
      <c r="EX23" s="144"/>
      <c r="EY23" s="144"/>
      <c r="EZ23" s="144"/>
      <c r="FA23" s="144"/>
      <c r="FB23" s="144"/>
      <c r="FC23" s="144"/>
      <c r="FD23" s="144"/>
      <c r="FE23" s="144"/>
      <c r="FF23" s="144"/>
      <c r="FG23" s="144"/>
      <c r="FH23" s="144"/>
      <c r="FI23" s="144"/>
      <c r="FJ23" s="144"/>
      <c r="FK23" s="144"/>
      <c r="FL23" s="144"/>
      <c r="FM23" s="144"/>
      <c r="FN23" s="144"/>
      <c r="FO23" s="144"/>
      <c r="FP23" s="144"/>
      <c r="FQ23" s="144"/>
      <c r="FR23" s="144"/>
      <c r="FS23" s="144"/>
      <c r="FT23" s="144"/>
      <c r="FU23" s="144"/>
      <c r="FV23" s="144"/>
      <c r="FW23" s="144"/>
      <c r="FX23" s="144"/>
      <c r="FY23" s="144"/>
      <c r="FZ23" s="144"/>
      <c r="GA23" s="144"/>
      <c r="GB23" s="144"/>
      <c r="GC23" s="144"/>
      <c r="GD23" s="144"/>
      <c r="GE23" s="144"/>
      <c r="GF23" s="144"/>
      <c r="GG23" s="144"/>
      <c r="GH23" s="144"/>
      <c r="GI23" s="144"/>
      <c r="GJ23" s="144"/>
      <c r="GK23" s="144"/>
      <c r="GL23" s="144"/>
      <c r="GM23" s="144"/>
      <c r="GN23" s="144"/>
      <c r="GO23" s="144"/>
      <c r="GP23" s="144"/>
      <c r="GQ23" s="144"/>
      <c r="GR23" s="144"/>
      <c r="GS23" s="144"/>
      <c r="GT23" s="144"/>
      <c r="GU23" s="144"/>
      <c r="GV23" s="144"/>
      <c r="GW23" s="144"/>
      <c r="GX23" s="144"/>
      <c r="GY23" s="144"/>
      <c r="GZ23" s="144"/>
      <c r="HA23" s="144"/>
      <c r="HB23" s="144"/>
      <c r="HC23" s="144"/>
      <c r="HD23" s="144"/>
      <c r="HE23" s="144"/>
      <c r="HF23" s="144"/>
      <c r="HG23" s="144"/>
      <c r="HH23" s="144"/>
      <c r="HI23" s="144"/>
      <c r="HJ23" s="144"/>
      <c r="HK23" s="144"/>
      <c r="HL23" s="144"/>
      <c r="HM23" s="144"/>
      <c r="HN23" s="144"/>
      <c r="HO23" s="144"/>
      <c r="HP23" s="144"/>
      <c r="HQ23" s="144"/>
      <c r="HR23" s="144"/>
      <c r="HS23" s="144"/>
      <c r="HT23" s="144"/>
      <c r="HU23" s="144"/>
      <c r="HV23" s="144"/>
      <c r="HW23" s="144"/>
      <c r="HX23" s="144"/>
      <c r="HY23" s="144"/>
      <c r="HZ23" s="144"/>
      <c r="IA23" s="144"/>
      <c r="IB23" s="144"/>
      <c r="IC23" s="144"/>
      <c r="ID23" s="144"/>
      <c r="IE23" s="144"/>
      <c r="IF23" s="144"/>
      <c r="IG23" s="144"/>
      <c r="IH23" s="144"/>
      <c r="II23" s="144"/>
      <c r="IJ23" s="144"/>
      <c r="IK23" s="144"/>
      <c r="IL23" s="144"/>
      <c r="IM23" s="144"/>
      <c r="IN23" s="144"/>
      <c r="IO23" s="144"/>
      <c r="IP23" s="144"/>
      <c r="IQ23" s="144"/>
      <c r="IR23" s="144"/>
      <c r="IS23" s="144"/>
      <c r="IT23" s="144"/>
      <c r="IU23" s="144"/>
      <c r="IV23" s="144"/>
      <c r="IW23" s="144"/>
      <c r="IX23" s="144"/>
      <c r="IY23" s="144"/>
      <c r="IZ23" s="144"/>
      <c r="JA23" s="144"/>
      <c r="JB23" s="144"/>
    </row>
    <row r="24" spans="1:262" ht="29.25" customHeight="1">
      <c r="A24" s="381"/>
      <c r="B24" s="381"/>
      <c r="C24" s="381"/>
      <c r="D24" s="1591" t="s">
        <v>820</v>
      </c>
      <c r="E24" s="1591"/>
      <c r="F24" s="1591"/>
      <c r="G24" s="1591"/>
      <c r="H24" s="1591"/>
      <c r="I24" s="1591"/>
      <c r="J24" s="1591"/>
      <c r="K24" s="1591"/>
      <c r="L24" s="1591"/>
      <c r="M24" s="1591"/>
      <c r="N24" s="1591"/>
      <c r="O24" s="267"/>
      <c r="P24" s="143"/>
      <c r="Q24" s="272"/>
      <c r="R24" s="143"/>
      <c r="S24" s="143"/>
      <c r="T24" s="143"/>
      <c r="U24" s="268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  <c r="BL24" s="143"/>
      <c r="BM24" s="143"/>
      <c r="BN24" s="143"/>
      <c r="BO24" s="143"/>
      <c r="BP24" s="143"/>
      <c r="BQ24" s="143"/>
      <c r="BR24" s="143"/>
      <c r="BS24" s="143"/>
      <c r="BT24" s="143"/>
      <c r="BU24" s="143"/>
      <c r="BV24" s="143"/>
      <c r="BW24" s="143"/>
      <c r="BX24" s="143"/>
      <c r="BY24" s="143"/>
      <c r="BZ24" s="143"/>
      <c r="CA24" s="143"/>
      <c r="CB24" s="143"/>
      <c r="CC24" s="143"/>
      <c r="CD24" s="143"/>
      <c r="CE24" s="143"/>
      <c r="CF24" s="143"/>
      <c r="CG24" s="143"/>
      <c r="CH24" s="143"/>
      <c r="CI24" s="143"/>
      <c r="CJ24" s="143"/>
      <c r="CK24" s="143"/>
      <c r="CL24" s="143"/>
      <c r="CM24" s="143"/>
      <c r="CN24" s="143"/>
      <c r="CO24" s="143"/>
      <c r="CP24" s="143"/>
      <c r="CQ24" s="143"/>
      <c r="CR24" s="143"/>
      <c r="CS24" s="143"/>
      <c r="CT24" s="143"/>
      <c r="CU24" s="143"/>
      <c r="CV24" s="143"/>
      <c r="CW24" s="143"/>
      <c r="CX24" s="143"/>
      <c r="CY24" s="143"/>
      <c r="CZ24" s="143"/>
      <c r="DA24" s="143"/>
      <c r="DB24" s="143"/>
      <c r="DC24" s="143"/>
      <c r="DD24" s="143"/>
      <c r="DE24" s="143"/>
      <c r="DF24" s="143"/>
      <c r="DG24" s="143"/>
      <c r="DH24" s="143"/>
      <c r="DI24" s="143"/>
      <c r="DJ24" s="143"/>
      <c r="DK24" s="143"/>
      <c r="DL24" s="143"/>
      <c r="DM24" s="143"/>
      <c r="DN24" s="143"/>
      <c r="DO24" s="143"/>
      <c r="DP24" s="143"/>
      <c r="DQ24" s="143"/>
      <c r="DR24" s="143"/>
      <c r="DS24" s="143"/>
      <c r="DT24" s="143"/>
      <c r="DU24" s="143"/>
      <c r="DV24" s="143"/>
      <c r="DW24" s="143"/>
      <c r="DX24" s="143"/>
      <c r="DY24" s="143"/>
      <c r="DZ24" s="143"/>
      <c r="EA24" s="143"/>
      <c r="EB24" s="143"/>
      <c r="EC24" s="143"/>
      <c r="ED24" s="143"/>
      <c r="EE24" s="143"/>
      <c r="EF24" s="143"/>
      <c r="EG24" s="143"/>
      <c r="EH24" s="143"/>
      <c r="EI24" s="143"/>
      <c r="EJ24" s="143"/>
      <c r="EK24" s="143"/>
      <c r="EL24" s="143"/>
      <c r="EM24" s="143"/>
      <c r="EN24" s="143"/>
      <c r="EO24" s="143"/>
      <c r="EP24" s="143"/>
      <c r="EQ24" s="143"/>
      <c r="ER24" s="143"/>
      <c r="ES24" s="143"/>
      <c r="ET24" s="143"/>
      <c r="EU24" s="143"/>
      <c r="EV24" s="143"/>
      <c r="EW24" s="143"/>
      <c r="EX24" s="143"/>
      <c r="EY24" s="143"/>
      <c r="EZ24" s="143"/>
      <c r="FA24" s="143"/>
      <c r="FB24" s="143"/>
      <c r="FC24" s="143"/>
      <c r="FD24" s="143"/>
      <c r="FE24" s="143"/>
      <c r="FF24" s="143"/>
      <c r="FG24" s="143"/>
      <c r="FH24" s="143"/>
      <c r="FI24" s="143"/>
      <c r="FJ24" s="143"/>
      <c r="FK24" s="143"/>
      <c r="FL24" s="143"/>
      <c r="FM24" s="143"/>
      <c r="FN24" s="143"/>
      <c r="FO24" s="143"/>
      <c r="FP24" s="143"/>
      <c r="FQ24" s="143"/>
      <c r="FR24" s="143"/>
      <c r="FS24" s="143"/>
      <c r="FT24" s="143"/>
      <c r="FU24" s="143"/>
      <c r="FV24" s="143"/>
      <c r="FW24" s="143"/>
      <c r="FX24" s="143"/>
      <c r="FY24" s="143"/>
      <c r="FZ24" s="143"/>
      <c r="GA24" s="143"/>
      <c r="GB24" s="143"/>
      <c r="GC24" s="143"/>
      <c r="GD24" s="143"/>
      <c r="GE24" s="143"/>
      <c r="GF24" s="143"/>
      <c r="GG24" s="143"/>
      <c r="GH24" s="143"/>
      <c r="GI24" s="143"/>
      <c r="GJ24" s="143"/>
      <c r="GK24" s="143"/>
      <c r="GL24" s="143"/>
      <c r="GM24" s="143"/>
      <c r="GN24" s="143"/>
      <c r="GO24" s="143"/>
      <c r="GP24" s="143"/>
      <c r="GQ24" s="143"/>
      <c r="GR24" s="143"/>
      <c r="GS24" s="143"/>
      <c r="GT24" s="143"/>
      <c r="GU24" s="143"/>
      <c r="GV24" s="143"/>
      <c r="GW24" s="143"/>
      <c r="GX24" s="143"/>
      <c r="GY24" s="143"/>
      <c r="GZ24" s="143"/>
      <c r="HA24" s="143"/>
      <c r="HB24" s="143"/>
      <c r="HC24" s="143"/>
      <c r="HD24" s="143"/>
      <c r="HE24" s="143"/>
      <c r="HF24" s="143"/>
      <c r="HG24" s="143"/>
      <c r="HH24" s="143"/>
      <c r="HI24" s="143"/>
      <c r="HJ24" s="143"/>
      <c r="HK24" s="143"/>
      <c r="HL24" s="143"/>
      <c r="HM24" s="143"/>
      <c r="HN24" s="143"/>
      <c r="HO24" s="143"/>
      <c r="HP24" s="143"/>
      <c r="HQ24" s="143"/>
      <c r="HR24" s="143"/>
      <c r="HS24" s="143"/>
      <c r="HT24" s="143"/>
      <c r="HU24" s="143"/>
      <c r="HV24" s="143"/>
      <c r="HW24" s="143"/>
      <c r="HX24" s="143"/>
      <c r="HY24" s="143"/>
      <c r="HZ24" s="143"/>
      <c r="IA24" s="143"/>
      <c r="IB24" s="143"/>
      <c r="IC24" s="143"/>
      <c r="ID24" s="143"/>
      <c r="IE24" s="143"/>
      <c r="IF24" s="143"/>
      <c r="IG24" s="143"/>
      <c r="IH24" s="143"/>
      <c r="II24" s="143"/>
      <c r="IJ24" s="143"/>
      <c r="IK24" s="143"/>
      <c r="IL24" s="143"/>
      <c r="IM24" s="143"/>
      <c r="IN24" s="143"/>
      <c r="IO24" s="143"/>
      <c r="IP24" s="143"/>
      <c r="IQ24" s="143"/>
      <c r="IR24" s="143"/>
      <c r="IS24" s="143"/>
      <c r="IT24" s="143"/>
      <c r="IU24" s="143"/>
      <c r="IV24" s="143"/>
      <c r="IW24" s="143"/>
      <c r="IX24" s="143"/>
      <c r="IY24" s="143"/>
      <c r="IZ24" s="143"/>
      <c r="JA24" s="143"/>
      <c r="JB24" s="143"/>
    </row>
    <row r="25" spans="1:262" ht="12" customHeight="1">
      <c r="A25" s="251"/>
      <c r="B25" s="251"/>
      <c r="C25" s="251"/>
      <c r="D25" s="251"/>
      <c r="E25" s="251"/>
      <c r="F25" s="251"/>
      <c r="G25" s="251"/>
      <c r="H25" s="252"/>
      <c r="I25" s="252"/>
      <c r="J25" s="251"/>
      <c r="K25" s="251"/>
      <c r="L25" s="251"/>
      <c r="M25" s="252"/>
      <c r="N25" s="252"/>
      <c r="O25" s="267"/>
      <c r="P25" s="143"/>
      <c r="Q25" s="143"/>
      <c r="R25" s="143" t="s">
        <v>275</v>
      </c>
      <c r="S25" s="143"/>
      <c r="T25" s="143"/>
      <c r="U25" s="273"/>
      <c r="V25" s="269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  <c r="BP25" s="143"/>
      <c r="BQ25" s="143"/>
      <c r="BR25" s="143"/>
      <c r="BS25" s="143"/>
      <c r="BT25" s="143"/>
      <c r="BU25" s="143"/>
      <c r="BV25" s="143"/>
      <c r="BW25" s="143"/>
      <c r="BX25" s="143"/>
      <c r="BY25" s="143"/>
      <c r="BZ25" s="143"/>
      <c r="CA25" s="143"/>
      <c r="CB25" s="143"/>
      <c r="CC25" s="143"/>
      <c r="CD25" s="143"/>
      <c r="CE25" s="143"/>
      <c r="CF25" s="143"/>
      <c r="CG25" s="143"/>
      <c r="CH25" s="143"/>
      <c r="CI25" s="143"/>
      <c r="CJ25" s="143"/>
      <c r="CK25" s="143"/>
      <c r="CL25" s="143"/>
      <c r="CM25" s="143"/>
      <c r="CN25" s="143"/>
      <c r="CO25" s="143"/>
      <c r="CP25" s="143"/>
      <c r="CQ25" s="143"/>
      <c r="CR25" s="143"/>
      <c r="CS25" s="143"/>
      <c r="CT25" s="143"/>
      <c r="CU25" s="143"/>
      <c r="CV25" s="143"/>
      <c r="CW25" s="143"/>
      <c r="CX25" s="143"/>
      <c r="CY25" s="143"/>
      <c r="CZ25" s="143"/>
      <c r="DA25" s="143"/>
      <c r="DB25" s="143"/>
      <c r="DC25" s="143"/>
      <c r="DD25" s="143"/>
      <c r="DE25" s="143"/>
      <c r="DF25" s="143"/>
      <c r="DG25" s="143"/>
      <c r="DH25" s="143"/>
      <c r="DI25" s="143"/>
      <c r="DJ25" s="143"/>
      <c r="DK25" s="143"/>
      <c r="DL25" s="143"/>
      <c r="DM25" s="143"/>
      <c r="DN25" s="143"/>
      <c r="DO25" s="143"/>
      <c r="DP25" s="143"/>
      <c r="DQ25" s="143"/>
      <c r="DR25" s="143"/>
      <c r="DS25" s="143"/>
      <c r="DT25" s="143"/>
      <c r="DU25" s="143"/>
      <c r="DV25" s="143"/>
      <c r="DW25" s="143"/>
      <c r="DX25" s="143"/>
      <c r="DY25" s="143"/>
      <c r="DZ25" s="143"/>
      <c r="EA25" s="143"/>
      <c r="EB25" s="143"/>
      <c r="EC25" s="143"/>
      <c r="ED25" s="143"/>
      <c r="EE25" s="143"/>
      <c r="EF25" s="143"/>
      <c r="EG25" s="143"/>
      <c r="EH25" s="143"/>
      <c r="EI25" s="143"/>
      <c r="EJ25" s="143"/>
      <c r="EK25" s="143"/>
      <c r="EL25" s="143"/>
      <c r="EM25" s="143"/>
      <c r="EN25" s="143"/>
      <c r="EO25" s="143"/>
      <c r="EP25" s="143"/>
      <c r="EQ25" s="143"/>
      <c r="ER25" s="143"/>
      <c r="ES25" s="143"/>
      <c r="ET25" s="143"/>
      <c r="EU25" s="143"/>
      <c r="EV25" s="143"/>
      <c r="EW25" s="143"/>
      <c r="EX25" s="143"/>
      <c r="EY25" s="143"/>
      <c r="EZ25" s="143"/>
      <c r="FA25" s="143"/>
      <c r="FB25" s="143"/>
      <c r="FC25" s="143"/>
      <c r="FD25" s="143"/>
      <c r="FE25" s="143"/>
      <c r="FF25" s="143"/>
      <c r="FG25" s="143"/>
      <c r="FH25" s="143"/>
      <c r="FI25" s="143"/>
      <c r="FJ25" s="143"/>
      <c r="FK25" s="143"/>
      <c r="FL25" s="143"/>
      <c r="FM25" s="143"/>
      <c r="FN25" s="143"/>
      <c r="FO25" s="143"/>
      <c r="FP25" s="143"/>
      <c r="FQ25" s="143"/>
      <c r="FR25" s="143"/>
      <c r="FS25" s="143"/>
      <c r="FT25" s="143"/>
      <c r="FU25" s="143"/>
      <c r="FV25" s="143"/>
      <c r="FW25" s="143"/>
      <c r="FX25" s="143"/>
      <c r="FY25" s="143"/>
      <c r="FZ25" s="143"/>
      <c r="GA25" s="143"/>
      <c r="GB25" s="143"/>
      <c r="GC25" s="143"/>
      <c r="GD25" s="143"/>
      <c r="GE25" s="143"/>
      <c r="GF25" s="143"/>
      <c r="GG25" s="143"/>
      <c r="GH25" s="143"/>
      <c r="GI25" s="143"/>
      <c r="GJ25" s="143"/>
      <c r="GK25" s="143"/>
      <c r="GL25" s="143"/>
      <c r="GM25" s="143"/>
      <c r="GN25" s="143"/>
      <c r="GO25" s="143"/>
      <c r="GP25" s="143"/>
      <c r="GQ25" s="143"/>
      <c r="GR25" s="143"/>
      <c r="GS25" s="143"/>
      <c r="GT25" s="143"/>
      <c r="GU25" s="143"/>
      <c r="GV25" s="143"/>
      <c r="GW25" s="143"/>
      <c r="GX25" s="143"/>
      <c r="GY25" s="143"/>
      <c r="GZ25" s="143"/>
      <c r="HA25" s="143"/>
      <c r="HB25" s="143"/>
      <c r="HC25" s="143"/>
      <c r="HD25" s="143"/>
      <c r="HE25" s="143"/>
      <c r="HF25" s="143"/>
      <c r="HG25" s="143"/>
      <c r="HH25" s="143"/>
      <c r="HI25" s="143"/>
      <c r="HJ25" s="143"/>
      <c r="HK25" s="143"/>
      <c r="HL25" s="143"/>
      <c r="HM25" s="143"/>
      <c r="HN25" s="143"/>
      <c r="HO25" s="143"/>
      <c r="HP25" s="143"/>
      <c r="HQ25" s="143"/>
      <c r="HR25" s="143"/>
      <c r="HS25" s="143"/>
      <c r="HT25" s="143"/>
      <c r="HU25" s="143"/>
      <c r="HV25" s="143"/>
      <c r="HW25" s="143"/>
      <c r="HX25" s="143"/>
      <c r="HY25" s="143"/>
      <c r="HZ25" s="143"/>
      <c r="IA25" s="143"/>
      <c r="IB25" s="143"/>
      <c r="IC25" s="143"/>
      <c r="ID25" s="143"/>
      <c r="IE25" s="143"/>
      <c r="IF25" s="143"/>
      <c r="IG25" s="143"/>
      <c r="IH25" s="143"/>
      <c r="II25" s="143"/>
      <c r="IJ25" s="143"/>
      <c r="IK25" s="143"/>
      <c r="IL25" s="143"/>
      <c r="IM25" s="143"/>
      <c r="IN25" s="143"/>
      <c r="IO25" s="143"/>
      <c r="IP25" s="143"/>
      <c r="IQ25" s="143"/>
      <c r="IR25" s="143"/>
      <c r="IS25" s="143"/>
      <c r="IT25" s="143"/>
      <c r="IU25" s="143"/>
      <c r="IV25" s="143"/>
      <c r="IW25" s="143"/>
      <c r="IX25" s="143"/>
      <c r="IY25" s="143"/>
      <c r="IZ25" s="143"/>
      <c r="JA25" s="143"/>
      <c r="JB25" s="143"/>
    </row>
    <row r="26" spans="1:262" ht="19.5">
      <c r="A26" s="1589" t="s">
        <v>773</v>
      </c>
      <c r="B26" s="1589"/>
      <c r="C26" s="1589"/>
      <c r="D26" s="1589"/>
      <c r="E26" s="1589"/>
      <c r="F26" s="1589"/>
      <c r="G26" s="1589"/>
      <c r="H26" s="1589"/>
      <c r="I26" s="1589"/>
      <c r="J26" s="1589"/>
      <c r="K26" s="1589"/>
      <c r="L26" s="1589"/>
      <c r="M26" s="1589"/>
      <c r="N26" s="1589"/>
      <c r="O26" s="270"/>
      <c r="P26" s="402">
        <f>SUM(H16:H17)</f>
        <v>232.69869100000003</v>
      </c>
      <c r="Q26" s="274"/>
      <c r="R26" s="144"/>
      <c r="S26" s="144"/>
      <c r="T26" s="144"/>
      <c r="U26" s="271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44"/>
      <c r="BK26" s="144"/>
      <c r="BL26" s="144"/>
      <c r="BM26" s="144"/>
      <c r="BN26" s="144"/>
      <c r="BO26" s="144"/>
      <c r="BP26" s="144"/>
      <c r="BQ26" s="144"/>
      <c r="BR26" s="144"/>
      <c r="BS26" s="144"/>
      <c r="BT26" s="144"/>
      <c r="BU26" s="144"/>
      <c r="BV26" s="144"/>
      <c r="BW26" s="144"/>
      <c r="BX26" s="144"/>
      <c r="BY26" s="144"/>
      <c r="BZ26" s="144"/>
      <c r="CA26" s="144"/>
      <c r="CB26" s="144"/>
      <c r="CC26" s="144"/>
      <c r="CD26" s="144"/>
      <c r="CE26" s="144"/>
      <c r="CF26" s="144"/>
      <c r="CG26" s="144"/>
      <c r="CH26" s="144"/>
      <c r="CI26" s="144"/>
      <c r="CJ26" s="144"/>
      <c r="CK26" s="144"/>
      <c r="CL26" s="144"/>
      <c r="CM26" s="144"/>
      <c r="CN26" s="144"/>
      <c r="CO26" s="144"/>
      <c r="CP26" s="144"/>
      <c r="CQ26" s="144"/>
      <c r="CR26" s="144"/>
      <c r="CS26" s="144"/>
      <c r="CT26" s="144"/>
      <c r="CU26" s="144"/>
      <c r="CV26" s="144"/>
      <c r="CW26" s="144"/>
      <c r="CX26" s="144"/>
      <c r="CY26" s="144"/>
      <c r="CZ26" s="144"/>
      <c r="DA26" s="144"/>
      <c r="DB26" s="144"/>
      <c r="DC26" s="144"/>
      <c r="DD26" s="144"/>
      <c r="DE26" s="144"/>
      <c r="DF26" s="144"/>
      <c r="DG26" s="144"/>
      <c r="DH26" s="144"/>
      <c r="DI26" s="144"/>
      <c r="DJ26" s="144"/>
      <c r="DK26" s="144"/>
      <c r="DL26" s="144"/>
      <c r="DM26" s="144"/>
      <c r="DN26" s="144"/>
      <c r="DO26" s="144"/>
      <c r="DP26" s="144"/>
      <c r="DQ26" s="144"/>
      <c r="DR26" s="144"/>
      <c r="DS26" s="144"/>
      <c r="DT26" s="144"/>
      <c r="DU26" s="144"/>
      <c r="DV26" s="144"/>
      <c r="DW26" s="144"/>
      <c r="DX26" s="144"/>
      <c r="DY26" s="144"/>
      <c r="DZ26" s="144"/>
      <c r="EA26" s="144"/>
      <c r="EB26" s="144"/>
      <c r="EC26" s="144"/>
      <c r="ED26" s="144"/>
      <c r="EE26" s="144"/>
      <c r="EF26" s="144"/>
      <c r="EG26" s="144"/>
      <c r="EH26" s="144"/>
      <c r="EI26" s="144"/>
      <c r="EJ26" s="144"/>
      <c r="EK26" s="144"/>
      <c r="EL26" s="144"/>
      <c r="EM26" s="144"/>
      <c r="EN26" s="144"/>
      <c r="EO26" s="144"/>
      <c r="EP26" s="144"/>
      <c r="EQ26" s="144"/>
      <c r="ER26" s="144"/>
      <c r="ES26" s="144"/>
      <c r="ET26" s="144"/>
      <c r="EU26" s="144"/>
      <c r="EV26" s="144"/>
      <c r="EW26" s="144"/>
      <c r="EX26" s="144"/>
      <c r="EY26" s="144"/>
      <c r="EZ26" s="144"/>
      <c r="FA26" s="144"/>
      <c r="FB26" s="144"/>
      <c r="FC26" s="144"/>
      <c r="FD26" s="144"/>
      <c r="FE26" s="144"/>
      <c r="FF26" s="144"/>
      <c r="FG26" s="144"/>
      <c r="FH26" s="144"/>
      <c r="FI26" s="144"/>
      <c r="FJ26" s="144"/>
      <c r="FK26" s="144"/>
      <c r="FL26" s="144"/>
      <c r="FM26" s="144"/>
      <c r="FN26" s="144"/>
      <c r="FO26" s="144"/>
      <c r="FP26" s="144"/>
      <c r="FQ26" s="144"/>
      <c r="FR26" s="144"/>
      <c r="FS26" s="144"/>
      <c r="FT26" s="144"/>
      <c r="FU26" s="144"/>
      <c r="FV26" s="144"/>
      <c r="FW26" s="144"/>
      <c r="FX26" s="144"/>
      <c r="FY26" s="144"/>
      <c r="FZ26" s="144"/>
      <c r="GA26" s="144"/>
      <c r="GB26" s="144"/>
      <c r="GC26" s="144"/>
      <c r="GD26" s="144"/>
      <c r="GE26" s="144"/>
      <c r="GF26" s="144"/>
      <c r="GG26" s="144"/>
      <c r="GH26" s="144"/>
      <c r="GI26" s="144"/>
      <c r="GJ26" s="144"/>
      <c r="GK26" s="144"/>
      <c r="GL26" s="144"/>
      <c r="GM26" s="144"/>
      <c r="GN26" s="144"/>
      <c r="GO26" s="144"/>
      <c r="GP26" s="144"/>
      <c r="GQ26" s="144"/>
      <c r="GR26" s="144"/>
      <c r="GS26" s="144"/>
      <c r="GT26" s="144"/>
      <c r="GU26" s="144"/>
      <c r="GV26" s="144"/>
      <c r="GW26" s="144"/>
      <c r="GX26" s="144"/>
      <c r="GY26" s="144"/>
      <c r="GZ26" s="144"/>
      <c r="HA26" s="144"/>
      <c r="HB26" s="144"/>
      <c r="HC26" s="144"/>
      <c r="HD26" s="144"/>
      <c r="HE26" s="144"/>
      <c r="HF26" s="144"/>
      <c r="HG26" s="144"/>
      <c r="HH26" s="144"/>
      <c r="HI26" s="144"/>
      <c r="HJ26" s="144"/>
      <c r="HK26" s="144"/>
      <c r="HL26" s="144"/>
      <c r="HM26" s="144"/>
      <c r="HN26" s="144"/>
      <c r="HO26" s="144"/>
      <c r="HP26" s="144"/>
      <c r="HQ26" s="144"/>
      <c r="HR26" s="144"/>
      <c r="HS26" s="144"/>
      <c r="HT26" s="144"/>
      <c r="HU26" s="144"/>
      <c r="HV26" s="144"/>
      <c r="HW26" s="144"/>
      <c r="HX26" s="144"/>
      <c r="HY26" s="144"/>
      <c r="HZ26" s="144"/>
      <c r="IA26" s="144"/>
      <c r="IB26" s="144"/>
      <c r="IC26" s="144"/>
      <c r="ID26" s="144"/>
      <c r="IE26" s="144"/>
      <c r="IF26" s="144"/>
      <c r="IG26" s="144"/>
      <c r="IH26" s="144"/>
      <c r="II26" s="144"/>
      <c r="IJ26" s="144"/>
      <c r="IK26" s="144"/>
      <c r="IL26" s="144"/>
      <c r="IM26" s="144"/>
      <c r="IN26" s="144"/>
      <c r="IO26" s="144"/>
      <c r="IP26" s="144"/>
      <c r="IQ26" s="144"/>
      <c r="IR26" s="144"/>
      <c r="IS26" s="144"/>
      <c r="IT26" s="144"/>
      <c r="IU26" s="144"/>
      <c r="IV26" s="144"/>
      <c r="IW26" s="144"/>
      <c r="IX26" s="144"/>
      <c r="IY26" s="144"/>
      <c r="IZ26" s="144"/>
      <c r="JA26" s="144"/>
      <c r="JB26" s="144"/>
    </row>
    <row r="27" spans="1:262" ht="19.5">
      <c r="A27" s="381"/>
      <c r="B27" s="381"/>
      <c r="C27" s="381"/>
      <c r="D27" s="381"/>
      <c r="E27" s="381"/>
      <c r="F27" s="381"/>
      <c r="G27" s="381"/>
      <c r="H27" s="382"/>
      <c r="I27" s="382"/>
      <c r="J27" s="381"/>
      <c r="K27" s="381"/>
      <c r="L27" s="381"/>
      <c r="M27" s="382"/>
      <c r="N27" s="382"/>
      <c r="O27" s="267"/>
      <c r="P27" s="143"/>
      <c r="Q27" s="143"/>
      <c r="R27" s="143"/>
      <c r="S27" s="143"/>
      <c r="T27" s="143"/>
      <c r="U27" s="268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3"/>
      <c r="BN27" s="143"/>
      <c r="BO27" s="143"/>
      <c r="BP27" s="143"/>
      <c r="BQ27" s="143"/>
      <c r="BR27" s="143"/>
      <c r="BS27" s="143"/>
      <c r="BT27" s="143"/>
      <c r="BU27" s="143"/>
      <c r="BV27" s="143"/>
      <c r="BW27" s="143"/>
      <c r="BX27" s="143"/>
      <c r="BY27" s="143"/>
      <c r="BZ27" s="143"/>
      <c r="CA27" s="143"/>
      <c r="CB27" s="143"/>
      <c r="CC27" s="143"/>
      <c r="CD27" s="143"/>
      <c r="CE27" s="143"/>
      <c r="CF27" s="143"/>
      <c r="CG27" s="143"/>
      <c r="CH27" s="143"/>
      <c r="CI27" s="143"/>
      <c r="CJ27" s="143"/>
      <c r="CK27" s="143"/>
      <c r="CL27" s="143"/>
      <c r="CM27" s="143"/>
      <c r="CN27" s="143"/>
      <c r="CO27" s="143"/>
      <c r="CP27" s="143"/>
      <c r="CQ27" s="143"/>
      <c r="CR27" s="143"/>
      <c r="CS27" s="143"/>
      <c r="CT27" s="143"/>
      <c r="CU27" s="143"/>
      <c r="CV27" s="143"/>
      <c r="CW27" s="143"/>
      <c r="CX27" s="143"/>
      <c r="CY27" s="143"/>
      <c r="CZ27" s="143"/>
      <c r="DA27" s="143"/>
      <c r="DB27" s="143"/>
      <c r="DC27" s="143"/>
      <c r="DD27" s="143"/>
      <c r="DE27" s="143"/>
      <c r="DF27" s="143"/>
      <c r="DG27" s="143"/>
      <c r="DH27" s="143"/>
      <c r="DI27" s="143"/>
      <c r="DJ27" s="143"/>
      <c r="DK27" s="143"/>
      <c r="DL27" s="143"/>
      <c r="DM27" s="143"/>
      <c r="DN27" s="143"/>
      <c r="DO27" s="143"/>
      <c r="DP27" s="143"/>
      <c r="DQ27" s="143"/>
      <c r="DR27" s="143"/>
      <c r="DS27" s="143"/>
      <c r="DT27" s="143"/>
      <c r="DU27" s="143"/>
      <c r="DV27" s="143"/>
      <c r="DW27" s="143"/>
      <c r="DX27" s="143"/>
      <c r="DY27" s="143"/>
      <c r="DZ27" s="143"/>
      <c r="EA27" s="143"/>
      <c r="EB27" s="143"/>
      <c r="EC27" s="143"/>
      <c r="ED27" s="143"/>
      <c r="EE27" s="143"/>
      <c r="EF27" s="143"/>
      <c r="EG27" s="143"/>
      <c r="EH27" s="143"/>
      <c r="EI27" s="143"/>
      <c r="EJ27" s="143"/>
      <c r="EK27" s="143"/>
      <c r="EL27" s="143"/>
      <c r="EM27" s="143"/>
      <c r="EN27" s="143"/>
      <c r="EO27" s="143"/>
      <c r="EP27" s="143"/>
      <c r="EQ27" s="143"/>
      <c r="ER27" s="143"/>
      <c r="ES27" s="143"/>
      <c r="ET27" s="143"/>
      <c r="EU27" s="143"/>
      <c r="EV27" s="143"/>
      <c r="EW27" s="143"/>
      <c r="EX27" s="143"/>
      <c r="EY27" s="143"/>
      <c r="EZ27" s="143"/>
      <c r="FA27" s="143"/>
      <c r="FB27" s="143"/>
      <c r="FC27" s="143"/>
      <c r="FD27" s="143"/>
      <c r="FE27" s="143"/>
      <c r="FF27" s="143"/>
      <c r="FG27" s="143"/>
      <c r="FH27" s="143"/>
      <c r="FI27" s="143"/>
      <c r="FJ27" s="143"/>
      <c r="FK27" s="143"/>
      <c r="FL27" s="143"/>
      <c r="FM27" s="143"/>
      <c r="FN27" s="143"/>
      <c r="FO27" s="143"/>
      <c r="FP27" s="143"/>
      <c r="FQ27" s="143"/>
      <c r="FR27" s="143"/>
      <c r="FS27" s="143"/>
      <c r="FT27" s="143"/>
      <c r="FU27" s="143"/>
      <c r="FV27" s="143"/>
      <c r="FW27" s="143"/>
      <c r="FX27" s="143"/>
      <c r="FY27" s="143"/>
      <c r="FZ27" s="143"/>
      <c r="GA27" s="143"/>
      <c r="GB27" s="143"/>
      <c r="GC27" s="143"/>
      <c r="GD27" s="143"/>
      <c r="GE27" s="143"/>
      <c r="GF27" s="143"/>
      <c r="GG27" s="143"/>
      <c r="GH27" s="143"/>
      <c r="GI27" s="143"/>
      <c r="GJ27" s="143"/>
      <c r="GK27" s="143"/>
      <c r="GL27" s="143"/>
      <c r="GM27" s="143"/>
      <c r="GN27" s="143"/>
      <c r="GO27" s="143"/>
      <c r="GP27" s="143"/>
      <c r="GQ27" s="143"/>
      <c r="GR27" s="143"/>
      <c r="GS27" s="143"/>
      <c r="GT27" s="143"/>
      <c r="GU27" s="143"/>
      <c r="GV27" s="143"/>
      <c r="GW27" s="143"/>
      <c r="GX27" s="143"/>
      <c r="GY27" s="143"/>
      <c r="GZ27" s="143"/>
      <c r="HA27" s="143"/>
      <c r="HB27" s="143"/>
      <c r="HC27" s="143"/>
      <c r="HD27" s="143"/>
      <c r="HE27" s="143"/>
      <c r="HF27" s="143"/>
      <c r="HG27" s="143"/>
      <c r="HH27" s="143"/>
      <c r="HI27" s="143"/>
      <c r="HJ27" s="143"/>
      <c r="HK27" s="143"/>
      <c r="HL27" s="143"/>
      <c r="HM27" s="143"/>
      <c r="HN27" s="143"/>
      <c r="HO27" s="143"/>
      <c r="HP27" s="143"/>
      <c r="HQ27" s="143"/>
      <c r="HR27" s="143"/>
      <c r="HS27" s="143"/>
      <c r="HT27" s="143"/>
      <c r="HU27" s="143"/>
      <c r="HV27" s="143"/>
      <c r="HW27" s="143"/>
      <c r="HX27" s="143"/>
      <c r="HY27" s="143"/>
      <c r="HZ27" s="143"/>
      <c r="IA27" s="143"/>
      <c r="IB27" s="143"/>
      <c r="IC27" s="143"/>
      <c r="ID27" s="143"/>
      <c r="IE27" s="143"/>
      <c r="IF27" s="143"/>
      <c r="IG27" s="143"/>
      <c r="IH27" s="143"/>
      <c r="II27" s="143"/>
      <c r="IJ27" s="143"/>
      <c r="IK27" s="143"/>
      <c r="IL27" s="143"/>
      <c r="IM27" s="143"/>
      <c r="IN27" s="143"/>
      <c r="IO27" s="143"/>
      <c r="IP27" s="143"/>
      <c r="IQ27" s="143"/>
      <c r="IR27" s="143"/>
      <c r="IS27" s="143"/>
      <c r="IT27" s="143"/>
      <c r="IU27" s="143"/>
      <c r="IV27" s="143"/>
      <c r="IW27" s="143"/>
      <c r="IX27" s="143"/>
      <c r="IY27" s="143"/>
      <c r="IZ27" s="143"/>
      <c r="JA27" s="143"/>
      <c r="JB27" s="143"/>
    </row>
    <row r="28" spans="1:262" ht="19.5">
      <c r="A28" s="381"/>
      <c r="B28" s="381"/>
      <c r="C28" s="381"/>
      <c r="D28" s="381"/>
      <c r="E28" s="381"/>
      <c r="F28" s="381"/>
      <c r="G28" s="381"/>
      <c r="H28" s="382"/>
      <c r="I28" s="382"/>
      <c r="J28" s="381"/>
      <c r="K28" s="381"/>
      <c r="L28" s="381"/>
      <c r="M28" s="382"/>
      <c r="N28" s="382"/>
      <c r="O28" s="267"/>
      <c r="P28" s="143"/>
      <c r="Q28" s="143"/>
      <c r="R28" s="143"/>
      <c r="S28" s="143"/>
      <c r="T28" s="143"/>
      <c r="U28" s="268"/>
      <c r="V28" s="269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  <c r="BM28" s="143"/>
      <c r="BN28" s="143"/>
      <c r="BO28" s="143"/>
      <c r="BP28" s="143"/>
      <c r="BQ28" s="143"/>
      <c r="BR28" s="143"/>
      <c r="BS28" s="143"/>
      <c r="BT28" s="143"/>
      <c r="BU28" s="143"/>
      <c r="BV28" s="143"/>
      <c r="BW28" s="143"/>
      <c r="BX28" s="143"/>
      <c r="BY28" s="143"/>
      <c r="BZ28" s="143"/>
      <c r="CA28" s="143"/>
      <c r="CB28" s="143"/>
      <c r="CC28" s="143"/>
      <c r="CD28" s="143"/>
      <c r="CE28" s="143"/>
      <c r="CF28" s="143"/>
      <c r="CG28" s="143"/>
      <c r="CH28" s="143"/>
      <c r="CI28" s="143"/>
      <c r="CJ28" s="143"/>
      <c r="CK28" s="143"/>
      <c r="CL28" s="143"/>
      <c r="CM28" s="143"/>
      <c r="CN28" s="143"/>
      <c r="CO28" s="143"/>
      <c r="CP28" s="143"/>
      <c r="CQ28" s="143"/>
      <c r="CR28" s="143"/>
      <c r="CS28" s="143"/>
      <c r="CT28" s="143"/>
      <c r="CU28" s="143"/>
      <c r="CV28" s="143"/>
      <c r="CW28" s="143"/>
      <c r="CX28" s="143"/>
      <c r="CY28" s="143"/>
      <c r="CZ28" s="143"/>
      <c r="DA28" s="143"/>
      <c r="DB28" s="143"/>
      <c r="DC28" s="143"/>
      <c r="DD28" s="143"/>
      <c r="DE28" s="143"/>
      <c r="DF28" s="143"/>
      <c r="DG28" s="143"/>
      <c r="DH28" s="143"/>
      <c r="DI28" s="143"/>
      <c r="DJ28" s="143"/>
      <c r="DK28" s="143"/>
      <c r="DL28" s="143"/>
      <c r="DM28" s="143"/>
      <c r="DN28" s="143"/>
      <c r="DO28" s="143"/>
      <c r="DP28" s="143"/>
      <c r="DQ28" s="143"/>
      <c r="DR28" s="143"/>
      <c r="DS28" s="143"/>
      <c r="DT28" s="143"/>
      <c r="DU28" s="143"/>
      <c r="DV28" s="143"/>
      <c r="DW28" s="143"/>
      <c r="DX28" s="143"/>
      <c r="DY28" s="143"/>
      <c r="DZ28" s="143"/>
      <c r="EA28" s="143"/>
      <c r="EB28" s="143"/>
      <c r="EC28" s="143"/>
      <c r="ED28" s="143"/>
      <c r="EE28" s="143"/>
      <c r="EF28" s="143"/>
      <c r="EG28" s="143"/>
      <c r="EH28" s="143"/>
      <c r="EI28" s="143"/>
      <c r="EJ28" s="143"/>
      <c r="EK28" s="143"/>
      <c r="EL28" s="143"/>
      <c r="EM28" s="143"/>
      <c r="EN28" s="143"/>
      <c r="EO28" s="143"/>
      <c r="EP28" s="143"/>
      <c r="EQ28" s="143"/>
      <c r="ER28" s="143"/>
      <c r="ES28" s="143"/>
      <c r="ET28" s="143"/>
      <c r="EU28" s="143"/>
      <c r="EV28" s="143"/>
      <c r="EW28" s="143"/>
      <c r="EX28" s="143"/>
      <c r="EY28" s="143"/>
      <c r="EZ28" s="143"/>
      <c r="FA28" s="143"/>
      <c r="FB28" s="143"/>
      <c r="FC28" s="143"/>
      <c r="FD28" s="143"/>
      <c r="FE28" s="143"/>
      <c r="FF28" s="143"/>
      <c r="FG28" s="143"/>
      <c r="FH28" s="143"/>
      <c r="FI28" s="143"/>
      <c r="FJ28" s="143"/>
      <c r="FK28" s="143"/>
      <c r="FL28" s="143"/>
      <c r="FM28" s="143"/>
      <c r="FN28" s="143"/>
      <c r="FO28" s="143"/>
      <c r="FP28" s="143"/>
      <c r="FQ28" s="143"/>
      <c r="FR28" s="143"/>
      <c r="FS28" s="143"/>
      <c r="FT28" s="143"/>
      <c r="FU28" s="143"/>
      <c r="FV28" s="143"/>
      <c r="FW28" s="143"/>
      <c r="FX28" s="143"/>
      <c r="FY28" s="143"/>
      <c r="FZ28" s="143"/>
      <c r="GA28" s="143"/>
      <c r="GB28" s="143"/>
      <c r="GC28" s="143"/>
      <c r="GD28" s="143"/>
      <c r="GE28" s="143"/>
      <c r="GF28" s="143"/>
      <c r="GG28" s="143"/>
      <c r="GH28" s="143"/>
      <c r="GI28" s="143"/>
      <c r="GJ28" s="143"/>
      <c r="GK28" s="143"/>
      <c r="GL28" s="143"/>
      <c r="GM28" s="143"/>
      <c r="GN28" s="143"/>
      <c r="GO28" s="143"/>
      <c r="GP28" s="143"/>
      <c r="GQ28" s="143"/>
      <c r="GR28" s="143"/>
      <c r="GS28" s="143"/>
      <c r="GT28" s="143"/>
      <c r="GU28" s="143"/>
      <c r="GV28" s="143"/>
      <c r="GW28" s="143"/>
      <c r="GX28" s="143"/>
      <c r="GY28" s="143"/>
      <c r="GZ28" s="143"/>
      <c r="HA28" s="143"/>
      <c r="HB28" s="143"/>
      <c r="HC28" s="143"/>
      <c r="HD28" s="143"/>
      <c r="HE28" s="143"/>
      <c r="HF28" s="143"/>
      <c r="HG28" s="143"/>
      <c r="HH28" s="143"/>
      <c r="HI28" s="143"/>
      <c r="HJ28" s="143"/>
      <c r="HK28" s="143"/>
      <c r="HL28" s="143"/>
      <c r="HM28" s="143"/>
      <c r="HN28" s="143"/>
      <c r="HO28" s="143"/>
      <c r="HP28" s="143"/>
      <c r="HQ28" s="143"/>
      <c r="HR28" s="143"/>
      <c r="HS28" s="143"/>
      <c r="HT28" s="143"/>
      <c r="HU28" s="143"/>
      <c r="HV28" s="143"/>
      <c r="HW28" s="143"/>
      <c r="HX28" s="143"/>
      <c r="HY28" s="143"/>
      <c r="HZ28" s="143"/>
      <c r="IA28" s="143"/>
      <c r="IB28" s="143"/>
      <c r="IC28" s="143"/>
      <c r="ID28" s="143"/>
      <c r="IE28" s="143"/>
      <c r="IF28" s="143"/>
      <c r="IG28" s="143"/>
      <c r="IH28" s="143"/>
      <c r="II28" s="143"/>
      <c r="IJ28" s="143"/>
      <c r="IK28" s="143"/>
      <c r="IL28" s="143"/>
      <c r="IM28" s="143"/>
      <c r="IN28" s="143"/>
      <c r="IO28" s="143"/>
      <c r="IP28" s="143"/>
      <c r="IQ28" s="143"/>
      <c r="IR28" s="143"/>
      <c r="IS28" s="143"/>
      <c r="IT28" s="143"/>
      <c r="IU28" s="143"/>
      <c r="IV28" s="143"/>
      <c r="IW28" s="143"/>
      <c r="IX28" s="143"/>
      <c r="IY28" s="143"/>
      <c r="IZ28" s="143"/>
      <c r="JA28" s="143"/>
      <c r="JB28" s="143"/>
    </row>
    <row r="29" spans="1:262" ht="19.5">
      <c r="A29" s="381"/>
      <c r="B29" s="381"/>
      <c r="C29" s="381"/>
      <c r="D29" s="381"/>
      <c r="E29" s="381"/>
      <c r="F29" s="381"/>
      <c r="G29" s="381"/>
      <c r="H29" s="382"/>
      <c r="I29" s="382"/>
      <c r="J29" s="381"/>
      <c r="K29" s="381"/>
      <c r="L29" s="381"/>
      <c r="M29" s="382"/>
      <c r="N29" s="382"/>
      <c r="O29" s="267"/>
      <c r="P29" s="275"/>
      <c r="Q29" s="275"/>
      <c r="R29" s="275"/>
      <c r="S29" s="275"/>
      <c r="T29" s="143"/>
      <c r="U29" s="268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43"/>
      <c r="BJ29" s="143"/>
      <c r="BK29" s="143"/>
      <c r="BL29" s="143"/>
      <c r="BM29" s="143"/>
      <c r="BN29" s="143"/>
      <c r="BO29" s="143"/>
      <c r="BP29" s="143"/>
      <c r="BQ29" s="143"/>
      <c r="BR29" s="143"/>
      <c r="BS29" s="143"/>
      <c r="BT29" s="143"/>
      <c r="BU29" s="143"/>
      <c r="BV29" s="143"/>
      <c r="BW29" s="143"/>
      <c r="BX29" s="143"/>
      <c r="BY29" s="143"/>
      <c r="BZ29" s="143"/>
      <c r="CA29" s="143"/>
      <c r="CB29" s="143"/>
      <c r="CC29" s="143"/>
      <c r="CD29" s="143"/>
      <c r="CE29" s="143"/>
      <c r="CF29" s="143"/>
      <c r="CG29" s="143"/>
      <c r="CH29" s="143"/>
      <c r="CI29" s="143"/>
      <c r="CJ29" s="143"/>
      <c r="CK29" s="143"/>
      <c r="CL29" s="143"/>
      <c r="CM29" s="143"/>
      <c r="CN29" s="143"/>
      <c r="CO29" s="143"/>
      <c r="CP29" s="143"/>
      <c r="CQ29" s="143"/>
      <c r="CR29" s="143"/>
      <c r="CS29" s="143"/>
      <c r="CT29" s="143"/>
      <c r="CU29" s="143"/>
      <c r="CV29" s="143"/>
      <c r="CW29" s="143"/>
      <c r="CX29" s="143"/>
      <c r="CY29" s="143"/>
      <c r="CZ29" s="143"/>
      <c r="DA29" s="143"/>
      <c r="DB29" s="143"/>
      <c r="DC29" s="143"/>
      <c r="DD29" s="143"/>
      <c r="DE29" s="143"/>
      <c r="DF29" s="143"/>
      <c r="DG29" s="143"/>
      <c r="DH29" s="143"/>
      <c r="DI29" s="143"/>
      <c r="DJ29" s="143"/>
      <c r="DK29" s="143"/>
      <c r="DL29" s="143"/>
      <c r="DM29" s="143"/>
      <c r="DN29" s="143"/>
      <c r="DO29" s="143"/>
      <c r="DP29" s="143"/>
      <c r="DQ29" s="143"/>
      <c r="DR29" s="143"/>
      <c r="DS29" s="143"/>
      <c r="DT29" s="143"/>
      <c r="DU29" s="143"/>
      <c r="DV29" s="143"/>
      <c r="DW29" s="143"/>
      <c r="DX29" s="143"/>
      <c r="DY29" s="143"/>
      <c r="DZ29" s="143"/>
      <c r="EA29" s="143"/>
      <c r="EB29" s="143"/>
      <c r="EC29" s="143"/>
      <c r="ED29" s="143"/>
      <c r="EE29" s="143"/>
      <c r="EF29" s="143"/>
      <c r="EG29" s="143"/>
      <c r="EH29" s="143"/>
      <c r="EI29" s="143"/>
      <c r="EJ29" s="143"/>
      <c r="EK29" s="143"/>
      <c r="EL29" s="143"/>
      <c r="EM29" s="143"/>
      <c r="EN29" s="143"/>
      <c r="EO29" s="143"/>
      <c r="EP29" s="143"/>
      <c r="EQ29" s="143"/>
      <c r="ER29" s="143"/>
      <c r="ES29" s="143"/>
      <c r="ET29" s="143"/>
      <c r="EU29" s="143"/>
      <c r="EV29" s="143"/>
      <c r="EW29" s="143"/>
      <c r="EX29" s="143"/>
      <c r="EY29" s="143"/>
      <c r="EZ29" s="143"/>
      <c r="FA29" s="143"/>
      <c r="FB29" s="143"/>
      <c r="FC29" s="143"/>
      <c r="FD29" s="143"/>
      <c r="FE29" s="143"/>
      <c r="FF29" s="143"/>
      <c r="FG29" s="143"/>
      <c r="FH29" s="143"/>
      <c r="FI29" s="143"/>
      <c r="FJ29" s="143"/>
      <c r="FK29" s="143"/>
      <c r="FL29" s="143"/>
      <c r="FM29" s="143"/>
      <c r="FN29" s="143"/>
      <c r="FO29" s="143"/>
      <c r="FP29" s="143"/>
      <c r="FQ29" s="143"/>
      <c r="FR29" s="143"/>
      <c r="FS29" s="143"/>
      <c r="FT29" s="143"/>
      <c r="FU29" s="143"/>
      <c r="FV29" s="143"/>
      <c r="FW29" s="143"/>
      <c r="FX29" s="143"/>
      <c r="FY29" s="143"/>
      <c r="FZ29" s="143"/>
      <c r="GA29" s="143"/>
      <c r="GB29" s="143"/>
      <c r="GC29" s="143"/>
      <c r="GD29" s="143"/>
      <c r="GE29" s="143"/>
      <c r="GF29" s="143"/>
      <c r="GG29" s="143"/>
      <c r="GH29" s="143"/>
      <c r="GI29" s="143"/>
      <c r="GJ29" s="143"/>
      <c r="GK29" s="143"/>
      <c r="GL29" s="143"/>
      <c r="GM29" s="143"/>
      <c r="GN29" s="143"/>
      <c r="GO29" s="143"/>
      <c r="GP29" s="143"/>
      <c r="GQ29" s="143"/>
      <c r="GR29" s="143"/>
      <c r="GS29" s="143"/>
      <c r="GT29" s="143"/>
      <c r="GU29" s="143"/>
      <c r="GV29" s="143"/>
      <c r="GW29" s="143"/>
      <c r="GX29" s="143"/>
      <c r="GY29" s="143"/>
      <c r="GZ29" s="143"/>
      <c r="HA29" s="143"/>
      <c r="HB29" s="143"/>
      <c r="HC29" s="143"/>
      <c r="HD29" s="143"/>
      <c r="HE29" s="143"/>
      <c r="HF29" s="143"/>
      <c r="HG29" s="143"/>
      <c r="HH29" s="143"/>
      <c r="HI29" s="143"/>
      <c r="HJ29" s="143"/>
      <c r="HK29" s="143"/>
      <c r="HL29" s="143"/>
      <c r="HM29" s="143"/>
      <c r="HN29" s="143"/>
      <c r="HO29" s="143"/>
      <c r="HP29" s="143"/>
      <c r="HQ29" s="143"/>
      <c r="HR29" s="143"/>
      <c r="HS29" s="143"/>
      <c r="HT29" s="143"/>
      <c r="HU29" s="143"/>
      <c r="HV29" s="143"/>
      <c r="HW29" s="143"/>
      <c r="HX29" s="143"/>
      <c r="HY29" s="143"/>
      <c r="HZ29" s="143"/>
      <c r="IA29" s="143"/>
      <c r="IB29" s="143"/>
      <c r="IC29" s="143"/>
      <c r="ID29" s="143"/>
      <c r="IE29" s="143"/>
      <c r="IF29" s="143"/>
      <c r="IG29" s="143"/>
      <c r="IH29" s="143"/>
      <c r="II29" s="143"/>
      <c r="IJ29" s="143"/>
      <c r="IK29" s="143"/>
      <c r="IL29" s="143"/>
      <c r="IM29" s="143"/>
      <c r="IN29" s="143"/>
      <c r="IO29" s="143"/>
      <c r="IP29" s="143"/>
      <c r="IQ29" s="143"/>
      <c r="IR29" s="143"/>
      <c r="IS29" s="143"/>
      <c r="IT29" s="143"/>
      <c r="IU29" s="143"/>
      <c r="IV29" s="143"/>
      <c r="IW29" s="143"/>
      <c r="IX29" s="143"/>
      <c r="IY29" s="143"/>
      <c r="IZ29" s="143"/>
      <c r="JA29" s="143"/>
      <c r="JB29" s="143"/>
    </row>
    <row r="30" spans="1:262" ht="19.5">
      <c r="A30" s="381"/>
      <c r="B30" s="381"/>
      <c r="C30" s="381"/>
      <c r="D30" s="381"/>
      <c r="E30" s="381"/>
      <c r="F30" s="381"/>
      <c r="G30" s="381"/>
      <c r="H30" s="382"/>
      <c r="I30" s="382"/>
      <c r="J30" s="381"/>
      <c r="K30" s="381"/>
      <c r="L30" s="381"/>
      <c r="M30" s="382"/>
      <c r="N30" s="382"/>
      <c r="O30" s="267"/>
      <c r="P30" s="143"/>
      <c r="Q30" s="143"/>
      <c r="R30" s="143"/>
      <c r="S30" s="143"/>
      <c r="T30" s="143"/>
      <c r="U30" s="273"/>
      <c r="V30" s="143"/>
      <c r="W30" s="143"/>
      <c r="Y30" s="251"/>
      <c r="Z30" s="251"/>
      <c r="AA30" s="251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  <c r="BP30" s="143"/>
      <c r="BQ30" s="143"/>
      <c r="BR30" s="143"/>
      <c r="BS30" s="143"/>
      <c r="BT30" s="143"/>
      <c r="BU30" s="143"/>
      <c r="BV30" s="143"/>
      <c r="BW30" s="143"/>
      <c r="BX30" s="143"/>
      <c r="BY30" s="143"/>
      <c r="BZ30" s="143"/>
      <c r="CA30" s="143"/>
      <c r="CB30" s="143"/>
      <c r="CC30" s="143"/>
      <c r="CD30" s="143"/>
      <c r="CE30" s="143"/>
      <c r="CF30" s="143"/>
      <c r="CG30" s="143"/>
      <c r="CH30" s="143"/>
      <c r="CI30" s="143"/>
      <c r="CJ30" s="143"/>
      <c r="CK30" s="143"/>
      <c r="CL30" s="143"/>
      <c r="CM30" s="143"/>
      <c r="CN30" s="143"/>
      <c r="CO30" s="143"/>
      <c r="CP30" s="143"/>
      <c r="CQ30" s="143"/>
      <c r="CR30" s="143"/>
      <c r="CS30" s="143"/>
      <c r="CT30" s="143"/>
      <c r="CU30" s="143"/>
      <c r="CV30" s="143"/>
      <c r="CW30" s="143"/>
      <c r="CX30" s="143"/>
      <c r="CY30" s="143"/>
      <c r="CZ30" s="143"/>
      <c r="DA30" s="143"/>
      <c r="DB30" s="143"/>
      <c r="DC30" s="143"/>
      <c r="DD30" s="143"/>
      <c r="DE30" s="143"/>
      <c r="DF30" s="143"/>
      <c r="DG30" s="143"/>
      <c r="DH30" s="143"/>
      <c r="DI30" s="143"/>
      <c r="DJ30" s="143"/>
      <c r="DK30" s="143"/>
      <c r="DL30" s="143"/>
      <c r="DM30" s="143"/>
      <c r="DN30" s="143"/>
      <c r="DO30" s="143"/>
      <c r="DP30" s="143"/>
      <c r="DQ30" s="143"/>
      <c r="DR30" s="143"/>
      <c r="DS30" s="143"/>
      <c r="DT30" s="143"/>
      <c r="DU30" s="143"/>
      <c r="DV30" s="143"/>
      <c r="DW30" s="143"/>
      <c r="DX30" s="143"/>
      <c r="DY30" s="143"/>
      <c r="DZ30" s="143"/>
      <c r="EA30" s="143"/>
      <c r="EB30" s="143"/>
      <c r="EC30" s="143"/>
      <c r="ED30" s="143"/>
      <c r="EE30" s="143"/>
      <c r="EF30" s="143"/>
      <c r="EG30" s="143"/>
      <c r="EH30" s="143"/>
      <c r="EI30" s="143"/>
      <c r="EJ30" s="143"/>
      <c r="EK30" s="143"/>
      <c r="EL30" s="143"/>
      <c r="EM30" s="143"/>
      <c r="EN30" s="143"/>
      <c r="EO30" s="143"/>
      <c r="EP30" s="143"/>
      <c r="EQ30" s="143"/>
      <c r="ER30" s="143"/>
      <c r="ES30" s="143"/>
      <c r="ET30" s="143"/>
      <c r="EU30" s="143"/>
      <c r="EV30" s="143"/>
      <c r="EW30" s="143"/>
      <c r="EX30" s="143"/>
      <c r="EY30" s="143"/>
      <c r="EZ30" s="143"/>
      <c r="FA30" s="143"/>
      <c r="FB30" s="143"/>
      <c r="FC30" s="143"/>
      <c r="FD30" s="143"/>
      <c r="FE30" s="143"/>
      <c r="FF30" s="143"/>
      <c r="FG30" s="143"/>
      <c r="FH30" s="143"/>
      <c r="FI30" s="143"/>
      <c r="FJ30" s="143"/>
      <c r="FK30" s="143"/>
      <c r="FL30" s="143"/>
      <c r="FM30" s="143"/>
      <c r="FN30" s="143"/>
      <c r="FO30" s="143"/>
      <c r="FP30" s="143"/>
      <c r="FQ30" s="143"/>
      <c r="FR30" s="143"/>
      <c r="FS30" s="143"/>
      <c r="FT30" s="143"/>
      <c r="FU30" s="143"/>
      <c r="FV30" s="143"/>
      <c r="FW30" s="143"/>
      <c r="FX30" s="143"/>
      <c r="FY30" s="143"/>
      <c r="FZ30" s="143"/>
      <c r="GA30" s="143"/>
      <c r="GB30" s="143"/>
      <c r="GC30" s="143"/>
      <c r="GD30" s="143"/>
      <c r="GE30" s="143"/>
      <c r="GF30" s="143"/>
      <c r="GG30" s="143"/>
      <c r="GH30" s="143"/>
      <c r="GI30" s="143"/>
      <c r="GJ30" s="143"/>
      <c r="GK30" s="143"/>
      <c r="GL30" s="143"/>
      <c r="GM30" s="143"/>
      <c r="GN30" s="143"/>
      <c r="GO30" s="143"/>
      <c r="GP30" s="143"/>
      <c r="GQ30" s="143"/>
      <c r="GR30" s="143"/>
      <c r="GS30" s="143"/>
      <c r="GT30" s="143"/>
      <c r="GU30" s="143"/>
      <c r="GV30" s="143"/>
      <c r="GW30" s="143"/>
      <c r="GX30" s="143"/>
      <c r="GY30" s="143"/>
      <c r="GZ30" s="143"/>
      <c r="HA30" s="143"/>
      <c r="HB30" s="143"/>
      <c r="HC30" s="143"/>
      <c r="HD30" s="143"/>
      <c r="HE30" s="143"/>
      <c r="HF30" s="143"/>
      <c r="HG30" s="143"/>
      <c r="HH30" s="143"/>
      <c r="HI30" s="143"/>
      <c r="HJ30" s="143"/>
      <c r="HK30" s="143"/>
      <c r="HL30" s="143"/>
      <c r="HM30" s="143"/>
      <c r="HN30" s="143"/>
      <c r="HO30" s="143"/>
      <c r="HP30" s="143"/>
      <c r="HQ30" s="143"/>
      <c r="HR30" s="143"/>
      <c r="HS30" s="143"/>
      <c r="HT30" s="143"/>
      <c r="HU30" s="143"/>
      <c r="HV30" s="143"/>
      <c r="HW30" s="143"/>
      <c r="HX30" s="143"/>
      <c r="HY30" s="143"/>
      <c r="HZ30" s="143"/>
      <c r="IA30" s="143"/>
      <c r="IB30" s="143"/>
      <c r="IC30" s="143"/>
      <c r="ID30" s="143"/>
      <c r="IE30" s="143"/>
      <c r="IF30" s="143"/>
      <c r="IG30" s="143"/>
      <c r="IH30" s="143"/>
      <c r="II30" s="143"/>
      <c r="IJ30" s="143"/>
      <c r="IK30" s="143"/>
      <c r="IL30" s="143"/>
      <c r="IM30" s="143"/>
      <c r="IN30" s="143"/>
      <c r="IO30" s="143"/>
      <c r="IP30" s="143"/>
      <c r="IQ30" s="143"/>
      <c r="IR30" s="143"/>
      <c r="IS30" s="143"/>
      <c r="IT30" s="143"/>
      <c r="IU30" s="143"/>
      <c r="IV30" s="143"/>
      <c r="IW30" s="143"/>
      <c r="IX30" s="143"/>
      <c r="IY30" s="143"/>
      <c r="IZ30" s="143"/>
      <c r="JA30" s="143"/>
      <c r="JB30" s="143"/>
    </row>
    <row r="31" spans="1:262" ht="19.5">
      <c r="A31" s="381"/>
      <c r="B31" s="381"/>
      <c r="C31" s="381"/>
      <c r="D31" s="381"/>
      <c r="E31" s="381"/>
      <c r="F31" s="381"/>
      <c r="G31" s="381"/>
      <c r="H31" s="382"/>
      <c r="I31" s="382"/>
      <c r="J31" s="381"/>
      <c r="K31" s="381"/>
      <c r="L31" s="381"/>
      <c r="M31" s="382"/>
      <c r="N31" s="382"/>
      <c r="O31" s="267"/>
      <c r="P31" s="143"/>
      <c r="Q31" s="143"/>
      <c r="R31" s="143"/>
      <c r="S31" s="143"/>
      <c r="T31" s="143"/>
      <c r="U31" s="268"/>
      <c r="V31" s="143"/>
      <c r="W31" s="143"/>
      <c r="Y31" s="251"/>
      <c r="Z31" s="251"/>
      <c r="AA31" s="251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  <c r="BO31" s="143"/>
      <c r="BP31" s="143"/>
      <c r="BQ31" s="143"/>
      <c r="BR31" s="143"/>
      <c r="BS31" s="143"/>
      <c r="BT31" s="143"/>
      <c r="BU31" s="143"/>
      <c r="BV31" s="143"/>
      <c r="BW31" s="143"/>
      <c r="BX31" s="143"/>
      <c r="BY31" s="143"/>
      <c r="BZ31" s="143"/>
      <c r="CA31" s="143"/>
      <c r="CB31" s="143"/>
      <c r="CC31" s="143"/>
      <c r="CD31" s="143"/>
      <c r="CE31" s="143"/>
      <c r="CF31" s="143"/>
      <c r="CG31" s="143"/>
      <c r="CH31" s="143"/>
      <c r="CI31" s="143"/>
      <c r="CJ31" s="143"/>
      <c r="CK31" s="143"/>
      <c r="CL31" s="143"/>
      <c r="CM31" s="143"/>
      <c r="CN31" s="143"/>
      <c r="CO31" s="143"/>
      <c r="CP31" s="143"/>
      <c r="CQ31" s="143"/>
      <c r="CR31" s="143"/>
      <c r="CS31" s="143"/>
      <c r="CT31" s="143"/>
      <c r="CU31" s="143"/>
      <c r="CV31" s="143"/>
      <c r="CW31" s="143"/>
      <c r="CX31" s="143"/>
      <c r="CY31" s="143"/>
      <c r="CZ31" s="143"/>
      <c r="DA31" s="143"/>
      <c r="DB31" s="143"/>
      <c r="DC31" s="143"/>
      <c r="DD31" s="143"/>
      <c r="DE31" s="143"/>
      <c r="DF31" s="143"/>
      <c r="DG31" s="143"/>
      <c r="DH31" s="143"/>
      <c r="DI31" s="143"/>
      <c r="DJ31" s="143"/>
      <c r="DK31" s="143"/>
      <c r="DL31" s="143"/>
      <c r="DM31" s="143"/>
      <c r="DN31" s="143"/>
      <c r="DO31" s="143"/>
      <c r="DP31" s="143"/>
      <c r="DQ31" s="143"/>
      <c r="DR31" s="143"/>
      <c r="DS31" s="143"/>
      <c r="DT31" s="143"/>
      <c r="DU31" s="143"/>
      <c r="DV31" s="143"/>
      <c r="DW31" s="143"/>
      <c r="DX31" s="143"/>
      <c r="DY31" s="143"/>
      <c r="DZ31" s="143"/>
      <c r="EA31" s="143"/>
      <c r="EB31" s="143"/>
      <c r="EC31" s="143"/>
      <c r="ED31" s="143"/>
      <c r="EE31" s="143"/>
      <c r="EF31" s="143"/>
      <c r="EG31" s="143"/>
      <c r="EH31" s="143"/>
      <c r="EI31" s="143"/>
      <c r="EJ31" s="143"/>
      <c r="EK31" s="143"/>
      <c r="EL31" s="143"/>
      <c r="EM31" s="143"/>
      <c r="EN31" s="143"/>
      <c r="EO31" s="143"/>
      <c r="EP31" s="143"/>
      <c r="EQ31" s="143"/>
      <c r="ER31" s="143"/>
      <c r="ES31" s="143"/>
      <c r="ET31" s="143"/>
      <c r="EU31" s="143"/>
      <c r="EV31" s="143"/>
      <c r="EW31" s="143"/>
      <c r="EX31" s="143"/>
      <c r="EY31" s="143"/>
      <c r="EZ31" s="143"/>
      <c r="FA31" s="143"/>
      <c r="FB31" s="143"/>
      <c r="FC31" s="143"/>
      <c r="FD31" s="143"/>
      <c r="FE31" s="143"/>
      <c r="FF31" s="143"/>
      <c r="FG31" s="143"/>
      <c r="FH31" s="143"/>
      <c r="FI31" s="143"/>
      <c r="FJ31" s="143"/>
      <c r="FK31" s="143"/>
      <c r="FL31" s="143"/>
      <c r="FM31" s="143"/>
      <c r="FN31" s="143"/>
      <c r="FO31" s="143"/>
      <c r="FP31" s="143"/>
      <c r="FQ31" s="143"/>
      <c r="FR31" s="143"/>
      <c r="FS31" s="143"/>
      <c r="FT31" s="143"/>
      <c r="FU31" s="143"/>
      <c r="FV31" s="143"/>
      <c r="FW31" s="143"/>
      <c r="FX31" s="143"/>
      <c r="FY31" s="143"/>
      <c r="FZ31" s="143"/>
      <c r="GA31" s="143"/>
      <c r="GB31" s="143"/>
      <c r="GC31" s="143"/>
      <c r="GD31" s="143"/>
      <c r="GE31" s="143"/>
      <c r="GF31" s="143"/>
      <c r="GG31" s="143"/>
      <c r="GH31" s="143"/>
      <c r="GI31" s="143"/>
      <c r="GJ31" s="143"/>
      <c r="GK31" s="143"/>
      <c r="GL31" s="143"/>
      <c r="GM31" s="143"/>
      <c r="GN31" s="143"/>
      <c r="GO31" s="143"/>
      <c r="GP31" s="143"/>
      <c r="GQ31" s="143"/>
      <c r="GR31" s="143"/>
      <c r="GS31" s="143"/>
      <c r="GT31" s="143"/>
      <c r="GU31" s="143"/>
      <c r="GV31" s="143"/>
      <c r="GW31" s="143"/>
      <c r="GX31" s="143"/>
      <c r="GY31" s="143"/>
      <c r="GZ31" s="143"/>
      <c r="HA31" s="143"/>
      <c r="HB31" s="143"/>
      <c r="HC31" s="143"/>
      <c r="HD31" s="143"/>
      <c r="HE31" s="143"/>
      <c r="HF31" s="143"/>
      <c r="HG31" s="143"/>
      <c r="HH31" s="143"/>
      <c r="HI31" s="143"/>
      <c r="HJ31" s="143"/>
      <c r="HK31" s="143"/>
      <c r="HL31" s="143"/>
      <c r="HM31" s="143"/>
      <c r="HN31" s="143"/>
      <c r="HO31" s="143"/>
      <c r="HP31" s="143"/>
      <c r="HQ31" s="143"/>
      <c r="HR31" s="143"/>
      <c r="HS31" s="143"/>
      <c r="HT31" s="143"/>
      <c r="HU31" s="143"/>
      <c r="HV31" s="143"/>
      <c r="HW31" s="143"/>
      <c r="HX31" s="143"/>
      <c r="HY31" s="143"/>
      <c r="HZ31" s="143"/>
      <c r="IA31" s="143"/>
      <c r="IB31" s="143"/>
      <c r="IC31" s="143"/>
      <c r="ID31" s="143"/>
      <c r="IE31" s="143"/>
      <c r="IF31" s="143"/>
      <c r="IG31" s="143"/>
      <c r="IH31" s="143"/>
      <c r="II31" s="143"/>
      <c r="IJ31" s="143"/>
      <c r="IK31" s="143"/>
      <c r="IL31" s="143"/>
      <c r="IM31" s="143"/>
      <c r="IN31" s="143"/>
      <c r="IO31" s="143"/>
      <c r="IP31" s="143"/>
      <c r="IQ31" s="143"/>
      <c r="IR31" s="143"/>
      <c r="IS31" s="143"/>
      <c r="IT31" s="143"/>
      <c r="IU31" s="143"/>
      <c r="IV31" s="143"/>
      <c r="IW31" s="143"/>
      <c r="IX31" s="143"/>
      <c r="IY31" s="143"/>
      <c r="IZ31" s="143"/>
      <c r="JA31" s="143"/>
      <c r="JB31" s="143"/>
    </row>
    <row r="32" spans="1:262" ht="19.5">
      <c r="A32" s="1592"/>
      <c r="B32" s="1592"/>
      <c r="C32" s="381"/>
      <c r="D32" s="381"/>
      <c r="E32" s="381"/>
      <c r="F32" s="381"/>
      <c r="G32" s="381"/>
      <c r="H32" s="382"/>
      <c r="I32" s="382"/>
      <c r="J32" s="381"/>
      <c r="K32" s="381"/>
      <c r="L32" s="381"/>
      <c r="M32" s="382"/>
      <c r="N32" s="382"/>
      <c r="O32" s="267"/>
      <c r="P32" s="143"/>
      <c r="Q32" s="143"/>
      <c r="R32" s="143"/>
      <c r="S32" s="143"/>
      <c r="T32" s="143"/>
      <c r="U32" s="268"/>
      <c r="V32" s="143"/>
      <c r="W32" s="143"/>
      <c r="X32" s="246"/>
      <c r="Y32" s="254"/>
      <c r="Z32" s="254"/>
      <c r="AA32" s="142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43"/>
      <c r="BQ32" s="143"/>
      <c r="BR32" s="143"/>
      <c r="BS32" s="143"/>
      <c r="BT32" s="143"/>
      <c r="BU32" s="143"/>
      <c r="BV32" s="143"/>
      <c r="BW32" s="143"/>
      <c r="BX32" s="143"/>
      <c r="BY32" s="143"/>
      <c r="BZ32" s="143"/>
      <c r="CA32" s="143"/>
      <c r="CB32" s="143"/>
      <c r="CC32" s="143"/>
      <c r="CD32" s="143"/>
      <c r="CE32" s="143"/>
      <c r="CF32" s="143"/>
      <c r="CG32" s="143"/>
      <c r="CH32" s="143"/>
      <c r="CI32" s="143"/>
      <c r="CJ32" s="143"/>
      <c r="CK32" s="143"/>
      <c r="CL32" s="143"/>
      <c r="CM32" s="143"/>
      <c r="CN32" s="143"/>
      <c r="CO32" s="143"/>
      <c r="CP32" s="143"/>
      <c r="CQ32" s="143"/>
      <c r="CR32" s="143"/>
      <c r="CS32" s="143"/>
      <c r="CT32" s="143"/>
      <c r="CU32" s="143"/>
      <c r="CV32" s="143"/>
      <c r="CW32" s="143"/>
      <c r="CX32" s="143"/>
      <c r="CY32" s="143"/>
      <c r="CZ32" s="143"/>
      <c r="DA32" s="143"/>
      <c r="DB32" s="143"/>
      <c r="DC32" s="143"/>
      <c r="DD32" s="143"/>
      <c r="DE32" s="143"/>
      <c r="DF32" s="143"/>
      <c r="DG32" s="143"/>
      <c r="DH32" s="143"/>
      <c r="DI32" s="143"/>
      <c r="DJ32" s="143"/>
      <c r="DK32" s="143"/>
      <c r="DL32" s="143"/>
      <c r="DM32" s="143"/>
      <c r="DN32" s="143"/>
      <c r="DO32" s="143"/>
      <c r="DP32" s="143"/>
      <c r="DQ32" s="143"/>
      <c r="DR32" s="143"/>
      <c r="DS32" s="143"/>
      <c r="DT32" s="143"/>
      <c r="DU32" s="143"/>
      <c r="DV32" s="143"/>
      <c r="DW32" s="143"/>
      <c r="DX32" s="143"/>
      <c r="DY32" s="143"/>
      <c r="DZ32" s="143"/>
      <c r="EA32" s="143"/>
      <c r="EB32" s="143"/>
      <c r="EC32" s="143"/>
      <c r="ED32" s="143"/>
      <c r="EE32" s="143"/>
      <c r="EF32" s="143"/>
      <c r="EG32" s="143"/>
      <c r="EH32" s="143"/>
      <c r="EI32" s="143"/>
      <c r="EJ32" s="143"/>
      <c r="EK32" s="143"/>
      <c r="EL32" s="143"/>
      <c r="EM32" s="143"/>
      <c r="EN32" s="143"/>
      <c r="EO32" s="143"/>
      <c r="EP32" s="143"/>
      <c r="EQ32" s="143"/>
      <c r="ER32" s="143"/>
      <c r="ES32" s="143"/>
      <c r="ET32" s="143"/>
      <c r="EU32" s="143"/>
      <c r="EV32" s="143"/>
      <c r="EW32" s="143"/>
      <c r="EX32" s="143"/>
      <c r="EY32" s="143"/>
      <c r="EZ32" s="143"/>
      <c r="FA32" s="143"/>
      <c r="FB32" s="143"/>
      <c r="FC32" s="143"/>
      <c r="FD32" s="143"/>
      <c r="FE32" s="143"/>
      <c r="FF32" s="143"/>
      <c r="FG32" s="143"/>
      <c r="FH32" s="143"/>
      <c r="FI32" s="143"/>
      <c r="FJ32" s="143"/>
      <c r="FK32" s="143"/>
      <c r="FL32" s="143"/>
      <c r="FM32" s="143"/>
      <c r="FN32" s="143"/>
      <c r="FO32" s="143"/>
      <c r="FP32" s="143"/>
      <c r="FQ32" s="143"/>
      <c r="FR32" s="143"/>
      <c r="FS32" s="143"/>
      <c r="FT32" s="143"/>
      <c r="FU32" s="143"/>
      <c r="FV32" s="143"/>
      <c r="FW32" s="143"/>
      <c r="FX32" s="143"/>
      <c r="FY32" s="143"/>
      <c r="FZ32" s="143"/>
      <c r="GA32" s="143"/>
      <c r="GB32" s="143"/>
      <c r="GC32" s="143"/>
      <c r="GD32" s="143"/>
      <c r="GE32" s="143"/>
      <c r="GF32" s="143"/>
      <c r="GG32" s="143"/>
      <c r="GH32" s="143"/>
      <c r="GI32" s="143"/>
      <c r="GJ32" s="143"/>
      <c r="GK32" s="143"/>
      <c r="GL32" s="143"/>
      <c r="GM32" s="143"/>
      <c r="GN32" s="143"/>
      <c r="GO32" s="143"/>
      <c r="GP32" s="143"/>
      <c r="GQ32" s="143"/>
      <c r="GR32" s="143"/>
      <c r="GS32" s="143"/>
      <c r="GT32" s="143"/>
      <c r="GU32" s="143"/>
      <c r="GV32" s="143"/>
      <c r="GW32" s="143"/>
      <c r="GX32" s="143"/>
      <c r="GY32" s="143"/>
      <c r="GZ32" s="143"/>
      <c r="HA32" s="143"/>
      <c r="HB32" s="143"/>
      <c r="HC32" s="143"/>
      <c r="HD32" s="143"/>
      <c r="HE32" s="143"/>
      <c r="HF32" s="143"/>
      <c r="HG32" s="143"/>
      <c r="HH32" s="143"/>
      <c r="HI32" s="143"/>
      <c r="HJ32" s="143"/>
      <c r="HK32" s="143"/>
      <c r="HL32" s="143"/>
      <c r="HM32" s="143"/>
      <c r="HN32" s="143"/>
      <c r="HO32" s="143"/>
      <c r="HP32" s="143"/>
      <c r="HQ32" s="143"/>
      <c r="HR32" s="143"/>
      <c r="HS32" s="143"/>
      <c r="HT32" s="143"/>
      <c r="HU32" s="143"/>
      <c r="HV32" s="143"/>
      <c r="HW32" s="143"/>
      <c r="HX32" s="143"/>
      <c r="HY32" s="143"/>
      <c r="HZ32" s="143"/>
      <c r="IA32" s="143"/>
      <c r="IB32" s="143"/>
      <c r="IC32" s="143"/>
      <c r="ID32" s="143"/>
      <c r="IE32" s="143"/>
      <c r="IF32" s="143"/>
      <c r="IG32" s="143"/>
      <c r="IH32" s="143"/>
      <c r="II32" s="143"/>
      <c r="IJ32" s="143"/>
      <c r="IK32" s="143"/>
      <c r="IL32" s="143"/>
      <c r="IM32" s="143"/>
      <c r="IN32" s="143"/>
      <c r="IO32" s="143"/>
      <c r="IP32" s="143"/>
      <c r="IQ32" s="143"/>
      <c r="IR32" s="143"/>
      <c r="IS32" s="143"/>
      <c r="IT32" s="143"/>
      <c r="IU32" s="143"/>
      <c r="IV32" s="143"/>
      <c r="IW32" s="143"/>
      <c r="IX32" s="143"/>
      <c r="IY32" s="143"/>
      <c r="IZ32" s="143"/>
      <c r="JA32" s="143"/>
      <c r="JB32" s="143"/>
    </row>
    <row r="33" spans="1:262" ht="19.5">
      <c r="A33" s="1589" t="s">
        <v>334</v>
      </c>
      <c r="B33" s="1589"/>
      <c r="C33" s="1589"/>
      <c r="D33" s="1589"/>
      <c r="E33" s="1589"/>
      <c r="F33" s="1589"/>
      <c r="G33" s="1589"/>
      <c r="H33" s="1589"/>
      <c r="I33" s="1589"/>
      <c r="J33" s="1589"/>
      <c r="K33" s="1589"/>
      <c r="L33" s="1589"/>
      <c r="M33" s="1589"/>
      <c r="N33" s="1589"/>
      <c r="O33" s="267"/>
      <c r="P33" s="143"/>
      <c r="Q33" s="143"/>
      <c r="R33" s="143"/>
      <c r="S33" s="143"/>
      <c r="T33" s="143"/>
      <c r="U33" s="268"/>
      <c r="V33" s="143"/>
      <c r="W33" s="143"/>
      <c r="X33" s="246"/>
      <c r="Y33" s="246"/>
      <c r="Z33" s="246"/>
      <c r="AA33" s="255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  <c r="BP33" s="143"/>
      <c r="BQ33" s="143"/>
      <c r="BR33" s="143"/>
      <c r="BS33" s="143"/>
      <c r="BT33" s="143"/>
      <c r="BU33" s="143"/>
      <c r="BV33" s="143"/>
      <c r="BW33" s="143"/>
      <c r="BX33" s="143"/>
      <c r="BY33" s="143"/>
      <c r="BZ33" s="143"/>
      <c r="CA33" s="143"/>
      <c r="CB33" s="143"/>
      <c r="CC33" s="143"/>
      <c r="CD33" s="143"/>
      <c r="CE33" s="143"/>
      <c r="CF33" s="143"/>
      <c r="CG33" s="143"/>
      <c r="CH33" s="143"/>
      <c r="CI33" s="143"/>
      <c r="CJ33" s="143"/>
      <c r="CK33" s="143"/>
      <c r="CL33" s="143"/>
      <c r="CM33" s="143"/>
      <c r="CN33" s="143"/>
      <c r="CO33" s="143"/>
      <c r="CP33" s="143"/>
      <c r="CQ33" s="143"/>
      <c r="CR33" s="143"/>
      <c r="CS33" s="143"/>
      <c r="CT33" s="143"/>
      <c r="CU33" s="143"/>
      <c r="CV33" s="143"/>
      <c r="CW33" s="143"/>
      <c r="CX33" s="143"/>
      <c r="CY33" s="143"/>
      <c r="CZ33" s="143"/>
      <c r="DA33" s="143"/>
      <c r="DB33" s="143"/>
      <c r="DC33" s="143"/>
      <c r="DD33" s="143"/>
      <c r="DE33" s="143"/>
      <c r="DF33" s="143"/>
      <c r="DG33" s="143"/>
      <c r="DH33" s="143"/>
      <c r="DI33" s="143"/>
      <c r="DJ33" s="143"/>
      <c r="DK33" s="143"/>
      <c r="DL33" s="143"/>
      <c r="DM33" s="143"/>
      <c r="DN33" s="143"/>
      <c r="DO33" s="143"/>
      <c r="DP33" s="143"/>
      <c r="DQ33" s="143"/>
      <c r="DR33" s="143"/>
      <c r="DS33" s="143"/>
      <c r="DT33" s="143"/>
      <c r="DU33" s="143"/>
      <c r="DV33" s="143"/>
      <c r="DW33" s="143"/>
      <c r="DX33" s="143"/>
      <c r="DY33" s="143"/>
      <c r="DZ33" s="143"/>
      <c r="EA33" s="143"/>
      <c r="EB33" s="143"/>
      <c r="EC33" s="143"/>
      <c r="ED33" s="143"/>
      <c r="EE33" s="143"/>
      <c r="EF33" s="143"/>
      <c r="EG33" s="143"/>
      <c r="EH33" s="143"/>
      <c r="EI33" s="143"/>
      <c r="EJ33" s="143"/>
      <c r="EK33" s="143"/>
      <c r="EL33" s="143"/>
      <c r="EM33" s="143"/>
      <c r="EN33" s="143"/>
      <c r="EO33" s="143"/>
      <c r="EP33" s="143"/>
      <c r="EQ33" s="143"/>
      <c r="ER33" s="143"/>
      <c r="ES33" s="143"/>
      <c r="ET33" s="143"/>
      <c r="EU33" s="143"/>
      <c r="EV33" s="143"/>
      <c r="EW33" s="143"/>
      <c r="EX33" s="143"/>
      <c r="EY33" s="143"/>
      <c r="EZ33" s="143"/>
      <c r="FA33" s="143"/>
      <c r="FB33" s="143"/>
      <c r="FC33" s="143"/>
      <c r="FD33" s="143"/>
      <c r="FE33" s="143"/>
      <c r="FF33" s="143"/>
      <c r="FG33" s="143"/>
      <c r="FH33" s="143"/>
      <c r="FI33" s="143"/>
      <c r="FJ33" s="143"/>
      <c r="FK33" s="143"/>
      <c r="FL33" s="143"/>
      <c r="FM33" s="143"/>
      <c r="FN33" s="143"/>
      <c r="FO33" s="143"/>
      <c r="FP33" s="143"/>
      <c r="FQ33" s="143"/>
      <c r="FR33" s="143"/>
      <c r="FS33" s="143"/>
      <c r="FT33" s="143"/>
      <c r="FU33" s="143"/>
      <c r="FV33" s="143"/>
      <c r="FW33" s="143"/>
      <c r="FX33" s="143"/>
      <c r="FY33" s="143"/>
      <c r="FZ33" s="143"/>
      <c r="GA33" s="143"/>
      <c r="GB33" s="143"/>
      <c r="GC33" s="143"/>
      <c r="GD33" s="143"/>
      <c r="GE33" s="143"/>
      <c r="GF33" s="143"/>
      <c r="GG33" s="143"/>
      <c r="GH33" s="143"/>
      <c r="GI33" s="143"/>
      <c r="GJ33" s="143"/>
      <c r="GK33" s="143"/>
      <c r="GL33" s="143"/>
      <c r="GM33" s="143"/>
      <c r="GN33" s="143"/>
      <c r="GO33" s="143"/>
      <c r="GP33" s="143"/>
      <c r="GQ33" s="143"/>
      <c r="GR33" s="143"/>
      <c r="GS33" s="143"/>
      <c r="GT33" s="143"/>
      <c r="GU33" s="143"/>
      <c r="GV33" s="143"/>
      <c r="GW33" s="143"/>
      <c r="GX33" s="143"/>
      <c r="GY33" s="143"/>
      <c r="GZ33" s="143"/>
      <c r="HA33" s="143"/>
      <c r="HB33" s="143"/>
      <c r="HC33" s="143"/>
      <c r="HD33" s="143"/>
      <c r="HE33" s="143"/>
      <c r="HF33" s="143"/>
      <c r="HG33" s="143"/>
      <c r="HH33" s="143"/>
      <c r="HI33" s="143"/>
      <c r="HJ33" s="143"/>
      <c r="HK33" s="143"/>
      <c r="HL33" s="143"/>
      <c r="HM33" s="143"/>
      <c r="HN33" s="143"/>
      <c r="HO33" s="143"/>
      <c r="HP33" s="143"/>
      <c r="HQ33" s="143"/>
      <c r="HR33" s="143"/>
      <c r="HS33" s="143"/>
      <c r="HT33" s="143"/>
      <c r="HU33" s="143"/>
      <c r="HV33" s="143"/>
      <c r="HW33" s="143"/>
      <c r="HX33" s="143"/>
      <c r="HY33" s="143"/>
      <c r="HZ33" s="143"/>
      <c r="IA33" s="143"/>
      <c r="IB33" s="143"/>
      <c r="IC33" s="143"/>
      <c r="ID33" s="143"/>
      <c r="IE33" s="143"/>
      <c r="IF33" s="143"/>
      <c r="IG33" s="143"/>
      <c r="IH33" s="143"/>
      <c r="II33" s="143"/>
      <c r="IJ33" s="143"/>
      <c r="IK33" s="143"/>
      <c r="IL33" s="143"/>
      <c r="IM33" s="143"/>
      <c r="IN33" s="143"/>
      <c r="IO33" s="143"/>
      <c r="IP33" s="143"/>
      <c r="IQ33" s="143"/>
      <c r="IR33" s="143"/>
      <c r="IS33" s="143"/>
      <c r="IT33" s="143"/>
      <c r="IU33" s="143"/>
      <c r="IV33" s="143"/>
      <c r="IW33" s="143"/>
      <c r="IX33" s="143"/>
      <c r="IY33" s="143"/>
      <c r="IZ33" s="143"/>
      <c r="JA33" s="143"/>
      <c r="JB33" s="143"/>
    </row>
    <row r="34" spans="1:262" ht="19.5">
      <c r="A34" s="381"/>
      <c r="B34" s="381"/>
      <c r="C34" s="381"/>
      <c r="D34" s="381"/>
      <c r="E34" s="381"/>
      <c r="F34" s="381"/>
      <c r="G34" s="381"/>
      <c r="H34" s="382"/>
      <c r="I34" s="382"/>
      <c r="J34" s="381"/>
      <c r="K34" s="381"/>
      <c r="L34" s="381"/>
      <c r="M34" s="382"/>
      <c r="N34" s="382"/>
      <c r="O34" s="267"/>
      <c r="P34" s="143"/>
      <c r="Q34" s="143"/>
      <c r="R34" s="143"/>
      <c r="S34" s="143"/>
      <c r="T34" s="143"/>
      <c r="U34" s="268"/>
      <c r="V34" s="143"/>
      <c r="W34" s="143"/>
      <c r="X34" s="246"/>
      <c r="Y34" s="246"/>
      <c r="Z34" s="246"/>
      <c r="AA34" s="255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3"/>
      <c r="BN34" s="143"/>
      <c r="BO34" s="143"/>
      <c r="BP34" s="143"/>
      <c r="BQ34" s="143"/>
      <c r="BR34" s="143"/>
      <c r="BS34" s="143"/>
      <c r="BT34" s="143"/>
      <c r="BU34" s="143"/>
      <c r="BV34" s="143"/>
      <c r="BW34" s="143"/>
      <c r="BX34" s="143"/>
      <c r="BY34" s="143"/>
      <c r="BZ34" s="143"/>
      <c r="CA34" s="143"/>
      <c r="CB34" s="143"/>
      <c r="CC34" s="143"/>
      <c r="CD34" s="143"/>
      <c r="CE34" s="143"/>
      <c r="CF34" s="143"/>
      <c r="CG34" s="143"/>
      <c r="CH34" s="143"/>
      <c r="CI34" s="143"/>
      <c r="CJ34" s="143"/>
      <c r="CK34" s="143"/>
      <c r="CL34" s="143"/>
      <c r="CM34" s="143"/>
      <c r="CN34" s="143"/>
      <c r="CO34" s="143"/>
      <c r="CP34" s="143"/>
      <c r="CQ34" s="143"/>
      <c r="CR34" s="143"/>
      <c r="CS34" s="143"/>
      <c r="CT34" s="143"/>
      <c r="CU34" s="143"/>
      <c r="CV34" s="143"/>
      <c r="CW34" s="143"/>
      <c r="CX34" s="143"/>
      <c r="CY34" s="143"/>
      <c r="CZ34" s="143"/>
      <c r="DA34" s="143"/>
      <c r="DB34" s="143"/>
      <c r="DC34" s="143"/>
      <c r="DD34" s="143"/>
      <c r="DE34" s="143"/>
      <c r="DF34" s="143"/>
      <c r="DG34" s="143"/>
      <c r="DH34" s="143"/>
      <c r="DI34" s="143"/>
      <c r="DJ34" s="143"/>
      <c r="DK34" s="143"/>
      <c r="DL34" s="143"/>
      <c r="DM34" s="143"/>
      <c r="DN34" s="143"/>
      <c r="DO34" s="143"/>
      <c r="DP34" s="143"/>
      <c r="DQ34" s="143"/>
      <c r="DR34" s="143"/>
      <c r="DS34" s="143"/>
      <c r="DT34" s="143"/>
      <c r="DU34" s="143"/>
      <c r="DV34" s="143"/>
      <c r="DW34" s="143"/>
      <c r="DX34" s="143"/>
      <c r="DY34" s="143"/>
      <c r="DZ34" s="143"/>
      <c r="EA34" s="143"/>
      <c r="EB34" s="143"/>
      <c r="EC34" s="143"/>
      <c r="ED34" s="143"/>
      <c r="EE34" s="143"/>
      <c r="EF34" s="143"/>
      <c r="EG34" s="143"/>
      <c r="EH34" s="143"/>
      <c r="EI34" s="143"/>
      <c r="EJ34" s="143"/>
      <c r="EK34" s="143"/>
      <c r="EL34" s="143"/>
      <c r="EM34" s="143"/>
      <c r="EN34" s="143"/>
      <c r="EO34" s="143"/>
      <c r="EP34" s="143"/>
      <c r="EQ34" s="143"/>
      <c r="ER34" s="143"/>
      <c r="ES34" s="143"/>
      <c r="ET34" s="143"/>
      <c r="EU34" s="143"/>
      <c r="EV34" s="143"/>
      <c r="EW34" s="143"/>
      <c r="EX34" s="143"/>
      <c r="EY34" s="143"/>
      <c r="EZ34" s="143"/>
      <c r="FA34" s="143"/>
      <c r="FB34" s="143"/>
      <c r="FC34" s="143"/>
      <c r="FD34" s="143"/>
      <c r="FE34" s="143"/>
      <c r="FF34" s="143"/>
      <c r="FG34" s="143"/>
      <c r="FH34" s="143"/>
      <c r="FI34" s="143"/>
      <c r="FJ34" s="143"/>
      <c r="FK34" s="143"/>
      <c r="FL34" s="143"/>
      <c r="FM34" s="143"/>
      <c r="FN34" s="143"/>
      <c r="FO34" s="143"/>
      <c r="FP34" s="143"/>
      <c r="FQ34" s="143"/>
      <c r="FR34" s="143"/>
      <c r="FS34" s="143"/>
      <c r="FT34" s="143"/>
      <c r="FU34" s="143"/>
      <c r="FV34" s="143"/>
      <c r="FW34" s="143"/>
      <c r="FX34" s="143"/>
      <c r="FY34" s="143"/>
      <c r="FZ34" s="143"/>
      <c r="GA34" s="143"/>
      <c r="GB34" s="143"/>
      <c r="GC34" s="143"/>
      <c r="GD34" s="143"/>
      <c r="GE34" s="143"/>
      <c r="GF34" s="143"/>
      <c r="GG34" s="143"/>
      <c r="GH34" s="143"/>
      <c r="GI34" s="143"/>
      <c r="GJ34" s="143"/>
      <c r="GK34" s="143"/>
      <c r="GL34" s="143"/>
      <c r="GM34" s="143"/>
      <c r="GN34" s="143"/>
      <c r="GO34" s="143"/>
      <c r="GP34" s="143"/>
      <c r="GQ34" s="143"/>
      <c r="GR34" s="143"/>
      <c r="GS34" s="143"/>
      <c r="GT34" s="143"/>
      <c r="GU34" s="143"/>
      <c r="GV34" s="143"/>
      <c r="GW34" s="143"/>
      <c r="GX34" s="143"/>
      <c r="GY34" s="143"/>
      <c r="GZ34" s="143"/>
      <c r="HA34" s="143"/>
      <c r="HB34" s="143"/>
      <c r="HC34" s="143"/>
      <c r="HD34" s="143"/>
      <c r="HE34" s="143"/>
      <c r="HF34" s="143"/>
      <c r="HG34" s="143"/>
      <c r="HH34" s="143"/>
      <c r="HI34" s="143"/>
      <c r="HJ34" s="143"/>
      <c r="HK34" s="143"/>
      <c r="HL34" s="143"/>
      <c r="HM34" s="143"/>
      <c r="HN34" s="143"/>
      <c r="HO34" s="143"/>
      <c r="HP34" s="143"/>
      <c r="HQ34" s="143"/>
      <c r="HR34" s="143"/>
      <c r="HS34" s="143"/>
      <c r="HT34" s="143"/>
      <c r="HU34" s="143"/>
      <c r="HV34" s="143"/>
      <c r="HW34" s="143"/>
      <c r="HX34" s="143"/>
      <c r="HY34" s="143"/>
      <c r="HZ34" s="143"/>
      <c r="IA34" s="143"/>
      <c r="IB34" s="143"/>
      <c r="IC34" s="143"/>
      <c r="ID34" s="143"/>
      <c r="IE34" s="143"/>
      <c r="IF34" s="143"/>
      <c r="IG34" s="143"/>
      <c r="IH34" s="143"/>
      <c r="II34" s="143"/>
      <c r="IJ34" s="143"/>
      <c r="IK34" s="143"/>
      <c r="IL34" s="143"/>
      <c r="IM34" s="143"/>
      <c r="IN34" s="143"/>
      <c r="IO34" s="143"/>
      <c r="IP34" s="143"/>
      <c r="IQ34" s="143"/>
      <c r="IR34" s="143"/>
      <c r="IS34" s="143"/>
      <c r="IT34" s="143"/>
      <c r="IU34" s="143"/>
      <c r="IV34" s="143"/>
      <c r="IW34" s="143"/>
      <c r="IX34" s="143"/>
      <c r="IY34" s="143"/>
      <c r="IZ34" s="143"/>
      <c r="JA34" s="143"/>
      <c r="JB34" s="143"/>
    </row>
    <row r="35" spans="1:262" ht="16.5">
      <c r="A35" s="143"/>
      <c r="B35" s="143"/>
      <c r="C35" s="143"/>
      <c r="D35" s="143"/>
      <c r="E35" s="143"/>
      <c r="F35" s="143"/>
      <c r="G35" s="143"/>
      <c r="H35" s="264"/>
      <c r="I35" s="264"/>
      <c r="J35" s="143"/>
      <c r="K35" s="143"/>
      <c r="L35" s="143"/>
      <c r="M35" s="264"/>
      <c r="N35" s="264"/>
      <c r="O35" s="267"/>
      <c r="P35" s="143"/>
      <c r="Q35" s="143"/>
      <c r="R35" s="143"/>
      <c r="S35" s="143"/>
      <c r="T35" s="143"/>
      <c r="U35" s="268"/>
      <c r="V35" s="143"/>
      <c r="W35" s="143"/>
      <c r="X35" s="246"/>
      <c r="Y35" s="246"/>
      <c r="Z35" s="246"/>
      <c r="AA35" s="255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43"/>
      <c r="BE35" s="143"/>
      <c r="BF35" s="143"/>
      <c r="BG35" s="143"/>
      <c r="BH35" s="143"/>
      <c r="BI35" s="143"/>
      <c r="BJ35" s="143"/>
      <c r="BK35" s="143"/>
      <c r="BL35" s="143"/>
      <c r="BM35" s="143"/>
      <c r="BN35" s="143"/>
      <c r="BO35" s="143"/>
      <c r="BP35" s="143"/>
      <c r="BQ35" s="143"/>
      <c r="BR35" s="143"/>
      <c r="BS35" s="143"/>
      <c r="BT35" s="143"/>
      <c r="BU35" s="143"/>
      <c r="BV35" s="143"/>
      <c r="BW35" s="143"/>
      <c r="BX35" s="143"/>
      <c r="BY35" s="143"/>
      <c r="BZ35" s="143"/>
      <c r="CA35" s="143"/>
      <c r="CB35" s="143"/>
      <c r="CC35" s="143"/>
      <c r="CD35" s="143"/>
      <c r="CE35" s="143"/>
      <c r="CF35" s="143"/>
      <c r="CG35" s="143"/>
      <c r="CH35" s="143"/>
      <c r="CI35" s="143"/>
      <c r="CJ35" s="143"/>
      <c r="CK35" s="143"/>
      <c r="CL35" s="143"/>
      <c r="CM35" s="143"/>
      <c r="CN35" s="143"/>
      <c r="CO35" s="143"/>
      <c r="CP35" s="143"/>
      <c r="CQ35" s="143"/>
      <c r="CR35" s="143"/>
      <c r="CS35" s="143"/>
      <c r="CT35" s="143"/>
      <c r="CU35" s="143"/>
      <c r="CV35" s="143"/>
      <c r="CW35" s="143"/>
      <c r="CX35" s="143"/>
      <c r="CY35" s="143"/>
      <c r="CZ35" s="143"/>
      <c r="DA35" s="143"/>
      <c r="DB35" s="143"/>
      <c r="DC35" s="143"/>
      <c r="DD35" s="143"/>
      <c r="DE35" s="143"/>
      <c r="DF35" s="143"/>
      <c r="DG35" s="143"/>
      <c r="DH35" s="143"/>
      <c r="DI35" s="143"/>
      <c r="DJ35" s="143"/>
      <c r="DK35" s="143"/>
      <c r="DL35" s="143"/>
      <c r="DM35" s="143"/>
      <c r="DN35" s="143"/>
      <c r="DO35" s="143"/>
      <c r="DP35" s="143"/>
      <c r="DQ35" s="143"/>
      <c r="DR35" s="143"/>
      <c r="DS35" s="143"/>
      <c r="DT35" s="143"/>
      <c r="DU35" s="143"/>
      <c r="DV35" s="143"/>
      <c r="DW35" s="143"/>
      <c r="DX35" s="143"/>
      <c r="DY35" s="143"/>
      <c r="DZ35" s="143"/>
      <c r="EA35" s="143"/>
      <c r="EB35" s="143"/>
      <c r="EC35" s="143"/>
      <c r="ED35" s="143"/>
      <c r="EE35" s="143"/>
      <c r="EF35" s="143"/>
      <c r="EG35" s="143"/>
      <c r="EH35" s="143"/>
      <c r="EI35" s="143"/>
      <c r="EJ35" s="143"/>
      <c r="EK35" s="143"/>
      <c r="EL35" s="143"/>
      <c r="EM35" s="143"/>
      <c r="EN35" s="143"/>
      <c r="EO35" s="143"/>
      <c r="EP35" s="143"/>
      <c r="EQ35" s="143"/>
      <c r="ER35" s="143"/>
      <c r="ES35" s="143"/>
      <c r="ET35" s="143"/>
      <c r="EU35" s="143"/>
      <c r="EV35" s="143"/>
      <c r="EW35" s="143"/>
      <c r="EX35" s="143"/>
      <c r="EY35" s="143"/>
      <c r="EZ35" s="143"/>
      <c r="FA35" s="143"/>
      <c r="FB35" s="143"/>
      <c r="FC35" s="143"/>
      <c r="FD35" s="143"/>
      <c r="FE35" s="143"/>
      <c r="FF35" s="143"/>
      <c r="FG35" s="143"/>
      <c r="FH35" s="143"/>
      <c r="FI35" s="143"/>
      <c r="FJ35" s="143"/>
      <c r="FK35" s="143"/>
      <c r="FL35" s="143"/>
      <c r="FM35" s="143"/>
      <c r="FN35" s="143"/>
      <c r="FO35" s="143"/>
      <c r="FP35" s="143"/>
      <c r="FQ35" s="143"/>
      <c r="FR35" s="143"/>
      <c r="FS35" s="143"/>
      <c r="FT35" s="143"/>
      <c r="FU35" s="143"/>
      <c r="FV35" s="143"/>
      <c r="FW35" s="143"/>
      <c r="FX35" s="143"/>
      <c r="FY35" s="143"/>
      <c r="FZ35" s="143"/>
      <c r="GA35" s="143"/>
      <c r="GB35" s="143"/>
      <c r="GC35" s="143"/>
      <c r="GD35" s="143"/>
      <c r="GE35" s="143"/>
      <c r="GF35" s="143"/>
      <c r="GG35" s="143"/>
      <c r="GH35" s="143"/>
      <c r="GI35" s="143"/>
      <c r="GJ35" s="143"/>
      <c r="GK35" s="143"/>
      <c r="GL35" s="143"/>
      <c r="GM35" s="143"/>
      <c r="GN35" s="143"/>
      <c r="GO35" s="143"/>
      <c r="GP35" s="143"/>
      <c r="GQ35" s="143"/>
      <c r="GR35" s="143"/>
      <c r="GS35" s="143"/>
      <c r="GT35" s="143"/>
      <c r="GU35" s="143"/>
      <c r="GV35" s="143"/>
      <c r="GW35" s="143"/>
      <c r="GX35" s="143"/>
      <c r="GY35" s="143"/>
      <c r="GZ35" s="143"/>
      <c r="HA35" s="143"/>
      <c r="HB35" s="143"/>
      <c r="HC35" s="143"/>
      <c r="HD35" s="143"/>
      <c r="HE35" s="143"/>
      <c r="HF35" s="143"/>
      <c r="HG35" s="143"/>
      <c r="HH35" s="143"/>
      <c r="HI35" s="143"/>
      <c r="HJ35" s="143"/>
      <c r="HK35" s="143"/>
      <c r="HL35" s="143"/>
      <c r="HM35" s="143"/>
      <c r="HN35" s="143"/>
      <c r="HO35" s="143"/>
      <c r="HP35" s="143"/>
      <c r="HQ35" s="143"/>
      <c r="HR35" s="143"/>
      <c r="HS35" s="143"/>
      <c r="HT35" s="143"/>
      <c r="HU35" s="143"/>
      <c r="HV35" s="143"/>
      <c r="HW35" s="143"/>
      <c r="HX35" s="143"/>
      <c r="HY35" s="143"/>
      <c r="HZ35" s="143"/>
      <c r="IA35" s="143"/>
      <c r="IB35" s="143"/>
      <c r="IC35" s="143"/>
      <c r="ID35" s="143"/>
      <c r="IE35" s="143"/>
      <c r="IF35" s="143"/>
      <c r="IG35" s="143"/>
      <c r="IH35" s="143"/>
      <c r="II35" s="143"/>
      <c r="IJ35" s="143"/>
      <c r="IK35" s="143"/>
      <c r="IL35" s="143"/>
      <c r="IM35" s="143"/>
      <c r="IN35" s="143"/>
      <c r="IO35" s="143"/>
      <c r="IP35" s="143"/>
      <c r="IQ35" s="143"/>
      <c r="IR35" s="143"/>
      <c r="IS35" s="143"/>
      <c r="IT35" s="143"/>
      <c r="IU35" s="143"/>
      <c r="IV35" s="143"/>
      <c r="IW35" s="143"/>
      <c r="IX35" s="143"/>
      <c r="IY35" s="143"/>
      <c r="IZ35" s="143"/>
      <c r="JA35" s="143"/>
      <c r="JB35" s="143"/>
    </row>
    <row r="36" spans="1:262" ht="16.5">
      <c r="A36" s="143"/>
      <c r="B36" s="143"/>
      <c r="C36" s="143"/>
      <c r="D36" s="143"/>
      <c r="E36" s="143"/>
      <c r="F36" s="143" t="s">
        <v>739</v>
      </c>
      <c r="G36" s="143"/>
      <c r="H36" s="264"/>
      <c r="I36" s="264"/>
      <c r="J36" s="143"/>
      <c r="K36" s="143"/>
      <c r="L36" s="143"/>
      <c r="M36" s="264"/>
      <c r="N36" s="264"/>
      <c r="O36" s="267"/>
      <c r="P36" s="143"/>
      <c r="Q36" s="143"/>
      <c r="R36" s="143"/>
      <c r="S36" s="143"/>
      <c r="T36" s="143"/>
      <c r="U36" s="268"/>
      <c r="V36" s="143"/>
      <c r="W36" s="143"/>
      <c r="X36" s="246"/>
      <c r="Y36" s="246"/>
      <c r="Z36" s="246"/>
      <c r="AA36" s="255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  <c r="BD36" s="143"/>
      <c r="BE36" s="143"/>
      <c r="BF36" s="143"/>
      <c r="BG36" s="143"/>
      <c r="BH36" s="143"/>
      <c r="BI36" s="143"/>
      <c r="BJ36" s="143"/>
      <c r="BK36" s="143"/>
      <c r="BL36" s="143"/>
      <c r="BM36" s="143"/>
      <c r="BN36" s="143"/>
      <c r="BO36" s="143"/>
      <c r="BP36" s="143"/>
      <c r="BQ36" s="143"/>
      <c r="BR36" s="143"/>
      <c r="BS36" s="143"/>
      <c r="BT36" s="143"/>
      <c r="BU36" s="143"/>
      <c r="BV36" s="143"/>
      <c r="BW36" s="143"/>
      <c r="BX36" s="143"/>
      <c r="BY36" s="143"/>
      <c r="BZ36" s="143"/>
      <c r="CA36" s="143"/>
      <c r="CB36" s="143"/>
      <c r="CC36" s="143"/>
      <c r="CD36" s="143"/>
      <c r="CE36" s="143"/>
      <c r="CF36" s="143"/>
      <c r="CG36" s="143"/>
      <c r="CH36" s="143"/>
      <c r="CI36" s="143"/>
      <c r="CJ36" s="143"/>
      <c r="CK36" s="143"/>
      <c r="CL36" s="143"/>
      <c r="CM36" s="143"/>
      <c r="CN36" s="143"/>
      <c r="CO36" s="143"/>
      <c r="CP36" s="143"/>
      <c r="CQ36" s="143"/>
      <c r="CR36" s="143"/>
      <c r="CS36" s="143"/>
      <c r="CT36" s="143"/>
      <c r="CU36" s="143"/>
      <c r="CV36" s="143"/>
      <c r="CW36" s="143"/>
      <c r="CX36" s="143"/>
      <c r="CY36" s="143"/>
      <c r="CZ36" s="143"/>
      <c r="DA36" s="143"/>
      <c r="DB36" s="143"/>
      <c r="DC36" s="143"/>
      <c r="DD36" s="143"/>
      <c r="DE36" s="143"/>
      <c r="DF36" s="143"/>
      <c r="DG36" s="143"/>
      <c r="DH36" s="143"/>
      <c r="DI36" s="143"/>
      <c r="DJ36" s="143"/>
      <c r="DK36" s="143"/>
      <c r="DL36" s="143"/>
      <c r="DM36" s="143"/>
      <c r="DN36" s="143"/>
      <c r="DO36" s="143"/>
      <c r="DP36" s="143"/>
      <c r="DQ36" s="143"/>
      <c r="DR36" s="143"/>
      <c r="DS36" s="143"/>
      <c r="DT36" s="143"/>
      <c r="DU36" s="143"/>
      <c r="DV36" s="143"/>
      <c r="DW36" s="143"/>
      <c r="DX36" s="143"/>
      <c r="DY36" s="143"/>
      <c r="DZ36" s="143"/>
      <c r="EA36" s="143"/>
      <c r="EB36" s="143"/>
      <c r="EC36" s="143"/>
      <c r="ED36" s="143"/>
      <c r="EE36" s="143"/>
      <c r="EF36" s="143"/>
      <c r="EG36" s="143"/>
      <c r="EH36" s="143"/>
      <c r="EI36" s="143"/>
      <c r="EJ36" s="143"/>
      <c r="EK36" s="143"/>
      <c r="EL36" s="143"/>
      <c r="EM36" s="143"/>
      <c r="EN36" s="143"/>
      <c r="EO36" s="143"/>
      <c r="EP36" s="143"/>
      <c r="EQ36" s="143"/>
      <c r="ER36" s="143"/>
      <c r="ES36" s="143"/>
      <c r="ET36" s="143"/>
      <c r="EU36" s="143"/>
      <c r="EV36" s="143"/>
      <c r="EW36" s="143"/>
      <c r="EX36" s="143"/>
      <c r="EY36" s="143"/>
      <c r="EZ36" s="143"/>
      <c r="FA36" s="143"/>
      <c r="FB36" s="143"/>
      <c r="FC36" s="143"/>
      <c r="FD36" s="143"/>
      <c r="FE36" s="143"/>
      <c r="FF36" s="143"/>
      <c r="FG36" s="143"/>
      <c r="FH36" s="143"/>
      <c r="FI36" s="143"/>
      <c r="FJ36" s="143"/>
      <c r="FK36" s="143"/>
      <c r="FL36" s="143"/>
      <c r="FM36" s="143"/>
      <c r="FN36" s="143"/>
      <c r="FO36" s="143"/>
      <c r="FP36" s="143"/>
      <c r="FQ36" s="143"/>
      <c r="FR36" s="143"/>
      <c r="FS36" s="143"/>
      <c r="FT36" s="143"/>
      <c r="FU36" s="143"/>
      <c r="FV36" s="143"/>
      <c r="FW36" s="143"/>
      <c r="FX36" s="143"/>
      <c r="FY36" s="143"/>
      <c r="FZ36" s="143"/>
      <c r="GA36" s="143"/>
      <c r="GB36" s="143"/>
      <c r="GC36" s="143"/>
      <c r="GD36" s="143"/>
      <c r="GE36" s="143"/>
      <c r="GF36" s="143"/>
      <c r="GG36" s="143"/>
      <c r="GH36" s="143"/>
      <c r="GI36" s="143"/>
      <c r="GJ36" s="143"/>
      <c r="GK36" s="143"/>
      <c r="GL36" s="143"/>
      <c r="GM36" s="143"/>
      <c r="GN36" s="143"/>
      <c r="GO36" s="143"/>
      <c r="GP36" s="143"/>
      <c r="GQ36" s="143"/>
      <c r="GR36" s="143"/>
      <c r="GS36" s="143"/>
      <c r="GT36" s="143"/>
      <c r="GU36" s="143"/>
      <c r="GV36" s="143"/>
      <c r="GW36" s="143"/>
      <c r="GX36" s="143"/>
      <c r="GY36" s="143"/>
      <c r="GZ36" s="143"/>
      <c r="HA36" s="143"/>
      <c r="HB36" s="143"/>
      <c r="HC36" s="143"/>
      <c r="HD36" s="143"/>
      <c r="HE36" s="143"/>
      <c r="HF36" s="143"/>
      <c r="HG36" s="143"/>
      <c r="HH36" s="143"/>
      <c r="HI36" s="143"/>
      <c r="HJ36" s="143"/>
      <c r="HK36" s="143"/>
      <c r="HL36" s="143"/>
      <c r="HM36" s="143"/>
      <c r="HN36" s="143"/>
      <c r="HO36" s="143"/>
      <c r="HP36" s="143"/>
      <c r="HQ36" s="143"/>
      <c r="HR36" s="143"/>
      <c r="HS36" s="143"/>
      <c r="HT36" s="143"/>
      <c r="HU36" s="143"/>
      <c r="HV36" s="143"/>
      <c r="HW36" s="143"/>
      <c r="HX36" s="143"/>
      <c r="HY36" s="143"/>
      <c r="HZ36" s="143"/>
      <c r="IA36" s="143"/>
      <c r="IB36" s="143"/>
      <c r="IC36" s="143"/>
      <c r="ID36" s="143"/>
      <c r="IE36" s="143"/>
      <c r="IF36" s="143"/>
      <c r="IG36" s="143"/>
      <c r="IH36" s="143"/>
      <c r="II36" s="143"/>
      <c r="IJ36" s="143"/>
      <c r="IK36" s="143"/>
      <c r="IL36" s="143"/>
      <c r="IM36" s="143"/>
      <c r="IN36" s="143"/>
      <c r="IO36" s="143"/>
      <c r="IP36" s="143"/>
      <c r="IQ36" s="143"/>
      <c r="IR36" s="143"/>
      <c r="IS36" s="143"/>
      <c r="IT36" s="143"/>
      <c r="IU36" s="143"/>
      <c r="IV36" s="143"/>
      <c r="IW36" s="143"/>
      <c r="IX36" s="143"/>
      <c r="IY36" s="143"/>
      <c r="IZ36" s="143"/>
      <c r="JA36" s="143"/>
      <c r="JB36" s="143"/>
    </row>
    <row r="37" spans="1:262" ht="16.5">
      <c r="A37" s="143"/>
      <c r="B37" s="143"/>
      <c r="C37" s="143"/>
      <c r="D37" s="143"/>
      <c r="E37" s="143"/>
      <c r="F37" s="143"/>
      <c r="G37" s="143"/>
      <c r="H37" s="264"/>
      <c r="I37" s="264"/>
      <c r="J37" s="143"/>
      <c r="K37" s="143"/>
      <c r="L37" s="143"/>
      <c r="M37" s="264"/>
      <c r="N37" s="264"/>
      <c r="O37" s="267"/>
      <c r="P37" s="143"/>
      <c r="Q37" s="143"/>
      <c r="R37" s="143"/>
      <c r="S37" s="143"/>
      <c r="T37" s="143"/>
      <c r="U37" s="268"/>
      <c r="V37" s="143"/>
      <c r="W37" s="143"/>
      <c r="X37" s="256"/>
      <c r="Y37" s="257"/>
      <c r="Z37" s="257"/>
      <c r="AA37" s="257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  <c r="BO37" s="143"/>
      <c r="BP37" s="143"/>
      <c r="BQ37" s="143"/>
      <c r="BR37" s="143"/>
      <c r="BS37" s="143"/>
      <c r="BT37" s="143"/>
      <c r="BU37" s="143"/>
      <c r="BV37" s="143"/>
      <c r="BW37" s="143"/>
      <c r="BX37" s="143"/>
      <c r="BY37" s="143"/>
      <c r="BZ37" s="143"/>
      <c r="CA37" s="143"/>
      <c r="CB37" s="143"/>
      <c r="CC37" s="143"/>
      <c r="CD37" s="143"/>
      <c r="CE37" s="143"/>
      <c r="CF37" s="143"/>
      <c r="CG37" s="143"/>
      <c r="CH37" s="143"/>
      <c r="CI37" s="143"/>
      <c r="CJ37" s="143"/>
      <c r="CK37" s="143"/>
      <c r="CL37" s="143"/>
      <c r="CM37" s="143"/>
      <c r="CN37" s="143"/>
      <c r="CO37" s="143"/>
      <c r="CP37" s="143"/>
      <c r="CQ37" s="143"/>
      <c r="CR37" s="143"/>
      <c r="CS37" s="143"/>
      <c r="CT37" s="143"/>
      <c r="CU37" s="143"/>
      <c r="CV37" s="143"/>
      <c r="CW37" s="143"/>
      <c r="CX37" s="143"/>
      <c r="CY37" s="143"/>
      <c r="CZ37" s="143"/>
      <c r="DA37" s="143"/>
      <c r="DB37" s="143"/>
      <c r="DC37" s="143"/>
      <c r="DD37" s="143"/>
      <c r="DE37" s="143"/>
      <c r="DF37" s="143"/>
      <c r="DG37" s="143"/>
      <c r="DH37" s="143"/>
      <c r="DI37" s="143"/>
      <c r="DJ37" s="143"/>
      <c r="DK37" s="143"/>
      <c r="DL37" s="143"/>
      <c r="DM37" s="143"/>
      <c r="DN37" s="143"/>
      <c r="DO37" s="143"/>
      <c r="DP37" s="143"/>
      <c r="DQ37" s="143"/>
      <c r="DR37" s="143"/>
      <c r="DS37" s="143"/>
      <c r="DT37" s="143"/>
      <c r="DU37" s="143"/>
      <c r="DV37" s="143"/>
      <c r="DW37" s="143"/>
      <c r="DX37" s="143"/>
      <c r="DY37" s="143"/>
      <c r="DZ37" s="143"/>
      <c r="EA37" s="143"/>
      <c r="EB37" s="143"/>
      <c r="EC37" s="143"/>
      <c r="ED37" s="143"/>
      <c r="EE37" s="143"/>
      <c r="EF37" s="143"/>
      <c r="EG37" s="143"/>
      <c r="EH37" s="143"/>
      <c r="EI37" s="143"/>
      <c r="EJ37" s="143"/>
      <c r="EK37" s="143"/>
      <c r="EL37" s="143"/>
      <c r="EM37" s="143"/>
      <c r="EN37" s="143"/>
      <c r="EO37" s="143"/>
      <c r="EP37" s="143"/>
      <c r="EQ37" s="143"/>
      <c r="ER37" s="143"/>
      <c r="ES37" s="143"/>
      <c r="ET37" s="143"/>
      <c r="EU37" s="143"/>
      <c r="EV37" s="143"/>
      <c r="EW37" s="143"/>
      <c r="EX37" s="143"/>
      <c r="EY37" s="143"/>
      <c r="EZ37" s="143"/>
      <c r="FA37" s="143"/>
      <c r="FB37" s="143"/>
      <c r="FC37" s="143"/>
      <c r="FD37" s="143"/>
      <c r="FE37" s="143"/>
      <c r="FF37" s="143"/>
      <c r="FG37" s="143"/>
      <c r="FH37" s="143"/>
      <c r="FI37" s="143"/>
      <c r="FJ37" s="143"/>
      <c r="FK37" s="143"/>
      <c r="FL37" s="143"/>
      <c r="FM37" s="143"/>
      <c r="FN37" s="143"/>
      <c r="FO37" s="143"/>
      <c r="FP37" s="143"/>
      <c r="FQ37" s="143"/>
      <c r="FR37" s="143"/>
      <c r="FS37" s="143"/>
      <c r="FT37" s="143"/>
      <c r="FU37" s="143"/>
      <c r="FV37" s="143"/>
      <c r="FW37" s="143"/>
      <c r="FX37" s="143"/>
      <c r="FY37" s="143"/>
      <c r="FZ37" s="143"/>
      <c r="GA37" s="143"/>
      <c r="GB37" s="143"/>
      <c r="GC37" s="143"/>
      <c r="GD37" s="143"/>
      <c r="GE37" s="143"/>
      <c r="GF37" s="143"/>
      <c r="GG37" s="143"/>
      <c r="GH37" s="143"/>
      <c r="GI37" s="143"/>
      <c r="GJ37" s="143"/>
      <c r="GK37" s="143"/>
      <c r="GL37" s="143"/>
      <c r="GM37" s="143"/>
      <c r="GN37" s="143"/>
      <c r="GO37" s="143"/>
      <c r="GP37" s="143"/>
      <c r="GQ37" s="143"/>
      <c r="GR37" s="143"/>
      <c r="GS37" s="143"/>
      <c r="GT37" s="143"/>
      <c r="GU37" s="143"/>
      <c r="GV37" s="143"/>
      <c r="GW37" s="143"/>
      <c r="GX37" s="143"/>
      <c r="GY37" s="143"/>
      <c r="GZ37" s="143"/>
      <c r="HA37" s="143"/>
      <c r="HB37" s="143"/>
      <c r="HC37" s="143"/>
      <c r="HD37" s="143"/>
      <c r="HE37" s="143"/>
      <c r="HF37" s="143"/>
      <c r="HG37" s="143"/>
      <c r="HH37" s="143"/>
      <c r="HI37" s="143"/>
      <c r="HJ37" s="143"/>
      <c r="HK37" s="143"/>
      <c r="HL37" s="143"/>
      <c r="HM37" s="143"/>
      <c r="HN37" s="143"/>
      <c r="HO37" s="143"/>
      <c r="HP37" s="143"/>
      <c r="HQ37" s="143"/>
      <c r="HR37" s="143"/>
      <c r="HS37" s="143"/>
      <c r="HT37" s="143"/>
      <c r="HU37" s="143"/>
      <c r="HV37" s="143"/>
      <c r="HW37" s="143"/>
      <c r="HX37" s="143"/>
      <c r="HY37" s="143"/>
      <c r="HZ37" s="143"/>
      <c r="IA37" s="143"/>
      <c r="IB37" s="143"/>
      <c r="IC37" s="143"/>
      <c r="ID37" s="143"/>
      <c r="IE37" s="143"/>
      <c r="IF37" s="143"/>
      <c r="IG37" s="143"/>
      <c r="IH37" s="143"/>
      <c r="II37" s="143"/>
      <c r="IJ37" s="143"/>
      <c r="IK37" s="143"/>
      <c r="IL37" s="143"/>
      <c r="IM37" s="143"/>
      <c r="IN37" s="143"/>
      <c r="IO37" s="143"/>
      <c r="IP37" s="143"/>
      <c r="IQ37" s="143"/>
      <c r="IR37" s="143"/>
      <c r="IS37" s="143"/>
      <c r="IT37" s="143"/>
      <c r="IU37" s="143"/>
      <c r="IV37" s="143"/>
      <c r="IW37" s="143"/>
      <c r="IX37" s="143"/>
      <c r="IY37" s="143"/>
      <c r="IZ37" s="143"/>
      <c r="JA37" s="143"/>
      <c r="JB37" s="143"/>
    </row>
    <row r="38" spans="1:262" ht="16.5">
      <c r="A38" s="143"/>
      <c r="B38" s="143"/>
      <c r="C38" s="143"/>
      <c r="D38" s="143"/>
      <c r="E38" s="143"/>
      <c r="F38" s="143"/>
      <c r="G38" s="143"/>
      <c r="H38" s="264"/>
      <c r="I38" s="264"/>
      <c r="J38" s="143"/>
      <c r="K38" s="143"/>
      <c r="L38" s="143"/>
      <c r="M38" s="264"/>
      <c r="N38" s="264"/>
      <c r="O38" s="267"/>
      <c r="P38" s="143"/>
      <c r="Q38" s="143"/>
      <c r="R38" s="143"/>
      <c r="S38" s="143"/>
      <c r="T38" s="143"/>
      <c r="U38" s="268"/>
      <c r="V38" s="143"/>
      <c r="W38" s="143"/>
      <c r="X38" s="258"/>
      <c r="Y38" s="259"/>
      <c r="Z38" s="259"/>
      <c r="AA38" s="259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  <c r="BD38" s="143"/>
      <c r="BE38" s="143"/>
      <c r="BF38" s="143"/>
      <c r="BG38" s="143"/>
      <c r="BH38" s="143"/>
      <c r="BI38" s="143"/>
      <c r="BJ38" s="143"/>
      <c r="BK38" s="143"/>
      <c r="BL38" s="143"/>
      <c r="BM38" s="143"/>
      <c r="BN38" s="143"/>
      <c r="BO38" s="143"/>
      <c r="BP38" s="143"/>
      <c r="BQ38" s="143"/>
      <c r="BR38" s="143"/>
      <c r="BS38" s="143"/>
      <c r="BT38" s="143"/>
      <c r="BU38" s="143"/>
      <c r="BV38" s="143"/>
      <c r="BW38" s="143"/>
      <c r="BX38" s="143"/>
      <c r="BY38" s="143"/>
      <c r="BZ38" s="143"/>
      <c r="CA38" s="143"/>
      <c r="CB38" s="143"/>
      <c r="CC38" s="143"/>
      <c r="CD38" s="143"/>
      <c r="CE38" s="143"/>
      <c r="CF38" s="143"/>
      <c r="CG38" s="143"/>
      <c r="CH38" s="143"/>
      <c r="CI38" s="143"/>
      <c r="CJ38" s="143"/>
      <c r="CK38" s="143"/>
      <c r="CL38" s="143"/>
      <c r="CM38" s="143"/>
      <c r="CN38" s="143"/>
      <c r="CO38" s="143"/>
      <c r="CP38" s="143"/>
      <c r="CQ38" s="143"/>
      <c r="CR38" s="143"/>
      <c r="CS38" s="143"/>
      <c r="CT38" s="143"/>
      <c r="CU38" s="143"/>
      <c r="CV38" s="143"/>
      <c r="CW38" s="143"/>
      <c r="CX38" s="143"/>
      <c r="CY38" s="143"/>
      <c r="CZ38" s="143"/>
      <c r="DA38" s="143"/>
      <c r="DB38" s="143"/>
      <c r="DC38" s="143"/>
      <c r="DD38" s="143"/>
      <c r="DE38" s="143"/>
      <c r="DF38" s="143"/>
      <c r="DG38" s="143"/>
      <c r="DH38" s="143"/>
      <c r="DI38" s="143"/>
      <c r="DJ38" s="143"/>
      <c r="DK38" s="143"/>
      <c r="DL38" s="143"/>
      <c r="DM38" s="143"/>
      <c r="DN38" s="143"/>
      <c r="DO38" s="143"/>
      <c r="DP38" s="143"/>
      <c r="DQ38" s="143"/>
      <c r="DR38" s="143"/>
      <c r="DS38" s="143"/>
      <c r="DT38" s="143"/>
      <c r="DU38" s="143"/>
      <c r="DV38" s="143"/>
      <c r="DW38" s="143"/>
      <c r="DX38" s="143"/>
      <c r="DY38" s="143"/>
      <c r="DZ38" s="143"/>
      <c r="EA38" s="143"/>
      <c r="EB38" s="143"/>
      <c r="EC38" s="143"/>
      <c r="ED38" s="143"/>
      <c r="EE38" s="143"/>
      <c r="EF38" s="143"/>
      <c r="EG38" s="143"/>
      <c r="EH38" s="143"/>
      <c r="EI38" s="143"/>
      <c r="EJ38" s="143"/>
      <c r="EK38" s="143"/>
      <c r="EL38" s="143"/>
      <c r="EM38" s="143"/>
      <c r="EN38" s="143"/>
      <c r="EO38" s="143"/>
      <c r="EP38" s="143"/>
      <c r="EQ38" s="143"/>
      <c r="ER38" s="143"/>
      <c r="ES38" s="143"/>
      <c r="ET38" s="143"/>
      <c r="EU38" s="143"/>
      <c r="EV38" s="143"/>
      <c r="EW38" s="143"/>
      <c r="EX38" s="143"/>
      <c r="EY38" s="143"/>
      <c r="EZ38" s="143"/>
      <c r="FA38" s="143"/>
      <c r="FB38" s="143"/>
      <c r="FC38" s="143"/>
      <c r="FD38" s="143"/>
      <c r="FE38" s="143"/>
      <c r="FF38" s="143"/>
      <c r="FG38" s="143"/>
      <c r="FH38" s="143"/>
      <c r="FI38" s="143"/>
      <c r="FJ38" s="143"/>
      <c r="FK38" s="143"/>
      <c r="FL38" s="143"/>
      <c r="FM38" s="143"/>
      <c r="FN38" s="143"/>
      <c r="FO38" s="143"/>
      <c r="FP38" s="143"/>
      <c r="FQ38" s="143"/>
      <c r="FR38" s="143"/>
      <c r="FS38" s="143"/>
      <c r="FT38" s="143"/>
      <c r="FU38" s="143"/>
      <c r="FV38" s="143"/>
      <c r="FW38" s="143"/>
      <c r="FX38" s="143"/>
      <c r="FY38" s="143"/>
      <c r="FZ38" s="143"/>
      <c r="GA38" s="143"/>
      <c r="GB38" s="143"/>
      <c r="GC38" s="143"/>
      <c r="GD38" s="143"/>
      <c r="GE38" s="143"/>
      <c r="GF38" s="143"/>
      <c r="GG38" s="143"/>
      <c r="GH38" s="143"/>
      <c r="GI38" s="143"/>
      <c r="GJ38" s="143"/>
      <c r="GK38" s="143"/>
      <c r="GL38" s="143"/>
      <c r="GM38" s="143"/>
      <c r="GN38" s="143"/>
      <c r="GO38" s="143"/>
      <c r="GP38" s="143"/>
      <c r="GQ38" s="143"/>
      <c r="GR38" s="143"/>
      <c r="GS38" s="143"/>
      <c r="GT38" s="143"/>
      <c r="GU38" s="143"/>
      <c r="GV38" s="143"/>
      <c r="GW38" s="143"/>
      <c r="GX38" s="143"/>
      <c r="GY38" s="143"/>
      <c r="GZ38" s="143"/>
      <c r="HA38" s="143"/>
      <c r="HB38" s="143"/>
      <c r="HC38" s="143"/>
      <c r="HD38" s="143"/>
      <c r="HE38" s="143"/>
      <c r="HF38" s="143"/>
      <c r="HG38" s="143"/>
      <c r="HH38" s="143"/>
      <c r="HI38" s="143"/>
      <c r="HJ38" s="143"/>
      <c r="HK38" s="143"/>
      <c r="HL38" s="143"/>
      <c r="HM38" s="143"/>
      <c r="HN38" s="143"/>
      <c r="HO38" s="143"/>
      <c r="HP38" s="143"/>
      <c r="HQ38" s="143"/>
      <c r="HR38" s="143"/>
      <c r="HS38" s="143"/>
      <c r="HT38" s="143"/>
      <c r="HU38" s="143"/>
      <c r="HV38" s="143"/>
      <c r="HW38" s="143"/>
      <c r="HX38" s="143"/>
      <c r="HY38" s="143"/>
      <c r="HZ38" s="143"/>
      <c r="IA38" s="143"/>
      <c r="IB38" s="143"/>
      <c r="IC38" s="143"/>
      <c r="ID38" s="143"/>
      <c r="IE38" s="143"/>
      <c r="IF38" s="143"/>
      <c r="IG38" s="143"/>
      <c r="IH38" s="143"/>
      <c r="II38" s="143"/>
      <c r="IJ38" s="143"/>
      <c r="IK38" s="143"/>
      <c r="IL38" s="143"/>
      <c r="IM38" s="143"/>
      <c r="IN38" s="143"/>
      <c r="IO38" s="143"/>
      <c r="IP38" s="143"/>
      <c r="IQ38" s="143"/>
      <c r="IR38" s="143"/>
      <c r="IS38" s="143"/>
      <c r="IT38" s="143"/>
      <c r="IU38" s="143"/>
      <c r="IV38" s="143"/>
      <c r="IW38" s="143"/>
      <c r="IX38" s="143"/>
      <c r="IY38" s="143"/>
      <c r="IZ38" s="143"/>
      <c r="JA38" s="143"/>
      <c r="JB38" s="143"/>
    </row>
    <row r="39" spans="1:262" ht="16.5">
      <c r="A39" s="143"/>
      <c r="B39" s="143"/>
      <c r="C39" s="143"/>
      <c r="D39" s="143"/>
      <c r="E39" s="143"/>
      <c r="F39" s="143"/>
      <c r="G39" s="143"/>
      <c r="H39" s="264"/>
      <c r="I39" s="264"/>
      <c r="J39" s="143"/>
      <c r="K39" s="143"/>
      <c r="L39" s="143"/>
      <c r="M39" s="264"/>
      <c r="N39" s="264"/>
      <c r="O39" s="267"/>
      <c r="P39" s="143"/>
      <c r="Q39" s="143"/>
      <c r="R39" s="143"/>
      <c r="S39" s="143"/>
      <c r="T39" s="143"/>
      <c r="U39" s="268"/>
      <c r="V39" s="143"/>
      <c r="W39" s="143"/>
      <c r="X39" s="246"/>
      <c r="Y39" s="143"/>
      <c r="Z39" s="143"/>
      <c r="AA39" s="260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3"/>
      <c r="BI39" s="143"/>
      <c r="BJ39" s="143"/>
      <c r="BK39" s="143"/>
      <c r="BL39" s="143"/>
      <c r="BM39" s="143"/>
      <c r="BN39" s="143"/>
      <c r="BO39" s="143"/>
      <c r="BP39" s="143"/>
      <c r="BQ39" s="143"/>
      <c r="BR39" s="143"/>
      <c r="BS39" s="143"/>
      <c r="BT39" s="143"/>
      <c r="BU39" s="143"/>
      <c r="BV39" s="143"/>
      <c r="BW39" s="143"/>
      <c r="BX39" s="143"/>
      <c r="BY39" s="143"/>
      <c r="BZ39" s="143"/>
      <c r="CA39" s="143"/>
      <c r="CB39" s="143"/>
      <c r="CC39" s="143"/>
      <c r="CD39" s="143"/>
      <c r="CE39" s="143"/>
      <c r="CF39" s="143"/>
      <c r="CG39" s="143"/>
      <c r="CH39" s="143"/>
      <c r="CI39" s="143"/>
      <c r="CJ39" s="143"/>
      <c r="CK39" s="143"/>
      <c r="CL39" s="143"/>
      <c r="CM39" s="143"/>
      <c r="CN39" s="143"/>
      <c r="CO39" s="143"/>
      <c r="CP39" s="143"/>
      <c r="CQ39" s="143"/>
      <c r="CR39" s="143"/>
      <c r="CS39" s="143"/>
      <c r="CT39" s="143"/>
      <c r="CU39" s="143"/>
      <c r="CV39" s="143"/>
      <c r="CW39" s="143"/>
      <c r="CX39" s="143"/>
      <c r="CY39" s="143"/>
      <c r="CZ39" s="143"/>
      <c r="DA39" s="143"/>
      <c r="DB39" s="143"/>
      <c r="DC39" s="143"/>
      <c r="DD39" s="143"/>
      <c r="DE39" s="143"/>
      <c r="DF39" s="143"/>
      <c r="DG39" s="143"/>
      <c r="DH39" s="143"/>
      <c r="DI39" s="143"/>
      <c r="DJ39" s="143"/>
      <c r="DK39" s="143"/>
      <c r="DL39" s="143"/>
      <c r="DM39" s="143"/>
      <c r="DN39" s="143"/>
      <c r="DO39" s="143"/>
      <c r="DP39" s="143"/>
      <c r="DQ39" s="143"/>
      <c r="DR39" s="143"/>
      <c r="DS39" s="143"/>
      <c r="DT39" s="143"/>
      <c r="DU39" s="143"/>
      <c r="DV39" s="143"/>
      <c r="DW39" s="143"/>
      <c r="DX39" s="143"/>
      <c r="DY39" s="143"/>
      <c r="DZ39" s="143"/>
      <c r="EA39" s="143"/>
      <c r="EB39" s="143"/>
      <c r="EC39" s="143"/>
      <c r="ED39" s="143"/>
      <c r="EE39" s="143"/>
      <c r="EF39" s="143"/>
      <c r="EG39" s="143"/>
      <c r="EH39" s="143"/>
      <c r="EI39" s="143"/>
      <c r="EJ39" s="143"/>
      <c r="EK39" s="143"/>
      <c r="EL39" s="143"/>
      <c r="EM39" s="143"/>
      <c r="EN39" s="143"/>
      <c r="EO39" s="143"/>
      <c r="EP39" s="143"/>
      <c r="EQ39" s="143"/>
      <c r="ER39" s="143"/>
      <c r="ES39" s="143"/>
      <c r="ET39" s="143"/>
      <c r="EU39" s="143"/>
      <c r="EV39" s="143"/>
      <c r="EW39" s="143"/>
      <c r="EX39" s="143"/>
      <c r="EY39" s="143"/>
      <c r="EZ39" s="143"/>
      <c r="FA39" s="143"/>
      <c r="FB39" s="143"/>
      <c r="FC39" s="143"/>
      <c r="FD39" s="143"/>
      <c r="FE39" s="143"/>
      <c r="FF39" s="143"/>
      <c r="FG39" s="143"/>
      <c r="FH39" s="143"/>
      <c r="FI39" s="143"/>
      <c r="FJ39" s="143"/>
      <c r="FK39" s="143"/>
      <c r="FL39" s="143"/>
      <c r="FM39" s="143"/>
      <c r="FN39" s="143"/>
      <c r="FO39" s="143"/>
      <c r="FP39" s="143"/>
      <c r="FQ39" s="143"/>
      <c r="FR39" s="143"/>
      <c r="FS39" s="143"/>
      <c r="FT39" s="143"/>
      <c r="FU39" s="143"/>
      <c r="FV39" s="143"/>
      <c r="FW39" s="143"/>
      <c r="FX39" s="143"/>
      <c r="FY39" s="143"/>
      <c r="FZ39" s="143"/>
      <c r="GA39" s="143"/>
      <c r="GB39" s="143"/>
      <c r="GC39" s="143"/>
      <c r="GD39" s="143"/>
      <c r="GE39" s="143"/>
      <c r="GF39" s="143"/>
      <c r="GG39" s="143"/>
      <c r="GH39" s="143"/>
      <c r="GI39" s="143"/>
      <c r="GJ39" s="143"/>
      <c r="GK39" s="143"/>
      <c r="GL39" s="143"/>
      <c r="GM39" s="143"/>
      <c r="GN39" s="143"/>
      <c r="GO39" s="143"/>
      <c r="GP39" s="143"/>
      <c r="GQ39" s="143"/>
      <c r="GR39" s="143"/>
      <c r="GS39" s="143"/>
      <c r="GT39" s="143"/>
      <c r="GU39" s="143"/>
      <c r="GV39" s="143"/>
      <c r="GW39" s="143"/>
      <c r="GX39" s="143"/>
      <c r="GY39" s="143"/>
      <c r="GZ39" s="143"/>
      <c r="HA39" s="143"/>
      <c r="HB39" s="143"/>
      <c r="HC39" s="143"/>
      <c r="HD39" s="143"/>
      <c r="HE39" s="143"/>
      <c r="HF39" s="143"/>
      <c r="HG39" s="143"/>
      <c r="HH39" s="143"/>
      <c r="HI39" s="143"/>
      <c r="HJ39" s="143"/>
      <c r="HK39" s="143"/>
      <c r="HL39" s="143"/>
      <c r="HM39" s="143"/>
      <c r="HN39" s="143"/>
      <c r="HO39" s="143"/>
      <c r="HP39" s="143"/>
      <c r="HQ39" s="143"/>
      <c r="HR39" s="143"/>
      <c r="HS39" s="143"/>
      <c r="HT39" s="143"/>
      <c r="HU39" s="143"/>
      <c r="HV39" s="143"/>
      <c r="HW39" s="143"/>
      <c r="HX39" s="143"/>
      <c r="HY39" s="143"/>
      <c r="HZ39" s="143"/>
      <c r="IA39" s="143"/>
      <c r="IB39" s="143"/>
      <c r="IC39" s="143"/>
      <c r="ID39" s="143"/>
      <c r="IE39" s="143"/>
      <c r="IF39" s="143"/>
      <c r="IG39" s="143"/>
      <c r="IH39" s="143"/>
      <c r="II39" s="143"/>
      <c r="IJ39" s="143"/>
      <c r="IK39" s="143"/>
      <c r="IL39" s="143"/>
      <c r="IM39" s="143"/>
      <c r="IN39" s="143"/>
      <c r="IO39" s="143"/>
      <c r="IP39" s="143"/>
      <c r="IQ39" s="143"/>
      <c r="IR39" s="143"/>
      <c r="IS39" s="143"/>
      <c r="IT39" s="143"/>
      <c r="IU39" s="143"/>
      <c r="IV39" s="143"/>
      <c r="IW39" s="143"/>
      <c r="IX39" s="143"/>
      <c r="IY39" s="143"/>
      <c r="IZ39" s="143"/>
      <c r="JA39" s="143"/>
      <c r="JB39" s="143"/>
    </row>
    <row r="40" spans="1:262" ht="16.5">
      <c r="A40" s="143"/>
      <c r="B40" s="143"/>
      <c r="C40" s="143"/>
      <c r="D40" s="143"/>
      <c r="E40" s="143"/>
      <c r="F40" s="143"/>
      <c r="G40" s="143"/>
      <c r="H40" s="264"/>
      <c r="I40" s="264"/>
      <c r="J40" s="143"/>
      <c r="K40" s="143"/>
      <c r="L40" s="143"/>
      <c r="M40" s="264"/>
      <c r="N40" s="264"/>
      <c r="O40" s="267"/>
      <c r="P40" s="143"/>
      <c r="Q40" s="143"/>
      <c r="R40" s="143"/>
      <c r="S40" s="143"/>
      <c r="T40" s="143"/>
      <c r="U40" s="268"/>
      <c r="V40" s="143"/>
      <c r="W40" s="143"/>
      <c r="X40" s="246"/>
      <c r="Y40" s="143"/>
      <c r="Z40" s="143"/>
      <c r="AA40" s="260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3"/>
      <c r="BI40" s="143"/>
      <c r="BJ40" s="143"/>
      <c r="BK40" s="143"/>
      <c r="BL40" s="143"/>
      <c r="BM40" s="143"/>
      <c r="BN40" s="143"/>
      <c r="BO40" s="143"/>
      <c r="BP40" s="143"/>
      <c r="BQ40" s="143"/>
      <c r="BR40" s="143"/>
      <c r="BS40" s="143"/>
      <c r="BT40" s="143"/>
      <c r="BU40" s="143"/>
      <c r="BV40" s="143"/>
      <c r="BW40" s="143"/>
      <c r="BX40" s="143"/>
      <c r="BY40" s="143"/>
      <c r="BZ40" s="143"/>
      <c r="CA40" s="143"/>
      <c r="CB40" s="143"/>
      <c r="CC40" s="143"/>
      <c r="CD40" s="143"/>
      <c r="CE40" s="143"/>
      <c r="CF40" s="143"/>
      <c r="CG40" s="143"/>
      <c r="CH40" s="143"/>
      <c r="CI40" s="143"/>
      <c r="CJ40" s="143"/>
      <c r="CK40" s="143"/>
      <c r="CL40" s="143"/>
      <c r="CM40" s="143"/>
      <c r="CN40" s="143"/>
      <c r="CO40" s="143"/>
      <c r="CP40" s="143"/>
      <c r="CQ40" s="143"/>
      <c r="CR40" s="143"/>
      <c r="CS40" s="143"/>
      <c r="CT40" s="143"/>
      <c r="CU40" s="143"/>
      <c r="CV40" s="143"/>
      <c r="CW40" s="143"/>
      <c r="CX40" s="143"/>
      <c r="CY40" s="143"/>
      <c r="CZ40" s="143"/>
      <c r="DA40" s="143"/>
      <c r="DB40" s="143"/>
      <c r="DC40" s="143"/>
      <c r="DD40" s="143"/>
      <c r="DE40" s="143"/>
      <c r="DF40" s="143"/>
      <c r="DG40" s="143"/>
      <c r="DH40" s="143"/>
      <c r="DI40" s="143"/>
      <c r="DJ40" s="143"/>
      <c r="DK40" s="143"/>
      <c r="DL40" s="143"/>
      <c r="DM40" s="143"/>
      <c r="DN40" s="143"/>
      <c r="DO40" s="143"/>
      <c r="DP40" s="143"/>
      <c r="DQ40" s="143"/>
      <c r="DR40" s="143"/>
      <c r="DS40" s="143"/>
      <c r="DT40" s="143"/>
      <c r="DU40" s="143"/>
      <c r="DV40" s="143"/>
      <c r="DW40" s="143"/>
      <c r="DX40" s="143"/>
      <c r="DY40" s="143"/>
      <c r="DZ40" s="143"/>
      <c r="EA40" s="143"/>
      <c r="EB40" s="143"/>
      <c r="EC40" s="143"/>
      <c r="ED40" s="143"/>
      <c r="EE40" s="143"/>
      <c r="EF40" s="143"/>
      <c r="EG40" s="143"/>
      <c r="EH40" s="143"/>
      <c r="EI40" s="143"/>
      <c r="EJ40" s="143"/>
      <c r="EK40" s="143"/>
      <c r="EL40" s="143"/>
      <c r="EM40" s="143"/>
      <c r="EN40" s="143"/>
      <c r="EO40" s="143"/>
      <c r="EP40" s="143"/>
      <c r="EQ40" s="143"/>
      <c r="ER40" s="143"/>
      <c r="ES40" s="143"/>
      <c r="ET40" s="143"/>
      <c r="EU40" s="143"/>
      <c r="EV40" s="143"/>
      <c r="EW40" s="143"/>
      <c r="EX40" s="143"/>
      <c r="EY40" s="143"/>
      <c r="EZ40" s="143"/>
      <c r="FA40" s="143"/>
      <c r="FB40" s="143"/>
      <c r="FC40" s="143"/>
      <c r="FD40" s="143"/>
      <c r="FE40" s="143"/>
      <c r="FF40" s="143"/>
      <c r="FG40" s="143"/>
      <c r="FH40" s="143"/>
      <c r="FI40" s="143"/>
      <c r="FJ40" s="143"/>
      <c r="FK40" s="143"/>
      <c r="FL40" s="143"/>
      <c r="FM40" s="143"/>
      <c r="FN40" s="143"/>
      <c r="FO40" s="143"/>
      <c r="FP40" s="143"/>
      <c r="FQ40" s="143"/>
      <c r="FR40" s="143"/>
      <c r="FS40" s="143"/>
      <c r="FT40" s="143"/>
      <c r="FU40" s="143"/>
      <c r="FV40" s="143"/>
      <c r="FW40" s="143"/>
      <c r="FX40" s="143"/>
      <c r="FY40" s="143"/>
      <c r="FZ40" s="143"/>
      <c r="GA40" s="143"/>
      <c r="GB40" s="143"/>
      <c r="GC40" s="143"/>
      <c r="GD40" s="143"/>
      <c r="GE40" s="143"/>
      <c r="GF40" s="143"/>
      <c r="GG40" s="143"/>
      <c r="GH40" s="143"/>
      <c r="GI40" s="143"/>
      <c r="GJ40" s="143"/>
      <c r="GK40" s="143"/>
      <c r="GL40" s="143"/>
      <c r="GM40" s="143"/>
      <c r="GN40" s="143"/>
      <c r="GO40" s="143"/>
      <c r="GP40" s="143"/>
      <c r="GQ40" s="143"/>
      <c r="GR40" s="143"/>
      <c r="GS40" s="143"/>
      <c r="GT40" s="143"/>
      <c r="GU40" s="143"/>
      <c r="GV40" s="143"/>
      <c r="GW40" s="143"/>
      <c r="GX40" s="143"/>
      <c r="GY40" s="143"/>
      <c r="GZ40" s="143"/>
      <c r="HA40" s="143"/>
      <c r="HB40" s="143"/>
      <c r="HC40" s="143"/>
      <c r="HD40" s="143"/>
      <c r="HE40" s="143"/>
      <c r="HF40" s="143"/>
      <c r="HG40" s="143"/>
      <c r="HH40" s="143"/>
      <c r="HI40" s="143"/>
      <c r="HJ40" s="143"/>
      <c r="HK40" s="143"/>
      <c r="HL40" s="143"/>
      <c r="HM40" s="143"/>
      <c r="HN40" s="143"/>
      <c r="HO40" s="143"/>
      <c r="HP40" s="143"/>
      <c r="HQ40" s="143"/>
      <c r="HR40" s="143"/>
      <c r="HS40" s="143"/>
      <c r="HT40" s="143"/>
      <c r="HU40" s="143"/>
      <c r="HV40" s="143"/>
      <c r="HW40" s="143"/>
      <c r="HX40" s="143"/>
      <c r="HY40" s="143"/>
      <c r="HZ40" s="143"/>
      <c r="IA40" s="143"/>
      <c r="IB40" s="143"/>
      <c r="IC40" s="143"/>
      <c r="ID40" s="143"/>
      <c r="IE40" s="143"/>
      <c r="IF40" s="143"/>
      <c r="IG40" s="143"/>
      <c r="IH40" s="143"/>
      <c r="II40" s="143"/>
      <c r="IJ40" s="143"/>
      <c r="IK40" s="143"/>
      <c r="IL40" s="143"/>
      <c r="IM40" s="143"/>
      <c r="IN40" s="143"/>
      <c r="IO40" s="143"/>
      <c r="IP40" s="143"/>
      <c r="IQ40" s="143"/>
      <c r="IR40" s="143"/>
      <c r="IS40" s="143"/>
      <c r="IT40" s="143"/>
      <c r="IU40" s="143"/>
      <c r="IV40" s="143"/>
      <c r="IW40" s="143"/>
      <c r="IX40" s="143"/>
      <c r="IY40" s="143"/>
      <c r="IZ40" s="143"/>
      <c r="JA40" s="143"/>
      <c r="JB40" s="143"/>
    </row>
    <row r="41" spans="1:262" ht="16.5">
      <c r="A41" s="143"/>
      <c r="B41" s="143"/>
      <c r="C41" s="143"/>
      <c r="D41" s="143"/>
      <c r="E41" s="143"/>
      <c r="F41" s="143"/>
      <c r="G41" s="143"/>
      <c r="H41" s="264"/>
      <c r="I41" s="264"/>
      <c r="J41" s="143"/>
      <c r="K41" s="143"/>
      <c r="L41" s="143"/>
      <c r="M41" s="264"/>
      <c r="N41" s="264"/>
      <c r="O41" s="267"/>
      <c r="P41" s="143"/>
      <c r="Q41" s="143"/>
      <c r="R41" s="143"/>
      <c r="S41" s="143"/>
      <c r="T41" s="143"/>
      <c r="U41" s="268"/>
      <c r="V41" s="143"/>
      <c r="W41" s="143"/>
      <c r="X41" s="246"/>
      <c r="Y41" s="143"/>
      <c r="Z41" s="143"/>
      <c r="AA41" s="260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  <c r="BD41" s="143"/>
      <c r="BE41" s="143"/>
      <c r="BF41" s="143"/>
      <c r="BG41" s="143"/>
      <c r="BH41" s="143"/>
      <c r="BI41" s="143"/>
      <c r="BJ41" s="143"/>
      <c r="BK41" s="143"/>
      <c r="BL41" s="143"/>
      <c r="BM41" s="143"/>
      <c r="BN41" s="143"/>
      <c r="BO41" s="143"/>
      <c r="BP41" s="143"/>
      <c r="BQ41" s="143"/>
      <c r="BR41" s="143"/>
      <c r="BS41" s="143"/>
      <c r="BT41" s="143"/>
      <c r="BU41" s="143"/>
      <c r="BV41" s="143"/>
      <c r="BW41" s="143"/>
      <c r="BX41" s="143"/>
      <c r="BY41" s="143"/>
      <c r="BZ41" s="143"/>
      <c r="CA41" s="143"/>
      <c r="CB41" s="143"/>
      <c r="CC41" s="143"/>
      <c r="CD41" s="143"/>
      <c r="CE41" s="143"/>
      <c r="CF41" s="143"/>
      <c r="CG41" s="143"/>
      <c r="CH41" s="143"/>
      <c r="CI41" s="143"/>
      <c r="CJ41" s="143"/>
      <c r="CK41" s="143"/>
      <c r="CL41" s="143"/>
      <c r="CM41" s="143"/>
      <c r="CN41" s="143"/>
      <c r="CO41" s="143"/>
      <c r="CP41" s="143"/>
      <c r="CQ41" s="143"/>
      <c r="CR41" s="143"/>
      <c r="CS41" s="143"/>
      <c r="CT41" s="143"/>
      <c r="CU41" s="143"/>
      <c r="CV41" s="143"/>
      <c r="CW41" s="143"/>
      <c r="CX41" s="143"/>
      <c r="CY41" s="143"/>
      <c r="CZ41" s="143"/>
      <c r="DA41" s="143"/>
      <c r="DB41" s="143"/>
      <c r="DC41" s="143"/>
      <c r="DD41" s="143"/>
      <c r="DE41" s="143"/>
      <c r="DF41" s="143"/>
      <c r="DG41" s="143"/>
      <c r="DH41" s="143"/>
      <c r="DI41" s="143"/>
      <c r="DJ41" s="143"/>
      <c r="DK41" s="143"/>
      <c r="DL41" s="143"/>
      <c r="DM41" s="143"/>
      <c r="DN41" s="143"/>
      <c r="DO41" s="143"/>
      <c r="DP41" s="143"/>
      <c r="DQ41" s="143"/>
      <c r="DR41" s="143"/>
      <c r="DS41" s="143"/>
      <c r="DT41" s="143"/>
      <c r="DU41" s="143"/>
      <c r="DV41" s="143"/>
      <c r="DW41" s="143"/>
      <c r="DX41" s="143"/>
      <c r="DY41" s="143"/>
      <c r="DZ41" s="143"/>
      <c r="EA41" s="143"/>
      <c r="EB41" s="143"/>
      <c r="EC41" s="143"/>
      <c r="ED41" s="143"/>
      <c r="EE41" s="143"/>
      <c r="EF41" s="143"/>
      <c r="EG41" s="143"/>
      <c r="EH41" s="143"/>
      <c r="EI41" s="143"/>
      <c r="EJ41" s="143"/>
      <c r="EK41" s="143"/>
      <c r="EL41" s="143"/>
      <c r="EM41" s="143"/>
      <c r="EN41" s="143"/>
      <c r="EO41" s="143"/>
      <c r="EP41" s="143"/>
      <c r="EQ41" s="143"/>
      <c r="ER41" s="143"/>
      <c r="ES41" s="143"/>
      <c r="ET41" s="143"/>
      <c r="EU41" s="143"/>
      <c r="EV41" s="143"/>
      <c r="EW41" s="143"/>
      <c r="EX41" s="143"/>
      <c r="EY41" s="143"/>
      <c r="EZ41" s="143"/>
      <c r="FA41" s="143"/>
      <c r="FB41" s="143"/>
      <c r="FC41" s="143"/>
      <c r="FD41" s="143"/>
      <c r="FE41" s="143"/>
      <c r="FF41" s="143"/>
      <c r="FG41" s="143"/>
      <c r="FH41" s="143"/>
      <c r="FI41" s="143"/>
      <c r="FJ41" s="143"/>
      <c r="FK41" s="143"/>
      <c r="FL41" s="143"/>
      <c r="FM41" s="143"/>
      <c r="FN41" s="143"/>
      <c r="FO41" s="143"/>
      <c r="FP41" s="143"/>
      <c r="FQ41" s="143"/>
      <c r="FR41" s="143"/>
      <c r="FS41" s="143"/>
      <c r="FT41" s="143"/>
      <c r="FU41" s="143"/>
      <c r="FV41" s="143"/>
      <c r="FW41" s="143"/>
      <c r="FX41" s="143"/>
      <c r="FY41" s="143"/>
      <c r="FZ41" s="143"/>
      <c r="GA41" s="143"/>
      <c r="GB41" s="143"/>
      <c r="GC41" s="143"/>
      <c r="GD41" s="143"/>
      <c r="GE41" s="143"/>
      <c r="GF41" s="143"/>
      <c r="GG41" s="143"/>
      <c r="GH41" s="143"/>
      <c r="GI41" s="143"/>
      <c r="GJ41" s="143"/>
      <c r="GK41" s="143"/>
      <c r="GL41" s="143"/>
      <c r="GM41" s="143"/>
      <c r="GN41" s="143"/>
      <c r="GO41" s="143"/>
      <c r="GP41" s="143"/>
      <c r="GQ41" s="143"/>
      <c r="GR41" s="143"/>
      <c r="GS41" s="143"/>
      <c r="GT41" s="143"/>
      <c r="GU41" s="143"/>
      <c r="GV41" s="143"/>
      <c r="GW41" s="143"/>
      <c r="GX41" s="143"/>
      <c r="GY41" s="143"/>
      <c r="GZ41" s="143"/>
      <c r="HA41" s="143"/>
      <c r="HB41" s="143"/>
      <c r="HC41" s="143"/>
      <c r="HD41" s="143"/>
      <c r="HE41" s="143"/>
      <c r="HF41" s="143"/>
      <c r="HG41" s="143"/>
      <c r="HH41" s="143"/>
      <c r="HI41" s="143"/>
      <c r="HJ41" s="143"/>
      <c r="HK41" s="143"/>
      <c r="HL41" s="143"/>
      <c r="HM41" s="143"/>
      <c r="HN41" s="143"/>
      <c r="HO41" s="143"/>
      <c r="HP41" s="143"/>
      <c r="HQ41" s="143"/>
      <c r="HR41" s="143"/>
      <c r="HS41" s="143"/>
      <c r="HT41" s="143"/>
      <c r="HU41" s="143"/>
      <c r="HV41" s="143"/>
      <c r="HW41" s="143"/>
      <c r="HX41" s="143"/>
      <c r="HY41" s="143"/>
      <c r="HZ41" s="143"/>
      <c r="IA41" s="143"/>
      <c r="IB41" s="143"/>
      <c r="IC41" s="143"/>
      <c r="ID41" s="143"/>
      <c r="IE41" s="143"/>
      <c r="IF41" s="143"/>
      <c r="IG41" s="143"/>
      <c r="IH41" s="143"/>
      <c r="II41" s="143"/>
      <c r="IJ41" s="143"/>
      <c r="IK41" s="143"/>
      <c r="IL41" s="143"/>
      <c r="IM41" s="143"/>
      <c r="IN41" s="143"/>
      <c r="IO41" s="143"/>
      <c r="IP41" s="143"/>
      <c r="IQ41" s="143"/>
      <c r="IR41" s="143"/>
      <c r="IS41" s="143"/>
      <c r="IT41" s="143"/>
      <c r="IU41" s="143"/>
      <c r="IV41" s="143"/>
      <c r="IW41" s="143"/>
      <c r="IX41" s="143"/>
      <c r="IY41" s="143"/>
      <c r="IZ41" s="143"/>
      <c r="JA41" s="143"/>
      <c r="JB41" s="143"/>
    </row>
    <row r="42" spans="1:262" ht="16.5">
      <c r="A42" s="143"/>
      <c r="B42" s="143"/>
      <c r="C42" s="143"/>
      <c r="D42" s="143"/>
      <c r="E42" s="143"/>
      <c r="F42" s="143"/>
      <c r="G42" s="143"/>
      <c r="H42" s="264"/>
      <c r="I42" s="264"/>
      <c r="J42" s="143"/>
      <c r="K42" s="143"/>
      <c r="L42" s="143"/>
      <c r="M42" s="264"/>
      <c r="N42" s="264"/>
      <c r="O42" s="267"/>
      <c r="P42" s="143"/>
      <c r="Q42" s="143"/>
      <c r="R42" s="143"/>
      <c r="S42" s="143"/>
      <c r="T42" s="143"/>
      <c r="U42" s="268"/>
      <c r="V42" s="143"/>
      <c r="W42" s="143"/>
      <c r="X42" s="246"/>
      <c r="Y42" s="143"/>
      <c r="Z42" s="143"/>
      <c r="AA42" s="260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  <c r="BD42" s="143"/>
      <c r="BE42" s="143"/>
      <c r="BF42" s="143"/>
      <c r="BG42" s="143"/>
      <c r="BH42" s="143"/>
      <c r="BI42" s="143"/>
      <c r="BJ42" s="143"/>
      <c r="BK42" s="143"/>
      <c r="BL42" s="143"/>
      <c r="BM42" s="143"/>
      <c r="BN42" s="143"/>
      <c r="BO42" s="143"/>
      <c r="BP42" s="143"/>
      <c r="BQ42" s="143"/>
      <c r="BR42" s="143"/>
      <c r="BS42" s="143"/>
      <c r="BT42" s="143"/>
      <c r="BU42" s="143"/>
      <c r="BV42" s="143"/>
      <c r="BW42" s="143"/>
      <c r="BX42" s="143"/>
      <c r="BY42" s="143"/>
      <c r="BZ42" s="143"/>
      <c r="CA42" s="143"/>
      <c r="CB42" s="143"/>
      <c r="CC42" s="143"/>
      <c r="CD42" s="143"/>
      <c r="CE42" s="143"/>
      <c r="CF42" s="143"/>
      <c r="CG42" s="143"/>
      <c r="CH42" s="143"/>
      <c r="CI42" s="143"/>
      <c r="CJ42" s="143"/>
      <c r="CK42" s="143"/>
      <c r="CL42" s="143"/>
      <c r="CM42" s="143"/>
      <c r="CN42" s="143"/>
      <c r="CO42" s="143"/>
      <c r="CP42" s="143"/>
      <c r="CQ42" s="143"/>
      <c r="CR42" s="143"/>
      <c r="CS42" s="143"/>
      <c r="CT42" s="143"/>
      <c r="CU42" s="143"/>
      <c r="CV42" s="143"/>
      <c r="CW42" s="143"/>
      <c r="CX42" s="143"/>
      <c r="CY42" s="143"/>
      <c r="CZ42" s="143"/>
      <c r="DA42" s="143"/>
      <c r="DB42" s="143"/>
      <c r="DC42" s="143"/>
      <c r="DD42" s="143"/>
      <c r="DE42" s="143"/>
      <c r="DF42" s="143"/>
      <c r="DG42" s="143"/>
      <c r="DH42" s="143"/>
      <c r="DI42" s="143"/>
      <c r="DJ42" s="143"/>
      <c r="DK42" s="143"/>
      <c r="DL42" s="143"/>
      <c r="DM42" s="143"/>
      <c r="DN42" s="143"/>
      <c r="DO42" s="143"/>
      <c r="DP42" s="143"/>
      <c r="DQ42" s="143"/>
      <c r="DR42" s="143"/>
      <c r="DS42" s="143"/>
      <c r="DT42" s="143"/>
      <c r="DU42" s="143"/>
      <c r="DV42" s="143"/>
      <c r="DW42" s="143"/>
      <c r="DX42" s="143"/>
      <c r="DY42" s="143"/>
      <c r="DZ42" s="143"/>
      <c r="EA42" s="143"/>
      <c r="EB42" s="143"/>
      <c r="EC42" s="143"/>
      <c r="ED42" s="143"/>
      <c r="EE42" s="143"/>
      <c r="EF42" s="143"/>
      <c r="EG42" s="143"/>
      <c r="EH42" s="143"/>
      <c r="EI42" s="143"/>
      <c r="EJ42" s="143"/>
      <c r="EK42" s="143"/>
      <c r="EL42" s="143"/>
      <c r="EM42" s="143"/>
      <c r="EN42" s="143"/>
      <c r="EO42" s="143"/>
      <c r="EP42" s="143"/>
      <c r="EQ42" s="143"/>
      <c r="ER42" s="143"/>
      <c r="ES42" s="143"/>
      <c r="ET42" s="143"/>
      <c r="EU42" s="143"/>
      <c r="EV42" s="143"/>
      <c r="EW42" s="143"/>
      <c r="EX42" s="143"/>
      <c r="EY42" s="143"/>
      <c r="EZ42" s="143"/>
      <c r="FA42" s="143"/>
      <c r="FB42" s="143"/>
      <c r="FC42" s="143"/>
      <c r="FD42" s="143"/>
      <c r="FE42" s="143"/>
      <c r="FF42" s="143"/>
      <c r="FG42" s="143"/>
      <c r="FH42" s="143"/>
      <c r="FI42" s="143"/>
      <c r="FJ42" s="143"/>
      <c r="FK42" s="143"/>
      <c r="FL42" s="143"/>
      <c r="FM42" s="143"/>
      <c r="FN42" s="143"/>
      <c r="FO42" s="143"/>
      <c r="FP42" s="143"/>
      <c r="FQ42" s="143"/>
      <c r="FR42" s="143"/>
      <c r="FS42" s="143"/>
      <c r="FT42" s="143"/>
      <c r="FU42" s="143"/>
      <c r="FV42" s="143"/>
      <c r="FW42" s="143"/>
      <c r="FX42" s="143"/>
      <c r="FY42" s="143"/>
      <c r="FZ42" s="143"/>
      <c r="GA42" s="143"/>
      <c r="GB42" s="143"/>
      <c r="GC42" s="143"/>
      <c r="GD42" s="143"/>
      <c r="GE42" s="143"/>
      <c r="GF42" s="143"/>
      <c r="GG42" s="143"/>
      <c r="GH42" s="143"/>
      <c r="GI42" s="143"/>
      <c r="GJ42" s="143"/>
      <c r="GK42" s="143"/>
      <c r="GL42" s="143"/>
      <c r="GM42" s="143"/>
      <c r="GN42" s="143"/>
      <c r="GO42" s="143"/>
      <c r="GP42" s="143"/>
      <c r="GQ42" s="143"/>
      <c r="GR42" s="143"/>
      <c r="GS42" s="143"/>
      <c r="GT42" s="143"/>
      <c r="GU42" s="143"/>
      <c r="GV42" s="143"/>
      <c r="GW42" s="143"/>
      <c r="GX42" s="143"/>
      <c r="GY42" s="143"/>
      <c r="GZ42" s="143"/>
      <c r="HA42" s="143"/>
      <c r="HB42" s="143"/>
      <c r="HC42" s="143"/>
      <c r="HD42" s="143"/>
      <c r="HE42" s="143"/>
      <c r="HF42" s="143"/>
      <c r="HG42" s="143"/>
      <c r="HH42" s="143"/>
      <c r="HI42" s="143"/>
      <c r="HJ42" s="143"/>
      <c r="HK42" s="143"/>
      <c r="HL42" s="143"/>
      <c r="HM42" s="143"/>
      <c r="HN42" s="143"/>
      <c r="HO42" s="143"/>
      <c r="HP42" s="143"/>
      <c r="HQ42" s="143"/>
      <c r="HR42" s="143"/>
      <c r="HS42" s="143"/>
      <c r="HT42" s="143"/>
      <c r="HU42" s="143"/>
      <c r="HV42" s="143"/>
      <c r="HW42" s="143"/>
      <c r="HX42" s="143"/>
      <c r="HY42" s="143"/>
      <c r="HZ42" s="143"/>
      <c r="IA42" s="143"/>
      <c r="IB42" s="143"/>
      <c r="IC42" s="143"/>
      <c r="ID42" s="143"/>
      <c r="IE42" s="143"/>
      <c r="IF42" s="143"/>
      <c r="IG42" s="143"/>
      <c r="IH42" s="143"/>
      <c r="II42" s="143"/>
      <c r="IJ42" s="143"/>
      <c r="IK42" s="143"/>
      <c r="IL42" s="143"/>
      <c r="IM42" s="143"/>
      <c r="IN42" s="143"/>
      <c r="IO42" s="143"/>
      <c r="IP42" s="143"/>
      <c r="IQ42" s="143"/>
      <c r="IR42" s="143"/>
      <c r="IS42" s="143"/>
      <c r="IT42" s="143"/>
      <c r="IU42" s="143"/>
      <c r="IV42" s="143"/>
      <c r="IW42" s="143"/>
      <c r="IX42" s="143"/>
      <c r="IY42" s="143"/>
      <c r="IZ42" s="143"/>
      <c r="JA42" s="143"/>
      <c r="JB42" s="143"/>
    </row>
  </sheetData>
  <mergeCells count="11">
    <mergeCell ref="A33:N33"/>
    <mergeCell ref="A9:N9"/>
    <mergeCell ref="D24:N24"/>
    <mergeCell ref="A26:N26"/>
    <mergeCell ref="A32:B32"/>
    <mergeCell ref="A8:N8"/>
    <mergeCell ref="A1:N1"/>
    <mergeCell ref="A2:N2"/>
    <mergeCell ref="A3:N3"/>
    <mergeCell ref="A4:G4"/>
    <mergeCell ref="A5:G5"/>
  </mergeCells>
  <printOptions horizontalCentered="1"/>
  <pageMargins left="0.196850393700787" right="0.196850393700787" top="0.34" bottom="0.59055118110236204" header="0.2" footer="0.31496062992126"/>
  <pageSetup paperSize="9" scale="65" fitToHeight="0" orientation="landscape" r:id="rId1"/>
  <colBreaks count="1" manualBreakCount="1">
    <brk id="14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N46"/>
  <sheetViews>
    <sheetView tabSelected="1" topLeftCell="A15" zoomScale="90" zoomScaleNormal="90" zoomScaleSheetLayoutView="100" workbookViewId="0">
      <selection activeCell="I35" sqref="I35"/>
    </sheetView>
  </sheetViews>
  <sheetFormatPr defaultColWidth="9.140625" defaultRowHeight="15.75"/>
  <cols>
    <col min="1" max="1" width="5.85546875" style="4" customWidth="1"/>
    <col min="2" max="2" width="41.28515625" style="4" customWidth="1"/>
    <col min="3" max="3" width="9.7109375" style="23" customWidth="1"/>
    <col min="4" max="4" width="16.140625" style="204" customWidth="1"/>
    <col min="5" max="5" width="17.7109375" style="730" customWidth="1"/>
    <col min="6" max="6" width="18.42578125" style="129" customWidth="1"/>
    <col min="7" max="7" width="19.28515625" style="129" customWidth="1"/>
    <col min="8" max="8" width="19.42578125" style="129" hidden="1" customWidth="1"/>
    <col min="9" max="9" width="24.42578125" style="214" customWidth="1"/>
    <col min="10" max="10" width="15" style="4" customWidth="1"/>
    <col min="11" max="11" width="18.42578125" style="4" customWidth="1"/>
    <col min="12" max="12" width="21.28515625" style="4" bestFit="1" customWidth="1"/>
    <col min="13" max="13" width="15.5703125" style="4" bestFit="1" customWidth="1"/>
    <col min="14" max="14" width="11.85546875" style="4" customWidth="1"/>
    <col min="15" max="16384" width="9.140625" style="4"/>
  </cols>
  <sheetData>
    <row r="2" spans="1:13">
      <c r="A2" s="1456" t="s">
        <v>51</v>
      </c>
      <c r="B2" s="1456"/>
      <c r="C2" s="1456"/>
      <c r="D2" s="1456"/>
      <c r="E2" s="1456"/>
      <c r="F2" s="1456"/>
      <c r="G2" s="1456"/>
      <c r="H2" s="1456"/>
      <c r="I2" s="1456"/>
    </row>
    <row r="3" spans="1:13">
      <c r="A3" s="1456" t="s">
        <v>0</v>
      </c>
      <c r="B3" s="1456"/>
      <c r="C3" s="1456"/>
      <c r="D3" s="1456"/>
      <c r="E3" s="1456"/>
      <c r="F3" s="1456"/>
      <c r="G3" s="1456"/>
      <c r="H3" s="1456"/>
      <c r="I3" s="1456"/>
    </row>
    <row r="4" spans="1:13">
      <c r="A4" s="1593" t="s">
        <v>278</v>
      </c>
      <c r="B4" s="1456"/>
      <c r="C4" s="1456"/>
      <c r="D4" s="1456"/>
      <c r="E4" s="1456"/>
      <c r="F4" s="1456"/>
      <c r="G4" s="1456"/>
      <c r="H4" s="1456"/>
      <c r="I4" s="1456"/>
    </row>
    <row r="5" spans="1:13" ht="13.5" customHeight="1">
      <c r="H5" s="204"/>
      <c r="I5" s="25"/>
    </row>
    <row r="6" spans="1:13" ht="18" customHeight="1">
      <c r="A6" s="1578" t="s">
        <v>550</v>
      </c>
      <c r="B6" s="1578"/>
      <c r="C6" s="1578"/>
      <c r="H6" s="204"/>
      <c r="I6" s="25"/>
    </row>
    <row r="7" spans="1:13" ht="15" customHeight="1">
      <c r="A7" s="1456" t="s">
        <v>540</v>
      </c>
      <c r="B7" s="1456"/>
      <c r="C7" s="1456"/>
      <c r="H7" s="204"/>
      <c r="I7" s="25"/>
    </row>
    <row r="8" spans="1:13" ht="15" customHeight="1">
      <c r="A8" s="419"/>
      <c r="B8" s="419"/>
      <c r="C8" s="419"/>
      <c r="H8" s="204"/>
      <c r="I8" s="25"/>
    </row>
    <row r="9" spans="1:13" s="3" customFormat="1" ht="20.25" customHeight="1">
      <c r="A9" s="1580" t="s">
        <v>823</v>
      </c>
      <c r="B9" s="1580"/>
      <c r="C9" s="1580"/>
      <c r="D9" s="1580"/>
      <c r="E9" s="1580"/>
      <c r="F9" s="1580"/>
      <c r="G9" s="1580"/>
      <c r="H9" s="1580"/>
      <c r="I9" s="1580"/>
    </row>
    <row r="10" spans="1:13" ht="15.75" customHeight="1">
      <c r="A10" s="1595" t="s">
        <v>824</v>
      </c>
      <c r="B10" s="1596"/>
      <c r="C10" s="1596"/>
      <c r="D10" s="1596"/>
      <c r="E10" s="1596"/>
      <c r="F10" s="1596"/>
      <c r="G10" s="1596"/>
      <c r="H10" s="1596"/>
      <c r="I10" s="1596"/>
    </row>
    <row r="11" spans="1:13" ht="15.75" customHeight="1">
      <c r="A11" s="334"/>
      <c r="B11" s="334"/>
      <c r="F11" s="204"/>
      <c r="G11" s="204"/>
      <c r="H11" s="1597" t="s">
        <v>401</v>
      </c>
      <c r="I11" s="1597"/>
      <c r="J11" s="4">
        <f>'CNKT '!F11</f>
        <v>670.76</v>
      </c>
    </row>
    <row r="12" spans="1:13" s="176" customFormat="1" ht="53.25" customHeight="1">
      <c r="A12" s="335" t="s">
        <v>4</v>
      </c>
      <c r="B12" s="335" t="s">
        <v>164</v>
      </c>
      <c r="C12" s="175" t="s">
        <v>7</v>
      </c>
      <c r="D12" s="205" t="s">
        <v>165</v>
      </c>
      <c r="E12" s="205" t="s">
        <v>166</v>
      </c>
      <c r="F12" s="205" t="s">
        <v>167</v>
      </c>
      <c r="G12" s="205" t="s">
        <v>386</v>
      </c>
      <c r="H12" s="205" t="s">
        <v>387</v>
      </c>
      <c r="I12" s="211" t="s">
        <v>62</v>
      </c>
    </row>
    <row r="13" spans="1:13" ht="20.100000000000001" customHeight="1">
      <c r="A13" s="731" t="s">
        <v>66</v>
      </c>
      <c r="B13" s="732" t="s">
        <v>549</v>
      </c>
      <c r="C13" s="733"/>
      <c r="D13" s="206"/>
      <c r="E13" s="206"/>
      <c r="F13" s="206"/>
      <c r="G13" s="207">
        <f>G14+G31</f>
        <v>1120009762</v>
      </c>
      <c r="H13" s="207">
        <f>H14+H31</f>
        <v>1117987548.4447262</v>
      </c>
      <c r="I13" s="212"/>
      <c r="K13" s="734"/>
      <c r="L13" s="735"/>
    </row>
    <row r="14" spans="1:13" ht="22.5" customHeight="1">
      <c r="A14" s="736">
        <v>1</v>
      </c>
      <c r="B14" s="194" t="s">
        <v>169</v>
      </c>
      <c r="C14" s="737"/>
      <c r="D14" s="206"/>
      <c r="E14" s="206"/>
      <c r="F14" s="206"/>
      <c r="G14" s="206">
        <f>G15+G21+G30</f>
        <v>1112209762</v>
      </c>
      <c r="H14" s="206">
        <f>H15+H21+H30</f>
        <v>1110187548.4447262</v>
      </c>
      <c r="I14" s="213"/>
      <c r="K14" s="738"/>
    </row>
    <row r="15" spans="1:13" ht="22.5" customHeight="1">
      <c r="A15" s="177" t="s">
        <v>300</v>
      </c>
      <c r="B15" s="739" t="s">
        <v>170</v>
      </c>
      <c r="C15" s="740"/>
      <c r="D15" s="206"/>
      <c r="E15" s="206">
        <f>SUM(E16:E20)</f>
        <v>232698.69100000002</v>
      </c>
      <c r="F15" s="206"/>
      <c r="G15" s="206">
        <f>SUM(G16:G20)</f>
        <v>943882925</v>
      </c>
      <c r="H15" s="206">
        <f>SUM(H16:H19)</f>
        <v>941860748.65272629</v>
      </c>
      <c r="I15" s="213"/>
      <c r="K15" s="178"/>
      <c r="L15" s="741"/>
      <c r="M15" s="742"/>
    </row>
    <row r="16" spans="1:13" ht="22.5" customHeight="1">
      <c r="A16" s="736"/>
      <c r="B16" s="194" t="s">
        <v>285</v>
      </c>
      <c r="C16" s="743" t="s">
        <v>171</v>
      </c>
      <c r="D16" s="206"/>
      <c r="E16" s="206">
        <f>SUMIF('BTH mủ tạp'!AN17:AN161,"A",'BTH mủ tạp'!AM17:AM161)</f>
        <v>192551.67837158771</v>
      </c>
      <c r="F16" s="744">
        <f>6.1*$J$11</f>
        <v>4091.6359999999995</v>
      </c>
      <c r="G16" s="744">
        <f>ROUND((E16*F16),0)-1</f>
        <v>787851378</v>
      </c>
      <c r="H16" s="206">
        <f>E16*F16</f>
        <v>787851379.08560956</v>
      </c>
      <c r="I16" s="213"/>
      <c r="K16" s="588">
        <f>'LƯƠNG CN TRỰC TIẾP '!M175</f>
        <v>1112209762</v>
      </c>
      <c r="L16" s="159"/>
    </row>
    <row r="17" spans="1:14" ht="22.5" customHeight="1">
      <c r="A17" s="736"/>
      <c r="B17" s="194" t="s">
        <v>286</v>
      </c>
      <c r="C17" s="740" t="s">
        <v>171</v>
      </c>
      <c r="D17" s="206"/>
      <c r="E17" s="206">
        <f>SUMIF('BTH mủ tạp'!AN17:AN160,"B",'BTH mủ tạp'!AM17:AM160)</f>
        <v>38379.785301203599</v>
      </c>
      <c r="F17" s="744">
        <f>5.8*$J$11</f>
        <v>3890.4079999999999</v>
      </c>
      <c r="G17" s="744">
        <f>ROUND((E17*F17),0)</f>
        <v>149313024</v>
      </c>
      <c r="H17" s="206">
        <f>E17*F17</f>
        <v>149313023.7740849</v>
      </c>
      <c r="I17" s="213"/>
      <c r="K17" s="588">
        <f>K16-G14</f>
        <v>0</v>
      </c>
    </row>
    <row r="18" spans="1:14" ht="22.5" customHeight="1">
      <c r="A18" s="736"/>
      <c r="B18" s="194" t="s">
        <v>287</v>
      </c>
      <c r="C18" s="740" t="s">
        <v>171</v>
      </c>
      <c r="D18" s="206"/>
      <c r="E18" s="206">
        <f>SUMIF('BTH mủ tạp'!AN17:AN160,"C",'BTH mủ tạp'!AM17:AM160)+SUMIF('BTH mủ tạp'!AN17:AN160,"C.",'BTH mủ tạp'!AM17:AM160)</f>
        <v>1273.0053272086923</v>
      </c>
      <c r="F18" s="744">
        <f>5.5*$J$11</f>
        <v>3689.18</v>
      </c>
      <c r="G18" s="744">
        <f>ROUND((E18*F18),0)</f>
        <v>4696346</v>
      </c>
      <c r="H18" s="206">
        <f>E18*F18</f>
        <v>4696345.7930317633</v>
      </c>
      <c r="I18" s="213"/>
      <c r="K18" s="206"/>
    </row>
    <row r="19" spans="1:14" ht="22.5" hidden="1" customHeight="1">
      <c r="A19" s="736"/>
      <c r="B19" s="194" t="s">
        <v>288</v>
      </c>
      <c r="C19" s="740" t="s">
        <v>171</v>
      </c>
      <c r="D19" s="206"/>
      <c r="E19" s="206">
        <f>SUMIF('BTH mủ tạp'!AN17:AN160,"D",'BTH mủ tạp'!AM17:AM160)</f>
        <v>0</v>
      </c>
      <c r="F19" s="744">
        <f>5.2*$J$11</f>
        <v>3487.9520000000002</v>
      </c>
      <c r="G19" s="744">
        <f t="shared" ref="G19" si="0">E19*F19</f>
        <v>0</v>
      </c>
      <c r="H19" s="206">
        <f>E19*F19</f>
        <v>0</v>
      </c>
      <c r="I19" s="213"/>
    </row>
    <row r="20" spans="1:14" ht="22.5" customHeight="1">
      <c r="A20" s="736"/>
      <c r="B20" s="194" t="s">
        <v>477</v>
      </c>
      <c r="C20" s="740" t="s">
        <v>171</v>
      </c>
      <c r="D20" s="206"/>
      <c r="E20" s="206">
        <f>'BTH mủ Sỉum'!AJ20</f>
        <v>494.22199999999998</v>
      </c>
      <c r="F20" s="744">
        <f>6.1*$J$11</f>
        <v>4091.6359999999995</v>
      </c>
      <c r="G20" s="744">
        <f>ROUND((E20*F20),0)</f>
        <v>2022177</v>
      </c>
      <c r="H20" s="206"/>
      <c r="I20" s="213"/>
    </row>
    <row r="21" spans="1:14" ht="22.5" customHeight="1">
      <c r="A21" s="177" t="s">
        <v>301</v>
      </c>
      <c r="B21" s="739" t="s">
        <v>172</v>
      </c>
      <c r="C21" s="733" t="s">
        <v>122</v>
      </c>
      <c r="D21" s="206"/>
      <c r="E21" s="745"/>
      <c r="F21" s="744"/>
      <c r="G21" s="206">
        <f>SUM(G22:G29)</f>
        <v>168326837</v>
      </c>
      <c r="H21" s="206">
        <f t="shared" ref="H21" si="1">SUM(H22:H29)</f>
        <v>168326799.792</v>
      </c>
      <c r="I21" s="206"/>
      <c r="K21" s="178">
        <f>'LƯƠNG CN TRỰC TIẾP '!H175</f>
        <v>168326837</v>
      </c>
      <c r="L21" s="735"/>
      <c r="M21" s="159"/>
    </row>
    <row r="22" spans="1:14" ht="22.5" customHeight="1">
      <c r="A22" s="736"/>
      <c r="B22" s="194" t="s">
        <v>418</v>
      </c>
      <c r="C22" s="733" t="s">
        <v>122</v>
      </c>
      <c r="D22" s="744">
        <f>'CNKT '!N168</f>
        <v>3255</v>
      </c>
      <c r="E22" s="745"/>
      <c r="F22" s="744">
        <f>46.1*$J$11</f>
        <v>30922.036</v>
      </c>
      <c r="G22" s="744">
        <f>ROUND((D22*F22),0)+37</f>
        <v>100651264</v>
      </c>
      <c r="H22" s="206">
        <f>D22*F22</f>
        <v>100651227.18000001</v>
      </c>
      <c r="I22" s="206"/>
      <c r="K22" s="738">
        <f>K21-G21</f>
        <v>0</v>
      </c>
      <c r="M22" s="738"/>
    </row>
    <row r="23" spans="1:14" ht="22.5" customHeight="1">
      <c r="A23" s="736"/>
      <c r="B23" s="194" t="s">
        <v>252</v>
      </c>
      <c r="C23" s="733" t="s">
        <v>122</v>
      </c>
      <c r="D23" s="744">
        <f>'CNKT '!O168</f>
        <v>373</v>
      </c>
      <c r="E23" s="745"/>
      <c r="F23" s="744">
        <f>76.9*$J$11</f>
        <v>51581.444000000003</v>
      </c>
      <c r="G23" s="744">
        <f>ROUND((D23*F23),0)</f>
        <v>19239879</v>
      </c>
      <c r="H23" s="206">
        <f>D23*F23</f>
        <v>19239878.612</v>
      </c>
      <c r="I23" s="206"/>
      <c r="K23" s="738"/>
      <c r="L23" s="738"/>
      <c r="M23" s="738"/>
    </row>
    <row r="24" spans="1:14" ht="22.5" customHeight="1">
      <c r="A24" s="736"/>
      <c r="B24" s="194" t="s">
        <v>447</v>
      </c>
      <c r="C24" s="733" t="s">
        <v>122</v>
      </c>
      <c r="D24" s="744">
        <f>'CNKT '!P168</f>
        <v>116</v>
      </c>
      <c r="E24" s="206"/>
      <c r="F24" s="744">
        <f>92.2*$J$11</f>
        <v>61844.072</v>
      </c>
      <c r="G24" s="744">
        <f>D24*F24</f>
        <v>7173912.352</v>
      </c>
      <c r="H24" s="206">
        <f>D24*F24</f>
        <v>7173912.352</v>
      </c>
      <c r="I24" s="206"/>
      <c r="K24" s="308"/>
    </row>
    <row r="25" spans="1:14" ht="21.75" customHeight="1">
      <c r="A25" s="736"/>
      <c r="B25" s="194" t="s">
        <v>419</v>
      </c>
      <c r="C25" s="733" t="s">
        <v>122</v>
      </c>
      <c r="D25" s="744">
        <f>'CNKT '!Q168</f>
        <v>146</v>
      </c>
      <c r="E25" s="206"/>
      <c r="F25" s="744">
        <f>153.8*$J$11</f>
        <v>103162.88800000001</v>
      </c>
      <c r="G25" s="744">
        <f t="shared" ref="G25:G27" si="2">D25*F25</f>
        <v>15061781.648</v>
      </c>
      <c r="H25" s="206">
        <f t="shared" ref="H25:H27" si="3">D25*F25</f>
        <v>15061781.648</v>
      </c>
      <c r="I25" s="206"/>
      <c r="K25" s="308"/>
    </row>
    <row r="26" spans="1:14" ht="22.5" hidden="1" customHeight="1">
      <c r="A26" s="736"/>
      <c r="B26" s="194" t="s">
        <v>448</v>
      </c>
      <c r="C26" s="733" t="s">
        <v>122</v>
      </c>
      <c r="D26" s="744">
        <f>'CNKT '!R168</f>
        <v>0</v>
      </c>
      <c r="E26" s="206"/>
      <c r="F26" s="744">
        <f>92.2*$J$11</f>
        <v>61844.072</v>
      </c>
      <c r="G26" s="744">
        <f>ROUND((D26*F26),0)</f>
        <v>0</v>
      </c>
      <c r="H26" s="206">
        <f t="shared" si="3"/>
        <v>0</v>
      </c>
      <c r="I26" s="206"/>
      <c r="K26" s="308">
        <v>1793573709</v>
      </c>
    </row>
    <row r="27" spans="1:14" ht="22.5" hidden="1" customHeight="1">
      <c r="A27" s="736"/>
      <c r="B27" s="194" t="s">
        <v>445</v>
      </c>
      <c r="C27" s="733" t="s">
        <v>122</v>
      </c>
      <c r="D27" s="744">
        <f>'CNKT '!S168</f>
        <v>0</v>
      </c>
      <c r="E27" s="206"/>
      <c r="F27" s="744">
        <f>153.8*$J$11</f>
        <v>103162.88800000001</v>
      </c>
      <c r="G27" s="744">
        <f t="shared" si="2"/>
        <v>0</v>
      </c>
      <c r="H27" s="206">
        <f t="shared" si="3"/>
        <v>0</v>
      </c>
      <c r="I27" s="206"/>
      <c r="K27" s="308">
        <v>27159261</v>
      </c>
    </row>
    <row r="28" spans="1:14" ht="20.25" customHeight="1">
      <c r="A28" s="736"/>
      <c r="B28" s="194" t="s">
        <v>842</v>
      </c>
      <c r="C28" s="733" t="s">
        <v>122</v>
      </c>
      <c r="D28" s="744">
        <f>'CNKT '!U168</f>
        <v>262</v>
      </c>
      <c r="E28" s="206"/>
      <c r="F28" s="744">
        <v>100000</v>
      </c>
      <c r="G28" s="744">
        <f>ROUND((D28*F28),0)</f>
        <v>26200000</v>
      </c>
      <c r="H28" s="206">
        <f>D28*F28</f>
        <v>26200000</v>
      </c>
      <c r="I28" s="206"/>
      <c r="K28" s="308">
        <v>30253740</v>
      </c>
    </row>
    <row r="29" spans="1:14" ht="20.25" hidden="1" customHeight="1">
      <c r="A29" s="736"/>
      <c r="B29" s="194" t="s">
        <v>506</v>
      </c>
      <c r="C29" s="733" t="s">
        <v>122</v>
      </c>
      <c r="D29" s="744">
        <f>'CNKT '!V168</f>
        <v>0</v>
      </c>
      <c r="E29" s="206"/>
      <c r="F29" s="744">
        <v>30000</v>
      </c>
      <c r="G29" s="744">
        <f>ROUND((D29*F29),0)</f>
        <v>0</v>
      </c>
      <c r="H29" s="206">
        <f>D29*F29</f>
        <v>0</v>
      </c>
      <c r="I29" s="206"/>
      <c r="K29" s="308">
        <v>21672401</v>
      </c>
    </row>
    <row r="30" spans="1:14" ht="22.5" customHeight="1">
      <c r="A30" s="177" t="s">
        <v>302</v>
      </c>
      <c r="B30" s="194" t="s">
        <v>173</v>
      </c>
      <c r="C30" s="733" t="s">
        <v>122</v>
      </c>
      <c r="D30" s="746"/>
      <c r="E30" s="206"/>
      <c r="F30" s="744"/>
      <c r="G30" s="744"/>
      <c r="H30" s="206">
        <f>'CNKT '!G168</f>
        <v>0</v>
      </c>
      <c r="I30" s="206"/>
      <c r="K30" s="738"/>
      <c r="L30" s="747"/>
    </row>
    <row r="31" spans="1:14" s="3" customFormat="1" ht="22.5" customHeight="1">
      <c r="A31" s="736">
        <v>2</v>
      </c>
      <c r="B31" s="194" t="s">
        <v>175</v>
      </c>
      <c r="C31" s="733" t="s">
        <v>122</v>
      </c>
      <c r="D31" s="744">
        <f>H31/F31</f>
        <v>312</v>
      </c>
      <c r="E31" s="206"/>
      <c r="F31" s="744">
        <v>25000</v>
      </c>
      <c r="G31" s="744">
        <f>ROUND((D31*F31),0)</f>
        <v>7800000</v>
      </c>
      <c r="H31" s="206">
        <f>'lương gián tiếp'!H12</f>
        <v>7800000</v>
      </c>
      <c r="I31" s="206"/>
      <c r="K31" s="129"/>
      <c r="L31" s="748"/>
      <c r="N31" s="748"/>
    </row>
    <row r="32" spans="1:14" s="419" customFormat="1" ht="22.5" customHeight="1">
      <c r="A32" s="749" t="s">
        <v>88</v>
      </c>
      <c r="B32" s="750" t="s">
        <v>427</v>
      </c>
      <c r="C32" s="749"/>
      <c r="D32" s="207"/>
      <c r="E32" s="207"/>
      <c r="F32" s="207"/>
      <c r="G32" s="751">
        <f>SUM(G33:G34)</f>
        <v>16168177.901261467</v>
      </c>
      <c r="H32" s="207" t="e">
        <f>SUM(H33:H34)</f>
        <v>#REF!</v>
      </c>
      <c r="I32" s="212"/>
      <c r="J32" s="131"/>
      <c r="K32" s="132"/>
      <c r="L32" s="752"/>
      <c r="N32" s="752"/>
    </row>
    <row r="33" spans="1:14" ht="22.5" customHeight="1">
      <c r="A33" s="107">
        <v>1</v>
      </c>
      <c r="B33" s="243" t="s">
        <v>426</v>
      </c>
      <c r="C33" s="199" t="s">
        <v>108</v>
      </c>
      <c r="D33" s="213"/>
      <c r="E33" s="206"/>
      <c r="F33" s="744"/>
      <c r="G33" s="744">
        <f>'lương gián tiếp'!H16</f>
        <v>14168177.901261467</v>
      </c>
      <c r="H33" s="206" t="e">
        <f>'lương gián tiếp'!#REF!</f>
        <v>#REF!</v>
      </c>
      <c r="I33" s="213"/>
      <c r="M33" s="159"/>
    </row>
    <row r="34" spans="1:14" s="3" customFormat="1" ht="22.5" customHeight="1">
      <c r="A34" s="736">
        <v>2</v>
      </c>
      <c r="B34" s="739" t="s">
        <v>339</v>
      </c>
      <c r="C34" s="199" t="s">
        <v>108</v>
      </c>
      <c r="D34" s="206"/>
      <c r="E34" s="206"/>
      <c r="F34" s="206"/>
      <c r="G34" s="206">
        <f>'lương gián tiếp'!H19</f>
        <v>2000000.0000000002</v>
      </c>
      <c r="H34" s="206">
        <f>'lương gián tiếp'!J20</f>
        <v>1965000.0000000002</v>
      </c>
      <c r="I34" s="213"/>
      <c r="K34" s="753"/>
      <c r="L34" s="748"/>
      <c r="N34" s="748"/>
    </row>
    <row r="35" spans="1:14" ht="16.5" customHeight="1">
      <c r="A35" s="1598" t="s">
        <v>178</v>
      </c>
      <c r="B35" s="1598"/>
      <c r="C35" s="201"/>
      <c r="D35" s="206"/>
      <c r="E35" s="207"/>
      <c r="F35" s="206"/>
      <c r="G35" s="207">
        <f>G13+G32</f>
        <v>1136177939.9012616</v>
      </c>
      <c r="H35" s="207" t="e">
        <f>H13+H32</f>
        <v>#REF!</v>
      </c>
      <c r="I35" s="212"/>
      <c r="K35" s="178">
        <f>'LƯƠNG CN TRỰC TIẾP '!I179</f>
        <v>1136177939.9012616</v>
      </c>
      <c r="L35" s="129" t="e">
        <f>SUM(#REF!)</f>
        <v>#REF!</v>
      </c>
      <c r="M35" s="159"/>
    </row>
    <row r="36" spans="1:14" ht="21" customHeight="1">
      <c r="A36" s="1599" t="s">
        <v>847</v>
      </c>
      <c r="B36" s="1600"/>
      <c r="C36" s="1600"/>
      <c r="D36" s="1600"/>
      <c r="E36" s="1600"/>
      <c r="F36" s="1600"/>
      <c r="G36" s="1600"/>
      <c r="H36" s="1600"/>
      <c r="I36" s="1601"/>
      <c r="K36" s="159">
        <f>G35-K35</f>
        <v>0</v>
      </c>
      <c r="L36" s="309"/>
    </row>
    <row r="37" spans="1:14" s="158" customFormat="1" ht="18.75">
      <c r="A37" s="179"/>
      <c r="B37" s="179"/>
      <c r="C37" s="754"/>
      <c r="D37" s="755"/>
      <c r="E37" s="756"/>
      <c r="F37" s="1602" t="s">
        <v>822</v>
      </c>
      <c r="G37" s="1602"/>
      <c r="H37" s="1602"/>
      <c r="I37" s="1602"/>
      <c r="K37" s="190"/>
      <c r="L37" s="180"/>
      <c r="M37" s="181"/>
    </row>
    <row r="38" spans="1:14" s="158" customFormat="1" ht="18.75">
      <c r="A38" s="191"/>
      <c r="B38" s="191"/>
      <c r="C38" s="202"/>
      <c r="D38" s="208"/>
      <c r="E38" s="756"/>
      <c r="F38" s="1602"/>
      <c r="G38" s="1602"/>
      <c r="H38" s="1602"/>
      <c r="I38" s="1602"/>
      <c r="K38" s="180"/>
      <c r="L38" s="739"/>
    </row>
    <row r="39" spans="1:14" s="183" customFormat="1" ht="18.75">
      <c r="A39" s="1594" t="s">
        <v>555</v>
      </c>
      <c r="B39" s="1594"/>
      <c r="C39" s="1603" t="s">
        <v>556</v>
      </c>
      <c r="D39" s="1603"/>
      <c r="E39" s="1561" t="s">
        <v>557</v>
      </c>
      <c r="F39" s="1561"/>
      <c r="G39" s="1604" t="s">
        <v>558</v>
      </c>
      <c r="H39" s="1604"/>
      <c r="I39" s="1604"/>
      <c r="K39" s="195"/>
      <c r="L39" s="184"/>
    </row>
    <row r="40" spans="1:14" s="158" customFormat="1" ht="18.75">
      <c r="A40" s="191"/>
      <c r="B40" s="191"/>
      <c r="C40" s="202"/>
      <c r="D40" s="208"/>
      <c r="E40" s="756"/>
      <c r="F40" s="757"/>
      <c r="G40" s="757"/>
      <c r="H40" s="208"/>
      <c r="I40" s="215"/>
      <c r="K40" s="758"/>
    </row>
    <row r="41" spans="1:14" s="158" customFormat="1" ht="18.75">
      <c r="A41" s="191"/>
      <c r="B41" s="191"/>
      <c r="C41" s="202"/>
      <c r="D41" s="208"/>
      <c r="E41" s="756"/>
      <c r="F41" s="757"/>
      <c r="G41" s="757"/>
      <c r="H41" s="208"/>
      <c r="I41" s="215"/>
    </row>
    <row r="42" spans="1:14" s="158" customFormat="1" ht="18.75">
      <c r="A42" s="191"/>
      <c r="B42" s="191"/>
      <c r="C42" s="202"/>
      <c r="D42" s="208"/>
      <c r="E42" s="756"/>
      <c r="F42" s="757"/>
      <c r="G42" s="757"/>
      <c r="H42" s="208"/>
      <c r="I42" s="215"/>
    </row>
    <row r="43" spans="1:14" s="158" customFormat="1" ht="18.75">
      <c r="A43" s="191"/>
      <c r="B43" s="191"/>
      <c r="C43" s="202"/>
      <c r="D43" s="208"/>
      <c r="E43" s="756"/>
      <c r="F43" s="757"/>
      <c r="G43" s="757"/>
      <c r="H43" s="208"/>
      <c r="I43" s="215"/>
    </row>
    <row r="44" spans="1:14" s="158" customFormat="1" ht="18.75">
      <c r="A44" s="191"/>
      <c r="B44" s="191"/>
      <c r="C44" s="202"/>
      <c r="D44" s="208"/>
      <c r="E44" s="756"/>
      <c r="F44" s="1594"/>
      <c r="G44" s="1594"/>
      <c r="H44" s="1594"/>
      <c r="I44" s="1594"/>
    </row>
    <row r="45" spans="1:14">
      <c r="A45" s="192"/>
      <c r="B45" s="192"/>
      <c r="C45" s="203"/>
      <c r="D45" s="209"/>
      <c r="E45" s="209"/>
      <c r="F45" s="209"/>
      <c r="G45" s="209"/>
      <c r="H45" s="209"/>
      <c r="I45" s="216"/>
    </row>
    <row r="46" spans="1:14">
      <c r="A46" s="192"/>
      <c r="B46" s="193"/>
      <c r="C46" s="203"/>
      <c r="D46" s="209"/>
      <c r="E46" s="210"/>
      <c r="F46" s="210"/>
      <c r="G46" s="210"/>
      <c r="H46" s="210"/>
      <c r="I46" s="217"/>
    </row>
  </sheetData>
  <mergeCells count="17">
    <mergeCell ref="F44:I44"/>
    <mergeCell ref="A10:I10"/>
    <mergeCell ref="H11:I11"/>
    <mergeCell ref="A35:B35"/>
    <mergeCell ref="A36:I36"/>
    <mergeCell ref="F38:I38"/>
    <mergeCell ref="A39:B39"/>
    <mergeCell ref="C39:D39"/>
    <mergeCell ref="F37:I37"/>
    <mergeCell ref="E39:F39"/>
    <mergeCell ref="G39:I39"/>
    <mergeCell ref="A9:I9"/>
    <mergeCell ref="A2:I2"/>
    <mergeCell ref="A3:I3"/>
    <mergeCell ref="A4:I4"/>
    <mergeCell ref="A6:C6"/>
    <mergeCell ref="A7:C7"/>
  </mergeCells>
  <printOptions horizontalCentered="1"/>
  <pageMargins left="0.196850393700787" right="0" top="0.196850393700787" bottom="0.196850393700787" header="0.2" footer="0.31496062992126"/>
  <pageSetup paperSize="9" scale="90" fitToHeight="0" orientation="landscape" r:id="rId1"/>
  <colBreaks count="1" manualBreakCount="1">
    <brk id="9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28"/>
  <sheetViews>
    <sheetView topLeftCell="A16" workbookViewId="0">
      <selection activeCell="A17" sqref="A17:H17"/>
    </sheetView>
  </sheetViews>
  <sheetFormatPr defaultColWidth="9.140625" defaultRowHeight="16.5"/>
  <cols>
    <col min="1" max="1" width="7.140625" style="120" customWidth="1"/>
    <col min="2" max="2" width="11.42578125" style="120" customWidth="1"/>
    <col min="3" max="3" width="27.85546875" style="120" customWidth="1"/>
    <col min="4" max="4" width="17.7109375" style="120" customWidth="1"/>
    <col min="5" max="5" width="12.85546875" style="120" customWidth="1"/>
    <col min="6" max="6" width="23" style="120" customWidth="1"/>
    <col min="7" max="7" width="19" style="120" customWidth="1"/>
    <col min="8" max="8" width="14.7109375" style="120" customWidth="1"/>
    <col min="9" max="9" width="8.42578125" style="120" customWidth="1"/>
    <col min="10" max="10" width="12.85546875" style="120" customWidth="1"/>
    <col min="11" max="11" width="20.7109375" style="120" customWidth="1"/>
    <col min="12" max="12" width="19.5703125" style="120" customWidth="1"/>
    <col min="13" max="13" width="7.85546875" style="120" customWidth="1"/>
    <col min="14" max="14" width="7.28515625" style="120" customWidth="1"/>
    <col min="15" max="15" width="7.42578125" style="120" customWidth="1"/>
    <col min="16" max="16" width="6.28515625" style="120" customWidth="1"/>
    <col min="17" max="17" width="5.7109375" style="120" customWidth="1"/>
    <col min="18" max="18" width="6" style="120" customWidth="1"/>
    <col min="19" max="19" width="4.85546875" style="120" customWidth="1"/>
    <col min="20" max="20" width="6" style="120" customWidth="1"/>
    <col min="21" max="21" width="6.5703125" style="120" customWidth="1"/>
    <col min="22" max="22" width="8.140625" style="120" customWidth="1"/>
    <col min="23" max="23" width="6" style="120" customWidth="1"/>
    <col min="24" max="24" width="8.140625" style="120" customWidth="1"/>
    <col min="25" max="25" width="15" style="120" bestFit="1" customWidth="1"/>
    <col min="26" max="26" width="17.85546875" style="120" bestFit="1" customWidth="1"/>
    <col min="27" max="27" width="12.85546875" style="120" bestFit="1" customWidth="1"/>
    <col min="28" max="16384" width="9.140625" style="120"/>
  </cols>
  <sheetData>
    <row r="1" spans="1:27" ht="11.25" customHeight="1"/>
    <row r="2" spans="1:27">
      <c r="A2" s="1534" t="s">
        <v>51</v>
      </c>
      <c r="B2" s="1534"/>
      <c r="C2" s="1534"/>
      <c r="D2" s="1534"/>
      <c r="E2" s="1534"/>
      <c r="F2" s="1534"/>
      <c r="G2" s="1534"/>
      <c r="H2" s="1534"/>
      <c r="I2" s="14"/>
      <c r="J2" s="14"/>
      <c r="K2" s="14"/>
      <c r="L2" s="3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7">
      <c r="A3" s="1534" t="s">
        <v>38</v>
      </c>
      <c r="B3" s="1534"/>
      <c r="C3" s="1534"/>
      <c r="D3" s="1534"/>
      <c r="E3" s="1534"/>
      <c r="F3" s="1534"/>
      <c r="G3" s="1534"/>
      <c r="H3" s="1534"/>
      <c r="I3" s="15"/>
      <c r="J3" s="15"/>
      <c r="K3" s="15"/>
      <c r="L3" s="15"/>
      <c r="M3" s="314"/>
      <c r="O3" s="15"/>
      <c r="P3" s="15"/>
      <c r="Q3" s="15"/>
      <c r="R3" s="15"/>
      <c r="S3" s="15"/>
      <c r="T3" s="15"/>
      <c r="U3" s="15"/>
      <c r="V3" s="15"/>
      <c r="W3" s="15"/>
      <c r="X3" s="314"/>
    </row>
    <row r="4" spans="1:27" ht="19.5" customHeight="1">
      <c r="A4" s="1539" t="s">
        <v>277</v>
      </c>
      <c r="B4" s="1534"/>
      <c r="C4" s="1534"/>
      <c r="D4" s="1534"/>
      <c r="E4" s="1534"/>
      <c r="F4" s="1534"/>
      <c r="G4" s="1534"/>
      <c r="H4" s="1534"/>
      <c r="I4" s="15"/>
      <c r="J4" s="15"/>
      <c r="K4" s="15"/>
      <c r="L4" s="15"/>
      <c r="M4" s="314"/>
      <c r="O4" s="15"/>
      <c r="P4" s="15"/>
      <c r="Q4" s="15"/>
      <c r="R4" s="15"/>
      <c r="S4" s="15"/>
      <c r="T4" s="15"/>
      <c r="U4" s="15"/>
      <c r="V4" s="15"/>
      <c r="W4" s="15"/>
      <c r="X4" s="314"/>
    </row>
    <row r="5" spans="1:27" ht="7.5" customHeight="1">
      <c r="G5" s="315"/>
      <c r="H5" s="315"/>
      <c r="I5" s="316"/>
      <c r="J5" s="316"/>
      <c r="K5" s="316"/>
      <c r="L5" s="317"/>
      <c r="M5" s="318"/>
      <c r="N5" s="319"/>
      <c r="O5" s="320"/>
      <c r="P5" s="320"/>
      <c r="Q5" s="320"/>
      <c r="R5" s="320"/>
      <c r="S5" s="320"/>
      <c r="T5" s="320"/>
      <c r="U5" s="320"/>
      <c r="V5" s="320"/>
      <c r="W5" s="320"/>
      <c r="X5" s="314"/>
      <c r="Y5" s="321">
        <f>1372+388</f>
        <v>1760</v>
      </c>
      <c r="Z5" s="120">
        <f>Y5*30000</f>
        <v>52800000</v>
      </c>
      <c r="AA5" s="120" t="e">
        <f>Z5+#REF!+#REF!</f>
        <v>#REF!</v>
      </c>
    </row>
    <row r="6" spans="1:27">
      <c r="A6" s="1540" t="s">
        <v>550</v>
      </c>
      <c r="B6" s="1540"/>
      <c r="C6" s="1540"/>
      <c r="D6" s="1540"/>
      <c r="E6" s="150"/>
      <c r="F6" s="150"/>
      <c r="G6" s="315"/>
      <c r="H6" s="315"/>
      <c r="I6" s="316"/>
      <c r="J6" s="316"/>
      <c r="K6" s="316"/>
      <c r="L6" s="317"/>
      <c r="M6" s="318"/>
      <c r="N6" s="319"/>
      <c r="O6" s="320"/>
      <c r="P6" s="320"/>
      <c r="Q6" s="320"/>
      <c r="R6" s="320"/>
      <c r="S6" s="320"/>
      <c r="T6" s="320"/>
      <c r="U6" s="320"/>
      <c r="V6" s="320"/>
      <c r="W6" s="320"/>
      <c r="X6" s="314"/>
      <c r="Y6" s="321"/>
    </row>
    <row r="7" spans="1:27">
      <c r="A7" s="1540" t="s">
        <v>537</v>
      </c>
      <c r="B7" s="1540"/>
      <c r="C7" s="1540"/>
      <c r="D7" s="1540"/>
      <c r="E7" s="503"/>
      <c r="F7" s="315"/>
      <c r="G7" s="315"/>
      <c r="H7" s="315"/>
      <c r="I7" s="316"/>
      <c r="J7" s="316"/>
      <c r="K7" s="316"/>
      <c r="L7" s="317"/>
      <c r="M7" s="318"/>
      <c r="N7" s="319"/>
      <c r="O7" s="320"/>
      <c r="P7" s="320"/>
      <c r="Q7" s="320"/>
      <c r="R7" s="320"/>
      <c r="S7" s="320"/>
      <c r="T7" s="320"/>
      <c r="U7" s="320"/>
      <c r="V7" s="320"/>
      <c r="W7" s="320"/>
      <c r="X7" s="314"/>
      <c r="Y7" s="321"/>
    </row>
    <row r="8" spans="1:27">
      <c r="A8" s="703"/>
      <c r="B8" s="703"/>
      <c r="C8" s="703"/>
      <c r="D8" s="703"/>
      <c r="E8" s="503"/>
      <c r="F8" s="315"/>
      <c r="G8" s="315"/>
      <c r="H8" s="315"/>
      <c r="I8" s="316"/>
      <c r="J8" s="316"/>
      <c r="K8" s="316"/>
      <c r="L8" s="317"/>
      <c r="M8" s="318"/>
      <c r="N8" s="319"/>
      <c r="O8" s="320"/>
      <c r="P8" s="320"/>
      <c r="Q8" s="320"/>
      <c r="R8" s="320"/>
      <c r="S8" s="320"/>
      <c r="T8" s="320"/>
      <c r="U8" s="320"/>
      <c r="V8" s="320"/>
      <c r="W8" s="320"/>
      <c r="X8" s="314"/>
      <c r="Y8" s="321"/>
    </row>
    <row r="9" spans="1:27" ht="28.5" customHeight="1">
      <c r="A9" s="1536" t="s">
        <v>826</v>
      </c>
      <c r="B9" s="1537"/>
      <c r="C9" s="1537"/>
      <c r="D9" s="1537"/>
      <c r="E9" s="1537"/>
      <c r="F9" s="1537"/>
      <c r="G9" s="1537"/>
      <c r="H9" s="1537"/>
      <c r="I9" s="322"/>
      <c r="J9" s="322"/>
      <c r="K9" s="322"/>
      <c r="L9" s="322"/>
      <c r="M9" s="323"/>
      <c r="N9" s="323"/>
      <c r="O9" s="323"/>
      <c r="P9" s="323"/>
      <c r="Q9" s="323"/>
      <c r="R9" s="323"/>
      <c r="S9" s="323"/>
      <c r="T9" s="323"/>
      <c r="U9" s="323"/>
      <c r="V9" s="323"/>
      <c r="W9" s="323"/>
      <c r="X9" s="323"/>
    </row>
    <row r="10" spans="1:27" ht="18" customHeight="1">
      <c r="A10" s="509"/>
      <c r="B10" s="324"/>
      <c r="C10" s="324"/>
      <c r="D10" s="509"/>
      <c r="E10" s="509"/>
      <c r="F10" s="509"/>
      <c r="G10" s="324"/>
      <c r="H10" s="324"/>
      <c r="I10" s="325"/>
      <c r="J10" s="326"/>
      <c r="K10" s="327"/>
    </row>
    <row r="11" spans="1:27" ht="15" customHeight="1">
      <c r="A11" s="1547" t="s">
        <v>4</v>
      </c>
      <c r="B11" s="1547" t="s">
        <v>13</v>
      </c>
      <c r="C11" s="1569" t="s">
        <v>767</v>
      </c>
      <c r="D11" s="1547" t="s">
        <v>31</v>
      </c>
      <c r="E11" s="1542" t="s">
        <v>551</v>
      </c>
      <c r="F11" s="1547" t="s">
        <v>16</v>
      </c>
      <c r="G11" s="1547" t="s">
        <v>8</v>
      </c>
      <c r="H11" s="1547" t="s">
        <v>62</v>
      </c>
      <c r="I11" s="328"/>
      <c r="J11" s="329"/>
      <c r="K11" s="330"/>
    </row>
    <row r="12" spans="1:27" ht="18" customHeight="1">
      <c r="A12" s="1547"/>
      <c r="B12" s="1547"/>
      <c r="C12" s="1570"/>
      <c r="D12" s="1547"/>
      <c r="E12" s="1542"/>
      <c r="F12" s="1547"/>
      <c r="G12" s="1547"/>
      <c r="H12" s="1547"/>
      <c r="I12" s="331"/>
      <c r="J12" s="329"/>
      <c r="K12" s="330"/>
    </row>
    <row r="13" spans="1:27" ht="37.9" customHeight="1">
      <c r="A13" s="233">
        <v>1</v>
      </c>
      <c r="B13" s="416" t="s">
        <v>86</v>
      </c>
      <c r="C13" s="416" t="s">
        <v>504</v>
      </c>
      <c r="D13" s="939">
        <v>20</v>
      </c>
      <c r="E13" s="919">
        <v>25000</v>
      </c>
      <c r="F13" s="234">
        <f>D13*E13</f>
        <v>500000</v>
      </c>
      <c r="G13" s="233"/>
      <c r="H13" s="233"/>
      <c r="I13" s="331"/>
      <c r="J13" s="332"/>
      <c r="K13" s="333">
        <v>15532549</v>
      </c>
    </row>
    <row r="14" spans="1:27" ht="37.9" customHeight="1">
      <c r="A14" s="233">
        <v>2</v>
      </c>
      <c r="B14" s="416" t="s">
        <v>787</v>
      </c>
      <c r="C14" s="416" t="s">
        <v>845</v>
      </c>
      <c r="D14" s="939">
        <v>10</v>
      </c>
      <c r="E14" s="919">
        <v>25000</v>
      </c>
      <c r="F14" s="234">
        <f>D14*E14</f>
        <v>250000</v>
      </c>
      <c r="G14" s="233"/>
      <c r="H14" s="233"/>
      <c r="I14" s="331"/>
      <c r="J14" s="332"/>
      <c r="K14" s="333"/>
    </row>
    <row r="15" spans="1:27" ht="37.9" customHeight="1">
      <c r="A15" s="233">
        <v>2</v>
      </c>
      <c r="B15" s="416" t="s">
        <v>779</v>
      </c>
      <c r="C15" s="1001" t="s">
        <v>846</v>
      </c>
      <c r="D15" s="939">
        <v>12</v>
      </c>
      <c r="E15" s="919">
        <v>25000</v>
      </c>
      <c r="F15" s="234">
        <f>D15*E15</f>
        <v>300000</v>
      </c>
      <c r="G15" s="233"/>
      <c r="H15" s="233"/>
      <c r="I15" s="331"/>
      <c r="J15" s="332"/>
      <c r="K15" s="333"/>
    </row>
    <row r="16" spans="1:27" ht="24" customHeight="1">
      <c r="A16" s="1547" t="s">
        <v>148</v>
      </c>
      <c r="B16" s="1547"/>
      <c r="C16" s="447"/>
      <c r="D16" s="241">
        <f>SUM(D13:D15)</f>
        <v>42</v>
      </c>
      <c r="E16" s="241"/>
      <c r="F16" s="282">
        <f>SUM(F13:F15)</f>
        <v>1050000</v>
      </c>
      <c r="G16" s="447"/>
      <c r="H16" s="233"/>
      <c r="I16" s="331"/>
      <c r="J16" s="332"/>
      <c r="K16" s="629">
        <v>129900000</v>
      </c>
    </row>
    <row r="17" spans="1:11" ht="20.25" customHeight="1">
      <c r="A17" s="1607" t="s">
        <v>848</v>
      </c>
      <c r="B17" s="1608"/>
      <c r="C17" s="1608"/>
      <c r="D17" s="1608"/>
      <c r="E17" s="1608"/>
      <c r="F17" s="1608"/>
      <c r="G17" s="1608"/>
      <c r="H17" s="1609"/>
      <c r="K17" s="629">
        <v>2651211</v>
      </c>
    </row>
    <row r="18" spans="1:11" ht="23.25" customHeight="1">
      <c r="F18" s="1610" t="s">
        <v>825</v>
      </c>
      <c r="G18" s="1610"/>
      <c r="H18" s="1610"/>
      <c r="K18" s="333" t="e">
        <f>#REF!-#REF!-#REF!-K16-K17</f>
        <v>#REF!</v>
      </c>
    </row>
    <row r="19" spans="1:11" ht="23.25" customHeight="1">
      <c r="F19" s="874"/>
      <c r="G19" s="874"/>
      <c r="H19" s="874"/>
      <c r="K19" s="333"/>
    </row>
    <row r="20" spans="1:11">
      <c r="A20" s="1606" t="s">
        <v>559</v>
      </c>
      <c r="B20" s="1606"/>
      <c r="C20" s="1606"/>
      <c r="D20" s="1606"/>
      <c r="E20" s="1606"/>
      <c r="F20" s="1606"/>
      <c r="G20" s="1606"/>
      <c r="H20" s="1606"/>
    </row>
    <row r="21" spans="1:11">
      <c r="A21" s="143"/>
      <c r="B21" s="143"/>
      <c r="C21" s="143"/>
      <c r="D21" s="143"/>
      <c r="E21" s="143"/>
      <c r="F21" s="143"/>
      <c r="G21" s="143"/>
    </row>
    <row r="22" spans="1:11">
      <c r="A22" s="143"/>
      <c r="B22" s="143"/>
      <c r="C22" s="143"/>
      <c r="D22" s="143"/>
      <c r="E22" s="143"/>
      <c r="F22" s="143"/>
      <c r="G22" s="143"/>
    </row>
    <row r="23" spans="1:11">
      <c r="A23" s="143"/>
      <c r="B23" s="143"/>
      <c r="C23" s="143"/>
      <c r="D23" s="143"/>
      <c r="E23" s="143"/>
      <c r="F23" s="143"/>
      <c r="G23" s="143"/>
    </row>
    <row r="24" spans="1:11">
      <c r="A24" s="143"/>
      <c r="B24" s="143"/>
      <c r="C24" s="143"/>
      <c r="D24" s="143"/>
      <c r="E24" s="143"/>
      <c r="F24" s="143"/>
      <c r="G24" s="143"/>
    </row>
    <row r="25" spans="1:11">
      <c r="A25" s="143"/>
      <c r="B25" s="143"/>
      <c r="C25" s="143"/>
      <c r="D25" s="143"/>
      <c r="E25" s="143"/>
      <c r="F25" s="143"/>
      <c r="G25" s="143"/>
    </row>
    <row r="26" spans="1:11">
      <c r="A26" s="143"/>
      <c r="B26" s="143"/>
      <c r="C26" s="143"/>
      <c r="D26" s="143"/>
      <c r="E26" s="143"/>
      <c r="F26" s="143"/>
      <c r="G26" s="143"/>
      <c r="H26" s="312"/>
    </row>
    <row r="27" spans="1:11">
      <c r="A27" s="1605"/>
      <c r="B27" s="1605"/>
      <c r="C27" s="913"/>
      <c r="D27" s="143"/>
      <c r="E27" s="143"/>
      <c r="F27" s="143"/>
      <c r="G27" s="143"/>
    </row>
    <row r="28" spans="1:11">
      <c r="A28" s="1606" t="s">
        <v>759</v>
      </c>
      <c r="B28" s="1606"/>
      <c r="C28" s="1606"/>
      <c r="D28" s="1606"/>
      <c r="E28" s="1606"/>
      <c r="F28" s="1606"/>
      <c r="G28" s="1606"/>
      <c r="H28" s="1606"/>
    </row>
  </sheetData>
  <mergeCells count="20">
    <mergeCell ref="F11:F12"/>
    <mergeCell ref="G11:G12"/>
    <mergeCell ref="A27:B27"/>
    <mergeCell ref="A20:H20"/>
    <mergeCell ref="A28:H28"/>
    <mergeCell ref="H11:H12"/>
    <mergeCell ref="A17:H17"/>
    <mergeCell ref="F18:H18"/>
    <mergeCell ref="A16:B16"/>
    <mergeCell ref="A11:A12"/>
    <mergeCell ref="B11:B12"/>
    <mergeCell ref="D11:D12"/>
    <mergeCell ref="E11:E12"/>
    <mergeCell ref="C11:C12"/>
    <mergeCell ref="A7:D7"/>
    <mergeCell ref="A2:H2"/>
    <mergeCell ref="A3:H3"/>
    <mergeCell ref="A4:H4"/>
    <mergeCell ref="A9:H9"/>
    <mergeCell ref="A6:D6"/>
  </mergeCells>
  <printOptions horizontalCentered="1"/>
  <pageMargins left="0.38" right="0.46" top="0.46" bottom="0.45" header="0.3" footer="0.3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13"/>
  <sheetViews>
    <sheetView topLeftCell="A1252" zoomScale="70" zoomScaleNormal="70" workbookViewId="0">
      <selection activeCell="N1276" sqref="N1276"/>
    </sheetView>
  </sheetViews>
  <sheetFormatPr defaultColWidth="17.85546875" defaultRowHeight="21" customHeight="1"/>
  <cols>
    <col min="1" max="1" width="28.5703125" style="12" customWidth="1"/>
    <col min="2" max="2" width="27.85546875" style="12" customWidth="1"/>
    <col min="3" max="3" width="7.42578125" style="12" customWidth="1"/>
    <col min="4" max="4" width="10.5703125" style="12" customWidth="1"/>
    <col min="5" max="5" width="12.85546875" style="12" customWidth="1"/>
    <col min="6" max="6" width="0.85546875" style="12" customWidth="1"/>
    <col min="7" max="7" width="26.5703125" style="12" customWidth="1"/>
    <col min="8" max="8" width="26.7109375" style="12" customWidth="1"/>
    <col min="9" max="9" width="6.5703125" style="12" customWidth="1"/>
    <col min="10" max="10" width="11.28515625" style="12" customWidth="1"/>
    <col min="11" max="11" width="12.28515625" style="12" customWidth="1"/>
    <col min="12" max="16384" width="17.85546875" style="12"/>
  </cols>
  <sheetData>
    <row r="1" spans="1:12" ht="15.75" customHeight="1"/>
    <row r="2" spans="1:12" ht="15.75" customHeight="1">
      <c r="A2" s="12" t="s">
        <v>378</v>
      </c>
      <c r="B2" s="12">
        <f>'CNKT '!F11</f>
        <v>670.76</v>
      </c>
    </row>
    <row r="3" spans="1:12" ht="6" customHeight="1"/>
    <row r="4" spans="1:12" s="27" customFormat="1" ht="15.75" customHeight="1">
      <c r="A4" s="1611" t="s">
        <v>793</v>
      </c>
      <c r="B4" s="1612"/>
      <c r="C4" s="1612"/>
      <c r="D4" s="1612"/>
      <c r="E4" s="1012">
        <v>1</v>
      </c>
      <c r="F4" s="1013"/>
      <c r="G4" s="1611" t="str">
        <f>A4</f>
        <v>LƯƠNG THÁNG 08/2025</v>
      </c>
      <c r="H4" s="1612"/>
      <c r="I4" s="1612"/>
      <c r="J4" s="1612"/>
      <c r="K4" s="1014">
        <v>2</v>
      </c>
      <c r="L4" s="1015"/>
    </row>
    <row r="5" spans="1:12" s="27" customFormat="1" ht="15.75" customHeight="1">
      <c r="A5" s="1016" t="s">
        <v>13</v>
      </c>
      <c r="B5" s="1016" t="str">
        <f>'CNKT '!D16</f>
        <v xml:space="preserve">T. Lăm  </v>
      </c>
      <c r="C5" s="1017"/>
      <c r="D5" s="1018" t="s">
        <v>376</v>
      </c>
      <c r="E5" s="1018" t="s">
        <v>16</v>
      </c>
      <c r="F5" s="1019"/>
      <c r="G5" s="1016" t="s">
        <v>13</v>
      </c>
      <c r="H5" s="1016" t="str">
        <f>'CNKT '!D17</f>
        <v>T. Feng</v>
      </c>
      <c r="I5" s="1017"/>
      <c r="J5" s="1018" t="s">
        <v>376</v>
      </c>
      <c r="K5" s="1018" t="s">
        <v>16</v>
      </c>
      <c r="L5" s="1015"/>
    </row>
    <row r="6" spans="1:12" s="27" customFormat="1" ht="15.75" customHeight="1">
      <c r="A6" s="1020" t="s">
        <v>377</v>
      </c>
      <c r="B6" s="1021" t="s">
        <v>493</v>
      </c>
      <c r="C6" s="1022" t="str">
        <f>VLOOKUP(B5,'BTH mủ tạp'!$D$17:$AN$94,37,0)</f>
        <v>A</v>
      </c>
      <c r="D6" s="1023"/>
      <c r="E6" s="1023"/>
      <c r="F6" s="1019"/>
      <c r="G6" s="1020" t="s">
        <v>377</v>
      </c>
      <c r="H6" s="1021" t="s">
        <v>493</v>
      </c>
      <c r="I6" s="1022" t="str">
        <f>VLOOKUP(H5,'BTH mủ tạp'!$D$17:$AN$94,37,0)</f>
        <v>A</v>
      </c>
      <c r="J6" s="1023"/>
      <c r="K6" s="1023"/>
      <c r="L6" s="1015"/>
    </row>
    <row r="7" spans="1:12" s="27" customFormat="1" ht="15.75" customHeight="1">
      <c r="A7" s="1020" t="s">
        <v>72</v>
      </c>
      <c r="B7" s="1024" t="s">
        <v>406</v>
      </c>
      <c r="C7" s="621">
        <f>VLOOKUP(B5,'CNKT '!$D$16:$AA$96,3,0)</f>
        <v>0</v>
      </c>
      <c r="D7" s="622">
        <v>25000</v>
      </c>
      <c r="E7" s="1023">
        <f>C7*D7</f>
        <v>0</v>
      </c>
      <c r="F7" s="1019"/>
      <c r="G7" s="1020" t="s">
        <v>72</v>
      </c>
      <c r="H7" s="1024" t="s">
        <v>406</v>
      </c>
      <c r="I7" s="621">
        <f>VLOOKUP(H5,'CNKT '!$D$16:$AA$96,3,0)</f>
        <v>0</v>
      </c>
      <c r="J7" s="622">
        <v>25000</v>
      </c>
      <c r="K7" s="1023">
        <f>I7*J7</f>
        <v>0</v>
      </c>
      <c r="L7" s="1015"/>
    </row>
    <row r="8" spans="1:12" s="27" customFormat="1" ht="15.75" customHeight="1">
      <c r="A8" s="1020" t="s">
        <v>292</v>
      </c>
      <c r="B8" s="1025" t="s">
        <v>494</v>
      </c>
      <c r="C8" s="1026">
        <f>VLOOKUP(B5,'CNKT '!$D$16:$AA$96,11,0)</f>
        <v>24</v>
      </c>
      <c r="D8" s="623">
        <f>46.1*$B$2</f>
        <v>30922.036</v>
      </c>
      <c r="E8" s="1023">
        <f>C8*D8</f>
        <v>742128.86400000006</v>
      </c>
      <c r="F8" s="1019"/>
      <c r="G8" s="1020" t="s">
        <v>292</v>
      </c>
      <c r="H8" s="1025" t="s">
        <v>494</v>
      </c>
      <c r="I8" s="1026">
        <f>VLOOKUP(H5,'CNKT '!$D$16:$AA$96,11,0)</f>
        <v>24</v>
      </c>
      <c r="J8" s="623">
        <f>46.1*$B$2</f>
        <v>30922.036</v>
      </c>
      <c r="K8" s="1023">
        <f>I8*J8</f>
        <v>742128.86400000006</v>
      </c>
      <c r="L8" s="1015"/>
    </row>
    <row r="9" spans="1:12" s="27" customFormat="1" ht="15.75" customHeight="1">
      <c r="A9" s="1020" t="s">
        <v>379</v>
      </c>
      <c r="B9" s="1025" t="s">
        <v>495</v>
      </c>
      <c r="C9" s="1026">
        <f>VLOOKUP(B5,'CNKT '!$D$16:$AA$96,12,0)</f>
        <v>1</v>
      </c>
      <c r="D9" s="622">
        <f>76.9*$B$2</f>
        <v>51581.444000000003</v>
      </c>
      <c r="E9" s="1023">
        <f t="shared" ref="E9:E12" si="0">C9*D9</f>
        <v>51581.444000000003</v>
      </c>
      <c r="F9" s="1019"/>
      <c r="G9" s="1020" t="s">
        <v>379</v>
      </c>
      <c r="H9" s="1025" t="s">
        <v>495</v>
      </c>
      <c r="I9" s="1026">
        <f>VLOOKUP(H5,'CNKT '!$D$16:$AA$96,12,0)</f>
        <v>1</v>
      </c>
      <c r="J9" s="622">
        <f>76.9*$B$2</f>
        <v>51581.444000000003</v>
      </c>
      <c r="K9" s="1023">
        <f t="shared" ref="K9:K10" si="1">I9*J9</f>
        <v>51581.444000000003</v>
      </c>
      <c r="L9" s="1015"/>
    </row>
    <row r="10" spans="1:12" s="27" customFormat="1" ht="15.75" customHeight="1">
      <c r="A10" s="1020" t="s">
        <v>73</v>
      </c>
      <c r="B10" s="1025" t="s">
        <v>496</v>
      </c>
      <c r="C10" s="1026">
        <f>VLOOKUP(B5,'CNKT '!$D$16:$AA$96,8,0)</f>
        <v>1874.7123296111031</v>
      </c>
      <c r="D10" s="622">
        <f>IF(C6="A",6.1,IF(C6="B",5.8,IF(C6="C",5.5,IF(C6="C.",5.5,IF(C6="D",5.2)))))*$B$2</f>
        <v>4091.6359999999995</v>
      </c>
      <c r="E10" s="1023">
        <f t="shared" si="0"/>
        <v>7670640.4574806541</v>
      </c>
      <c r="F10" s="1019"/>
      <c r="G10" s="1020" t="s">
        <v>73</v>
      </c>
      <c r="H10" s="1025" t="s">
        <v>496</v>
      </c>
      <c r="I10" s="1026">
        <f>VLOOKUP(H5,'CNKT '!$D$16:$AA$96,8,0)</f>
        <v>1639.3588336858998</v>
      </c>
      <c r="J10" s="622">
        <f>IF(I6="A",6.1,IF(I6="B",5.8,IF(I6="C",5.5,IF(I6="C.",5.5,IF(I6="D",5.2)))))*$B$2</f>
        <v>4091.6359999999995</v>
      </c>
      <c r="K10" s="1023">
        <f t="shared" si="1"/>
        <v>6707659.620827239</v>
      </c>
      <c r="L10" s="1015"/>
    </row>
    <row r="11" spans="1:12" s="27" customFormat="1" ht="27" customHeight="1">
      <c r="A11" s="1089" t="s">
        <v>462</v>
      </c>
      <c r="B11" s="1090" t="s">
        <v>497</v>
      </c>
      <c r="C11" s="1091">
        <f>VLOOKUP(B5,'CNKT '!$D$16:$AA$96,13,0)</f>
        <v>0</v>
      </c>
      <c r="D11" s="1092">
        <v>100000</v>
      </c>
      <c r="E11" s="1093">
        <f>C11*D11</f>
        <v>0</v>
      </c>
      <c r="F11" s="1019"/>
      <c r="G11" s="1089" t="s">
        <v>462</v>
      </c>
      <c r="H11" s="1090" t="s">
        <v>497</v>
      </c>
      <c r="I11" s="1091">
        <f>VLOOKUP(H5,'CNKT '!$D$16:$AA$96,13,0)</f>
        <v>0</v>
      </c>
      <c r="J11" s="1092">
        <v>100000</v>
      </c>
      <c r="K11" s="1093">
        <f>I11*J11</f>
        <v>0</v>
      </c>
      <c r="L11" s="1015"/>
    </row>
    <row r="12" spans="1:12" s="27" customFormat="1" ht="15.75" customHeight="1">
      <c r="A12" s="1020" t="s">
        <v>463</v>
      </c>
      <c r="B12" s="1025" t="s">
        <v>467</v>
      </c>
      <c r="C12" s="1026">
        <f>VLOOKUP(B5,'CNKT '!$D$16:$AA$96,16,0)</f>
        <v>0</v>
      </c>
      <c r="D12" s="622">
        <f>153.8*$B$2</f>
        <v>103162.88800000001</v>
      </c>
      <c r="E12" s="1023">
        <f t="shared" si="0"/>
        <v>0</v>
      </c>
      <c r="F12" s="1019"/>
      <c r="G12" s="1020" t="s">
        <v>463</v>
      </c>
      <c r="H12" s="1025" t="s">
        <v>467</v>
      </c>
      <c r="I12" s="1026">
        <f>VLOOKUP(H5,'CNKT '!$D$16:$AA$96,16,0)</f>
        <v>0</v>
      </c>
      <c r="J12" s="622">
        <f>153.8*$B$2</f>
        <v>103162.88800000001</v>
      </c>
      <c r="K12" s="1023">
        <f t="shared" ref="K12" si="2">I12*J12</f>
        <v>0</v>
      </c>
      <c r="L12" s="1015"/>
    </row>
    <row r="13" spans="1:12" s="27" customFormat="1" ht="15.75" customHeight="1">
      <c r="A13" s="1020" t="s">
        <v>425</v>
      </c>
      <c r="B13" s="1025" t="s">
        <v>468</v>
      </c>
      <c r="C13" s="1026">
        <f>VLOOKUP(B5,'CNKT '!$D$16:$AA$96,18,0)</f>
        <v>2</v>
      </c>
      <c r="D13" s="622">
        <v>10000</v>
      </c>
      <c r="E13" s="1023">
        <f>C13*D13</f>
        <v>20000</v>
      </c>
      <c r="F13" s="1019"/>
      <c r="G13" s="1020" t="s">
        <v>425</v>
      </c>
      <c r="H13" s="1025" t="s">
        <v>468</v>
      </c>
      <c r="I13" s="1026">
        <f>VLOOKUP(H5,'CNKT '!$D$16:$AA$96,18,0)</f>
        <v>2</v>
      </c>
      <c r="J13" s="622">
        <v>10000</v>
      </c>
      <c r="K13" s="1023">
        <f>I13*J13</f>
        <v>20000</v>
      </c>
      <c r="L13" s="1015"/>
    </row>
    <row r="14" spans="1:12" s="27" customFormat="1" ht="15.75" customHeight="1">
      <c r="A14" s="1020" t="s">
        <v>425</v>
      </c>
      <c r="B14" s="1025" t="s">
        <v>468</v>
      </c>
      <c r="C14" s="1026">
        <f>VLOOKUP(B5,'CNKT '!$D$16:$AA$96,19,0)</f>
        <v>0</v>
      </c>
      <c r="D14" s="622">
        <v>20000</v>
      </c>
      <c r="E14" s="1023">
        <f>C14*D14</f>
        <v>0</v>
      </c>
      <c r="F14" s="1019"/>
      <c r="G14" s="1020" t="s">
        <v>425</v>
      </c>
      <c r="H14" s="1025" t="s">
        <v>468</v>
      </c>
      <c r="I14" s="1026">
        <f>VLOOKUP(H5,'CNKT '!$D$16:$AA$96,19,0)</f>
        <v>0</v>
      </c>
      <c r="J14" s="622">
        <v>20000</v>
      </c>
      <c r="K14" s="1023">
        <f>I14*J14</f>
        <v>0</v>
      </c>
      <c r="L14" s="1015"/>
    </row>
    <row r="15" spans="1:12" s="27" customFormat="1" ht="15.75" customHeight="1">
      <c r="A15" s="1020" t="s">
        <v>780</v>
      </c>
      <c r="B15" s="1027" t="s">
        <v>781</v>
      </c>
      <c r="C15" s="1026"/>
      <c r="D15" s="622"/>
      <c r="E15" s="1023">
        <f>VLOOKUP(B5,'CNKT '!$D$16:$AE$99,28,0)</f>
        <v>0</v>
      </c>
      <c r="F15" s="1019"/>
      <c r="G15" s="1020" t="s">
        <v>780</v>
      </c>
      <c r="H15" s="1027" t="s">
        <v>781</v>
      </c>
      <c r="I15" s="1026"/>
      <c r="J15" s="622"/>
      <c r="K15" s="1023">
        <f>VLOOKUP(H5,'CNKT '!$D$16:$AE$99,28,0)</f>
        <v>0</v>
      </c>
      <c r="L15" s="1015"/>
    </row>
    <row r="16" spans="1:12" s="27" customFormat="1" ht="15.75" customHeight="1">
      <c r="A16" s="1028" t="s">
        <v>74</v>
      </c>
      <c r="B16" s="1029" t="s">
        <v>498</v>
      </c>
      <c r="C16" s="1030"/>
      <c r="D16" s="1031"/>
      <c r="E16" s="1030"/>
      <c r="F16" s="1019"/>
      <c r="G16" s="1028" t="s">
        <v>74</v>
      </c>
      <c r="H16" s="1029" t="s">
        <v>498</v>
      </c>
      <c r="I16" s="1030"/>
      <c r="J16" s="1031"/>
      <c r="K16" s="1030"/>
      <c r="L16" s="1015"/>
    </row>
    <row r="17" spans="1:13" s="27" customFormat="1" ht="15.75" customHeight="1">
      <c r="A17" s="1032" t="s">
        <v>75</v>
      </c>
      <c r="B17" s="1033" t="s">
        <v>499</v>
      </c>
      <c r="C17" s="1030"/>
      <c r="D17" s="1030"/>
      <c r="E17" s="1030"/>
      <c r="F17" s="1019"/>
      <c r="G17" s="1032" t="s">
        <v>75</v>
      </c>
      <c r="H17" s="1033" t="s">
        <v>499</v>
      </c>
      <c r="I17" s="1030"/>
      <c r="J17" s="1030"/>
      <c r="K17" s="1030"/>
      <c r="L17" s="1015"/>
    </row>
    <row r="18" spans="1:13" s="27" customFormat="1" ht="15.75" customHeight="1">
      <c r="A18" s="1032" t="s">
        <v>76</v>
      </c>
      <c r="B18" s="1034" t="s">
        <v>500</v>
      </c>
      <c r="C18" s="1030"/>
      <c r="D18" s="1030"/>
      <c r="E18" s="1023">
        <f>SUM(E17)</f>
        <v>0</v>
      </c>
      <c r="F18" s="1019"/>
      <c r="G18" s="1032" t="s">
        <v>76</v>
      </c>
      <c r="H18" s="1034" t="s">
        <v>500</v>
      </c>
      <c r="I18" s="1030"/>
      <c r="J18" s="1030"/>
      <c r="K18" s="1023">
        <f>SUM(K17)</f>
        <v>0</v>
      </c>
      <c r="L18" s="1015"/>
      <c r="M18" s="1035">
        <f>E18+K18</f>
        <v>0</v>
      </c>
    </row>
    <row r="19" spans="1:13" s="27" customFormat="1" ht="15.75" customHeight="1">
      <c r="A19" s="1036" t="s">
        <v>77</v>
      </c>
      <c r="B19" s="1037" t="s">
        <v>412</v>
      </c>
      <c r="C19" s="1038"/>
      <c r="D19" s="1038"/>
      <c r="E19" s="1038">
        <f>(E7+E8+E9+E10+E11+E12+E13+E14+E15)-E18</f>
        <v>8484350.7654806543</v>
      </c>
      <c r="F19" s="1039"/>
      <c r="G19" s="1036" t="s">
        <v>77</v>
      </c>
      <c r="H19" s="1037" t="s">
        <v>412</v>
      </c>
      <c r="I19" s="1038"/>
      <c r="J19" s="1038"/>
      <c r="K19" s="1038">
        <f>(K7+K8+K9+K10+K11+K12+K13+K14+K15)-K18</f>
        <v>7521369.9288272392</v>
      </c>
      <c r="L19" s="1040">
        <f>E19+K19</f>
        <v>16005720.694307894</v>
      </c>
    </row>
    <row r="20" spans="1:13" s="27" customFormat="1" ht="15.75" customHeight="1">
      <c r="L20" s="1015"/>
      <c r="M20" s="607"/>
    </row>
    <row r="21" spans="1:13" s="1043" customFormat="1" ht="15.75" customHeight="1">
      <c r="A21" s="1611" t="s">
        <v>793</v>
      </c>
      <c r="B21" s="1612"/>
      <c r="C21" s="1612"/>
      <c r="D21" s="1612"/>
      <c r="E21" s="1014">
        <v>3</v>
      </c>
      <c r="F21" s="1041"/>
      <c r="G21" s="1611" t="str">
        <f>A21</f>
        <v>LƯƠNG THÁNG 08/2025</v>
      </c>
      <c r="H21" s="1617"/>
      <c r="I21" s="1617"/>
      <c r="J21" s="1618"/>
      <c r="K21" s="1042">
        <v>4</v>
      </c>
      <c r="L21" s="1015"/>
    </row>
    <row r="22" spans="1:13" s="1043" customFormat="1" ht="15.75" customHeight="1">
      <c r="A22" s="1044" t="s">
        <v>13</v>
      </c>
      <c r="B22" s="1016" t="str">
        <f>'CNKT '!D18</f>
        <v>T. Sa Văn</v>
      </c>
      <c r="C22" s="1017"/>
      <c r="D22" s="1018" t="s">
        <v>376</v>
      </c>
      <c r="E22" s="1018" t="s">
        <v>16</v>
      </c>
      <c r="F22" s="1045"/>
      <c r="G22" s="1044" t="s">
        <v>13</v>
      </c>
      <c r="H22" s="1016" t="str">
        <f>'CNKT '!D19</f>
        <v>Lăm Ma Thu</v>
      </c>
      <c r="I22" s="1017"/>
      <c r="J22" s="1018" t="s">
        <v>376</v>
      </c>
      <c r="K22" s="1018" t="s">
        <v>16</v>
      </c>
      <c r="L22" s="1015"/>
    </row>
    <row r="23" spans="1:13" s="1043" customFormat="1" ht="15.75" customHeight="1">
      <c r="A23" s="1020" t="s">
        <v>377</v>
      </c>
      <c r="B23" s="1021" t="s">
        <v>493</v>
      </c>
      <c r="C23" s="1022" t="str">
        <f>VLOOKUP(B22,'BTH mủ tạp'!$D$17:$AN$94,37,0)</f>
        <v>A</v>
      </c>
      <c r="D23" s="1023"/>
      <c r="E23" s="1023"/>
      <c r="F23" s="1045"/>
      <c r="G23" s="1020" t="s">
        <v>377</v>
      </c>
      <c r="H23" s="1021" t="s">
        <v>493</v>
      </c>
      <c r="I23" s="1022" t="str">
        <f>VLOOKUP(H22,'BTH mủ tạp'!$D$17:$AN$94,37,0)</f>
        <v>A</v>
      </c>
      <c r="J23" s="1023"/>
      <c r="K23" s="1023"/>
      <c r="L23" s="1015"/>
    </row>
    <row r="24" spans="1:13" s="1043" customFormat="1" ht="15.75" customHeight="1">
      <c r="A24" s="1020" t="s">
        <v>72</v>
      </c>
      <c r="B24" s="1024" t="s">
        <v>406</v>
      </c>
      <c r="C24" s="621">
        <f>VLOOKUP(B22,'CNKT '!$D$16:$AA$96,3,0)</f>
        <v>0</v>
      </c>
      <c r="D24" s="622">
        <v>25000</v>
      </c>
      <c r="E24" s="1023">
        <f>C24*D24</f>
        <v>0</v>
      </c>
      <c r="F24" s="1045"/>
      <c r="G24" s="1020" t="s">
        <v>72</v>
      </c>
      <c r="H24" s="1024" t="s">
        <v>406</v>
      </c>
      <c r="I24" s="621">
        <f>VLOOKUP(H22,'CNKT '!$D$16:$AA$96,3,0)</f>
        <v>0</v>
      </c>
      <c r="J24" s="622">
        <v>25000</v>
      </c>
      <c r="K24" s="1023">
        <f>I24*J24</f>
        <v>0</v>
      </c>
      <c r="L24" s="1015"/>
    </row>
    <row r="25" spans="1:13" s="27" customFormat="1" ht="15.75" customHeight="1">
      <c r="A25" s="1020" t="s">
        <v>292</v>
      </c>
      <c r="B25" s="1025" t="s">
        <v>494</v>
      </c>
      <c r="C25" s="1026">
        <f>VLOOKUP(B22,'CNKT '!$D$16:$AA$96,11,0)</f>
        <v>24</v>
      </c>
      <c r="D25" s="623">
        <f>46.1*$B$2</f>
        <v>30922.036</v>
      </c>
      <c r="E25" s="1023">
        <f>C25*D25</f>
        <v>742128.86400000006</v>
      </c>
      <c r="F25" s="1041"/>
      <c r="G25" s="1020" t="s">
        <v>292</v>
      </c>
      <c r="H25" s="1025" t="s">
        <v>494</v>
      </c>
      <c r="I25" s="1026">
        <f>VLOOKUP(H22,'CNKT '!$D$16:$AA$96,11,0)</f>
        <v>26</v>
      </c>
      <c r="J25" s="623">
        <f>46.1*$B$2</f>
        <v>30922.036</v>
      </c>
      <c r="K25" s="1023">
        <f>I25*J25</f>
        <v>803972.93599999999</v>
      </c>
      <c r="L25" s="1015"/>
    </row>
    <row r="26" spans="1:13" s="1043" customFormat="1" ht="15.75" customHeight="1">
      <c r="A26" s="1020" t="s">
        <v>379</v>
      </c>
      <c r="B26" s="1025" t="s">
        <v>495</v>
      </c>
      <c r="C26" s="1026">
        <f>VLOOKUP(B22,'CNKT '!$D$16:$AA$96,12,0)</f>
        <v>2</v>
      </c>
      <c r="D26" s="622">
        <f>76.9*$B$2</f>
        <v>51581.444000000003</v>
      </c>
      <c r="E26" s="1023">
        <f t="shared" ref="E26:E27" si="3">C26*D26</f>
        <v>103162.88800000001</v>
      </c>
      <c r="F26" s="1046"/>
      <c r="G26" s="1020" t="s">
        <v>379</v>
      </c>
      <c r="H26" s="1025" t="s">
        <v>495</v>
      </c>
      <c r="I26" s="1026">
        <f>VLOOKUP(H22,'CNKT '!$D$16:$AA$96,12,0)</f>
        <v>2</v>
      </c>
      <c r="J26" s="622">
        <f>76.9*$B$2</f>
        <v>51581.444000000003</v>
      </c>
      <c r="K26" s="1023">
        <f t="shared" ref="K26:K27" si="4">I26*J26</f>
        <v>103162.88800000001</v>
      </c>
      <c r="L26" s="1015"/>
    </row>
    <row r="27" spans="1:13" s="1047" customFormat="1" ht="15.75" customHeight="1">
      <c r="A27" s="1020" t="s">
        <v>73</v>
      </c>
      <c r="B27" s="1025" t="s">
        <v>496</v>
      </c>
      <c r="C27" s="1026">
        <f>VLOOKUP(B22,'CNKT '!$D$16:$AA$96,8,0)</f>
        <v>1450.5634703484407</v>
      </c>
      <c r="D27" s="622">
        <f>IF(C23="A",6.1,IF(C23="B",5.8,IF(C23="C",5.5,IF(C23="C.",5.5,IF(C23="D",5.2)))))*$B$2</f>
        <v>4091.6359999999995</v>
      </c>
      <c r="E27" s="1023">
        <f t="shared" si="3"/>
        <v>5935177.7155626118</v>
      </c>
      <c r="F27" s="1041"/>
      <c r="G27" s="1020" t="s">
        <v>73</v>
      </c>
      <c r="H27" s="1025" t="s">
        <v>496</v>
      </c>
      <c r="I27" s="1026">
        <f>VLOOKUP(H22,'CNKT '!$D$16:$AA$96,8,0)</f>
        <v>1548.3782626658119</v>
      </c>
      <c r="J27" s="622">
        <f>IF(I23="A",6.1,IF(I23="B",5.8,IF(I23="C",5.5,IF(I23="C.",5.5,IF(I23="D",5.2)))))*$B$2</f>
        <v>4091.6359999999995</v>
      </c>
      <c r="K27" s="1023">
        <f t="shared" si="4"/>
        <v>6335400.2411408909</v>
      </c>
      <c r="L27" s="1015"/>
    </row>
    <row r="28" spans="1:13" s="1047" customFormat="1" ht="15.75" customHeight="1">
      <c r="A28" s="1089" t="s">
        <v>462</v>
      </c>
      <c r="B28" s="1090" t="s">
        <v>497</v>
      </c>
      <c r="C28" s="1091">
        <f>VLOOKUP(B22,'CNKT '!$D$16:$AA$96,13,0)</f>
        <v>0</v>
      </c>
      <c r="D28" s="1092">
        <v>100000</v>
      </c>
      <c r="E28" s="1093">
        <f>C28*D28</f>
        <v>0</v>
      </c>
      <c r="F28" s="1041"/>
      <c r="G28" s="1089" t="s">
        <v>462</v>
      </c>
      <c r="H28" s="1090" t="s">
        <v>497</v>
      </c>
      <c r="I28" s="1091">
        <f>VLOOKUP(H22,'CNKT '!$D$16:$AA$96,13,0)</f>
        <v>0</v>
      </c>
      <c r="J28" s="1092">
        <v>100000</v>
      </c>
      <c r="K28" s="1093">
        <f>I28*J28</f>
        <v>0</v>
      </c>
      <c r="L28" s="1015"/>
    </row>
    <row r="29" spans="1:13" s="1047" customFormat="1" ht="15.75" customHeight="1">
      <c r="A29" s="1020" t="s">
        <v>463</v>
      </c>
      <c r="B29" s="1025" t="s">
        <v>467</v>
      </c>
      <c r="C29" s="1026">
        <f>VLOOKUP(B22,'CNKT '!$D$16:$AA$96,16,0)</f>
        <v>0</v>
      </c>
      <c r="D29" s="622">
        <f>153.8*$B$2</f>
        <v>103162.88800000001</v>
      </c>
      <c r="E29" s="1023">
        <f t="shared" ref="E29" si="5">C29*D29</f>
        <v>0</v>
      </c>
      <c r="F29" s="1041"/>
      <c r="G29" s="1020" t="s">
        <v>463</v>
      </c>
      <c r="H29" s="1025" t="s">
        <v>467</v>
      </c>
      <c r="I29" s="1026">
        <f>VLOOKUP(H22,'CNKT '!$D$16:$AA$96,16,0)</f>
        <v>0</v>
      </c>
      <c r="J29" s="622">
        <f>153.8*$B$2</f>
        <v>103162.88800000001</v>
      </c>
      <c r="K29" s="1023">
        <f t="shared" ref="K29" si="6">I29*J29</f>
        <v>0</v>
      </c>
      <c r="L29" s="1015"/>
    </row>
    <row r="30" spans="1:13" s="1047" customFormat="1" ht="15.75" customHeight="1">
      <c r="A30" s="1020" t="s">
        <v>425</v>
      </c>
      <c r="B30" s="1025" t="s">
        <v>468</v>
      </c>
      <c r="C30" s="1026">
        <f>VLOOKUP(B22,'CNKT '!$D$16:$AA$96,18,0)</f>
        <v>2</v>
      </c>
      <c r="D30" s="622">
        <v>10000</v>
      </c>
      <c r="E30" s="1023">
        <f>C30*D30</f>
        <v>20000</v>
      </c>
      <c r="F30" s="1041"/>
      <c r="G30" s="1020" t="s">
        <v>425</v>
      </c>
      <c r="H30" s="1025" t="s">
        <v>468</v>
      </c>
      <c r="I30" s="1026">
        <f>VLOOKUP(H22,'CNKT '!$D$16:$AA$96,18,0)</f>
        <v>2</v>
      </c>
      <c r="J30" s="622">
        <v>10000</v>
      </c>
      <c r="K30" s="1023">
        <f>I30*J30</f>
        <v>20000</v>
      </c>
      <c r="L30" s="1015"/>
    </row>
    <row r="31" spans="1:13" s="1047" customFormat="1" ht="15.75" customHeight="1">
      <c r="A31" s="1020" t="s">
        <v>425</v>
      </c>
      <c r="B31" s="1025" t="s">
        <v>468</v>
      </c>
      <c r="C31" s="1026">
        <f>VLOOKUP(B22,'CNKT '!$D$16:$AA$96,19,0)</f>
        <v>0</v>
      </c>
      <c r="D31" s="622">
        <v>20000</v>
      </c>
      <c r="E31" s="1023">
        <f>C31*D31</f>
        <v>0</v>
      </c>
      <c r="F31" s="1041"/>
      <c r="G31" s="1020" t="s">
        <v>425</v>
      </c>
      <c r="H31" s="1025" t="s">
        <v>468</v>
      </c>
      <c r="I31" s="1026">
        <f>VLOOKUP(H22,'CNKT '!$D$16:$AA$96,19,0)</f>
        <v>0</v>
      </c>
      <c r="J31" s="622">
        <v>20000</v>
      </c>
      <c r="K31" s="1023">
        <f>I31*J31</f>
        <v>0</v>
      </c>
      <c r="L31" s="1015"/>
    </row>
    <row r="32" spans="1:13" s="1047" customFormat="1" ht="15.75" customHeight="1">
      <c r="A32" s="1020" t="s">
        <v>780</v>
      </c>
      <c r="B32" s="1027" t="s">
        <v>781</v>
      </c>
      <c r="C32" s="1026"/>
      <c r="D32" s="622"/>
      <c r="E32" s="1023">
        <f>VLOOKUP(B22,'CNKT '!$D$16:$AE$99,28,0)</f>
        <v>0</v>
      </c>
      <c r="F32" s="1041"/>
      <c r="G32" s="1020" t="s">
        <v>780</v>
      </c>
      <c r="H32" s="1027" t="s">
        <v>781</v>
      </c>
      <c r="I32" s="1026"/>
      <c r="J32" s="622"/>
      <c r="K32" s="1023">
        <f>VLOOKUP(H22,'CNKT '!$D$16:$AE$99,28,0)</f>
        <v>0</v>
      </c>
      <c r="L32" s="1015"/>
    </row>
    <row r="33" spans="1:13" s="1043" customFormat="1" ht="15.75" customHeight="1">
      <c r="A33" s="1028" t="s">
        <v>74</v>
      </c>
      <c r="B33" s="1029" t="s">
        <v>498</v>
      </c>
      <c r="C33" s="1030"/>
      <c r="D33" s="1031"/>
      <c r="E33" s="1030"/>
      <c r="F33" s="1045"/>
      <c r="G33" s="1028" t="s">
        <v>74</v>
      </c>
      <c r="H33" s="1029" t="s">
        <v>498</v>
      </c>
      <c r="I33" s="1030"/>
      <c r="J33" s="1031"/>
      <c r="K33" s="1030"/>
      <c r="L33" s="1015"/>
    </row>
    <row r="34" spans="1:13" s="1043" customFormat="1" ht="15.75" customHeight="1">
      <c r="A34" s="1032" t="s">
        <v>75</v>
      </c>
      <c r="B34" s="1033" t="s">
        <v>499</v>
      </c>
      <c r="C34" s="1030"/>
      <c r="D34" s="1030"/>
      <c r="E34" s="1030"/>
      <c r="F34" s="1045"/>
      <c r="G34" s="1032" t="s">
        <v>75</v>
      </c>
      <c r="H34" s="1033" t="s">
        <v>499</v>
      </c>
      <c r="I34" s="1030"/>
      <c r="J34" s="1030"/>
      <c r="K34" s="1030"/>
      <c r="L34" s="1015"/>
    </row>
    <row r="35" spans="1:13" s="27" customFormat="1" ht="15.75" customHeight="1">
      <c r="A35" s="1032" t="s">
        <v>76</v>
      </c>
      <c r="B35" s="1034" t="s">
        <v>500</v>
      </c>
      <c r="C35" s="1030"/>
      <c r="D35" s="1030"/>
      <c r="E35" s="1023">
        <f>SUM(E34)</f>
        <v>0</v>
      </c>
      <c r="F35" s="1045"/>
      <c r="G35" s="1032" t="s">
        <v>76</v>
      </c>
      <c r="H35" s="1034" t="s">
        <v>500</v>
      </c>
      <c r="I35" s="1030"/>
      <c r="J35" s="1030"/>
      <c r="K35" s="1023">
        <f>SUM(K34)</f>
        <v>0</v>
      </c>
      <c r="L35" s="1015"/>
      <c r="M35" s="1035">
        <f>E35+K35</f>
        <v>0</v>
      </c>
    </row>
    <row r="36" spans="1:13" s="27" customFormat="1" ht="15.75" customHeight="1">
      <c r="A36" s="1036" t="s">
        <v>77</v>
      </c>
      <c r="B36" s="1037" t="s">
        <v>412</v>
      </c>
      <c r="C36" s="1038"/>
      <c r="D36" s="1038"/>
      <c r="E36" s="1038">
        <f>(E24+E25+E26+E27+E28+E29+E30+E31+E32)-E35</f>
        <v>6800469.4675626121</v>
      </c>
      <c r="F36" s="1045"/>
      <c r="G36" s="1036" t="s">
        <v>77</v>
      </c>
      <c r="H36" s="1037" t="s">
        <v>412</v>
      </c>
      <c r="I36" s="1038"/>
      <c r="J36" s="1038"/>
      <c r="K36" s="1038">
        <f>(K24+K25+K26+K27+K28+K29+K30+K31+K32)-K35</f>
        <v>7262536.0651408909</v>
      </c>
      <c r="L36" s="1040">
        <f>E36+K36</f>
        <v>14063005.532703504</v>
      </c>
    </row>
    <row r="37" spans="1:13" s="27" customFormat="1" ht="15.75" customHeight="1">
      <c r="A37" s="1035"/>
      <c r="B37" s="1048"/>
      <c r="C37" s="1041"/>
      <c r="D37" s="1041"/>
      <c r="E37" s="1045"/>
      <c r="F37" s="1045"/>
      <c r="G37" s="1035"/>
      <c r="H37" s="1048"/>
      <c r="I37" s="1041"/>
      <c r="J37" s="1045"/>
      <c r="K37" s="1043"/>
      <c r="L37" s="1015"/>
    </row>
    <row r="38" spans="1:13" s="27" customFormat="1" ht="15.75" customHeight="1">
      <c r="A38" s="1611" t="str">
        <f>G21</f>
        <v>LƯƠNG THÁNG 08/2025</v>
      </c>
      <c r="B38" s="1612"/>
      <c r="C38" s="1612"/>
      <c r="D38" s="1612"/>
      <c r="E38" s="1014">
        <v>5</v>
      </c>
      <c r="F38" s="1045"/>
      <c r="G38" s="1611" t="str">
        <f>G21</f>
        <v>LƯƠNG THÁNG 08/2025</v>
      </c>
      <c r="H38" s="1612"/>
      <c r="I38" s="1612"/>
      <c r="J38" s="1613"/>
      <c r="K38" s="1014">
        <v>6</v>
      </c>
      <c r="L38" s="1015"/>
    </row>
    <row r="39" spans="1:13" s="27" customFormat="1" ht="15.75" customHeight="1">
      <c r="A39" s="1044" t="s">
        <v>13</v>
      </c>
      <c r="B39" s="1016" t="str">
        <f>'CNKT '!D20</f>
        <v>N. Vạt</v>
      </c>
      <c r="C39" s="1017"/>
      <c r="D39" s="1018" t="s">
        <v>376</v>
      </c>
      <c r="E39" s="1018" t="s">
        <v>16</v>
      </c>
      <c r="F39" s="1045"/>
      <c r="G39" s="1044" t="s">
        <v>13</v>
      </c>
      <c r="H39" s="1016" t="str">
        <f>'CNKT '!D21</f>
        <v>N. Kay Son</v>
      </c>
      <c r="I39" s="1017"/>
      <c r="J39" s="1018" t="s">
        <v>376</v>
      </c>
      <c r="K39" s="1018" t="s">
        <v>16</v>
      </c>
      <c r="L39" s="1015"/>
    </row>
    <row r="40" spans="1:13" s="27" customFormat="1" ht="15.75" customHeight="1">
      <c r="A40" s="1020" t="s">
        <v>377</v>
      </c>
      <c r="B40" s="1021" t="s">
        <v>493</v>
      </c>
      <c r="C40" s="1022" t="str">
        <f>VLOOKUP(B39,'BTH mủ tạp'!$D$17:$AN$94,37,0)</f>
        <v>A</v>
      </c>
      <c r="D40" s="1023"/>
      <c r="E40" s="1023"/>
      <c r="F40" s="1048"/>
      <c r="G40" s="1020" t="s">
        <v>377</v>
      </c>
      <c r="H40" s="1021" t="s">
        <v>493</v>
      </c>
      <c r="I40" s="1022" t="str">
        <f>VLOOKUP(H39,'BTH mủ tạp'!$D$17:$AN$94,37,0)</f>
        <v>A</v>
      </c>
      <c r="J40" s="1023"/>
      <c r="K40" s="1023"/>
      <c r="L40" s="1015"/>
    </row>
    <row r="41" spans="1:13" s="27" customFormat="1" ht="15.75" customHeight="1">
      <c r="A41" s="1020" t="s">
        <v>72</v>
      </c>
      <c r="B41" s="1024" t="s">
        <v>406</v>
      </c>
      <c r="C41" s="621">
        <f>VLOOKUP(B39,'CNKT '!$D$16:$AA$96,3,0)</f>
        <v>0</v>
      </c>
      <c r="D41" s="622">
        <v>25000</v>
      </c>
      <c r="E41" s="1023">
        <f>C41*D41</f>
        <v>0</v>
      </c>
      <c r="F41" s="1048"/>
      <c r="G41" s="1020" t="s">
        <v>72</v>
      </c>
      <c r="H41" s="1024" t="s">
        <v>406</v>
      </c>
      <c r="I41" s="621">
        <f>VLOOKUP(H39,'CNKT '!$D$16:$AA$96,3,0)</f>
        <v>0</v>
      </c>
      <c r="J41" s="622">
        <v>25000</v>
      </c>
      <c r="K41" s="1023">
        <f>I41*J41</f>
        <v>0</v>
      </c>
      <c r="L41" s="1015"/>
    </row>
    <row r="42" spans="1:13" s="27" customFormat="1" ht="15.75" customHeight="1">
      <c r="A42" s="1020" t="s">
        <v>292</v>
      </c>
      <c r="B42" s="1025" t="s">
        <v>494</v>
      </c>
      <c r="C42" s="1026">
        <f>VLOOKUP(B39,'CNKT '!$D$16:$AA$96,11,0)</f>
        <v>24</v>
      </c>
      <c r="D42" s="623">
        <f>46.1*$B$2</f>
        <v>30922.036</v>
      </c>
      <c r="E42" s="1023">
        <f>C42*D42</f>
        <v>742128.86400000006</v>
      </c>
      <c r="F42" s="1041"/>
      <c r="G42" s="1020" t="s">
        <v>292</v>
      </c>
      <c r="H42" s="1025" t="s">
        <v>494</v>
      </c>
      <c r="I42" s="1026">
        <f>VLOOKUP(H39,'CNKT '!$D$16:$AA$96,11,0)</f>
        <v>25</v>
      </c>
      <c r="J42" s="623">
        <f>46.1*$B$2</f>
        <v>30922.036</v>
      </c>
      <c r="K42" s="1023">
        <f>I42*J42</f>
        <v>773050.9</v>
      </c>
      <c r="L42" s="1015"/>
    </row>
    <row r="43" spans="1:13" s="27" customFormat="1" ht="15.75" customHeight="1">
      <c r="A43" s="1020" t="s">
        <v>379</v>
      </c>
      <c r="B43" s="1025" t="s">
        <v>495</v>
      </c>
      <c r="C43" s="1026">
        <f>VLOOKUP(B39,'CNKT '!$D$16:$AA$96,12,0)</f>
        <v>2</v>
      </c>
      <c r="D43" s="622">
        <f>76.9*$B$2</f>
        <v>51581.444000000003</v>
      </c>
      <c r="E43" s="1023">
        <f t="shared" ref="E43:E44" si="7">C43*D43</f>
        <v>103162.88800000001</v>
      </c>
      <c r="F43" s="1049"/>
      <c r="G43" s="1020" t="s">
        <v>379</v>
      </c>
      <c r="H43" s="1025" t="s">
        <v>495</v>
      </c>
      <c r="I43" s="1026">
        <f>VLOOKUP(H39,'CNKT '!$D$16:$AA$96,12,0)</f>
        <v>2</v>
      </c>
      <c r="J43" s="622">
        <f>76.9*$B$2</f>
        <v>51581.444000000003</v>
      </c>
      <c r="K43" s="1023">
        <f t="shared" ref="K43:K44" si="8">I43*J43</f>
        <v>103162.88800000001</v>
      </c>
      <c r="L43" s="1015"/>
    </row>
    <row r="44" spans="1:13" s="27" customFormat="1" ht="15.75" customHeight="1">
      <c r="A44" s="1020" t="s">
        <v>73</v>
      </c>
      <c r="B44" s="1025" t="s">
        <v>496</v>
      </c>
      <c r="C44" s="1026">
        <f>VLOOKUP(B39,'CNKT '!$D$16:$AA$96,8,0)</f>
        <v>1378.8041467269632</v>
      </c>
      <c r="D44" s="622">
        <f>IF(C40="A",6.1,IF(C40="B",5.8,IF(C40="C",5.5,IF(C40="C.",5.5,IF(C40="D",5.2)))))*$B$2</f>
        <v>4091.6359999999995</v>
      </c>
      <c r="E44" s="1023">
        <f t="shared" si="7"/>
        <v>5641564.6836973242</v>
      </c>
      <c r="F44" s="1048"/>
      <c r="G44" s="1020" t="s">
        <v>73</v>
      </c>
      <c r="H44" s="1025" t="s">
        <v>496</v>
      </c>
      <c r="I44" s="1026">
        <f>VLOOKUP(H39,'CNKT '!$D$16:$AA$96,8,0)</f>
        <v>1748.2792356113569</v>
      </c>
      <c r="J44" s="622">
        <f>IF(I40="A",6.1,IF(I40="B",5.8,IF(I40="C",5.5,IF(I40="C.",5.5,IF(I40="D",5.2)))))*$B$2</f>
        <v>4091.6359999999995</v>
      </c>
      <c r="K44" s="1023">
        <f t="shared" si="8"/>
        <v>7153322.258479909</v>
      </c>
      <c r="L44" s="1015"/>
    </row>
    <row r="45" spans="1:13" s="27" customFormat="1" ht="15.75" customHeight="1">
      <c r="A45" s="1089" t="s">
        <v>462</v>
      </c>
      <c r="B45" s="1090" t="s">
        <v>497</v>
      </c>
      <c r="C45" s="1091">
        <f>VLOOKUP(B39,'CNKT '!$D$16:$AA$96,13,0)</f>
        <v>0</v>
      </c>
      <c r="D45" s="1092">
        <v>100000</v>
      </c>
      <c r="E45" s="1093">
        <f>C45*D45</f>
        <v>0</v>
      </c>
      <c r="F45" s="1048"/>
      <c r="G45" s="1089" t="s">
        <v>462</v>
      </c>
      <c r="H45" s="1090" t="s">
        <v>497</v>
      </c>
      <c r="I45" s="1091">
        <f>VLOOKUP(H39,'CNKT '!$D$16:$AA$96,13,0)</f>
        <v>0</v>
      </c>
      <c r="J45" s="1092">
        <v>100000</v>
      </c>
      <c r="K45" s="1093">
        <f>I45*J45</f>
        <v>0</v>
      </c>
      <c r="L45" s="1015"/>
    </row>
    <row r="46" spans="1:13" s="27" customFormat="1" ht="15.75" customHeight="1">
      <c r="A46" s="1020" t="s">
        <v>463</v>
      </c>
      <c r="B46" s="1025" t="s">
        <v>467</v>
      </c>
      <c r="C46" s="1026">
        <f>VLOOKUP(B39,'CNKT '!$D$16:$AA$96,16,0)</f>
        <v>0</v>
      </c>
      <c r="D46" s="622">
        <f>153.8*$B$2</f>
        <v>103162.88800000001</v>
      </c>
      <c r="E46" s="1023">
        <f t="shared" ref="E46" si="9">C46*D46</f>
        <v>0</v>
      </c>
      <c r="F46" s="1048"/>
      <c r="G46" s="1020" t="s">
        <v>463</v>
      </c>
      <c r="H46" s="1025" t="s">
        <v>467</v>
      </c>
      <c r="I46" s="1026">
        <f>VLOOKUP(H39,'CNKT '!$D$16:$AA$96,16,0)</f>
        <v>0</v>
      </c>
      <c r="J46" s="622">
        <f>153.8*$B$2</f>
        <v>103162.88800000001</v>
      </c>
      <c r="K46" s="1023">
        <f t="shared" ref="K46" si="10">I46*J46</f>
        <v>0</v>
      </c>
      <c r="L46" s="1015"/>
    </row>
    <row r="47" spans="1:13" s="27" customFormat="1" ht="15.75" customHeight="1">
      <c r="A47" s="1020" t="s">
        <v>425</v>
      </c>
      <c r="B47" s="1025" t="s">
        <v>468</v>
      </c>
      <c r="C47" s="1026">
        <f>VLOOKUP(B39,'CNKT '!$D$16:$AA$96,18,0)</f>
        <v>2</v>
      </c>
      <c r="D47" s="622">
        <v>10000</v>
      </c>
      <c r="E47" s="1023">
        <f>C47*D47</f>
        <v>20000</v>
      </c>
      <c r="F47" s="1048"/>
      <c r="G47" s="1020" t="s">
        <v>425</v>
      </c>
      <c r="H47" s="1025" t="s">
        <v>468</v>
      </c>
      <c r="I47" s="1026">
        <f>VLOOKUP(H39,'CNKT '!$D$16:$AA$96,18,0)</f>
        <v>2</v>
      </c>
      <c r="J47" s="622">
        <v>10000</v>
      </c>
      <c r="K47" s="1023">
        <f>I47*J47</f>
        <v>20000</v>
      </c>
      <c r="L47" s="1015"/>
    </row>
    <row r="48" spans="1:13" s="27" customFormat="1" ht="15.75" customHeight="1">
      <c r="A48" s="1020" t="s">
        <v>425</v>
      </c>
      <c r="B48" s="1025" t="s">
        <v>468</v>
      </c>
      <c r="C48" s="1026">
        <f>VLOOKUP(B39,'CNKT '!$D$16:$AA$96,19,0)</f>
        <v>0</v>
      </c>
      <c r="D48" s="622">
        <v>20000</v>
      </c>
      <c r="E48" s="1023">
        <f>C48*D48</f>
        <v>0</v>
      </c>
      <c r="F48" s="1048"/>
      <c r="G48" s="1020" t="s">
        <v>425</v>
      </c>
      <c r="H48" s="1025" t="s">
        <v>468</v>
      </c>
      <c r="I48" s="1026">
        <f>VLOOKUP(H39,'CNKT '!$D$16:$AA$96,19,0)</f>
        <v>0</v>
      </c>
      <c r="J48" s="622">
        <v>20000</v>
      </c>
      <c r="K48" s="1023">
        <f>I48*J48</f>
        <v>0</v>
      </c>
      <c r="L48" s="1015"/>
    </row>
    <row r="49" spans="1:13" s="27" customFormat="1" ht="15.75" customHeight="1">
      <c r="A49" s="1020" t="s">
        <v>780</v>
      </c>
      <c r="B49" s="1027" t="s">
        <v>781</v>
      </c>
      <c r="C49" s="1026"/>
      <c r="D49" s="622"/>
      <c r="E49" s="1023">
        <f>VLOOKUP(B39,'CNKT '!$D$16:$AE$99,28,0)</f>
        <v>0</v>
      </c>
      <c r="F49" s="1048"/>
      <c r="G49" s="1020" t="s">
        <v>780</v>
      </c>
      <c r="H49" s="1027" t="s">
        <v>781</v>
      </c>
      <c r="I49" s="1026"/>
      <c r="J49" s="622"/>
      <c r="K49" s="1023">
        <f>VLOOKUP(H39,'CNKT '!$D$16:$AE$99,28,0)</f>
        <v>0</v>
      </c>
      <c r="L49" s="1015"/>
    </row>
    <row r="50" spans="1:13" s="27" customFormat="1" ht="15.75" customHeight="1">
      <c r="A50" s="1028" t="s">
        <v>74</v>
      </c>
      <c r="B50" s="1029" t="s">
        <v>498</v>
      </c>
      <c r="C50" s="1030"/>
      <c r="D50" s="1031"/>
      <c r="E50" s="1030"/>
      <c r="F50" s="1041"/>
      <c r="G50" s="1028" t="s">
        <v>74</v>
      </c>
      <c r="H50" s="1029" t="s">
        <v>498</v>
      </c>
      <c r="I50" s="1030"/>
      <c r="J50" s="1031"/>
      <c r="K50" s="1030"/>
      <c r="L50" s="1015"/>
    </row>
    <row r="51" spans="1:13" s="27" customFormat="1" ht="15.75" customHeight="1">
      <c r="A51" s="1032" t="s">
        <v>75</v>
      </c>
      <c r="B51" s="1033" t="s">
        <v>499</v>
      </c>
      <c r="C51" s="1030"/>
      <c r="D51" s="1030"/>
      <c r="E51" s="1030"/>
      <c r="F51" s="1045"/>
      <c r="G51" s="1032" t="s">
        <v>75</v>
      </c>
      <c r="H51" s="1033" t="s">
        <v>499</v>
      </c>
      <c r="I51" s="1030"/>
      <c r="J51" s="1030"/>
      <c r="K51" s="1030"/>
      <c r="L51" s="1015"/>
    </row>
    <row r="52" spans="1:13" s="27" customFormat="1" ht="15.75" customHeight="1">
      <c r="A52" s="1032" t="s">
        <v>76</v>
      </c>
      <c r="B52" s="1034" t="s">
        <v>500</v>
      </c>
      <c r="C52" s="1030"/>
      <c r="D52" s="1030"/>
      <c r="E52" s="1023">
        <f>SUM(E51)</f>
        <v>0</v>
      </c>
      <c r="F52" s="1045"/>
      <c r="G52" s="1032" t="s">
        <v>76</v>
      </c>
      <c r="H52" s="1034" t="s">
        <v>500</v>
      </c>
      <c r="I52" s="1030"/>
      <c r="J52" s="1030"/>
      <c r="K52" s="1023">
        <f>SUM(K51)</f>
        <v>0</v>
      </c>
      <c r="L52" s="1015"/>
      <c r="M52" s="1035">
        <f>E52+K52</f>
        <v>0</v>
      </c>
    </row>
    <row r="53" spans="1:13" s="27" customFormat="1" ht="15.75" customHeight="1">
      <c r="A53" s="1036" t="s">
        <v>77</v>
      </c>
      <c r="B53" s="1037" t="s">
        <v>412</v>
      </c>
      <c r="C53" s="1038"/>
      <c r="D53" s="1038"/>
      <c r="E53" s="1038">
        <f>(E41+E42+E43+E44+E45+E46+E47+E48+E49)-E52</f>
        <v>6506856.4356973246</v>
      </c>
      <c r="F53" s="1045"/>
      <c r="G53" s="1036" t="s">
        <v>77</v>
      </c>
      <c r="H53" s="1037" t="s">
        <v>412</v>
      </c>
      <c r="I53" s="1038"/>
      <c r="J53" s="1038"/>
      <c r="K53" s="1038">
        <f>(K41+K42+K43+K44+K45+K46+K47+K48+K49)-K52</f>
        <v>8049536.0464799087</v>
      </c>
      <c r="L53" s="1040">
        <f>E53+K53</f>
        <v>14556392.482177233</v>
      </c>
    </row>
    <row r="54" spans="1:13" s="27" customFormat="1" ht="15.75" customHeight="1">
      <c r="A54" s="1045"/>
      <c r="B54" s="1050"/>
      <c r="C54" s="1051"/>
      <c r="D54" s="1051"/>
      <c r="E54" s="1049"/>
      <c r="F54" s="1045"/>
      <c r="G54" s="1045"/>
      <c r="H54" s="1050"/>
      <c r="I54" s="1051"/>
      <c r="J54" s="1049"/>
      <c r="K54" s="1043"/>
      <c r="L54" s="1015"/>
    </row>
    <row r="55" spans="1:13" s="27" customFormat="1" ht="15.75" customHeight="1">
      <c r="A55" s="1611" t="str">
        <f>G38</f>
        <v>LƯƠNG THÁNG 08/2025</v>
      </c>
      <c r="B55" s="1612"/>
      <c r="C55" s="1612"/>
      <c r="D55" s="1612"/>
      <c r="E55" s="1014">
        <v>7</v>
      </c>
      <c r="F55" s="1041"/>
      <c r="G55" s="1611" t="str">
        <f>G38</f>
        <v>LƯƠNG THÁNG 08/2025</v>
      </c>
      <c r="H55" s="1612"/>
      <c r="I55" s="1612"/>
      <c r="J55" s="1613"/>
      <c r="K55" s="1014">
        <v>8</v>
      </c>
      <c r="L55" s="1015"/>
    </row>
    <row r="56" spans="1:13" s="27" customFormat="1" ht="15.75" customHeight="1">
      <c r="A56" s="1044" t="s">
        <v>13</v>
      </c>
      <c r="B56" s="1016" t="str">
        <f>'CNKT '!D22</f>
        <v>T. Đèng 1</v>
      </c>
      <c r="C56" s="1017"/>
      <c r="D56" s="1018" t="s">
        <v>376</v>
      </c>
      <c r="E56" s="1018" t="s">
        <v>16</v>
      </c>
      <c r="F56" s="1049"/>
      <c r="G56" s="1044" t="s">
        <v>13</v>
      </c>
      <c r="H56" s="1016" t="str">
        <f>'CNKT '!D23</f>
        <v>T . Bua Ngân</v>
      </c>
      <c r="I56" s="1017"/>
      <c r="J56" s="1018" t="s">
        <v>376</v>
      </c>
      <c r="K56" s="1018" t="s">
        <v>16</v>
      </c>
      <c r="L56" s="1015"/>
    </row>
    <row r="57" spans="1:13" s="27" customFormat="1" ht="15.75" customHeight="1">
      <c r="A57" s="1020" t="s">
        <v>377</v>
      </c>
      <c r="B57" s="1021" t="s">
        <v>493</v>
      </c>
      <c r="C57" s="1022" t="str">
        <f>VLOOKUP(B56,'BTH mủ tạp'!$D$17:$AN$94,37,0)</f>
        <v>A</v>
      </c>
      <c r="D57" s="1023"/>
      <c r="E57" s="1023"/>
      <c r="F57" s="1049"/>
      <c r="G57" s="1020" t="s">
        <v>377</v>
      </c>
      <c r="H57" s="1021" t="s">
        <v>493</v>
      </c>
      <c r="I57" s="1022" t="str">
        <f>VLOOKUP(H56,'BTH mủ tạp'!$D$17:$AN$94,37,0)</f>
        <v>A</v>
      </c>
      <c r="J57" s="1023"/>
      <c r="K57" s="1023"/>
      <c r="L57" s="1015"/>
    </row>
    <row r="58" spans="1:13" s="27" customFormat="1" ht="15.75" customHeight="1">
      <c r="A58" s="1020" t="s">
        <v>72</v>
      </c>
      <c r="B58" s="1024" t="s">
        <v>406</v>
      </c>
      <c r="C58" s="621">
        <f>VLOOKUP(B56,'CNKT '!$D$16:$AA$96,3,0)</f>
        <v>0</v>
      </c>
      <c r="D58" s="622">
        <v>25000</v>
      </c>
      <c r="E58" s="1023">
        <f>C58*D58</f>
        <v>0</v>
      </c>
      <c r="F58" s="1048"/>
      <c r="G58" s="1020" t="s">
        <v>72</v>
      </c>
      <c r="H58" s="1024" t="s">
        <v>406</v>
      </c>
      <c r="I58" s="621">
        <f>VLOOKUP(H56,'CNKT '!$D$16:$AA$96,3,0)</f>
        <v>0</v>
      </c>
      <c r="J58" s="622">
        <v>25000</v>
      </c>
      <c r="K58" s="1023">
        <f>I58*J58</f>
        <v>0</v>
      </c>
      <c r="L58" s="1015"/>
    </row>
    <row r="59" spans="1:13" s="27" customFormat="1" ht="15.75" customHeight="1">
      <c r="A59" s="1020" t="s">
        <v>292</v>
      </c>
      <c r="B59" s="1025" t="s">
        <v>494</v>
      </c>
      <c r="C59" s="1026">
        <f>VLOOKUP(B56,'CNKT '!$D$16:$AA$96,11,0)</f>
        <v>26</v>
      </c>
      <c r="D59" s="623">
        <f>46.1*$B$2</f>
        <v>30922.036</v>
      </c>
      <c r="E59" s="1023">
        <f>C59*D59</f>
        <v>803972.93599999999</v>
      </c>
      <c r="F59" s="1041"/>
      <c r="G59" s="1020" t="s">
        <v>292</v>
      </c>
      <c r="H59" s="1025" t="s">
        <v>494</v>
      </c>
      <c r="I59" s="1026">
        <f>VLOOKUP(H56,'CNKT '!$D$16:$AA$96,11,0)</f>
        <v>25</v>
      </c>
      <c r="J59" s="623">
        <f>46.1*$B$2</f>
        <v>30922.036</v>
      </c>
      <c r="K59" s="1023">
        <f>I59*J59</f>
        <v>773050.9</v>
      </c>
      <c r="L59" s="1015"/>
    </row>
    <row r="60" spans="1:13" s="27" customFormat="1" ht="15.75" customHeight="1">
      <c r="A60" s="1020" t="s">
        <v>379</v>
      </c>
      <c r="B60" s="1025" t="s">
        <v>495</v>
      </c>
      <c r="C60" s="1026">
        <f>VLOOKUP(B56,'CNKT '!$D$16:$AA$96,12,0)</f>
        <v>2</v>
      </c>
      <c r="D60" s="622">
        <f>76.9*$B$2</f>
        <v>51581.444000000003</v>
      </c>
      <c r="E60" s="1023">
        <f t="shared" ref="E60:E61" si="11">C60*D60</f>
        <v>103162.88800000001</v>
      </c>
      <c r="F60" s="1045"/>
      <c r="G60" s="1020" t="s">
        <v>379</v>
      </c>
      <c r="H60" s="1025" t="s">
        <v>495</v>
      </c>
      <c r="I60" s="1026">
        <f>VLOOKUP(H56,'CNKT '!$D$16:$AA$96,12,0)</f>
        <v>2</v>
      </c>
      <c r="J60" s="622">
        <f>76.9*$B$2</f>
        <v>51581.444000000003</v>
      </c>
      <c r="K60" s="1023">
        <f t="shared" ref="K60:K61" si="12">I60*J60</f>
        <v>103162.88800000001</v>
      </c>
      <c r="L60" s="1015"/>
    </row>
    <row r="61" spans="1:13" s="27" customFormat="1" ht="15.75" customHeight="1">
      <c r="A61" s="1020" t="s">
        <v>73</v>
      </c>
      <c r="B61" s="1025" t="s">
        <v>496</v>
      </c>
      <c r="C61" s="1026">
        <f>VLOOKUP(B56,'CNKT '!$D$16:$AA$96,8,0)</f>
        <v>1557.3481781184967</v>
      </c>
      <c r="D61" s="622">
        <f>IF(C57="A",6.1,IF(C57="B",5.8,IF(C57="C",5.5,IF(C57="C.",5.5,IF(C57="D",5.2)))))*$B$2</f>
        <v>4091.6359999999995</v>
      </c>
      <c r="E61" s="1023">
        <f t="shared" si="11"/>
        <v>6372101.8701240523</v>
      </c>
      <c r="F61" s="1045"/>
      <c r="G61" s="1020" t="s">
        <v>73</v>
      </c>
      <c r="H61" s="1025" t="s">
        <v>496</v>
      </c>
      <c r="I61" s="1026">
        <f>VLOOKUP(H56,'CNKT '!$D$16:$AA$96,8,0)</f>
        <v>1569.308065388743</v>
      </c>
      <c r="J61" s="622">
        <f>IF(I57="A",6.1,IF(I57="B",5.8,IF(I57="C",5.5,IF(I57="C.",5.5,IF(I57="D",5.2)))))*$B$2</f>
        <v>4091.6359999999995</v>
      </c>
      <c r="K61" s="1023">
        <f t="shared" si="12"/>
        <v>6421037.3754349342</v>
      </c>
      <c r="L61" s="1015"/>
    </row>
    <row r="62" spans="1:13" s="27" customFormat="1" ht="15.75" customHeight="1">
      <c r="A62" s="1089" t="s">
        <v>462</v>
      </c>
      <c r="B62" s="1090" t="s">
        <v>497</v>
      </c>
      <c r="C62" s="1091">
        <f>VLOOKUP(B56,'CNKT '!$D$16:$AA$96,13,0)</f>
        <v>0</v>
      </c>
      <c r="D62" s="1092">
        <v>100000</v>
      </c>
      <c r="E62" s="1093">
        <f>C62*D62</f>
        <v>0</v>
      </c>
      <c r="F62" s="1045"/>
      <c r="G62" s="1089" t="s">
        <v>462</v>
      </c>
      <c r="H62" s="1090" t="s">
        <v>497</v>
      </c>
      <c r="I62" s="1091">
        <f>VLOOKUP(H56,'CNKT '!$D$16:$AA$96,13,0)</f>
        <v>0</v>
      </c>
      <c r="J62" s="1092">
        <v>100000</v>
      </c>
      <c r="K62" s="1093">
        <f>I62*J62</f>
        <v>0</v>
      </c>
      <c r="L62" s="1015"/>
    </row>
    <row r="63" spans="1:13" s="27" customFormat="1" ht="15.75" customHeight="1">
      <c r="A63" s="1020" t="s">
        <v>463</v>
      </c>
      <c r="B63" s="1025" t="s">
        <v>467</v>
      </c>
      <c r="C63" s="1026">
        <f>VLOOKUP(B56,'CNKT '!$D$16:$AA$96,16,0)</f>
        <v>0</v>
      </c>
      <c r="D63" s="622">
        <f>153.8*$B$2</f>
        <v>103162.88800000001</v>
      </c>
      <c r="E63" s="1023">
        <f t="shared" ref="E63" si="13">C63*D63</f>
        <v>0</v>
      </c>
      <c r="F63" s="1045"/>
      <c r="G63" s="1020" t="s">
        <v>463</v>
      </c>
      <c r="H63" s="1025" t="s">
        <v>467</v>
      </c>
      <c r="I63" s="1026">
        <f>VLOOKUP(H56,'CNKT '!$D$16:$AA$96,16,0)</f>
        <v>0</v>
      </c>
      <c r="J63" s="622">
        <f>153.8*$B$2</f>
        <v>103162.88800000001</v>
      </c>
      <c r="K63" s="1023">
        <f t="shared" ref="K63" si="14">I63*J63</f>
        <v>0</v>
      </c>
      <c r="L63" s="1015"/>
    </row>
    <row r="64" spans="1:13" s="27" customFormat="1" ht="15.75" customHeight="1">
      <c r="A64" s="1020" t="s">
        <v>425</v>
      </c>
      <c r="B64" s="1025" t="s">
        <v>468</v>
      </c>
      <c r="C64" s="1026">
        <f>VLOOKUP(B56,'CNKT '!$D$16:$AA$96,18,0)</f>
        <v>2</v>
      </c>
      <c r="D64" s="622">
        <v>10000</v>
      </c>
      <c r="E64" s="1023">
        <f>C64*D64</f>
        <v>20000</v>
      </c>
      <c r="F64" s="1045"/>
      <c r="G64" s="1020" t="s">
        <v>425</v>
      </c>
      <c r="H64" s="1025" t="s">
        <v>468</v>
      </c>
      <c r="I64" s="1026">
        <f>VLOOKUP(H56,'CNKT '!$D$16:$AA$96,18,0)</f>
        <v>2</v>
      </c>
      <c r="J64" s="622">
        <v>10000</v>
      </c>
      <c r="K64" s="1023">
        <f>I64*J64</f>
        <v>20000</v>
      </c>
      <c r="L64" s="1015"/>
    </row>
    <row r="65" spans="1:13" s="27" customFormat="1" ht="15.75" customHeight="1">
      <c r="A65" s="1020" t="s">
        <v>425</v>
      </c>
      <c r="B65" s="1025" t="s">
        <v>468</v>
      </c>
      <c r="C65" s="1026">
        <f>VLOOKUP(B56,'CNKT '!$D$16:$AA$96,19,0)</f>
        <v>0</v>
      </c>
      <c r="D65" s="622">
        <v>20000</v>
      </c>
      <c r="E65" s="1023">
        <f>C65*D65</f>
        <v>0</v>
      </c>
      <c r="F65" s="1045"/>
      <c r="G65" s="1020" t="s">
        <v>425</v>
      </c>
      <c r="H65" s="1025" t="s">
        <v>468</v>
      </c>
      <c r="I65" s="1026">
        <f>VLOOKUP(H56,'CNKT '!$D$16:$AA$96,19,0)</f>
        <v>0</v>
      </c>
      <c r="J65" s="622">
        <v>20000</v>
      </c>
      <c r="K65" s="1023">
        <f>I65*J65</f>
        <v>0</v>
      </c>
      <c r="L65" s="1015"/>
    </row>
    <row r="66" spans="1:13" s="27" customFormat="1" ht="15.75" customHeight="1">
      <c r="A66" s="1020" t="s">
        <v>780</v>
      </c>
      <c r="B66" s="1027" t="s">
        <v>781</v>
      </c>
      <c r="C66" s="1026"/>
      <c r="D66" s="622"/>
      <c r="E66" s="1023">
        <f>VLOOKUP(B56,'CNKT '!$D$16:$AE$99,28,0)</f>
        <v>0</v>
      </c>
      <c r="F66" s="1045"/>
      <c r="G66" s="1020" t="s">
        <v>780</v>
      </c>
      <c r="H66" s="1027" t="s">
        <v>781</v>
      </c>
      <c r="I66" s="1026"/>
      <c r="J66" s="622"/>
      <c r="K66" s="1023">
        <f>VLOOKUP(H56,'CNKT '!$D$16:$AE$99,28,0)</f>
        <v>0</v>
      </c>
      <c r="L66" s="1015"/>
    </row>
    <row r="67" spans="1:13" s="27" customFormat="1" ht="15.75" customHeight="1">
      <c r="A67" s="1028" t="s">
        <v>74</v>
      </c>
      <c r="B67" s="1029" t="s">
        <v>498</v>
      </c>
      <c r="C67" s="1030"/>
      <c r="D67" s="1031"/>
      <c r="E67" s="1030"/>
      <c r="F67" s="1045"/>
      <c r="G67" s="1028" t="s">
        <v>74</v>
      </c>
      <c r="H67" s="1029" t="s">
        <v>498</v>
      </c>
      <c r="I67" s="1030"/>
      <c r="J67" s="1031"/>
      <c r="K67" s="1030"/>
      <c r="L67" s="1015"/>
    </row>
    <row r="68" spans="1:13" s="27" customFormat="1" ht="15.75" customHeight="1">
      <c r="A68" s="1032" t="s">
        <v>75</v>
      </c>
      <c r="B68" s="1033" t="s">
        <v>499</v>
      </c>
      <c r="C68" s="1030"/>
      <c r="D68" s="1030"/>
      <c r="E68" s="1030"/>
      <c r="F68" s="1045"/>
      <c r="G68" s="1032" t="s">
        <v>75</v>
      </c>
      <c r="H68" s="1033" t="s">
        <v>499</v>
      </c>
      <c r="I68" s="1030"/>
      <c r="J68" s="1030"/>
      <c r="K68" s="1030"/>
      <c r="L68" s="1015"/>
    </row>
    <row r="69" spans="1:13" s="27" customFormat="1" ht="15.75" customHeight="1">
      <c r="A69" s="1032" t="s">
        <v>76</v>
      </c>
      <c r="B69" s="1034" t="s">
        <v>500</v>
      </c>
      <c r="C69" s="1030"/>
      <c r="D69" s="1030"/>
      <c r="E69" s="1023">
        <f>SUM(E68)</f>
        <v>0</v>
      </c>
      <c r="F69" s="1045"/>
      <c r="G69" s="1032" t="s">
        <v>76</v>
      </c>
      <c r="H69" s="1034" t="s">
        <v>500</v>
      </c>
      <c r="I69" s="1030"/>
      <c r="J69" s="1030"/>
      <c r="K69" s="1023">
        <f>SUM(K68)</f>
        <v>0</v>
      </c>
      <c r="L69" s="1015"/>
      <c r="M69" s="1035">
        <f>E69+K69</f>
        <v>0</v>
      </c>
    </row>
    <row r="70" spans="1:13" s="27" customFormat="1" ht="15.75" customHeight="1">
      <c r="A70" s="1036" t="s">
        <v>77</v>
      </c>
      <c r="B70" s="1037" t="s">
        <v>412</v>
      </c>
      <c r="C70" s="1038"/>
      <c r="D70" s="1038"/>
      <c r="E70" s="1038">
        <f>(E58+E59+E60+E61+E62+E63+E64+E65+E66)-E69</f>
        <v>7299237.6941240523</v>
      </c>
      <c r="F70" s="1045"/>
      <c r="G70" s="1036" t="s">
        <v>77</v>
      </c>
      <c r="H70" s="1037" t="s">
        <v>412</v>
      </c>
      <c r="I70" s="1038"/>
      <c r="J70" s="1038"/>
      <c r="K70" s="1038">
        <f>(K58+K59+K60+K61+K62+K63+K64+K65+K66)-K69</f>
        <v>7317251.1634349339</v>
      </c>
      <c r="L70" s="1040">
        <f>E70+K70</f>
        <v>14616488.857558986</v>
      </c>
    </row>
    <row r="71" spans="1:13" s="27" customFormat="1" ht="15.75" customHeight="1">
      <c r="A71" s="1045"/>
      <c r="B71" s="1050"/>
      <c r="C71" s="1051"/>
      <c r="D71" s="1051"/>
      <c r="E71" s="1049"/>
      <c r="F71" s="1045"/>
      <c r="G71" s="1045"/>
      <c r="H71" s="1050"/>
      <c r="I71" s="1051"/>
      <c r="J71" s="1049"/>
      <c r="K71" s="1043"/>
      <c r="L71" s="1015"/>
    </row>
    <row r="72" spans="1:13" s="27" customFormat="1" ht="15.75" customHeight="1">
      <c r="A72" s="1611" t="str">
        <f>G55</f>
        <v>LƯƠNG THÁNG 08/2025</v>
      </c>
      <c r="B72" s="1612"/>
      <c r="C72" s="1612"/>
      <c r="D72" s="1612"/>
      <c r="E72" s="1014">
        <v>9</v>
      </c>
      <c r="F72" s="1041"/>
      <c r="G72" s="1611" t="str">
        <f>A72</f>
        <v>LƯƠNG THÁNG 08/2025</v>
      </c>
      <c r="H72" s="1612"/>
      <c r="I72" s="1612"/>
      <c r="J72" s="1613"/>
      <c r="K72" s="1014">
        <v>10</v>
      </c>
      <c r="L72" s="1015"/>
    </row>
    <row r="73" spans="1:13" s="27" customFormat="1" ht="15.75" customHeight="1">
      <c r="A73" s="1044" t="s">
        <v>13</v>
      </c>
      <c r="B73" s="1016" t="str">
        <f>'CNKT '!D24</f>
        <v>T Căng</v>
      </c>
      <c r="C73" s="1017"/>
      <c r="D73" s="1018" t="s">
        <v>376</v>
      </c>
      <c r="E73" s="1018" t="s">
        <v>16</v>
      </c>
      <c r="F73" s="1045"/>
      <c r="G73" s="1044" t="s">
        <v>13</v>
      </c>
      <c r="H73" s="1016" t="str">
        <f>'CNKT '!D25</f>
        <v>N. Phôn 1</v>
      </c>
      <c r="I73" s="1017"/>
      <c r="J73" s="1018" t="s">
        <v>376</v>
      </c>
      <c r="K73" s="1018" t="s">
        <v>16</v>
      </c>
      <c r="L73" s="1015"/>
    </row>
    <row r="74" spans="1:13" s="27" customFormat="1" ht="15.75" customHeight="1">
      <c r="A74" s="1020" t="s">
        <v>377</v>
      </c>
      <c r="B74" s="1021" t="s">
        <v>493</v>
      </c>
      <c r="C74" s="1022" t="str">
        <f>VLOOKUP(B73,'BTH mủ tạp'!$D$17:$AN$94,37,0)</f>
        <v>A</v>
      </c>
      <c r="D74" s="1023"/>
      <c r="E74" s="1023"/>
      <c r="F74" s="1045"/>
      <c r="G74" s="1020" t="s">
        <v>377</v>
      </c>
      <c r="H74" s="1021" t="s">
        <v>493</v>
      </c>
      <c r="I74" s="1022" t="str">
        <f>VLOOKUP(H73,'BTH mủ tạp'!$D$17:$AN$94,37,0)</f>
        <v>A</v>
      </c>
      <c r="J74" s="1023"/>
      <c r="K74" s="1023"/>
      <c r="L74" s="1015"/>
    </row>
    <row r="75" spans="1:13" s="27" customFormat="1" ht="15.75" customHeight="1">
      <c r="A75" s="1020" t="s">
        <v>72</v>
      </c>
      <c r="B75" s="1024" t="s">
        <v>406</v>
      </c>
      <c r="C75" s="621">
        <f>VLOOKUP(B73,'CNKT '!$D$16:$AA$96,3,0)</f>
        <v>0</v>
      </c>
      <c r="D75" s="622">
        <v>25000</v>
      </c>
      <c r="E75" s="1023">
        <f>C75*D75</f>
        <v>0</v>
      </c>
      <c r="F75" s="1045"/>
      <c r="G75" s="1020" t="s">
        <v>72</v>
      </c>
      <c r="H75" s="1024" t="s">
        <v>406</v>
      </c>
      <c r="I75" s="621">
        <f>VLOOKUP(H73,'CNKT '!$D$16:$AA$96,3,0)</f>
        <v>0</v>
      </c>
      <c r="J75" s="622">
        <v>25000</v>
      </c>
      <c r="K75" s="1023">
        <f>I75*J75</f>
        <v>0</v>
      </c>
      <c r="L75" s="1015"/>
    </row>
    <row r="76" spans="1:13" s="27" customFormat="1" ht="15.75" customHeight="1">
      <c r="A76" s="1020" t="s">
        <v>292</v>
      </c>
      <c r="B76" s="1025" t="s">
        <v>494</v>
      </c>
      <c r="C76" s="1026">
        <f>VLOOKUP(B73,'CNKT '!$D$16:$AA$96,11,0)</f>
        <v>25</v>
      </c>
      <c r="D76" s="623">
        <f>46.1*$B$2</f>
        <v>30922.036</v>
      </c>
      <c r="E76" s="1023">
        <f>C76*D76</f>
        <v>773050.9</v>
      </c>
      <c r="F76" s="1045"/>
      <c r="G76" s="1020" t="s">
        <v>292</v>
      </c>
      <c r="H76" s="1025" t="s">
        <v>494</v>
      </c>
      <c r="I76" s="1026">
        <f>VLOOKUP(H73,'CNKT '!$D$16:$AA$96,11,0)</f>
        <v>25</v>
      </c>
      <c r="J76" s="623">
        <f>46.1*$B$2</f>
        <v>30922.036</v>
      </c>
      <c r="K76" s="1023">
        <f>I76*J76</f>
        <v>773050.9</v>
      </c>
      <c r="L76" s="1015"/>
    </row>
    <row r="77" spans="1:13" s="27" customFormat="1" ht="15.75" customHeight="1">
      <c r="A77" s="1020" t="s">
        <v>379</v>
      </c>
      <c r="B77" s="1025" t="s">
        <v>495</v>
      </c>
      <c r="C77" s="1026">
        <f>VLOOKUP(B73,'CNKT '!$D$16:$AA$96,12,0)</f>
        <v>2</v>
      </c>
      <c r="D77" s="622">
        <f>76.9*$B$2</f>
        <v>51581.444000000003</v>
      </c>
      <c r="E77" s="1023">
        <f t="shared" ref="E77:E78" si="15">C77*D77</f>
        <v>103162.88800000001</v>
      </c>
      <c r="F77" s="1048"/>
      <c r="G77" s="1020" t="s">
        <v>379</v>
      </c>
      <c r="H77" s="1025" t="s">
        <v>495</v>
      </c>
      <c r="I77" s="1026">
        <f>VLOOKUP(H73,'CNKT '!$D$16:$AA$96,12,0)</f>
        <v>2</v>
      </c>
      <c r="J77" s="622">
        <f>76.9*$B$2</f>
        <v>51581.444000000003</v>
      </c>
      <c r="K77" s="1023">
        <f t="shared" ref="K77:K78" si="16">I77*J77</f>
        <v>103162.88800000001</v>
      </c>
      <c r="L77" s="1015"/>
    </row>
    <row r="78" spans="1:13" s="27" customFormat="1" ht="15.75" customHeight="1">
      <c r="A78" s="1020" t="s">
        <v>73</v>
      </c>
      <c r="B78" s="1025" t="s">
        <v>496</v>
      </c>
      <c r="C78" s="1026">
        <f>VLOOKUP(B73,'CNKT '!$D$16:$AA$96,8,0)</f>
        <v>1956.2958463474258</v>
      </c>
      <c r="D78" s="622">
        <f>IF(C74="A",6.1,IF(C74="B",5.8,IF(C74="C",5.5,IF(C74="C.",5.5,IF(C74="D",5.2)))))*$B$2</f>
        <v>4091.6359999999995</v>
      </c>
      <c r="E78" s="1023">
        <f t="shared" si="15"/>
        <v>8004450.5115655949</v>
      </c>
      <c r="F78" s="1048"/>
      <c r="G78" s="1020" t="s">
        <v>73</v>
      </c>
      <c r="H78" s="1025" t="s">
        <v>496</v>
      </c>
      <c r="I78" s="1026">
        <f>VLOOKUP(H73,'CNKT '!$D$16:$AA$96,8,0)</f>
        <v>1981.069898550079</v>
      </c>
      <c r="J78" s="622">
        <f>IF(I74="A",6.1,IF(I74="B",5.8,IF(I74="C",5.5,IF(I74="C.",5.5,IF(I74="D",5.2)))))*$B$2</f>
        <v>4091.6359999999995</v>
      </c>
      <c r="K78" s="1023">
        <f t="shared" si="16"/>
        <v>8105816.9154238496</v>
      </c>
      <c r="L78" s="1015"/>
    </row>
    <row r="79" spans="1:13" s="27" customFormat="1" ht="15.75" customHeight="1">
      <c r="A79" s="1089" t="s">
        <v>462</v>
      </c>
      <c r="B79" s="1090" t="s">
        <v>497</v>
      </c>
      <c r="C79" s="1091">
        <f>VLOOKUP(B73,'CNKT '!$D$16:$AA$96,13,0)</f>
        <v>0</v>
      </c>
      <c r="D79" s="1092">
        <v>100000</v>
      </c>
      <c r="E79" s="1093">
        <f>C79*D79</f>
        <v>0</v>
      </c>
      <c r="F79" s="1048"/>
      <c r="G79" s="1089" t="s">
        <v>462</v>
      </c>
      <c r="H79" s="1090" t="s">
        <v>497</v>
      </c>
      <c r="I79" s="1091">
        <f>VLOOKUP(H73,'CNKT '!$D$16:$AA$96,13,0)</f>
        <v>0</v>
      </c>
      <c r="J79" s="1092">
        <v>100000</v>
      </c>
      <c r="K79" s="1093">
        <f>I79*J79</f>
        <v>0</v>
      </c>
      <c r="L79" s="1015"/>
    </row>
    <row r="80" spans="1:13" s="27" customFormat="1" ht="15.75" customHeight="1">
      <c r="A80" s="1020" t="s">
        <v>463</v>
      </c>
      <c r="B80" s="1025" t="s">
        <v>467</v>
      </c>
      <c r="C80" s="1026">
        <f>VLOOKUP(B73,'CNKT '!$D$16:$AA$96,16,0)</f>
        <v>0</v>
      </c>
      <c r="D80" s="622">
        <f>153.8*$B$2</f>
        <v>103162.88800000001</v>
      </c>
      <c r="E80" s="1023">
        <f t="shared" ref="E80" si="17">C80*D80</f>
        <v>0</v>
      </c>
      <c r="F80" s="1048"/>
      <c r="G80" s="1020" t="s">
        <v>463</v>
      </c>
      <c r="H80" s="1025" t="s">
        <v>467</v>
      </c>
      <c r="I80" s="1026">
        <f>VLOOKUP(H73,'CNKT '!$D$16:$AA$96,16,0)</f>
        <v>0</v>
      </c>
      <c r="J80" s="622">
        <f>153.8*$B$2</f>
        <v>103162.88800000001</v>
      </c>
      <c r="K80" s="1023">
        <f t="shared" ref="K80" si="18">I80*J80</f>
        <v>0</v>
      </c>
      <c r="L80" s="1015"/>
    </row>
    <row r="81" spans="1:13" s="27" customFormat="1" ht="15.75" customHeight="1">
      <c r="A81" s="1020" t="s">
        <v>425</v>
      </c>
      <c r="B81" s="1025" t="s">
        <v>468</v>
      </c>
      <c r="C81" s="1026">
        <f>VLOOKUP(B73,'CNKT '!$D$16:$AA$96,18,0)</f>
        <v>2</v>
      </c>
      <c r="D81" s="622">
        <v>10000</v>
      </c>
      <c r="E81" s="1023">
        <f>C81*D81</f>
        <v>20000</v>
      </c>
      <c r="F81" s="1048"/>
      <c r="G81" s="1020" t="s">
        <v>425</v>
      </c>
      <c r="H81" s="1025" t="s">
        <v>468</v>
      </c>
      <c r="I81" s="1026">
        <f>VLOOKUP(H73,'CNKT '!$D$16:$AA$96,18,0)</f>
        <v>2</v>
      </c>
      <c r="J81" s="622">
        <v>10000</v>
      </c>
      <c r="K81" s="1023">
        <f>I81*J81</f>
        <v>20000</v>
      </c>
      <c r="L81" s="1015"/>
    </row>
    <row r="82" spans="1:13" s="27" customFormat="1" ht="15.75" customHeight="1">
      <c r="A82" s="1020" t="s">
        <v>425</v>
      </c>
      <c r="B82" s="1025" t="s">
        <v>468</v>
      </c>
      <c r="C82" s="1026">
        <f>VLOOKUP(B73,'CNKT '!$D$16:$AA$96,19,0)</f>
        <v>0</v>
      </c>
      <c r="D82" s="622">
        <v>20000</v>
      </c>
      <c r="E82" s="1023">
        <f>C82*D82</f>
        <v>0</v>
      </c>
      <c r="F82" s="1048"/>
      <c r="G82" s="1020" t="s">
        <v>425</v>
      </c>
      <c r="H82" s="1025" t="s">
        <v>468</v>
      </c>
      <c r="I82" s="1026">
        <f>VLOOKUP(H73,'CNKT '!$D$16:$AA$96,19,0)</f>
        <v>0</v>
      </c>
      <c r="J82" s="622">
        <v>20000</v>
      </c>
      <c r="K82" s="1023">
        <f>I82*J82</f>
        <v>0</v>
      </c>
      <c r="L82" s="1015"/>
    </row>
    <row r="83" spans="1:13" s="27" customFormat="1" ht="15.75" customHeight="1">
      <c r="A83" s="1020" t="s">
        <v>780</v>
      </c>
      <c r="B83" s="1027" t="s">
        <v>781</v>
      </c>
      <c r="C83" s="1026"/>
      <c r="D83" s="622"/>
      <c r="E83" s="1023">
        <f>VLOOKUP(B73,'CNKT '!$D$16:$AE$99,28,0)</f>
        <v>0</v>
      </c>
      <c r="F83" s="1048"/>
      <c r="G83" s="1020" t="s">
        <v>780</v>
      </c>
      <c r="H83" s="1027" t="s">
        <v>781</v>
      </c>
      <c r="I83" s="1026"/>
      <c r="J83" s="622"/>
      <c r="K83" s="1023">
        <f>VLOOKUP(H73,'CNKT '!$D$16:$AE$99,28,0)</f>
        <v>0</v>
      </c>
      <c r="L83" s="1015"/>
    </row>
    <row r="84" spans="1:13" s="27" customFormat="1" ht="15.75" customHeight="1">
      <c r="A84" s="1028" t="s">
        <v>74</v>
      </c>
      <c r="B84" s="1029" t="s">
        <v>498</v>
      </c>
      <c r="C84" s="1030"/>
      <c r="D84" s="1031"/>
      <c r="E84" s="1030"/>
      <c r="F84" s="1041"/>
      <c r="G84" s="1028" t="s">
        <v>74</v>
      </c>
      <c r="H84" s="1029" t="s">
        <v>498</v>
      </c>
      <c r="I84" s="1030"/>
      <c r="J84" s="1031"/>
      <c r="K84" s="1030"/>
      <c r="L84" s="1015"/>
    </row>
    <row r="85" spans="1:13" s="27" customFormat="1" ht="15.75" customHeight="1">
      <c r="A85" s="1032" t="s">
        <v>75</v>
      </c>
      <c r="B85" s="1033" t="s">
        <v>499</v>
      </c>
      <c r="C85" s="1030"/>
      <c r="D85" s="1030"/>
      <c r="E85" s="1030"/>
      <c r="F85" s="1049"/>
      <c r="G85" s="1032" t="s">
        <v>75</v>
      </c>
      <c r="H85" s="1033" t="s">
        <v>499</v>
      </c>
      <c r="I85" s="1030"/>
      <c r="J85" s="1030"/>
      <c r="K85" s="1030"/>
      <c r="L85" s="1015"/>
    </row>
    <row r="86" spans="1:13" s="27" customFormat="1" ht="15.75" customHeight="1">
      <c r="A86" s="1032" t="s">
        <v>76</v>
      </c>
      <c r="B86" s="1034" t="s">
        <v>500</v>
      </c>
      <c r="C86" s="1030"/>
      <c r="D86" s="1030"/>
      <c r="E86" s="1023">
        <f>SUM(E85)</f>
        <v>0</v>
      </c>
      <c r="F86" s="1049"/>
      <c r="G86" s="1032" t="s">
        <v>76</v>
      </c>
      <c r="H86" s="1034" t="s">
        <v>500</v>
      </c>
      <c r="I86" s="1030"/>
      <c r="J86" s="1030"/>
      <c r="K86" s="1023">
        <f>SUM(K85)</f>
        <v>0</v>
      </c>
      <c r="L86" s="1015"/>
      <c r="M86" s="1035">
        <f>E86+K86</f>
        <v>0</v>
      </c>
    </row>
    <row r="87" spans="1:13" s="27" customFormat="1" ht="15.75" customHeight="1">
      <c r="A87" s="1036" t="s">
        <v>77</v>
      </c>
      <c r="B87" s="1037" t="s">
        <v>412</v>
      </c>
      <c r="C87" s="1038"/>
      <c r="D87" s="1038"/>
      <c r="E87" s="1038">
        <f>(E75+E76+E77+E78+E79+E80+E81+E82+E83)-E86</f>
        <v>8900664.2995655946</v>
      </c>
      <c r="F87" s="1049"/>
      <c r="G87" s="1036" t="s">
        <v>77</v>
      </c>
      <c r="H87" s="1037" t="s">
        <v>412</v>
      </c>
      <c r="I87" s="1038"/>
      <c r="J87" s="1038"/>
      <c r="K87" s="1038">
        <f>(K75+K76+K77+K78+K79+K80+K81+K82+K83)-K86</f>
        <v>9002030.7034238502</v>
      </c>
      <c r="L87" s="1040">
        <f>E87+K87</f>
        <v>17902695.002989445</v>
      </c>
    </row>
    <row r="88" spans="1:13" s="27" customFormat="1" ht="70.5" customHeight="1">
      <c r="A88" s="1045"/>
      <c r="B88" s="1050"/>
      <c r="C88" s="1051"/>
      <c r="D88" s="1051"/>
      <c r="E88" s="1049"/>
      <c r="F88" s="1049"/>
      <c r="G88" s="1045"/>
      <c r="H88" s="1050"/>
      <c r="I88" s="1051"/>
      <c r="J88" s="1049"/>
      <c r="K88" s="1043"/>
      <c r="L88" s="1015"/>
    </row>
    <row r="89" spans="1:13" s="27" customFormat="1" ht="17.25" customHeight="1">
      <c r="A89" s="1611" t="str">
        <f>G72</f>
        <v>LƯƠNG THÁNG 08/2025</v>
      </c>
      <c r="B89" s="1612"/>
      <c r="C89" s="1612"/>
      <c r="D89" s="1612"/>
      <c r="E89" s="1014">
        <v>11</v>
      </c>
      <c r="F89" s="1045"/>
      <c r="G89" s="1611" t="str">
        <f>A89</f>
        <v>LƯƠNG THÁNG 08/2025</v>
      </c>
      <c r="H89" s="1612"/>
      <c r="I89" s="1612"/>
      <c r="J89" s="1613"/>
      <c r="K89" s="1014">
        <v>12</v>
      </c>
      <c r="L89" s="1015"/>
    </row>
    <row r="90" spans="1:13" s="27" customFormat="1" ht="17.25" customHeight="1">
      <c r="A90" s="1044" t="s">
        <v>13</v>
      </c>
      <c r="B90" s="1016" t="str">
        <f>'CNKT '!D26</f>
        <v>T. In Păn</v>
      </c>
      <c r="C90" s="1017"/>
      <c r="D90" s="1018" t="s">
        <v>376</v>
      </c>
      <c r="E90" s="1018" t="s">
        <v>16</v>
      </c>
      <c r="F90" s="1048"/>
      <c r="G90" s="1044" t="s">
        <v>13</v>
      </c>
      <c r="H90" s="1016" t="str">
        <f>'CNKT '!D27</f>
        <v>N. Keo</v>
      </c>
      <c r="I90" s="1017"/>
      <c r="J90" s="1018" t="s">
        <v>376</v>
      </c>
      <c r="K90" s="1018" t="s">
        <v>16</v>
      </c>
      <c r="L90" s="1015"/>
    </row>
    <row r="91" spans="1:13" s="27" customFormat="1" ht="17.25" customHeight="1">
      <c r="A91" s="1020" t="s">
        <v>377</v>
      </c>
      <c r="B91" s="1021" t="s">
        <v>493</v>
      </c>
      <c r="C91" s="1022" t="str">
        <f>VLOOKUP(B90,'BTH mủ tạp'!$D$17:$AN$94,37,0)</f>
        <v>A</v>
      </c>
      <c r="D91" s="1023"/>
      <c r="E91" s="1023"/>
      <c r="F91" s="1048"/>
      <c r="G91" s="1020" t="s">
        <v>377</v>
      </c>
      <c r="H91" s="1021" t="s">
        <v>493</v>
      </c>
      <c r="I91" s="1022" t="str">
        <f>VLOOKUP(H90,'BTH mủ tạp'!$D$17:$AN$94,37,0)</f>
        <v>A</v>
      </c>
      <c r="J91" s="1023"/>
      <c r="K91" s="1023"/>
      <c r="L91" s="1015"/>
    </row>
    <row r="92" spans="1:13" s="27" customFormat="1" ht="17.25" customHeight="1">
      <c r="A92" s="1020" t="s">
        <v>72</v>
      </c>
      <c r="B92" s="1024" t="s">
        <v>406</v>
      </c>
      <c r="C92" s="621">
        <f>VLOOKUP(B90,'CNKT '!$D$16:$AA$96,3,0)</f>
        <v>0</v>
      </c>
      <c r="D92" s="622">
        <v>25000</v>
      </c>
      <c r="E92" s="1023">
        <f>C92*D92</f>
        <v>0</v>
      </c>
      <c r="F92" s="1041"/>
      <c r="G92" s="1020" t="s">
        <v>72</v>
      </c>
      <c r="H92" s="1024" t="s">
        <v>406</v>
      </c>
      <c r="I92" s="621">
        <f>VLOOKUP(H90,'CNKT '!$D$16:$AA$96,3,0)</f>
        <v>0</v>
      </c>
      <c r="J92" s="622">
        <v>25000</v>
      </c>
      <c r="K92" s="1023">
        <f>I92*J92</f>
        <v>0</v>
      </c>
      <c r="L92" s="1015"/>
    </row>
    <row r="93" spans="1:13" s="27" customFormat="1" ht="17.25" customHeight="1">
      <c r="A93" s="1020" t="s">
        <v>292</v>
      </c>
      <c r="B93" s="1025" t="s">
        <v>494</v>
      </c>
      <c r="C93" s="1026">
        <f>VLOOKUP(B90,'CNKT '!$D$16:$AA$96,11,0)</f>
        <v>25</v>
      </c>
      <c r="D93" s="623">
        <f>46.1*$B$2</f>
        <v>30922.036</v>
      </c>
      <c r="E93" s="1023">
        <f>C93*D93</f>
        <v>773050.9</v>
      </c>
      <c r="F93" s="1049"/>
      <c r="G93" s="1020" t="s">
        <v>292</v>
      </c>
      <c r="H93" s="1025" t="s">
        <v>494</v>
      </c>
      <c r="I93" s="1026">
        <f>VLOOKUP(H90,'CNKT '!$D$16:$AA$96,11,0)</f>
        <v>26</v>
      </c>
      <c r="J93" s="623">
        <f>46.1*$B$2</f>
        <v>30922.036</v>
      </c>
      <c r="K93" s="1023">
        <f>I93*J93</f>
        <v>803972.93599999999</v>
      </c>
      <c r="L93" s="1015"/>
    </row>
    <row r="94" spans="1:13" s="27" customFormat="1" ht="17.25" customHeight="1">
      <c r="A94" s="1020" t="s">
        <v>379</v>
      </c>
      <c r="B94" s="1025" t="s">
        <v>495</v>
      </c>
      <c r="C94" s="1026">
        <f>VLOOKUP(B90,'CNKT '!$D$16:$AA$96,12,0)</f>
        <v>2</v>
      </c>
      <c r="D94" s="622">
        <f>76.9*$B$2</f>
        <v>51581.444000000003</v>
      </c>
      <c r="E94" s="1023">
        <f t="shared" ref="E94:E95" si="19">C94*D94</f>
        <v>103162.88800000001</v>
      </c>
      <c r="F94" s="1049"/>
      <c r="G94" s="1020" t="s">
        <v>379</v>
      </c>
      <c r="H94" s="1025" t="s">
        <v>495</v>
      </c>
      <c r="I94" s="1026">
        <f>VLOOKUP(H90,'CNKT '!$D$16:$AA$96,12,0)</f>
        <v>2</v>
      </c>
      <c r="J94" s="622">
        <f>76.9*$B$2</f>
        <v>51581.444000000003</v>
      </c>
      <c r="K94" s="1023">
        <f t="shared" ref="K94:K95" si="20">I94*J94</f>
        <v>103162.88800000001</v>
      </c>
      <c r="L94" s="1015"/>
    </row>
    <row r="95" spans="1:13" s="27" customFormat="1" ht="17.25" customHeight="1">
      <c r="A95" s="1020" t="s">
        <v>73</v>
      </c>
      <c r="B95" s="1025" t="s">
        <v>496</v>
      </c>
      <c r="C95" s="1026">
        <f>VLOOKUP(B90,'CNKT '!$D$16:$AA$96,8,0)</f>
        <v>1535.5640977334053</v>
      </c>
      <c r="D95" s="622">
        <f>IF(C91="A",6.1,IF(C91="B",5.8,IF(C91="C",5.5,IF(C91="C.",5.5,IF(C91="D",5.2)))))*$B$2</f>
        <v>4091.6359999999995</v>
      </c>
      <c r="E95" s="1023">
        <f t="shared" si="19"/>
        <v>6282969.342593519</v>
      </c>
      <c r="F95" s="1049"/>
      <c r="G95" s="1020" t="s">
        <v>73</v>
      </c>
      <c r="H95" s="1025" t="s">
        <v>496</v>
      </c>
      <c r="I95" s="1026">
        <f>VLOOKUP(H90,'CNKT '!$D$16:$AA$96,8,0)</f>
        <v>1858.4810540300546</v>
      </c>
      <c r="J95" s="622">
        <f>IF(I91="A",6.1,IF(I91="B",5.8,IF(I91="C",5.5,IF(I91="C.",5.5,IF(I91="D",5.2)))))*$B$2</f>
        <v>4091.6359999999995</v>
      </c>
      <c r="K95" s="1023">
        <f t="shared" si="20"/>
        <v>7604227.9859873159</v>
      </c>
      <c r="L95" s="1015"/>
    </row>
    <row r="96" spans="1:13" s="27" customFormat="1" ht="17.25" customHeight="1">
      <c r="A96" s="1089" t="s">
        <v>462</v>
      </c>
      <c r="B96" s="1090" t="s">
        <v>497</v>
      </c>
      <c r="C96" s="1091">
        <f>VLOOKUP(B90,'CNKT '!$D$16:$AA$96,13,0)</f>
        <v>0</v>
      </c>
      <c r="D96" s="1092">
        <v>100000</v>
      </c>
      <c r="E96" s="1093">
        <f>C96*D96</f>
        <v>0</v>
      </c>
      <c r="F96" s="1049"/>
      <c r="G96" s="1089" t="s">
        <v>462</v>
      </c>
      <c r="H96" s="1090" t="s">
        <v>497</v>
      </c>
      <c r="I96" s="1091">
        <f>VLOOKUP(H90,'CNKT '!$D$16:$AA$96,13,0)</f>
        <v>0</v>
      </c>
      <c r="J96" s="1092">
        <v>100000</v>
      </c>
      <c r="K96" s="1093">
        <f>I96*J96</f>
        <v>0</v>
      </c>
      <c r="L96" s="1015"/>
    </row>
    <row r="97" spans="1:13" s="27" customFormat="1" ht="17.25" customHeight="1">
      <c r="A97" s="1020" t="s">
        <v>463</v>
      </c>
      <c r="B97" s="1025" t="s">
        <v>467</v>
      </c>
      <c r="C97" s="1026">
        <f>VLOOKUP(B90,'CNKT '!$D$16:$AA$96,16,0)</f>
        <v>0</v>
      </c>
      <c r="D97" s="622">
        <f>153.8*$B$2</f>
        <v>103162.88800000001</v>
      </c>
      <c r="E97" s="1023">
        <f t="shared" ref="E97" si="21">C97*D97</f>
        <v>0</v>
      </c>
      <c r="F97" s="1049"/>
      <c r="G97" s="1020" t="s">
        <v>463</v>
      </c>
      <c r="H97" s="1025" t="s">
        <v>467</v>
      </c>
      <c r="I97" s="1026">
        <f>VLOOKUP(H90,'CNKT '!$D$16:$AA$96,16,0)</f>
        <v>0</v>
      </c>
      <c r="J97" s="622">
        <f>153.8*$B$2</f>
        <v>103162.88800000001</v>
      </c>
      <c r="K97" s="1023">
        <f t="shared" ref="K97" si="22">I97*J97</f>
        <v>0</v>
      </c>
      <c r="L97" s="1015"/>
    </row>
    <row r="98" spans="1:13" s="27" customFormat="1" ht="17.25" customHeight="1">
      <c r="A98" s="1020" t="s">
        <v>425</v>
      </c>
      <c r="B98" s="1025" t="s">
        <v>468</v>
      </c>
      <c r="C98" s="1026">
        <f>VLOOKUP(B90,'CNKT '!$D$16:$AA$96,18,0)</f>
        <v>2</v>
      </c>
      <c r="D98" s="622">
        <v>10000</v>
      </c>
      <c r="E98" s="1023">
        <f>C98*D98</f>
        <v>20000</v>
      </c>
      <c r="F98" s="1049"/>
      <c r="G98" s="1020" t="s">
        <v>425</v>
      </c>
      <c r="H98" s="1025" t="s">
        <v>468</v>
      </c>
      <c r="I98" s="1026">
        <f>VLOOKUP(H90,'CNKT '!$D$16:$AA$96,18,0)</f>
        <v>2</v>
      </c>
      <c r="J98" s="622">
        <v>10000</v>
      </c>
      <c r="K98" s="1023">
        <f>I98*J98</f>
        <v>20000</v>
      </c>
      <c r="L98" s="1015"/>
    </row>
    <row r="99" spans="1:13" s="27" customFormat="1" ht="17.25" customHeight="1">
      <c r="A99" s="1020" t="s">
        <v>425</v>
      </c>
      <c r="B99" s="1025" t="s">
        <v>468</v>
      </c>
      <c r="C99" s="1026">
        <f>VLOOKUP(B90,'CNKT '!$D$16:$AA$96,19,0)</f>
        <v>0</v>
      </c>
      <c r="D99" s="622">
        <v>20000</v>
      </c>
      <c r="E99" s="1023">
        <f>C99*D99</f>
        <v>0</v>
      </c>
      <c r="F99" s="1049"/>
      <c r="G99" s="1020" t="s">
        <v>425</v>
      </c>
      <c r="H99" s="1025" t="s">
        <v>468</v>
      </c>
      <c r="I99" s="1026">
        <f>VLOOKUP(H90,'CNKT '!$D$16:$AA$96,19,0)</f>
        <v>0</v>
      </c>
      <c r="J99" s="622">
        <v>20000</v>
      </c>
      <c r="K99" s="1023">
        <f>I99*J99</f>
        <v>0</v>
      </c>
      <c r="L99" s="1015"/>
    </row>
    <row r="100" spans="1:13" s="27" customFormat="1" ht="17.25" customHeight="1">
      <c r="A100" s="1020" t="s">
        <v>780</v>
      </c>
      <c r="B100" s="1027" t="s">
        <v>781</v>
      </c>
      <c r="C100" s="1026"/>
      <c r="D100" s="622"/>
      <c r="E100" s="1023">
        <f>VLOOKUP(B90,'CNKT '!$D$16:$AE$99,28,0)</f>
        <v>0</v>
      </c>
      <c r="F100" s="1049"/>
      <c r="G100" s="1020" t="s">
        <v>780</v>
      </c>
      <c r="H100" s="1027" t="s">
        <v>781</v>
      </c>
      <c r="I100" s="1026"/>
      <c r="J100" s="622"/>
      <c r="K100" s="1023">
        <f>VLOOKUP(H90,'CNKT '!$D$16:$AE$99,28,0)</f>
        <v>0</v>
      </c>
      <c r="L100" s="1015"/>
    </row>
    <row r="101" spans="1:13" s="27" customFormat="1" ht="17.25" customHeight="1">
      <c r="A101" s="1028" t="s">
        <v>74</v>
      </c>
      <c r="B101" s="1029" t="s">
        <v>498</v>
      </c>
      <c r="C101" s="1030"/>
      <c r="D101" s="1031"/>
      <c r="E101" s="1030"/>
      <c r="F101" s="1049"/>
      <c r="G101" s="1028" t="s">
        <v>74</v>
      </c>
      <c r="H101" s="1029" t="s">
        <v>498</v>
      </c>
      <c r="I101" s="1030"/>
      <c r="J101" s="1031"/>
      <c r="K101" s="1030"/>
      <c r="L101" s="1015"/>
    </row>
    <row r="102" spans="1:13" s="27" customFormat="1" ht="17.25" customHeight="1">
      <c r="A102" s="1032" t="s">
        <v>75</v>
      </c>
      <c r="B102" s="1033" t="s">
        <v>499</v>
      </c>
      <c r="C102" s="1030"/>
      <c r="D102" s="1030"/>
      <c r="E102" s="1030"/>
      <c r="F102" s="1049"/>
      <c r="G102" s="1032" t="s">
        <v>75</v>
      </c>
      <c r="H102" s="1033" t="s">
        <v>499</v>
      </c>
      <c r="I102" s="1030"/>
      <c r="J102" s="1030"/>
      <c r="K102" s="1030"/>
      <c r="L102" s="1015"/>
    </row>
    <row r="103" spans="1:13" s="27" customFormat="1" ht="17.25" customHeight="1">
      <c r="A103" s="1032" t="s">
        <v>76</v>
      </c>
      <c r="B103" s="1034" t="s">
        <v>500</v>
      </c>
      <c r="C103" s="1030"/>
      <c r="D103" s="1030"/>
      <c r="E103" s="1023">
        <f>SUM(E102)</f>
        <v>0</v>
      </c>
      <c r="F103" s="1049"/>
      <c r="G103" s="1032" t="s">
        <v>76</v>
      </c>
      <c r="H103" s="1034" t="s">
        <v>500</v>
      </c>
      <c r="I103" s="1030"/>
      <c r="J103" s="1030"/>
      <c r="K103" s="1023">
        <f>SUM(K102)</f>
        <v>0</v>
      </c>
      <c r="L103" s="1015"/>
      <c r="M103" s="1035">
        <f>E103+K103</f>
        <v>0</v>
      </c>
    </row>
    <row r="104" spans="1:13" s="27" customFormat="1" ht="17.25" customHeight="1">
      <c r="A104" s="1036" t="s">
        <v>77</v>
      </c>
      <c r="B104" s="1037" t="s">
        <v>412</v>
      </c>
      <c r="C104" s="1038"/>
      <c r="D104" s="1038"/>
      <c r="E104" s="1038">
        <f>(E92+E93+E94+E95+E96+E97+E98+E99+E100)-E103</f>
        <v>7179183.1305935187</v>
      </c>
      <c r="F104" s="1049"/>
      <c r="G104" s="1036" t="s">
        <v>77</v>
      </c>
      <c r="H104" s="1037" t="s">
        <v>412</v>
      </c>
      <c r="I104" s="1038"/>
      <c r="J104" s="1038"/>
      <c r="K104" s="1038">
        <f>(K92+K93+K94+K95+K96+K97+K98+K99+K100)-K103</f>
        <v>8531363.8099873159</v>
      </c>
      <c r="L104" s="1040">
        <f>E104+K104</f>
        <v>15710546.940580834</v>
      </c>
    </row>
    <row r="105" spans="1:13" s="27" customFormat="1" ht="17.25" customHeight="1">
      <c r="A105" s="1045"/>
      <c r="B105" s="1050"/>
      <c r="C105" s="1051"/>
      <c r="D105" s="1051"/>
      <c r="E105" s="1049"/>
      <c r="F105" s="1049"/>
      <c r="G105" s="1045"/>
      <c r="H105" s="1050"/>
      <c r="I105" s="1051"/>
      <c r="J105" s="1049"/>
      <c r="K105" s="1052"/>
      <c r="L105" s="1015"/>
    </row>
    <row r="106" spans="1:13" s="27" customFormat="1" ht="17.25" customHeight="1">
      <c r="A106" s="1611" t="str">
        <f>G89</f>
        <v>LƯƠNG THÁNG 08/2025</v>
      </c>
      <c r="B106" s="1612"/>
      <c r="C106" s="1612"/>
      <c r="D106" s="1612"/>
      <c r="E106" s="1014">
        <v>13</v>
      </c>
      <c r="F106" s="1045"/>
      <c r="G106" s="1611" t="str">
        <f>A106</f>
        <v>LƯƠNG THÁNG 08/2025</v>
      </c>
      <c r="H106" s="1612"/>
      <c r="I106" s="1612"/>
      <c r="J106" s="1613"/>
      <c r="K106" s="1014">
        <v>14</v>
      </c>
      <c r="L106" s="1015"/>
    </row>
    <row r="107" spans="1:13" s="27" customFormat="1" ht="17.25" customHeight="1">
      <c r="A107" s="1044" t="s">
        <v>13</v>
      </c>
      <c r="B107" s="1016" t="str">
        <f>'CNKT '!D28</f>
        <v>T. Thong Đon</v>
      </c>
      <c r="C107" s="1017"/>
      <c r="D107" s="1018" t="s">
        <v>376</v>
      </c>
      <c r="E107" s="1018" t="s">
        <v>16</v>
      </c>
      <c r="F107" s="1048"/>
      <c r="G107" s="1044" t="s">
        <v>13</v>
      </c>
      <c r="H107" s="1016" t="str">
        <f>'CNKT '!D29</f>
        <v>T. Hin</v>
      </c>
      <c r="I107" s="1017"/>
      <c r="J107" s="1018" t="s">
        <v>376</v>
      </c>
      <c r="K107" s="1018" t="s">
        <v>16</v>
      </c>
      <c r="L107" s="1015"/>
    </row>
    <row r="108" spans="1:13" s="27" customFormat="1" ht="17.25" customHeight="1">
      <c r="A108" s="1020" t="s">
        <v>377</v>
      </c>
      <c r="B108" s="1021" t="s">
        <v>493</v>
      </c>
      <c r="C108" s="1022" t="str">
        <f>VLOOKUP(B107,'BTH mủ tạp'!$D$17:$AN$94,37,0)</f>
        <v>A</v>
      </c>
      <c r="D108" s="1023"/>
      <c r="E108" s="1023"/>
      <c r="F108" s="1048"/>
      <c r="G108" s="1020" t="s">
        <v>377</v>
      </c>
      <c r="H108" s="1021" t="s">
        <v>493</v>
      </c>
      <c r="I108" s="1022" t="str">
        <f>VLOOKUP(H107,'BTH mủ tạp'!$D$17:$AN$94,37,0)</f>
        <v>A</v>
      </c>
      <c r="J108" s="1023"/>
      <c r="K108" s="1023"/>
      <c r="L108" s="1015"/>
    </row>
    <row r="109" spans="1:13" s="27" customFormat="1" ht="17.25" customHeight="1">
      <c r="A109" s="1020" t="s">
        <v>72</v>
      </c>
      <c r="B109" s="1024" t="s">
        <v>406</v>
      </c>
      <c r="C109" s="621">
        <f>VLOOKUP(B107,'CNKT '!$D$16:$AA$96,3,0)</f>
        <v>0</v>
      </c>
      <c r="D109" s="622">
        <v>25000</v>
      </c>
      <c r="E109" s="1023">
        <f>C109*D109</f>
        <v>0</v>
      </c>
      <c r="F109" s="1041"/>
      <c r="G109" s="1020" t="s">
        <v>72</v>
      </c>
      <c r="H109" s="1024" t="s">
        <v>406</v>
      </c>
      <c r="I109" s="621">
        <f>VLOOKUP(H107,'CNKT '!$D$16:$AA$96,3,0)</f>
        <v>0</v>
      </c>
      <c r="J109" s="622">
        <v>25000</v>
      </c>
      <c r="K109" s="1023">
        <f>I109*J109</f>
        <v>0</v>
      </c>
      <c r="L109" s="1015"/>
    </row>
    <row r="110" spans="1:13" s="27" customFormat="1" ht="17.25" customHeight="1">
      <c r="A110" s="1020" t="s">
        <v>292</v>
      </c>
      <c r="B110" s="1025" t="s">
        <v>494</v>
      </c>
      <c r="C110" s="1026">
        <f>VLOOKUP(B107,'CNKT '!$D$16:$AA$96,11,0)</f>
        <v>25</v>
      </c>
      <c r="D110" s="623">
        <f>46.1*$B$2</f>
        <v>30922.036</v>
      </c>
      <c r="E110" s="1023">
        <f>C110*D110</f>
        <v>773050.9</v>
      </c>
      <c r="F110" s="1049"/>
      <c r="G110" s="1020" t="s">
        <v>292</v>
      </c>
      <c r="H110" s="1025" t="s">
        <v>494</v>
      </c>
      <c r="I110" s="1026">
        <f>VLOOKUP(H107,'CNKT '!$D$16:$AA$96,11,0)</f>
        <v>26</v>
      </c>
      <c r="J110" s="623">
        <f>46.1*$B$2</f>
        <v>30922.036</v>
      </c>
      <c r="K110" s="1023">
        <f>I110*J110</f>
        <v>803972.93599999999</v>
      </c>
      <c r="L110" s="1015"/>
    </row>
    <row r="111" spans="1:13" s="27" customFormat="1" ht="17.25" customHeight="1">
      <c r="A111" s="1020" t="s">
        <v>379</v>
      </c>
      <c r="B111" s="1025" t="s">
        <v>495</v>
      </c>
      <c r="C111" s="1026">
        <f>VLOOKUP(B107,'CNKT '!$D$16:$AA$96,12,0)</f>
        <v>2</v>
      </c>
      <c r="D111" s="622">
        <f>76.9*$B$2</f>
        <v>51581.444000000003</v>
      </c>
      <c r="E111" s="1023">
        <f t="shared" ref="E111:E112" si="23">C111*D111</f>
        <v>103162.88800000001</v>
      </c>
      <c r="F111" s="1049"/>
      <c r="G111" s="1020" t="s">
        <v>379</v>
      </c>
      <c r="H111" s="1025" t="s">
        <v>495</v>
      </c>
      <c r="I111" s="1026">
        <f>VLOOKUP(H107,'CNKT '!$D$16:$AA$96,12,0)</f>
        <v>2</v>
      </c>
      <c r="J111" s="622">
        <f>76.9*$B$2</f>
        <v>51581.444000000003</v>
      </c>
      <c r="K111" s="1023">
        <f t="shared" ref="K111:K112" si="24">I111*J111</f>
        <v>103162.88800000001</v>
      </c>
      <c r="L111" s="1015"/>
    </row>
    <row r="112" spans="1:13" s="27" customFormat="1" ht="17.25" customHeight="1">
      <c r="A112" s="1020" t="s">
        <v>73</v>
      </c>
      <c r="B112" s="1025" t="s">
        <v>496</v>
      </c>
      <c r="C112" s="1026">
        <f>VLOOKUP(B107,'CNKT '!$D$16:$AA$96,8,0)</f>
        <v>1819.6114204017542</v>
      </c>
      <c r="D112" s="622">
        <f>IF(C108="A",6.1,IF(C108="B",5.8,IF(C108="C",5.5,IF(C108="C.",5.5,IF(C108="D",5.2)))))*$B$2</f>
        <v>4091.6359999999995</v>
      </c>
      <c r="E112" s="1023">
        <f t="shared" si="23"/>
        <v>7445187.5937269516</v>
      </c>
      <c r="F112" s="1041"/>
      <c r="G112" s="1020" t="s">
        <v>73</v>
      </c>
      <c r="H112" s="1025" t="s">
        <v>496</v>
      </c>
      <c r="I112" s="1026">
        <f>VLOOKUP(H107,'CNKT '!$D$16:$AA$96,8,0)</f>
        <v>1765.791927685646</v>
      </c>
      <c r="J112" s="622">
        <f>IF(I108="A",6.1,IF(I108="B",5.8,IF(I108="C",5.5,IF(I108="C.",5.5,IF(I108="D",5.2)))))*$B$2</f>
        <v>4091.6359999999995</v>
      </c>
      <c r="K112" s="1023">
        <f t="shared" si="24"/>
        <v>7224977.819827985</v>
      </c>
      <c r="L112" s="1015"/>
    </row>
    <row r="113" spans="1:13" s="27" customFormat="1" ht="17.25" customHeight="1">
      <c r="A113" s="1089" t="s">
        <v>462</v>
      </c>
      <c r="B113" s="1090" t="s">
        <v>497</v>
      </c>
      <c r="C113" s="1091">
        <f>VLOOKUP(B107,'CNKT '!$D$16:$AA$96,13,0)</f>
        <v>0</v>
      </c>
      <c r="D113" s="1092">
        <v>100000</v>
      </c>
      <c r="E113" s="1093">
        <f>C113*D113</f>
        <v>0</v>
      </c>
      <c r="F113" s="1041"/>
      <c r="G113" s="1089" t="s">
        <v>462</v>
      </c>
      <c r="H113" s="1090" t="s">
        <v>497</v>
      </c>
      <c r="I113" s="1091">
        <f>VLOOKUP(H107,'CNKT '!$D$16:$AA$96,13,0)</f>
        <v>0</v>
      </c>
      <c r="J113" s="1092">
        <v>100000</v>
      </c>
      <c r="K113" s="1093">
        <f>I113*J113</f>
        <v>0</v>
      </c>
      <c r="L113" s="1015"/>
    </row>
    <row r="114" spans="1:13" s="27" customFormat="1" ht="17.25" customHeight="1">
      <c r="A114" s="1020" t="s">
        <v>463</v>
      </c>
      <c r="B114" s="1025" t="s">
        <v>467</v>
      </c>
      <c r="C114" s="1026">
        <f>VLOOKUP(B107,'CNKT '!$D$16:$AA$96,16,0)</f>
        <v>0</v>
      </c>
      <c r="D114" s="622">
        <f>153.8*$B$2</f>
        <v>103162.88800000001</v>
      </c>
      <c r="E114" s="1023">
        <f t="shared" ref="E114" si="25">C114*D114</f>
        <v>0</v>
      </c>
      <c r="F114" s="1041"/>
      <c r="G114" s="1020" t="s">
        <v>463</v>
      </c>
      <c r="H114" s="1025" t="s">
        <v>467</v>
      </c>
      <c r="I114" s="1026">
        <f>VLOOKUP(H107,'CNKT '!$D$16:$AA$96,16,0)</f>
        <v>0</v>
      </c>
      <c r="J114" s="622">
        <f>153.8*$B$2</f>
        <v>103162.88800000001</v>
      </c>
      <c r="K114" s="1023">
        <f t="shared" ref="K114" si="26">I114*J114</f>
        <v>0</v>
      </c>
      <c r="L114" s="1015"/>
    </row>
    <row r="115" spans="1:13" s="27" customFormat="1" ht="17.25" customHeight="1">
      <c r="A115" s="1020" t="s">
        <v>425</v>
      </c>
      <c r="B115" s="1025" t="s">
        <v>468</v>
      </c>
      <c r="C115" s="1026">
        <f>VLOOKUP(B107,'CNKT '!$D$16:$AA$96,18,0)</f>
        <v>2</v>
      </c>
      <c r="D115" s="622">
        <v>10000</v>
      </c>
      <c r="E115" s="1023">
        <f>C115*D115</f>
        <v>20000</v>
      </c>
      <c r="F115" s="1041"/>
      <c r="G115" s="1020" t="s">
        <v>425</v>
      </c>
      <c r="H115" s="1025" t="s">
        <v>468</v>
      </c>
      <c r="I115" s="1026">
        <f>VLOOKUP(H107,'CNKT '!$D$16:$AA$96,18,0)</f>
        <v>2</v>
      </c>
      <c r="J115" s="622">
        <v>10000</v>
      </c>
      <c r="K115" s="1023">
        <f>I115*J115</f>
        <v>20000</v>
      </c>
      <c r="L115" s="1015"/>
    </row>
    <row r="116" spans="1:13" s="27" customFormat="1" ht="17.25" customHeight="1">
      <c r="A116" s="1020" t="s">
        <v>425</v>
      </c>
      <c r="B116" s="1025" t="s">
        <v>468</v>
      </c>
      <c r="C116" s="1026">
        <f>VLOOKUP(B107,'CNKT '!$D$16:$AA$96,19,0)</f>
        <v>0</v>
      </c>
      <c r="D116" s="622">
        <v>20000</v>
      </c>
      <c r="E116" s="1023">
        <f>C116*D116</f>
        <v>0</v>
      </c>
      <c r="F116" s="1041"/>
      <c r="G116" s="1020" t="s">
        <v>425</v>
      </c>
      <c r="H116" s="1025" t="s">
        <v>468</v>
      </c>
      <c r="I116" s="1026">
        <f>VLOOKUP(H107,'CNKT '!$D$16:$AA$96,19,0)</f>
        <v>0</v>
      </c>
      <c r="J116" s="622">
        <v>20000</v>
      </c>
      <c r="K116" s="1023">
        <f>I116*J116</f>
        <v>0</v>
      </c>
      <c r="L116" s="1015"/>
    </row>
    <row r="117" spans="1:13" s="27" customFormat="1" ht="17.25" customHeight="1">
      <c r="A117" s="1020" t="s">
        <v>780</v>
      </c>
      <c r="B117" s="1027" t="s">
        <v>781</v>
      </c>
      <c r="C117" s="1026"/>
      <c r="D117" s="622"/>
      <c r="E117" s="1023">
        <f>VLOOKUP(B107,'CNKT '!$D$16:$AE$99,28,0)</f>
        <v>0</v>
      </c>
      <c r="F117" s="1041"/>
      <c r="G117" s="1020" t="s">
        <v>780</v>
      </c>
      <c r="H117" s="1027" t="s">
        <v>781</v>
      </c>
      <c r="I117" s="1026"/>
      <c r="J117" s="622"/>
      <c r="K117" s="1023">
        <f>VLOOKUP(H107,'CNKT '!$D$16:$AE$99,28,0)</f>
        <v>0</v>
      </c>
      <c r="L117" s="1015"/>
    </row>
    <row r="118" spans="1:13" s="27" customFormat="1" ht="17.25" customHeight="1">
      <c r="A118" s="1028" t="s">
        <v>74</v>
      </c>
      <c r="B118" s="1029" t="s">
        <v>498</v>
      </c>
      <c r="C118" s="1030"/>
      <c r="D118" s="1031"/>
      <c r="E118" s="1030"/>
      <c r="F118" s="1045"/>
      <c r="G118" s="1028" t="s">
        <v>74</v>
      </c>
      <c r="H118" s="1029" t="s">
        <v>498</v>
      </c>
      <c r="I118" s="1030"/>
      <c r="J118" s="1031"/>
      <c r="K118" s="1030"/>
      <c r="L118" s="1015"/>
    </row>
    <row r="119" spans="1:13" s="27" customFormat="1" ht="17.25" customHeight="1">
      <c r="A119" s="1032" t="s">
        <v>75</v>
      </c>
      <c r="B119" s="1033" t="s">
        <v>499</v>
      </c>
      <c r="C119" s="1030"/>
      <c r="D119" s="1030"/>
      <c r="E119" s="1030"/>
      <c r="F119" s="1045"/>
      <c r="G119" s="1032" t="s">
        <v>75</v>
      </c>
      <c r="H119" s="1033" t="s">
        <v>499</v>
      </c>
      <c r="I119" s="1030"/>
      <c r="J119" s="1030"/>
      <c r="K119" s="1030"/>
      <c r="L119" s="1015"/>
    </row>
    <row r="120" spans="1:13" s="27" customFormat="1" ht="17.25" customHeight="1">
      <c r="A120" s="1032" t="s">
        <v>76</v>
      </c>
      <c r="B120" s="1034" t="s">
        <v>500</v>
      </c>
      <c r="C120" s="1030"/>
      <c r="D120" s="1030"/>
      <c r="E120" s="1023">
        <f>SUM(E119)</f>
        <v>0</v>
      </c>
      <c r="F120" s="1045"/>
      <c r="G120" s="1032" t="s">
        <v>76</v>
      </c>
      <c r="H120" s="1034" t="s">
        <v>500</v>
      </c>
      <c r="I120" s="1030"/>
      <c r="J120" s="1030"/>
      <c r="K120" s="1023">
        <f>SUM(K119)</f>
        <v>0</v>
      </c>
      <c r="L120" s="1015"/>
      <c r="M120" s="1035">
        <f>E120+K120</f>
        <v>0</v>
      </c>
    </row>
    <row r="121" spans="1:13" s="27" customFormat="1" ht="17.25" customHeight="1">
      <c r="A121" s="1036" t="s">
        <v>77</v>
      </c>
      <c r="B121" s="1037" t="s">
        <v>412</v>
      </c>
      <c r="C121" s="1038"/>
      <c r="D121" s="1038"/>
      <c r="E121" s="1038">
        <f>(E109+E110+E111+E112+E113+E114+E115+E116+E117)-E120</f>
        <v>8341401.3817269513</v>
      </c>
      <c r="F121" s="1045"/>
      <c r="G121" s="1036" t="s">
        <v>77</v>
      </c>
      <c r="H121" s="1037" t="s">
        <v>412</v>
      </c>
      <c r="I121" s="1038"/>
      <c r="J121" s="1038"/>
      <c r="K121" s="1038">
        <f>(K109+K110+K111+K112+K113+K114+K115+K116+K117)-K120</f>
        <v>8152113.643827985</v>
      </c>
      <c r="L121" s="1040">
        <f>E121+K121</f>
        <v>16493515.025554936</v>
      </c>
    </row>
    <row r="122" spans="1:13" s="27" customFormat="1" ht="17.25" customHeight="1">
      <c r="A122" s="1045"/>
      <c r="B122" s="1050"/>
      <c r="C122" s="1051"/>
      <c r="D122" s="1051"/>
      <c r="E122" s="1049"/>
      <c r="F122" s="1045"/>
      <c r="G122" s="1045"/>
      <c r="H122" s="1050"/>
      <c r="I122" s="1051"/>
      <c r="J122" s="1049"/>
      <c r="K122" s="1043"/>
      <c r="L122" s="1015"/>
    </row>
    <row r="123" spans="1:13" s="27" customFormat="1" ht="17.25" customHeight="1">
      <c r="A123" s="1611" t="str">
        <f>G106</f>
        <v>LƯƠNG THÁNG 08/2025</v>
      </c>
      <c r="B123" s="1612"/>
      <c r="C123" s="1612"/>
      <c r="D123" s="1612"/>
      <c r="E123" s="1014">
        <v>15</v>
      </c>
      <c r="F123" s="1049"/>
      <c r="G123" s="1611" t="str">
        <f>A123</f>
        <v>LƯƠNG THÁNG 08/2025</v>
      </c>
      <c r="H123" s="1612"/>
      <c r="I123" s="1612"/>
      <c r="J123" s="1613"/>
      <c r="K123" s="1014">
        <v>16</v>
      </c>
      <c r="L123" s="1015"/>
    </row>
    <row r="124" spans="1:13" s="27" customFormat="1" ht="17.25" customHeight="1">
      <c r="A124" s="1044" t="s">
        <v>13</v>
      </c>
      <c r="B124" s="1016" t="str">
        <f>'CNKT '!D30</f>
        <v>N. Ly Phon</v>
      </c>
      <c r="C124" s="1017"/>
      <c r="D124" s="1018" t="s">
        <v>376</v>
      </c>
      <c r="E124" s="1018" t="s">
        <v>16</v>
      </c>
      <c r="F124" s="1049"/>
      <c r="G124" s="1044" t="s">
        <v>13</v>
      </c>
      <c r="H124" s="1016" t="str">
        <f>'CNKT '!D31</f>
        <v>T. Xôm Va Nít</v>
      </c>
      <c r="I124" s="1017"/>
      <c r="J124" s="1018" t="s">
        <v>376</v>
      </c>
      <c r="K124" s="1018" t="s">
        <v>16</v>
      </c>
      <c r="L124" s="1015"/>
    </row>
    <row r="125" spans="1:13" s="27" customFormat="1" ht="17.25" customHeight="1">
      <c r="A125" s="1020" t="s">
        <v>377</v>
      </c>
      <c r="B125" s="1021" t="s">
        <v>493</v>
      </c>
      <c r="C125" s="1022" t="str">
        <f>VLOOKUP(B124,'BTH mủ tạp'!$D$17:$AN$94,37,0)</f>
        <v>B</v>
      </c>
      <c r="D125" s="1023"/>
      <c r="E125" s="1023"/>
      <c r="F125" s="1049"/>
      <c r="G125" s="1020" t="s">
        <v>377</v>
      </c>
      <c r="H125" s="1021" t="s">
        <v>493</v>
      </c>
      <c r="I125" s="1022" t="str">
        <f>VLOOKUP(H124,'BTH mủ tạp'!$D$17:$AN$94,37,0)</f>
        <v>A</v>
      </c>
      <c r="J125" s="1023"/>
      <c r="K125" s="1023"/>
      <c r="L125" s="1015"/>
    </row>
    <row r="126" spans="1:13" s="27" customFormat="1" ht="17.25" customHeight="1">
      <c r="A126" s="1020" t="s">
        <v>72</v>
      </c>
      <c r="B126" s="1024" t="s">
        <v>406</v>
      </c>
      <c r="C126" s="621">
        <f>VLOOKUP(B124,'CNKT '!$D$16:$AA$96,3,0)</f>
        <v>0</v>
      </c>
      <c r="D126" s="622">
        <v>25000</v>
      </c>
      <c r="E126" s="1023">
        <f>C126*D126</f>
        <v>0</v>
      </c>
      <c r="F126" s="1041"/>
      <c r="G126" s="1020" t="s">
        <v>72</v>
      </c>
      <c r="H126" s="1024" t="s">
        <v>406</v>
      </c>
      <c r="I126" s="621">
        <f>VLOOKUP(H124,'CNKT '!$D$16:$AA$96,3,0)</f>
        <v>0</v>
      </c>
      <c r="J126" s="622">
        <v>25000</v>
      </c>
      <c r="K126" s="1023">
        <f>I126*J126</f>
        <v>0</v>
      </c>
      <c r="L126" s="1015"/>
    </row>
    <row r="127" spans="1:13" s="27" customFormat="1" ht="17.25" customHeight="1">
      <c r="A127" s="1020" t="s">
        <v>292</v>
      </c>
      <c r="B127" s="1025" t="s">
        <v>494</v>
      </c>
      <c r="C127" s="1026">
        <f>VLOOKUP(B124,'CNKT '!$D$16:$AA$96,11,0)</f>
        <v>26</v>
      </c>
      <c r="D127" s="623">
        <f>46.1*$B$2</f>
        <v>30922.036</v>
      </c>
      <c r="E127" s="1023">
        <f>C127*D127</f>
        <v>803972.93599999999</v>
      </c>
      <c r="F127" s="1045"/>
      <c r="G127" s="1020" t="s">
        <v>292</v>
      </c>
      <c r="H127" s="1025" t="s">
        <v>494</v>
      </c>
      <c r="I127" s="1026">
        <f>VLOOKUP(H124,'CNKT '!$D$16:$AA$96,11,0)</f>
        <v>25</v>
      </c>
      <c r="J127" s="623">
        <f>46.1*$B$2</f>
        <v>30922.036</v>
      </c>
      <c r="K127" s="1023">
        <f>I127*J127</f>
        <v>773050.9</v>
      </c>
      <c r="L127" s="1015"/>
    </row>
    <row r="128" spans="1:13" s="27" customFormat="1" ht="17.25" customHeight="1">
      <c r="A128" s="1020" t="s">
        <v>379</v>
      </c>
      <c r="B128" s="1025" t="s">
        <v>495</v>
      </c>
      <c r="C128" s="1026">
        <f>VLOOKUP(B124,'CNKT '!$D$16:$AA$96,12,0)</f>
        <v>2</v>
      </c>
      <c r="D128" s="622">
        <f>76.9*$B$2</f>
        <v>51581.444000000003</v>
      </c>
      <c r="E128" s="1023">
        <f t="shared" ref="E128:E129" si="27">C128*D128</f>
        <v>103162.88800000001</v>
      </c>
      <c r="F128" s="1045"/>
      <c r="G128" s="1020" t="s">
        <v>379</v>
      </c>
      <c r="H128" s="1025" t="s">
        <v>495</v>
      </c>
      <c r="I128" s="1026">
        <f>VLOOKUP(H124,'CNKT '!$D$16:$AA$96,12,0)</f>
        <v>2</v>
      </c>
      <c r="J128" s="622">
        <f>76.9*$B$2</f>
        <v>51581.444000000003</v>
      </c>
      <c r="K128" s="1023">
        <f t="shared" ref="K128:K129" si="28">I128*J128</f>
        <v>103162.88800000001</v>
      </c>
      <c r="L128" s="1015"/>
    </row>
    <row r="129" spans="1:13" s="27" customFormat="1" ht="17.25" customHeight="1">
      <c r="A129" s="1020" t="s">
        <v>73</v>
      </c>
      <c r="B129" s="1025" t="s">
        <v>496</v>
      </c>
      <c r="C129" s="1026">
        <f>VLOOKUP(B124,'CNKT '!$D$16:$AA$96,8,0)</f>
        <v>1709.8367408141366</v>
      </c>
      <c r="D129" s="622">
        <f>IF(C125="A",6.1,IF(C125="B",5.8,IF(C125="C",5.5,IF(C125="C.",5.5,IF(C125="D",5.2)))))*$B$2</f>
        <v>3890.4079999999999</v>
      </c>
      <c r="E129" s="1023">
        <f t="shared" si="27"/>
        <v>6651962.5351572437</v>
      </c>
      <c r="F129" s="1045"/>
      <c r="G129" s="1020" t="s">
        <v>73</v>
      </c>
      <c r="H129" s="1025" t="s">
        <v>496</v>
      </c>
      <c r="I129" s="1026">
        <f>VLOOKUP(H124,'CNKT '!$D$16:$AA$96,8,0)</f>
        <v>1924.6875728474893</v>
      </c>
      <c r="J129" s="622">
        <f>IF(I125="A",6.1,IF(I125="B",5.8,IF(I125="C",5.5,IF(I125="C.",5.5,IF(I125="D",5.2)))))*$B$2</f>
        <v>4091.6359999999995</v>
      </c>
      <c r="K129" s="1023">
        <f t="shared" si="28"/>
        <v>7875120.9618154084</v>
      </c>
      <c r="L129" s="1015"/>
    </row>
    <row r="130" spans="1:13" s="27" customFormat="1" ht="17.25" customHeight="1">
      <c r="A130" s="1089" t="s">
        <v>462</v>
      </c>
      <c r="B130" s="1090" t="s">
        <v>497</v>
      </c>
      <c r="C130" s="1091">
        <f>VLOOKUP(B124,'CNKT '!$D$16:$AA$96,13,0)</f>
        <v>0</v>
      </c>
      <c r="D130" s="1092">
        <v>100000</v>
      </c>
      <c r="E130" s="1093">
        <f>C130*D130</f>
        <v>0</v>
      </c>
      <c r="F130" s="1045"/>
      <c r="G130" s="1089" t="s">
        <v>462</v>
      </c>
      <c r="H130" s="1090" t="s">
        <v>497</v>
      </c>
      <c r="I130" s="1091">
        <f>VLOOKUP(H124,'CNKT '!$D$16:$AA$96,13,0)</f>
        <v>0</v>
      </c>
      <c r="J130" s="1092">
        <v>100000</v>
      </c>
      <c r="K130" s="1093">
        <f>I130*J130</f>
        <v>0</v>
      </c>
      <c r="L130" s="1015"/>
    </row>
    <row r="131" spans="1:13" s="27" customFormat="1" ht="17.25" customHeight="1">
      <c r="A131" s="1020" t="s">
        <v>463</v>
      </c>
      <c r="B131" s="1025" t="s">
        <v>467</v>
      </c>
      <c r="C131" s="1026">
        <f>VLOOKUP(B124,'CNKT '!$D$16:$AA$96,16,0)</f>
        <v>0</v>
      </c>
      <c r="D131" s="622">
        <f>153.8*$B$2</f>
        <v>103162.88800000001</v>
      </c>
      <c r="E131" s="1023">
        <f t="shared" ref="E131" si="29">C131*D131</f>
        <v>0</v>
      </c>
      <c r="F131" s="1045"/>
      <c r="G131" s="1020" t="s">
        <v>463</v>
      </c>
      <c r="H131" s="1025" t="s">
        <v>467</v>
      </c>
      <c r="I131" s="1026">
        <f>VLOOKUP(H124,'CNKT '!$D$16:$AA$96,16,0)</f>
        <v>0</v>
      </c>
      <c r="J131" s="622">
        <f>153.8*$B$2</f>
        <v>103162.88800000001</v>
      </c>
      <c r="K131" s="1023">
        <f t="shared" ref="K131" si="30">I131*J131</f>
        <v>0</v>
      </c>
      <c r="L131" s="1015"/>
    </row>
    <row r="132" spans="1:13" s="27" customFormat="1" ht="17.25" customHeight="1">
      <c r="A132" s="1020" t="s">
        <v>425</v>
      </c>
      <c r="B132" s="1025" t="s">
        <v>468</v>
      </c>
      <c r="C132" s="1026">
        <f>VLOOKUP(B124,'CNKT '!$D$16:$AA$96,18,0)</f>
        <v>2</v>
      </c>
      <c r="D132" s="622">
        <v>10000</v>
      </c>
      <c r="E132" s="1023">
        <f>C132*D132</f>
        <v>20000</v>
      </c>
      <c r="F132" s="1045"/>
      <c r="G132" s="1020" t="s">
        <v>425</v>
      </c>
      <c r="H132" s="1025" t="s">
        <v>468</v>
      </c>
      <c r="I132" s="1026">
        <f>VLOOKUP(H124,'CNKT '!$D$16:$AA$96,18,0)</f>
        <v>2</v>
      </c>
      <c r="J132" s="622">
        <v>10000</v>
      </c>
      <c r="K132" s="1023">
        <f>I132*J132</f>
        <v>20000</v>
      </c>
      <c r="L132" s="1015"/>
    </row>
    <row r="133" spans="1:13" s="27" customFormat="1" ht="17.25" customHeight="1">
      <c r="A133" s="1020" t="s">
        <v>425</v>
      </c>
      <c r="B133" s="1025" t="s">
        <v>468</v>
      </c>
      <c r="C133" s="1026">
        <f>VLOOKUP(B124,'CNKT '!$D$16:$AA$96,19,0)</f>
        <v>0</v>
      </c>
      <c r="D133" s="622">
        <v>20000</v>
      </c>
      <c r="E133" s="1023">
        <f>C133*D133</f>
        <v>0</v>
      </c>
      <c r="F133" s="1045"/>
      <c r="G133" s="1020" t="s">
        <v>425</v>
      </c>
      <c r="H133" s="1025" t="s">
        <v>468</v>
      </c>
      <c r="I133" s="1026">
        <f>VLOOKUP(H124,'CNKT '!$D$16:$AA$96,19,0)</f>
        <v>0</v>
      </c>
      <c r="J133" s="622">
        <v>20000</v>
      </c>
      <c r="K133" s="1023">
        <f>I133*J133</f>
        <v>0</v>
      </c>
      <c r="L133" s="1015"/>
    </row>
    <row r="134" spans="1:13" s="27" customFormat="1" ht="17.25" customHeight="1">
      <c r="A134" s="1020" t="s">
        <v>780</v>
      </c>
      <c r="B134" s="1027" t="s">
        <v>781</v>
      </c>
      <c r="C134" s="1026"/>
      <c r="D134" s="622"/>
      <c r="E134" s="1023">
        <f>VLOOKUP(B124,'CNKT '!$D$16:$AE$99,28,0)</f>
        <v>0</v>
      </c>
      <c r="F134" s="1045"/>
      <c r="G134" s="1020" t="s">
        <v>780</v>
      </c>
      <c r="H134" s="1027" t="s">
        <v>781</v>
      </c>
      <c r="I134" s="1026"/>
      <c r="J134" s="622"/>
      <c r="K134" s="1023">
        <f>VLOOKUP(H124,'CNKT '!$D$16:$AE$99,28,0)</f>
        <v>0</v>
      </c>
      <c r="L134" s="1015"/>
    </row>
    <row r="135" spans="1:13" s="27" customFormat="1" ht="17.25" customHeight="1">
      <c r="A135" s="1028" t="s">
        <v>74</v>
      </c>
      <c r="B135" s="1029" t="s">
        <v>498</v>
      </c>
      <c r="C135" s="1030"/>
      <c r="D135" s="1031"/>
      <c r="E135" s="1030"/>
      <c r="F135" s="1045"/>
      <c r="G135" s="1028" t="s">
        <v>74</v>
      </c>
      <c r="H135" s="1029" t="s">
        <v>498</v>
      </c>
      <c r="I135" s="1030"/>
      <c r="J135" s="1031"/>
      <c r="K135" s="1030"/>
      <c r="L135" s="1015"/>
    </row>
    <row r="136" spans="1:13" s="27" customFormat="1" ht="17.25" customHeight="1">
      <c r="A136" s="1032" t="s">
        <v>75</v>
      </c>
      <c r="B136" s="1033" t="s">
        <v>499</v>
      </c>
      <c r="C136" s="1030"/>
      <c r="D136" s="1030"/>
      <c r="E136" s="1030"/>
      <c r="F136" s="1048"/>
      <c r="G136" s="1032" t="s">
        <v>75</v>
      </c>
      <c r="H136" s="1033" t="s">
        <v>499</v>
      </c>
      <c r="I136" s="1030"/>
      <c r="J136" s="1030"/>
      <c r="K136" s="1030"/>
      <c r="L136" s="1015"/>
    </row>
    <row r="137" spans="1:13" s="27" customFormat="1" ht="17.25" customHeight="1">
      <c r="A137" s="1032" t="s">
        <v>76</v>
      </c>
      <c r="B137" s="1034" t="s">
        <v>500</v>
      </c>
      <c r="C137" s="1030"/>
      <c r="D137" s="1030"/>
      <c r="E137" s="1023">
        <f>SUM(E136)</f>
        <v>0</v>
      </c>
      <c r="F137" s="1048"/>
      <c r="G137" s="1032" t="s">
        <v>76</v>
      </c>
      <c r="H137" s="1034" t="s">
        <v>500</v>
      </c>
      <c r="I137" s="1030"/>
      <c r="J137" s="1030"/>
      <c r="K137" s="1023">
        <f>SUM(K136)</f>
        <v>0</v>
      </c>
      <c r="L137" s="1015"/>
      <c r="M137" s="1035">
        <f>E137+K137</f>
        <v>0</v>
      </c>
    </row>
    <row r="138" spans="1:13" s="27" customFormat="1" ht="17.25" customHeight="1">
      <c r="A138" s="1036" t="s">
        <v>77</v>
      </c>
      <c r="B138" s="1037" t="s">
        <v>412</v>
      </c>
      <c r="C138" s="1038"/>
      <c r="D138" s="1038"/>
      <c r="E138" s="1038">
        <f>(E126+E127+E128+E129+E130+E131+E132+E133+E134)-E137</f>
        <v>7579098.3591572437</v>
      </c>
      <c r="F138" s="1048"/>
      <c r="G138" s="1036" t="s">
        <v>77</v>
      </c>
      <c r="H138" s="1037" t="s">
        <v>412</v>
      </c>
      <c r="I138" s="1038"/>
      <c r="J138" s="1038"/>
      <c r="K138" s="1038">
        <f>(K126+K127+K128+K129+K130+K131+K132+K133+K134)-K137</f>
        <v>8771334.7498154081</v>
      </c>
      <c r="L138" s="1040">
        <f>E138+K138</f>
        <v>16350433.108972652</v>
      </c>
    </row>
    <row r="139" spans="1:13" s="27" customFormat="1" ht="6.75" customHeight="1">
      <c r="A139" s="1045"/>
      <c r="B139" s="1050"/>
      <c r="C139" s="1051"/>
      <c r="D139" s="1051"/>
      <c r="E139" s="1049"/>
      <c r="F139" s="1048"/>
      <c r="G139" s="1045"/>
      <c r="H139" s="1050"/>
      <c r="I139" s="1051"/>
      <c r="J139" s="1049"/>
      <c r="K139" s="1043"/>
      <c r="L139" s="1015"/>
    </row>
    <row r="140" spans="1:13" s="27" customFormat="1" ht="17.25" customHeight="1">
      <c r="A140" s="1611" t="str">
        <f>G123</f>
        <v>LƯƠNG THÁNG 08/2025</v>
      </c>
      <c r="B140" s="1612"/>
      <c r="C140" s="1612"/>
      <c r="D140" s="1612"/>
      <c r="E140" s="1014">
        <v>17</v>
      </c>
      <c r="F140" s="1045"/>
      <c r="G140" s="1611" t="str">
        <f>A140</f>
        <v>LƯƠNG THÁNG 08/2025</v>
      </c>
      <c r="H140" s="1612"/>
      <c r="I140" s="1612"/>
      <c r="J140" s="1613"/>
      <c r="K140" s="1014">
        <v>18</v>
      </c>
      <c r="L140" s="1015"/>
    </row>
    <row r="141" spans="1:13" s="27" customFormat="1" ht="17.25" customHeight="1">
      <c r="A141" s="1044" t="s">
        <v>13</v>
      </c>
      <c r="B141" s="1016" t="str">
        <f>'CNKT '!D32</f>
        <v>T. Lọi</v>
      </c>
      <c r="C141" s="1017"/>
      <c r="D141" s="1018" t="s">
        <v>376</v>
      </c>
      <c r="E141" s="1018" t="s">
        <v>16</v>
      </c>
      <c r="F141" s="1045"/>
      <c r="G141" s="1044" t="s">
        <v>13</v>
      </c>
      <c r="H141" s="1016" t="str">
        <f>'CNKT '!D33</f>
        <v>T. Phô Thong</v>
      </c>
      <c r="I141" s="1017"/>
      <c r="J141" s="1018" t="s">
        <v>376</v>
      </c>
      <c r="K141" s="1018" t="s">
        <v>16</v>
      </c>
      <c r="L141" s="1015"/>
    </row>
    <row r="142" spans="1:13" s="27" customFormat="1" ht="17.25" customHeight="1">
      <c r="A142" s="1020" t="s">
        <v>377</v>
      </c>
      <c r="B142" s="1021" t="s">
        <v>493</v>
      </c>
      <c r="C142" s="1022" t="str">
        <f>VLOOKUP(B141,'BTH mủ tạp'!$D$17:$AN$94,37,0)</f>
        <v>A</v>
      </c>
      <c r="D142" s="1023"/>
      <c r="E142" s="1023"/>
      <c r="F142" s="1045"/>
      <c r="G142" s="1020" t="s">
        <v>377</v>
      </c>
      <c r="H142" s="1021" t="s">
        <v>493</v>
      </c>
      <c r="I142" s="1022" t="str">
        <f>VLOOKUP(H141,'BTH mủ tạp'!$D$17:$AN$94,37,0)</f>
        <v>A</v>
      </c>
      <c r="J142" s="1023"/>
      <c r="K142" s="1023"/>
      <c r="L142" s="1015"/>
    </row>
    <row r="143" spans="1:13" s="27" customFormat="1" ht="17.25" customHeight="1">
      <c r="A143" s="1020" t="s">
        <v>72</v>
      </c>
      <c r="B143" s="1024" t="s">
        <v>406</v>
      </c>
      <c r="C143" s="621">
        <f>VLOOKUP(B141,'CNKT '!$D$16:$AA$96,3,0)</f>
        <v>0</v>
      </c>
      <c r="D143" s="622">
        <v>25000</v>
      </c>
      <c r="E143" s="1023">
        <f>C143*D143</f>
        <v>0</v>
      </c>
      <c r="F143" s="1045"/>
      <c r="G143" s="1020" t="s">
        <v>72</v>
      </c>
      <c r="H143" s="1024" t="s">
        <v>406</v>
      </c>
      <c r="I143" s="621">
        <f>VLOOKUP(H141,'CNKT '!$D$16:$AA$96,3,0)</f>
        <v>0</v>
      </c>
      <c r="J143" s="622">
        <v>25000</v>
      </c>
      <c r="K143" s="1023">
        <f>I143*J143</f>
        <v>0</v>
      </c>
      <c r="L143" s="1015"/>
    </row>
    <row r="144" spans="1:13" s="27" customFormat="1" ht="17.25" customHeight="1">
      <c r="A144" s="1020" t="s">
        <v>292</v>
      </c>
      <c r="B144" s="1025" t="s">
        <v>494</v>
      </c>
      <c r="C144" s="1026">
        <f>VLOOKUP(B141,'CNKT '!$D$16:$AA$96,11,0)</f>
        <v>25</v>
      </c>
      <c r="D144" s="623">
        <f>46.1*$B$2</f>
        <v>30922.036</v>
      </c>
      <c r="E144" s="1023">
        <f>C144*D144</f>
        <v>773050.9</v>
      </c>
      <c r="F144" s="1045"/>
      <c r="G144" s="1020" t="s">
        <v>292</v>
      </c>
      <c r="H144" s="1025" t="s">
        <v>494</v>
      </c>
      <c r="I144" s="1026">
        <f>VLOOKUP(H141,'CNKT '!$D$16:$AA$96,11,0)</f>
        <v>26</v>
      </c>
      <c r="J144" s="623">
        <f>46.1*$B$2</f>
        <v>30922.036</v>
      </c>
      <c r="K144" s="1023">
        <f>I144*J144</f>
        <v>803972.93599999999</v>
      </c>
      <c r="L144" s="1015"/>
    </row>
    <row r="145" spans="1:13" s="27" customFormat="1" ht="17.25" customHeight="1">
      <c r="A145" s="1020" t="s">
        <v>379</v>
      </c>
      <c r="B145" s="1025" t="s">
        <v>495</v>
      </c>
      <c r="C145" s="1026">
        <f>VLOOKUP(B141,'CNKT '!$D$16:$AA$96,12,0)</f>
        <v>2</v>
      </c>
      <c r="D145" s="622">
        <f>76.9*$B$2</f>
        <v>51581.444000000003</v>
      </c>
      <c r="E145" s="1023">
        <f t="shared" ref="E145:E146" si="31">C145*D145</f>
        <v>103162.88800000001</v>
      </c>
      <c r="F145" s="1048"/>
      <c r="G145" s="1020" t="s">
        <v>379</v>
      </c>
      <c r="H145" s="1025" t="s">
        <v>495</v>
      </c>
      <c r="I145" s="1026">
        <f>VLOOKUP(H141,'CNKT '!$D$16:$AA$96,12,0)</f>
        <v>2</v>
      </c>
      <c r="J145" s="622">
        <f>76.9*$B$2</f>
        <v>51581.444000000003</v>
      </c>
      <c r="K145" s="1023">
        <f t="shared" ref="K145:K146" si="32">I145*J145</f>
        <v>103162.88800000001</v>
      </c>
      <c r="L145" s="1015"/>
    </row>
    <row r="146" spans="1:13" s="27" customFormat="1" ht="17.25" customHeight="1">
      <c r="A146" s="1020" t="s">
        <v>73</v>
      </c>
      <c r="B146" s="1025" t="s">
        <v>496</v>
      </c>
      <c r="C146" s="1026">
        <f>VLOOKUP(B141,'CNKT '!$D$16:$AA$96,8,0)</f>
        <v>1477.4732167064949</v>
      </c>
      <c r="D146" s="622">
        <f>IF(C142="A",6.1,IF(C142="B",5.8,IF(C142="C",5.5,IF(C142="C.",5.5,IF(C142="D",5.2)))))*$B$2</f>
        <v>4091.6359999999995</v>
      </c>
      <c r="E146" s="1023">
        <f t="shared" si="31"/>
        <v>6045282.6025120951</v>
      </c>
      <c r="F146" s="1041"/>
      <c r="G146" s="1020" t="s">
        <v>73</v>
      </c>
      <c r="H146" s="1025" t="s">
        <v>496</v>
      </c>
      <c r="I146" s="1026">
        <f>VLOOKUP(H141,'CNKT '!$D$16:$AA$96,8,0)</f>
        <v>2163.0310405902542</v>
      </c>
      <c r="J146" s="622">
        <f>IF(I142="A",6.1,IF(I142="B",5.8,IF(I142="C",5.5,IF(I142="C.",5.5,IF(I142="D",5.2)))))*$B$2</f>
        <v>4091.6359999999995</v>
      </c>
      <c r="K146" s="1023">
        <f t="shared" si="32"/>
        <v>8850335.674796544</v>
      </c>
      <c r="L146" s="1015"/>
    </row>
    <row r="147" spans="1:13" s="27" customFormat="1" ht="17.25" customHeight="1">
      <c r="A147" s="1089" t="s">
        <v>462</v>
      </c>
      <c r="B147" s="1090" t="s">
        <v>497</v>
      </c>
      <c r="C147" s="1091">
        <f>VLOOKUP(B141,'CNKT '!$D$16:$AA$96,13,0)</f>
        <v>0</v>
      </c>
      <c r="D147" s="1092">
        <v>100000</v>
      </c>
      <c r="E147" s="1093">
        <f>C147*D147</f>
        <v>0</v>
      </c>
      <c r="F147" s="1041"/>
      <c r="G147" s="1089" t="s">
        <v>462</v>
      </c>
      <c r="H147" s="1090" t="s">
        <v>497</v>
      </c>
      <c r="I147" s="1091">
        <f>VLOOKUP(H141,'CNKT '!$D$16:$AA$96,13,0)</f>
        <v>0</v>
      </c>
      <c r="J147" s="1092">
        <v>100000</v>
      </c>
      <c r="K147" s="1093">
        <f>I147*J147</f>
        <v>0</v>
      </c>
      <c r="L147" s="1015"/>
    </row>
    <row r="148" spans="1:13" s="27" customFormat="1" ht="17.25" customHeight="1">
      <c r="A148" s="1020" t="s">
        <v>463</v>
      </c>
      <c r="B148" s="1025" t="s">
        <v>467</v>
      </c>
      <c r="C148" s="1026">
        <f>VLOOKUP(B141,'CNKT '!$D$16:$AA$96,16,0)</f>
        <v>0</v>
      </c>
      <c r="D148" s="622">
        <f>153.8*$B$2</f>
        <v>103162.88800000001</v>
      </c>
      <c r="E148" s="1023">
        <f t="shared" ref="E148" si="33">C148*D148</f>
        <v>0</v>
      </c>
      <c r="F148" s="1041"/>
      <c r="G148" s="1020" t="s">
        <v>463</v>
      </c>
      <c r="H148" s="1025" t="s">
        <v>467</v>
      </c>
      <c r="I148" s="1026">
        <f>VLOOKUP(H141,'CNKT '!$D$16:$AA$96,16,0)</f>
        <v>0</v>
      </c>
      <c r="J148" s="622">
        <f>153.8*$B$2</f>
        <v>103162.88800000001</v>
      </c>
      <c r="K148" s="1023">
        <f t="shared" ref="K148" si="34">I148*J148</f>
        <v>0</v>
      </c>
      <c r="L148" s="1015"/>
    </row>
    <row r="149" spans="1:13" s="27" customFormat="1" ht="17.25" customHeight="1">
      <c r="A149" s="1020" t="s">
        <v>425</v>
      </c>
      <c r="B149" s="1025" t="s">
        <v>468</v>
      </c>
      <c r="C149" s="1026">
        <f>VLOOKUP(B141,'CNKT '!$D$16:$AA$96,18,0)</f>
        <v>2</v>
      </c>
      <c r="D149" s="622">
        <v>10000</v>
      </c>
      <c r="E149" s="1023">
        <f>C149*D149</f>
        <v>20000</v>
      </c>
      <c r="F149" s="1041"/>
      <c r="G149" s="1020" t="s">
        <v>425</v>
      </c>
      <c r="H149" s="1025" t="s">
        <v>468</v>
      </c>
      <c r="I149" s="1026">
        <f>VLOOKUP(H141,'CNKT '!$D$16:$AA$96,18,0)</f>
        <v>2</v>
      </c>
      <c r="J149" s="622">
        <v>10000</v>
      </c>
      <c r="K149" s="1023">
        <f>I149*J149</f>
        <v>20000</v>
      </c>
      <c r="L149" s="1015"/>
    </row>
    <row r="150" spans="1:13" s="27" customFormat="1" ht="17.25" customHeight="1">
      <c r="A150" s="1020" t="s">
        <v>425</v>
      </c>
      <c r="B150" s="1025" t="s">
        <v>468</v>
      </c>
      <c r="C150" s="1026">
        <f>VLOOKUP(B141,'CNKT '!$D$16:$AA$96,19,0)</f>
        <v>0</v>
      </c>
      <c r="D150" s="622">
        <v>20000</v>
      </c>
      <c r="E150" s="1023">
        <f>C150*D150</f>
        <v>0</v>
      </c>
      <c r="F150" s="1041"/>
      <c r="G150" s="1020" t="s">
        <v>425</v>
      </c>
      <c r="H150" s="1025" t="s">
        <v>468</v>
      </c>
      <c r="I150" s="1026">
        <f>VLOOKUP(H141,'CNKT '!$D$16:$AA$96,19,0)</f>
        <v>0</v>
      </c>
      <c r="J150" s="622">
        <v>20000</v>
      </c>
      <c r="K150" s="1023">
        <f>I150*J150</f>
        <v>0</v>
      </c>
      <c r="L150" s="1015"/>
    </row>
    <row r="151" spans="1:13" s="27" customFormat="1" ht="17.25" customHeight="1">
      <c r="A151" s="1020" t="s">
        <v>780</v>
      </c>
      <c r="B151" s="1027" t="s">
        <v>781</v>
      </c>
      <c r="C151" s="1026"/>
      <c r="D151" s="622"/>
      <c r="E151" s="1023">
        <f>VLOOKUP(B141,'CNKT '!$D$16:$AE$99,28,0)</f>
        <v>0</v>
      </c>
      <c r="F151" s="1041"/>
      <c r="G151" s="1020" t="s">
        <v>780</v>
      </c>
      <c r="H151" s="1027" t="s">
        <v>781</v>
      </c>
      <c r="I151" s="1026"/>
      <c r="J151" s="622"/>
      <c r="K151" s="1023">
        <f>VLOOKUP(H141,'CNKT '!$D$16:$AE$99,28,0)</f>
        <v>0</v>
      </c>
      <c r="L151" s="1015"/>
    </row>
    <row r="152" spans="1:13" s="27" customFormat="1" ht="17.25" customHeight="1">
      <c r="A152" s="1028" t="s">
        <v>74</v>
      </c>
      <c r="B152" s="1029" t="s">
        <v>498</v>
      </c>
      <c r="C152" s="1030"/>
      <c r="D152" s="1031"/>
      <c r="E152" s="1030"/>
      <c r="F152" s="1049"/>
      <c r="G152" s="1028" t="s">
        <v>74</v>
      </c>
      <c r="H152" s="1029" t="s">
        <v>498</v>
      </c>
      <c r="I152" s="1030"/>
      <c r="J152" s="1031"/>
      <c r="K152" s="1030"/>
      <c r="L152" s="1015"/>
    </row>
    <row r="153" spans="1:13" s="27" customFormat="1" ht="17.25" customHeight="1">
      <c r="A153" s="1032" t="s">
        <v>75</v>
      </c>
      <c r="B153" s="1033" t="s">
        <v>499</v>
      </c>
      <c r="C153" s="1030"/>
      <c r="D153" s="1030"/>
      <c r="E153" s="1030"/>
      <c r="F153" s="1049"/>
      <c r="G153" s="1032" t="s">
        <v>75</v>
      </c>
      <c r="H153" s="1033" t="s">
        <v>499</v>
      </c>
      <c r="I153" s="1030"/>
      <c r="J153" s="1030"/>
      <c r="K153" s="1030"/>
      <c r="L153" s="1015"/>
    </row>
    <row r="154" spans="1:13" s="27" customFormat="1" ht="17.25" customHeight="1">
      <c r="A154" s="1032" t="s">
        <v>76</v>
      </c>
      <c r="B154" s="1034" t="s">
        <v>500</v>
      </c>
      <c r="C154" s="1030"/>
      <c r="D154" s="1030"/>
      <c r="E154" s="1023">
        <f>SUM(E153)</f>
        <v>0</v>
      </c>
      <c r="F154" s="1049"/>
      <c r="G154" s="1032" t="s">
        <v>76</v>
      </c>
      <c r="H154" s="1034" t="s">
        <v>500</v>
      </c>
      <c r="I154" s="1030"/>
      <c r="J154" s="1030"/>
      <c r="K154" s="1023">
        <f>SUM(K153)</f>
        <v>0</v>
      </c>
      <c r="L154" s="1015"/>
      <c r="M154" s="1035">
        <f>E154+K154</f>
        <v>0</v>
      </c>
    </row>
    <row r="155" spans="1:13" s="27" customFormat="1" ht="17.25" customHeight="1">
      <c r="A155" s="1036" t="s">
        <v>77</v>
      </c>
      <c r="B155" s="1037" t="s">
        <v>412</v>
      </c>
      <c r="C155" s="1038"/>
      <c r="D155" s="1038"/>
      <c r="E155" s="1038">
        <f>(E143+E144+E145+E146+E147+E148+E149+E150+E151)-E154</f>
        <v>6941496.3905120948</v>
      </c>
      <c r="F155" s="1049"/>
      <c r="G155" s="1036" t="s">
        <v>77</v>
      </c>
      <c r="H155" s="1037" t="s">
        <v>412</v>
      </c>
      <c r="I155" s="1038"/>
      <c r="J155" s="1038"/>
      <c r="K155" s="1038">
        <f>(K143+K144+K145+K146+K147+K148+K149+K150+K151)-K154</f>
        <v>9777471.498796545</v>
      </c>
      <c r="L155" s="1040">
        <f>E155+K155</f>
        <v>16718967.889308639</v>
      </c>
    </row>
    <row r="156" spans="1:13" s="27" customFormat="1" ht="12" customHeight="1">
      <c r="A156" s="1045"/>
      <c r="B156" s="1050"/>
      <c r="C156" s="1051"/>
      <c r="D156" s="1051"/>
      <c r="E156" s="1049"/>
      <c r="F156" s="1049"/>
      <c r="G156" s="1045"/>
      <c r="H156" s="1050"/>
      <c r="I156" s="1051"/>
      <c r="J156" s="1049"/>
      <c r="K156" s="1052"/>
      <c r="L156" s="1015"/>
    </row>
    <row r="157" spans="1:13" s="27" customFormat="1" ht="17.25" customHeight="1">
      <c r="A157" s="1611" t="str">
        <f>G140</f>
        <v>LƯƠNG THÁNG 08/2025</v>
      </c>
      <c r="B157" s="1612"/>
      <c r="C157" s="1612"/>
      <c r="D157" s="1612"/>
      <c r="E157" s="1014">
        <v>19</v>
      </c>
      <c r="F157" s="1045"/>
      <c r="G157" s="1611" t="str">
        <f>A157</f>
        <v>LƯƠNG THÁNG 08/2025</v>
      </c>
      <c r="H157" s="1612"/>
      <c r="I157" s="1612"/>
      <c r="J157" s="1613"/>
      <c r="K157" s="1014">
        <v>20</v>
      </c>
      <c r="L157" s="1015"/>
    </row>
    <row r="158" spans="1:13" s="27" customFormat="1" ht="17.25" customHeight="1">
      <c r="A158" s="1044" t="s">
        <v>13</v>
      </c>
      <c r="B158" s="1016" t="str">
        <f>'CNKT '!D34</f>
        <v>N. Soi</v>
      </c>
      <c r="C158" s="1017"/>
      <c r="D158" s="1018" t="s">
        <v>376</v>
      </c>
      <c r="E158" s="1018" t="s">
        <v>16</v>
      </c>
      <c r="F158" s="1048"/>
      <c r="G158" s="1044" t="s">
        <v>13</v>
      </c>
      <c r="H158" s="1016" t="str">
        <f>'CNKT '!D35</f>
        <v>N. Me Kha La</v>
      </c>
      <c r="I158" s="1017"/>
      <c r="J158" s="1018" t="s">
        <v>376</v>
      </c>
      <c r="K158" s="1018" t="s">
        <v>16</v>
      </c>
      <c r="L158" s="1015"/>
    </row>
    <row r="159" spans="1:13" s="27" customFormat="1" ht="17.25" customHeight="1">
      <c r="A159" s="1020" t="s">
        <v>377</v>
      </c>
      <c r="B159" s="1021" t="s">
        <v>493</v>
      </c>
      <c r="C159" s="1022" t="str">
        <f>VLOOKUP(B158,'BTH mủ tạp'!$D$17:$AN$94,37,0)</f>
        <v>A</v>
      </c>
      <c r="D159" s="1023"/>
      <c r="E159" s="1023"/>
      <c r="F159" s="1048"/>
      <c r="G159" s="1020" t="s">
        <v>377</v>
      </c>
      <c r="H159" s="1021" t="s">
        <v>493</v>
      </c>
      <c r="I159" s="1022" t="str">
        <f>VLOOKUP(H158,'BTH mủ tạp'!$D$17:$AN$94,37,0)</f>
        <v>A</v>
      </c>
      <c r="J159" s="1023"/>
      <c r="K159" s="1023"/>
      <c r="L159" s="1015"/>
    </row>
    <row r="160" spans="1:13" s="27" customFormat="1" ht="17.25" customHeight="1">
      <c r="A160" s="1020" t="s">
        <v>72</v>
      </c>
      <c r="B160" s="1024" t="s">
        <v>406</v>
      </c>
      <c r="C160" s="621">
        <f>VLOOKUP(B158,'CNKT '!$D$16:$AA$96,3,0)</f>
        <v>0</v>
      </c>
      <c r="D160" s="622">
        <v>25000</v>
      </c>
      <c r="E160" s="1023">
        <f>C160*D160</f>
        <v>0</v>
      </c>
      <c r="F160" s="1041"/>
      <c r="G160" s="1020" t="s">
        <v>72</v>
      </c>
      <c r="H160" s="1024" t="s">
        <v>406</v>
      </c>
      <c r="I160" s="621">
        <f>VLOOKUP(H158,'CNKT '!$D$16:$AA$96,3,0)</f>
        <v>0</v>
      </c>
      <c r="J160" s="622">
        <v>25000</v>
      </c>
      <c r="K160" s="1023">
        <f>I160*J160</f>
        <v>0</v>
      </c>
      <c r="L160" s="1015"/>
    </row>
    <row r="161" spans="1:13" s="27" customFormat="1" ht="17.25" customHeight="1">
      <c r="A161" s="1020" t="s">
        <v>292</v>
      </c>
      <c r="B161" s="1025" t="s">
        <v>494</v>
      </c>
      <c r="C161" s="1026">
        <f>VLOOKUP(B158,'CNKT '!$D$16:$AA$96,11,0)</f>
        <v>24</v>
      </c>
      <c r="D161" s="623">
        <f>46.1*$B$2</f>
        <v>30922.036</v>
      </c>
      <c r="E161" s="1023">
        <f>C161*D161</f>
        <v>742128.86400000006</v>
      </c>
      <c r="F161" s="1049"/>
      <c r="G161" s="1020" t="s">
        <v>292</v>
      </c>
      <c r="H161" s="1025" t="s">
        <v>494</v>
      </c>
      <c r="I161" s="1026">
        <f>VLOOKUP(H158,'CNKT '!$D$16:$AA$96,11,0)</f>
        <v>25</v>
      </c>
      <c r="J161" s="623">
        <f>46.1*$B$2</f>
        <v>30922.036</v>
      </c>
      <c r="K161" s="1023">
        <f>I161*J161</f>
        <v>773050.9</v>
      </c>
      <c r="L161" s="1015"/>
    </row>
    <row r="162" spans="1:13" s="27" customFormat="1" ht="17.25" customHeight="1">
      <c r="A162" s="1020" t="s">
        <v>379</v>
      </c>
      <c r="B162" s="1025" t="s">
        <v>495</v>
      </c>
      <c r="C162" s="1026">
        <f>VLOOKUP(B158,'CNKT '!$D$16:$AA$96,12,0)</f>
        <v>2</v>
      </c>
      <c r="D162" s="622">
        <f>76.9*$B$2</f>
        <v>51581.444000000003</v>
      </c>
      <c r="E162" s="1023">
        <f t="shared" ref="E162:E163" si="35">C162*D162</f>
        <v>103162.88800000001</v>
      </c>
      <c r="F162" s="1048"/>
      <c r="G162" s="1020" t="s">
        <v>379</v>
      </c>
      <c r="H162" s="1025" t="s">
        <v>495</v>
      </c>
      <c r="I162" s="1026">
        <f>VLOOKUP(H158,'CNKT '!$D$16:$AA$96,12,0)</f>
        <v>2</v>
      </c>
      <c r="J162" s="622">
        <f>76.9*$B$2</f>
        <v>51581.444000000003</v>
      </c>
      <c r="K162" s="1023">
        <f t="shared" ref="K162:K163" si="36">I162*J162</f>
        <v>103162.88800000001</v>
      </c>
      <c r="L162" s="1015"/>
    </row>
    <row r="163" spans="1:13" s="27" customFormat="1" ht="17.25" customHeight="1">
      <c r="A163" s="1020" t="s">
        <v>73</v>
      </c>
      <c r="B163" s="1025" t="s">
        <v>496</v>
      </c>
      <c r="C163" s="1026">
        <f>VLOOKUP(B158,'CNKT '!$D$16:$AA$96,8,0)</f>
        <v>1735.46507067895</v>
      </c>
      <c r="D163" s="622">
        <f>IF(C159="A",6.1,IF(C159="B",5.8,IF(C159="C",5.5,IF(C159="C.",5.5,IF(C159="D",5.2)))))*$B$2</f>
        <v>4091.6359999999995</v>
      </c>
      <c r="E163" s="1023">
        <f t="shared" si="35"/>
        <v>7100891.3599325353</v>
      </c>
      <c r="F163" s="1041"/>
      <c r="G163" s="1020" t="s">
        <v>73</v>
      </c>
      <c r="H163" s="1025" t="s">
        <v>496</v>
      </c>
      <c r="I163" s="1026">
        <f>VLOOKUP(H158,'CNKT '!$D$16:$AA$96,8,0)</f>
        <v>1541.5440413685283</v>
      </c>
      <c r="J163" s="622">
        <f>IF(I159="A",6.1,IF(I159="B",5.8,IF(I159="C",5.5,IF(I159="C.",5.5,IF(I159="D",5.2)))))*$B$2</f>
        <v>4091.6359999999995</v>
      </c>
      <c r="K163" s="1023">
        <f t="shared" si="36"/>
        <v>6307437.095248959</v>
      </c>
      <c r="L163" s="1015"/>
    </row>
    <row r="164" spans="1:13" s="27" customFormat="1" ht="17.25" customHeight="1">
      <c r="A164" s="1089" t="s">
        <v>462</v>
      </c>
      <c r="B164" s="1090" t="s">
        <v>497</v>
      </c>
      <c r="C164" s="1091">
        <f>VLOOKUP(B158,'CNKT '!$D$16:$AA$96,13,0)</f>
        <v>0</v>
      </c>
      <c r="D164" s="1092">
        <v>100000</v>
      </c>
      <c r="E164" s="1093">
        <f>C164*D164</f>
        <v>0</v>
      </c>
      <c r="F164" s="1041"/>
      <c r="G164" s="1089" t="s">
        <v>462</v>
      </c>
      <c r="H164" s="1090" t="s">
        <v>497</v>
      </c>
      <c r="I164" s="1091">
        <f>VLOOKUP(H158,'CNKT '!$D$16:$AA$96,13,0)</f>
        <v>0</v>
      </c>
      <c r="J164" s="1092">
        <v>100000</v>
      </c>
      <c r="K164" s="1093">
        <f>I164*J164</f>
        <v>0</v>
      </c>
      <c r="L164" s="1015"/>
    </row>
    <row r="165" spans="1:13" s="27" customFormat="1" ht="17.25" customHeight="1">
      <c r="A165" s="1020" t="s">
        <v>463</v>
      </c>
      <c r="B165" s="1025" t="s">
        <v>467</v>
      </c>
      <c r="C165" s="1026">
        <f>VLOOKUP(B158,'CNKT '!$D$16:$AA$96,16,0)</f>
        <v>0</v>
      </c>
      <c r="D165" s="622">
        <f>153.8*$B$2</f>
        <v>103162.88800000001</v>
      </c>
      <c r="E165" s="1023">
        <f t="shared" ref="E165" si="37">C165*D165</f>
        <v>0</v>
      </c>
      <c r="F165" s="1041"/>
      <c r="G165" s="1020" t="s">
        <v>463</v>
      </c>
      <c r="H165" s="1025" t="s">
        <v>467</v>
      </c>
      <c r="I165" s="1026">
        <f>VLOOKUP(H158,'CNKT '!$D$16:$AA$96,16,0)</f>
        <v>0</v>
      </c>
      <c r="J165" s="622">
        <f>153.8*$B$2</f>
        <v>103162.88800000001</v>
      </c>
      <c r="K165" s="1023">
        <f t="shared" ref="K165" si="38">I165*J165</f>
        <v>0</v>
      </c>
      <c r="L165" s="1015"/>
    </row>
    <row r="166" spans="1:13" s="27" customFormat="1" ht="17.25" customHeight="1">
      <c r="A166" s="1020" t="s">
        <v>425</v>
      </c>
      <c r="B166" s="1025" t="s">
        <v>468</v>
      </c>
      <c r="C166" s="1026">
        <f>VLOOKUP(B158,'CNKT '!$D$16:$AA$96,18,0)</f>
        <v>2</v>
      </c>
      <c r="D166" s="622">
        <v>10000</v>
      </c>
      <c r="E166" s="1023">
        <f>C166*D166</f>
        <v>20000</v>
      </c>
      <c r="F166" s="1041"/>
      <c r="G166" s="1020" t="s">
        <v>425</v>
      </c>
      <c r="H166" s="1025" t="s">
        <v>468</v>
      </c>
      <c r="I166" s="1026">
        <f>VLOOKUP(H158,'CNKT '!$D$16:$AA$96,18,0)</f>
        <v>2</v>
      </c>
      <c r="J166" s="622">
        <v>10000</v>
      </c>
      <c r="K166" s="1023">
        <f>I166*J166</f>
        <v>20000</v>
      </c>
      <c r="L166" s="1015"/>
    </row>
    <row r="167" spans="1:13" s="27" customFormat="1" ht="17.25" customHeight="1">
      <c r="A167" s="1020" t="s">
        <v>425</v>
      </c>
      <c r="B167" s="1025" t="s">
        <v>468</v>
      </c>
      <c r="C167" s="1026">
        <f>VLOOKUP(B158,'CNKT '!$D$16:$AA$96,19,0)</f>
        <v>0</v>
      </c>
      <c r="D167" s="622">
        <v>20000</v>
      </c>
      <c r="E167" s="1023">
        <f>C167*D167</f>
        <v>0</v>
      </c>
      <c r="F167" s="1041"/>
      <c r="G167" s="1020" t="s">
        <v>425</v>
      </c>
      <c r="H167" s="1025" t="s">
        <v>468</v>
      </c>
      <c r="I167" s="1026">
        <f>VLOOKUP(H158,'CNKT '!$D$16:$AA$96,19,0)</f>
        <v>0</v>
      </c>
      <c r="J167" s="622">
        <v>20000</v>
      </c>
      <c r="K167" s="1023">
        <f>I167*J167</f>
        <v>0</v>
      </c>
      <c r="L167" s="1015"/>
    </row>
    <row r="168" spans="1:13" s="27" customFormat="1" ht="17.25" customHeight="1">
      <c r="A168" s="1020" t="s">
        <v>780</v>
      </c>
      <c r="B168" s="1027" t="s">
        <v>781</v>
      </c>
      <c r="C168" s="1026"/>
      <c r="D168" s="622"/>
      <c r="E168" s="1023">
        <f>VLOOKUP(B158,'CNKT '!$D$16:$AE$99,28,0)</f>
        <v>0</v>
      </c>
      <c r="F168" s="1041"/>
      <c r="G168" s="1020" t="s">
        <v>780</v>
      </c>
      <c r="H168" s="1027" t="s">
        <v>781</v>
      </c>
      <c r="I168" s="1026"/>
      <c r="J168" s="622"/>
      <c r="K168" s="1023">
        <f>VLOOKUP(H158,'CNKT '!$D$16:$AE$99,28,0)</f>
        <v>0</v>
      </c>
      <c r="L168" s="1015"/>
    </row>
    <row r="169" spans="1:13" s="27" customFormat="1" ht="17.25" customHeight="1">
      <c r="A169" s="1028" t="s">
        <v>74</v>
      </c>
      <c r="B169" s="1029" t="s">
        <v>498</v>
      </c>
      <c r="C169" s="1030"/>
      <c r="D169" s="1031"/>
      <c r="E169" s="1030"/>
      <c r="F169" s="1045"/>
      <c r="G169" s="1028" t="s">
        <v>74</v>
      </c>
      <c r="H169" s="1029" t="s">
        <v>498</v>
      </c>
      <c r="I169" s="1030"/>
      <c r="J169" s="1031"/>
      <c r="K169" s="1030"/>
      <c r="L169" s="1015"/>
    </row>
    <row r="170" spans="1:13" s="27" customFormat="1" ht="17.25" customHeight="1">
      <c r="A170" s="1032" t="s">
        <v>75</v>
      </c>
      <c r="B170" s="1033" t="s">
        <v>499</v>
      </c>
      <c r="C170" s="1030"/>
      <c r="D170" s="1030"/>
      <c r="E170" s="1030"/>
      <c r="F170" s="1045"/>
      <c r="G170" s="1032" t="s">
        <v>75</v>
      </c>
      <c r="H170" s="1033" t="s">
        <v>499</v>
      </c>
      <c r="I170" s="1030"/>
      <c r="J170" s="1030"/>
      <c r="K170" s="1030"/>
      <c r="L170" s="1015"/>
    </row>
    <row r="171" spans="1:13" s="27" customFormat="1" ht="17.25" customHeight="1">
      <c r="A171" s="1032" t="s">
        <v>76</v>
      </c>
      <c r="B171" s="1034" t="s">
        <v>500</v>
      </c>
      <c r="C171" s="1030"/>
      <c r="D171" s="1030"/>
      <c r="E171" s="1023">
        <f>SUM(E170)</f>
        <v>0</v>
      </c>
      <c r="F171" s="1045"/>
      <c r="G171" s="1032" t="s">
        <v>76</v>
      </c>
      <c r="H171" s="1034" t="s">
        <v>500</v>
      </c>
      <c r="I171" s="1030"/>
      <c r="J171" s="1030"/>
      <c r="K171" s="1023">
        <f>SUM(K170)</f>
        <v>0</v>
      </c>
      <c r="L171" s="1015"/>
      <c r="M171" s="1035">
        <f>E171+K171</f>
        <v>0</v>
      </c>
    </row>
    <row r="172" spans="1:13" s="27" customFormat="1" ht="17.25" customHeight="1">
      <c r="A172" s="1036" t="s">
        <v>77</v>
      </c>
      <c r="B172" s="1037" t="s">
        <v>412</v>
      </c>
      <c r="C172" s="1038"/>
      <c r="D172" s="1038"/>
      <c r="E172" s="1038">
        <f>(E160+E161+E162+E163+E164+E165+E166+E167+E168)-E171</f>
        <v>7966183.1119325357</v>
      </c>
      <c r="F172" s="1045"/>
      <c r="G172" s="1036" t="s">
        <v>77</v>
      </c>
      <c r="H172" s="1037" t="s">
        <v>412</v>
      </c>
      <c r="I172" s="1038"/>
      <c r="J172" s="1038"/>
      <c r="K172" s="1038">
        <f>(K160+K161+K162+K163+K164+K165+K166+K167+K168)-K171</f>
        <v>7203650.8832489587</v>
      </c>
      <c r="L172" s="1040">
        <f>E172+K172</f>
        <v>15169833.995181493</v>
      </c>
    </row>
    <row r="173" spans="1:13" s="27" customFormat="1" ht="63" customHeight="1">
      <c r="A173" s="1053"/>
      <c r="B173" s="1048"/>
      <c r="C173" s="1048"/>
      <c r="D173" s="1048"/>
      <c r="E173" s="1048"/>
      <c r="F173" s="1041"/>
      <c r="G173" s="1053"/>
      <c r="H173" s="1048"/>
      <c r="I173" s="1048"/>
      <c r="J173" s="1048"/>
      <c r="K173" s="1043"/>
      <c r="L173" s="1015"/>
    </row>
    <row r="174" spans="1:13" s="27" customFormat="1" ht="17.25" customHeight="1">
      <c r="A174" s="1611" t="str">
        <f>G157</f>
        <v>LƯƠNG THÁNG 08/2025</v>
      </c>
      <c r="B174" s="1612"/>
      <c r="C174" s="1612"/>
      <c r="D174" s="1612"/>
      <c r="E174" s="1014">
        <v>21</v>
      </c>
      <c r="F174" s="1049"/>
      <c r="G174" s="1611" t="str">
        <f>A174</f>
        <v>LƯƠNG THÁNG 08/2025</v>
      </c>
      <c r="H174" s="1612"/>
      <c r="I174" s="1612"/>
      <c r="J174" s="1613"/>
      <c r="K174" s="1014">
        <v>22</v>
      </c>
      <c r="L174" s="1015"/>
    </row>
    <row r="175" spans="1:13" s="27" customFormat="1" ht="17.25" customHeight="1">
      <c r="A175" s="1044" t="s">
        <v>13</v>
      </c>
      <c r="B175" s="1016" t="str">
        <f>'CNKT '!D36</f>
        <v>N. Mon Khăm</v>
      </c>
      <c r="C175" s="1017"/>
      <c r="D175" s="1018" t="s">
        <v>376</v>
      </c>
      <c r="E175" s="1018" t="s">
        <v>16</v>
      </c>
      <c r="F175" s="1049"/>
      <c r="G175" s="1044" t="s">
        <v>13</v>
      </c>
      <c r="H175" s="1016" t="str">
        <f>'CNKT '!D37</f>
        <v>N.Choi</v>
      </c>
      <c r="I175" s="1017"/>
      <c r="J175" s="1018" t="s">
        <v>376</v>
      </c>
      <c r="K175" s="1018" t="s">
        <v>16</v>
      </c>
      <c r="L175" s="1015"/>
    </row>
    <row r="176" spans="1:13" s="27" customFormat="1" ht="17.25" customHeight="1">
      <c r="A176" s="1020" t="s">
        <v>377</v>
      </c>
      <c r="B176" s="1021" t="s">
        <v>493</v>
      </c>
      <c r="C176" s="1022" t="str">
        <f>VLOOKUP(B175,'BTH mủ tạp'!$D$17:$AN$94,37,0)</f>
        <v>A</v>
      </c>
      <c r="D176" s="1023"/>
      <c r="E176" s="1023"/>
      <c r="F176" s="1049"/>
      <c r="G176" s="1020" t="s">
        <v>377</v>
      </c>
      <c r="H176" s="1021" t="s">
        <v>493</v>
      </c>
      <c r="I176" s="1022" t="str">
        <f>VLOOKUP(H175,'BTH mủ tạp'!$D$17:$AN$94,37,0)</f>
        <v>A</v>
      </c>
      <c r="J176" s="1023"/>
      <c r="K176" s="1023"/>
      <c r="L176" s="1015"/>
    </row>
    <row r="177" spans="1:13" s="27" customFormat="1" ht="17.25" customHeight="1">
      <c r="A177" s="1020" t="s">
        <v>72</v>
      </c>
      <c r="B177" s="1024" t="s">
        <v>406</v>
      </c>
      <c r="C177" s="621">
        <f>VLOOKUP(B175,'CNKT '!$D$16:$AA$96,3,0)</f>
        <v>0</v>
      </c>
      <c r="D177" s="622">
        <v>25000</v>
      </c>
      <c r="E177" s="1023">
        <f>C177*D177</f>
        <v>0</v>
      </c>
      <c r="F177" s="1049"/>
      <c r="G177" s="1020" t="s">
        <v>72</v>
      </c>
      <c r="H177" s="1024" t="s">
        <v>406</v>
      </c>
      <c r="I177" s="621">
        <f>VLOOKUP(H175,'CNKT '!$D$16:$AA$96,3,0)</f>
        <v>0</v>
      </c>
      <c r="J177" s="622">
        <v>25000</v>
      </c>
      <c r="K177" s="1023">
        <f>I177*J177</f>
        <v>0</v>
      </c>
      <c r="L177" s="1015"/>
    </row>
    <row r="178" spans="1:13" s="27" customFormat="1" ht="17.25" customHeight="1">
      <c r="A178" s="1020" t="s">
        <v>292</v>
      </c>
      <c r="B178" s="1025" t="s">
        <v>494</v>
      </c>
      <c r="C178" s="1026">
        <f>VLOOKUP(B175,'CNKT '!$D$16:$AA$96,11,0)</f>
        <v>24</v>
      </c>
      <c r="D178" s="623">
        <f>46.1*$B$2</f>
        <v>30922.036</v>
      </c>
      <c r="E178" s="1023">
        <f>C178*D178</f>
        <v>742128.86400000006</v>
      </c>
      <c r="F178" s="1049"/>
      <c r="G178" s="1020" t="s">
        <v>292</v>
      </c>
      <c r="H178" s="1025" t="s">
        <v>494</v>
      </c>
      <c r="I178" s="1026">
        <f>VLOOKUP(H175,'CNKT '!$D$16:$AA$96,11,0)</f>
        <v>26</v>
      </c>
      <c r="J178" s="623">
        <f>46.1*$B$2</f>
        <v>30922.036</v>
      </c>
      <c r="K178" s="1023">
        <f>I178*J178</f>
        <v>803972.93599999999</v>
      </c>
      <c r="L178" s="1015"/>
    </row>
    <row r="179" spans="1:13" s="27" customFormat="1" ht="17.25" customHeight="1">
      <c r="A179" s="1020" t="s">
        <v>379</v>
      </c>
      <c r="B179" s="1025" t="s">
        <v>495</v>
      </c>
      <c r="C179" s="1026">
        <f>VLOOKUP(B175,'CNKT '!$D$16:$AA$96,12,0)</f>
        <v>2</v>
      </c>
      <c r="D179" s="622">
        <f>76.9*$B$2</f>
        <v>51581.444000000003</v>
      </c>
      <c r="E179" s="1023">
        <f t="shared" ref="E179:E180" si="39">C179*D179</f>
        <v>103162.88800000001</v>
      </c>
      <c r="F179" s="1041"/>
      <c r="G179" s="1020" t="s">
        <v>379</v>
      </c>
      <c r="H179" s="1025" t="s">
        <v>495</v>
      </c>
      <c r="I179" s="1026">
        <f>VLOOKUP(H175,'CNKT '!$D$16:$AA$96,12,0)</f>
        <v>2</v>
      </c>
      <c r="J179" s="622">
        <f>76.9*$B$2</f>
        <v>51581.444000000003</v>
      </c>
      <c r="K179" s="1023">
        <f t="shared" ref="K179:K180" si="40">I179*J179</f>
        <v>103162.88800000001</v>
      </c>
      <c r="L179" s="1015"/>
    </row>
    <row r="180" spans="1:13" s="27" customFormat="1" ht="17.25" customHeight="1">
      <c r="A180" s="1020" t="s">
        <v>73</v>
      </c>
      <c r="B180" s="1025" t="s">
        <v>496</v>
      </c>
      <c r="C180" s="1026">
        <f>VLOOKUP(B175,'CNKT '!$D$16:$AA$96,8,0)</f>
        <v>1626.5446687534929</v>
      </c>
      <c r="D180" s="622">
        <f>IF(C176="A",6.1,IF(C176="B",5.8,IF(C176="C",5.5,IF(C176="C.",5.5,IF(C176="D",5.2)))))*$B$2</f>
        <v>4091.6359999999995</v>
      </c>
      <c r="E180" s="1023">
        <f t="shared" si="39"/>
        <v>6655228.7222798662</v>
      </c>
      <c r="F180" s="1045"/>
      <c r="G180" s="1020" t="s">
        <v>73</v>
      </c>
      <c r="H180" s="1025" t="s">
        <v>496</v>
      </c>
      <c r="I180" s="1026">
        <f>VLOOKUP(H175,'CNKT '!$D$16:$AA$96,8,0)</f>
        <v>1490.7145204699818</v>
      </c>
      <c r="J180" s="622">
        <f>IF(I176="A",6.1,IF(I176="B",5.8,IF(I176="C",5.5,IF(I176="C.",5.5,IF(I176="D",5.2)))))*$B$2</f>
        <v>4091.6359999999995</v>
      </c>
      <c r="K180" s="1023">
        <f t="shared" si="40"/>
        <v>6099461.1976777138</v>
      </c>
      <c r="L180" s="1015"/>
    </row>
    <row r="181" spans="1:13" s="27" customFormat="1" ht="17.25" customHeight="1">
      <c r="A181" s="1089" t="s">
        <v>462</v>
      </c>
      <c r="B181" s="1090" t="s">
        <v>497</v>
      </c>
      <c r="C181" s="1091">
        <f>VLOOKUP(B175,'CNKT '!$D$16:$AA$96,13,0)</f>
        <v>0</v>
      </c>
      <c r="D181" s="1092">
        <v>100000</v>
      </c>
      <c r="E181" s="1093">
        <f>C181*D181</f>
        <v>0</v>
      </c>
      <c r="F181" s="1045"/>
      <c r="G181" s="1089" t="s">
        <v>462</v>
      </c>
      <c r="H181" s="1090" t="s">
        <v>497</v>
      </c>
      <c r="I181" s="1091">
        <f>VLOOKUP(H175,'CNKT '!$D$16:$AA$96,13,0)</f>
        <v>0</v>
      </c>
      <c r="J181" s="1092">
        <v>100000</v>
      </c>
      <c r="K181" s="1093">
        <f>I181*J181</f>
        <v>0</v>
      </c>
      <c r="L181" s="1015"/>
    </row>
    <row r="182" spans="1:13" s="27" customFormat="1" ht="17.25" customHeight="1">
      <c r="A182" s="1020" t="s">
        <v>463</v>
      </c>
      <c r="B182" s="1025" t="s">
        <v>467</v>
      </c>
      <c r="C182" s="1026">
        <f>VLOOKUP(B175,'CNKT '!$D$16:$AA$96,16,0)</f>
        <v>0</v>
      </c>
      <c r="D182" s="622">
        <f>153.8*$B$2</f>
        <v>103162.88800000001</v>
      </c>
      <c r="E182" s="1023">
        <f t="shared" ref="E182" si="41">C182*D182</f>
        <v>0</v>
      </c>
      <c r="F182" s="1045"/>
      <c r="G182" s="1020" t="s">
        <v>463</v>
      </c>
      <c r="H182" s="1025" t="s">
        <v>467</v>
      </c>
      <c r="I182" s="1026">
        <f>VLOOKUP(H175,'CNKT '!$D$16:$AA$96,16,0)</f>
        <v>0</v>
      </c>
      <c r="J182" s="622">
        <f>153.8*$B$2</f>
        <v>103162.88800000001</v>
      </c>
      <c r="K182" s="1023">
        <f t="shared" ref="K182" si="42">I182*J182</f>
        <v>0</v>
      </c>
      <c r="L182" s="1015"/>
    </row>
    <row r="183" spans="1:13" s="27" customFormat="1" ht="17.25" customHeight="1">
      <c r="A183" s="1020" t="s">
        <v>425</v>
      </c>
      <c r="B183" s="1025" t="s">
        <v>468</v>
      </c>
      <c r="C183" s="1026">
        <f>VLOOKUP(B175,'CNKT '!$D$16:$AA$96,18,0)</f>
        <v>2</v>
      </c>
      <c r="D183" s="622">
        <v>10000</v>
      </c>
      <c r="E183" s="1023">
        <f>C183*D183</f>
        <v>20000</v>
      </c>
      <c r="F183" s="1045"/>
      <c r="G183" s="1020" t="s">
        <v>425</v>
      </c>
      <c r="H183" s="1025" t="s">
        <v>468</v>
      </c>
      <c r="I183" s="1026">
        <f>VLOOKUP(H175,'CNKT '!$D$16:$AA$96,18,0)</f>
        <v>2</v>
      </c>
      <c r="J183" s="622">
        <v>10000</v>
      </c>
      <c r="K183" s="1023">
        <f>I183*J183</f>
        <v>20000</v>
      </c>
      <c r="L183" s="1015"/>
    </row>
    <row r="184" spans="1:13" s="27" customFormat="1" ht="17.25" customHeight="1">
      <c r="A184" s="1020" t="s">
        <v>425</v>
      </c>
      <c r="B184" s="1025" t="s">
        <v>468</v>
      </c>
      <c r="C184" s="1026">
        <f>VLOOKUP(B175,'CNKT '!$D$16:$AA$96,19,0)</f>
        <v>0</v>
      </c>
      <c r="D184" s="622">
        <v>20000</v>
      </c>
      <c r="E184" s="1023">
        <f>C184*D184</f>
        <v>0</v>
      </c>
      <c r="F184" s="1045"/>
      <c r="G184" s="1020" t="s">
        <v>425</v>
      </c>
      <c r="H184" s="1025" t="s">
        <v>468</v>
      </c>
      <c r="I184" s="1026">
        <f>VLOOKUP(H175,'CNKT '!$D$16:$AA$96,19,0)</f>
        <v>0</v>
      </c>
      <c r="J184" s="622">
        <v>20000</v>
      </c>
      <c r="K184" s="1023">
        <f>I184*J184</f>
        <v>0</v>
      </c>
      <c r="L184" s="1015"/>
    </row>
    <row r="185" spans="1:13" s="27" customFormat="1" ht="17.25" customHeight="1">
      <c r="A185" s="1020" t="s">
        <v>780</v>
      </c>
      <c r="B185" s="1027" t="s">
        <v>781</v>
      </c>
      <c r="C185" s="1026"/>
      <c r="D185" s="622"/>
      <c r="E185" s="1023">
        <f>VLOOKUP(B175,'CNKT '!$D$16:$AE$99,28,0)</f>
        <v>0</v>
      </c>
      <c r="F185" s="1045"/>
      <c r="G185" s="1020" t="s">
        <v>780</v>
      </c>
      <c r="H185" s="1027" t="s">
        <v>781</v>
      </c>
      <c r="I185" s="1026"/>
      <c r="J185" s="622"/>
      <c r="K185" s="1023">
        <f>VLOOKUP(H175,'CNKT '!$D$16:$AE$99,28,0)</f>
        <v>0</v>
      </c>
      <c r="L185" s="1015"/>
    </row>
    <row r="186" spans="1:13" s="27" customFormat="1" ht="17.25" customHeight="1">
      <c r="A186" s="1028" t="s">
        <v>74</v>
      </c>
      <c r="B186" s="1029" t="s">
        <v>498</v>
      </c>
      <c r="C186" s="1030"/>
      <c r="D186" s="1031"/>
      <c r="E186" s="1030"/>
      <c r="F186" s="1045"/>
      <c r="G186" s="1028" t="s">
        <v>74</v>
      </c>
      <c r="H186" s="1029" t="s">
        <v>498</v>
      </c>
      <c r="I186" s="1030"/>
      <c r="J186" s="1031"/>
      <c r="K186" s="1030"/>
      <c r="L186" s="1015"/>
    </row>
    <row r="187" spans="1:13" s="27" customFormat="1" ht="17.25" customHeight="1">
      <c r="A187" s="1032" t="s">
        <v>75</v>
      </c>
      <c r="B187" s="1033" t="s">
        <v>499</v>
      </c>
      <c r="C187" s="1030"/>
      <c r="D187" s="1030"/>
      <c r="E187" s="1030"/>
      <c r="F187" s="1045"/>
      <c r="G187" s="1032" t="s">
        <v>75</v>
      </c>
      <c r="H187" s="1033" t="s">
        <v>499</v>
      </c>
      <c r="I187" s="1030"/>
      <c r="J187" s="1030"/>
      <c r="K187" s="1030"/>
      <c r="L187" s="1015"/>
    </row>
    <row r="188" spans="1:13" s="27" customFormat="1" ht="17.25" customHeight="1">
      <c r="A188" s="1032" t="s">
        <v>76</v>
      </c>
      <c r="B188" s="1034" t="s">
        <v>500</v>
      </c>
      <c r="C188" s="1030"/>
      <c r="D188" s="1030"/>
      <c r="E188" s="1023">
        <f>SUM(E187)</f>
        <v>0</v>
      </c>
      <c r="F188" s="1045"/>
      <c r="G188" s="1032" t="s">
        <v>76</v>
      </c>
      <c r="H188" s="1034" t="s">
        <v>500</v>
      </c>
      <c r="I188" s="1030"/>
      <c r="J188" s="1030"/>
      <c r="K188" s="1023">
        <f>SUM(K187)</f>
        <v>0</v>
      </c>
      <c r="L188" s="1015"/>
      <c r="M188" s="1035">
        <f>E188+K188</f>
        <v>0</v>
      </c>
    </row>
    <row r="189" spans="1:13" s="27" customFormat="1" ht="17.25" customHeight="1">
      <c r="A189" s="1036" t="s">
        <v>77</v>
      </c>
      <c r="B189" s="1037" t="s">
        <v>412</v>
      </c>
      <c r="C189" s="1038"/>
      <c r="D189" s="1038"/>
      <c r="E189" s="1038">
        <f>(E177+E178+E179+E180+E181+E182+E183+E184+E185)-E188</f>
        <v>7520520.4742798666</v>
      </c>
      <c r="F189" s="1045"/>
      <c r="G189" s="1036" t="s">
        <v>77</v>
      </c>
      <c r="H189" s="1037" t="s">
        <v>412</v>
      </c>
      <c r="I189" s="1038"/>
      <c r="J189" s="1038"/>
      <c r="K189" s="1038">
        <f>(K177+K178+K179+K180+K181+K182+K183+K184+K185)-K188</f>
        <v>7026597.0216777138</v>
      </c>
      <c r="L189" s="1040">
        <f>E189+K189</f>
        <v>14547117.495957579</v>
      </c>
    </row>
    <row r="190" spans="1:13" s="27" customFormat="1" ht="17.25" customHeight="1">
      <c r="A190" s="1045"/>
      <c r="B190" s="1050"/>
      <c r="C190" s="1051"/>
      <c r="D190" s="1051"/>
      <c r="E190" s="1049"/>
      <c r="F190" s="1045"/>
      <c r="G190" s="1045"/>
      <c r="H190" s="1050"/>
      <c r="I190" s="1051"/>
      <c r="J190" s="1049"/>
      <c r="K190" s="1043"/>
      <c r="L190" s="1015"/>
    </row>
    <row r="191" spans="1:13" s="27" customFormat="1" ht="17.25" customHeight="1">
      <c r="A191" s="1611" t="str">
        <f>G174</f>
        <v>LƯƠNG THÁNG 08/2025</v>
      </c>
      <c r="B191" s="1612"/>
      <c r="C191" s="1612"/>
      <c r="D191" s="1612"/>
      <c r="E191" s="1014">
        <v>23</v>
      </c>
      <c r="F191" s="1049"/>
      <c r="G191" s="1611" t="str">
        <f>A191</f>
        <v>LƯƠNG THÁNG 08/2025</v>
      </c>
      <c r="H191" s="1612"/>
      <c r="I191" s="1612"/>
      <c r="J191" s="1613"/>
      <c r="K191" s="1014">
        <v>24</v>
      </c>
      <c r="L191" s="1015"/>
    </row>
    <row r="192" spans="1:13" s="27" customFormat="1" ht="17.25" customHeight="1">
      <c r="A192" s="1044" t="s">
        <v>13</v>
      </c>
      <c r="B192" s="1016" t="str">
        <f>'CNKT '!D38</f>
        <v>T. Bin Ly.</v>
      </c>
      <c r="C192" s="1017"/>
      <c r="D192" s="1018" t="s">
        <v>376</v>
      </c>
      <c r="E192" s="1018" t="s">
        <v>16</v>
      </c>
      <c r="F192" s="1049"/>
      <c r="G192" s="1044" t="s">
        <v>13</v>
      </c>
      <c r="H192" s="1016" t="str">
        <f>'CNKT '!D39</f>
        <v>N. Tinh</v>
      </c>
      <c r="I192" s="1017"/>
      <c r="J192" s="1018" t="s">
        <v>376</v>
      </c>
      <c r="K192" s="1018" t="s">
        <v>16</v>
      </c>
      <c r="L192" s="1015"/>
    </row>
    <row r="193" spans="1:13" s="27" customFormat="1" ht="17.25" customHeight="1">
      <c r="A193" s="1020" t="s">
        <v>377</v>
      </c>
      <c r="B193" s="1021" t="s">
        <v>493</v>
      </c>
      <c r="C193" s="1022" t="str">
        <f>VLOOKUP(B192,'BTH mủ tạp'!$D$17:$AN$94,37,0)</f>
        <v>A</v>
      </c>
      <c r="D193" s="1023"/>
      <c r="E193" s="1023"/>
      <c r="F193" s="1041"/>
      <c r="G193" s="1020" t="s">
        <v>377</v>
      </c>
      <c r="H193" s="1021" t="s">
        <v>493</v>
      </c>
      <c r="I193" s="1022" t="str">
        <f>VLOOKUP(H192,'BTH mủ tạp'!$D$17:$AN$94,37,0)</f>
        <v>A</v>
      </c>
      <c r="J193" s="1023"/>
      <c r="K193" s="1023"/>
      <c r="L193" s="1015"/>
    </row>
    <row r="194" spans="1:13" s="27" customFormat="1" ht="17.25" customHeight="1">
      <c r="A194" s="1020" t="s">
        <v>72</v>
      </c>
      <c r="B194" s="1024" t="s">
        <v>406</v>
      </c>
      <c r="C194" s="621">
        <f>VLOOKUP(B192,'CNKT '!$D$16:$AA$96,3,0)</f>
        <v>0</v>
      </c>
      <c r="D194" s="622">
        <v>25000</v>
      </c>
      <c r="E194" s="1023">
        <f>C194*D194</f>
        <v>0</v>
      </c>
      <c r="F194" s="1045"/>
      <c r="G194" s="1020" t="s">
        <v>72</v>
      </c>
      <c r="H194" s="1024" t="s">
        <v>406</v>
      </c>
      <c r="I194" s="621">
        <f>VLOOKUP(H192,'CNKT '!$D$16:$AA$96,3,0)</f>
        <v>0</v>
      </c>
      <c r="J194" s="622">
        <v>25000</v>
      </c>
      <c r="K194" s="1023">
        <f>I194*J194</f>
        <v>0</v>
      </c>
      <c r="L194" s="1015"/>
    </row>
    <row r="195" spans="1:13" s="27" customFormat="1" ht="17.25" customHeight="1">
      <c r="A195" s="1020" t="s">
        <v>292</v>
      </c>
      <c r="B195" s="1025" t="s">
        <v>494</v>
      </c>
      <c r="C195" s="1026">
        <f>VLOOKUP(B192,'CNKT '!$D$16:$AA$96,11,0)</f>
        <v>26</v>
      </c>
      <c r="D195" s="623">
        <f>46.1*$B$2</f>
        <v>30922.036</v>
      </c>
      <c r="E195" s="1023">
        <f>C195*D195</f>
        <v>803972.93599999999</v>
      </c>
      <c r="F195" s="1045"/>
      <c r="G195" s="1020" t="s">
        <v>292</v>
      </c>
      <c r="H195" s="1025" t="s">
        <v>494</v>
      </c>
      <c r="I195" s="1026">
        <f>VLOOKUP(H192,'CNKT '!$D$16:$AA$96,11,0)</f>
        <v>26</v>
      </c>
      <c r="J195" s="623">
        <f>46.1*$B$2</f>
        <v>30922.036</v>
      </c>
      <c r="K195" s="1023">
        <f>I195*J195</f>
        <v>803972.93599999999</v>
      </c>
      <c r="L195" s="1015"/>
    </row>
    <row r="196" spans="1:13" s="27" customFormat="1" ht="17.25" customHeight="1">
      <c r="A196" s="1020" t="s">
        <v>379</v>
      </c>
      <c r="B196" s="1025" t="s">
        <v>495</v>
      </c>
      <c r="C196" s="1026">
        <f>VLOOKUP(B192,'CNKT '!$D$16:$AA$96,12,0)</f>
        <v>2</v>
      </c>
      <c r="D196" s="622">
        <f>76.9*$B$2</f>
        <v>51581.444000000003</v>
      </c>
      <c r="E196" s="1023">
        <f t="shared" ref="E196:E197" si="43">C196*D196</f>
        <v>103162.88800000001</v>
      </c>
      <c r="F196" s="1045"/>
      <c r="G196" s="1020" t="s">
        <v>379</v>
      </c>
      <c r="H196" s="1025" t="s">
        <v>495</v>
      </c>
      <c r="I196" s="1026">
        <f>VLOOKUP(H192,'CNKT '!$D$16:$AA$96,12,0)</f>
        <v>2</v>
      </c>
      <c r="J196" s="622">
        <f>76.9*$B$2</f>
        <v>51581.444000000003</v>
      </c>
      <c r="K196" s="1023">
        <f t="shared" ref="K196:K197" si="44">I196*J196</f>
        <v>103162.88800000001</v>
      </c>
      <c r="L196" s="1015"/>
    </row>
    <row r="197" spans="1:13" s="27" customFormat="1" ht="17.25" customHeight="1">
      <c r="A197" s="1020" t="s">
        <v>73</v>
      </c>
      <c r="B197" s="1025" t="s">
        <v>496</v>
      </c>
      <c r="C197" s="1026">
        <f>VLOOKUP(B192,'CNKT '!$D$16:$AA$96,8,0)</f>
        <v>1822.6013922193158</v>
      </c>
      <c r="D197" s="622">
        <f>IF(C193="A",6.1,IF(C193="B",5.8,IF(C193="C",5.5,IF(C193="C.",5.5,IF(C193="D",5.2)))))*$B$2</f>
        <v>4091.6359999999995</v>
      </c>
      <c r="E197" s="1023">
        <f t="shared" si="43"/>
        <v>7457421.4700546712</v>
      </c>
      <c r="F197" s="1045"/>
      <c r="G197" s="1020" t="s">
        <v>73</v>
      </c>
      <c r="H197" s="1025" t="s">
        <v>496</v>
      </c>
      <c r="I197" s="1026">
        <f>VLOOKUP(H192,'CNKT '!$D$16:$AA$96,8,0)</f>
        <v>1589.3835904495136</v>
      </c>
      <c r="J197" s="622">
        <f>IF(I193="A",6.1,IF(I193="B",5.8,IF(I193="C",5.5,IF(I193="C.",5.5,IF(I193="D",5.2)))))*$B$2</f>
        <v>4091.6359999999995</v>
      </c>
      <c r="K197" s="1023">
        <f t="shared" si="44"/>
        <v>6503179.1164924847</v>
      </c>
      <c r="L197" s="1015"/>
    </row>
    <row r="198" spans="1:13" s="27" customFormat="1" ht="17.25" customHeight="1">
      <c r="A198" s="1089" t="s">
        <v>462</v>
      </c>
      <c r="B198" s="1090" t="s">
        <v>497</v>
      </c>
      <c r="C198" s="1091">
        <f>VLOOKUP(B192,'CNKT '!$D$16:$AA$96,13,0)</f>
        <v>0</v>
      </c>
      <c r="D198" s="1092">
        <v>100000</v>
      </c>
      <c r="E198" s="1093">
        <f>C198*D198</f>
        <v>0</v>
      </c>
      <c r="F198" s="1045"/>
      <c r="G198" s="1089" t="s">
        <v>462</v>
      </c>
      <c r="H198" s="1090" t="s">
        <v>497</v>
      </c>
      <c r="I198" s="1091">
        <f>VLOOKUP(H192,'CNKT '!$D$16:$AA$96,13,0)</f>
        <v>0</v>
      </c>
      <c r="J198" s="1092">
        <v>100000</v>
      </c>
      <c r="K198" s="1093">
        <f>I198*J198</f>
        <v>0</v>
      </c>
      <c r="L198" s="1015"/>
    </row>
    <row r="199" spans="1:13" s="27" customFormat="1" ht="17.25" customHeight="1">
      <c r="A199" s="1020" t="s">
        <v>463</v>
      </c>
      <c r="B199" s="1025" t="s">
        <v>467</v>
      </c>
      <c r="C199" s="1026">
        <f>VLOOKUP(B192,'CNKT '!$D$16:$AA$96,16,0)</f>
        <v>0</v>
      </c>
      <c r="D199" s="622">
        <f>153.8*$B$2</f>
        <v>103162.88800000001</v>
      </c>
      <c r="E199" s="1023">
        <f t="shared" ref="E199" si="45">C199*D199</f>
        <v>0</v>
      </c>
      <c r="F199" s="1045"/>
      <c r="G199" s="1020" t="s">
        <v>463</v>
      </c>
      <c r="H199" s="1025" t="s">
        <v>467</v>
      </c>
      <c r="I199" s="1026">
        <f>VLOOKUP(H192,'CNKT '!$D$16:$AA$96,16,0)</f>
        <v>0</v>
      </c>
      <c r="J199" s="622">
        <f>153.8*$B$2</f>
        <v>103162.88800000001</v>
      </c>
      <c r="K199" s="1023">
        <f t="shared" ref="K199" si="46">I199*J199</f>
        <v>0</v>
      </c>
      <c r="L199" s="1015"/>
    </row>
    <row r="200" spans="1:13" s="27" customFormat="1" ht="17.25" customHeight="1">
      <c r="A200" s="1020" t="s">
        <v>425</v>
      </c>
      <c r="B200" s="1025" t="s">
        <v>468</v>
      </c>
      <c r="C200" s="1026">
        <f>VLOOKUP(B192,'CNKT '!$D$16:$AA$96,18,0)</f>
        <v>2</v>
      </c>
      <c r="D200" s="622">
        <v>10000</v>
      </c>
      <c r="E200" s="1023">
        <f>C200*D200</f>
        <v>20000</v>
      </c>
      <c r="F200" s="1045"/>
      <c r="G200" s="1020" t="s">
        <v>425</v>
      </c>
      <c r="H200" s="1025" t="s">
        <v>468</v>
      </c>
      <c r="I200" s="1026">
        <f>VLOOKUP(H192,'CNKT '!$D$16:$AA$96,18,0)</f>
        <v>2</v>
      </c>
      <c r="J200" s="622">
        <v>10000</v>
      </c>
      <c r="K200" s="1023">
        <f>I200*J200</f>
        <v>20000</v>
      </c>
      <c r="L200" s="1015"/>
    </row>
    <row r="201" spans="1:13" s="27" customFormat="1" ht="17.25" customHeight="1">
      <c r="A201" s="1020" t="s">
        <v>425</v>
      </c>
      <c r="B201" s="1025" t="s">
        <v>468</v>
      </c>
      <c r="C201" s="1026">
        <f>VLOOKUP(B192,'CNKT '!$D$16:$AA$96,19,0)</f>
        <v>0</v>
      </c>
      <c r="D201" s="622">
        <v>20000</v>
      </c>
      <c r="E201" s="1023">
        <f>C201*D201</f>
        <v>0</v>
      </c>
      <c r="F201" s="1045"/>
      <c r="G201" s="1020" t="s">
        <v>425</v>
      </c>
      <c r="H201" s="1025" t="s">
        <v>468</v>
      </c>
      <c r="I201" s="1026">
        <f>VLOOKUP(H192,'CNKT '!$D$16:$AA$96,19,0)</f>
        <v>0</v>
      </c>
      <c r="J201" s="622">
        <v>20000</v>
      </c>
      <c r="K201" s="1023">
        <f>I201*J201</f>
        <v>0</v>
      </c>
      <c r="L201" s="1015"/>
    </row>
    <row r="202" spans="1:13" s="27" customFormat="1" ht="17.25" customHeight="1">
      <c r="A202" s="1020" t="s">
        <v>780</v>
      </c>
      <c r="B202" s="1027" t="s">
        <v>781</v>
      </c>
      <c r="C202" s="1026"/>
      <c r="D202" s="622"/>
      <c r="E202" s="1023">
        <f>VLOOKUP(B192,'CNKT '!$D$16:$AE$99,28,0)</f>
        <v>0</v>
      </c>
      <c r="F202" s="1045"/>
      <c r="G202" s="1020" t="s">
        <v>780</v>
      </c>
      <c r="H202" s="1027" t="s">
        <v>781</v>
      </c>
      <c r="I202" s="1026"/>
      <c r="J202" s="622"/>
      <c r="K202" s="1023">
        <f>VLOOKUP(H192,'CNKT '!$D$16:$AE$99,28,0)</f>
        <v>0</v>
      </c>
      <c r="L202" s="1015"/>
    </row>
    <row r="203" spans="1:13" s="27" customFormat="1" ht="17.25" customHeight="1">
      <c r="A203" s="1028" t="s">
        <v>74</v>
      </c>
      <c r="B203" s="1029" t="s">
        <v>498</v>
      </c>
      <c r="C203" s="1030"/>
      <c r="D203" s="1031"/>
      <c r="E203" s="1030"/>
      <c r="F203" s="1048"/>
      <c r="G203" s="1028" t="s">
        <v>74</v>
      </c>
      <c r="H203" s="1029" t="s">
        <v>498</v>
      </c>
      <c r="I203" s="1030"/>
      <c r="J203" s="1031"/>
      <c r="K203" s="1030"/>
      <c r="L203" s="1015"/>
    </row>
    <row r="204" spans="1:13" s="27" customFormat="1" ht="17.25" customHeight="1">
      <c r="A204" s="1032" t="s">
        <v>75</v>
      </c>
      <c r="B204" s="1033" t="s">
        <v>499</v>
      </c>
      <c r="C204" s="1030"/>
      <c r="D204" s="1030"/>
      <c r="E204" s="1030"/>
      <c r="F204" s="1048"/>
      <c r="G204" s="1032" t="s">
        <v>75</v>
      </c>
      <c r="H204" s="1033" t="s">
        <v>499</v>
      </c>
      <c r="I204" s="1030"/>
      <c r="J204" s="1030"/>
      <c r="K204" s="1030"/>
      <c r="L204" s="1015"/>
    </row>
    <row r="205" spans="1:13" s="27" customFormat="1" ht="17.25" customHeight="1">
      <c r="A205" s="1032" t="s">
        <v>76</v>
      </c>
      <c r="B205" s="1034" t="s">
        <v>500</v>
      </c>
      <c r="C205" s="1030"/>
      <c r="D205" s="1030"/>
      <c r="E205" s="1023">
        <f>SUM(E204)</f>
        <v>0</v>
      </c>
      <c r="F205" s="1048"/>
      <c r="G205" s="1032" t="s">
        <v>76</v>
      </c>
      <c r="H205" s="1034" t="s">
        <v>500</v>
      </c>
      <c r="I205" s="1030"/>
      <c r="J205" s="1030"/>
      <c r="K205" s="1023">
        <f>SUM(K204)</f>
        <v>0</v>
      </c>
      <c r="L205" s="1015"/>
      <c r="M205" s="1035">
        <f>E205+K205</f>
        <v>0</v>
      </c>
    </row>
    <row r="206" spans="1:13" s="27" customFormat="1" ht="17.25" customHeight="1">
      <c r="A206" s="1036" t="s">
        <v>77</v>
      </c>
      <c r="B206" s="1037" t="s">
        <v>412</v>
      </c>
      <c r="C206" s="1038"/>
      <c r="D206" s="1038"/>
      <c r="E206" s="1038">
        <f>(E194+E195+E196+E197+E198+E199+E200+E201+E202)-E205</f>
        <v>8384557.2940546712</v>
      </c>
      <c r="F206" s="1048"/>
      <c r="G206" s="1036" t="s">
        <v>77</v>
      </c>
      <c r="H206" s="1037" t="s">
        <v>412</v>
      </c>
      <c r="I206" s="1038"/>
      <c r="J206" s="1038"/>
      <c r="K206" s="1038">
        <f>(K194+K195+K196+K197+K198+K199+K200+K201+K202)-K205</f>
        <v>7430314.9404924847</v>
      </c>
      <c r="L206" s="1040">
        <f>E206+K206</f>
        <v>15814872.234547157</v>
      </c>
    </row>
    <row r="207" spans="1:13" s="27" customFormat="1" ht="17.25" customHeight="1">
      <c r="A207" s="1045"/>
      <c r="B207" s="1050"/>
      <c r="C207" s="1051"/>
      <c r="D207" s="1051"/>
      <c r="E207" s="1049"/>
      <c r="F207" s="1048"/>
      <c r="G207" s="1045"/>
      <c r="H207" s="1050"/>
      <c r="I207" s="1051"/>
      <c r="J207" s="1049"/>
      <c r="K207" s="1043"/>
      <c r="L207" s="1015"/>
    </row>
    <row r="208" spans="1:13" s="27" customFormat="1" ht="17.25" customHeight="1">
      <c r="A208" s="1611" t="str">
        <f>G191</f>
        <v>LƯƠNG THÁNG 08/2025</v>
      </c>
      <c r="B208" s="1612"/>
      <c r="C208" s="1612"/>
      <c r="D208" s="1612"/>
      <c r="E208" s="1014">
        <v>25</v>
      </c>
      <c r="F208" s="1045"/>
      <c r="G208" s="1611" t="str">
        <f>A208</f>
        <v>LƯƠNG THÁNG 08/2025</v>
      </c>
      <c r="H208" s="1612"/>
      <c r="I208" s="1612"/>
      <c r="J208" s="1613"/>
      <c r="K208" s="1014">
        <v>26</v>
      </c>
      <c r="L208" s="1015"/>
    </row>
    <row r="209" spans="1:13" s="27" customFormat="1" ht="17.25" customHeight="1">
      <c r="A209" s="1044" t="s">
        <v>13</v>
      </c>
      <c r="B209" s="1016" t="str">
        <f>'CNKT '!D40</f>
        <v>N. Nong</v>
      </c>
      <c r="C209" s="1017"/>
      <c r="D209" s="1018" t="s">
        <v>376</v>
      </c>
      <c r="E209" s="1018" t="s">
        <v>16</v>
      </c>
      <c r="F209" s="1045"/>
      <c r="G209" s="1044" t="s">
        <v>13</v>
      </c>
      <c r="H209" s="1016" t="str">
        <f>'CNKT '!D41</f>
        <v>N. Tun 1</v>
      </c>
      <c r="I209" s="1017"/>
      <c r="J209" s="1018" t="s">
        <v>376</v>
      </c>
      <c r="K209" s="1018" t="s">
        <v>16</v>
      </c>
      <c r="L209" s="1015"/>
    </row>
    <row r="210" spans="1:13" s="27" customFormat="1" ht="17.25" customHeight="1">
      <c r="A210" s="1020" t="s">
        <v>377</v>
      </c>
      <c r="B210" s="1021" t="s">
        <v>493</v>
      </c>
      <c r="C210" s="1022" t="str">
        <f>VLOOKUP(B209,'BTH mủ tạp'!$D$17:$AN$94,37,0)</f>
        <v>B</v>
      </c>
      <c r="D210" s="1023"/>
      <c r="E210" s="1023"/>
      <c r="F210" s="1045"/>
      <c r="G210" s="1020" t="s">
        <v>377</v>
      </c>
      <c r="H210" s="1021" t="s">
        <v>493</v>
      </c>
      <c r="I210" s="1022" t="str">
        <f>VLOOKUP(H209,'BTH mủ tạp'!$D$17:$AN$94,37,0)</f>
        <v>A</v>
      </c>
      <c r="J210" s="1023"/>
      <c r="K210" s="1023"/>
      <c r="L210" s="1015"/>
    </row>
    <row r="211" spans="1:13" s="27" customFormat="1" ht="17.25" customHeight="1">
      <c r="A211" s="1020" t="s">
        <v>72</v>
      </c>
      <c r="B211" s="1024" t="s">
        <v>406</v>
      </c>
      <c r="C211" s="621">
        <f>VLOOKUP(B209,'CNKT '!$D$16:$AA$96,3,0)</f>
        <v>0</v>
      </c>
      <c r="D211" s="622">
        <v>25000</v>
      </c>
      <c r="E211" s="1023">
        <f>C211*D211</f>
        <v>0</v>
      </c>
      <c r="F211" s="1045"/>
      <c r="G211" s="1020" t="s">
        <v>72</v>
      </c>
      <c r="H211" s="1024" t="s">
        <v>406</v>
      </c>
      <c r="I211" s="621">
        <f>VLOOKUP(H209,'CNKT '!$D$16:$AA$96,3,0)</f>
        <v>0</v>
      </c>
      <c r="J211" s="622">
        <v>25000</v>
      </c>
      <c r="K211" s="1023">
        <f>I211*J211</f>
        <v>0</v>
      </c>
      <c r="L211" s="1015"/>
    </row>
    <row r="212" spans="1:13" s="27" customFormat="1" ht="17.25" customHeight="1">
      <c r="A212" s="1020" t="s">
        <v>292</v>
      </c>
      <c r="B212" s="1025" t="s">
        <v>494</v>
      </c>
      <c r="C212" s="1026">
        <f>VLOOKUP(B209,'CNKT '!$D$16:$AA$96,11,0)</f>
        <v>26</v>
      </c>
      <c r="D212" s="623">
        <f>46.1*$B$2</f>
        <v>30922.036</v>
      </c>
      <c r="E212" s="1023">
        <f>C212*D212</f>
        <v>803972.93599999999</v>
      </c>
      <c r="F212" s="1048"/>
      <c r="G212" s="1020" t="s">
        <v>292</v>
      </c>
      <c r="H212" s="1025" t="s">
        <v>494</v>
      </c>
      <c r="I212" s="1026">
        <f>VLOOKUP(H209,'CNKT '!$D$16:$AA$96,11,0)</f>
        <v>26</v>
      </c>
      <c r="J212" s="623">
        <f>46.1*$B$2</f>
        <v>30922.036</v>
      </c>
      <c r="K212" s="1023">
        <f>I212*J212</f>
        <v>803972.93599999999</v>
      </c>
      <c r="L212" s="1015"/>
    </row>
    <row r="213" spans="1:13" s="27" customFormat="1" ht="17.25" customHeight="1">
      <c r="A213" s="1020" t="s">
        <v>379</v>
      </c>
      <c r="B213" s="1025" t="s">
        <v>495</v>
      </c>
      <c r="C213" s="1026">
        <f>VLOOKUP(B209,'CNKT '!$D$16:$AA$96,12,0)</f>
        <v>2</v>
      </c>
      <c r="D213" s="622">
        <f>76.9*$B$2</f>
        <v>51581.444000000003</v>
      </c>
      <c r="E213" s="1023">
        <f t="shared" ref="E213:E214" si="47">C213*D213</f>
        <v>103162.88800000001</v>
      </c>
      <c r="F213" s="1041"/>
      <c r="G213" s="1020" t="s">
        <v>379</v>
      </c>
      <c r="H213" s="1025" t="s">
        <v>495</v>
      </c>
      <c r="I213" s="1026">
        <f>VLOOKUP(H209,'CNKT '!$D$16:$AA$96,12,0)</f>
        <v>2</v>
      </c>
      <c r="J213" s="622">
        <f>76.9*$B$2</f>
        <v>51581.444000000003</v>
      </c>
      <c r="K213" s="1023">
        <f t="shared" ref="K213:K214" si="48">I213*J213</f>
        <v>103162.88800000001</v>
      </c>
      <c r="L213" s="1015"/>
    </row>
    <row r="214" spans="1:13" s="27" customFormat="1" ht="17.25" customHeight="1">
      <c r="A214" s="1020" t="s">
        <v>73</v>
      </c>
      <c r="B214" s="1025" t="s">
        <v>496</v>
      </c>
      <c r="C214" s="1026">
        <f>VLOOKUP(B209,'CNKT '!$D$16:$AA$96,8,0)</f>
        <v>1716.2438232803399</v>
      </c>
      <c r="D214" s="622">
        <f>IF(C210="A",6.1,IF(C210="B",5.8,IF(C210="C",5.5,IF(C210="C.",5.5,IF(C210="D",5.2)))))*$B$2</f>
        <v>3890.4079999999999</v>
      </c>
      <c r="E214" s="1023">
        <f t="shared" si="47"/>
        <v>6676888.7000404205</v>
      </c>
      <c r="F214" s="1049"/>
      <c r="G214" s="1020" t="s">
        <v>73</v>
      </c>
      <c r="H214" s="1025" t="s">
        <v>496</v>
      </c>
      <c r="I214" s="1026">
        <f>VLOOKUP(H209,'CNKT '!$D$16:$AA$96,8,0)</f>
        <v>1764.5105111924054</v>
      </c>
      <c r="J214" s="622">
        <f>IF(I210="A",6.1,IF(I210="B",5.8,IF(I210="C",5.5,IF(I210="C.",5.5,IF(I210="D",5.2)))))*$B$2</f>
        <v>4091.6359999999995</v>
      </c>
      <c r="K214" s="1023">
        <f t="shared" si="48"/>
        <v>7219734.7299732482</v>
      </c>
      <c r="L214" s="1015"/>
    </row>
    <row r="215" spans="1:13" s="27" customFormat="1" ht="17.25" customHeight="1">
      <c r="A215" s="1089" t="s">
        <v>462</v>
      </c>
      <c r="B215" s="1090" t="s">
        <v>497</v>
      </c>
      <c r="C215" s="1091">
        <f>VLOOKUP(B209,'CNKT '!$D$16:$AA$96,13,0)</f>
        <v>0</v>
      </c>
      <c r="D215" s="1092">
        <v>100000</v>
      </c>
      <c r="E215" s="1093">
        <f>C215*D215</f>
        <v>0</v>
      </c>
      <c r="F215" s="1049"/>
      <c r="G215" s="1089" t="s">
        <v>462</v>
      </c>
      <c r="H215" s="1090" t="s">
        <v>497</v>
      </c>
      <c r="I215" s="1091">
        <f>VLOOKUP(H209,'CNKT '!$D$16:$AA$96,13,0)</f>
        <v>0</v>
      </c>
      <c r="J215" s="1092">
        <v>100000</v>
      </c>
      <c r="K215" s="1093">
        <f>I215*J215</f>
        <v>0</v>
      </c>
      <c r="L215" s="1015"/>
    </row>
    <row r="216" spans="1:13" s="27" customFormat="1" ht="17.25" customHeight="1">
      <c r="A216" s="1020" t="s">
        <v>463</v>
      </c>
      <c r="B216" s="1025" t="s">
        <v>467</v>
      </c>
      <c r="C216" s="1026">
        <f>VLOOKUP(B209,'CNKT '!$D$16:$AA$96,16,0)</f>
        <v>0</v>
      </c>
      <c r="D216" s="622">
        <f>153.8*$B$2</f>
        <v>103162.88800000001</v>
      </c>
      <c r="E216" s="1023">
        <f t="shared" ref="E216" si="49">C216*D216</f>
        <v>0</v>
      </c>
      <c r="F216" s="1049"/>
      <c r="G216" s="1020" t="s">
        <v>463</v>
      </c>
      <c r="H216" s="1025" t="s">
        <v>467</v>
      </c>
      <c r="I216" s="1026">
        <f>VLOOKUP(H209,'CNKT '!$D$16:$AA$96,16,0)</f>
        <v>0</v>
      </c>
      <c r="J216" s="622">
        <f>153.8*$B$2</f>
        <v>103162.88800000001</v>
      </c>
      <c r="K216" s="1023">
        <f t="shared" ref="K216" si="50">I216*J216</f>
        <v>0</v>
      </c>
      <c r="L216" s="1015"/>
    </row>
    <row r="217" spans="1:13" s="27" customFormat="1" ht="17.25" customHeight="1">
      <c r="A217" s="1020" t="s">
        <v>425</v>
      </c>
      <c r="B217" s="1025" t="s">
        <v>468</v>
      </c>
      <c r="C217" s="1026">
        <f>VLOOKUP(B209,'CNKT '!$D$16:$AA$96,18,0)</f>
        <v>2</v>
      </c>
      <c r="D217" s="622">
        <v>10000</v>
      </c>
      <c r="E217" s="1023">
        <f>C217*D217</f>
        <v>20000</v>
      </c>
      <c r="F217" s="1049"/>
      <c r="G217" s="1020" t="s">
        <v>425</v>
      </c>
      <c r="H217" s="1025" t="s">
        <v>468</v>
      </c>
      <c r="I217" s="1026">
        <f>VLOOKUP(H209,'CNKT '!$D$16:$AA$96,18,0)</f>
        <v>2</v>
      </c>
      <c r="J217" s="622">
        <v>10000</v>
      </c>
      <c r="K217" s="1023">
        <f>I217*J217</f>
        <v>20000</v>
      </c>
      <c r="L217" s="1015"/>
    </row>
    <row r="218" spans="1:13" s="27" customFormat="1" ht="17.25" customHeight="1">
      <c r="A218" s="1020" t="s">
        <v>425</v>
      </c>
      <c r="B218" s="1025" t="s">
        <v>468</v>
      </c>
      <c r="C218" s="1026">
        <f>VLOOKUP(B209,'CNKT '!$D$16:$AA$96,19,0)</f>
        <v>0</v>
      </c>
      <c r="D218" s="622">
        <v>20000</v>
      </c>
      <c r="E218" s="1023">
        <f>C218*D218</f>
        <v>0</v>
      </c>
      <c r="F218" s="1049"/>
      <c r="G218" s="1020" t="s">
        <v>425</v>
      </c>
      <c r="H218" s="1025" t="s">
        <v>468</v>
      </c>
      <c r="I218" s="1026">
        <f>VLOOKUP(H209,'CNKT '!$D$16:$AA$96,19,0)</f>
        <v>0</v>
      </c>
      <c r="J218" s="622">
        <v>20000</v>
      </c>
      <c r="K218" s="1023">
        <f>I218*J218</f>
        <v>0</v>
      </c>
      <c r="L218" s="1015"/>
    </row>
    <row r="219" spans="1:13" s="27" customFormat="1" ht="17.25" customHeight="1">
      <c r="A219" s="1020" t="s">
        <v>780</v>
      </c>
      <c r="B219" s="1027" t="s">
        <v>781</v>
      </c>
      <c r="C219" s="1026"/>
      <c r="D219" s="622"/>
      <c r="E219" s="1023">
        <f>VLOOKUP(B209,'CNKT '!$D$16:$AE$99,28,0)</f>
        <v>0</v>
      </c>
      <c r="F219" s="1049"/>
      <c r="G219" s="1020" t="s">
        <v>780</v>
      </c>
      <c r="H219" s="1027" t="s">
        <v>781</v>
      </c>
      <c r="I219" s="1026"/>
      <c r="J219" s="622"/>
      <c r="K219" s="1023">
        <f>VLOOKUP(H209,'CNKT '!$D$16:$AE$99,28,0)</f>
        <v>0</v>
      </c>
      <c r="L219" s="1015"/>
    </row>
    <row r="220" spans="1:13" s="27" customFormat="1" ht="17.25" customHeight="1">
      <c r="A220" s="1028" t="s">
        <v>74</v>
      </c>
      <c r="B220" s="1029" t="s">
        <v>498</v>
      </c>
      <c r="C220" s="1030"/>
      <c r="D220" s="1031"/>
      <c r="E220" s="1030"/>
      <c r="F220" s="1049"/>
      <c r="G220" s="1028" t="s">
        <v>74</v>
      </c>
      <c r="H220" s="1029" t="s">
        <v>498</v>
      </c>
      <c r="I220" s="1030"/>
      <c r="J220" s="1031"/>
      <c r="K220" s="1030"/>
      <c r="L220" s="1015"/>
    </row>
    <row r="221" spans="1:13" s="27" customFormat="1" ht="17.25" customHeight="1">
      <c r="A221" s="1032" t="s">
        <v>75</v>
      </c>
      <c r="B221" s="1033" t="s">
        <v>499</v>
      </c>
      <c r="C221" s="1030"/>
      <c r="D221" s="1030"/>
      <c r="E221" s="1030"/>
      <c r="F221" s="1049"/>
      <c r="G221" s="1032" t="s">
        <v>75</v>
      </c>
      <c r="H221" s="1033" t="s">
        <v>499</v>
      </c>
      <c r="I221" s="1030"/>
      <c r="J221" s="1030"/>
      <c r="K221" s="1030"/>
      <c r="L221" s="1015"/>
    </row>
    <row r="222" spans="1:13" s="27" customFormat="1" ht="17.25" customHeight="1">
      <c r="A222" s="1032" t="s">
        <v>76</v>
      </c>
      <c r="B222" s="1034" t="s">
        <v>500</v>
      </c>
      <c r="C222" s="1030"/>
      <c r="D222" s="1030"/>
      <c r="E222" s="1023">
        <f>SUM(E221)</f>
        <v>0</v>
      </c>
      <c r="F222" s="1049"/>
      <c r="G222" s="1032" t="s">
        <v>76</v>
      </c>
      <c r="H222" s="1034" t="s">
        <v>500</v>
      </c>
      <c r="I222" s="1030"/>
      <c r="J222" s="1030"/>
      <c r="K222" s="1023">
        <f>SUM(K221)</f>
        <v>0</v>
      </c>
      <c r="L222" s="1015"/>
      <c r="M222" s="1035">
        <f>E222+K222</f>
        <v>0</v>
      </c>
    </row>
    <row r="223" spans="1:13" s="27" customFormat="1" ht="17.25" customHeight="1">
      <c r="A223" s="1036" t="s">
        <v>77</v>
      </c>
      <c r="B223" s="1037" t="s">
        <v>412</v>
      </c>
      <c r="C223" s="1038"/>
      <c r="D223" s="1038"/>
      <c r="E223" s="1038">
        <f>(E211+E212+E213+E214+E215+E216+E217+E218+E219)-E222</f>
        <v>7604024.5240404205</v>
      </c>
      <c r="F223" s="1049"/>
      <c r="G223" s="1036" t="s">
        <v>77</v>
      </c>
      <c r="H223" s="1037" t="s">
        <v>412</v>
      </c>
      <c r="I223" s="1038"/>
      <c r="J223" s="1038"/>
      <c r="K223" s="1038">
        <f>(K211+K212+K213+K214+K215+K216+K217+K218+K219)-K222</f>
        <v>8146870.5539732482</v>
      </c>
      <c r="L223" s="1040">
        <f>E223+K223</f>
        <v>15750895.07801367</v>
      </c>
    </row>
    <row r="224" spans="1:13" s="27" customFormat="1" ht="17.25" customHeight="1">
      <c r="A224" s="1045"/>
      <c r="B224" s="1050"/>
      <c r="C224" s="1051"/>
      <c r="D224" s="1051"/>
      <c r="E224" s="1049"/>
      <c r="F224" s="1049"/>
      <c r="G224" s="1045"/>
      <c r="H224" s="1050"/>
      <c r="I224" s="1051"/>
      <c r="J224" s="1049"/>
      <c r="K224" s="1043"/>
      <c r="L224" s="1015"/>
    </row>
    <row r="225" spans="1:13" s="27" customFormat="1" ht="17.25" customHeight="1">
      <c r="A225" s="1035"/>
      <c r="B225" s="1048"/>
      <c r="C225" s="1041"/>
      <c r="D225" s="1041"/>
      <c r="E225" s="1041"/>
      <c r="F225" s="1045"/>
      <c r="G225" s="1035"/>
      <c r="H225" s="1048"/>
      <c r="I225" s="1041"/>
      <c r="J225" s="1041"/>
      <c r="K225" s="1043"/>
      <c r="L225" s="1015"/>
    </row>
    <row r="226" spans="1:13" s="27" customFormat="1" ht="17.25" customHeight="1">
      <c r="A226" s="1611" t="str">
        <f>G208</f>
        <v>LƯƠNG THÁNG 08/2025</v>
      </c>
      <c r="B226" s="1612"/>
      <c r="C226" s="1612"/>
      <c r="D226" s="1612"/>
      <c r="E226" s="1014">
        <v>27</v>
      </c>
      <c r="F226" s="1045"/>
      <c r="G226" s="1611" t="str">
        <f>A226</f>
        <v>LƯƠNG THÁNG 08/2025</v>
      </c>
      <c r="H226" s="1612"/>
      <c r="I226" s="1612"/>
      <c r="J226" s="1613"/>
      <c r="K226" s="1014">
        <v>28</v>
      </c>
      <c r="L226" s="1015"/>
    </row>
    <row r="227" spans="1:13" s="27" customFormat="1" ht="17.25" customHeight="1">
      <c r="A227" s="1044" t="s">
        <v>13</v>
      </c>
      <c r="B227" s="1016" t="str">
        <f>'CNKT '!D42</f>
        <v>T . Lốc</v>
      </c>
      <c r="C227" s="1017"/>
      <c r="D227" s="1018" t="s">
        <v>376</v>
      </c>
      <c r="E227" s="1018" t="s">
        <v>16</v>
      </c>
      <c r="F227" s="1048"/>
      <c r="G227" s="1044" t="s">
        <v>13</v>
      </c>
      <c r="H227" s="1016" t="str">
        <f>'CNKT '!D43</f>
        <v>N . Khâm (1)</v>
      </c>
      <c r="I227" s="1017"/>
      <c r="J227" s="1018" t="s">
        <v>376</v>
      </c>
      <c r="K227" s="1018" t="s">
        <v>16</v>
      </c>
      <c r="L227" s="1015"/>
    </row>
    <row r="228" spans="1:13" s="27" customFormat="1" ht="17.25" customHeight="1">
      <c r="A228" s="1020" t="s">
        <v>377</v>
      </c>
      <c r="B228" s="1021" t="s">
        <v>493</v>
      </c>
      <c r="C228" s="1022" t="str">
        <f>VLOOKUP(B227,'BTH mủ tạp'!$D$17:$AN$94,37,0)</f>
        <v>A</v>
      </c>
      <c r="D228" s="1023"/>
      <c r="E228" s="1023"/>
      <c r="F228" s="1048"/>
      <c r="G228" s="1020" t="s">
        <v>377</v>
      </c>
      <c r="H228" s="1021" t="s">
        <v>493</v>
      </c>
      <c r="I228" s="1022" t="str">
        <f>VLOOKUP(H227,'BTH mủ tạp'!$D$17:$AN$94,37,0)</f>
        <v>A</v>
      </c>
      <c r="J228" s="1023"/>
      <c r="K228" s="1023"/>
      <c r="L228" s="1015"/>
    </row>
    <row r="229" spans="1:13" s="27" customFormat="1" ht="17.25" customHeight="1">
      <c r="A229" s="1020" t="s">
        <v>72</v>
      </c>
      <c r="B229" s="1024" t="s">
        <v>406</v>
      </c>
      <c r="C229" s="621">
        <f>VLOOKUP(B227,'CNKT '!$D$16:$AA$96,3,0)</f>
        <v>0</v>
      </c>
      <c r="D229" s="622">
        <v>25000</v>
      </c>
      <c r="E229" s="1023">
        <f>C229*D229</f>
        <v>0</v>
      </c>
      <c r="F229" s="1041"/>
      <c r="G229" s="1020" t="s">
        <v>72</v>
      </c>
      <c r="H229" s="1024" t="s">
        <v>406</v>
      </c>
      <c r="I229" s="621">
        <f>VLOOKUP(H227,'CNKT '!$D$16:$AA$96,3,0)</f>
        <v>0</v>
      </c>
      <c r="J229" s="622">
        <v>25000</v>
      </c>
      <c r="K229" s="1023">
        <f>I229*J229</f>
        <v>0</v>
      </c>
      <c r="L229" s="1015"/>
    </row>
    <row r="230" spans="1:13" s="27" customFormat="1" ht="17.25" customHeight="1">
      <c r="A230" s="1020" t="s">
        <v>292</v>
      </c>
      <c r="B230" s="1025" t="s">
        <v>494</v>
      </c>
      <c r="C230" s="1026">
        <f>VLOOKUP(B227,'CNKT '!$D$16:$AA$96,11,0)</f>
        <v>26</v>
      </c>
      <c r="D230" s="623">
        <f>46.1*$B$2</f>
        <v>30922.036</v>
      </c>
      <c r="E230" s="1023">
        <f>C230*D230</f>
        <v>803972.93599999999</v>
      </c>
      <c r="F230" s="1041"/>
      <c r="G230" s="1020" t="s">
        <v>292</v>
      </c>
      <c r="H230" s="1025" t="s">
        <v>494</v>
      </c>
      <c r="I230" s="1026">
        <f>VLOOKUP(H227,'CNKT '!$D$16:$AA$96,11,0)</f>
        <v>24</v>
      </c>
      <c r="J230" s="623">
        <f>46.1*$B$2</f>
        <v>30922.036</v>
      </c>
      <c r="K230" s="1023">
        <f>I230*J230</f>
        <v>742128.86400000006</v>
      </c>
      <c r="L230" s="1015"/>
    </row>
    <row r="231" spans="1:13" s="27" customFormat="1" ht="17.25" customHeight="1">
      <c r="A231" s="1020" t="s">
        <v>379</v>
      </c>
      <c r="B231" s="1025" t="s">
        <v>495</v>
      </c>
      <c r="C231" s="1026">
        <f>VLOOKUP(B227,'CNKT '!$D$16:$AA$96,12,0)</f>
        <v>2</v>
      </c>
      <c r="D231" s="622">
        <f>76.9*$B$2</f>
        <v>51581.444000000003</v>
      </c>
      <c r="E231" s="1023">
        <f t="shared" ref="E231:E232" si="51">C231*D231</f>
        <v>103162.88800000001</v>
      </c>
      <c r="G231" s="1020" t="s">
        <v>379</v>
      </c>
      <c r="H231" s="1025" t="s">
        <v>495</v>
      </c>
      <c r="I231" s="1026">
        <f>VLOOKUP(H227,'CNKT '!$D$16:$AA$96,12,0)</f>
        <v>2</v>
      </c>
      <c r="J231" s="622">
        <f>76.9*$B$2</f>
        <v>51581.444000000003</v>
      </c>
      <c r="K231" s="1023">
        <f t="shared" ref="K231:K232" si="52">I231*J231</f>
        <v>103162.88800000001</v>
      </c>
      <c r="L231" s="1015"/>
    </row>
    <row r="232" spans="1:13" s="27" customFormat="1" ht="17.25" customHeight="1">
      <c r="A232" s="1020" t="s">
        <v>73</v>
      </c>
      <c r="B232" s="1025" t="s">
        <v>496</v>
      </c>
      <c r="C232" s="1026">
        <f>VLOOKUP(B227,'CNKT '!$D$16:$AA$96,8,0)</f>
        <v>1758.9577063883623</v>
      </c>
      <c r="D232" s="622">
        <f>IF(C228="A",6.1,IF(C228="B",5.8,IF(C228="C",5.5,IF(C228="C.",5.5,IF(C228="D",5.2)))))*$B$2</f>
        <v>4091.6359999999995</v>
      </c>
      <c r="E232" s="1023">
        <f t="shared" si="51"/>
        <v>7197014.6739360522</v>
      </c>
      <c r="F232" s="1041"/>
      <c r="G232" s="1020" t="s">
        <v>73</v>
      </c>
      <c r="H232" s="1025" t="s">
        <v>496</v>
      </c>
      <c r="I232" s="1026">
        <f>VLOOKUP(H227,'CNKT '!$D$16:$AA$96,8,0)</f>
        <v>1870.868080131381</v>
      </c>
      <c r="J232" s="622">
        <f>IF(I228="A",6.1,IF(I228="B",5.8,IF(I228="C",5.5,IF(I228="C.",5.5,IF(I228="D",5.2)))))*$B$2</f>
        <v>4091.6359999999995</v>
      </c>
      <c r="K232" s="1023">
        <f t="shared" si="52"/>
        <v>7654911.1879164428</v>
      </c>
      <c r="L232" s="1015"/>
    </row>
    <row r="233" spans="1:13" s="27" customFormat="1" ht="17.25" customHeight="1">
      <c r="A233" s="1089" t="s">
        <v>462</v>
      </c>
      <c r="B233" s="1090" t="s">
        <v>497</v>
      </c>
      <c r="C233" s="1091">
        <f>VLOOKUP(B227,'CNKT '!$D$16:$AA$96,13,0)</f>
        <v>0</v>
      </c>
      <c r="D233" s="1092">
        <v>100000</v>
      </c>
      <c r="E233" s="1093">
        <f>C233*D233</f>
        <v>0</v>
      </c>
      <c r="F233" s="1041"/>
      <c r="G233" s="1089" t="s">
        <v>462</v>
      </c>
      <c r="H233" s="1090" t="s">
        <v>497</v>
      </c>
      <c r="I233" s="1091">
        <f>VLOOKUP(H227,'CNKT '!$D$16:$AA$96,13,0)</f>
        <v>0</v>
      </c>
      <c r="J233" s="1092">
        <v>100000</v>
      </c>
      <c r="K233" s="1093">
        <f>I233*J233</f>
        <v>0</v>
      </c>
      <c r="L233" s="1015"/>
    </row>
    <row r="234" spans="1:13" s="27" customFormat="1" ht="17.25" customHeight="1">
      <c r="A234" s="1020" t="s">
        <v>463</v>
      </c>
      <c r="B234" s="1025" t="s">
        <v>467</v>
      </c>
      <c r="C234" s="1026">
        <f>VLOOKUP(B227,'CNKT '!$D$16:$AA$96,16,0)</f>
        <v>0</v>
      </c>
      <c r="D234" s="622">
        <f>153.8*$B$2</f>
        <v>103162.88800000001</v>
      </c>
      <c r="E234" s="1023">
        <f t="shared" ref="E234" si="53">C234*D234</f>
        <v>0</v>
      </c>
      <c r="F234" s="1041"/>
      <c r="G234" s="1020" t="s">
        <v>463</v>
      </c>
      <c r="H234" s="1025" t="s">
        <v>467</v>
      </c>
      <c r="I234" s="1026">
        <f>VLOOKUP(H227,'CNKT '!$D$16:$AA$96,16,0)</f>
        <v>0</v>
      </c>
      <c r="J234" s="622">
        <f>153.8*$B$2</f>
        <v>103162.88800000001</v>
      </c>
      <c r="K234" s="1023">
        <f t="shared" ref="K234" si="54">I234*J234</f>
        <v>0</v>
      </c>
      <c r="L234" s="1015"/>
    </row>
    <row r="235" spans="1:13" s="27" customFormat="1" ht="17.25" customHeight="1">
      <c r="A235" s="1020" t="s">
        <v>425</v>
      </c>
      <c r="B235" s="1025" t="s">
        <v>468</v>
      </c>
      <c r="C235" s="1026">
        <f>VLOOKUP(B227,'CNKT '!$D$16:$AA$96,18,0)</f>
        <v>2</v>
      </c>
      <c r="D235" s="622">
        <v>10000</v>
      </c>
      <c r="E235" s="1023">
        <f>C235*D235</f>
        <v>20000</v>
      </c>
      <c r="F235" s="1041"/>
      <c r="G235" s="1020" t="s">
        <v>425</v>
      </c>
      <c r="H235" s="1025" t="s">
        <v>468</v>
      </c>
      <c r="I235" s="1026">
        <f>VLOOKUP(H227,'CNKT '!$D$16:$AA$96,18,0)</f>
        <v>2</v>
      </c>
      <c r="J235" s="622">
        <v>10000</v>
      </c>
      <c r="K235" s="1023">
        <f>I235*J235</f>
        <v>20000</v>
      </c>
      <c r="L235" s="1015"/>
    </row>
    <row r="236" spans="1:13" s="27" customFormat="1" ht="17.25" customHeight="1">
      <c r="A236" s="1020" t="s">
        <v>425</v>
      </c>
      <c r="B236" s="1025" t="s">
        <v>468</v>
      </c>
      <c r="C236" s="1026">
        <f>VLOOKUP(B227,'CNKT '!$D$16:$AA$96,19,0)</f>
        <v>0</v>
      </c>
      <c r="D236" s="622">
        <v>20000</v>
      </c>
      <c r="E236" s="1023">
        <f>C236*D236</f>
        <v>0</v>
      </c>
      <c r="F236" s="1041"/>
      <c r="G236" s="1020" t="s">
        <v>425</v>
      </c>
      <c r="H236" s="1025" t="s">
        <v>468</v>
      </c>
      <c r="I236" s="1026">
        <f>VLOOKUP(H227,'CNKT '!$D$16:$AA$96,19,0)</f>
        <v>0</v>
      </c>
      <c r="J236" s="622">
        <v>20000</v>
      </c>
      <c r="K236" s="1023">
        <f>I236*J236</f>
        <v>0</v>
      </c>
      <c r="L236" s="1015"/>
    </row>
    <row r="237" spans="1:13" s="27" customFormat="1" ht="17.25" customHeight="1">
      <c r="A237" s="1020" t="s">
        <v>780</v>
      </c>
      <c r="B237" s="1027" t="s">
        <v>781</v>
      </c>
      <c r="C237" s="1026"/>
      <c r="D237" s="622"/>
      <c r="E237" s="1023">
        <f>VLOOKUP(B227,'CNKT '!$D$16:$AE$99,28,0)</f>
        <v>0</v>
      </c>
      <c r="F237" s="1041"/>
      <c r="G237" s="1020" t="s">
        <v>780</v>
      </c>
      <c r="H237" s="1027" t="s">
        <v>781</v>
      </c>
      <c r="I237" s="1026"/>
      <c r="J237" s="622"/>
      <c r="K237" s="1023">
        <f>VLOOKUP(H227,'CNKT '!$D$16:$AE$99,28,0)</f>
        <v>0</v>
      </c>
      <c r="L237" s="1015"/>
    </row>
    <row r="238" spans="1:13" s="27" customFormat="1" ht="17.25" customHeight="1">
      <c r="A238" s="1028" t="s">
        <v>74</v>
      </c>
      <c r="B238" s="1029" t="s">
        <v>498</v>
      </c>
      <c r="C238" s="1030"/>
      <c r="D238" s="1031"/>
      <c r="E238" s="1030"/>
      <c r="F238" s="1045"/>
      <c r="G238" s="1028" t="s">
        <v>74</v>
      </c>
      <c r="H238" s="1029" t="s">
        <v>498</v>
      </c>
      <c r="I238" s="1030"/>
      <c r="J238" s="1031"/>
      <c r="K238" s="1030"/>
      <c r="L238" s="1015"/>
    </row>
    <row r="239" spans="1:13" s="27" customFormat="1" ht="17.25" customHeight="1">
      <c r="A239" s="1032" t="s">
        <v>75</v>
      </c>
      <c r="B239" s="1033" t="s">
        <v>499</v>
      </c>
      <c r="C239" s="1030"/>
      <c r="D239" s="1030"/>
      <c r="E239" s="1030"/>
      <c r="F239" s="1045"/>
      <c r="G239" s="1032" t="s">
        <v>75</v>
      </c>
      <c r="H239" s="1033" t="s">
        <v>499</v>
      </c>
      <c r="I239" s="1030"/>
      <c r="J239" s="1030"/>
      <c r="K239" s="1030"/>
      <c r="L239" s="1015"/>
    </row>
    <row r="240" spans="1:13" s="27" customFormat="1" ht="17.25" customHeight="1">
      <c r="A240" s="1032" t="s">
        <v>76</v>
      </c>
      <c r="B240" s="1034" t="s">
        <v>500</v>
      </c>
      <c r="C240" s="1030"/>
      <c r="D240" s="1030"/>
      <c r="E240" s="1023">
        <f>SUM(E239)</f>
        <v>0</v>
      </c>
      <c r="F240" s="1045"/>
      <c r="G240" s="1032" t="s">
        <v>76</v>
      </c>
      <c r="H240" s="1034" t="s">
        <v>500</v>
      </c>
      <c r="I240" s="1030"/>
      <c r="J240" s="1030"/>
      <c r="K240" s="1023">
        <f>SUM(K239)</f>
        <v>0</v>
      </c>
      <c r="L240" s="1015"/>
      <c r="M240" s="1035">
        <f>E240+K240</f>
        <v>0</v>
      </c>
    </row>
    <row r="241" spans="1:12" s="27" customFormat="1" ht="17.25" customHeight="1">
      <c r="A241" s="1036" t="s">
        <v>77</v>
      </c>
      <c r="B241" s="1037" t="s">
        <v>412</v>
      </c>
      <c r="C241" s="1038"/>
      <c r="D241" s="1038"/>
      <c r="E241" s="1038">
        <f>(E229+E230+E231+E232+E233+E234+E235+E236+E237)-E240</f>
        <v>8124150.4979360523</v>
      </c>
      <c r="F241" s="1045"/>
      <c r="G241" s="1036" t="s">
        <v>77</v>
      </c>
      <c r="H241" s="1037" t="s">
        <v>412</v>
      </c>
      <c r="I241" s="1038"/>
      <c r="J241" s="1038"/>
      <c r="K241" s="1038">
        <f>(K229+K230+K231+K232+K233+K234+K235+K236+K237)-K240</f>
        <v>8520202.9399164431</v>
      </c>
      <c r="L241" s="1040">
        <f>E241+K241</f>
        <v>16644353.437852494</v>
      </c>
    </row>
    <row r="242" spans="1:12" s="27" customFormat="1" ht="192" customHeight="1">
      <c r="A242" s="1045"/>
      <c r="B242" s="1050"/>
      <c r="C242" s="1051"/>
      <c r="D242" s="1051"/>
      <c r="E242" s="1049"/>
      <c r="F242" s="1045"/>
      <c r="G242" s="1045"/>
      <c r="H242" s="1050"/>
      <c r="I242" s="1051"/>
      <c r="J242" s="1049"/>
      <c r="K242" s="1043"/>
      <c r="L242" s="1015"/>
    </row>
    <row r="243" spans="1:12" s="27" customFormat="1" ht="17.25" customHeight="1">
      <c r="A243" s="1611" t="str">
        <f>G226</f>
        <v>LƯƠNG THÁNG 08/2025</v>
      </c>
      <c r="B243" s="1612"/>
      <c r="C243" s="1612"/>
      <c r="D243" s="1612"/>
      <c r="E243" s="1014">
        <v>29</v>
      </c>
      <c r="F243" s="1041"/>
      <c r="G243" s="1611" t="str">
        <f>A243</f>
        <v>LƯƠNG THÁNG 08/2025</v>
      </c>
      <c r="H243" s="1612"/>
      <c r="I243" s="1612"/>
      <c r="J243" s="1613"/>
      <c r="K243" s="1014">
        <v>30</v>
      </c>
      <c r="L243" s="1015"/>
    </row>
    <row r="244" spans="1:12" s="27" customFormat="1" ht="17.25" customHeight="1">
      <c r="A244" s="1044" t="s">
        <v>13</v>
      </c>
      <c r="B244" s="1016" t="str">
        <f>'CNKT '!D44</f>
        <v>T . Phết</v>
      </c>
      <c r="C244" s="1017"/>
      <c r="D244" s="1018" t="s">
        <v>376</v>
      </c>
      <c r="E244" s="1018" t="s">
        <v>16</v>
      </c>
      <c r="F244" s="1041"/>
      <c r="G244" s="1044" t="s">
        <v>13</v>
      </c>
      <c r="H244" s="1016" t="str">
        <f>'CNKT '!D45</f>
        <v>T. Viêng Sa Văn</v>
      </c>
      <c r="I244" s="1017"/>
      <c r="J244" s="1018" t="s">
        <v>376</v>
      </c>
      <c r="K244" s="1018" t="s">
        <v>16</v>
      </c>
      <c r="L244" s="1015"/>
    </row>
    <row r="245" spans="1:12" s="27" customFormat="1" ht="17.25" customHeight="1">
      <c r="A245" s="1020" t="s">
        <v>377</v>
      </c>
      <c r="B245" s="1021" t="s">
        <v>493</v>
      </c>
      <c r="C245" s="1022" t="str">
        <f>VLOOKUP(B244,'BTH mủ tạp'!$D$17:$AN$94,37,0)</f>
        <v>A</v>
      </c>
      <c r="D245" s="1023"/>
      <c r="E245" s="1023"/>
      <c r="F245" s="1049"/>
      <c r="G245" s="1020" t="s">
        <v>377</v>
      </c>
      <c r="H245" s="1021" t="s">
        <v>493</v>
      </c>
      <c r="I245" s="1022" t="str">
        <f>VLOOKUP(H244,'BTH mủ tạp'!$D$17:$AN$94,37,0)</f>
        <v>A</v>
      </c>
      <c r="J245" s="1023"/>
      <c r="K245" s="1023"/>
      <c r="L245" s="1015"/>
    </row>
    <row r="246" spans="1:12" s="27" customFormat="1" ht="17.25" customHeight="1">
      <c r="A246" s="1020" t="s">
        <v>72</v>
      </c>
      <c r="B246" s="1024" t="s">
        <v>406</v>
      </c>
      <c r="C246" s="621">
        <f>VLOOKUP(B244,'CNKT '!$D$16:$AA$96,3,0)</f>
        <v>0</v>
      </c>
      <c r="D246" s="622">
        <v>25000</v>
      </c>
      <c r="E246" s="1023">
        <f>C246*D246</f>
        <v>0</v>
      </c>
      <c r="F246" s="1041"/>
      <c r="G246" s="1020" t="s">
        <v>72</v>
      </c>
      <c r="H246" s="1024" t="s">
        <v>406</v>
      </c>
      <c r="I246" s="621">
        <f>VLOOKUP(H244,'CNKT '!$D$16:$AA$96,3,0)</f>
        <v>0</v>
      </c>
      <c r="J246" s="622">
        <v>25000</v>
      </c>
      <c r="K246" s="1023">
        <f>I246*J246</f>
        <v>0</v>
      </c>
      <c r="L246" s="1015"/>
    </row>
    <row r="247" spans="1:12" s="27" customFormat="1" ht="17.25" customHeight="1">
      <c r="A247" s="1020" t="s">
        <v>292</v>
      </c>
      <c r="B247" s="1025" t="s">
        <v>494</v>
      </c>
      <c r="C247" s="1026">
        <f>VLOOKUP(B244,'CNKT '!$D$16:$AA$96,11,0)</f>
        <v>24</v>
      </c>
      <c r="D247" s="623">
        <f>46.1*$B$2</f>
        <v>30922.036</v>
      </c>
      <c r="E247" s="1023">
        <f>C247*D247</f>
        <v>742128.86400000006</v>
      </c>
      <c r="F247" s="1045"/>
      <c r="G247" s="1020" t="s">
        <v>292</v>
      </c>
      <c r="H247" s="1025" t="s">
        <v>494</v>
      </c>
      <c r="I247" s="1026">
        <f>VLOOKUP(H244,'CNKT '!$D$16:$AA$96,11,0)</f>
        <v>25</v>
      </c>
      <c r="J247" s="623">
        <f>46.1*$B$2</f>
        <v>30922.036</v>
      </c>
      <c r="K247" s="1023">
        <f>I247*J247</f>
        <v>773050.9</v>
      </c>
      <c r="L247" s="1015"/>
    </row>
    <row r="248" spans="1:12" s="27" customFormat="1" ht="17.25" customHeight="1">
      <c r="A248" s="1020" t="s">
        <v>379</v>
      </c>
      <c r="B248" s="1025" t="s">
        <v>495</v>
      </c>
      <c r="C248" s="1026">
        <f>VLOOKUP(B244,'CNKT '!$D$16:$AA$96,12,0)</f>
        <v>2</v>
      </c>
      <c r="D248" s="622">
        <f>76.9*$B$2</f>
        <v>51581.444000000003</v>
      </c>
      <c r="E248" s="1023">
        <f t="shared" ref="E248:E249" si="55">C248*D248</f>
        <v>103162.88800000001</v>
      </c>
      <c r="F248" s="1045"/>
      <c r="G248" s="1020" t="s">
        <v>379</v>
      </c>
      <c r="H248" s="1025" t="s">
        <v>495</v>
      </c>
      <c r="I248" s="1026">
        <f>VLOOKUP(H244,'CNKT '!$D$16:$AA$96,12,0)</f>
        <v>2</v>
      </c>
      <c r="J248" s="622">
        <f>76.9*$B$2</f>
        <v>51581.444000000003</v>
      </c>
      <c r="K248" s="1023">
        <f t="shared" ref="K248:K249" si="56">I248*J248</f>
        <v>103162.88800000001</v>
      </c>
      <c r="L248" s="1015"/>
    </row>
    <row r="249" spans="1:12" s="27" customFormat="1" ht="17.25" customHeight="1">
      <c r="A249" s="1020" t="s">
        <v>73</v>
      </c>
      <c r="B249" s="1025" t="s">
        <v>496</v>
      </c>
      <c r="C249" s="1026">
        <f>VLOOKUP(B244,'CNKT '!$D$16:$AA$96,8,0)</f>
        <v>1831.5713076720006</v>
      </c>
      <c r="D249" s="622">
        <f>IF(C245="A",6.1,IF(C245="B",5.8,IF(C245="C",5.5,IF(C245="C.",5.5,IF(C245="D",5.2)))))*$B$2</f>
        <v>4091.6359999999995</v>
      </c>
      <c r="E249" s="1023">
        <f t="shared" si="55"/>
        <v>7494123.0990378326</v>
      </c>
      <c r="F249" s="1045"/>
      <c r="G249" s="1020" t="s">
        <v>73</v>
      </c>
      <c r="H249" s="1025" t="s">
        <v>496</v>
      </c>
      <c r="I249" s="1026">
        <f>VLOOKUP(H244,'CNKT '!$D$16:$AA$96,8,0)</f>
        <v>1899.9135206448364</v>
      </c>
      <c r="J249" s="622">
        <f>IF(I245="A",6.1,IF(I245="B",5.8,IF(I245="C",5.5,IF(I245="C.",5.5,IF(I245="D",5.2)))))*$B$2</f>
        <v>4091.6359999999995</v>
      </c>
      <c r="K249" s="1023">
        <f t="shared" si="56"/>
        <v>7773754.5579571547</v>
      </c>
      <c r="L249" s="1015"/>
    </row>
    <row r="250" spans="1:12" s="27" customFormat="1" ht="17.25" customHeight="1">
      <c r="A250" s="1089" t="s">
        <v>462</v>
      </c>
      <c r="B250" s="1090" t="s">
        <v>497</v>
      </c>
      <c r="C250" s="1091">
        <f>VLOOKUP(B244,'CNKT '!$D$16:$AA$96,13,0)</f>
        <v>0</v>
      </c>
      <c r="D250" s="1092">
        <v>100000</v>
      </c>
      <c r="E250" s="1093">
        <f>C250*D250</f>
        <v>0</v>
      </c>
      <c r="F250" s="1045"/>
      <c r="G250" s="1089" t="s">
        <v>462</v>
      </c>
      <c r="H250" s="1090" t="s">
        <v>497</v>
      </c>
      <c r="I250" s="1091">
        <f>VLOOKUP(H244,'CNKT '!$D$16:$AA$96,13,0)</f>
        <v>0</v>
      </c>
      <c r="J250" s="1092">
        <v>100000</v>
      </c>
      <c r="K250" s="1093">
        <f>I250*J250</f>
        <v>0</v>
      </c>
      <c r="L250" s="1015"/>
    </row>
    <row r="251" spans="1:12" s="27" customFormat="1" ht="17.25" customHeight="1">
      <c r="A251" s="1020" t="s">
        <v>463</v>
      </c>
      <c r="B251" s="1025" t="s">
        <v>467</v>
      </c>
      <c r="C251" s="1026">
        <f>VLOOKUP(B244,'CNKT '!$D$16:$AA$96,16,0)</f>
        <v>0</v>
      </c>
      <c r="D251" s="622">
        <f>153.8*$B$2</f>
        <v>103162.88800000001</v>
      </c>
      <c r="E251" s="1023">
        <f t="shared" ref="E251" si="57">C251*D251</f>
        <v>0</v>
      </c>
      <c r="F251" s="1045"/>
      <c r="G251" s="1020" t="s">
        <v>463</v>
      </c>
      <c r="H251" s="1025" t="s">
        <v>467</v>
      </c>
      <c r="I251" s="1026">
        <f>VLOOKUP(H244,'CNKT '!$D$16:$AA$96,16,0)</f>
        <v>0</v>
      </c>
      <c r="J251" s="622">
        <f>153.8*$B$2</f>
        <v>103162.88800000001</v>
      </c>
      <c r="K251" s="1023">
        <f t="shared" ref="K251" si="58">I251*J251</f>
        <v>0</v>
      </c>
      <c r="L251" s="1015"/>
    </row>
    <row r="252" spans="1:12" s="27" customFormat="1" ht="17.25" customHeight="1">
      <c r="A252" s="1020" t="s">
        <v>425</v>
      </c>
      <c r="B252" s="1025" t="s">
        <v>468</v>
      </c>
      <c r="C252" s="1026">
        <f>VLOOKUP(B244,'CNKT '!$D$16:$AA$96,18,0)</f>
        <v>2</v>
      </c>
      <c r="D252" s="622">
        <v>10000</v>
      </c>
      <c r="E252" s="1023">
        <f>C252*D252</f>
        <v>20000</v>
      </c>
      <c r="F252" s="1045"/>
      <c r="G252" s="1020" t="s">
        <v>425</v>
      </c>
      <c r="H252" s="1025" t="s">
        <v>468</v>
      </c>
      <c r="I252" s="1026">
        <f>VLOOKUP(H244,'CNKT '!$D$16:$AA$96,18,0)</f>
        <v>2</v>
      </c>
      <c r="J252" s="622">
        <v>10000</v>
      </c>
      <c r="K252" s="1023">
        <f>I252*J252</f>
        <v>20000</v>
      </c>
      <c r="L252" s="1015"/>
    </row>
    <row r="253" spans="1:12" s="27" customFormat="1" ht="17.25" customHeight="1">
      <c r="A253" s="1020" t="s">
        <v>425</v>
      </c>
      <c r="B253" s="1025" t="s">
        <v>468</v>
      </c>
      <c r="C253" s="1026">
        <f>VLOOKUP(B244,'CNKT '!$D$16:$AA$96,19,0)</f>
        <v>0</v>
      </c>
      <c r="D253" s="622">
        <v>20000</v>
      </c>
      <c r="E253" s="1023">
        <f>C253*D253</f>
        <v>0</v>
      </c>
      <c r="F253" s="1045"/>
      <c r="G253" s="1020" t="s">
        <v>425</v>
      </c>
      <c r="H253" s="1025" t="s">
        <v>468</v>
      </c>
      <c r="I253" s="1026">
        <f>VLOOKUP(H244,'CNKT '!$D$16:$AA$96,19,0)</f>
        <v>0</v>
      </c>
      <c r="J253" s="622">
        <v>20000</v>
      </c>
      <c r="K253" s="1023">
        <f>I253*J253</f>
        <v>0</v>
      </c>
      <c r="L253" s="1015"/>
    </row>
    <row r="254" spans="1:12" s="27" customFormat="1" ht="17.25" customHeight="1">
      <c r="A254" s="1020" t="s">
        <v>780</v>
      </c>
      <c r="B254" s="1027" t="s">
        <v>781</v>
      </c>
      <c r="C254" s="1026"/>
      <c r="D254" s="622"/>
      <c r="E254" s="1023">
        <f>VLOOKUP(B244,'CNKT '!$D$16:$AE$99,28,0)</f>
        <v>0</v>
      </c>
      <c r="F254" s="1045"/>
      <c r="G254" s="1020" t="s">
        <v>780</v>
      </c>
      <c r="H254" s="1027" t="s">
        <v>781</v>
      </c>
      <c r="I254" s="1026"/>
      <c r="J254" s="622"/>
      <c r="K254" s="1023">
        <f>VLOOKUP(H244,'CNKT '!$D$16:$AE$99,28,0)</f>
        <v>0</v>
      </c>
      <c r="L254" s="1015"/>
    </row>
    <row r="255" spans="1:12" s="27" customFormat="1" ht="17.25" customHeight="1">
      <c r="A255" s="1028" t="s">
        <v>74</v>
      </c>
      <c r="B255" s="1029" t="s">
        <v>498</v>
      </c>
      <c r="C255" s="1030"/>
      <c r="D255" s="1031"/>
      <c r="E255" s="1030"/>
      <c r="F255" s="1045"/>
      <c r="G255" s="1028" t="s">
        <v>74</v>
      </c>
      <c r="H255" s="1029" t="s">
        <v>498</v>
      </c>
      <c r="I255" s="1030"/>
      <c r="J255" s="1031"/>
      <c r="K255" s="1030"/>
      <c r="L255" s="1015"/>
    </row>
    <row r="256" spans="1:12" s="27" customFormat="1" ht="17.25" customHeight="1">
      <c r="A256" s="1032" t="s">
        <v>75</v>
      </c>
      <c r="B256" s="1033" t="s">
        <v>499</v>
      </c>
      <c r="C256" s="1030"/>
      <c r="D256" s="1030"/>
      <c r="E256" s="1030"/>
      <c r="F256" s="1048"/>
      <c r="G256" s="1032" t="s">
        <v>75</v>
      </c>
      <c r="H256" s="1033" t="s">
        <v>499</v>
      </c>
      <c r="I256" s="1030"/>
      <c r="J256" s="1030"/>
      <c r="K256" s="1030"/>
      <c r="L256" s="1015"/>
    </row>
    <row r="257" spans="1:13" s="27" customFormat="1" ht="17.25" customHeight="1">
      <c r="A257" s="1032" t="s">
        <v>76</v>
      </c>
      <c r="B257" s="1034" t="s">
        <v>500</v>
      </c>
      <c r="C257" s="1030"/>
      <c r="D257" s="1030"/>
      <c r="E257" s="1023">
        <f>SUM(E256)</f>
        <v>0</v>
      </c>
      <c r="F257" s="1048"/>
      <c r="G257" s="1032" t="s">
        <v>76</v>
      </c>
      <c r="H257" s="1034" t="s">
        <v>500</v>
      </c>
      <c r="I257" s="1030"/>
      <c r="J257" s="1030"/>
      <c r="K257" s="1023">
        <f>SUM(K256)</f>
        <v>0</v>
      </c>
      <c r="L257" s="1015"/>
      <c r="M257" s="1035">
        <f>E257+K257</f>
        <v>0</v>
      </c>
    </row>
    <row r="258" spans="1:13" s="27" customFormat="1" ht="17.25" customHeight="1">
      <c r="A258" s="1036" t="s">
        <v>77</v>
      </c>
      <c r="B258" s="1037" t="s">
        <v>412</v>
      </c>
      <c r="C258" s="1038"/>
      <c r="D258" s="1038"/>
      <c r="E258" s="1038">
        <f>(E246+E247+E248+E249+E250+E251+E252+E253+E254)-E257</f>
        <v>8359414.8510378329</v>
      </c>
      <c r="F258" s="1048"/>
      <c r="G258" s="1036" t="s">
        <v>77</v>
      </c>
      <c r="H258" s="1037" t="s">
        <v>412</v>
      </c>
      <c r="I258" s="1038"/>
      <c r="J258" s="1038"/>
      <c r="K258" s="1038">
        <f>(K246+K247+K248+K249+K250+K251+K252+K253+K254)-K257</f>
        <v>8669968.3459571544</v>
      </c>
      <c r="L258" s="1040">
        <f>E258+K258</f>
        <v>17029383.196994986</v>
      </c>
    </row>
    <row r="259" spans="1:13" s="27" customFormat="1" ht="15" customHeight="1">
      <c r="A259" s="1045"/>
      <c r="B259" s="1050"/>
      <c r="C259" s="1051"/>
      <c r="D259" s="1051"/>
      <c r="E259" s="1049"/>
      <c r="F259" s="1048"/>
      <c r="G259" s="1045"/>
      <c r="H259" s="1050"/>
      <c r="I259" s="1051"/>
      <c r="J259" s="1049"/>
      <c r="K259" s="1043"/>
      <c r="L259" s="1015"/>
    </row>
    <row r="260" spans="1:13" s="27" customFormat="1" ht="17.25" customHeight="1">
      <c r="A260" s="1611" t="str">
        <f>G243</f>
        <v>LƯƠNG THÁNG 08/2025</v>
      </c>
      <c r="B260" s="1612"/>
      <c r="C260" s="1612"/>
      <c r="D260" s="1612"/>
      <c r="E260" s="1014">
        <v>31</v>
      </c>
      <c r="F260" s="1049"/>
      <c r="G260" s="1611" t="str">
        <f>A260</f>
        <v>LƯƠNG THÁNG 08/2025</v>
      </c>
      <c r="H260" s="1612"/>
      <c r="I260" s="1612"/>
      <c r="J260" s="1613"/>
      <c r="K260" s="1014">
        <v>32</v>
      </c>
      <c r="L260" s="1015"/>
    </row>
    <row r="261" spans="1:13" s="27" customFormat="1" ht="17.25" customHeight="1">
      <c r="A261" s="1044" t="s">
        <v>13</v>
      </c>
      <c r="B261" s="1016" t="str">
        <f>'CNKT '!D46</f>
        <v>T. Ca Te</v>
      </c>
      <c r="C261" s="1017"/>
      <c r="D261" s="1018" t="s">
        <v>376</v>
      </c>
      <c r="E261" s="1018" t="s">
        <v>16</v>
      </c>
      <c r="G261" s="1044" t="s">
        <v>13</v>
      </c>
      <c r="H261" s="1016" t="str">
        <f>'CNKT '!D47</f>
        <v>T. Lâm Phon</v>
      </c>
      <c r="I261" s="1017"/>
      <c r="J261" s="1018" t="s">
        <v>376</v>
      </c>
      <c r="K261" s="1018" t="s">
        <v>16</v>
      </c>
      <c r="L261" s="1015"/>
    </row>
    <row r="262" spans="1:13" s="27" customFormat="1" ht="17.25" customHeight="1">
      <c r="A262" s="1020" t="s">
        <v>377</v>
      </c>
      <c r="B262" s="1021" t="s">
        <v>493</v>
      </c>
      <c r="C262" s="1022" t="str">
        <f>VLOOKUP(B261,'BTH mủ tạp'!$D$17:$AN$94,37,0)</f>
        <v>A</v>
      </c>
      <c r="D262" s="1023"/>
      <c r="E262" s="1023"/>
      <c r="F262" s="1041"/>
      <c r="G262" s="1020" t="s">
        <v>377</v>
      </c>
      <c r="H262" s="1021" t="s">
        <v>493</v>
      </c>
      <c r="I262" s="1022" t="str">
        <f>VLOOKUP(H261,'BTH mủ tạp'!$D$17:$AN$94,37,0)</f>
        <v>A</v>
      </c>
      <c r="J262" s="1023"/>
      <c r="K262" s="1023"/>
      <c r="L262" s="1015"/>
    </row>
    <row r="263" spans="1:13" s="27" customFormat="1" ht="17.25" customHeight="1">
      <c r="A263" s="1020" t="s">
        <v>72</v>
      </c>
      <c r="B263" s="1024" t="s">
        <v>406</v>
      </c>
      <c r="C263" s="621">
        <f>VLOOKUP(B261,'CNKT '!$D$16:$AA$96,3,0)</f>
        <v>0</v>
      </c>
      <c r="D263" s="622">
        <v>25000</v>
      </c>
      <c r="E263" s="1023">
        <f>C263*D263</f>
        <v>0</v>
      </c>
      <c r="F263" s="1045"/>
      <c r="G263" s="1020" t="s">
        <v>72</v>
      </c>
      <c r="H263" s="1024" t="s">
        <v>406</v>
      </c>
      <c r="I263" s="621">
        <f>VLOOKUP(H261,'CNKT '!$D$16:$AA$96,3,0)</f>
        <v>0</v>
      </c>
      <c r="J263" s="622">
        <v>25000</v>
      </c>
      <c r="K263" s="1023">
        <f>I263*J263</f>
        <v>0</v>
      </c>
      <c r="L263" s="1015"/>
    </row>
    <row r="264" spans="1:13" s="27" customFormat="1" ht="17.25" customHeight="1">
      <c r="A264" s="1020" t="s">
        <v>292</v>
      </c>
      <c r="B264" s="1025" t="s">
        <v>494</v>
      </c>
      <c r="C264" s="1026">
        <f>VLOOKUP(B261,'CNKT '!$D$16:$AA$96,11,0)</f>
        <v>26</v>
      </c>
      <c r="D264" s="623">
        <f>46.1*$B$2</f>
        <v>30922.036</v>
      </c>
      <c r="E264" s="1023">
        <f>C264*D264</f>
        <v>803972.93599999999</v>
      </c>
      <c r="F264" s="1045"/>
      <c r="G264" s="1020" t="s">
        <v>292</v>
      </c>
      <c r="H264" s="1025" t="s">
        <v>494</v>
      </c>
      <c r="I264" s="1026">
        <f>VLOOKUP(H261,'CNKT '!$D$16:$AA$96,11,0)</f>
        <v>26</v>
      </c>
      <c r="J264" s="623">
        <f>46.1*$B$2</f>
        <v>30922.036</v>
      </c>
      <c r="K264" s="1023">
        <f>I264*J264</f>
        <v>803972.93599999999</v>
      </c>
      <c r="L264" s="1015"/>
    </row>
    <row r="265" spans="1:13" s="27" customFormat="1" ht="17.25" customHeight="1">
      <c r="A265" s="1020" t="s">
        <v>379</v>
      </c>
      <c r="B265" s="1025" t="s">
        <v>495</v>
      </c>
      <c r="C265" s="1026">
        <f>VLOOKUP(B261,'CNKT '!$D$16:$AA$96,12,0)</f>
        <v>2</v>
      </c>
      <c r="D265" s="622">
        <f>76.9*$B$2</f>
        <v>51581.444000000003</v>
      </c>
      <c r="E265" s="1023">
        <f t="shared" ref="E265:E266" si="59">C265*D265</f>
        <v>103162.88800000001</v>
      </c>
      <c r="F265" s="1045"/>
      <c r="G265" s="1020" t="s">
        <v>379</v>
      </c>
      <c r="H265" s="1025" t="s">
        <v>495</v>
      </c>
      <c r="I265" s="1026">
        <f>VLOOKUP(H261,'CNKT '!$D$16:$AA$96,12,0)</f>
        <v>2</v>
      </c>
      <c r="J265" s="622">
        <f>76.9*$B$2</f>
        <v>51581.444000000003</v>
      </c>
      <c r="K265" s="1023">
        <f t="shared" ref="K265:K266" si="60">I265*J265</f>
        <v>103162.88800000001</v>
      </c>
      <c r="L265" s="1015"/>
    </row>
    <row r="266" spans="1:13" s="27" customFormat="1" ht="17.25" customHeight="1">
      <c r="A266" s="1020" t="s">
        <v>73</v>
      </c>
      <c r="B266" s="1025" t="s">
        <v>496</v>
      </c>
      <c r="C266" s="1026">
        <f>VLOOKUP(B261,'CNKT '!$D$16:$AA$96,8,0)</f>
        <v>1809.3600884558289</v>
      </c>
      <c r="D266" s="622">
        <f>IF(C262="A",6.1,IF(C262="B",5.8,IF(C262="C",5.5,IF(C262="C.",5.5,IF(C262="D",5.2)))))*$B$2</f>
        <v>4091.6359999999995</v>
      </c>
      <c r="E266" s="1023">
        <f t="shared" si="59"/>
        <v>7403242.8748890534</v>
      </c>
      <c r="F266" s="1045"/>
      <c r="G266" s="1020" t="s">
        <v>73</v>
      </c>
      <c r="H266" s="1025" t="s">
        <v>496</v>
      </c>
      <c r="I266" s="1026">
        <f>VLOOKUP(H261,'CNKT '!$D$16:$AA$96,8,0)</f>
        <v>1953.3058745298642</v>
      </c>
      <c r="J266" s="622">
        <f>IF(I262="A",6.1,IF(I262="B",5.8,IF(I262="C",5.5,IF(I262="C.",5.5,IF(I262="D",5.2)))))*$B$2</f>
        <v>4091.6359999999995</v>
      </c>
      <c r="K266" s="1023">
        <f t="shared" si="60"/>
        <v>7992216.6352378745</v>
      </c>
      <c r="L266" s="1015"/>
    </row>
    <row r="267" spans="1:13" s="27" customFormat="1" ht="17.25" customHeight="1">
      <c r="A267" s="1089" t="s">
        <v>462</v>
      </c>
      <c r="B267" s="1090" t="s">
        <v>497</v>
      </c>
      <c r="C267" s="1091">
        <f>VLOOKUP(B261,'CNKT '!$D$16:$AA$96,13,0)</f>
        <v>0</v>
      </c>
      <c r="D267" s="1092">
        <v>100000</v>
      </c>
      <c r="E267" s="1093">
        <f>C267*D267</f>
        <v>0</v>
      </c>
      <c r="F267" s="1045"/>
      <c r="G267" s="1089" t="s">
        <v>462</v>
      </c>
      <c r="H267" s="1090" t="s">
        <v>497</v>
      </c>
      <c r="I267" s="1091">
        <f>VLOOKUP(H261,'CNKT '!$D$16:$AA$96,13,0)</f>
        <v>0</v>
      </c>
      <c r="J267" s="1092">
        <v>100000</v>
      </c>
      <c r="K267" s="1093">
        <f>I267*J267</f>
        <v>0</v>
      </c>
      <c r="L267" s="1015"/>
    </row>
    <row r="268" spans="1:13" s="27" customFormat="1" ht="17.25" customHeight="1">
      <c r="A268" s="1020" t="s">
        <v>463</v>
      </c>
      <c r="B268" s="1025" t="s">
        <v>467</v>
      </c>
      <c r="C268" s="1026">
        <f>VLOOKUP(B261,'CNKT '!$D$16:$AA$96,16,0)</f>
        <v>0</v>
      </c>
      <c r="D268" s="622">
        <f>153.8*$B$2</f>
        <v>103162.88800000001</v>
      </c>
      <c r="E268" s="1023">
        <f t="shared" ref="E268" si="61">C268*D268</f>
        <v>0</v>
      </c>
      <c r="F268" s="1045"/>
      <c r="G268" s="1020" t="s">
        <v>463</v>
      </c>
      <c r="H268" s="1025" t="s">
        <v>467</v>
      </c>
      <c r="I268" s="1026">
        <f>VLOOKUP(H261,'CNKT '!$D$16:$AA$96,16,0)</f>
        <v>0</v>
      </c>
      <c r="J268" s="622">
        <f>153.8*$B$2</f>
        <v>103162.88800000001</v>
      </c>
      <c r="K268" s="1023">
        <f t="shared" ref="K268" si="62">I268*J268</f>
        <v>0</v>
      </c>
      <c r="L268" s="1015"/>
    </row>
    <row r="269" spans="1:13" s="27" customFormat="1" ht="17.25" customHeight="1">
      <c r="A269" s="1020" t="s">
        <v>425</v>
      </c>
      <c r="B269" s="1025" t="s">
        <v>468</v>
      </c>
      <c r="C269" s="1026">
        <f>VLOOKUP(B261,'CNKT '!$D$16:$AA$96,18,0)</f>
        <v>2</v>
      </c>
      <c r="D269" s="622">
        <v>10000</v>
      </c>
      <c r="E269" s="1023">
        <f>C269*D269</f>
        <v>20000</v>
      </c>
      <c r="F269" s="1045"/>
      <c r="G269" s="1020" t="s">
        <v>425</v>
      </c>
      <c r="H269" s="1025" t="s">
        <v>468</v>
      </c>
      <c r="I269" s="1026">
        <f>VLOOKUP(H261,'CNKT '!$D$16:$AA$96,18,0)</f>
        <v>2</v>
      </c>
      <c r="J269" s="622">
        <v>10000</v>
      </c>
      <c r="K269" s="1023">
        <f>I269*J269</f>
        <v>20000</v>
      </c>
      <c r="L269" s="1015"/>
    </row>
    <row r="270" spans="1:13" s="27" customFormat="1" ht="17.25" customHeight="1">
      <c r="A270" s="1020" t="s">
        <v>425</v>
      </c>
      <c r="B270" s="1025" t="s">
        <v>468</v>
      </c>
      <c r="C270" s="1026">
        <f>VLOOKUP(B261,'CNKT '!$D$16:$AA$96,19,0)</f>
        <v>0</v>
      </c>
      <c r="D270" s="622">
        <v>20000</v>
      </c>
      <c r="E270" s="1023">
        <f>C270*D270</f>
        <v>0</v>
      </c>
      <c r="F270" s="1045"/>
      <c r="G270" s="1020" t="s">
        <v>425</v>
      </c>
      <c r="H270" s="1025" t="s">
        <v>468</v>
      </c>
      <c r="I270" s="1026">
        <f>VLOOKUP(H261,'CNKT '!$D$16:$AA$96,19,0)</f>
        <v>0</v>
      </c>
      <c r="J270" s="622">
        <v>20000</v>
      </c>
      <c r="K270" s="1023">
        <f>I270*J270</f>
        <v>0</v>
      </c>
      <c r="L270" s="1015"/>
    </row>
    <row r="271" spans="1:13" s="27" customFormat="1" ht="17.25" customHeight="1">
      <c r="A271" s="1020" t="s">
        <v>780</v>
      </c>
      <c r="B271" s="1027" t="s">
        <v>781</v>
      </c>
      <c r="C271" s="1026"/>
      <c r="D271" s="622"/>
      <c r="E271" s="1023">
        <f>VLOOKUP(B261,'CNKT '!$D$16:$AE$99,28,0)</f>
        <v>0</v>
      </c>
      <c r="F271" s="1045"/>
      <c r="G271" s="1020" t="s">
        <v>780</v>
      </c>
      <c r="H271" s="1027" t="s">
        <v>781</v>
      </c>
      <c r="I271" s="1026"/>
      <c r="J271" s="622"/>
      <c r="K271" s="1023">
        <f>VLOOKUP(H261,'CNKT '!$D$16:$AE$99,28,0)</f>
        <v>0</v>
      </c>
      <c r="L271" s="1015"/>
    </row>
    <row r="272" spans="1:13" s="27" customFormat="1" ht="17.25" customHeight="1">
      <c r="A272" s="1028" t="s">
        <v>74</v>
      </c>
      <c r="B272" s="1029" t="s">
        <v>498</v>
      </c>
      <c r="C272" s="1030"/>
      <c r="D272" s="1031"/>
      <c r="E272" s="1030"/>
      <c r="F272" s="1048"/>
      <c r="G272" s="1028" t="s">
        <v>74</v>
      </c>
      <c r="H272" s="1029" t="s">
        <v>498</v>
      </c>
      <c r="I272" s="1030"/>
      <c r="J272" s="1031"/>
      <c r="K272" s="1030"/>
      <c r="L272" s="1015"/>
    </row>
    <row r="273" spans="1:13" s="27" customFormat="1" ht="17.25" customHeight="1">
      <c r="A273" s="1032" t="s">
        <v>75</v>
      </c>
      <c r="B273" s="1033" t="s">
        <v>499</v>
      </c>
      <c r="C273" s="1030"/>
      <c r="D273" s="1030"/>
      <c r="E273" s="1030"/>
      <c r="F273" s="1048"/>
      <c r="G273" s="1032" t="s">
        <v>75</v>
      </c>
      <c r="H273" s="1033" t="s">
        <v>499</v>
      </c>
      <c r="I273" s="1030"/>
      <c r="J273" s="1030"/>
      <c r="K273" s="1030"/>
      <c r="L273" s="1015"/>
    </row>
    <row r="274" spans="1:13" s="27" customFormat="1" ht="17.25" customHeight="1">
      <c r="A274" s="1032" t="s">
        <v>76</v>
      </c>
      <c r="B274" s="1034" t="s">
        <v>500</v>
      </c>
      <c r="C274" s="1030"/>
      <c r="D274" s="1030"/>
      <c r="E274" s="1023">
        <f>SUM(E273)</f>
        <v>0</v>
      </c>
      <c r="F274" s="1048"/>
      <c r="G274" s="1032" t="s">
        <v>76</v>
      </c>
      <c r="H274" s="1034" t="s">
        <v>500</v>
      </c>
      <c r="I274" s="1030"/>
      <c r="J274" s="1030"/>
      <c r="K274" s="1023">
        <f>SUM(K273)</f>
        <v>0</v>
      </c>
      <c r="L274" s="1015"/>
      <c r="M274" s="1035">
        <f>E274+K274</f>
        <v>0</v>
      </c>
    </row>
    <row r="275" spans="1:13" s="27" customFormat="1" ht="17.25" customHeight="1">
      <c r="A275" s="1036" t="s">
        <v>77</v>
      </c>
      <c r="B275" s="1037" t="s">
        <v>412</v>
      </c>
      <c r="C275" s="1038"/>
      <c r="D275" s="1038"/>
      <c r="E275" s="1038">
        <f>(E263+E264+E265+E266+E267+E268+E269+E270+E271)-E274</f>
        <v>8330378.6988890534</v>
      </c>
      <c r="F275" s="1048"/>
      <c r="G275" s="1036" t="s">
        <v>77</v>
      </c>
      <c r="H275" s="1037" t="s">
        <v>412</v>
      </c>
      <c r="I275" s="1038"/>
      <c r="J275" s="1038"/>
      <c r="K275" s="1038">
        <f>(K263+K264+K265+K266+K267+K268+K269+K270+K271)-K274</f>
        <v>8919352.4592378736</v>
      </c>
      <c r="L275" s="1040">
        <f>E275+K275</f>
        <v>17249731.158126928</v>
      </c>
    </row>
    <row r="276" spans="1:13" s="27" customFormat="1" ht="17.25" customHeight="1">
      <c r="A276" s="1045"/>
      <c r="B276" s="1050"/>
      <c r="C276" s="1051"/>
      <c r="D276" s="1051"/>
      <c r="E276" s="1049"/>
      <c r="F276" s="1048"/>
      <c r="G276" s="1045"/>
      <c r="H276" s="1050"/>
      <c r="I276" s="1051"/>
      <c r="J276" s="1049"/>
      <c r="K276" s="1043"/>
      <c r="L276" s="1015"/>
    </row>
    <row r="277" spans="1:13" s="27" customFormat="1" ht="17.25" customHeight="1">
      <c r="A277" s="1611" t="str">
        <f>G260</f>
        <v>LƯƠNG THÁNG 08/2025</v>
      </c>
      <c r="B277" s="1612"/>
      <c r="C277" s="1612"/>
      <c r="D277" s="1612"/>
      <c r="E277" s="1014">
        <v>33</v>
      </c>
      <c r="F277" s="1049"/>
      <c r="G277" s="1611" t="str">
        <f>A277</f>
        <v>LƯƠNG THÁNG 08/2025</v>
      </c>
      <c r="H277" s="1612"/>
      <c r="I277" s="1612"/>
      <c r="J277" s="1613"/>
      <c r="K277" s="1014">
        <v>34</v>
      </c>
      <c r="L277" s="1015"/>
    </row>
    <row r="278" spans="1:13" s="27" customFormat="1" ht="17.25" customHeight="1">
      <c r="A278" s="1044" t="s">
        <v>13</v>
      </c>
      <c r="B278" s="1016" t="str">
        <f>'CNKT '!D48</f>
        <v>T. Sô Đa</v>
      </c>
      <c r="C278" s="1017"/>
      <c r="D278" s="1018" t="s">
        <v>376</v>
      </c>
      <c r="E278" s="1018" t="s">
        <v>16</v>
      </c>
      <c r="F278" s="1049"/>
      <c r="G278" s="1044" t="s">
        <v>13</v>
      </c>
      <c r="H278" s="1016" t="str">
        <f>'CNKT '!D49</f>
        <v>N. Pheng Mi</v>
      </c>
      <c r="I278" s="1017"/>
      <c r="J278" s="1018" t="s">
        <v>376</v>
      </c>
      <c r="K278" s="1018" t="s">
        <v>16</v>
      </c>
      <c r="L278" s="1015"/>
    </row>
    <row r="279" spans="1:13" s="27" customFormat="1" ht="17.25" customHeight="1">
      <c r="A279" s="1020" t="s">
        <v>377</v>
      </c>
      <c r="B279" s="1021" t="s">
        <v>493</v>
      </c>
      <c r="C279" s="1022" t="str">
        <f>VLOOKUP(B278,'BTH mủ tạp'!$D$17:$AN$94,37,0)</f>
        <v>A</v>
      </c>
      <c r="D279" s="1023"/>
      <c r="E279" s="1023"/>
      <c r="F279" s="1049"/>
      <c r="G279" s="1020" t="s">
        <v>377</v>
      </c>
      <c r="H279" s="1021" t="s">
        <v>493</v>
      </c>
      <c r="I279" s="1022" t="str">
        <f>VLOOKUP(H278,'BTH mủ tạp'!$D$17:$AN$94,37,0)</f>
        <v>A</v>
      </c>
      <c r="J279" s="1023"/>
      <c r="K279" s="1023"/>
      <c r="L279" s="1015"/>
    </row>
    <row r="280" spans="1:13" s="27" customFormat="1" ht="17.25" customHeight="1">
      <c r="A280" s="1020" t="s">
        <v>72</v>
      </c>
      <c r="B280" s="1024" t="s">
        <v>406</v>
      </c>
      <c r="C280" s="621">
        <f>VLOOKUP(B278,'CNKT '!$D$16:$AA$96,3,0)</f>
        <v>0</v>
      </c>
      <c r="D280" s="622">
        <v>25000</v>
      </c>
      <c r="E280" s="1023">
        <f>C280*D280</f>
        <v>0</v>
      </c>
      <c r="F280" s="1049"/>
      <c r="G280" s="1020" t="s">
        <v>72</v>
      </c>
      <c r="H280" s="1024" t="s">
        <v>406</v>
      </c>
      <c r="I280" s="621">
        <f>VLOOKUP(H278,'CNKT '!$D$16:$AA$96,3,0)</f>
        <v>0</v>
      </c>
      <c r="J280" s="622">
        <v>25000</v>
      </c>
      <c r="K280" s="1023">
        <f>I280*J280</f>
        <v>0</v>
      </c>
      <c r="L280" s="1015"/>
    </row>
    <row r="281" spans="1:13" s="27" customFormat="1" ht="17.25" customHeight="1">
      <c r="A281" s="1020" t="s">
        <v>292</v>
      </c>
      <c r="B281" s="1025" t="s">
        <v>494</v>
      </c>
      <c r="C281" s="1026">
        <f>VLOOKUP(B278,'CNKT '!$D$16:$AA$96,11,0)</f>
        <v>26</v>
      </c>
      <c r="D281" s="623">
        <f>46.1*$B$2</f>
        <v>30922.036</v>
      </c>
      <c r="E281" s="1023">
        <f>C281*D281</f>
        <v>803972.93599999999</v>
      </c>
      <c r="F281" s="1049"/>
      <c r="G281" s="1020" t="s">
        <v>292</v>
      </c>
      <c r="H281" s="1025" t="s">
        <v>494</v>
      </c>
      <c r="I281" s="1026">
        <f>VLOOKUP(H278,'CNKT '!$D$16:$AA$96,11,0)</f>
        <v>26</v>
      </c>
      <c r="J281" s="623">
        <f>46.1*$B$2</f>
        <v>30922.036</v>
      </c>
      <c r="K281" s="1023">
        <f>I281*J281</f>
        <v>803972.93599999999</v>
      </c>
      <c r="L281" s="1015"/>
    </row>
    <row r="282" spans="1:13" s="27" customFormat="1" ht="17.25" customHeight="1">
      <c r="A282" s="1020" t="s">
        <v>379</v>
      </c>
      <c r="B282" s="1025" t="s">
        <v>495</v>
      </c>
      <c r="C282" s="1026">
        <f>VLOOKUP(B278,'CNKT '!$D$16:$AA$96,12,0)</f>
        <v>2</v>
      </c>
      <c r="D282" s="622">
        <f>76.9*$B$2</f>
        <v>51581.444000000003</v>
      </c>
      <c r="E282" s="1023">
        <f t="shared" ref="E282:E283" si="63">C282*D282</f>
        <v>103162.88800000001</v>
      </c>
      <c r="F282" s="1049"/>
      <c r="G282" s="1020" t="s">
        <v>379</v>
      </c>
      <c r="H282" s="1025" t="s">
        <v>495</v>
      </c>
      <c r="I282" s="1026">
        <f>VLOOKUP(H278,'CNKT '!$D$16:$AA$96,12,0)</f>
        <v>2</v>
      </c>
      <c r="J282" s="622">
        <f>76.9*$B$2</f>
        <v>51581.444000000003</v>
      </c>
      <c r="K282" s="1023">
        <f t="shared" ref="K282:K283" si="64">I282*J282</f>
        <v>103162.88800000001</v>
      </c>
      <c r="L282" s="1015"/>
    </row>
    <row r="283" spans="1:13" s="27" customFormat="1" ht="17.25" customHeight="1">
      <c r="A283" s="1020" t="s">
        <v>73</v>
      </c>
      <c r="B283" s="1025" t="s">
        <v>496</v>
      </c>
      <c r="C283" s="1026">
        <f>VLOOKUP(B278,'CNKT '!$D$16:$AA$96,8,0)</f>
        <v>1696.1682982195696</v>
      </c>
      <c r="D283" s="622">
        <f>IF(C279="A",6.1,IF(C279="B",5.8,IF(C279="C",5.5,IF(C279="C.",5.5,IF(C279="D",5.2)))))*$B$2</f>
        <v>4091.6359999999995</v>
      </c>
      <c r="E283" s="1023">
        <f t="shared" si="63"/>
        <v>6940103.2710539261</v>
      </c>
      <c r="F283" s="1049"/>
      <c r="G283" s="1020" t="s">
        <v>73</v>
      </c>
      <c r="H283" s="1025" t="s">
        <v>496</v>
      </c>
      <c r="I283" s="1026">
        <f>VLOOKUP(H278,'CNKT '!$D$16:$AA$96,8,0)</f>
        <v>2051.9749445093962</v>
      </c>
      <c r="J283" s="622">
        <f>IF(I279="A",6.1,IF(I279="B",5.8,IF(I279="C",5.5,IF(I279="C.",5.5,IF(I279="D",5.2)))))*$B$2</f>
        <v>4091.6359999999995</v>
      </c>
      <c r="K283" s="1023">
        <f t="shared" si="64"/>
        <v>8395934.5540526472</v>
      </c>
      <c r="L283" s="1015"/>
    </row>
    <row r="284" spans="1:13" s="27" customFormat="1" ht="17.25" customHeight="1">
      <c r="A284" s="1089" t="s">
        <v>462</v>
      </c>
      <c r="B284" s="1090" t="s">
        <v>497</v>
      </c>
      <c r="C284" s="1091">
        <f>VLOOKUP(B278,'CNKT '!$D$16:$AA$96,13,0)</f>
        <v>0</v>
      </c>
      <c r="D284" s="1092">
        <v>100000</v>
      </c>
      <c r="E284" s="1093">
        <f>C284*D284</f>
        <v>0</v>
      </c>
      <c r="F284" s="1049"/>
      <c r="G284" s="1089" t="s">
        <v>462</v>
      </c>
      <c r="H284" s="1090" t="s">
        <v>497</v>
      </c>
      <c r="I284" s="1091">
        <f>VLOOKUP(H278,'CNKT '!$D$16:$AA$96,13,0)</f>
        <v>0</v>
      </c>
      <c r="J284" s="1092">
        <v>100000</v>
      </c>
      <c r="K284" s="1093">
        <f>I284*J284</f>
        <v>0</v>
      </c>
      <c r="L284" s="1015"/>
    </row>
    <row r="285" spans="1:13" s="27" customFormat="1" ht="17.25" customHeight="1">
      <c r="A285" s="1020" t="s">
        <v>463</v>
      </c>
      <c r="B285" s="1025" t="s">
        <v>467</v>
      </c>
      <c r="C285" s="1026">
        <f>VLOOKUP(B278,'CNKT '!$D$16:$AA$96,16,0)</f>
        <v>0</v>
      </c>
      <c r="D285" s="622">
        <f>153.8*$B$2</f>
        <v>103162.88800000001</v>
      </c>
      <c r="E285" s="1023">
        <f t="shared" ref="E285" si="65">C285*D285</f>
        <v>0</v>
      </c>
      <c r="F285" s="1049"/>
      <c r="G285" s="1020" t="s">
        <v>463</v>
      </c>
      <c r="H285" s="1025" t="s">
        <v>467</v>
      </c>
      <c r="I285" s="1026">
        <f>VLOOKUP(H278,'CNKT '!$D$16:$AA$96,16,0)</f>
        <v>0</v>
      </c>
      <c r="J285" s="622">
        <f>153.8*$B$2</f>
        <v>103162.88800000001</v>
      </c>
      <c r="K285" s="1023">
        <f t="shared" ref="K285" si="66">I285*J285</f>
        <v>0</v>
      </c>
      <c r="L285" s="1015"/>
    </row>
    <row r="286" spans="1:13" s="27" customFormat="1" ht="17.25" customHeight="1">
      <c r="A286" s="1020" t="s">
        <v>425</v>
      </c>
      <c r="B286" s="1025" t="s">
        <v>468</v>
      </c>
      <c r="C286" s="1026">
        <f>VLOOKUP(B278,'CNKT '!$D$16:$AA$96,18,0)</f>
        <v>2</v>
      </c>
      <c r="D286" s="622">
        <v>10000</v>
      </c>
      <c r="E286" s="1023">
        <f>C286*D286</f>
        <v>20000</v>
      </c>
      <c r="F286" s="1049"/>
      <c r="G286" s="1020" t="s">
        <v>425</v>
      </c>
      <c r="H286" s="1025" t="s">
        <v>468</v>
      </c>
      <c r="I286" s="1026">
        <f>VLOOKUP(H278,'CNKT '!$D$16:$AA$96,18,0)</f>
        <v>2</v>
      </c>
      <c r="J286" s="622">
        <v>10000</v>
      </c>
      <c r="K286" s="1023">
        <f>I286*J286</f>
        <v>20000</v>
      </c>
      <c r="L286" s="1015"/>
    </row>
    <row r="287" spans="1:13" s="27" customFormat="1" ht="17.25" customHeight="1">
      <c r="A287" s="1020" t="s">
        <v>425</v>
      </c>
      <c r="B287" s="1025" t="s">
        <v>468</v>
      </c>
      <c r="C287" s="1026">
        <f>VLOOKUP(B278,'CNKT '!$D$16:$AA$96,19,0)</f>
        <v>0</v>
      </c>
      <c r="D287" s="622">
        <v>20000</v>
      </c>
      <c r="E287" s="1023">
        <f>C287*D287</f>
        <v>0</v>
      </c>
      <c r="F287" s="1049"/>
      <c r="G287" s="1020" t="s">
        <v>425</v>
      </c>
      <c r="H287" s="1025" t="s">
        <v>468</v>
      </c>
      <c r="I287" s="1026">
        <f>VLOOKUP(H278,'CNKT '!$D$16:$AA$96,19,0)</f>
        <v>0</v>
      </c>
      <c r="J287" s="622">
        <v>20000</v>
      </c>
      <c r="K287" s="1023">
        <f>I287*J287</f>
        <v>0</v>
      </c>
      <c r="L287" s="1015"/>
    </row>
    <row r="288" spans="1:13" s="27" customFormat="1" ht="17.25" customHeight="1">
      <c r="A288" s="1020" t="s">
        <v>780</v>
      </c>
      <c r="B288" s="1027" t="s">
        <v>781</v>
      </c>
      <c r="C288" s="1026"/>
      <c r="D288" s="622"/>
      <c r="E288" s="1023">
        <f>VLOOKUP(B278,'CNKT '!$D$16:$AE$99,28,0)</f>
        <v>0</v>
      </c>
      <c r="F288" s="1049"/>
      <c r="G288" s="1020" t="s">
        <v>780</v>
      </c>
      <c r="H288" s="1027" t="s">
        <v>781</v>
      </c>
      <c r="I288" s="1026"/>
      <c r="J288" s="622"/>
      <c r="K288" s="1023">
        <f>VLOOKUP(H278,'CNKT '!$D$16:$AE$99,28,0)</f>
        <v>0</v>
      </c>
      <c r="L288" s="1015"/>
    </row>
    <row r="289" spans="1:13" s="27" customFormat="1" ht="17.25" customHeight="1">
      <c r="A289" s="1028" t="s">
        <v>74</v>
      </c>
      <c r="B289" s="1029" t="s">
        <v>498</v>
      </c>
      <c r="C289" s="1030"/>
      <c r="D289" s="1031"/>
      <c r="E289" s="1030"/>
      <c r="F289" s="1049"/>
      <c r="G289" s="1028" t="s">
        <v>74</v>
      </c>
      <c r="H289" s="1029" t="s">
        <v>498</v>
      </c>
      <c r="I289" s="1030"/>
      <c r="J289" s="1031"/>
      <c r="K289" s="1030"/>
      <c r="L289" s="1015"/>
    </row>
    <row r="290" spans="1:13" s="27" customFormat="1" ht="17.25" customHeight="1">
      <c r="A290" s="1032" t="s">
        <v>75</v>
      </c>
      <c r="B290" s="1033" t="s">
        <v>499</v>
      </c>
      <c r="C290" s="1030"/>
      <c r="D290" s="1030"/>
      <c r="E290" s="1030"/>
      <c r="F290" s="1049"/>
      <c r="G290" s="1032" t="s">
        <v>75</v>
      </c>
      <c r="H290" s="1033" t="s">
        <v>499</v>
      </c>
      <c r="I290" s="1030"/>
      <c r="J290" s="1030"/>
      <c r="K290" s="1030"/>
      <c r="L290" s="1015"/>
    </row>
    <row r="291" spans="1:13" s="27" customFormat="1" ht="17.25" customHeight="1">
      <c r="A291" s="1032" t="s">
        <v>76</v>
      </c>
      <c r="B291" s="1034" t="s">
        <v>500</v>
      </c>
      <c r="C291" s="1030"/>
      <c r="D291" s="1030"/>
      <c r="E291" s="1023">
        <f>SUM(E290)</f>
        <v>0</v>
      </c>
      <c r="F291" s="1049"/>
      <c r="G291" s="1032" t="s">
        <v>76</v>
      </c>
      <c r="H291" s="1034" t="s">
        <v>500</v>
      </c>
      <c r="I291" s="1030"/>
      <c r="J291" s="1030"/>
      <c r="K291" s="1023">
        <f>SUM(K290)</f>
        <v>0</v>
      </c>
      <c r="L291" s="1015"/>
      <c r="M291" s="1035">
        <f>E291+K291</f>
        <v>0</v>
      </c>
    </row>
    <row r="292" spans="1:13" s="27" customFormat="1" ht="17.25" customHeight="1">
      <c r="A292" s="1036" t="s">
        <v>77</v>
      </c>
      <c r="B292" s="1037" t="s">
        <v>412</v>
      </c>
      <c r="C292" s="1038"/>
      <c r="D292" s="1038"/>
      <c r="E292" s="1038">
        <f>(E280+E281+E282+E283+E284+E285+E286+E287+E288)-E291</f>
        <v>7867239.0950539261</v>
      </c>
      <c r="F292" s="1049"/>
      <c r="G292" s="1036" t="s">
        <v>77</v>
      </c>
      <c r="H292" s="1037" t="s">
        <v>412</v>
      </c>
      <c r="I292" s="1038"/>
      <c r="J292" s="1038"/>
      <c r="K292" s="1038">
        <f>(K280+K281+K282+K283+K284+K285+K286+K287+K288)-K291</f>
        <v>9323070.3780526482</v>
      </c>
      <c r="L292" s="1040">
        <f>E292+K292</f>
        <v>17190309.473106574</v>
      </c>
    </row>
    <row r="293" spans="1:13" s="27" customFormat="1" ht="17.25" customHeight="1">
      <c r="A293" s="1045"/>
      <c r="B293" s="1050"/>
      <c r="C293" s="1051"/>
      <c r="D293" s="1051"/>
      <c r="E293" s="1049"/>
      <c r="F293" s="1049"/>
      <c r="G293" s="1045"/>
      <c r="H293" s="1050"/>
      <c r="I293" s="1051"/>
      <c r="J293" s="1049"/>
      <c r="K293" s="1043"/>
      <c r="L293" s="1015"/>
    </row>
    <row r="294" spans="1:13" s="27" customFormat="1" ht="17.25" customHeight="1">
      <c r="A294" s="1611" t="str">
        <f>G277</f>
        <v>LƯƠNG THÁNG 08/2025</v>
      </c>
      <c r="B294" s="1612"/>
      <c r="C294" s="1612"/>
      <c r="D294" s="1612"/>
      <c r="E294" s="1014">
        <v>35</v>
      </c>
      <c r="F294" s="1048"/>
      <c r="G294" s="1611" t="str">
        <f>A294</f>
        <v>LƯƠNG THÁNG 08/2025</v>
      </c>
      <c r="H294" s="1612"/>
      <c r="I294" s="1612"/>
      <c r="J294" s="1613"/>
      <c r="K294" s="1014">
        <v>36</v>
      </c>
      <c r="L294" s="1015"/>
    </row>
    <row r="295" spans="1:13" s="27" customFormat="1" ht="17.25" customHeight="1">
      <c r="A295" s="1044" t="s">
        <v>13</v>
      </c>
      <c r="B295" s="1016" t="str">
        <f>'CNKT '!D50</f>
        <v>N. Tủn</v>
      </c>
      <c r="C295" s="1017"/>
      <c r="D295" s="1018" t="s">
        <v>376</v>
      </c>
      <c r="E295" s="1018" t="s">
        <v>16</v>
      </c>
      <c r="F295" s="1048"/>
      <c r="G295" s="1044" t="s">
        <v>13</v>
      </c>
      <c r="H295" s="1016" t="str">
        <f>'CNKT '!D51</f>
        <v>T. Lung</v>
      </c>
      <c r="I295" s="1017"/>
      <c r="J295" s="1018" t="s">
        <v>376</v>
      </c>
      <c r="K295" s="1018" t="s">
        <v>16</v>
      </c>
      <c r="L295" s="1015"/>
    </row>
    <row r="296" spans="1:13" s="27" customFormat="1" ht="17.25" customHeight="1">
      <c r="A296" s="1020" t="s">
        <v>377</v>
      </c>
      <c r="B296" s="1021" t="s">
        <v>493</v>
      </c>
      <c r="C296" s="1022" t="str">
        <f>VLOOKUP(B295,'BTH mủ tạp'!$D$17:$AN$94,37,0)</f>
        <v>A</v>
      </c>
      <c r="D296" s="1023"/>
      <c r="E296" s="1023"/>
      <c r="F296" s="1041"/>
      <c r="G296" s="1020" t="s">
        <v>377</v>
      </c>
      <c r="H296" s="1021" t="s">
        <v>493</v>
      </c>
      <c r="I296" s="1022" t="str">
        <f>VLOOKUP(H295,'BTH mủ tạp'!$D$17:$AN$94,37,0)</f>
        <v>A</v>
      </c>
      <c r="J296" s="1023"/>
      <c r="K296" s="1023"/>
      <c r="L296" s="1015"/>
    </row>
    <row r="297" spans="1:13" s="27" customFormat="1" ht="17.25" customHeight="1">
      <c r="A297" s="1020" t="s">
        <v>72</v>
      </c>
      <c r="B297" s="1024" t="s">
        <v>406</v>
      </c>
      <c r="C297" s="621">
        <f>VLOOKUP(B295,'CNKT '!$D$16:$AA$96,3,0)</f>
        <v>0</v>
      </c>
      <c r="D297" s="622">
        <v>25000</v>
      </c>
      <c r="E297" s="1023">
        <f>C297*D297</f>
        <v>0</v>
      </c>
      <c r="F297" s="1041"/>
      <c r="G297" s="1020" t="s">
        <v>72</v>
      </c>
      <c r="H297" s="1024" t="s">
        <v>406</v>
      </c>
      <c r="I297" s="621">
        <f>VLOOKUP(H295,'CNKT '!$D$16:$AA$96,3,0)</f>
        <v>0</v>
      </c>
      <c r="J297" s="622">
        <v>25000</v>
      </c>
      <c r="K297" s="1023">
        <f>I297*J297</f>
        <v>0</v>
      </c>
      <c r="L297" s="1015"/>
    </row>
    <row r="298" spans="1:13" s="27" customFormat="1" ht="17.25" customHeight="1">
      <c r="A298" s="1020" t="s">
        <v>292</v>
      </c>
      <c r="B298" s="1025" t="s">
        <v>494</v>
      </c>
      <c r="C298" s="1026">
        <f>VLOOKUP(B295,'CNKT '!$D$16:$AA$96,11,0)</f>
        <v>25</v>
      </c>
      <c r="D298" s="623">
        <f>46.1*$B$2</f>
        <v>30922.036</v>
      </c>
      <c r="E298" s="1023">
        <f>C298*D298</f>
        <v>773050.9</v>
      </c>
      <c r="F298" s="1049"/>
      <c r="G298" s="1020" t="s">
        <v>292</v>
      </c>
      <c r="H298" s="1025" t="s">
        <v>494</v>
      </c>
      <c r="I298" s="1026">
        <f>VLOOKUP(H295,'CNKT '!$D$16:$AA$96,11,0)</f>
        <v>25</v>
      </c>
      <c r="J298" s="623">
        <f>46.1*$B$2</f>
        <v>30922.036</v>
      </c>
      <c r="K298" s="1023">
        <f>I298*J298</f>
        <v>773050.9</v>
      </c>
      <c r="L298" s="1015"/>
    </row>
    <row r="299" spans="1:13" s="27" customFormat="1" ht="17.25" customHeight="1">
      <c r="A299" s="1020" t="s">
        <v>379</v>
      </c>
      <c r="B299" s="1025" t="s">
        <v>495</v>
      </c>
      <c r="C299" s="1026">
        <f>VLOOKUP(B295,'CNKT '!$D$16:$AA$96,12,0)</f>
        <v>2</v>
      </c>
      <c r="D299" s="622">
        <f>76.9*$B$2</f>
        <v>51581.444000000003</v>
      </c>
      <c r="E299" s="1023">
        <f t="shared" ref="E299:E300" si="67">C299*D299</f>
        <v>103162.88800000001</v>
      </c>
      <c r="F299" s="1041"/>
      <c r="G299" s="1020" t="s">
        <v>379</v>
      </c>
      <c r="H299" s="1025" t="s">
        <v>495</v>
      </c>
      <c r="I299" s="1026">
        <f>VLOOKUP(H295,'CNKT '!$D$16:$AA$96,12,0)</f>
        <v>2</v>
      </c>
      <c r="J299" s="622">
        <f>76.9*$B$2</f>
        <v>51581.444000000003</v>
      </c>
      <c r="K299" s="1023">
        <f t="shared" ref="K299:K300" si="68">I299*J299</f>
        <v>103162.88800000001</v>
      </c>
      <c r="L299" s="1015"/>
    </row>
    <row r="300" spans="1:13" s="27" customFormat="1" ht="17.25" customHeight="1">
      <c r="A300" s="1020" t="s">
        <v>73</v>
      </c>
      <c r="B300" s="1025" t="s">
        <v>496</v>
      </c>
      <c r="C300" s="1026">
        <f>VLOOKUP(B295,'CNKT '!$D$16:$AA$96,8,0)</f>
        <v>1602.1977553819202</v>
      </c>
      <c r="D300" s="622">
        <f>IF(C296="A",6.1,IF(C296="B",5.8,IF(C296="C",5.5,IF(C296="C.",5.5,IF(C296="D",5.2)))))*$B$2</f>
        <v>4091.6359999999995</v>
      </c>
      <c r="E300" s="1023">
        <f t="shared" si="67"/>
        <v>6555610.0150398575</v>
      </c>
      <c r="F300" s="1045"/>
      <c r="G300" s="1020" t="s">
        <v>73</v>
      </c>
      <c r="H300" s="1025" t="s">
        <v>496</v>
      </c>
      <c r="I300" s="1026">
        <f>VLOOKUP(H295,'CNKT '!$D$16:$AA$96,8,0)</f>
        <v>1634.2331677129371</v>
      </c>
      <c r="J300" s="622">
        <f>IF(I296="A",6.1,IF(I296="B",5.8,IF(I296="C",5.5,IF(I296="C.",5.5,IF(I296="D",5.2)))))*$B$2</f>
        <v>4091.6359999999995</v>
      </c>
      <c r="K300" s="1023">
        <f t="shared" si="68"/>
        <v>6686687.2614082899</v>
      </c>
      <c r="L300" s="1015"/>
    </row>
    <row r="301" spans="1:13" s="27" customFormat="1" ht="17.25" customHeight="1">
      <c r="A301" s="1089" t="s">
        <v>462</v>
      </c>
      <c r="B301" s="1090" t="s">
        <v>497</v>
      </c>
      <c r="C301" s="1091">
        <f>VLOOKUP(B295,'CNKT '!$D$16:$AA$96,13,0)</f>
        <v>0</v>
      </c>
      <c r="D301" s="1092">
        <v>100000</v>
      </c>
      <c r="E301" s="1093">
        <f>C301*D301</f>
        <v>0</v>
      </c>
      <c r="F301" s="1045"/>
      <c r="G301" s="1089" t="s">
        <v>462</v>
      </c>
      <c r="H301" s="1090" t="s">
        <v>497</v>
      </c>
      <c r="I301" s="1091">
        <f>VLOOKUP(H295,'CNKT '!$D$16:$AA$96,13,0)</f>
        <v>0</v>
      </c>
      <c r="J301" s="1092">
        <v>100000</v>
      </c>
      <c r="K301" s="1093">
        <f>I301*J301</f>
        <v>0</v>
      </c>
      <c r="L301" s="1015"/>
    </row>
    <row r="302" spans="1:13" s="27" customFormat="1" ht="17.25" customHeight="1">
      <c r="A302" s="1020" t="s">
        <v>463</v>
      </c>
      <c r="B302" s="1025" t="s">
        <v>467</v>
      </c>
      <c r="C302" s="1026">
        <f>VLOOKUP(B295,'CNKT '!$D$16:$AA$96,16,0)</f>
        <v>0</v>
      </c>
      <c r="D302" s="622">
        <f>153.8*$B$2</f>
        <v>103162.88800000001</v>
      </c>
      <c r="E302" s="1023">
        <f t="shared" ref="E302" si="69">C302*D302</f>
        <v>0</v>
      </c>
      <c r="F302" s="1045"/>
      <c r="G302" s="1020" t="s">
        <v>463</v>
      </c>
      <c r="H302" s="1025" t="s">
        <v>467</v>
      </c>
      <c r="I302" s="1026">
        <f>VLOOKUP(H295,'CNKT '!$D$16:$AA$96,16,0)</f>
        <v>0</v>
      </c>
      <c r="J302" s="622">
        <f>153.8*$B$2</f>
        <v>103162.88800000001</v>
      </c>
      <c r="K302" s="1023">
        <f t="shared" ref="K302" si="70">I302*J302</f>
        <v>0</v>
      </c>
      <c r="L302" s="1015"/>
    </row>
    <row r="303" spans="1:13" s="27" customFormat="1" ht="17.25" customHeight="1">
      <c r="A303" s="1020" t="s">
        <v>425</v>
      </c>
      <c r="B303" s="1025" t="s">
        <v>468</v>
      </c>
      <c r="C303" s="1026">
        <f>VLOOKUP(B295,'CNKT '!$D$16:$AA$96,18,0)</f>
        <v>2</v>
      </c>
      <c r="D303" s="622">
        <v>10000</v>
      </c>
      <c r="E303" s="1023">
        <f>C303*D303</f>
        <v>20000</v>
      </c>
      <c r="F303" s="1045"/>
      <c r="G303" s="1020" t="s">
        <v>425</v>
      </c>
      <c r="H303" s="1025" t="s">
        <v>468</v>
      </c>
      <c r="I303" s="1026">
        <f>VLOOKUP(H295,'CNKT '!$D$16:$AA$96,18,0)</f>
        <v>2</v>
      </c>
      <c r="J303" s="622">
        <v>10000</v>
      </c>
      <c r="K303" s="1023">
        <f>I303*J303</f>
        <v>20000</v>
      </c>
      <c r="L303" s="1015"/>
    </row>
    <row r="304" spans="1:13" s="27" customFormat="1" ht="17.25" customHeight="1">
      <c r="A304" s="1020" t="s">
        <v>425</v>
      </c>
      <c r="B304" s="1025" t="s">
        <v>468</v>
      </c>
      <c r="C304" s="1026">
        <f>VLOOKUP(B295,'CNKT '!$D$16:$AA$96,19,0)</f>
        <v>0</v>
      </c>
      <c r="D304" s="622">
        <v>20000</v>
      </c>
      <c r="E304" s="1023">
        <f>C304*D304</f>
        <v>0</v>
      </c>
      <c r="F304" s="1045"/>
      <c r="G304" s="1020" t="s">
        <v>425</v>
      </c>
      <c r="H304" s="1025" t="s">
        <v>468</v>
      </c>
      <c r="I304" s="1026">
        <f>VLOOKUP(H295,'CNKT '!$D$16:$AA$96,19,0)</f>
        <v>0</v>
      </c>
      <c r="J304" s="622">
        <v>20000</v>
      </c>
      <c r="K304" s="1023">
        <f>I304*J304</f>
        <v>0</v>
      </c>
      <c r="L304" s="1015"/>
    </row>
    <row r="305" spans="1:13" s="27" customFormat="1" ht="17.25" customHeight="1">
      <c r="A305" s="1020" t="s">
        <v>780</v>
      </c>
      <c r="B305" s="1027" t="s">
        <v>781</v>
      </c>
      <c r="C305" s="1026"/>
      <c r="D305" s="622"/>
      <c r="E305" s="1023">
        <f>VLOOKUP(B295,'CNKT '!$D$16:$AE$99,28,0)</f>
        <v>0</v>
      </c>
      <c r="F305" s="1045"/>
      <c r="G305" s="1020" t="s">
        <v>780</v>
      </c>
      <c r="H305" s="1027" t="s">
        <v>781</v>
      </c>
      <c r="I305" s="1026"/>
      <c r="J305" s="622"/>
      <c r="K305" s="1023">
        <f>VLOOKUP(H295,'CNKT '!$D$16:$AE$99,28,0)</f>
        <v>0</v>
      </c>
      <c r="L305" s="1015"/>
    </row>
    <row r="306" spans="1:13" s="27" customFormat="1" ht="17.25" customHeight="1">
      <c r="A306" s="1028" t="s">
        <v>74</v>
      </c>
      <c r="B306" s="1029" t="s">
        <v>498</v>
      </c>
      <c r="C306" s="1030"/>
      <c r="D306" s="1031"/>
      <c r="E306" s="1030"/>
      <c r="F306" s="1045"/>
      <c r="G306" s="1028" t="s">
        <v>74</v>
      </c>
      <c r="H306" s="1029" t="s">
        <v>498</v>
      </c>
      <c r="I306" s="1030"/>
      <c r="J306" s="1031"/>
      <c r="K306" s="1030"/>
      <c r="L306" s="1015"/>
    </row>
    <row r="307" spans="1:13" s="27" customFormat="1" ht="17.25" customHeight="1">
      <c r="A307" s="1032" t="s">
        <v>75</v>
      </c>
      <c r="B307" s="1033" t="s">
        <v>499</v>
      </c>
      <c r="C307" s="1030"/>
      <c r="D307" s="1030"/>
      <c r="E307" s="1030"/>
      <c r="F307" s="1045"/>
      <c r="G307" s="1032" t="s">
        <v>75</v>
      </c>
      <c r="H307" s="1033" t="s">
        <v>499</v>
      </c>
      <c r="I307" s="1030"/>
      <c r="J307" s="1030"/>
      <c r="K307" s="1030"/>
      <c r="L307" s="1015"/>
    </row>
    <row r="308" spans="1:13" s="27" customFormat="1" ht="17.25" customHeight="1">
      <c r="A308" s="1032" t="s">
        <v>76</v>
      </c>
      <c r="B308" s="1034" t="s">
        <v>500</v>
      </c>
      <c r="C308" s="1030"/>
      <c r="D308" s="1030"/>
      <c r="E308" s="1023">
        <f>SUM(E307)</f>
        <v>0</v>
      </c>
      <c r="F308" s="1045"/>
      <c r="G308" s="1032" t="s">
        <v>76</v>
      </c>
      <c r="H308" s="1034" t="s">
        <v>500</v>
      </c>
      <c r="I308" s="1030"/>
      <c r="J308" s="1030"/>
      <c r="K308" s="1023">
        <f>SUM(K307)</f>
        <v>0</v>
      </c>
      <c r="L308" s="1015"/>
      <c r="M308" s="1035">
        <f>E308+K308</f>
        <v>0</v>
      </c>
    </row>
    <row r="309" spans="1:13" s="27" customFormat="1" ht="17.25" customHeight="1">
      <c r="A309" s="1036" t="s">
        <v>77</v>
      </c>
      <c r="B309" s="1037" t="s">
        <v>412</v>
      </c>
      <c r="C309" s="1038"/>
      <c r="D309" s="1038"/>
      <c r="E309" s="1038">
        <f>(E297+E298+E299+E300+E301+E302+E303+E304+E305)-E308</f>
        <v>7451823.8030398572</v>
      </c>
      <c r="F309" s="1045"/>
      <c r="G309" s="1036" t="s">
        <v>77</v>
      </c>
      <c r="H309" s="1037" t="s">
        <v>412</v>
      </c>
      <c r="I309" s="1038"/>
      <c r="J309" s="1038"/>
      <c r="K309" s="1038">
        <f>(K297+K298+K299+K300+K301+K302+K303+K304+K305)-K308</f>
        <v>7582901.0494082896</v>
      </c>
      <c r="L309" s="1040">
        <f>E309+K309</f>
        <v>15034724.852448147</v>
      </c>
    </row>
    <row r="310" spans="1:13" s="27" customFormat="1" ht="12" customHeight="1">
      <c r="A310" s="1045"/>
      <c r="B310" s="1050"/>
      <c r="C310" s="1051"/>
      <c r="D310" s="1051"/>
      <c r="E310" s="1049"/>
      <c r="F310" s="1045"/>
      <c r="G310" s="1045"/>
      <c r="H310" s="1050"/>
      <c r="I310" s="1051"/>
      <c r="J310" s="1049"/>
      <c r="K310" s="1043"/>
      <c r="L310" s="1015"/>
    </row>
    <row r="311" spans="1:13" s="27" customFormat="1" ht="17.25" customHeight="1">
      <c r="A311" s="1611" t="str">
        <f>G294</f>
        <v>LƯƠNG THÁNG 08/2025</v>
      </c>
      <c r="B311" s="1612"/>
      <c r="C311" s="1612"/>
      <c r="D311" s="1612"/>
      <c r="E311" s="1014">
        <v>37</v>
      </c>
      <c r="F311" s="1049"/>
      <c r="G311" s="1611" t="str">
        <f>A311</f>
        <v>LƯƠNG THÁNG 08/2025</v>
      </c>
      <c r="H311" s="1612"/>
      <c r="I311" s="1612"/>
      <c r="J311" s="1613"/>
      <c r="K311" s="1014">
        <v>38</v>
      </c>
      <c r="L311" s="1015"/>
    </row>
    <row r="312" spans="1:13" s="27" customFormat="1" ht="17.25" customHeight="1">
      <c r="A312" s="1044" t="s">
        <v>13</v>
      </c>
      <c r="B312" s="1016" t="str">
        <f>'CNKT '!D52</f>
        <v>T. Bi Ly (2)</v>
      </c>
      <c r="C312" s="1017"/>
      <c r="D312" s="1018" t="s">
        <v>376</v>
      </c>
      <c r="E312" s="1018" t="s">
        <v>16</v>
      </c>
      <c r="F312" s="1041"/>
      <c r="G312" s="1044" t="s">
        <v>13</v>
      </c>
      <c r="H312" s="1016" t="str">
        <f>'CNKT '!D53</f>
        <v>N. Ba Say</v>
      </c>
      <c r="I312" s="1017"/>
      <c r="J312" s="1018" t="s">
        <v>376</v>
      </c>
      <c r="K312" s="1018" t="s">
        <v>16</v>
      </c>
      <c r="L312" s="1015"/>
    </row>
    <row r="313" spans="1:13" s="27" customFormat="1" ht="17.25" customHeight="1">
      <c r="A313" s="1020" t="s">
        <v>377</v>
      </c>
      <c r="B313" s="1021" t="s">
        <v>493</v>
      </c>
      <c r="C313" s="1022" t="str">
        <f>VLOOKUP(B312,'BTH mủ tạp'!$D$17:$AN$94,37,0)</f>
        <v>A</v>
      </c>
      <c r="D313" s="1023"/>
      <c r="E313" s="1023"/>
      <c r="F313" s="1045"/>
      <c r="G313" s="1020" t="s">
        <v>377</v>
      </c>
      <c r="H313" s="1021" t="s">
        <v>493</v>
      </c>
      <c r="I313" s="1022" t="str">
        <f>VLOOKUP(H312,'BTH mủ tạp'!$D$17:$AN$94,37,0)</f>
        <v>A</v>
      </c>
      <c r="J313" s="1023"/>
      <c r="K313" s="1023"/>
      <c r="L313" s="1015"/>
    </row>
    <row r="314" spans="1:13" s="27" customFormat="1" ht="17.25" customHeight="1">
      <c r="A314" s="1020" t="s">
        <v>72</v>
      </c>
      <c r="B314" s="1024" t="s">
        <v>406</v>
      </c>
      <c r="C314" s="621">
        <f>VLOOKUP(B312,'CNKT '!$D$16:$AA$96,3,0)</f>
        <v>0</v>
      </c>
      <c r="D314" s="622">
        <v>25000</v>
      </c>
      <c r="E314" s="1023">
        <f>C314*D314</f>
        <v>0</v>
      </c>
      <c r="F314" s="1045"/>
      <c r="G314" s="1020" t="s">
        <v>72</v>
      </c>
      <c r="H314" s="1024" t="s">
        <v>406</v>
      </c>
      <c r="I314" s="621">
        <f>VLOOKUP(H312,'CNKT '!$D$16:$AA$96,3,0)</f>
        <v>0</v>
      </c>
      <c r="J314" s="622">
        <v>25000</v>
      </c>
      <c r="K314" s="1023">
        <f>I314*J314</f>
        <v>0</v>
      </c>
      <c r="L314" s="1015"/>
    </row>
    <row r="315" spans="1:13" s="27" customFormat="1" ht="17.25" customHeight="1">
      <c r="A315" s="1020" t="s">
        <v>292</v>
      </c>
      <c r="B315" s="1025" t="s">
        <v>494</v>
      </c>
      <c r="C315" s="1026">
        <f>VLOOKUP(B312,'CNKT '!$D$16:$AA$96,11,0)</f>
        <v>26</v>
      </c>
      <c r="D315" s="623">
        <f>46.1*$B$2</f>
        <v>30922.036</v>
      </c>
      <c r="E315" s="1023">
        <f>C315*D315</f>
        <v>803972.93599999999</v>
      </c>
      <c r="F315" s="1045"/>
      <c r="G315" s="1020" t="s">
        <v>292</v>
      </c>
      <c r="H315" s="1025" t="s">
        <v>494</v>
      </c>
      <c r="I315" s="1026">
        <f>VLOOKUP(H312,'CNKT '!$D$16:$AA$96,11,0)</f>
        <v>24</v>
      </c>
      <c r="J315" s="623">
        <f>46.1*$B$2</f>
        <v>30922.036</v>
      </c>
      <c r="K315" s="1023">
        <f>I315*J315</f>
        <v>742128.86400000006</v>
      </c>
      <c r="L315" s="1015"/>
    </row>
    <row r="316" spans="1:13" s="27" customFormat="1" ht="17.25" customHeight="1">
      <c r="A316" s="1020" t="s">
        <v>379</v>
      </c>
      <c r="B316" s="1025" t="s">
        <v>495</v>
      </c>
      <c r="C316" s="1026">
        <f>VLOOKUP(B312,'CNKT '!$D$16:$AA$96,12,0)</f>
        <v>2</v>
      </c>
      <c r="D316" s="622">
        <f>76.9*$B$2</f>
        <v>51581.444000000003</v>
      </c>
      <c r="E316" s="1023">
        <f t="shared" ref="E316:E317" si="71">C316*D316</f>
        <v>103162.88800000001</v>
      </c>
      <c r="F316" s="1045"/>
      <c r="G316" s="1020" t="s">
        <v>379</v>
      </c>
      <c r="H316" s="1025" t="s">
        <v>495</v>
      </c>
      <c r="I316" s="1026">
        <f>VLOOKUP(H312,'CNKT '!$D$16:$AA$96,12,0)</f>
        <v>2</v>
      </c>
      <c r="J316" s="622">
        <f>76.9*$B$2</f>
        <v>51581.444000000003</v>
      </c>
      <c r="K316" s="1023">
        <f t="shared" ref="K316:K317" si="72">I316*J316</f>
        <v>103162.88800000001</v>
      </c>
      <c r="L316" s="1015"/>
    </row>
    <row r="317" spans="1:13" s="27" customFormat="1" ht="17.25" customHeight="1">
      <c r="A317" s="1020" t="s">
        <v>73</v>
      </c>
      <c r="B317" s="1025" t="s">
        <v>496</v>
      </c>
      <c r="C317" s="1026">
        <f>VLOOKUP(B312,'CNKT '!$D$16:$AA$96,8,0)</f>
        <v>1767.0733441788866</v>
      </c>
      <c r="D317" s="622">
        <f>IF(C313="A",6.1,IF(C313="B",5.8,IF(C313="C",5.5,IF(C313="C.",5.5,IF(C313="D",5.2)))))*$B$2</f>
        <v>4091.6359999999995</v>
      </c>
      <c r="E317" s="1023">
        <f t="shared" si="71"/>
        <v>7230220.9096827218</v>
      </c>
      <c r="F317" s="1048"/>
      <c r="G317" s="1020" t="s">
        <v>73</v>
      </c>
      <c r="H317" s="1025" t="s">
        <v>496</v>
      </c>
      <c r="I317" s="1026">
        <f>VLOOKUP(H312,'CNKT '!$D$16:$AA$96,8,0)</f>
        <v>1253.2253303893772</v>
      </c>
      <c r="J317" s="622">
        <f>IF(I313="A",6.1,IF(I313="B",5.8,IF(I313="C",5.5,IF(I313="C.",5.5,IF(I313="D",5.2)))))*$B$2</f>
        <v>4091.6359999999995</v>
      </c>
      <c r="K317" s="1023">
        <f t="shared" si="72"/>
        <v>5127741.8779330691</v>
      </c>
      <c r="L317" s="1015"/>
    </row>
    <row r="318" spans="1:13" s="27" customFormat="1" ht="17.25" customHeight="1">
      <c r="A318" s="1089" t="s">
        <v>462</v>
      </c>
      <c r="B318" s="1090" t="s">
        <v>497</v>
      </c>
      <c r="C318" s="1091">
        <f>VLOOKUP(B312,'CNKT '!$D$16:$AA$96,13,0)</f>
        <v>0</v>
      </c>
      <c r="D318" s="1092">
        <v>100000</v>
      </c>
      <c r="E318" s="1093">
        <f>C318*D318</f>
        <v>0</v>
      </c>
      <c r="F318" s="1048"/>
      <c r="G318" s="1089" t="s">
        <v>462</v>
      </c>
      <c r="H318" s="1090" t="s">
        <v>497</v>
      </c>
      <c r="I318" s="1091">
        <f>VLOOKUP(H312,'CNKT '!$D$16:$AA$96,13,0)</f>
        <v>0</v>
      </c>
      <c r="J318" s="1092">
        <v>100000</v>
      </c>
      <c r="K318" s="1093">
        <f>I318*J318</f>
        <v>0</v>
      </c>
      <c r="L318" s="1015"/>
    </row>
    <row r="319" spans="1:13" s="27" customFormat="1" ht="17.25" customHeight="1">
      <c r="A319" s="1020" t="s">
        <v>463</v>
      </c>
      <c r="B319" s="1025" t="s">
        <v>467</v>
      </c>
      <c r="C319" s="1026">
        <f>VLOOKUP(B312,'CNKT '!$D$16:$AA$96,16,0)</f>
        <v>0</v>
      </c>
      <c r="D319" s="622">
        <f>153.8*$B$2</f>
        <v>103162.88800000001</v>
      </c>
      <c r="E319" s="1023">
        <f t="shared" ref="E319" si="73">C319*D319</f>
        <v>0</v>
      </c>
      <c r="F319" s="1048"/>
      <c r="G319" s="1020" t="s">
        <v>463</v>
      </c>
      <c r="H319" s="1025" t="s">
        <v>467</v>
      </c>
      <c r="I319" s="1026">
        <f>VLOOKUP(H312,'CNKT '!$D$16:$AA$96,16,0)</f>
        <v>0</v>
      </c>
      <c r="J319" s="622">
        <f>153.8*$B$2</f>
        <v>103162.88800000001</v>
      </c>
      <c r="K319" s="1023">
        <f t="shared" ref="K319" si="74">I319*J319</f>
        <v>0</v>
      </c>
      <c r="L319" s="1015"/>
    </row>
    <row r="320" spans="1:13" s="27" customFormat="1" ht="17.25" customHeight="1">
      <c r="A320" s="1020" t="s">
        <v>425</v>
      </c>
      <c r="B320" s="1025" t="s">
        <v>468</v>
      </c>
      <c r="C320" s="1026">
        <f>VLOOKUP(B312,'CNKT '!$D$16:$AA$96,18,0)</f>
        <v>2</v>
      </c>
      <c r="D320" s="622">
        <v>10000</v>
      </c>
      <c r="E320" s="1023">
        <f>C320*D320</f>
        <v>20000</v>
      </c>
      <c r="F320" s="1048"/>
      <c r="G320" s="1020" t="s">
        <v>425</v>
      </c>
      <c r="H320" s="1025" t="s">
        <v>468</v>
      </c>
      <c r="I320" s="1026">
        <f>VLOOKUP(H312,'CNKT '!$D$16:$AA$96,18,0)</f>
        <v>2</v>
      </c>
      <c r="J320" s="622">
        <v>10000</v>
      </c>
      <c r="K320" s="1023">
        <f>I320*J320</f>
        <v>20000</v>
      </c>
      <c r="L320" s="1015"/>
    </row>
    <row r="321" spans="1:13" s="27" customFormat="1" ht="17.25" customHeight="1">
      <c r="A321" s="1020" t="s">
        <v>425</v>
      </c>
      <c r="B321" s="1025" t="s">
        <v>468</v>
      </c>
      <c r="C321" s="1026">
        <f>VLOOKUP(B312,'CNKT '!$D$16:$AA$96,19,0)</f>
        <v>0</v>
      </c>
      <c r="D321" s="622">
        <v>20000</v>
      </c>
      <c r="E321" s="1023">
        <f>C321*D321</f>
        <v>0</v>
      </c>
      <c r="F321" s="1048"/>
      <c r="G321" s="1020" t="s">
        <v>425</v>
      </c>
      <c r="H321" s="1025" t="s">
        <v>468</v>
      </c>
      <c r="I321" s="1026">
        <f>VLOOKUP(H312,'CNKT '!$D$16:$AA$96,19,0)</f>
        <v>0</v>
      </c>
      <c r="J321" s="622">
        <v>20000</v>
      </c>
      <c r="K321" s="1023">
        <f>I321*J321</f>
        <v>0</v>
      </c>
      <c r="L321" s="1015"/>
    </row>
    <row r="322" spans="1:13" s="27" customFormat="1" ht="17.25" customHeight="1">
      <c r="A322" s="1020" t="s">
        <v>780</v>
      </c>
      <c r="B322" s="1027" t="s">
        <v>781</v>
      </c>
      <c r="C322" s="1026"/>
      <c r="D322" s="622"/>
      <c r="E322" s="1023">
        <f>VLOOKUP(B312,'CNKT '!$D$16:$AE$99,28,0)</f>
        <v>0</v>
      </c>
      <c r="F322" s="1048"/>
      <c r="G322" s="1020" t="s">
        <v>780</v>
      </c>
      <c r="H322" s="1027" t="s">
        <v>781</v>
      </c>
      <c r="I322" s="1026"/>
      <c r="J322" s="622"/>
      <c r="K322" s="1023">
        <f>VLOOKUP(H312,'CNKT '!$D$16:$AE$99,28,0)</f>
        <v>0</v>
      </c>
      <c r="L322" s="1015"/>
    </row>
    <row r="323" spans="1:13" s="27" customFormat="1" ht="17.25" customHeight="1">
      <c r="A323" s="1028" t="s">
        <v>74</v>
      </c>
      <c r="B323" s="1029" t="s">
        <v>498</v>
      </c>
      <c r="C323" s="1030"/>
      <c r="D323" s="1031"/>
      <c r="E323" s="1030"/>
      <c r="F323" s="1048"/>
      <c r="G323" s="1028" t="s">
        <v>74</v>
      </c>
      <c r="H323" s="1029" t="s">
        <v>498</v>
      </c>
      <c r="I323" s="1030"/>
      <c r="J323" s="1031"/>
      <c r="K323" s="1030"/>
      <c r="L323" s="1015"/>
    </row>
    <row r="324" spans="1:13" s="27" customFormat="1" ht="17.25" customHeight="1">
      <c r="A324" s="1032" t="s">
        <v>75</v>
      </c>
      <c r="B324" s="1033" t="s">
        <v>499</v>
      </c>
      <c r="C324" s="1030"/>
      <c r="D324" s="1030"/>
      <c r="E324" s="1030"/>
      <c r="F324" s="1041"/>
      <c r="G324" s="1032" t="s">
        <v>75</v>
      </c>
      <c r="H324" s="1033" t="s">
        <v>499</v>
      </c>
      <c r="I324" s="1030"/>
      <c r="J324" s="1030"/>
      <c r="K324" s="1030"/>
      <c r="L324" s="1015"/>
    </row>
    <row r="325" spans="1:13" s="27" customFormat="1" ht="17.25" customHeight="1">
      <c r="A325" s="1032" t="s">
        <v>76</v>
      </c>
      <c r="B325" s="1034" t="s">
        <v>500</v>
      </c>
      <c r="C325" s="1030"/>
      <c r="D325" s="1030"/>
      <c r="E325" s="1023">
        <f>SUM(E324)</f>
        <v>0</v>
      </c>
      <c r="F325" s="1041"/>
      <c r="G325" s="1032" t="s">
        <v>76</v>
      </c>
      <c r="H325" s="1034" t="s">
        <v>500</v>
      </c>
      <c r="I325" s="1030"/>
      <c r="J325" s="1030"/>
      <c r="K325" s="1023">
        <f>SUM(K324)</f>
        <v>0</v>
      </c>
      <c r="L325" s="1015"/>
      <c r="M325" s="1035">
        <f>E325+K325</f>
        <v>0</v>
      </c>
    </row>
    <row r="326" spans="1:13" s="27" customFormat="1" ht="17.25" customHeight="1">
      <c r="A326" s="1036" t="s">
        <v>77</v>
      </c>
      <c r="B326" s="1037" t="s">
        <v>412</v>
      </c>
      <c r="C326" s="1038"/>
      <c r="D326" s="1038"/>
      <c r="E326" s="1038">
        <f>(E314+E315+E316+E317+E318+E319+E320+E321+E322)-E325</f>
        <v>8157356.7336827219</v>
      </c>
      <c r="F326" s="1041"/>
      <c r="G326" s="1036" t="s">
        <v>77</v>
      </c>
      <c r="H326" s="1037" t="s">
        <v>412</v>
      </c>
      <c r="I326" s="1038"/>
      <c r="J326" s="1038"/>
      <c r="K326" s="1038">
        <f>(K314+K315+K316+K317+K318+K319+K320+K321+K322)-K325</f>
        <v>5993033.6299330695</v>
      </c>
      <c r="L326" s="1040">
        <f>E326+K326</f>
        <v>14150390.363615792</v>
      </c>
    </row>
    <row r="327" spans="1:13" s="27" customFormat="1" ht="17.25" customHeight="1">
      <c r="A327" s="1045"/>
      <c r="B327" s="1050"/>
      <c r="C327" s="1051"/>
      <c r="D327" s="1051"/>
      <c r="E327" s="1049"/>
      <c r="F327" s="1041"/>
      <c r="G327" s="1045"/>
      <c r="H327" s="1050"/>
      <c r="I327" s="1051"/>
      <c r="J327" s="1049"/>
      <c r="K327" s="1043"/>
      <c r="L327" s="1015"/>
    </row>
    <row r="328" spans="1:13" s="27" customFormat="1" ht="17.25" customHeight="1">
      <c r="A328" s="1035"/>
      <c r="B328" s="1054"/>
      <c r="C328" s="624"/>
      <c r="D328" s="624"/>
      <c r="E328" s="1045"/>
      <c r="F328" s="1045"/>
      <c r="G328" s="1035"/>
      <c r="H328" s="1054"/>
      <c r="I328" s="624"/>
      <c r="J328" s="1045"/>
      <c r="K328" s="1043"/>
      <c r="L328" s="1015"/>
    </row>
    <row r="329" spans="1:13" s="27" customFormat="1" ht="17.25" customHeight="1">
      <c r="A329" s="1611" t="str">
        <f>G311</f>
        <v>LƯƠNG THÁNG 08/2025</v>
      </c>
      <c r="B329" s="1612"/>
      <c r="C329" s="1612"/>
      <c r="D329" s="1612"/>
      <c r="E329" s="1014">
        <v>39</v>
      </c>
      <c r="F329" s="1045"/>
      <c r="G329" s="1611" t="str">
        <f>A329</f>
        <v>LƯƠNG THÁNG 08/2025</v>
      </c>
      <c r="H329" s="1612"/>
      <c r="I329" s="1612"/>
      <c r="J329" s="1613"/>
      <c r="K329" s="1014">
        <v>40</v>
      </c>
      <c r="L329" s="1015"/>
    </row>
    <row r="330" spans="1:13" s="27" customFormat="1" ht="17.25" customHeight="1">
      <c r="A330" s="1044" t="s">
        <v>13</v>
      </c>
      <c r="B330" s="1016" t="str">
        <f>'CNKT '!D54</f>
        <v>N. Đeng</v>
      </c>
      <c r="C330" s="1017"/>
      <c r="D330" s="1018" t="s">
        <v>376</v>
      </c>
      <c r="E330" s="1018" t="s">
        <v>16</v>
      </c>
      <c r="F330" s="1045"/>
      <c r="G330" s="1044" t="s">
        <v>13</v>
      </c>
      <c r="H330" s="1016" t="str">
        <f>'CNKT '!D55</f>
        <v>T. Tinh</v>
      </c>
      <c r="I330" s="1017"/>
      <c r="J330" s="1018" t="s">
        <v>376</v>
      </c>
      <c r="K330" s="1018" t="s">
        <v>16</v>
      </c>
      <c r="L330" s="1015"/>
    </row>
    <row r="331" spans="1:13" s="27" customFormat="1" ht="17.25" customHeight="1">
      <c r="A331" s="1020" t="s">
        <v>377</v>
      </c>
      <c r="B331" s="1021" t="s">
        <v>493</v>
      </c>
      <c r="C331" s="1022" t="str">
        <f>VLOOKUP(B330,'BTH mủ tạp'!$D$17:$AN$94,37,0)</f>
        <v>A</v>
      </c>
      <c r="D331" s="1023"/>
      <c r="E331" s="1023"/>
      <c r="F331" s="1045"/>
      <c r="G331" s="1020" t="s">
        <v>377</v>
      </c>
      <c r="H331" s="1021" t="s">
        <v>493</v>
      </c>
      <c r="I331" s="1022" t="str">
        <f>VLOOKUP(H330,'BTH mủ tạp'!$D$17:$AN$94,37,0)</f>
        <v>B</v>
      </c>
      <c r="J331" s="1023"/>
      <c r="K331" s="1023"/>
      <c r="L331" s="1015"/>
    </row>
    <row r="332" spans="1:13" s="27" customFormat="1" ht="17.25" customHeight="1">
      <c r="A332" s="1020" t="s">
        <v>72</v>
      </c>
      <c r="B332" s="1024" t="s">
        <v>406</v>
      </c>
      <c r="C332" s="621">
        <f>VLOOKUP(B330,'CNKT '!$D$16:$AA$96,3,0)</f>
        <v>0</v>
      </c>
      <c r="D332" s="622">
        <v>25000</v>
      </c>
      <c r="E332" s="1023">
        <f>C332*D332</f>
        <v>0</v>
      </c>
      <c r="F332" s="1048"/>
      <c r="G332" s="1020" t="s">
        <v>72</v>
      </c>
      <c r="H332" s="1024" t="s">
        <v>406</v>
      </c>
      <c r="I332" s="621">
        <f>VLOOKUP(H330,'CNKT '!$D$16:$AA$96,3,0)</f>
        <v>0</v>
      </c>
      <c r="J332" s="622">
        <v>25000</v>
      </c>
      <c r="K332" s="1023">
        <f>I332*J332</f>
        <v>0</v>
      </c>
      <c r="L332" s="1015"/>
    </row>
    <row r="333" spans="1:13" s="27" customFormat="1" ht="17.25" customHeight="1">
      <c r="A333" s="1020" t="s">
        <v>292</v>
      </c>
      <c r="B333" s="1025" t="s">
        <v>494</v>
      </c>
      <c r="C333" s="1026">
        <f>VLOOKUP(B330,'CNKT '!$D$16:$AA$96,11,0)</f>
        <v>25</v>
      </c>
      <c r="D333" s="623">
        <f>46.1*$B$2</f>
        <v>30922.036</v>
      </c>
      <c r="E333" s="1023">
        <f>C333*D333</f>
        <v>773050.9</v>
      </c>
      <c r="F333" s="1048"/>
      <c r="G333" s="1020" t="s">
        <v>292</v>
      </c>
      <c r="H333" s="1025" t="s">
        <v>494</v>
      </c>
      <c r="I333" s="1026">
        <f>VLOOKUP(H330,'CNKT '!$D$16:$AA$96,11,0)</f>
        <v>24</v>
      </c>
      <c r="J333" s="623">
        <f>46.1*$B$2</f>
        <v>30922.036</v>
      </c>
      <c r="K333" s="1023">
        <f>I333*J333</f>
        <v>742128.86400000006</v>
      </c>
      <c r="L333" s="1015"/>
    </row>
    <row r="334" spans="1:13" s="27" customFormat="1" ht="17.25" customHeight="1">
      <c r="A334" s="1020" t="s">
        <v>379</v>
      </c>
      <c r="B334" s="1025" t="s">
        <v>495</v>
      </c>
      <c r="C334" s="1026">
        <f>VLOOKUP(B330,'CNKT '!$D$16:$AA$96,12,0)</f>
        <v>2</v>
      </c>
      <c r="D334" s="622">
        <f>76.9*$B$2</f>
        <v>51581.444000000003</v>
      </c>
      <c r="E334" s="1023">
        <f t="shared" ref="E334:E335" si="75">C334*D334</f>
        <v>103162.88800000001</v>
      </c>
      <c r="F334" s="1049"/>
      <c r="G334" s="1020" t="s">
        <v>379</v>
      </c>
      <c r="H334" s="1025" t="s">
        <v>495</v>
      </c>
      <c r="I334" s="1026">
        <f>VLOOKUP(H330,'CNKT '!$D$16:$AA$96,12,0)</f>
        <v>2</v>
      </c>
      <c r="J334" s="622">
        <f>76.9*$B$2</f>
        <v>51581.444000000003</v>
      </c>
      <c r="K334" s="1023">
        <f t="shared" ref="K334:K335" si="76">I334*J334</f>
        <v>103162.88800000001</v>
      </c>
      <c r="L334" s="1015"/>
    </row>
    <row r="335" spans="1:13" s="27" customFormat="1" ht="17.25" customHeight="1">
      <c r="A335" s="1020" t="s">
        <v>73</v>
      </c>
      <c r="B335" s="1025" t="s">
        <v>496</v>
      </c>
      <c r="C335" s="1026">
        <f>VLOOKUP(B330,'CNKT '!$D$16:$AA$96,8,0)</f>
        <v>1720.5152115911421</v>
      </c>
      <c r="D335" s="622">
        <f>IF(C331="A",6.1,IF(C331="B",5.8,IF(C331="C",5.5,IF(C331="C.",5.5,IF(C331="D",5.2)))))*$B$2</f>
        <v>4091.6359999999995</v>
      </c>
      <c r="E335" s="1023">
        <f t="shared" si="75"/>
        <v>7039721.9782939339</v>
      </c>
      <c r="F335" s="1049"/>
      <c r="G335" s="1020" t="s">
        <v>73</v>
      </c>
      <c r="H335" s="1025" t="s">
        <v>496</v>
      </c>
      <c r="I335" s="1026">
        <f>VLOOKUP(H330,'CNKT '!$D$16:$AA$96,8,0)</f>
        <v>1210.0843084502746</v>
      </c>
      <c r="J335" s="622">
        <f>IF(I331="A",6.1,IF(I331="B",5.8,IF(I331="C",5.5,IF(I331="C.",5.5,IF(I331="D",5.2)))))*$B$2</f>
        <v>3890.4079999999999</v>
      </c>
      <c r="K335" s="1023">
        <f t="shared" si="76"/>
        <v>4707721.6742694164</v>
      </c>
      <c r="L335" s="1015"/>
    </row>
    <row r="336" spans="1:13" s="27" customFormat="1" ht="17.25" customHeight="1">
      <c r="A336" s="1089" t="s">
        <v>462</v>
      </c>
      <c r="B336" s="1090" t="s">
        <v>497</v>
      </c>
      <c r="C336" s="1091">
        <f>VLOOKUP(B330,'CNKT '!$D$16:$AA$96,13,0)</f>
        <v>0</v>
      </c>
      <c r="D336" s="1092">
        <v>100000</v>
      </c>
      <c r="E336" s="1093">
        <f>C336*D336</f>
        <v>0</v>
      </c>
      <c r="F336" s="1049"/>
      <c r="G336" s="1089" t="s">
        <v>462</v>
      </c>
      <c r="H336" s="1090" t="s">
        <v>497</v>
      </c>
      <c r="I336" s="1091">
        <f>VLOOKUP(H330,'CNKT '!$D$16:$AA$96,13,0)</f>
        <v>0</v>
      </c>
      <c r="J336" s="1092">
        <v>100000</v>
      </c>
      <c r="K336" s="1093">
        <f>I336*J336</f>
        <v>0</v>
      </c>
      <c r="L336" s="1015"/>
    </row>
    <row r="337" spans="1:13" s="27" customFormat="1" ht="17.25" customHeight="1">
      <c r="A337" s="1020" t="s">
        <v>463</v>
      </c>
      <c r="B337" s="1025" t="s">
        <v>467</v>
      </c>
      <c r="C337" s="1026">
        <f>VLOOKUP(B330,'CNKT '!$D$16:$AA$96,16,0)</f>
        <v>0</v>
      </c>
      <c r="D337" s="622">
        <f>153.8*$B$2</f>
        <v>103162.88800000001</v>
      </c>
      <c r="E337" s="1023">
        <f t="shared" ref="E337" si="77">C337*D337</f>
        <v>0</v>
      </c>
      <c r="F337" s="1049"/>
      <c r="G337" s="1020" t="s">
        <v>463</v>
      </c>
      <c r="H337" s="1025" t="s">
        <v>467</v>
      </c>
      <c r="I337" s="1026">
        <f>VLOOKUP(H330,'CNKT '!$D$16:$AA$96,16,0)</f>
        <v>0</v>
      </c>
      <c r="J337" s="622">
        <f>153.8*$B$2</f>
        <v>103162.88800000001</v>
      </c>
      <c r="K337" s="1023">
        <f t="shared" ref="K337" si="78">I337*J337</f>
        <v>0</v>
      </c>
      <c r="L337" s="1015"/>
    </row>
    <row r="338" spans="1:13" s="27" customFormat="1" ht="17.25" customHeight="1">
      <c r="A338" s="1020" t="s">
        <v>425</v>
      </c>
      <c r="B338" s="1025" t="s">
        <v>468</v>
      </c>
      <c r="C338" s="1026">
        <f>VLOOKUP(B330,'CNKT '!$D$16:$AA$96,18,0)</f>
        <v>2</v>
      </c>
      <c r="D338" s="622">
        <v>10000</v>
      </c>
      <c r="E338" s="1023">
        <f>C338*D338</f>
        <v>20000</v>
      </c>
      <c r="F338" s="1049"/>
      <c r="G338" s="1020" t="s">
        <v>425</v>
      </c>
      <c r="H338" s="1025" t="s">
        <v>468</v>
      </c>
      <c r="I338" s="1026">
        <f>VLOOKUP(H330,'CNKT '!$D$16:$AA$96,18,0)</f>
        <v>2</v>
      </c>
      <c r="J338" s="622">
        <v>10000</v>
      </c>
      <c r="K338" s="1023">
        <f>I338*J338</f>
        <v>20000</v>
      </c>
      <c r="L338" s="1015"/>
    </row>
    <row r="339" spans="1:13" s="27" customFormat="1" ht="17.25" customHeight="1">
      <c r="A339" s="1020" t="s">
        <v>425</v>
      </c>
      <c r="B339" s="1025" t="s">
        <v>468</v>
      </c>
      <c r="C339" s="1026">
        <f>VLOOKUP(B330,'CNKT '!$D$16:$AA$96,19,0)</f>
        <v>0</v>
      </c>
      <c r="D339" s="622">
        <v>20000</v>
      </c>
      <c r="E339" s="1023">
        <f>C339*D339</f>
        <v>0</v>
      </c>
      <c r="F339" s="1049"/>
      <c r="G339" s="1020" t="s">
        <v>425</v>
      </c>
      <c r="H339" s="1025" t="s">
        <v>468</v>
      </c>
      <c r="I339" s="1026">
        <f>VLOOKUP(H330,'CNKT '!$D$16:$AA$96,19,0)</f>
        <v>0</v>
      </c>
      <c r="J339" s="622">
        <v>20000</v>
      </c>
      <c r="K339" s="1023">
        <f>I339*J339</f>
        <v>0</v>
      </c>
      <c r="L339" s="1015"/>
    </row>
    <row r="340" spans="1:13" s="27" customFormat="1" ht="17.25" customHeight="1">
      <c r="A340" s="1020" t="s">
        <v>780</v>
      </c>
      <c r="B340" s="1027" t="s">
        <v>781</v>
      </c>
      <c r="C340" s="1026"/>
      <c r="D340" s="622"/>
      <c r="E340" s="1023">
        <f>VLOOKUP(B330,'CNKT '!$D$16:$AE$99,28,0)</f>
        <v>0</v>
      </c>
      <c r="F340" s="1049"/>
      <c r="G340" s="1020" t="s">
        <v>780</v>
      </c>
      <c r="H340" s="1027" t="s">
        <v>781</v>
      </c>
      <c r="I340" s="1026"/>
      <c r="J340" s="622"/>
      <c r="K340" s="1023">
        <f>VLOOKUP(H330,'CNKT '!$D$16:$AE$99,28,0)</f>
        <v>0</v>
      </c>
      <c r="L340" s="1015"/>
    </row>
    <row r="341" spans="1:13" s="27" customFormat="1" ht="17.25" customHeight="1">
      <c r="A341" s="1028" t="s">
        <v>74</v>
      </c>
      <c r="B341" s="1029" t="s">
        <v>498</v>
      </c>
      <c r="C341" s="1030"/>
      <c r="D341" s="1031"/>
      <c r="E341" s="1030"/>
      <c r="G341" s="1028" t="s">
        <v>74</v>
      </c>
      <c r="H341" s="1029" t="s">
        <v>498</v>
      </c>
      <c r="I341" s="1030"/>
      <c r="J341" s="1031"/>
      <c r="K341" s="1030"/>
      <c r="L341" s="1015"/>
    </row>
    <row r="342" spans="1:13" s="27" customFormat="1" ht="17.25" customHeight="1">
      <c r="A342" s="1032" t="s">
        <v>75</v>
      </c>
      <c r="B342" s="1033" t="s">
        <v>499</v>
      </c>
      <c r="C342" s="1030"/>
      <c r="D342" s="1030"/>
      <c r="E342" s="1030"/>
      <c r="G342" s="1032" t="s">
        <v>75</v>
      </c>
      <c r="H342" s="1033" t="s">
        <v>499</v>
      </c>
      <c r="I342" s="1030"/>
      <c r="J342" s="1030"/>
      <c r="K342" s="1030"/>
      <c r="L342" s="1015"/>
    </row>
    <row r="343" spans="1:13" s="27" customFormat="1" ht="17.25" customHeight="1">
      <c r="A343" s="1032" t="s">
        <v>76</v>
      </c>
      <c r="B343" s="1034" t="s">
        <v>500</v>
      </c>
      <c r="C343" s="1030"/>
      <c r="D343" s="1030"/>
      <c r="E343" s="1023">
        <f>SUM(E342)</f>
        <v>0</v>
      </c>
      <c r="G343" s="1032" t="s">
        <v>76</v>
      </c>
      <c r="H343" s="1034" t="s">
        <v>500</v>
      </c>
      <c r="I343" s="1030"/>
      <c r="J343" s="1030"/>
      <c r="K343" s="1023">
        <f>SUM(K342)</f>
        <v>0</v>
      </c>
      <c r="L343" s="1015"/>
      <c r="M343" s="1035">
        <f>E343+K343</f>
        <v>0</v>
      </c>
    </row>
    <row r="344" spans="1:13" s="27" customFormat="1" ht="17.25" customHeight="1">
      <c r="A344" s="1036" t="s">
        <v>77</v>
      </c>
      <c r="B344" s="1037" t="s">
        <v>412</v>
      </c>
      <c r="C344" s="1038"/>
      <c r="D344" s="1038"/>
      <c r="E344" s="1038">
        <f>(E332+E333+E334+E335+E336+E337+E338+E339+E340)-E343</f>
        <v>7935935.7662939336</v>
      </c>
      <c r="G344" s="1036" t="s">
        <v>77</v>
      </c>
      <c r="H344" s="1037" t="s">
        <v>412</v>
      </c>
      <c r="I344" s="1038"/>
      <c r="J344" s="1038"/>
      <c r="K344" s="1038">
        <f>(K332+K333+K334+K335+K336+K337+K338+K339+K340)-K343</f>
        <v>5573013.4262694167</v>
      </c>
      <c r="L344" s="1040">
        <f>E344+K344</f>
        <v>13508949.192563351</v>
      </c>
    </row>
    <row r="345" spans="1:13" s="27" customFormat="1" ht="17.25" customHeight="1">
      <c r="A345" s="1045"/>
      <c r="B345" s="1050"/>
      <c r="C345" s="1051"/>
      <c r="D345" s="1051"/>
      <c r="E345" s="1049"/>
      <c r="G345" s="1045"/>
      <c r="H345" s="1050"/>
      <c r="I345" s="1051"/>
      <c r="J345" s="1049"/>
      <c r="K345" s="1052"/>
      <c r="L345" s="1015"/>
    </row>
    <row r="346" spans="1:13" s="27" customFormat="1" ht="34.5" customHeight="1">
      <c r="A346" s="1035"/>
      <c r="B346" s="1048"/>
      <c r="C346" s="1041"/>
      <c r="D346" s="1041"/>
      <c r="E346" s="1045"/>
      <c r="F346" s="1045"/>
      <c r="G346" s="1035"/>
      <c r="H346" s="1048"/>
      <c r="I346" s="1041"/>
      <c r="J346" s="1045">
        <v>0</v>
      </c>
      <c r="K346" s="1043"/>
      <c r="L346" s="1015"/>
    </row>
    <row r="347" spans="1:13" s="27" customFormat="1" ht="17.25" customHeight="1">
      <c r="A347" s="1611" t="str">
        <f>G329</f>
        <v>LƯƠNG THÁNG 08/2025</v>
      </c>
      <c r="B347" s="1612"/>
      <c r="C347" s="1612"/>
      <c r="D347" s="1612"/>
      <c r="E347" s="1014">
        <v>41</v>
      </c>
      <c r="F347" s="1045"/>
      <c r="G347" s="1611" t="str">
        <f>A347</f>
        <v>LƯƠNG THÁNG 08/2025</v>
      </c>
      <c r="H347" s="1612"/>
      <c r="I347" s="1612"/>
      <c r="J347" s="1613"/>
      <c r="K347" s="1014">
        <v>42</v>
      </c>
      <c r="L347" s="1015"/>
    </row>
    <row r="348" spans="1:13" s="27" customFormat="1" ht="17.25" customHeight="1">
      <c r="A348" s="1044" t="s">
        <v>13</v>
      </c>
      <c r="B348" s="1016" t="str">
        <f>'CNKT '!D56</f>
        <v>T. Khăm Pỏi</v>
      </c>
      <c r="C348" s="1017"/>
      <c r="D348" s="1018" t="s">
        <v>376</v>
      </c>
      <c r="E348" s="1018" t="s">
        <v>16</v>
      </c>
      <c r="F348" s="1045"/>
      <c r="G348" s="1044" t="s">
        <v>13</v>
      </c>
      <c r="H348" s="1016" t="str">
        <f>'CNKT '!D57</f>
        <v>Lăm Ngân</v>
      </c>
      <c r="I348" s="1017"/>
      <c r="J348" s="1018" t="s">
        <v>376</v>
      </c>
      <c r="K348" s="1018" t="s">
        <v>16</v>
      </c>
      <c r="L348" s="1015"/>
    </row>
    <row r="349" spans="1:13" s="27" customFormat="1" ht="17.25" customHeight="1">
      <c r="A349" s="1020" t="s">
        <v>377</v>
      </c>
      <c r="B349" s="1021" t="s">
        <v>493</v>
      </c>
      <c r="C349" s="1022" t="str">
        <f>VLOOKUP(B348,'BTH mủ tạp'!$D$17:$AN$94,37,0)</f>
        <v>A</v>
      </c>
      <c r="D349" s="1023"/>
      <c r="E349" s="1023"/>
      <c r="F349" s="1048"/>
      <c r="G349" s="1020" t="s">
        <v>377</v>
      </c>
      <c r="H349" s="1021" t="s">
        <v>493</v>
      </c>
      <c r="I349" s="1022" t="str">
        <f>VLOOKUP(H348,'BTH mủ tạp'!$D$17:$AN$94,37,0)</f>
        <v>A</v>
      </c>
      <c r="J349" s="1023"/>
      <c r="K349" s="1023"/>
      <c r="L349" s="1015"/>
    </row>
    <row r="350" spans="1:13" s="27" customFormat="1" ht="17.25" customHeight="1">
      <c r="A350" s="1020" t="s">
        <v>72</v>
      </c>
      <c r="B350" s="1024" t="s">
        <v>406</v>
      </c>
      <c r="C350" s="621">
        <f>VLOOKUP(B348,'CNKT '!$D$16:$AA$96,3,0)</f>
        <v>0</v>
      </c>
      <c r="D350" s="622">
        <v>25000</v>
      </c>
      <c r="E350" s="1023">
        <f>C350*D350</f>
        <v>0</v>
      </c>
      <c r="F350" s="1048"/>
      <c r="G350" s="1020" t="s">
        <v>72</v>
      </c>
      <c r="H350" s="1024" t="s">
        <v>406</v>
      </c>
      <c r="I350" s="621">
        <f>VLOOKUP(H348,'CNKT '!$D$16:$AA$96,3,0)</f>
        <v>0</v>
      </c>
      <c r="J350" s="622">
        <v>25000</v>
      </c>
      <c r="K350" s="1023">
        <f>I350*J350</f>
        <v>0</v>
      </c>
      <c r="L350" s="1015"/>
    </row>
    <row r="351" spans="1:13" s="27" customFormat="1" ht="17.25" customHeight="1">
      <c r="A351" s="1020" t="s">
        <v>292</v>
      </c>
      <c r="B351" s="1025" t="s">
        <v>494</v>
      </c>
      <c r="C351" s="1026">
        <f>VLOOKUP(B348,'CNKT '!$D$16:$AA$96,11,0)</f>
        <v>26</v>
      </c>
      <c r="D351" s="623">
        <f>46.1*$B$2</f>
        <v>30922.036</v>
      </c>
      <c r="E351" s="1023">
        <f>C351*D351</f>
        <v>803972.93599999999</v>
      </c>
      <c r="F351" s="1041"/>
      <c r="G351" s="1020" t="s">
        <v>292</v>
      </c>
      <c r="H351" s="1025" t="s">
        <v>494</v>
      </c>
      <c r="I351" s="1026">
        <f>VLOOKUP(H348,'CNKT '!$D$16:$AA$96,11,0)</f>
        <v>25</v>
      </c>
      <c r="J351" s="623">
        <f>46.1*$B$2</f>
        <v>30922.036</v>
      </c>
      <c r="K351" s="1023">
        <f>I351*J351</f>
        <v>773050.9</v>
      </c>
      <c r="L351" s="1015"/>
    </row>
    <row r="352" spans="1:13" s="27" customFormat="1" ht="17.25" customHeight="1">
      <c r="A352" s="1020" t="s">
        <v>379</v>
      </c>
      <c r="B352" s="1025" t="s">
        <v>495</v>
      </c>
      <c r="C352" s="1026">
        <f>VLOOKUP(B348,'CNKT '!$D$16:$AA$96,12,0)</f>
        <v>2</v>
      </c>
      <c r="D352" s="622">
        <f>76.9*$B$2</f>
        <v>51581.444000000003</v>
      </c>
      <c r="E352" s="1023">
        <f t="shared" ref="E352:E353" si="79">C352*D352</f>
        <v>103162.88800000001</v>
      </c>
      <c r="F352" s="1049"/>
      <c r="G352" s="1020" t="s">
        <v>379</v>
      </c>
      <c r="H352" s="1025" t="s">
        <v>495</v>
      </c>
      <c r="I352" s="1026">
        <f>VLOOKUP(H348,'CNKT '!$D$16:$AA$96,12,0)</f>
        <v>2</v>
      </c>
      <c r="J352" s="622">
        <f>76.9*$B$2</f>
        <v>51581.444000000003</v>
      </c>
      <c r="K352" s="1023">
        <f t="shared" ref="K352:K353" si="80">I352*J352</f>
        <v>103162.88800000001</v>
      </c>
      <c r="L352" s="1015"/>
    </row>
    <row r="353" spans="1:13" s="27" customFormat="1" ht="17.25" customHeight="1">
      <c r="A353" s="1020" t="s">
        <v>73</v>
      </c>
      <c r="B353" s="1025" t="s">
        <v>496</v>
      </c>
      <c r="C353" s="1026">
        <f>VLOOKUP(B348,'CNKT '!$D$16:$AA$96,8,0)</f>
        <v>1620.1375862872897</v>
      </c>
      <c r="D353" s="622">
        <f>IF(C349="A",6.1,IF(C349="B",5.8,IF(C349="C",5.5,IF(C349="C.",5.5,IF(C349="D",5.2)))))*$B$2</f>
        <v>4091.6359999999995</v>
      </c>
      <c r="E353" s="1023">
        <f t="shared" si="79"/>
        <v>6629013.2730061803</v>
      </c>
      <c r="F353" s="1049"/>
      <c r="G353" s="1020" t="s">
        <v>73</v>
      </c>
      <c r="H353" s="1025" t="s">
        <v>496</v>
      </c>
      <c r="I353" s="1026">
        <f>VLOOKUP(H348,'CNKT '!$D$16:$AA$96,8,0)</f>
        <v>1751.2692074289184</v>
      </c>
      <c r="J353" s="622">
        <f>IF(I349="A",6.1,IF(I349="B",5.8,IF(I349="C",5.5,IF(I349="C.",5.5,IF(I349="D",5.2)))))*$B$2</f>
        <v>4091.6359999999995</v>
      </c>
      <c r="K353" s="1023">
        <f t="shared" si="80"/>
        <v>7165556.1348076295</v>
      </c>
      <c r="L353" s="1015"/>
    </row>
    <row r="354" spans="1:13" s="27" customFormat="1" ht="17.25" customHeight="1">
      <c r="A354" s="1089" t="s">
        <v>462</v>
      </c>
      <c r="B354" s="1090" t="s">
        <v>497</v>
      </c>
      <c r="C354" s="1091">
        <f>VLOOKUP(B348,'CNKT '!$D$16:$AA$96,13,0)</f>
        <v>0</v>
      </c>
      <c r="D354" s="1092">
        <v>100000</v>
      </c>
      <c r="E354" s="1093">
        <f>C354*D354</f>
        <v>0</v>
      </c>
      <c r="F354" s="1049"/>
      <c r="G354" s="1089" t="s">
        <v>462</v>
      </c>
      <c r="H354" s="1090" t="s">
        <v>497</v>
      </c>
      <c r="I354" s="1091">
        <f>VLOOKUP(H348,'CNKT '!$D$16:$AA$96,13,0)</f>
        <v>0</v>
      </c>
      <c r="J354" s="1092">
        <v>100000</v>
      </c>
      <c r="K354" s="1093">
        <f>I354*J354</f>
        <v>0</v>
      </c>
      <c r="L354" s="1015"/>
    </row>
    <row r="355" spans="1:13" s="27" customFormat="1" ht="17.25" customHeight="1">
      <c r="A355" s="1020" t="s">
        <v>463</v>
      </c>
      <c r="B355" s="1025" t="s">
        <v>467</v>
      </c>
      <c r="C355" s="1026">
        <f>VLOOKUP(B348,'CNKT '!$D$16:$AA$96,16,0)</f>
        <v>0</v>
      </c>
      <c r="D355" s="622">
        <f>153.8*$B$2</f>
        <v>103162.88800000001</v>
      </c>
      <c r="E355" s="1023">
        <f t="shared" ref="E355" si="81">C355*D355</f>
        <v>0</v>
      </c>
      <c r="F355" s="1049"/>
      <c r="G355" s="1020" t="s">
        <v>463</v>
      </c>
      <c r="H355" s="1025" t="s">
        <v>467</v>
      </c>
      <c r="I355" s="1026">
        <f>VLOOKUP(H348,'CNKT '!$D$16:$AA$96,16,0)</f>
        <v>0</v>
      </c>
      <c r="J355" s="622">
        <f>153.8*$B$2</f>
        <v>103162.88800000001</v>
      </c>
      <c r="K355" s="1023">
        <f t="shared" ref="K355" si="82">I355*J355</f>
        <v>0</v>
      </c>
      <c r="L355" s="1015"/>
    </row>
    <row r="356" spans="1:13" s="27" customFormat="1" ht="17.25" customHeight="1">
      <c r="A356" s="1020" t="s">
        <v>425</v>
      </c>
      <c r="B356" s="1025" t="s">
        <v>468</v>
      </c>
      <c r="C356" s="1026">
        <f>VLOOKUP(B348,'CNKT '!$D$16:$AA$96,18,0)</f>
        <v>2</v>
      </c>
      <c r="D356" s="622">
        <v>10000</v>
      </c>
      <c r="E356" s="1023">
        <f>C356*D356</f>
        <v>20000</v>
      </c>
      <c r="F356" s="1049"/>
      <c r="G356" s="1020" t="s">
        <v>425</v>
      </c>
      <c r="H356" s="1025" t="s">
        <v>468</v>
      </c>
      <c r="I356" s="1026">
        <f>VLOOKUP(H348,'CNKT '!$D$16:$AA$96,18,0)</f>
        <v>2</v>
      </c>
      <c r="J356" s="622">
        <v>10000</v>
      </c>
      <c r="K356" s="1023">
        <f>I356*J356</f>
        <v>20000</v>
      </c>
      <c r="L356" s="1015"/>
    </row>
    <row r="357" spans="1:13" s="27" customFormat="1" ht="17.25" customHeight="1">
      <c r="A357" s="1020" t="s">
        <v>425</v>
      </c>
      <c r="B357" s="1025" t="s">
        <v>468</v>
      </c>
      <c r="C357" s="1026">
        <f>VLOOKUP(B348,'CNKT '!$D$16:$AA$96,19,0)</f>
        <v>0</v>
      </c>
      <c r="D357" s="622">
        <v>20000</v>
      </c>
      <c r="E357" s="1023">
        <f>C357*D357</f>
        <v>0</v>
      </c>
      <c r="F357" s="1049"/>
      <c r="G357" s="1020" t="s">
        <v>425</v>
      </c>
      <c r="H357" s="1025" t="s">
        <v>468</v>
      </c>
      <c r="I357" s="1026">
        <f>VLOOKUP(H348,'CNKT '!$D$16:$AA$96,19,0)</f>
        <v>0</v>
      </c>
      <c r="J357" s="622">
        <v>20000</v>
      </c>
      <c r="K357" s="1023">
        <f>I357*J357</f>
        <v>0</v>
      </c>
      <c r="L357" s="1015"/>
    </row>
    <row r="358" spans="1:13" s="27" customFormat="1" ht="17.25" customHeight="1">
      <c r="A358" s="1020" t="s">
        <v>780</v>
      </c>
      <c r="B358" s="1027" t="s">
        <v>781</v>
      </c>
      <c r="C358" s="1026"/>
      <c r="D358" s="622"/>
      <c r="E358" s="1023">
        <f>VLOOKUP(B348,'CNKT '!$D$16:$AE$99,28,0)</f>
        <v>0</v>
      </c>
      <c r="F358" s="1049"/>
      <c r="G358" s="1020" t="s">
        <v>780</v>
      </c>
      <c r="H358" s="1027" t="s">
        <v>781</v>
      </c>
      <c r="I358" s="1026"/>
      <c r="J358" s="622"/>
      <c r="K358" s="1023">
        <f>VLOOKUP(H348,'CNKT '!$D$16:$AE$99,28,0)</f>
        <v>0</v>
      </c>
      <c r="L358" s="1015"/>
    </row>
    <row r="359" spans="1:13" s="27" customFormat="1" ht="17.25" customHeight="1">
      <c r="A359" s="1028" t="s">
        <v>74</v>
      </c>
      <c r="B359" s="1029" t="s">
        <v>498</v>
      </c>
      <c r="C359" s="1030"/>
      <c r="D359" s="1031"/>
      <c r="E359" s="1030"/>
      <c r="F359" s="1041"/>
      <c r="G359" s="1028" t="s">
        <v>74</v>
      </c>
      <c r="H359" s="1029" t="s">
        <v>498</v>
      </c>
      <c r="I359" s="1030"/>
      <c r="J359" s="1031"/>
      <c r="K359" s="1030"/>
      <c r="L359" s="1015"/>
    </row>
    <row r="360" spans="1:13" s="27" customFormat="1" ht="17.25" customHeight="1">
      <c r="A360" s="1032" t="s">
        <v>75</v>
      </c>
      <c r="B360" s="1033" t="s">
        <v>499</v>
      </c>
      <c r="C360" s="1030"/>
      <c r="D360" s="1030"/>
      <c r="E360" s="1030"/>
      <c r="F360" s="1045"/>
      <c r="G360" s="1032" t="s">
        <v>75</v>
      </c>
      <c r="H360" s="1033" t="s">
        <v>499</v>
      </c>
      <c r="I360" s="1030"/>
      <c r="J360" s="1030"/>
      <c r="K360" s="1030"/>
      <c r="L360" s="1015"/>
    </row>
    <row r="361" spans="1:13" s="27" customFormat="1" ht="17.25" customHeight="1">
      <c r="A361" s="1032" t="s">
        <v>76</v>
      </c>
      <c r="B361" s="1034" t="s">
        <v>500</v>
      </c>
      <c r="C361" s="1030"/>
      <c r="D361" s="1030"/>
      <c r="E361" s="1023">
        <f>SUM(E360)</f>
        <v>0</v>
      </c>
      <c r="F361" s="1045"/>
      <c r="G361" s="1032" t="s">
        <v>76</v>
      </c>
      <c r="H361" s="1034" t="s">
        <v>500</v>
      </c>
      <c r="I361" s="1030"/>
      <c r="J361" s="1030"/>
      <c r="K361" s="1023">
        <f>SUM(K360)</f>
        <v>0</v>
      </c>
      <c r="L361" s="1015"/>
      <c r="M361" s="1035">
        <f>E361+K361</f>
        <v>0</v>
      </c>
    </row>
    <row r="362" spans="1:13" s="27" customFormat="1" ht="17.25" customHeight="1">
      <c r="A362" s="1036" t="s">
        <v>77</v>
      </c>
      <c r="B362" s="1037" t="s">
        <v>412</v>
      </c>
      <c r="C362" s="1038"/>
      <c r="D362" s="1038"/>
      <c r="E362" s="1038">
        <f>(E350+E351+E352+E353+E354+E355+E356+E357+E358)-E361</f>
        <v>7556149.0970061803</v>
      </c>
      <c r="F362" s="1045"/>
      <c r="G362" s="1036" t="s">
        <v>77</v>
      </c>
      <c r="H362" s="1037" t="s">
        <v>412</v>
      </c>
      <c r="I362" s="1038"/>
      <c r="J362" s="1038"/>
      <c r="K362" s="1038">
        <f>(K350+K351+K352+K353+K354+K355+K356+K357+K358)-K361</f>
        <v>8061769.9228076292</v>
      </c>
      <c r="L362" s="1040">
        <f>E362+K362</f>
        <v>15617919.01981381</v>
      </c>
    </row>
    <row r="363" spans="1:13" s="27" customFormat="1" ht="17.25" customHeight="1">
      <c r="A363" s="1035"/>
      <c r="B363" s="1041"/>
      <c r="C363" s="1055"/>
      <c r="D363" s="1055"/>
      <c r="E363" s="1056"/>
      <c r="F363" s="1048"/>
      <c r="G363" s="1035"/>
      <c r="H363" s="1041"/>
      <c r="I363" s="1055"/>
      <c r="J363" s="1056"/>
      <c r="K363" s="1043"/>
      <c r="L363" s="1015"/>
    </row>
    <row r="364" spans="1:13" s="27" customFormat="1" ht="17.25" customHeight="1">
      <c r="A364" s="1611" t="str">
        <f>G347</f>
        <v>LƯƠNG THÁNG 08/2025</v>
      </c>
      <c r="B364" s="1612"/>
      <c r="C364" s="1612"/>
      <c r="D364" s="1612"/>
      <c r="E364" s="1014">
        <v>43</v>
      </c>
      <c r="F364" s="1041"/>
      <c r="G364" s="1611" t="str">
        <f>A364</f>
        <v>LƯƠNG THÁNG 08/2025</v>
      </c>
      <c r="H364" s="1612"/>
      <c r="I364" s="1612"/>
      <c r="J364" s="1613"/>
      <c r="K364" s="1014">
        <v>44</v>
      </c>
      <c r="L364" s="1015"/>
    </row>
    <row r="365" spans="1:13" s="27" customFormat="1" ht="17.25" customHeight="1">
      <c r="A365" s="1044" t="s">
        <v>13</v>
      </c>
      <c r="B365" s="1016" t="str">
        <f>'CNKT '!D58</f>
        <v>T. Không</v>
      </c>
      <c r="C365" s="1017"/>
      <c r="D365" s="1018" t="s">
        <v>376</v>
      </c>
      <c r="E365" s="1018" t="s">
        <v>16</v>
      </c>
      <c r="F365" s="1049"/>
      <c r="G365" s="1044" t="s">
        <v>13</v>
      </c>
      <c r="H365" s="1016" t="str">
        <f>'CNKT '!D59</f>
        <v>T. Lem</v>
      </c>
      <c r="I365" s="1017"/>
      <c r="J365" s="1018" t="s">
        <v>376</v>
      </c>
      <c r="K365" s="1018" t="s">
        <v>16</v>
      </c>
      <c r="L365" s="1015"/>
    </row>
    <row r="366" spans="1:13" s="27" customFormat="1" ht="17.25" customHeight="1">
      <c r="A366" s="1020" t="s">
        <v>377</v>
      </c>
      <c r="B366" s="1021" t="s">
        <v>493</v>
      </c>
      <c r="C366" s="1022" t="str">
        <f>VLOOKUP(B365,'BTH mủ tạp'!$D$17:$AN$94,37,0)</f>
        <v>A</v>
      </c>
      <c r="D366" s="1023"/>
      <c r="E366" s="1023"/>
      <c r="F366" s="1049"/>
      <c r="G366" s="1020" t="s">
        <v>377</v>
      </c>
      <c r="H366" s="1021" t="s">
        <v>493</v>
      </c>
      <c r="I366" s="1022" t="str">
        <f>VLOOKUP(H365,'BTH mủ tạp'!$D$17:$AN$94,37,0)</f>
        <v>A</v>
      </c>
      <c r="J366" s="1023"/>
      <c r="K366" s="1023"/>
      <c r="L366" s="1015"/>
    </row>
    <row r="367" spans="1:13" s="27" customFormat="1" ht="17.25" customHeight="1">
      <c r="A367" s="1020" t="s">
        <v>72</v>
      </c>
      <c r="B367" s="1024" t="s">
        <v>406</v>
      </c>
      <c r="C367" s="621">
        <f>VLOOKUP(B365,'CNKT '!$D$16:$AA$96,3,0)</f>
        <v>0</v>
      </c>
      <c r="D367" s="622">
        <v>25000</v>
      </c>
      <c r="E367" s="1023">
        <f>C367*D367</f>
        <v>0</v>
      </c>
      <c r="G367" s="1020" t="s">
        <v>72</v>
      </c>
      <c r="H367" s="1024" t="s">
        <v>406</v>
      </c>
      <c r="I367" s="621">
        <f>VLOOKUP(H365,'CNKT '!$D$16:$AA$96,3,0)</f>
        <v>0</v>
      </c>
      <c r="J367" s="622">
        <v>25000</v>
      </c>
      <c r="K367" s="1023">
        <f>I367*J367</f>
        <v>0</v>
      </c>
      <c r="L367" s="1015"/>
    </row>
    <row r="368" spans="1:13" s="27" customFormat="1" ht="17.25" customHeight="1">
      <c r="A368" s="1020" t="s">
        <v>292</v>
      </c>
      <c r="B368" s="1025" t="s">
        <v>494</v>
      </c>
      <c r="C368" s="1026">
        <f>VLOOKUP(B365,'CNKT '!$D$16:$AA$96,11,0)</f>
        <v>26</v>
      </c>
      <c r="D368" s="623">
        <f>46.1*$B$2</f>
        <v>30922.036</v>
      </c>
      <c r="E368" s="1023">
        <f>C368*D368</f>
        <v>803972.93599999999</v>
      </c>
      <c r="F368" s="1041"/>
      <c r="G368" s="1020" t="s">
        <v>292</v>
      </c>
      <c r="H368" s="1025" t="s">
        <v>494</v>
      </c>
      <c r="I368" s="1026">
        <f>VLOOKUP(H365,'CNKT '!$D$16:$AA$96,11,0)</f>
        <v>26</v>
      </c>
      <c r="J368" s="623">
        <f>46.1*$B$2</f>
        <v>30922.036</v>
      </c>
      <c r="K368" s="1023">
        <f>I368*J368</f>
        <v>803972.93599999999</v>
      </c>
      <c r="L368" s="1015"/>
    </row>
    <row r="369" spans="1:13" s="27" customFormat="1" ht="17.25" customHeight="1">
      <c r="A369" s="1020" t="s">
        <v>379</v>
      </c>
      <c r="B369" s="1025" t="s">
        <v>495</v>
      </c>
      <c r="C369" s="1026">
        <f>VLOOKUP(B365,'CNKT '!$D$16:$AA$96,12,0)</f>
        <v>2</v>
      </c>
      <c r="D369" s="622">
        <f>76.9*$B$2</f>
        <v>51581.444000000003</v>
      </c>
      <c r="E369" s="1023">
        <f t="shared" ref="E369:E370" si="83">C369*D369</f>
        <v>103162.88800000001</v>
      </c>
      <c r="F369" s="1045"/>
      <c r="G369" s="1020" t="s">
        <v>379</v>
      </c>
      <c r="H369" s="1025" t="s">
        <v>495</v>
      </c>
      <c r="I369" s="1026">
        <f>VLOOKUP(H365,'CNKT '!$D$16:$AA$96,12,0)</f>
        <v>2</v>
      </c>
      <c r="J369" s="622">
        <f>76.9*$B$2</f>
        <v>51581.444000000003</v>
      </c>
      <c r="K369" s="1023">
        <f t="shared" ref="K369:K370" si="84">I369*J369</f>
        <v>103162.88800000001</v>
      </c>
      <c r="L369" s="1015"/>
    </row>
    <row r="370" spans="1:13" s="27" customFormat="1" ht="17.25" customHeight="1">
      <c r="A370" s="1020" t="s">
        <v>73</v>
      </c>
      <c r="B370" s="1025" t="s">
        <v>496</v>
      </c>
      <c r="C370" s="1026">
        <f>VLOOKUP(B365,'CNKT '!$D$16:$AA$96,8,0)</f>
        <v>1824.7370863747169</v>
      </c>
      <c r="D370" s="622">
        <f>IF(C366="A",6.1,IF(C366="B",5.8,IF(C366="C",5.5,IF(C366="C.",5.5,IF(C366="D",5.2)))))*$B$2</f>
        <v>4091.6359999999995</v>
      </c>
      <c r="E370" s="1023">
        <f t="shared" si="83"/>
        <v>7466159.9531459007</v>
      </c>
      <c r="F370" s="1045"/>
      <c r="G370" s="1020" t="s">
        <v>73</v>
      </c>
      <c r="H370" s="1025" t="s">
        <v>496</v>
      </c>
      <c r="I370" s="1026">
        <f>VLOOKUP(H365,'CNKT '!$D$16:$AA$96,8,0)</f>
        <v>1896.4964099961944</v>
      </c>
      <c r="J370" s="622">
        <f>IF(I366="A",6.1,IF(I366="B",5.8,IF(I366="C",5.5,IF(I366="C.",5.5,IF(I366="D",5.2)))))*$B$2</f>
        <v>4091.6359999999995</v>
      </c>
      <c r="K370" s="1023">
        <f t="shared" si="84"/>
        <v>7759772.9850111883</v>
      </c>
      <c r="L370" s="1015"/>
    </row>
    <row r="371" spans="1:13" s="27" customFormat="1" ht="17.25" customHeight="1">
      <c r="A371" s="1089" t="s">
        <v>462</v>
      </c>
      <c r="B371" s="1090" t="s">
        <v>497</v>
      </c>
      <c r="C371" s="1091">
        <f>VLOOKUP(B365,'CNKT '!$D$16:$AA$96,13,0)</f>
        <v>0</v>
      </c>
      <c r="D371" s="1092">
        <v>100000</v>
      </c>
      <c r="E371" s="1093">
        <f>C371*D371</f>
        <v>0</v>
      </c>
      <c r="F371" s="1045"/>
      <c r="G371" s="1089" t="s">
        <v>462</v>
      </c>
      <c r="H371" s="1090" t="s">
        <v>497</v>
      </c>
      <c r="I371" s="1091">
        <f>VLOOKUP(H365,'CNKT '!$D$16:$AA$96,13,0)</f>
        <v>0</v>
      </c>
      <c r="J371" s="1092">
        <v>100000</v>
      </c>
      <c r="K371" s="1093">
        <f>I371*J371</f>
        <v>0</v>
      </c>
      <c r="L371" s="1015"/>
    </row>
    <row r="372" spans="1:13" s="27" customFormat="1" ht="17.25" customHeight="1">
      <c r="A372" s="1020" t="s">
        <v>463</v>
      </c>
      <c r="B372" s="1025" t="s">
        <v>467</v>
      </c>
      <c r="C372" s="1026">
        <f>VLOOKUP(B365,'CNKT '!$D$16:$AA$96,16,0)</f>
        <v>0</v>
      </c>
      <c r="D372" s="622">
        <f>153.8*$B$2</f>
        <v>103162.88800000001</v>
      </c>
      <c r="E372" s="1023">
        <f t="shared" ref="E372" si="85">C372*D372</f>
        <v>0</v>
      </c>
      <c r="F372" s="1045"/>
      <c r="G372" s="1020" t="s">
        <v>463</v>
      </c>
      <c r="H372" s="1025" t="s">
        <v>467</v>
      </c>
      <c r="I372" s="1026">
        <f>VLOOKUP(H365,'CNKT '!$D$16:$AA$96,16,0)</f>
        <v>0</v>
      </c>
      <c r="J372" s="622">
        <f>153.8*$B$2</f>
        <v>103162.88800000001</v>
      </c>
      <c r="K372" s="1023">
        <f t="shared" ref="K372" si="86">I372*J372</f>
        <v>0</v>
      </c>
      <c r="L372" s="1015"/>
    </row>
    <row r="373" spans="1:13" s="27" customFormat="1" ht="17.25" customHeight="1">
      <c r="A373" s="1020" t="s">
        <v>425</v>
      </c>
      <c r="B373" s="1025" t="s">
        <v>468</v>
      </c>
      <c r="C373" s="1026">
        <f>VLOOKUP(B365,'CNKT '!$D$16:$AA$96,18,0)</f>
        <v>2</v>
      </c>
      <c r="D373" s="622">
        <v>10000</v>
      </c>
      <c r="E373" s="1023">
        <f>C373*D373</f>
        <v>20000</v>
      </c>
      <c r="F373" s="1045"/>
      <c r="G373" s="1020" t="s">
        <v>425</v>
      </c>
      <c r="H373" s="1025" t="s">
        <v>468</v>
      </c>
      <c r="I373" s="1026">
        <f>VLOOKUP(H365,'CNKT '!$D$16:$AA$96,18,0)</f>
        <v>2</v>
      </c>
      <c r="J373" s="622">
        <v>10000</v>
      </c>
      <c r="K373" s="1023">
        <f>I373*J373</f>
        <v>20000</v>
      </c>
      <c r="L373" s="1015"/>
    </row>
    <row r="374" spans="1:13" s="27" customFormat="1" ht="17.25" customHeight="1">
      <c r="A374" s="1020" t="s">
        <v>425</v>
      </c>
      <c r="B374" s="1025" t="s">
        <v>468</v>
      </c>
      <c r="C374" s="1026">
        <f>VLOOKUP(B365,'CNKT '!$D$16:$AA$96,19,0)</f>
        <v>0</v>
      </c>
      <c r="D374" s="622">
        <v>20000</v>
      </c>
      <c r="E374" s="1023">
        <f>C374*D374</f>
        <v>0</v>
      </c>
      <c r="F374" s="1045"/>
      <c r="G374" s="1020" t="s">
        <v>425</v>
      </c>
      <c r="H374" s="1025" t="s">
        <v>468</v>
      </c>
      <c r="I374" s="1026">
        <f>VLOOKUP(H365,'CNKT '!$D$16:$AA$96,19,0)</f>
        <v>0</v>
      </c>
      <c r="J374" s="622">
        <v>20000</v>
      </c>
      <c r="K374" s="1023">
        <f>I374*J374</f>
        <v>0</v>
      </c>
      <c r="L374" s="1015"/>
    </row>
    <row r="375" spans="1:13" s="27" customFormat="1" ht="17.25" customHeight="1">
      <c r="A375" s="1020" t="s">
        <v>780</v>
      </c>
      <c r="B375" s="1027" t="s">
        <v>781</v>
      </c>
      <c r="C375" s="1026"/>
      <c r="D375" s="622"/>
      <c r="E375" s="1023">
        <f>VLOOKUP(B365,'CNKT '!$D$16:$AE$99,28,0)</f>
        <v>0</v>
      </c>
      <c r="F375" s="1045"/>
      <c r="G375" s="1020" t="s">
        <v>780</v>
      </c>
      <c r="H375" s="1027" t="s">
        <v>781</v>
      </c>
      <c r="I375" s="1026"/>
      <c r="J375" s="622"/>
      <c r="K375" s="1023">
        <f>VLOOKUP(H365,'CNKT '!$D$16:$AE$99,28,0)</f>
        <v>0</v>
      </c>
      <c r="L375" s="1015"/>
    </row>
    <row r="376" spans="1:13" s="27" customFormat="1" ht="17.25" customHeight="1">
      <c r="A376" s="1028" t="s">
        <v>74</v>
      </c>
      <c r="B376" s="1029" t="s">
        <v>498</v>
      </c>
      <c r="C376" s="1030"/>
      <c r="D376" s="1031"/>
      <c r="E376" s="1030"/>
      <c r="F376" s="1045"/>
      <c r="G376" s="1028" t="s">
        <v>74</v>
      </c>
      <c r="H376" s="1029" t="s">
        <v>498</v>
      </c>
      <c r="I376" s="1030"/>
      <c r="J376" s="1031"/>
      <c r="K376" s="1030"/>
      <c r="L376" s="1015"/>
    </row>
    <row r="377" spans="1:13" s="27" customFormat="1" ht="17.25" customHeight="1">
      <c r="A377" s="1032" t="s">
        <v>75</v>
      </c>
      <c r="B377" s="1033" t="s">
        <v>499</v>
      </c>
      <c r="C377" s="1030"/>
      <c r="D377" s="1030"/>
      <c r="E377" s="1030"/>
      <c r="F377" s="1045"/>
      <c r="G377" s="1032" t="s">
        <v>75</v>
      </c>
      <c r="H377" s="1033" t="s">
        <v>499</v>
      </c>
      <c r="I377" s="1030"/>
      <c r="J377" s="1030"/>
      <c r="K377" s="1030"/>
      <c r="L377" s="1015"/>
      <c r="M377" s="1035">
        <f>E377+K377</f>
        <v>0</v>
      </c>
    </row>
    <row r="378" spans="1:13" s="27" customFormat="1" ht="17.25" customHeight="1">
      <c r="A378" s="1032" t="s">
        <v>76</v>
      </c>
      <c r="B378" s="1034" t="s">
        <v>500</v>
      </c>
      <c r="C378" s="1030"/>
      <c r="D378" s="1030"/>
      <c r="E378" s="1023">
        <f>SUM(E377)</f>
        <v>0</v>
      </c>
      <c r="F378" s="1045"/>
      <c r="G378" s="1032" t="s">
        <v>76</v>
      </c>
      <c r="H378" s="1034" t="s">
        <v>500</v>
      </c>
      <c r="I378" s="1030"/>
      <c r="J378" s="1030"/>
      <c r="K378" s="1023">
        <f>SUM(K377)</f>
        <v>0</v>
      </c>
      <c r="L378" s="1040"/>
    </row>
    <row r="379" spans="1:13" s="27" customFormat="1" ht="17.25" customHeight="1">
      <c r="A379" s="1036" t="s">
        <v>77</v>
      </c>
      <c r="B379" s="1037" t="s">
        <v>412</v>
      </c>
      <c r="C379" s="1038"/>
      <c r="D379" s="1038"/>
      <c r="E379" s="1038">
        <f>(E367+E368+E369+E370+E371+E372+E373+E374+E375)-E378</f>
        <v>8393295.7771458998</v>
      </c>
      <c r="F379" s="1045"/>
      <c r="G379" s="1036" t="s">
        <v>77</v>
      </c>
      <c r="H379" s="1037" t="s">
        <v>412</v>
      </c>
      <c r="I379" s="1038"/>
      <c r="J379" s="1038"/>
      <c r="K379" s="1038">
        <f>(K367+K368+K369+K370+K371+K372+K373+K374+K375)-K378</f>
        <v>8686908.8090111874</v>
      </c>
      <c r="L379" s="1040">
        <f>E379+K379</f>
        <v>17080204.586157087</v>
      </c>
    </row>
    <row r="380" spans="1:13" s="27" customFormat="1" ht="17.25" customHeight="1">
      <c r="A380" s="1057"/>
      <c r="B380" s="1054"/>
      <c r="C380" s="625"/>
      <c r="D380" s="625"/>
      <c r="E380" s="1045"/>
      <c r="F380" s="1049"/>
      <c r="G380" s="1057"/>
      <c r="H380" s="1054"/>
      <c r="I380" s="625"/>
      <c r="J380" s="1045"/>
      <c r="K380" s="1043"/>
      <c r="L380" s="1015"/>
    </row>
    <row r="381" spans="1:13" s="27" customFormat="1" ht="17.25" customHeight="1">
      <c r="A381" s="1611" t="str">
        <f>G364</f>
        <v>LƯƠNG THÁNG 08/2025</v>
      </c>
      <c r="B381" s="1612"/>
      <c r="C381" s="1612"/>
      <c r="D381" s="1612"/>
      <c r="E381" s="1014">
        <v>45</v>
      </c>
      <c r="F381" s="1041"/>
      <c r="G381" s="1611" t="str">
        <f>A381</f>
        <v>LƯƠNG THÁNG 08/2025</v>
      </c>
      <c r="H381" s="1612"/>
      <c r="I381" s="1612"/>
      <c r="J381" s="1613"/>
      <c r="K381" s="1014">
        <v>46</v>
      </c>
      <c r="L381" s="1015"/>
    </row>
    <row r="382" spans="1:13" s="27" customFormat="1" ht="17.25" customHeight="1">
      <c r="A382" s="1044" t="s">
        <v>13</v>
      </c>
      <c r="B382" s="1016" t="str">
        <f>'CNKT '!D60</f>
        <v>T. Pông</v>
      </c>
      <c r="C382" s="1017"/>
      <c r="D382" s="1018" t="s">
        <v>376</v>
      </c>
      <c r="E382" s="1018" t="s">
        <v>16</v>
      </c>
      <c r="F382" s="1045"/>
      <c r="G382" s="1044" t="s">
        <v>13</v>
      </c>
      <c r="H382" s="1016" t="str">
        <f>'CNKT '!D61</f>
        <v>T. Lốp</v>
      </c>
      <c r="I382" s="1017"/>
      <c r="J382" s="1018" t="s">
        <v>376</v>
      </c>
      <c r="K382" s="1018" t="s">
        <v>16</v>
      </c>
      <c r="L382" s="1015"/>
    </row>
    <row r="383" spans="1:13" s="27" customFormat="1" ht="17.25" customHeight="1">
      <c r="A383" s="1020" t="s">
        <v>377</v>
      </c>
      <c r="B383" s="1021" t="s">
        <v>493</v>
      </c>
      <c r="C383" s="1022" t="str">
        <f>VLOOKUP(B382,'BTH mủ tạp'!$D$17:$AN$94,37,0)</f>
        <v>A</v>
      </c>
      <c r="D383" s="1023"/>
      <c r="E383" s="1023"/>
      <c r="F383" s="1045"/>
      <c r="G383" s="1020" t="s">
        <v>377</v>
      </c>
      <c r="H383" s="1021" t="s">
        <v>493</v>
      </c>
      <c r="I383" s="1022" t="str">
        <f>VLOOKUP(H382,'BTH mủ tạp'!$D$17:$AN$94,37,0)</f>
        <v>A</v>
      </c>
      <c r="J383" s="1023"/>
      <c r="K383" s="1023"/>
      <c r="L383" s="1015"/>
    </row>
    <row r="384" spans="1:13" s="27" customFormat="1" ht="17.25" customHeight="1">
      <c r="A384" s="1020" t="s">
        <v>72</v>
      </c>
      <c r="B384" s="1024" t="s">
        <v>406</v>
      </c>
      <c r="C384" s="621">
        <f>VLOOKUP(B382,'CNKT '!$D$16:$AA$96,3,0)</f>
        <v>0</v>
      </c>
      <c r="D384" s="622">
        <v>25000</v>
      </c>
      <c r="E384" s="1023">
        <f>C384*D384</f>
        <v>0</v>
      </c>
      <c r="F384" s="1045"/>
      <c r="G384" s="1020" t="s">
        <v>72</v>
      </c>
      <c r="H384" s="1024" t="s">
        <v>406</v>
      </c>
      <c r="I384" s="621">
        <f>VLOOKUP(H382,'CNKT '!$D$16:$AA$96,3,0)</f>
        <v>0</v>
      </c>
      <c r="J384" s="622">
        <v>25000</v>
      </c>
      <c r="K384" s="1023">
        <f>I384*J384</f>
        <v>0</v>
      </c>
      <c r="L384" s="1015"/>
    </row>
    <row r="385" spans="1:13" s="27" customFormat="1" ht="17.25" customHeight="1">
      <c r="A385" s="1020" t="s">
        <v>292</v>
      </c>
      <c r="B385" s="1025" t="s">
        <v>494</v>
      </c>
      <c r="C385" s="1026">
        <f>VLOOKUP(B382,'CNKT '!$D$16:$AA$96,11,0)</f>
        <v>26</v>
      </c>
      <c r="D385" s="623">
        <f>46.1*$B$2</f>
        <v>30922.036</v>
      </c>
      <c r="E385" s="1023">
        <f>C385*D385</f>
        <v>803972.93599999999</v>
      </c>
      <c r="F385" s="1045"/>
      <c r="G385" s="1020" t="s">
        <v>292</v>
      </c>
      <c r="H385" s="1025" t="s">
        <v>494</v>
      </c>
      <c r="I385" s="1026">
        <f>VLOOKUP(H382,'CNKT '!$D$16:$AA$96,11,0)</f>
        <v>26</v>
      </c>
      <c r="J385" s="623">
        <f>46.1*$B$2</f>
        <v>30922.036</v>
      </c>
      <c r="K385" s="1023">
        <f>I385*J385</f>
        <v>803972.93599999999</v>
      </c>
      <c r="L385" s="1015"/>
    </row>
    <row r="386" spans="1:13" s="27" customFormat="1" ht="17.25" customHeight="1">
      <c r="A386" s="1020" t="s">
        <v>379</v>
      </c>
      <c r="B386" s="1025" t="s">
        <v>495</v>
      </c>
      <c r="C386" s="1026">
        <f>VLOOKUP(B382,'CNKT '!$D$16:$AA$96,12,0)</f>
        <v>2</v>
      </c>
      <c r="D386" s="622">
        <f>76.9*$B$2</f>
        <v>51581.444000000003</v>
      </c>
      <c r="E386" s="1023">
        <f t="shared" ref="E386:E387" si="87">C386*D386</f>
        <v>103162.88800000001</v>
      </c>
      <c r="F386" s="1048"/>
      <c r="G386" s="1020" t="s">
        <v>379</v>
      </c>
      <c r="H386" s="1025" t="s">
        <v>495</v>
      </c>
      <c r="I386" s="1026">
        <f>VLOOKUP(H382,'CNKT '!$D$16:$AA$96,12,0)</f>
        <v>2</v>
      </c>
      <c r="J386" s="622">
        <f>76.9*$B$2</f>
        <v>51581.444000000003</v>
      </c>
      <c r="K386" s="1023">
        <f t="shared" ref="K386:K387" si="88">I386*J386</f>
        <v>103162.88800000001</v>
      </c>
      <c r="L386" s="1015"/>
    </row>
    <row r="387" spans="1:13" s="27" customFormat="1" ht="17.25" customHeight="1">
      <c r="A387" s="1020" t="s">
        <v>73</v>
      </c>
      <c r="B387" s="1025" t="s">
        <v>496</v>
      </c>
      <c r="C387" s="1026">
        <f>VLOOKUP(B382,'CNKT '!$D$16:$AA$96,8,0)</f>
        <v>2015.2410050364967</v>
      </c>
      <c r="D387" s="622">
        <f>IF(C383="A",6.1,IF(C383="B",5.8,IF(C383="C",5.5,IF(C383="C.",5.5,IF(C383="D",5.2)))))*$B$2</f>
        <v>4091.6359999999995</v>
      </c>
      <c r="E387" s="1023">
        <f t="shared" si="87"/>
        <v>8245632.6448835107</v>
      </c>
      <c r="F387" s="1048"/>
      <c r="G387" s="1020" t="s">
        <v>73</v>
      </c>
      <c r="H387" s="1025" t="s">
        <v>496</v>
      </c>
      <c r="I387" s="1026">
        <f>VLOOKUP(H382,'CNKT '!$D$16:$AA$96,8,0)</f>
        <v>2233.5089477184911</v>
      </c>
      <c r="J387" s="622">
        <f>IF(I383="A",6.1,IF(I383="B",5.8,IF(I383="C",5.5,IF(I383="C.",5.5,IF(I383="D",5.2)))))*$B$2</f>
        <v>4091.6359999999995</v>
      </c>
      <c r="K387" s="1023">
        <f t="shared" si="88"/>
        <v>9138705.6168070957</v>
      </c>
      <c r="L387" s="1015"/>
    </row>
    <row r="388" spans="1:13" s="27" customFormat="1" ht="17.25" customHeight="1">
      <c r="A388" s="1089" t="s">
        <v>462</v>
      </c>
      <c r="B388" s="1090" t="s">
        <v>497</v>
      </c>
      <c r="C388" s="1091">
        <f>VLOOKUP(B382,'CNKT '!$D$16:$AA$96,13,0)</f>
        <v>0</v>
      </c>
      <c r="D388" s="1092">
        <v>100000</v>
      </c>
      <c r="E388" s="1093">
        <f>C388*D388</f>
        <v>0</v>
      </c>
      <c r="F388" s="1048"/>
      <c r="G388" s="1089" t="s">
        <v>462</v>
      </c>
      <c r="H388" s="1090" t="s">
        <v>497</v>
      </c>
      <c r="I388" s="1091">
        <f>VLOOKUP(H382,'CNKT '!$D$16:$AA$96,13,0)</f>
        <v>0</v>
      </c>
      <c r="J388" s="1092">
        <v>100000</v>
      </c>
      <c r="K388" s="1093">
        <f>I388*J388</f>
        <v>0</v>
      </c>
      <c r="L388" s="1015"/>
    </row>
    <row r="389" spans="1:13" s="27" customFormat="1" ht="17.25" customHeight="1">
      <c r="A389" s="1020" t="s">
        <v>463</v>
      </c>
      <c r="B389" s="1025" t="s">
        <v>467</v>
      </c>
      <c r="C389" s="1026">
        <f>VLOOKUP(B382,'CNKT '!$D$16:$AA$96,16,0)</f>
        <v>0</v>
      </c>
      <c r="D389" s="622">
        <f>153.8*$B$2</f>
        <v>103162.88800000001</v>
      </c>
      <c r="E389" s="1023">
        <f t="shared" ref="E389" si="89">C389*D389</f>
        <v>0</v>
      </c>
      <c r="F389" s="1048"/>
      <c r="G389" s="1020" t="s">
        <v>463</v>
      </c>
      <c r="H389" s="1025" t="s">
        <v>467</v>
      </c>
      <c r="I389" s="1026">
        <f>VLOOKUP(H382,'CNKT '!$D$16:$AA$96,16,0)</f>
        <v>0</v>
      </c>
      <c r="J389" s="622">
        <f>153.8*$B$2</f>
        <v>103162.88800000001</v>
      </c>
      <c r="K389" s="1023">
        <f t="shared" ref="K389" si="90">I389*J389</f>
        <v>0</v>
      </c>
      <c r="L389" s="1015"/>
    </row>
    <row r="390" spans="1:13" s="27" customFormat="1" ht="17.25" customHeight="1">
      <c r="A390" s="1020" t="s">
        <v>425</v>
      </c>
      <c r="B390" s="1025" t="s">
        <v>468</v>
      </c>
      <c r="C390" s="1026">
        <f>VLOOKUP(B382,'CNKT '!$D$16:$AA$96,18,0)</f>
        <v>2</v>
      </c>
      <c r="D390" s="622">
        <v>10000</v>
      </c>
      <c r="E390" s="1023">
        <f>C390*D390</f>
        <v>20000</v>
      </c>
      <c r="F390" s="1048"/>
      <c r="G390" s="1020" t="s">
        <v>425</v>
      </c>
      <c r="H390" s="1025" t="s">
        <v>468</v>
      </c>
      <c r="I390" s="1026">
        <f>VLOOKUP(H382,'CNKT '!$D$16:$AA$96,18,0)</f>
        <v>2</v>
      </c>
      <c r="J390" s="622">
        <v>10000</v>
      </c>
      <c r="K390" s="1023">
        <f>I390*J390</f>
        <v>20000</v>
      </c>
      <c r="L390" s="1015"/>
    </row>
    <row r="391" spans="1:13" s="27" customFormat="1" ht="17.25" customHeight="1">
      <c r="A391" s="1020" t="s">
        <v>425</v>
      </c>
      <c r="B391" s="1025" t="s">
        <v>468</v>
      </c>
      <c r="C391" s="1026">
        <f>VLOOKUP(B382,'CNKT '!$D$16:$AA$96,19,0)</f>
        <v>0</v>
      </c>
      <c r="D391" s="622">
        <v>20000</v>
      </c>
      <c r="E391" s="1023">
        <f>C391*D391</f>
        <v>0</v>
      </c>
      <c r="F391" s="1048"/>
      <c r="G391" s="1020" t="s">
        <v>425</v>
      </c>
      <c r="H391" s="1025" t="s">
        <v>468</v>
      </c>
      <c r="I391" s="1026">
        <f>VLOOKUP(H382,'CNKT '!$D$16:$AA$96,19,0)</f>
        <v>0</v>
      </c>
      <c r="J391" s="622">
        <v>20000</v>
      </c>
      <c r="K391" s="1023">
        <f>I391*J391</f>
        <v>0</v>
      </c>
      <c r="L391" s="1015"/>
    </row>
    <row r="392" spans="1:13" s="27" customFormat="1" ht="17.25" customHeight="1">
      <c r="A392" s="1020" t="s">
        <v>780</v>
      </c>
      <c r="B392" s="1027" t="s">
        <v>781</v>
      </c>
      <c r="C392" s="1026"/>
      <c r="D392" s="622"/>
      <c r="E392" s="1023">
        <f>VLOOKUP(B382,'CNKT '!$D$16:$AE$99,28,0)</f>
        <v>0</v>
      </c>
      <c r="F392" s="1048"/>
      <c r="G392" s="1020" t="s">
        <v>780</v>
      </c>
      <c r="H392" s="1027" t="s">
        <v>781</v>
      </c>
      <c r="I392" s="1026"/>
      <c r="J392" s="622"/>
      <c r="K392" s="1023">
        <f>VLOOKUP(H382,'CNKT '!$D$16:$AE$99,28,0)</f>
        <v>0</v>
      </c>
      <c r="L392" s="1015"/>
    </row>
    <row r="393" spans="1:13" s="27" customFormat="1" ht="17.25" customHeight="1">
      <c r="A393" s="1028" t="s">
        <v>74</v>
      </c>
      <c r="B393" s="1029" t="s">
        <v>498</v>
      </c>
      <c r="C393" s="1030"/>
      <c r="D393" s="1031"/>
      <c r="E393" s="1030"/>
      <c r="F393" s="1041"/>
      <c r="G393" s="1028" t="s">
        <v>74</v>
      </c>
      <c r="H393" s="1029" t="s">
        <v>498</v>
      </c>
      <c r="I393" s="1030"/>
      <c r="J393" s="1031"/>
      <c r="K393" s="1030"/>
      <c r="L393" s="1015"/>
    </row>
    <row r="394" spans="1:13" s="27" customFormat="1" ht="17.25" customHeight="1">
      <c r="A394" s="1032" t="s">
        <v>75</v>
      </c>
      <c r="B394" s="1033" t="s">
        <v>499</v>
      </c>
      <c r="C394" s="1030"/>
      <c r="D394" s="1030"/>
      <c r="E394" s="1030"/>
      <c r="F394" s="1049"/>
      <c r="G394" s="1032" t="s">
        <v>75</v>
      </c>
      <c r="H394" s="1033" t="s">
        <v>499</v>
      </c>
      <c r="I394" s="1030"/>
      <c r="J394" s="1030"/>
      <c r="K394" s="1030"/>
      <c r="L394" s="1015"/>
    </row>
    <row r="395" spans="1:13" s="27" customFormat="1" ht="17.25" customHeight="1">
      <c r="A395" s="1032" t="s">
        <v>76</v>
      </c>
      <c r="B395" s="1034" t="s">
        <v>500</v>
      </c>
      <c r="C395" s="1030"/>
      <c r="D395" s="1030"/>
      <c r="E395" s="1023">
        <f>SUM(E394)</f>
        <v>0</v>
      </c>
      <c r="F395" s="1049"/>
      <c r="G395" s="1032" t="s">
        <v>76</v>
      </c>
      <c r="H395" s="1034" t="s">
        <v>500</v>
      </c>
      <c r="I395" s="1030"/>
      <c r="J395" s="1030"/>
      <c r="K395" s="1023">
        <f>SUM(K394)</f>
        <v>0</v>
      </c>
      <c r="L395" s="1015"/>
      <c r="M395" s="1035">
        <f>E395+K395</f>
        <v>0</v>
      </c>
    </row>
    <row r="396" spans="1:13" s="27" customFormat="1" ht="17.25" customHeight="1">
      <c r="A396" s="1036" t="s">
        <v>77</v>
      </c>
      <c r="B396" s="1037" t="s">
        <v>412</v>
      </c>
      <c r="C396" s="1038"/>
      <c r="D396" s="1038"/>
      <c r="E396" s="1038">
        <f>(E384+E385+E386+E387+E388+E389+E390+E391+E392)-E395</f>
        <v>9172768.4688835107</v>
      </c>
      <c r="F396" s="1049"/>
      <c r="G396" s="1036" t="s">
        <v>77</v>
      </c>
      <c r="H396" s="1037" t="s">
        <v>412</v>
      </c>
      <c r="I396" s="1038"/>
      <c r="J396" s="1038"/>
      <c r="K396" s="1038">
        <f>(K384+K385+K386+K387+K388+K389+K390+K391+K392)-K395</f>
        <v>10065841.440807097</v>
      </c>
      <c r="L396" s="1040">
        <f>E396+K396</f>
        <v>19238609.909690607</v>
      </c>
    </row>
    <row r="397" spans="1:13" s="27" customFormat="1" ht="17.25" customHeight="1">
      <c r="A397" s="1045"/>
      <c r="B397" s="1050"/>
      <c r="C397" s="1051"/>
      <c r="D397" s="1051"/>
      <c r="E397" s="1049"/>
      <c r="F397" s="1049"/>
      <c r="G397" s="1045"/>
      <c r="H397" s="1050"/>
      <c r="I397" s="1051"/>
      <c r="J397" s="1049"/>
      <c r="K397" s="1043"/>
      <c r="L397" s="1015"/>
    </row>
    <row r="398" spans="1:13" s="27" customFormat="1" ht="185.25" customHeight="1">
      <c r="A398" s="1057"/>
      <c r="B398" s="1048"/>
      <c r="C398" s="1041"/>
      <c r="D398" s="1041"/>
      <c r="E398" s="1045"/>
      <c r="F398" s="1045"/>
      <c r="G398" s="1057"/>
      <c r="H398" s="1048"/>
      <c r="I398" s="1041"/>
      <c r="J398" s="1045"/>
      <c r="K398" s="1043"/>
      <c r="L398" s="1015"/>
    </row>
    <row r="399" spans="1:13" s="27" customFormat="1" ht="17.25" customHeight="1">
      <c r="A399" s="1611" t="str">
        <f>G381</f>
        <v>LƯƠNG THÁNG 08/2025</v>
      </c>
      <c r="B399" s="1612"/>
      <c r="C399" s="1612"/>
      <c r="D399" s="1612"/>
      <c r="E399" s="1014">
        <v>47</v>
      </c>
      <c r="F399" s="1045"/>
      <c r="G399" s="1611" t="str">
        <f>A399</f>
        <v>LƯƠNG THÁNG 08/2025</v>
      </c>
      <c r="H399" s="1612"/>
      <c r="I399" s="1612"/>
      <c r="J399" s="1613"/>
      <c r="K399" s="1014">
        <v>48</v>
      </c>
      <c r="L399" s="1015"/>
    </row>
    <row r="400" spans="1:13" s="27" customFormat="1" ht="17.25" customHeight="1">
      <c r="A400" s="1044" t="s">
        <v>13</v>
      </c>
      <c r="B400" s="1016" t="str">
        <f>'CNKT '!D62</f>
        <v>N. Nu Ni</v>
      </c>
      <c r="C400" s="1017"/>
      <c r="D400" s="1018" t="s">
        <v>376</v>
      </c>
      <c r="E400" s="1018" t="s">
        <v>16</v>
      </c>
      <c r="F400" s="1045"/>
      <c r="G400" s="1044" t="s">
        <v>13</v>
      </c>
      <c r="H400" s="1016" t="str">
        <f>'CNKT '!D63</f>
        <v>T. Đi</v>
      </c>
      <c r="I400" s="1017"/>
      <c r="J400" s="1018" t="s">
        <v>376</v>
      </c>
      <c r="K400" s="1018" t="s">
        <v>16</v>
      </c>
      <c r="L400" s="1015"/>
    </row>
    <row r="401" spans="1:13" s="27" customFormat="1" ht="17.25" customHeight="1">
      <c r="A401" s="1020" t="s">
        <v>377</v>
      </c>
      <c r="B401" s="1021" t="s">
        <v>493</v>
      </c>
      <c r="C401" s="1022" t="str">
        <f>VLOOKUP(B400,'BTH mủ tạp'!$D$17:$AN$94,37,0)</f>
        <v>A</v>
      </c>
      <c r="D401" s="1023"/>
      <c r="E401" s="1023"/>
      <c r="F401" s="1048"/>
      <c r="G401" s="1020" t="s">
        <v>377</v>
      </c>
      <c r="H401" s="1021" t="s">
        <v>493</v>
      </c>
      <c r="I401" s="1022" t="str">
        <f>VLOOKUP(H400,'BTH mủ tạp'!$D$17:$AN$94,37,0)</f>
        <v>A</v>
      </c>
      <c r="J401" s="1023"/>
      <c r="K401" s="1023"/>
      <c r="L401" s="1015"/>
    </row>
    <row r="402" spans="1:13" s="27" customFormat="1" ht="17.25" customHeight="1">
      <c r="A402" s="1020" t="s">
        <v>72</v>
      </c>
      <c r="B402" s="1024" t="s">
        <v>406</v>
      </c>
      <c r="C402" s="621">
        <f>VLOOKUP(B400,'CNKT '!$D$16:$AA$96,3,0)</f>
        <v>0</v>
      </c>
      <c r="D402" s="622">
        <v>25000</v>
      </c>
      <c r="E402" s="1023">
        <f>C402*D402</f>
        <v>0</v>
      </c>
      <c r="F402" s="1048"/>
      <c r="G402" s="1020" t="s">
        <v>72</v>
      </c>
      <c r="H402" s="1024" t="s">
        <v>406</v>
      </c>
      <c r="I402" s="621">
        <f>VLOOKUP(H400,'CNKT '!$D$16:$AA$96,3,0)</f>
        <v>0</v>
      </c>
      <c r="J402" s="622">
        <v>25000</v>
      </c>
      <c r="K402" s="1023">
        <f>I402*J402</f>
        <v>0</v>
      </c>
      <c r="L402" s="1015"/>
    </row>
    <row r="403" spans="1:13" s="27" customFormat="1" ht="17.25" customHeight="1">
      <c r="A403" s="1020" t="s">
        <v>292</v>
      </c>
      <c r="B403" s="1025" t="s">
        <v>494</v>
      </c>
      <c r="C403" s="1026">
        <f>VLOOKUP(B400,'CNKT '!$D$16:$AA$96,11,0)</f>
        <v>26</v>
      </c>
      <c r="D403" s="623">
        <f>46.1*$B$2</f>
        <v>30922.036</v>
      </c>
      <c r="E403" s="1023">
        <f>C403*D403</f>
        <v>803972.93599999999</v>
      </c>
      <c r="F403" s="1041"/>
      <c r="G403" s="1020" t="s">
        <v>292</v>
      </c>
      <c r="H403" s="1025" t="s">
        <v>494</v>
      </c>
      <c r="I403" s="1026">
        <f>VLOOKUP(H400,'CNKT '!$D$16:$AA$96,11,0)</f>
        <v>26</v>
      </c>
      <c r="J403" s="623">
        <f>46.1*$B$2</f>
        <v>30922.036</v>
      </c>
      <c r="K403" s="1023">
        <f>I403*J403</f>
        <v>803972.93599999999</v>
      </c>
      <c r="L403" s="1015"/>
    </row>
    <row r="404" spans="1:13" s="27" customFormat="1" ht="17.25" customHeight="1">
      <c r="A404" s="1020" t="s">
        <v>379</v>
      </c>
      <c r="B404" s="1025" t="s">
        <v>495</v>
      </c>
      <c r="C404" s="1026">
        <f>VLOOKUP(B400,'CNKT '!$D$16:$AA$96,12,0)</f>
        <v>2</v>
      </c>
      <c r="D404" s="622">
        <f>76.9*$B$2</f>
        <v>51581.444000000003</v>
      </c>
      <c r="E404" s="1023">
        <f t="shared" ref="E404:E405" si="91">C404*D404</f>
        <v>103162.88800000001</v>
      </c>
      <c r="F404" s="1049"/>
      <c r="G404" s="1020" t="s">
        <v>379</v>
      </c>
      <c r="H404" s="1025" t="s">
        <v>495</v>
      </c>
      <c r="I404" s="1026">
        <f>VLOOKUP(H400,'CNKT '!$D$16:$AA$96,12,0)</f>
        <v>2</v>
      </c>
      <c r="J404" s="622">
        <f>76.9*$B$2</f>
        <v>51581.444000000003</v>
      </c>
      <c r="K404" s="1023">
        <f t="shared" ref="K404:K405" si="92">I404*J404</f>
        <v>103162.88800000001</v>
      </c>
      <c r="L404" s="1015"/>
    </row>
    <row r="405" spans="1:13" s="27" customFormat="1" ht="17.25" customHeight="1">
      <c r="A405" s="1020" t="s">
        <v>73</v>
      </c>
      <c r="B405" s="1025" t="s">
        <v>496</v>
      </c>
      <c r="C405" s="1026">
        <f>VLOOKUP(B400,'CNKT '!$D$16:$AA$96,8,0)</f>
        <v>2100.6687712525418</v>
      </c>
      <c r="D405" s="622">
        <f>IF(C401="A",6.1,IF(C401="B",5.8,IF(C401="C",5.5,IF(C401="C.",5.5,IF(C401="D",5.2)))))*$B$2</f>
        <v>4091.6359999999995</v>
      </c>
      <c r="E405" s="1023">
        <f t="shared" si="91"/>
        <v>8595171.9685326647</v>
      </c>
      <c r="F405" s="1049"/>
      <c r="G405" s="1020" t="s">
        <v>73</v>
      </c>
      <c r="H405" s="1025" t="s">
        <v>496</v>
      </c>
      <c r="I405" s="1026">
        <f>VLOOKUP(H400,'CNKT '!$D$16:$AA$96,8,0)</f>
        <v>1609.0319766792038</v>
      </c>
      <c r="J405" s="622">
        <f>IF(I401="A",6.1,IF(I401="B",5.8,IF(I401="C",5.5,IF(I401="C.",5.5,IF(I401="D",5.2)))))*$B$2</f>
        <v>4091.6359999999995</v>
      </c>
      <c r="K405" s="1023">
        <f t="shared" si="92"/>
        <v>6583573.1609317902</v>
      </c>
      <c r="L405" s="1015"/>
    </row>
    <row r="406" spans="1:13" s="27" customFormat="1" ht="17.25" customHeight="1">
      <c r="A406" s="1089" t="s">
        <v>462</v>
      </c>
      <c r="B406" s="1090" t="s">
        <v>497</v>
      </c>
      <c r="C406" s="1091">
        <f>VLOOKUP(B400,'CNKT '!$D$16:$AA$96,13,0)</f>
        <v>0</v>
      </c>
      <c r="D406" s="1092">
        <v>100000</v>
      </c>
      <c r="E406" s="1093">
        <f>C406*D406</f>
        <v>0</v>
      </c>
      <c r="F406" s="1049"/>
      <c r="G406" s="1089" t="s">
        <v>462</v>
      </c>
      <c r="H406" s="1090" t="s">
        <v>497</v>
      </c>
      <c r="I406" s="1091">
        <f>VLOOKUP(H400,'CNKT '!$D$16:$AA$96,13,0)</f>
        <v>0</v>
      </c>
      <c r="J406" s="1092">
        <v>100000</v>
      </c>
      <c r="K406" s="1093">
        <f>I406*J406</f>
        <v>0</v>
      </c>
      <c r="L406" s="1015"/>
    </row>
    <row r="407" spans="1:13" s="27" customFormat="1" ht="17.25" customHeight="1">
      <c r="A407" s="1020" t="s">
        <v>463</v>
      </c>
      <c r="B407" s="1025" t="s">
        <v>467</v>
      </c>
      <c r="C407" s="1026">
        <f>VLOOKUP(B400,'CNKT '!$D$16:$AA$96,16,0)</f>
        <v>0</v>
      </c>
      <c r="D407" s="622">
        <f>153.8*$B$2</f>
        <v>103162.88800000001</v>
      </c>
      <c r="E407" s="1023">
        <f t="shared" ref="E407" si="93">C407*D407</f>
        <v>0</v>
      </c>
      <c r="F407" s="1049"/>
      <c r="G407" s="1020" t="s">
        <v>463</v>
      </c>
      <c r="H407" s="1025" t="s">
        <v>467</v>
      </c>
      <c r="I407" s="1026">
        <f>VLOOKUP(H400,'CNKT '!$D$16:$AA$96,16,0)</f>
        <v>0</v>
      </c>
      <c r="J407" s="622">
        <f>153.8*$B$2</f>
        <v>103162.88800000001</v>
      </c>
      <c r="K407" s="1023">
        <f t="shared" ref="K407" si="94">I407*J407</f>
        <v>0</v>
      </c>
      <c r="L407" s="1015"/>
    </row>
    <row r="408" spans="1:13" s="27" customFormat="1" ht="17.25" customHeight="1">
      <c r="A408" s="1020" t="s">
        <v>425</v>
      </c>
      <c r="B408" s="1025" t="s">
        <v>468</v>
      </c>
      <c r="C408" s="1026">
        <f>VLOOKUP(B400,'CNKT '!$D$16:$AA$96,18,0)</f>
        <v>2</v>
      </c>
      <c r="D408" s="622">
        <v>10000</v>
      </c>
      <c r="E408" s="1023">
        <f>C408*D408</f>
        <v>20000</v>
      </c>
      <c r="F408" s="1049"/>
      <c r="G408" s="1020" t="s">
        <v>425</v>
      </c>
      <c r="H408" s="1025" t="s">
        <v>468</v>
      </c>
      <c r="I408" s="1026">
        <f>VLOOKUP(H400,'CNKT '!$D$16:$AA$96,18,0)</f>
        <v>2</v>
      </c>
      <c r="J408" s="622">
        <v>10000</v>
      </c>
      <c r="K408" s="1023">
        <f>I408*J408</f>
        <v>20000</v>
      </c>
      <c r="L408" s="1015"/>
    </row>
    <row r="409" spans="1:13" s="27" customFormat="1" ht="17.25" customHeight="1">
      <c r="A409" s="1020" t="s">
        <v>425</v>
      </c>
      <c r="B409" s="1025" t="s">
        <v>468</v>
      </c>
      <c r="C409" s="1026">
        <f>VLOOKUP(B400,'CNKT '!$D$16:$AA$96,19,0)</f>
        <v>0</v>
      </c>
      <c r="D409" s="622">
        <v>20000</v>
      </c>
      <c r="E409" s="1023">
        <f>C409*D409</f>
        <v>0</v>
      </c>
      <c r="F409" s="1049"/>
      <c r="G409" s="1020" t="s">
        <v>425</v>
      </c>
      <c r="H409" s="1025" t="s">
        <v>468</v>
      </c>
      <c r="I409" s="1026">
        <f>VLOOKUP(H400,'CNKT '!$D$16:$AA$96,19,0)</f>
        <v>0</v>
      </c>
      <c r="J409" s="622">
        <v>20000</v>
      </c>
      <c r="K409" s="1023">
        <f>I409*J409</f>
        <v>0</v>
      </c>
      <c r="L409" s="1015"/>
    </row>
    <row r="410" spans="1:13" s="27" customFormat="1" ht="17.25" customHeight="1">
      <c r="A410" s="1020" t="s">
        <v>780</v>
      </c>
      <c r="B410" s="1027" t="s">
        <v>781</v>
      </c>
      <c r="C410" s="1026"/>
      <c r="D410" s="622"/>
      <c r="E410" s="1023">
        <f>VLOOKUP(B400,'CNKT '!$D$16:$AE$99,28,0)</f>
        <v>0</v>
      </c>
      <c r="F410" s="1049"/>
      <c r="G410" s="1020" t="s">
        <v>780</v>
      </c>
      <c r="H410" s="1027" t="s">
        <v>781</v>
      </c>
      <c r="I410" s="1026"/>
      <c r="J410" s="622"/>
      <c r="K410" s="1023">
        <f>VLOOKUP(H400,'CNKT '!$D$16:$AE$99,28,0)</f>
        <v>0</v>
      </c>
      <c r="L410" s="1015"/>
    </row>
    <row r="411" spans="1:13" s="27" customFormat="1" ht="17.25" customHeight="1">
      <c r="A411" s="1028" t="s">
        <v>74</v>
      </c>
      <c r="B411" s="1029" t="s">
        <v>498</v>
      </c>
      <c r="C411" s="1030"/>
      <c r="D411" s="1031"/>
      <c r="E411" s="1030"/>
      <c r="F411" s="1041"/>
      <c r="G411" s="1028" t="s">
        <v>74</v>
      </c>
      <c r="H411" s="1029" t="s">
        <v>498</v>
      </c>
      <c r="I411" s="1030"/>
      <c r="J411" s="1031"/>
      <c r="K411" s="1030"/>
      <c r="L411" s="1015"/>
    </row>
    <row r="412" spans="1:13" s="27" customFormat="1" ht="17.25" customHeight="1">
      <c r="A412" s="1032" t="s">
        <v>75</v>
      </c>
      <c r="B412" s="1033" t="s">
        <v>499</v>
      </c>
      <c r="C412" s="1030"/>
      <c r="D412" s="1030"/>
      <c r="E412" s="1030"/>
      <c r="F412" s="1045"/>
      <c r="G412" s="1032" t="s">
        <v>75</v>
      </c>
      <c r="H412" s="1033" t="s">
        <v>499</v>
      </c>
      <c r="I412" s="1030"/>
      <c r="J412" s="1030"/>
      <c r="K412" s="1030"/>
      <c r="L412" s="1015"/>
    </row>
    <row r="413" spans="1:13" s="27" customFormat="1" ht="17.25" customHeight="1">
      <c r="A413" s="1032" t="s">
        <v>76</v>
      </c>
      <c r="B413" s="1034" t="s">
        <v>500</v>
      </c>
      <c r="C413" s="1030"/>
      <c r="D413" s="1030"/>
      <c r="E413" s="1023">
        <f>SUM(E412)</f>
        <v>0</v>
      </c>
      <c r="F413" s="1045"/>
      <c r="G413" s="1032" t="s">
        <v>76</v>
      </c>
      <c r="H413" s="1034" t="s">
        <v>500</v>
      </c>
      <c r="I413" s="1030"/>
      <c r="J413" s="1030"/>
      <c r="K413" s="1023">
        <f>SUM(K412)</f>
        <v>0</v>
      </c>
      <c r="L413" s="1015"/>
      <c r="M413" s="1035">
        <f>E413+K413</f>
        <v>0</v>
      </c>
    </row>
    <row r="414" spans="1:13" s="27" customFormat="1" ht="17.25" customHeight="1">
      <c r="A414" s="1036" t="s">
        <v>77</v>
      </c>
      <c r="B414" s="1037" t="s">
        <v>412</v>
      </c>
      <c r="C414" s="1038"/>
      <c r="D414" s="1038"/>
      <c r="E414" s="1038">
        <f>(E402+E403+E404+E405+E406+E407+E408+E409+E410)-E413</f>
        <v>9522307.7925326638</v>
      </c>
      <c r="F414" s="1045"/>
      <c r="G414" s="1036" t="s">
        <v>77</v>
      </c>
      <c r="H414" s="1037" t="s">
        <v>412</v>
      </c>
      <c r="I414" s="1038"/>
      <c r="J414" s="1038"/>
      <c r="K414" s="1038">
        <f>(K402+K403+K404+K405+K406+K407+K408+K409+K410)-K413</f>
        <v>7510708.9849317903</v>
      </c>
      <c r="L414" s="1040">
        <f>E414+K414</f>
        <v>17033016.777464453</v>
      </c>
    </row>
    <row r="415" spans="1:13" s="27" customFormat="1" ht="17.25" customHeight="1">
      <c r="A415" s="1045"/>
      <c r="B415" s="1050"/>
      <c r="C415" s="1051"/>
      <c r="D415" s="1051"/>
      <c r="E415" s="1049"/>
      <c r="F415" s="1045"/>
      <c r="G415" s="1045"/>
      <c r="H415" s="1050"/>
      <c r="I415" s="1051"/>
      <c r="J415" s="1049"/>
      <c r="K415" s="1043"/>
      <c r="L415" s="1015"/>
    </row>
    <row r="416" spans="1:13" s="27" customFormat="1" ht="17.25" customHeight="1">
      <c r="A416" s="1611" t="str">
        <f>G399</f>
        <v>LƯƠNG THÁNG 08/2025</v>
      </c>
      <c r="B416" s="1612"/>
      <c r="C416" s="1612"/>
      <c r="D416" s="1612"/>
      <c r="E416" s="1014">
        <v>49</v>
      </c>
      <c r="F416" s="1041"/>
      <c r="G416" s="1611" t="str">
        <f>A416</f>
        <v>LƯƠNG THÁNG 08/2025</v>
      </c>
      <c r="H416" s="1612"/>
      <c r="I416" s="1612"/>
      <c r="J416" s="1613"/>
      <c r="K416" s="1014">
        <v>50</v>
      </c>
      <c r="L416" s="1015"/>
    </row>
    <row r="417" spans="1:13" s="27" customFormat="1" ht="17.25" customHeight="1">
      <c r="A417" s="1044" t="s">
        <v>13</v>
      </c>
      <c r="B417" s="1016" t="str">
        <f>'CNKT '!D64</f>
        <v>N. On Xi</v>
      </c>
      <c r="C417" s="1017"/>
      <c r="D417" s="1018" t="s">
        <v>376</v>
      </c>
      <c r="E417" s="1018" t="s">
        <v>16</v>
      </c>
      <c r="F417" s="1049"/>
      <c r="G417" s="1044" t="s">
        <v>13</v>
      </c>
      <c r="H417" s="1016" t="str">
        <f>'CNKT '!D65</f>
        <v>N. Thông La</v>
      </c>
      <c r="I417" s="1017"/>
      <c r="J417" s="1018" t="s">
        <v>376</v>
      </c>
      <c r="K417" s="1018" t="s">
        <v>16</v>
      </c>
      <c r="L417" s="1015"/>
    </row>
    <row r="418" spans="1:13" s="27" customFormat="1" ht="17.25" customHeight="1">
      <c r="A418" s="1020" t="s">
        <v>377</v>
      </c>
      <c r="B418" s="1021" t="s">
        <v>493</v>
      </c>
      <c r="C418" s="1022" t="str">
        <f>VLOOKUP(B417,'BTH mủ tạp'!$D$17:$AN$94,37,0)</f>
        <v>A</v>
      </c>
      <c r="D418" s="1023"/>
      <c r="E418" s="1023"/>
      <c r="F418" s="1049"/>
      <c r="G418" s="1020" t="s">
        <v>377</v>
      </c>
      <c r="H418" s="1021" t="s">
        <v>493</v>
      </c>
      <c r="I418" s="1022" t="str">
        <f>VLOOKUP(H417,'BTH mủ tạp'!$D$17:$AN$94,37,0)</f>
        <v>A</v>
      </c>
      <c r="J418" s="1023"/>
      <c r="K418" s="1023"/>
      <c r="L418" s="1015"/>
    </row>
    <row r="419" spans="1:13" s="27" customFormat="1" ht="17.25" customHeight="1">
      <c r="A419" s="1020" t="s">
        <v>72</v>
      </c>
      <c r="B419" s="1024" t="s">
        <v>406</v>
      </c>
      <c r="C419" s="621">
        <f>VLOOKUP(B417,'CNKT '!$D$16:$AA$96,3,0)</f>
        <v>0</v>
      </c>
      <c r="D419" s="622">
        <v>25000</v>
      </c>
      <c r="E419" s="1023">
        <f>C419*D419</f>
        <v>0</v>
      </c>
      <c r="F419" s="1049"/>
      <c r="G419" s="1020" t="s">
        <v>72</v>
      </c>
      <c r="H419" s="1024" t="s">
        <v>406</v>
      </c>
      <c r="I419" s="621">
        <f>VLOOKUP(H417,'CNKT '!$D$16:$AA$96,3,0)</f>
        <v>0</v>
      </c>
      <c r="J419" s="622">
        <v>25000</v>
      </c>
      <c r="K419" s="1023">
        <f>I419*J419</f>
        <v>0</v>
      </c>
      <c r="L419" s="1015"/>
    </row>
    <row r="420" spans="1:13" s="27" customFormat="1" ht="17.25" customHeight="1">
      <c r="A420" s="1020" t="s">
        <v>292</v>
      </c>
      <c r="B420" s="1025" t="s">
        <v>494</v>
      </c>
      <c r="C420" s="1026">
        <f>VLOOKUP(B417,'CNKT '!$D$16:$AA$96,11,0)</f>
        <v>25</v>
      </c>
      <c r="D420" s="623">
        <f>46.1*$B$2</f>
        <v>30922.036</v>
      </c>
      <c r="E420" s="1023">
        <f>C420*D420</f>
        <v>773050.9</v>
      </c>
      <c r="F420" s="1049"/>
      <c r="G420" s="1020" t="s">
        <v>292</v>
      </c>
      <c r="H420" s="1025" t="s">
        <v>494</v>
      </c>
      <c r="I420" s="1026">
        <f>VLOOKUP(H417,'CNKT '!$D$16:$AA$96,11,0)</f>
        <v>26</v>
      </c>
      <c r="J420" s="623">
        <f>46.1*$B$2</f>
        <v>30922.036</v>
      </c>
      <c r="K420" s="1023">
        <f>I420*J420</f>
        <v>803972.93599999999</v>
      </c>
      <c r="L420" s="1015"/>
    </row>
    <row r="421" spans="1:13" s="27" customFormat="1" ht="17.25" customHeight="1">
      <c r="A421" s="1020" t="s">
        <v>379</v>
      </c>
      <c r="B421" s="1025" t="s">
        <v>495</v>
      </c>
      <c r="C421" s="1026">
        <f>VLOOKUP(B417,'CNKT '!$D$16:$AA$96,12,0)</f>
        <v>1</v>
      </c>
      <c r="D421" s="622">
        <f>76.9*$B$2</f>
        <v>51581.444000000003</v>
      </c>
      <c r="E421" s="1023">
        <f t="shared" ref="E421:E422" si="95">C421*D421</f>
        <v>51581.444000000003</v>
      </c>
      <c r="F421" s="1049"/>
      <c r="G421" s="1020" t="s">
        <v>379</v>
      </c>
      <c r="H421" s="1025" t="s">
        <v>495</v>
      </c>
      <c r="I421" s="1026">
        <f>VLOOKUP(H417,'CNKT '!$D$16:$AA$96,12,0)</f>
        <v>2</v>
      </c>
      <c r="J421" s="622">
        <f>76.9*$B$2</f>
        <v>51581.444000000003</v>
      </c>
      <c r="K421" s="1023">
        <f t="shared" ref="K421:K422" si="96">I421*J421</f>
        <v>103162.88800000001</v>
      </c>
      <c r="L421" s="1015"/>
    </row>
    <row r="422" spans="1:13" s="27" customFormat="1" ht="17.25" customHeight="1">
      <c r="A422" s="1020" t="s">
        <v>73</v>
      </c>
      <c r="B422" s="1025" t="s">
        <v>496</v>
      </c>
      <c r="C422" s="1026">
        <f>VLOOKUP(B417,'CNKT '!$D$16:$AA$96,8,0)</f>
        <v>1741.4450143140732</v>
      </c>
      <c r="D422" s="622">
        <f>IF(C418="A",6.1,IF(C418="B",5.8,IF(C418="C",5.5,IF(C418="C.",5.5,IF(C418="D",5.2)))))*$B$2</f>
        <v>4091.6359999999995</v>
      </c>
      <c r="E422" s="1023">
        <f t="shared" si="95"/>
        <v>7125359.1125879763</v>
      </c>
      <c r="F422" s="1041"/>
      <c r="G422" s="1020" t="s">
        <v>73</v>
      </c>
      <c r="H422" s="1025" t="s">
        <v>496</v>
      </c>
      <c r="I422" s="1026">
        <f>VLOOKUP(H417,'CNKT '!$D$16:$AA$96,8,0)</f>
        <v>2113.4829361849484</v>
      </c>
      <c r="J422" s="622">
        <f>IF(I418="A",6.1,IF(I418="B",5.8,IF(I418="C",5.5,IF(I418="C.",5.5,IF(I418="D",5.2)))))*$B$2</f>
        <v>4091.6359999999995</v>
      </c>
      <c r="K422" s="1023">
        <f t="shared" si="96"/>
        <v>8647602.8670800366</v>
      </c>
      <c r="L422" s="1015"/>
    </row>
    <row r="423" spans="1:13" s="27" customFormat="1" ht="17.25" customHeight="1">
      <c r="A423" s="1089" t="s">
        <v>462</v>
      </c>
      <c r="B423" s="1090" t="s">
        <v>497</v>
      </c>
      <c r="C423" s="1091">
        <f>VLOOKUP(B417,'CNKT '!$D$16:$AA$96,13,0)</f>
        <v>0</v>
      </c>
      <c r="D423" s="1092">
        <v>100000</v>
      </c>
      <c r="E423" s="1093">
        <f>C423*D423</f>
        <v>0</v>
      </c>
      <c r="F423" s="1041"/>
      <c r="G423" s="1089" t="s">
        <v>462</v>
      </c>
      <c r="H423" s="1090" t="s">
        <v>497</v>
      </c>
      <c r="I423" s="1091">
        <f>VLOOKUP(H417,'CNKT '!$D$16:$AA$96,13,0)</f>
        <v>0</v>
      </c>
      <c r="J423" s="1092">
        <v>100000</v>
      </c>
      <c r="K423" s="1093">
        <f>I423*J423</f>
        <v>0</v>
      </c>
      <c r="L423" s="1015"/>
    </row>
    <row r="424" spans="1:13" s="27" customFormat="1" ht="17.25" customHeight="1">
      <c r="A424" s="1020" t="s">
        <v>463</v>
      </c>
      <c r="B424" s="1025" t="s">
        <v>467</v>
      </c>
      <c r="C424" s="1026">
        <f>VLOOKUP(B417,'CNKT '!$D$16:$AA$96,16,0)</f>
        <v>0</v>
      </c>
      <c r="D424" s="622">
        <f>153.8*$B$2</f>
        <v>103162.88800000001</v>
      </c>
      <c r="E424" s="1023">
        <f t="shared" ref="E424" si="97">C424*D424</f>
        <v>0</v>
      </c>
      <c r="F424" s="1041"/>
      <c r="G424" s="1020" t="s">
        <v>463</v>
      </c>
      <c r="H424" s="1025" t="s">
        <v>467</v>
      </c>
      <c r="I424" s="1026">
        <f>VLOOKUP(H417,'CNKT '!$D$16:$AA$96,16,0)</f>
        <v>0</v>
      </c>
      <c r="J424" s="622">
        <f>153.8*$B$2</f>
        <v>103162.88800000001</v>
      </c>
      <c r="K424" s="1023">
        <f t="shared" ref="K424" si="98">I424*J424</f>
        <v>0</v>
      </c>
      <c r="L424" s="1015"/>
    </row>
    <row r="425" spans="1:13" s="27" customFormat="1" ht="17.25" customHeight="1">
      <c r="A425" s="1020" t="s">
        <v>425</v>
      </c>
      <c r="B425" s="1025" t="s">
        <v>468</v>
      </c>
      <c r="C425" s="1026">
        <f>VLOOKUP(B417,'CNKT '!$D$16:$AA$96,18,0)</f>
        <v>2</v>
      </c>
      <c r="D425" s="622">
        <v>10000</v>
      </c>
      <c r="E425" s="1023">
        <f>C425*D425</f>
        <v>20000</v>
      </c>
      <c r="F425" s="1041"/>
      <c r="G425" s="1020" t="s">
        <v>425</v>
      </c>
      <c r="H425" s="1025" t="s">
        <v>468</v>
      </c>
      <c r="I425" s="1026">
        <f>VLOOKUP(H417,'CNKT '!$D$16:$AA$96,18,0)</f>
        <v>2</v>
      </c>
      <c r="J425" s="622">
        <v>10000</v>
      </c>
      <c r="K425" s="1023">
        <f>I425*J425</f>
        <v>20000</v>
      </c>
      <c r="L425" s="1015"/>
    </row>
    <row r="426" spans="1:13" s="27" customFormat="1" ht="17.25" customHeight="1">
      <c r="A426" s="1020" t="s">
        <v>425</v>
      </c>
      <c r="B426" s="1025" t="s">
        <v>468</v>
      </c>
      <c r="C426" s="1026">
        <f>VLOOKUP(B417,'CNKT '!$D$16:$AA$96,19,0)</f>
        <v>0</v>
      </c>
      <c r="D426" s="622">
        <v>20000</v>
      </c>
      <c r="E426" s="1023">
        <f>C426*D426</f>
        <v>0</v>
      </c>
      <c r="F426" s="1041"/>
      <c r="G426" s="1020" t="s">
        <v>425</v>
      </c>
      <c r="H426" s="1025" t="s">
        <v>468</v>
      </c>
      <c r="I426" s="1026">
        <f>VLOOKUP(H417,'CNKT '!$D$16:$AA$96,19,0)</f>
        <v>0</v>
      </c>
      <c r="J426" s="622">
        <v>20000</v>
      </c>
      <c r="K426" s="1023">
        <f>I426*J426</f>
        <v>0</v>
      </c>
      <c r="L426" s="1015"/>
    </row>
    <row r="427" spans="1:13" s="27" customFormat="1" ht="17.25" customHeight="1">
      <c r="A427" s="1020" t="s">
        <v>780</v>
      </c>
      <c r="B427" s="1027" t="s">
        <v>781</v>
      </c>
      <c r="C427" s="1026"/>
      <c r="D427" s="622"/>
      <c r="E427" s="1023">
        <f>VLOOKUP(B417,'CNKT '!$D$16:$AE$99,28,0)</f>
        <v>0</v>
      </c>
      <c r="F427" s="1041"/>
      <c r="G427" s="1020" t="s">
        <v>780</v>
      </c>
      <c r="H427" s="1027" t="s">
        <v>781</v>
      </c>
      <c r="I427" s="1026"/>
      <c r="J427" s="622"/>
      <c r="K427" s="1023">
        <f>VLOOKUP(H417,'CNKT '!$D$16:$AE$99,28,0)</f>
        <v>0</v>
      </c>
      <c r="L427" s="1015"/>
    </row>
    <row r="428" spans="1:13" s="27" customFormat="1" ht="17.25" customHeight="1">
      <c r="A428" s="1028" t="s">
        <v>74</v>
      </c>
      <c r="B428" s="1029" t="s">
        <v>498</v>
      </c>
      <c r="C428" s="1030"/>
      <c r="D428" s="1031"/>
      <c r="E428" s="1030"/>
      <c r="F428" s="1045"/>
      <c r="G428" s="1028" t="s">
        <v>74</v>
      </c>
      <c r="H428" s="1029" t="s">
        <v>498</v>
      </c>
      <c r="I428" s="1030"/>
      <c r="J428" s="1031"/>
      <c r="K428" s="1030"/>
      <c r="L428" s="1015"/>
    </row>
    <row r="429" spans="1:13" s="27" customFormat="1" ht="17.25" customHeight="1">
      <c r="A429" s="1032" t="s">
        <v>75</v>
      </c>
      <c r="B429" s="1033" t="s">
        <v>499</v>
      </c>
      <c r="C429" s="1030"/>
      <c r="D429" s="1030"/>
      <c r="E429" s="1030"/>
      <c r="F429" s="1045"/>
      <c r="G429" s="1032" t="s">
        <v>75</v>
      </c>
      <c r="H429" s="1033" t="s">
        <v>499</v>
      </c>
      <c r="I429" s="1030"/>
      <c r="J429" s="1030"/>
      <c r="K429" s="1030"/>
      <c r="L429" s="1015"/>
    </row>
    <row r="430" spans="1:13" s="27" customFormat="1" ht="17.25" customHeight="1">
      <c r="A430" s="1032" t="s">
        <v>76</v>
      </c>
      <c r="B430" s="1034" t="s">
        <v>500</v>
      </c>
      <c r="C430" s="1030"/>
      <c r="D430" s="1030"/>
      <c r="E430" s="1023">
        <f>SUM(E429)</f>
        <v>0</v>
      </c>
      <c r="F430" s="1045"/>
      <c r="G430" s="1032" t="s">
        <v>76</v>
      </c>
      <c r="H430" s="1034" t="s">
        <v>500</v>
      </c>
      <c r="I430" s="1030"/>
      <c r="J430" s="1030"/>
      <c r="K430" s="1023">
        <f>SUM(K429)</f>
        <v>0</v>
      </c>
      <c r="L430" s="1015"/>
      <c r="M430" s="1035">
        <f>E430+K430</f>
        <v>0</v>
      </c>
    </row>
    <row r="431" spans="1:13" s="27" customFormat="1" ht="17.25" customHeight="1">
      <c r="A431" s="1036" t="s">
        <v>77</v>
      </c>
      <c r="B431" s="1037" t="s">
        <v>412</v>
      </c>
      <c r="C431" s="1038"/>
      <c r="D431" s="1038"/>
      <c r="E431" s="1038">
        <f>(E419+E420+E421+E422+E423+E424+E425+E426+E427)-E430</f>
        <v>7969991.4565879758</v>
      </c>
      <c r="F431" s="1045"/>
      <c r="G431" s="1036" t="s">
        <v>77</v>
      </c>
      <c r="H431" s="1037" t="s">
        <v>412</v>
      </c>
      <c r="I431" s="1038"/>
      <c r="J431" s="1038"/>
      <c r="K431" s="1038">
        <f>(K419+K420+K421+K422+K423+K424+K425+K426+K427)-K430</f>
        <v>9574738.6910800375</v>
      </c>
      <c r="L431" s="1040">
        <f>E431+K431</f>
        <v>17544730.147668011</v>
      </c>
    </row>
    <row r="432" spans="1:13" s="27" customFormat="1" ht="17.25" customHeight="1">
      <c r="A432" s="1045"/>
      <c r="B432" s="1050"/>
      <c r="C432" s="1051"/>
      <c r="D432" s="1051"/>
      <c r="E432" s="1049"/>
      <c r="F432" s="1045"/>
      <c r="G432" s="1045"/>
      <c r="H432" s="1050"/>
      <c r="I432" s="1051"/>
      <c r="J432" s="1049"/>
      <c r="K432" s="1043"/>
      <c r="L432" s="1015"/>
    </row>
    <row r="433" spans="1:13" s="27" customFormat="1" ht="17.25" customHeight="1">
      <c r="A433" s="1611" t="str">
        <f>G416</f>
        <v>LƯƠNG THÁNG 08/2025</v>
      </c>
      <c r="B433" s="1612"/>
      <c r="C433" s="1612"/>
      <c r="D433" s="1612"/>
      <c r="E433" s="1014">
        <v>51</v>
      </c>
      <c r="F433" s="1049"/>
      <c r="G433" s="1611" t="str">
        <f>A433</f>
        <v>LƯƠNG THÁNG 08/2025</v>
      </c>
      <c r="H433" s="1612"/>
      <c r="I433" s="1612"/>
      <c r="J433" s="1613"/>
      <c r="K433" s="1014">
        <v>52</v>
      </c>
      <c r="L433" s="1015"/>
    </row>
    <row r="434" spans="1:13" s="27" customFormat="1" ht="17.25" customHeight="1">
      <c r="A434" s="1044" t="s">
        <v>13</v>
      </c>
      <c r="B434" s="1016" t="str">
        <f>'CNKT '!D66</f>
        <v>T. Son Xay</v>
      </c>
      <c r="C434" s="1017"/>
      <c r="D434" s="1018" t="s">
        <v>376</v>
      </c>
      <c r="E434" s="1018" t="s">
        <v>16</v>
      </c>
      <c r="F434" s="1049"/>
      <c r="G434" s="1044" t="s">
        <v>13</v>
      </c>
      <c r="H434" s="1016" t="str">
        <f>'CNKT '!D67</f>
        <v>N. Lăm Phay</v>
      </c>
      <c r="I434" s="1017"/>
      <c r="J434" s="1018" t="s">
        <v>376</v>
      </c>
      <c r="K434" s="1018" t="s">
        <v>16</v>
      </c>
      <c r="L434" s="1015"/>
    </row>
    <row r="435" spans="1:13" s="27" customFormat="1" ht="17.25" customHeight="1">
      <c r="A435" s="1020" t="s">
        <v>377</v>
      </c>
      <c r="B435" s="1021" t="s">
        <v>493</v>
      </c>
      <c r="C435" s="1022" t="str">
        <f>VLOOKUP(B434,'BTH mủ tạp'!$D$17:$AN$94,37,0)</f>
        <v>A</v>
      </c>
      <c r="D435" s="1023"/>
      <c r="E435" s="1023"/>
      <c r="F435" s="1049"/>
      <c r="G435" s="1020" t="s">
        <v>377</v>
      </c>
      <c r="H435" s="1021" t="s">
        <v>493</v>
      </c>
      <c r="I435" s="1022" t="str">
        <f>VLOOKUP(H434,'BTH mủ tạp'!$D$17:$AN$94,37,0)</f>
        <v>A</v>
      </c>
      <c r="J435" s="1023"/>
      <c r="K435" s="1023"/>
      <c r="L435" s="1015"/>
    </row>
    <row r="436" spans="1:13" s="27" customFormat="1" ht="17.25" customHeight="1">
      <c r="A436" s="1020" t="s">
        <v>72</v>
      </c>
      <c r="B436" s="1024" t="s">
        <v>406</v>
      </c>
      <c r="C436" s="621">
        <f>VLOOKUP(B434,'CNKT '!$D$16:$AA$96,3,0)</f>
        <v>0</v>
      </c>
      <c r="D436" s="622">
        <v>25000</v>
      </c>
      <c r="E436" s="1023">
        <f>C436*D436</f>
        <v>0</v>
      </c>
      <c r="F436" s="1041"/>
      <c r="G436" s="1020" t="s">
        <v>72</v>
      </c>
      <c r="H436" s="1024" t="s">
        <v>406</v>
      </c>
      <c r="I436" s="621">
        <f>VLOOKUP(H434,'CNKT '!$D$16:$AA$96,3,0)</f>
        <v>0</v>
      </c>
      <c r="J436" s="622">
        <v>25000</v>
      </c>
      <c r="K436" s="1023">
        <f>I436*J436</f>
        <v>0</v>
      </c>
      <c r="L436" s="1015"/>
    </row>
    <row r="437" spans="1:13" s="27" customFormat="1" ht="17.25" customHeight="1">
      <c r="A437" s="1020" t="s">
        <v>292</v>
      </c>
      <c r="B437" s="1025" t="s">
        <v>494</v>
      </c>
      <c r="C437" s="1026">
        <f>VLOOKUP(B434,'CNKT '!$D$16:$AA$96,11,0)</f>
        <v>24</v>
      </c>
      <c r="D437" s="623">
        <f>46.1*$B$2</f>
        <v>30922.036</v>
      </c>
      <c r="E437" s="1023">
        <f>C437*D437</f>
        <v>742128.86400000006</v>
      </c>
      <c r="F437" s="1045"/>
      <c r="G437" s="1020" t="s">
        <v>292</v>
      </c>
      <c r="H437" s="1025" t="s">
        <v>494</v>
      </c>
      <c r="I437" s="1026">
        <f>VLOOKUP(H434,'CNKT '!$D$16:$AA$96,11,0)</f>
        <v>25</v>
      </c>
      <c r="J437" s="623">
        <f>46.1*$B$2</f>
        <v>30922.036</v>
      </c>
      <c r="K437" s="1023">
        <f>I437*J437</f>
        <v>773050.9</v>
      </c>
      <c r="L437" s="1015"/>
    </row>
    <row r="438" spans="1:13" s="27" customFormat="1" ht="17.25" customHeight="1">
      <c r="A438" s="1020" t="s">
        <v>379</v>
      </c>
      <c r="B438" s="1025" t="s">
        <v>495</v>
      </c>
      <c r="C438" s="1026">
        <f>VLOOKUP(B434,'CNKT '!$D$16:$AA$96,12,0)</f>
        <v>2</v>
      </c>
      <c r="D438" s="622">
        <f>76.9*$B$2</f>
        <v>51581.444000000003</v>
      </c>
      <c r="E438" s="1023">
        <f t="shared" ref="E438:E439" si="99">C438*D438</f>
        <v>103162.88800000001</v>
      </c>
      <c r="F438" s="1045"/>
      <c r="G438" s="1020" t="s">
        <v>379</v>
      </c>
      <c r="H438" s="1025" t="s">
        <v>495</v>
      </c>
      <c r="I438" s="1026">
        <f>VLOOKUP(H434,'CNKT '!$D$16:$AA$96,12,0)</f>
        <v>2</v>
      </c>
      <c r="J438" s="622">
        <f>76.9*$B$2</f>
        <v>51581.444000000003</v>
      </c>
      <c r="K438" s="1023">
        <f t="shared" ref="K438:K439" si="100">I438*J438</f>
        <v>103162.88800000001</v>
      </c>
      <c r="L438" s="1015"/>
    </row>
    <row r="439" spans="1:13" s="27" customFormat="1" ht="17.25" customHeight="1">
      <c r="A439" s="1020" t="s">
        <v>73</v>
      </c>
      <c r="B439" s="1025" t="s">
        <v>496</v>
      </c>
      <c r="C439" s="1026">
        <f>VLOOKUP(B434,'CNKT '!$D$16:$AA$96,8,0)</f>
        <v>2026.7737534756629</v>
      </c>
      <c r="D439" s="622">
        <f>IF(C435="A",6.1,IF(C435="B",5.8,IF(C435="C",5.5,IF(C435="C.",5.5,IF(C435="D",5.2)))))*$B$2</f>
        <v>4091.6359999999995</v>
      </c>
      <c r="E439" s="1023">
        <f t="shared" si="99"/>
        <v>8292820.4535761466</v>
      </c>
      <c r="F439" s="1045"/>
      <c r="G439" s="1020" t="s">
        <v>73</v>
      </c>
      <c r="H439" s="1025" t="s">
        <v>496</v>
      </c>
      <c r="I439" s="1026">
        <f>VLOOKUP(H434,'CNKT '!$D$16:$AA$96,8,0)</f>
        <v>1975.0899549149558</v>
      </c>
      <c r="J439" s="622">
        <f>IF(I435="A",6.1,IF(I435="B",5.8,IF(I435="C",5.5,IF(I435="C.",5.5,IF(I435="D",5.2)))))*$B$2</f>
        <v>4091.6359999999995</v>
      </c>
      <c r="K439" s="1023">
        <f t="shared" si="100"/>
        <v>8081349.1627684087</v>
      </c>
      <c r="L439" s="1015"/>
    </row>
    <row r="440" spans="1:13" s="27" customFormat="1" ht="17.25" customHeight="1">
      <c r="A440" s="1089" t="s">
        <v>462</v>
      </c>
      <c r="B440" s="1090" t="s">
        <v>497</v>
      </c>
      <c r="C440" s="1091">
        <f>VLOOKUP(B434,'CNKT '!$D$16:$AA$96,13,0)</f>
        <v>0</v>
      </c>
      <c r="D440" s="1092">
        <v>100000</v>
      </c>
      <c r="E440" s="1093">
        <f>C440*D440</f>
        <v>0</v>
      </c>
      <c r="F440" s="1045"/>
      <c r="G440" s="1089" t="s">
        <v>462</v>
      </c>
      <c r="H440" s="1090" t="s">
        <v>497</v>
      </c>
      <c r="I440" s="1091">
        <f>VLOOKUP(H434,'CNKT '!$D$16:$AA$96,13,0)</f>
        <v>0</v>
      </c>
      <c r="J440" s="1092">
        <v>100000</v>
      </c>
      <c r="K440" s="1093">
        <f>I440*J440</f>
        <v>0</v>
      </c>
      <c r="L440" s="1015"/>
    </row>
    <row r="441" spans="1:13" s="27" customFormat="1" ht="17.25" customHeight="1">
      <c r="A441" s="1020" t="s">
        <v>463</v>
      </c>
      <c r="B441" s="1025" t="s">
        <v>467</v>
      </c>
      <c r="C441" s="1026">
        <f>VLOOKUP(B434,'CNKT '!$D$16:$AA$96,16,0)</f>
        <v>0</v>
      </c>
      <c r="D441" s="622">
        <f>153.8*$B$2</f>
        <v>103162.88800000001</v>
      </c>
      <c r="E441" s="1023">
        <f t="shared" ref="E441" si="101">C441*D441</f>
        <v>0</v>
      </c>
      <c r="F441" s="1048"/>
      <c r="G441" s="1020" t="s">
        <v>463</v>
      </c>
      <c r="H441" s="1025" t="s">
        <v>467</v>
      </c>
      <c r="I441" s="1026">
        <f>VLOOKUP(H434,'CNKT '!$D$16:$AA$96,16,0)</f>
        <v>0</v>
      </c>
      <c r="J441" s="622">
        <f>153.8*$B$2</f>
        <v>103162.88800000001</v>
      </c>
      <c r="K441" s="1023">
        <f t="shared" ref="K441" si="102">I441*J441</f>
        <v>0</v>
      </c>
      <c r="L441" s="1015"/>
    </row>
    <row r="442" spans="1:13" s="27" customFormat="1" ht="17.25" customHeight="1">
      <c r="A442" s="1020" t="s">
        <v>425</v>
      </c>
      <c r="B442" s="1025" t="s">
        <v>468</v>
      </c>
      <c r="C442" s="1026">
        <f>VLOOKUP(B434,'CNKT '!$D$16:$AA$96,18,0)</f>
        <v>2</v>
      </c>
      <c r="D442" s="622">
        <v>10000</v>
      </c>
      <c r="E442" s="1023">
        <f>C442*D442</f>
        <v>20000</v>
      </c>
      <c r="F442" s="1048"/>
      <c r="G442" s="1020" t="s">
        <v>425</v>
      </c>
      <c r="H442" s="1025" t="s">
        <v>468</v>
      </c>
      <c r="I442" s="1026">
        <f>VLOOKUP(H434,'CNKT '!$D$16:$AA$96,18,0)</f>
        <v>2</v>
      </c>
      <c r="J442" s="622">
        <v>10000</v>
      </c>
      <c r="K442" s="1023">
        <f>I442*J442</f>
        <v>20000</v>
      </c>
      <c r="L442" s="1015"/>
    </row>
    <row r="443" spans="1:13" s="27" customFormat="1" ht="17.25" customHeight="1">
      <c r="A443" s="1020" t="s">
        <v>425</v>
      </c>
      <c r="B443" s="1025" t="s">
        <v>468</v>
      </c>
      <c r="C443" s="1026">
        <f>VLOOKUP(B434,'CNKT '!$D$16:$AA$96,19,0)</f>
        <v>0</v>
      </c>
      <c r="D443" s="622">
        <v>20000</v>
      </c>
      <c r="E443" s="1023">
        <f>C443*D443</f>
        <v>0</v>
      </c>
      <c r="F443" s="1048"/>
      <c r="G443" s="1020" t="s">
        <v>425</v>
      </c>
      <c r="H443" s="1025" t="s">
        <v>468</v>
      </c>
      <c r="I443" s="1026">
        <f>VLOOKUP(H434,'CNKT '!$D$16:$AA$96,19,0)</f>
        <v>0</v>
      </c>
      <c r="J443" s="622">
        <v>20000</v>
      </c>
      <c r="K443" s="1023">
        <f>I443*J443</f>
        <v>0</v>
      </c>
      <c r="L443" s="1015"/>
    </row>
    <row r="444" spans="1:13" s="27" customFormat="1" ht="17.25" customHeight="1">
      <c r="A444" s="1020" t="s">
        <v>780</v>
      </c>
      <c r="B444" s="1027" t="s">
        <v>781</v>
      </c>
      <c r="C444" s="1026"/>
      <c r="D444" s="622"/>
      <c r="E444" s="1023">
        <f>VLOOKUP(B434,'CNKT '!$D$16:$AE$99,28,0)</f>
        <v>0</v>
      </c>
      <c r="F444" s="1048"/>
      <c r="G444" s="1020" t="s">
        <v>780</v>
      </c>
      <c r="H444" s="1027" t="s">
        <v>781</v>
      </c>
      <c r="I444" s="1026"/>
      <c r="J444" s="622"/>
      <c r="K444" s="1023">
        <f>VLOOKUP(H434,'CNKT '!$D$16:$AE$99,28,0)</f>
        <v>0</v>
      </c>
      <c r="L444" s="1015"/>
    </row>
    <row r="445" spans="1:13" s="27" customFormat="1" ht="17.25" customHeight="1">
      <c r="A445" s="1028" t="s">
        <v>74</v>
      </c>
      <c r="B445" s="1029" t="s">
        <v>498</v>
      </c>
      <c r="C445" s="1030"/>
      <c r="D445" s="1031"/>
      <c r="E445" s="1030"/>
      <c r="F445" s="1048"/>
      <c r="G445" s="1028" t="s">
        <v>74</v>
      </c>
      <c r="H445" s="1029" t="s">
        <v>498</v>
      </c>
      <c r="I445" s="1030"/>
      <c r="J445" s="1031"/>
      <c r="K445" s="1030"/>
      <c r="L445" s="1015"/>
    </row>
    <row r="446" spans="1:13" s="27" customFormat="1" ht="17.25" customHeight="1">
      <c r="A446" s="1032" t="s">
        <v>75</v>
      </c>
      <c r="B446" s="1033" t="s">
        <v>499</v>
      </c>
      <c r="C446" s="1030"/>
      <c r="D446" s="1030"/>
      <c r="E446" s="1030"/>
      <c r="F446" s="1048"/>
      <c r="G446" s="1032" t="s">
        <v>75</v>
      </c>
      <c r="H446" s="1033" t="s">
        <v>499</v>
      </c>
      <c r="I446" s="1030"/>
      <c r="J446" s="1030"/>
      <c r="K446" s="1030"/>
      <c r="L446" s="1040"/>
    </row>
    <row r="447" spans="1:13" s="27" customFormat="1" ht="17.25" customHeight="1">
      <c r="A447" s="1032" t="s">
        <v>76</v>
      </c>
      <c r="B447" s="1034" t="s">
        <v>500</v>
      </c>
      <c r="C447" s="1030"/>
      <c r="D447" s="1030"/>
      <c r="E447" s="1023">
        <f>SUM(E446)</f>
        <v>0</v>
      </c>
      <c r="F447" s="1048"/>
      <c r="G447" s="1032" t="s">
        <v>76</v>
      </c>
      <c r="H447" s="1034" t="s">
        <v>500</v>
      </c>
      <c r="I447" s="1030"/>
      <c r="J447" s="1030"/>
      <c r="K447" s="1023">
        <f>SUM(K446)</f>
        <v>0</v>
      </c>
      <c r="L447" s="1015"/>
      <c r="M447" s="1035">
        <f>E447+K447</f>
        <v>0</v>
      </c>
    </row>
    <row r="448" spans="1:13" s="27" customFormat="1" ht="17.25" customHeight="1">
      <c r="A448" s="1036" t="s">
        <v>77</v>
      </c>
      <c r="B448" s="1037" t="s">
        <v>412</v>
      </c>
      <c r="C448" s="1038"/>
      <c r="D448" s="1038"/>
      <c r="E448" s="1038">
        <f>(E436+E437+E438+E439+E440+E441+E442+E443+E444)-E447</f>
        <v>9158112.205576146</v>
      </c>
      <c r="F448" s="1041"/>
      <c r="G448" s="1036" t="s">
        <v>77</v>
      </c>
      <c r="H448" s="1037" t="s">
        <v>412</v>
      </c>
      <c r="I448" s="1038"/>
      <c r="J448" s="1038"/>
      <c r="K448" s="1038">
        <f>(K436+K437+K438+K439+K440+K441+K442+K443+K444)-K447</f>
        <v>8977562.9507684093</v>
      </c>
      <c r="L448" s="1040">
        <f>E448+K448</f>
        <v>18135675.156344555</v>
      </c>
    </row>
    <row r="449" spans="1:13" s="27" customFormat="1" ht="17.25" customHeight="1">
      <c r="A449" s="1611" t="str">
        <f>G433</f>
        <v>LƯƠNG THÁNG 08/2025</v>
      </c>
      <c r="B449" s="1612"/>
      <c r="C449" s="1612"/>
      <c r="D449" s="1612"/>
      <c r="E449" s="1014">
        <v>53</v>
      </c>
      <c r="F449" s="1049"/>
      <c r="G449" s="1611" t="str">
        <f>A449</f>
        <v>LƯƠNG THÁNG 08/2025</v>
      </c>
      <c r="H449" s="1612"/>
      <c r="I449" s="1612"/>
      <c r="J449" s="1613"/>
      <c r="K449" s="1014">
        <v>54</v>
      </c>
      <c r="L449" s="1015"/>
    </row>
    <row r="450" spans="1:13" s="27" customFormat="1" ht="17.25" customHeight="1">
      <c r="A450" s="1044" t="s">
        <v>13</v>
      </c>
      <c r="B450" s="1016" t="str">
        <f>'CNKT '!D68</f>
        <v>T. Nhung</v>
      </c>
      <c r="C450" s="1017"/>
      <c r="D450" s="1018" t="s">
        <v>376</v>
      </c>
      <c r="E450" s="1018" t="s">
        <v>16</v>
      </c>
      <c r="F450" s="1049"/>
      <c r="G450" s="1044" t="s">
        <v>13</v>
      </c>
      <c r="H450" s="1016" t="str">
        <f>'CNKT '!D69</f>
        <v>N. In Ton</v>
      </c>
      <c r="I450" s="1017"/>
      <c r="J450" s="1018" t="s">
        <v>376</v>
      </c>
      <c r="K450" s="1018" t="s">
        <v>16</v>
      </c>
      <c r="L450" s="1015"/>
    </row>
    <row r="451" spans="1:13" s="27" customFormat="1" ht="17.25" customHeight="1">
      <c r="A451" s="1020" t="s">
        <v>377</v>
      </c>
      <c r="B451" s="1021" t="s">
        <v>493</v>
      </c>
      <c r="C451" s="1022" t="str">
        <f>VLOOKUP(B450,'BTH mủ tạp'!$D$17:$AN$94,37,0)</f>
        <v>A</v>
      </c>
      <c r="D451" s="1023"/>
      <c r="E451" s="1023"/>
      <c r="F451" s="1049"/>
      <c r="G451" s="1020" t="s">
        <v>377</v>
      </c>
      <c r="H451" s="1021" t="s">
        <v>493</v>
      </c>
      <c r="I451" s="1022" t="str">
        <f>VLOOKUP(H450,'BTH mủ tạp'!$D$17:$AN$94,37,0)</f>
        <v>A</v>
      </c>
      <c r="J451" s="1023"/>
      <c r="K451" s="1023"/>
      <c r="L451" s="1015"/>
    </row>
    <row r="452" spans="1:13" s="27" customFormat="1" ht="17.25" customHeight="1">
      <c r="A452" s="1020" t="s">
        <v>72</v>
      </c>
      <c r="B452" s="1024" t="s">
        <v>406</v>
      </c>
      <c r="C452" s="621">
        <f>VLOOKUP(B450,'CNKT '!$D$16:$AA$96,3,0)</f>
        <v>0</v>
      </c>
      <c r="D452" s="622">
        <v>25000</v>
      </c>
      <c r="E452" s="1023">
        <f>C452*D452</f>
        <v>0</v>
      </c>
      <c r="F452" s="1041"/>
      <c r="G452" s="1020" t="s">
        <v>72</v>
      </c>
      <c r="H452" s="1024" t="s">
        <v>406</v>
      </c>
      <c r="I452" s="621">
        <f>VLOOKUP(H450,'CNKT '!$D$16:$AA$96,3,0)</f>
        <v>0</v>
      </c>
      <c r="J452" s="622">
        <v>25000</v>
      </c>
      <c r="K452" s="1023">
        <f>I452*J452</f>
        <v>0</v>
      </c>
      <c r="L452" s="1015"/>
    </row>
    <row r="453" spans="1:13" s="27" customFormat="1" ht="17.25" customHeight="1">
      <c r="A453" s="1020" t="s">
        <v>292</v>
      </c>
      <c r="B453" s="1025" t="s">
        <v>494</v>
      </c>
      <c r="C453" s="1026">
        <f>VLOOKUP(B450,'CNKT '!$D$16:$AA$96,11,0)</f>
        <v>26</v>
      </c>
      <c r="D453" s="623">
        <f>46.1*$B$2</f>
        <v>30922.036</v>
      </c>
      <c r="E453" s="1023">
        <f>C453*D453</f>
        <v>803972.93599999999</v>
      </c>
      <c r="F453" s="1045"/>
      <c r="G453" s="1020" t="s">
        <v>292</v>
      </c>
      <c r="H453" s="1025" t="s">
        <v>494</v>
      </c>
      <c r="I453" s="1026">
        <f>VLOOKUP(H450,'CNKT '!$D$16:$AA$96,11,0)</f>
        <v>26</v>
      </c>
      <c r="J453" s="623">
        <f>46.1*$B$2</f>
        <v>30922.036</v>
      </c>
      <c r="K453" s="1023">
        <f>I453*J453</f>
        <v>803972.93599999999</v>
      </c>
      <c r="L453" s="1015"/>
    </row>
    <row r="454" spans="1:13" s="27" customFormat="1" ht="17.25" customHeight="1">
      <c r="A454" s="1020" t="s">
        <v>379</v>
      </c>
      <c r="B454" s="1025" t="s">
        <v>495</v>
      </c>
      <c r="C454" s="1026">
        <f>VLOOKUP(B450,'CNKT '!$D$16:$AA$96,12,0)</f>
        <v>2</v>
      </c>
      <c r="D454" s="622">
        <f>76.9*$B$2</f>
        <v>51581.444000000003</v>
      </c>
      <c r="E454" s="1023">
        <f t="shared" ref="E454:E455" si="103">C454*D454</f>
        <v>103162.88800000001</v>
      </c>
      <c r="F454" s="1045"/>
      <c r="G454" s="1020" t="s">
        <v>379</v>
      </c>
      <c r="H454" s="1025" t="s">
        <v>495</v>
      </c>
      <c r="I454" s="1026">
        <f>VLOOKUP(H450,'CNKT '!$D$16:$AA$96,12,0)</f>
        <v>2</v>
      </c>
      <c r="J454" s="622">
        <f>76.9*$B$2</f>
        <v>51581.444000000003</v>
      </c>
      <c r="K454" s="1023">
        <f t="shared" ref="K454:K455" si="104">I454*J454</f>
        <v>103162.88800000001</v>
      </c>
      <c r="L454" s="1015"/>
    </row>
    <row r="455" spans="1:13" s="27" customFormat="1" ht="17.25" customHeight="1">
      <c r="A455" s="1020" t="s">
        <v>73</v>
      </c>
      <c r="B455" s="1025" t="s">
        <v>496</v>
      </c>
      <c r="C455" s="1026">
        <f>VLOOKUP(B450,'CNKT '!$D$16:$AA$96,8,0)</f>
        <v>1870.868080131381</v>
      </c>
      <c r="D455" s="622">
        <f>IF(C451="A",6.1,IF(C451="B",5.8,IF(C451="C",5.5,IF(C451="C.",5.5,IF(C451="D",5.2)))))*$B$2</f>
        <v>4091.6359999999995</v>
      </c>
      <c r="E455" s="1023">
        <f t="shared" si="103"/>
        <v>7654911.1879164428</v>
      </c>
      <c r="F455" s="1045"/>
      <c r="G455" s="1020" t="s">
        <v>73</v>
      </c>
      <c r="H455" s="1025" t="s">
        <v>496</v>
      </c>
      <c r="I455" s="1026">
        <f>VLOOKUP(H450,'CNKT '!$D$16:$AA$96,8,0)</f>
        <v>1635.5145842061777</v>
      </c>
      <c r="J455" s="622">
        <f>IF(I451="A",6.1,IF(I451="B",5.8,IF(I451="C",5.5,IF(I451="C.",5.5,IF(I451="D",5.2)))))*$B$2</f>
        <v>4091.6359999999995</v>
      </c>
      <c r="K455" s="1023">
        <f t="shared" si="104"/>
        <v>6691930.3512630276</v>
      </c>
      <c r="L455" s="1015"/>
    </row>
    <row r="456" spans="1:13" s="27" customFormat="1" ht="17.25" customHeight="1">
      <c r="A456" s="1089" t="s">
        <v>462</v>
      </c>
      <c r="B456" s="1090" t="s">
        <v>497</v>
      </c>
      <c r="C456" s="1091">
        <f>VLOOKUP(B450,'CNKT '!$D$16:$AA$96,13,0)</f>
        <v>0</v>
      </c>
      <c r="D456" s="1092">
        <v>100000</v>
      </c>
      <c r="E456" s="1093">
        <f>C456*D456</f>
        <v>0</v>
      </c>
      <c r="F456" s="1045"/>
      <c r="G456" s="1089" t="s">
        <v>462</v>
      </c>
      <c r="H456" s="1090" t="s">
        <v>497</v>
      </c>
      <c r="I456" s="1091">
        <f>VLOOKUP(H450,'CNKT '!$D$16:$AA$96,13,0)</f>
        <v>0</v>
      </c>
      <c r="J456" s="1092">
        <v>100000</v>
      </c>
      <c r="K456" s="1093">
        <f>I456*J456</f>
        <v>0</v>
      </c>
      <c r="L456" s="1015"/>
    </row>
    <row r="457" spans="1:13" s="27" customFormat="1" ht="17.25" customHeight="1">
      <c r="A457" s="1020" t="s">
        <v>463</v>
      </c>
      <c r="B457" s="1025" t="s">
        <v>467</v>
      </c>
      <c r="C457" s="1026">
        <f>VLOOKUP(B450,'CNKT '!$D$16:$AA$96,16,0)</f>
        <v>0</v>
      </c>
      <c r="D457" s="622">
        <f>153.8*$B$2</f>
        <v>103162.88800000001</v>
      </c>
      <c r="E457" s="1023">
        <f t="shared" ref="E457" si="105">C457*D457</f>
        <v>0</v>
      </c>
      <c r="F457" s="1045"/>
      <c r="G457" s="1020" t="s">
        <v>463</v>
      </c>
      <c r="H457" s="1025" t="s">
        <v>467</v>
      </c>
      <c r="I457" s="1026">
        <f>VLOOKUP(H450,'CNKT '!$D$16:$AA$96,16,0)</f>
        <v>0</v>
      </c>
      <c r="J457" s="622">
        <f>153.8*$B$2</f>
        <v>103162.88800000001</v>
      </c>
      <c r="K457" s="1023">
        <f t="shared" ref="K457" si="106">I457*J457</f>
        <v>0</v>
      </c>
      <c r="L457" s="1015"/>
    </row>
    <row r="458" spans="1:13" s="27" customFormat="1" ht="17.25" customHeight="1">
      <c r="A458" s="1020" t="s">
        <v>425</v>
      </c>
      <c r="B458" s="1025" t="s">
        <v>468</v>
      </c>
      <c r="C458" s="1026">
        <f>VLOOKUP(B450,'CNKT '!$D$16:$AA$96,18,0)</f>
        <v>2</v>
      </c>
      <c r="D458" s="622">
        <v>10000</v>
      </c>
      <c r="E458" s="1023">
        <f>C458*D458</f>
        <v>20000</v>
      </c>
      <c r="F458" s="1045"/>
      <c r="G458" s="1020" t="s">
        <v>425</v>
      </c>
      <c r="H458" s="1025" t="s">
        <v>468</v>
      </c>
      <c r="I458" s="1026">
        <f>VLOOKUP(H450,'CNKT '!$D$16:$AA$96,18,0)</f>
        <v>2</v>
      </c>
      <c r="J458" s="622">
        <v>10000</v>
      </c>
      <c r="K458" s="1023">
        <f>I458*J458</f>
        <v>20000</v>
      </c>
      <c r="L458" s="1015"/>
    </row>
    <row r="459" spans="1:13" s="27" customFormat="1" ht="17.25" customHeight="1">
      <c r="A459" s="1020" t="s">
        <v>425</v>
      </c>
      <c r="B459" s="1025" t="s">
        <v>468</v>
      </c>
      <c r="C459" s="1026">
        <f>VLOOKUP(B450,'CNKT '!$D$16:$AA$96,19,0)</f>
        <v>0</v>
      </c>
      <c r="D459" s="622">
        <v>20000</v>
      </c>
      <c r="E459" s="1023">
        <f>C459*D459</f>
        <v>0</v>
      </c>
      <c r="F459" s="1045"/>
      <c r="G459" s="1020" t="s">
        <v>425</v>
      </c>
      <c r="H459" s="1025" t="s">
        <v>468</v>
      </c>
      <c r="I459" s="1026">
        <f>VLOOKUP(H450,'CNKT '!$D$16:$AA$96,19,0)</f>
        <v>0</v>
      </c>
      <c r="J459" s="622">
        <v>20000</v>
      </c>
      <c r="K459" s="1023">
        <f>I459*J459</f>
        <v>0</v>
      </c>
      <c r="L459" s="1015"/>
    </row>
    <row r="460" spans="1:13" s="27" customFormat="1" ht="17.25" customHeight="1">
      <c r="A460" s="1020" t="s">
        <v>780</v>
      </c>
      <c r="B460" s="1027" t="s">
        <v>781</v>
      </c>
      <c r="C460" s="1026"/>
      <c r="D460" s="622"/>
      <c r="E460" s="1023">
        <f>VLOOKUP(B450,'CNKT '!$D$16:$AE$99,28,0)</f>
        <v>0</v>
      </c>
      <c r="F460" s="1045"/>
      <c r="G460" s="1020" t="s">
        <v>780</v>
      </c>
      <c r="H460" s="1027" t="s">
        <v>781</v>
      </c>
      <c r="I460" s="1026"/>
      <c r="J460" s="622"/>
      <c r="K460" s="1023">
        <f>VLOOKUP(H450,'CNKT '!$D$16:$AE$99,28,0)</f>
        <v>0</v>
      </c>
      <c r="L460" s="1015"/>
    </row>
    <row r="461" spans="1:13" s="27" customFormat="1" ht="17.25" customHeight="1">
      <c r="A461" s="1028" t="s">
        <v>74</v>
      </c>
      <c r="B461" s="1029" t="s">
        <v>498</v>
      </c>
      <c r="C461" s="1030"/>
      <c r="D461" s="1031"/>
      <c r="E461" s="1030"/>
      <c r="F461" s="1045"/>
      <c r="G461" s="1028" t="s">
        <v>74</v>
      </c>
      <c r="H461" s="1029" t="s">
        <v>498</v>
      </c>
      <c r="I461" s="1030"/>
      <c r="J461" s="1031"/>
      <c r="K461" s="1030"/>
      <c r="L461" s="1015"/>
    </row>
    <row r="462" spans="1:13" s="27" customFormat="1" ht="17.25" customHeight="1">
      <c r="A462" s="1032" t="s">
        <v>75</v>
      </c>
      <c r="B462" s="1033" t="s">
        <v>499</v>
      </c>
      <c r="C462" s="1030"/>
      <c r="D462" s="1030"/>
      <c r="E462" s="1030"/>
      <c r="F462" s="1048"/>
      <c r="G462" s="1032" t="s">
        <v>75</v>
      </c>
      <c r="H462" s="1033" t="s">
        <v>499</v>
      </c>
      <c r="I462" s="1030"/>
      <c r="J462" s="1030"/>
      <c r="K462" s="1030"/>
      <c r="L462" s="1015"/>
    </row>
    <row r="463" spans="1:13" s="27" customFormat="1" ht="17.25" customHeight="1">
      <c r="A463" s="1032" t="s">
        <v>76</v>
      </c>
      <c r="B463" s="1034" t="s">
        <v>500</v>
      </c>
      <c r="C463" s="1030"/>
      <c r="D463" s="1030"/>
      <c r="E463" s="1023">
        <f>SUM(E462)</f>
        <v>0</v>
      </c>
      <c r="F463" s="1048"/>
      <c r="G463" s="1032" t="s">
        <v>76</v>
      </c>
      <c r="H463" s="1034" t="s">
        <v>500</v>
      </c>
      <c r="I463" s="1030"/>
      <c r="J463" s="1030"/>
      <c r="K463" s="1023">
        <f>SUM(K462)</f>
        <v>0</v>
      </c>
      <c r="L463" s="1015"/>
      <c r="M463" s="1035">
        <f>E463+K463</f>
        <v>0</v>
      </c>
    </row>
    <row r="464" spans="1:13" s="27" customFormat="1" ht="17.25" customHeight="1">
      <c r="A464" s="1036" t="s">
        <v>77</v>
      </c>
      <c r="B464" s="1037" t="s">
        <v>412</v>
      </c>
      <c r="C464" s="1038"/>
      <c r="D464" s="1038"/>
      <c r="E464" s="1038">
        <f>(E452+E453+E454+E455+E456+E457+E458+E459+E460)-E463</f>
        <v>8582047.0119164437</v>
      </c>
      <c r="F464" s="1048"/>
      <c r="G464" s="1036" t="s">
        <v>77</v>
      </c>
      <c r="H464" s="1037" t="s">
        <v>412</v>
      </c>
      <c r="I464" s="1038"/>
      <c r="J464" s="1038"/>
      <c r="K464" s="1038">
        <f>(K452+K453+K454+K455+K456+K457+K458+K459+K460)-K463</f>
        <v>7619066.1752630277</v>
      </c>
      <c r="L464" s="1040">
        <f>E464+K464</f>
        <v>16201113.187179472</v>
      </c>
    </row>
    <row r="465" spans="1:12" s="27" customFormat="1" ht="2.25" customHeight="1">
      <c r="A465" s="1045"/>
      <c r="B465" s="1050"/>
      <c r="C465" s="1051"/>
      <c r="D465" s="1051"/>
      <c r="E465" s="1049"/>
      <c r="F465" s="1048"/>
      <c r="G465" s="1045"/>
      <c r="H465" s="1050"/>
      <c r="I465" s="1051"/>
      <c r="J465" s="1049"/>
      <c r="K465" s="1052"/>
      <c r="L465" s="1015"/>
    </row>
    <row r="466" spans="1:12" s="27" customFormat="1" ht="5.25" customHeight="1">
      <c r="A466" s="1057"/>
      <c r="B466" s="1048"/>
      <c r="C466" s="1041"/>
      <c r="D466" s="1041"/>
      <c r="E466" s="1045"/>
      <c r="F466" s="1041"/>
      <c r="G466" s="1057"/>
      <c r="H466" s="1048"/>
      <c r="I466" s="1041"/>
      <c r="J466" s="1045"/>
      <c r="K466" s="1052"/>
      <c r="L466" s="1015"/>
    </row>
    <row r="467" spans="1:12" s="27" customFormat="1" ht="17.25" customHeight="1">
      <c r="A467" s="1611" t="str">
        <f>G433</f>
        <v>LƯƠNG THÁNG 08/2025</v>
      </c>
      <c r="B467" s="1612"/>
      <c r="C467" s="1612"/>
      <c r="D467" s="1612"/>
      <c r="E467" s="1014">
        <v>55</v>
      </c>
      <c r="F467" s="1045"/>
      <c r="G467" s="1611" t="str">
        <f>A467</f>
        <v>LƯƠNG THÁNG 08/2025</v>
      </c>
      <c r="H467" s="1612"/>
      <c r="I467" s="1612"/>
      <c r="J467" s="1613"/>
      <c r="K467" s="1014">
        <v>56</v>
      </c>
      <c r="L467" s="1015"/>
    </row>
    <row r="468" spans="1:12" s="27" customFormat="1" ht="17.25" customHeight="1">
      <c r="A468" s="1044" t="s">
        <v>13</v>
      </c>
      <c r="B468" s="1016" t="str">
        <f>'CNKT '!D70</f>
        <v>N. Khay Chăn</v>
      </c>
      <c r="C468" s="1017"/>
      <c r="D468" s="1018" t="s">
        <v>376</v>
      </c>
      <c r="E468" s="1018" t="s">
        <v>16</v>
      </c>
      <c r="F468" s="1045"/>
      <c r="G468" s="1044" t="s">
        <v>13</v>
      </c>
      <c r="H468" s="1016" t="str">
        <f>'CNKT '!D71</f>
        <v>T Dăn</v>
      </c>
      <c r="I468" s="1017"/>
      <c r="J468" s="1018" t="s">
        <v>376</v>
      </c>
      <c r="K468" s="1018" t="s">
        <v>16</v>
      </c>
      <c r="L468" s="1015"/>
    </row>
    <row r="469" spans="1:12" s="27" customFormat="1" ht="17.25" customHeight="1">
      <c r="A469" s="1020" t="s">
        <v>377</v>
      </c>
      <c r="B469" s="1021" t="s">
        <v>493</v>
      </c>
      <c r="C469" s="1022" t="str">
        <f>VLOOKUP(B468,'BTH mủ tạp'!$D$17:$AN$94,37,0)</f>
        <v>A</v>
      </c>
      <c r="D469" s="1023"/>
      <c r="E469" s="1023"/>
      <c r="F469" s="1045"/>
      <c r="G469" s="1020" t="s">
        <v>377</v>
      </c>
      <c r="H469" s="1021" t="s">
        <v>493</v>
      </c>
      <c r="I469" s="1022" t="str">
        <f>VLOOKUP(H468,'BTH mủ tạp'!$D$17:$AN$94,37,0)</f>
        <v>A</v>
      </c>
      <c r="J469" s="1023"/>
      <c r="K469" s="1023"/>
      <c r="L469" s="1015"/>
    </row>
    <row r="470" spans="1:12" s="27" customFormat="1" ht="17.25" customHeight="1">
      <c r="A470" s="1020" t="s">
        <v>72</v>
      </c>
      <c r="B470" s="1024" t="s">
        <v>406</v>
      </c>
      <c r="C470" s="621">
        <f>VLOOKUP(B468,'CNKT '!$D$16:$AA$96,3,0)</f>
        <v>0</v>
      </c>
      <c r="D470" s="622">
        <v>25000</v>
      </c>
      <c r="E470" s="1023">
        <f>C470*D470</f>
        <v>0</v>
      </c>
      <c r="F470" s="1045"/>
      <c r="G470" s="1020" t="s">
        <v>72</v>
      </c>
      <c r="H470" s="1024" t="s">
        <v>406</v>
      </c>
      <c r="I470" s="621">
        <f>VLOOKUP(H468,'CNKT '!$D$16:$AA$96,3,0)</f>
        <v>0</v>
      </c>
      <c r="J470" s="622">
        <v>25000</v>
      </c>
      <c r="K470" s="1023">
        <f>I470*J470</f>
        <v>0</v>
      </c>
      <c r="L470" s="1015"/>
    </row>
    <row r="471" spans="1:12" s="27" customFormat="1" ht="17.25" customHeight="1">
      <c r="A471" s="1020" t="s">
        <v>292</v>
      </c>
      <c r="B471" s="1025" t="s">
        <v>494</v>
      </c>
      <c r="C471" s="1026">
        <f>VLOOKUP(B468,'CNKT '!$D$16:$AA$96,11,0)</f>
        <v>26</v>
      </c>
      <c r="D471" s="623">
        <f>46.1*$B$2</f>
        <v>30922.036</v>
      </c>
      <c r="E471" s="1023">
        <f>C471*D471</f>
        <v>803972.93599999999</v>
      </c>
      <c r="F471" s="1045"/>
      <c r="G471" s="1020" t="s">
        <v>292</v>
      </c>
      <c r="H471" s="1025" t="s">
        <v>494</v>
      </c>
      <c r="I471" s="1026">
        <f>VLOOKUP(H468,'CNKT '!$D$16:$AA$96,11,0)</f>
        <v>25</v>
      </c>
      <c r="J471" s="623">
        <f>46.1*$B$2</f>
        <v>30922.036</v>
      </c>
      <c r="K471" s="1023">
        <f>I471*J471</f>
        <v>773050.9</v>
      </c>
      <c r="L471" s="1015"/>
    </row>
    <row r="472" spans="1:12" s="27" customFormat="1" ht="17.25" customHeight="1">
      <c r="A472" s="1020" t="s">
        <v>379</v>
      </c>
      <c r="B472" s="1025" t="s">
        <v>495</v>
      </c>
      <c r="C472" s="1026">
        <f>VLOOKUP(B468,'CNKT '!$D$16:$AA$96,12,0)</f>
        <v>2</v>
      </c>
      <c r="D472" s="622">
        <f>76.9*$B$2</f>
        <v>51581.444000000003</v>
      </c>
      <c r="E472" s="1023">
        <f t="shared" ref="E472:E473" si="107">C472*D472</f>
        <v>103162.88800000001</v>
      </c>
      <c r="F472" s="1048"/>
      <c r="G472" s="1020" t="s">
        <v>379</v>
      </c>
      <c r="H472" s="1025" t="s">
        <v>495</v>
      </c>
      <c r="I472" s="1026">
        <f>VLOOKUP(H468,'CNKT '!$D$16:$AA$96,12,0)</f>
        <v>2</v>
      </c>
      <c r="J472" s="622">
        <f>76.9*$B$2</f>
        <v>51581.444000000003</v>
      </c>
      <c r="K472" s="1023">
        <f t="shared" ref="K472:K473" si="108">I472*J472</f>
        <v>103162.88800000001</v>
      </c>
      <c r="L472" s="1015"/>
    </row>
    <row r="473" spans="1:12" s="27" customFormat="1" ht="17.25" customHeight="1">
      <c r="A473" s="1020" t="s">
        <v>73</v>
      </c>
      <c r="B473" s="1025" t="s">
        <v>496</v>
      </c>
      <c r="C473" s="1026">
        <f>VLOOKUP(B468,'CNKT '!$D$16:$AA$96,8,0)</f>
        <v>2094.2616887863383</v>
      </c>
      <c r="D473" s="622">
        <f>IF(C469="A",6.1,IF(C469="B",5.8,IF(C469="C",5.5,IF(C469="C.",5.5,IF(C469="D",5.2)))))*$B$2</f>
        <v>4091.6359999999995</v>
      </c>
      <c r="E473" s="1023">
        <f t="shared" si="107"/>
        <v>8568956.519258976</v>
      </c>
      <c r="F473" s="1041"/>
      <c r="G473" s="1020" t="s">
        <v>73</v>
      </c>
      <c r="H473" s="1025" t="s">
        <v>496</v>
      </c>
      <c r="I473" s="1026">
        <f>VLOOKUP(H468,'CNKT '!$D$16:$AA$96,8,0)</f>
        <v>1494.5587699497037</v>
      </c>
      <c r="J473" s="622">
        <f>IF(I469="A",6.1,IF(I469="B",5.8,IF(I469="C",5.5,IF(I469="C.",5.5,IF(I469="D",5.2)))))*$B$2</f>
        <v>4091.6359999999995</v>
      </c>
      <c r="K473" s="1023">
        <f t="shared" si="108"/>
        <v>6115190.4672419252</v>
      </c>
      <c r="L473" s="1015"/>
    </row>
    <row r="474" spans="1:12" s="27" customFormat="1" ht="17.25" customHeight="1">
      <c r="A474" s="1089" t="s">
        <v>462</v>
      </c>
      <c r="B474" s="1090" t="s">
        <v>497</v>
      </c>
      <c r="C474" s="1091">
        <f>VLOOKUP(B468,'CNKT '!$D$16:$AA$96,13,0)</f>
        <v>0</v>
      </c>
      <c r="D474" s="1092">
        <v>100000</v>
      </c>
      <c r="E474" s="1093">
        <f>C474*D474</f>
        <v>0</v>
      </c>
      <c r="F474" s="1041"/>
      <c r="G474" s="1089" t="s">
        <v>462</v>
      </c>
      <c r="H474" s="1090" t="s">
        <v>497</v>
      </c>
      <c r="I474" s="1091">
        <f>VLOOKUP(H468,'CNKT '!$D$16:$AA$96,13,0)</f>
        <v>0</v>
      </c>
      <c r="J474" s="1092">
        <v>100000</v>
      </c>
      <c r="K474" s="1093">
        <f>I474*J474</f>
        <v>0</v>
      </c>
      <c r="L474" s="1015"/>
    </row>
    <row r="475" spans="1:12" s="27" customFormat="1" ht="17.25" customHeight="1">
      <c r="A475" s="1020" t="s">
        <v>463</v>
      </c>
      <c r="B475" s="1025" t="s">
        <v>467</v>
      </c>
      <c r="C475" s="1026">
        <f>VLOOKUP(B468,'CNKT '!$D$16:$AA$96,16,0)</f>
        <v>0</v>
      </c>
      <c r="D475" s="622">
        <f>153.8*$B$2</f>
        <v>103162.88800000001</v>
      </c>
      <c r="E475" s="1023">
        <f t="shared" ref="E475" si="109">C475*D475</f>
        <v>0</v>
      </c>
      <c r="F475" s="1041"/>
      <c r="G475" s="1020" t="s">
        <v>463</v>
      </c>
      <c r="H475" s="1025" t="s">
        <v>467</v>
      </c>
      <c r="I475" s="1026">
        <f>VLOOKUP(H468,'CNKT '!$D$16:$AA$96,16,0)</f>
        <v>0</v>
      </c>
      <c r="J475" s="622">
        <f>153.8*$B$2</f>
        <v>103162.88800000001</v>
      </c>
      <c r="K475" s="1023">
        <f t="shared" ref="K475" si="110">I475*J475</f>
        <v>0</v>
      </c>
      <c r="L475" s="1015"/>
    </row>
    <row r="476" spans="1:12" s="27" customFormat="1" ht="17.25" customHeight="1">
      <c r="A476" s="1020" t="s">
        <v>425</v>
      </c>
      <c r="B476" s="1025" t="s">
        <v>468</v>
      </c>
      <c r="C476" s="1026">
        <f>VLOOKUP(B468,'CNKT '!$D$16:$AA$96,18,0)</f>
        <v>2</v>
      </c>
      <c r="D476" s="622">
        <v>10000</v>
      </c>
      <c r="E476" s="1023">
        <f>C476*D476</f>
        <v>20000</v>
      </c>
      <c r="F476" s="1041"/>
      <c r="G476" s="1020" t="s">
        <v>425</v>
      </c>
      <c r="H476" s="1025" t="s">
        <v>468</v>
      </c>
      <c r="I476" s="1026">
        <f>VLOOKUP(H468,'CNKT '!$D$16:$AA$96,18,0)</f>
        <v>2</v>
      </c>
      <c r="J476" s="622">
        <v>10000</v>
      </c>
      <c r="K476" s="1023">
        <f>I476*J476</f>
        <v>20000</v>
      </c>
      <c r="L476" s="1015"/>
    </row>
    <row r="477" spans="1:12" s="27" customFormat="1" ht="17.25" customHeight="1">
      <c r="A477" s="1020" t="s">
        <v>425</v>
      </c>
      <c r="B477" s="1025" t="s">
        <v>468</v>
      </c>
      <c r="C477" s="1026">
        <f>VLOOKUP(B468,'CNKT '!$D$16:$AA$96,19,0)</f>
        <v>0</v>
      </c>
      <c r="D477" s="622">
        <v>20000</v>
      </c>
      <c r="E477" s="1023">
        <f>C477*D477</f>
        <v>0</v>
      </c>
      <c r="F477" s="1041"/>
      <c r="G477" s="1020" t="s">
        <v>425</v>
      </c>
      <c r="H477" s="1025" t="s">
        <v>468</v>
      </c>
      <c r="I477" s="1026">
        <f>VLOOKUP(H468,'CNKT '!$D$16:$AA$96,19,0)</f>
        <v>0</v>
      </c>
      <c r="J477" s="622">
        <v>20000</v>
      </c>
      <c r="K477" s="1023">
        <f>I477*J477</f>
        <v>0</v>
      </c>
      <c r="L477" s="1015"/>
    </row>
    <row r="478" spans="1:12" s="27" customFormat="1" ht="17.25" customHeight="1">
      <c r="A478" s="1020" t="s">
        <v>780</v>
      </c>
      <c r="B478" s="1027" t="s">
        <v>781</v>
      </c>
      <c r="C478" s="1026"/>
      <c r="D478" s="622"/>
      <c r="E478" s="1023">
        <f>VLOOKUP(B468,'CNKT '!$D$16:$AE$99,28,0)</f>
        <v>0</v>
      </c>
      <c r="F478" s="1041"/>
      <c r="G478" s="1020" t="s">
        <v>780</v>
      </c>
      <c r="H478" s="1027" t="s">
        <v>781</v>
      </c>
      <c r="I478" s="1026"/>
      <c r="J478" s="622"/>
      <c r="K478" s="1023">
        <f>VLOOKUP(H468,'CNKT '!$D$16:$AE$99,28,0)</f>
        <v>0</v>
      </c>
      <c r="L478" s="1015"/>
    </row>
    <row r="479" spans="1:12" s="27" customFormat="1" ht="17.25" customHeight="1">
      <c r="A479" s="1028" t="s">
        <v>74</v>
      </c>
      <c r="B479" s="1029" t="s">
        <v>498</v>
      </c>
      <c r="C479" s="1030"/>
      <c r="D479" s="1031"/>
      <c r="E479" s="1030"/>
      <c r="F479" s="1049"/>
      <c r="G479" s="1028" t="s">
        <v>74</v>
      </c>
      <c r="H479" s="1029" t="s">
        <v>498</v>
      </c>
      <c r="I479" s="1030"/>
      <c r="J479" s="1031"/>
      <c r="K479" s="1030"/>
      <c r="L479" s="1015"/>
    </row>
    <row r="480" spans="1:12" s="27" customFormat="1" ht="17.25" customHeight="1">
      <c r="A480" s="1032" t="s">
        <v>75</v>
      </c>
      <c r="B480" s="1033" t="s">
        <v>499</v>
      </c>
      <c r="C480" s="1030"/>
      <c r="D480" s="1030"/>
      <c r="E480" s="1030"/>
      <c r="F480" s="1049"/>
      <c r="G480" s="1032" t="s">
        <v>75</v>
      </c>
      <c r="H480" s="1033" t="s">
        <v>499</v>
      </c>
      <c r="I480" s="1030"/>
      <c r="J480" s="1030"/>
      <c r="K480" s="1030"/>
      <c r="L480" s="1015"/>
    </row>
    <row r="481" spans="1:14" s="27" customFormat="1" ht="17.25" customHeight="1">
      <c r="A481" s="1032" t="s">
        <v>76</v>
      </c>
      <c r="B481" s="1034" t="s">
        <v>500</v>
      </c>
      <c r="C481" s="1030"/>
      <c r="D481" s="1030"/>
      <c r="E481" s="1023">
        <f>SUM(E480)</f>
        <v>0</v>
      </c>
      <c r="F481" s="1049"/>
      <c r="G481" s="1032" t="s">
        <v>76</v>
      </c>
      <c r="H481" s="1034" t="s">
        <v>500</v>
      </c>
      <c r="I481" s="1030"/>
      <c r="J481" s="1030"/>
      <c r="K481" s="1023">
        <f>SUM(K480)</f>
        <v>0</v>
      </c>
      <c r="L481" s="1015"/>
      <c r="M481" s="1035">
        <f>E481+K481</f>
        <v>0</v>
      </c>
    </row>
    <row r="482" spans="1:14" s="27" customFormat="1" ht="17.25" customHeight="1">
      <c r="A482" s="1036" t="s">
        <v>77</v>
      </c>
      <c r="B482" s="1037" t="s">
        <v>412</v>
      </c>
      <c r="C482" s="1038"/>
      <c r="D482" s="1038"/>
      <c r="E482" s="1038">
        <f>(E470+E471+E472+E473+E474+E475+E476+E477+E478)-E481</f>
        <v>9496092.3432589769</v>
      </c>
      <c r="F482" s="1049"/>
      <c r="G482" s="1036" t="s">
        <v>77</v>
      </c>
      <c r="H482" s="1037" t="s">
        <v>412</v>
      </c>
      <c r="I482" s="1038"/>
      <c r="J482" s="1038"/>
      <c r="K482" s="1038">
        <f>(K470+K471+K472+K473+K474+K475+K476+K477+K478)-K481</f>
        <v>7011404.2552419249</v>
      </c>
      <c r="L482" s="1040">
        <f>E482+K482</f>
        <v>16507496.598500902</v>
      </c>
    </row>
    <row r="483" spans="1:14" s="27" customFormat="1" ht="17.25" customHeight="1">
      <c r="A483" s="1045"/>
      <c r="B483" s="1050"/>
      <c r="C483" s="1051"/>
      <c r="D483" s="1051"/>
      <c r="E483" s="1049"/>
      <c r="F483" s="1049"/>
      <c r="G483" s="1045"/>
      <c r="H483" s="1050"/>
      <c r="I483" s="1051"/>
      <c r="J483" s="1049"/>
      <c r="K483" s="1052"/>
      <c r="L483" s="1015"/>
    </row>
    <row r="484" spans="1:14" s="27" customFormat="1" ht="17.25" customHeight="1">
      <c r="A484" s="1057"/>
      <c r="B484" s="1048"/>
      <c r="C484" s="1041"/>
      <c r="D484" s="1041"/>
      <c r="E484" s="1045"/>
      <c r="F484" s="1045"/>
      <c r="G484" s="1057"/>
      <c r="H484" s="1048"/>
      <c r="I484" s="1041"/>
      <c r="J484" s="1045"/>
      <c r="K484" s="1043"/>
      <c r="L484" s="1015"/>
    </row>
    <row r="485" spans="1:14" s="27" customFormat="1" ht="17.25" customHeight="1">
      <c r="A485" s="1611" t="str">
        <f>G467</f>
        <v>LƯƠNG THÁNG 08/2025</v>
      </c>
      <c r="B485" s="1612"/>
      <c r="C485" s="1612"/>
      <c r="D485" s="1612"/>
      <c r="E485" s="1014">
        <v>57</v>
      </c>
      <c r="F485" s="1045"/>
      <c r="G485" s="1611" t="str">
        <f>A485</f>
        <v>LƯƠNG THÁNG 08/2025</v>
      </c>
      <c r="H485" s="1612"/>
      <c r="I485" s="1612"/>
      <c r="J485" s="1613"/>
      <c r="K485" s="1014">
        <v>58</v>
      </c>
      <c r="L485" s="1015"/>
    </row>
    <row r="486" spans="1:14" s="27" customFormat="1" ht="17.25" customHeight="1">
      <c r="A486" s="1044" t="s">
        <v>13</v>
      </c>
      <c r="B486" s="1016" t="str">
        <f>'CNKT '!D72</f>
        <v>T. Xợt</v>
      </c>
      <c r="C486" s="1017"/>
      <c r="D486" s="1018" t="s">
        <v>376</v>
      </c>
      <c r="E486" s="1018" t="s">
        <v>16</v>
      </c>
      <c r="F486" s="1048"/>
      <c r="G486" s="1044" t="s">
        <v>13</v>
      </c>
      <c r="H486" s="1016" t="str">
        <f>'CNKT '!D73</f>
        <v>N. Phết 2</v>
      </c>
      <c r="I486" s="1017"/>
      <c r="J486" s="1018" t="s">
        <v>376</v>
      </c>
      <c r="K486" s="1018" t="s">
        <v>16</v>
      </c>
      <c r="L486" s="1015"/>
    </row>
    <row r="487" spans="1:14" s="27" customFormat="1" ht="17.25" customHeight="1">
      <c r="A487" s="1020" t="s">
        <v>377</v>
      </c>
      <c r="B487" s="1021" t="s">
        <v>493</v>
      </c>
      <c r="C487" s="1022" t="str">
        <f>VLOOKUP(B486,'BTH mủ tạp'!$D$17:$AN$94,37,0)</f>
        <v>A</v>
      </c>
      <c r="D487" s="1023"/>
      <c r="E487" s="1023"/>
      <c r="F487" s="1048"/>
      <c r="G487" s="1020" t="s">
        <v>377</v>
      </c>
      <c r="H487" s="1021" t="s">
        <v>493</v>
      </c>
      <c r="I487" s="1022" t="str">
        <f>VLOOKUP(H486,'BTH mủ tạp'!$D$17:$AN$94,37,0)</f>
        <v>A</v>
      </c>
      <c r="J487" s="1023"/>
      <c r="K487" s="1023"/>
      <c r="L487" s="1015"/>
    </row>
    <row r="488" spans="1:14" s="27" customFormat="1" ht="17.25" customHeight="1">
      <c r="A488" s="1020" t="s">
        <v>72</v>
      </c>
      <c r="B488" s="1024" t="s">
        <v>406</v>
      </c>
      <c r="C488" s="621">
        <f>VLOOKUP(B486,'CNKT '!$D$16:$AA$96,3,0)</f>
        <v>0</v>
      </c>
      <c r="D488" s="622">
        <v>25000</v>
      </c>
      <c r="E488" s="1023">
        <f>C488*D488</f>
        <v>0</v>
      </c>
      <c r="F488" s="1041"/>
      <c r="G488" s="1020" t="s">
        <v>72</v>
      </c>
      <c r="H488" s="1024" t="s">
        <v>406</v>
      </c>
      <c r="I488" s="621">
        <f>VLOOKUP(H486,'CNKT '!$D$16:$AA$96,3,0)</f>
        <v>0</v>
      </c>
      <c r="J488" s="622">
        <v>25000</v>
      </c>
      <c r="K488" s="1023">
        <f>I488*J488</f>
        <v>0</v>
      </c>
      <c r="L488" s="1015"/>
    </row>
    <row r="489" spans="1:14" s="27" customFormat="1" ht="17.25" customHeight="1">
      <c r="A489" s="1020" t="s">
        <v>292</v>
      </c>
      <c r="B489" s="1025" t="s">
        <v>494</v>
      </c>
      <c r="C489" s="1026">
        <f>VLOOKUP(B486,'CNKT '!$D$16:$AA$96,11,0)</f>
        <v>26</v>
      </c>
      <c r="D489" s="623">
        <f>46.1*$B$2</f>
        <v>30922.036</v>
      </c>
      <c r="E489" s="1023">
        <f>C489*D489</f>
        <v>803972.93599999999</v>
      </c>
      <c r="F489" s="1049"/>
      <c r="G489" s="1020" t="s">
        <v>292</v>
      </c>
      <c r="H489" s="1025" t="s">
        <v>494</v>
      </c>
      <c r="I489" s="1026">
        <f>VLOOKUP(H486,'CNKT '!$D$16:$AA$96,11,0)</f>
        <v>26</v>
      </c>
      <c r="J489" s="623">
        <f>46.1*$B$2</f>
        <v>30922.036</v>
      </c>
      <c r="K489" s="1023">
        <f>I489*J489</f>
        <v>803972.93599999999</v>
      </c>
      <c r="L489" s="1015"/>
    </row>
    <row r="490" spans="1:14" s="27" customFormat="1" ht="17.25" customHeight="1">
      <c r="A490" s="1020" t="s">
        <v>379</v>
      </c>
      <c r="B490" s="1025" t="s">
        <v>495</v>
      </c>
      <c r="C490" s="1026">
        <f>VLOOKUP(B486,'CNKT '!$D$16:$AA$96,12,0)</f>
        <v>2</v>
      </c>
      <c r="D490" s="622">
        <f>76.9*$B$2</f>
        <v>51581.444000000003</v>
      </c>
      <c r="E490" s="1023">
        <f t="shared" ref="E490:E491" si="111">C490*D490</f>
        <v>103162.88800000001</v>
      </c>
      <c r="F490" s="1049"/>
      <c r="G490" s="1020" t="s">
        <v>379</v>
      </c>
      <c r="H490" s="1025" t="s">
        <v>495</v>
      </c>
      <c r="I490" s="1026">
        <f>VLOOKUP(H486,'CNKT '!$D$16:$AA$96,12,0)</f>
        <v>2</v>
      </c>
      <c r="J490" s="622">
        <f>76.9*$B$2</f>
        <v>51581.444000000003</v>
      </c>
      <c r="K490" s="1023">
        <f t="shared" ref="K490:K491" si="112">I490*J490</f>
        <v>103162.88800000001</v>
      </c>
      <c r="L490" s="1015"/>
    </row>
    <row r="491" spans="1:14" s="27" customFormat="1" ht="17.25" customHeight="1">
      <c r="A491" s="1020" t="s">
        <v>73</v>
      </c>
      <c r="B491" s="1025" t="s">
        <v>496</v>
      </c>
      <c r="C491" s="1026">
        <f>VLOOKUP(B486,'CNKT '!$D$16:$AA$96,8,0)</f>
        <v>1637.2231395304987</v>
      </c>
      <c r="D491" s="622">
        <f>IF(C487="A",6.1,IF(C487="B",5.8,IF(C487="C",5.5,IF(C487="C.",5.5,IF(C487="D",5.2)))))*$B$2</f>
        <v>4091.6359999999995</v>
      </c>
      <c r="E491" s="1023">
        <f t="shared" si="111"/>
        <v>6698921.1377360104</v>
      </c>
      <c r="F491" s="1052"/>
      <c r="G491" s="1020" t="s">
        <v>73</v>
      </c>
      <c r="H491" s="1025" t="s">
        <v>496</v>
      </c>
      <c r="I491" s="1026">
        <f>VLOOKUP(H486,'CNKT '!$D$16:$AA$96,8,0)</f>
        <v>1759.8119840505228</v>
      </c>
      <c r="J491" s="622">
        <f>IF(I487="A",6.1,IF(I487="B",5.8,IF(I487="C",5.5,IF(I487="C.",5.5,IF(I487="D",5.2)))))*$B$2</f>
        <v>4091.6359999999995</v>
      </c>
      <c r="K491" s="1023">
        <f t="shared" si="112"/>
        <v>7200510.0671725441</v>
      </c>
      <c r="L491" s="626"/>
      <c r="M491" s="607"/>
      <c r="N491" s="627"/>
    </row>
    <row r="492" spans="1:14" s="27" customFormat="1" ht="17.25" customHeight="1">
      <c r="A492" s="1089" t="s">
        <v>462</v>
      </c>
      <c r="B492" s="1090" t="s">
        <v>497</v>
      </c>
      <c r="C492" s="1091">
        <f>VLOOKUP(B486,'CNKT '!$D$16:$AA$96,13,0)</f>
        <v>0</v>
      </c>
      <c r="D492" s="1092">
        <v>100000</v>
      </c>
      <c r="E492" s="1093">
        <f>C492*D492</f>
        <v>0</v>
      </c>
      <c r="F492" s="1052"/>
      <c r="G492" s="1089" t="s">
        <v>462</v>
      </c>
      <c r="H492" s="1090" t="s">
        <v>497</v>
      </c>
      <c r="I492" s="1091">
        <f>VLOOKUP(H486,'CNKT '!$D$16:$AA$96,13,0)</f>
        <v>0</v>
      </c>
      <c r="J492" s="1092">
        <v>100000</v>
      </c>
      <c r="K492" s="1093">
        <f>I492*J492</f>
        <v>0</v>
      </c>
      <c r="L492" s="626"/>
      <c r="M492" s="607"/>
      <c r="N492" s="627"/>
    </row>
    <row r="493" spans="1:14" s="27" customFormat="1" ht="17.25" customHeight="1">
      <c r="A493" s="1020" t="s">
        <v>463</v>
      </c>
      <c r="B493" s="1025" t="s">
        <v>467</v>
      </c>
      <c r="C493" s="1026">
        <f>VLOOKUP(B486,'CNKT '!$D$16:$AA$96,16,0)</f>
        <v>0</v>
      </c>
      <c r="D493" s="622">
        <f>153.8*$B$2</f>
        <v>103162.88800000001</v>
      </c>
      <c r="E493" s="1023">
        <f t="shared" ref="E493" si="113">C493*D493</f>
        <v>0</v>
      </c>
      <c r="F493" s="1052"/>
      <c r="G493" s="1020" t="s">
        <v>463</v>
      </c>
      <c r="H493" s="1025" t="s">
        <v>467</v>
      </c>
      <c r="I493" s="1026">
        <f>VLOOKUP(H486,'CNKT '!$D$16:$AA$96,16,0)</f>
        <v>0</v>
      </c>
      <c r="J493" s="622">
        <f>153.8*$B$2</f>
        <v>103162.88800000001</v>
      </c>
      <c r="K493" s="1023">
        <f t="shared" ref="K493" si="114">I493*J493</f>
        <v>0</v>
      </c>
      <c r="L493" s="626"/>
      <c r="M493" s="607"/>
      <c r="N493" s="627"/>
    </row>
    <row r="494" spans="1:14" s="27" customFormat="1" ht="17.25" customHeight="1">
      <c r="A494" s="1020" t="s">
        <v>425</v>
      </c>
      <c r="B494" s="1025" t="s">
        <v>468</v>
      </c>
      <c r="C494" s="1026">
        <f>VLOOKUP(B486,'CNKT '!$D$16:$AA$96,18,0)</f>
        <v>2</v>
      </c>
      <c r="D494" s="622">
        <v>10000</v>
      </c>
      <c r="E494" s="1023">
        <f>C494*D494</f>
        <v>20000</v>
      </c>
      <c r="F494" s="1052"/>
      <c r="G494" s="1020" t="s">
        <v>425</v>
      </c>
      <c r="H494" s="1025" t="s">
        <v>468</v>
      </c>
      <c r="I494" s="1026">
        <f>VLOOKUP(H486,'CNKT '!$D$16:$AA$96,18,0)</f>
        <v>2</v>
      </c>
      <c r="J494" s="622">
        <v>10000</v>
      </c>
      <c r="K494" s="1023">
        <f>I494*J494</f>
        <v>20000</v>
      </c>
      <c r="L494" s="626"/>
      <c r="M494" s="607"/>
      <c r="N494" s="627"/>
    </row>
    <row r="495" spans="1:14" s="27" customFormat="1" ht="17.25" customHeight="1">
      <c r="A495" s="1020" t="s">
        <v>425</v>
      </c>
      <c r="B495" s="1025" t="s">
        <v>468</v>
      </c>
      <c r="C495" s="1026">
        <f>VLOOKUP(B486,'CNKT '!$D$16:$AA$96,19,0)</f>
        <v>0</v>
      </c>
      <c r="D495" s="622">
        <v>20000</v>
      </c>
      <c r="E495" s="1023">
        <f>C495*D495</f>
        <v>0</v>
      </c>
      <c r="F495" s="1052"/>
      <c r="G495" s="1020" t="s">
        <v>425</v>
      </c>
      <c r="H495" s="1025" t="s">
        <v>468</v>
      </c>
      <c r="I495" s="1026">
        <f>VLOOKUP(H486,'CNKT '!$D$16:$AA$96,19,0)</f>
        <v>0</v>
      </c>
      <c r="J495" s="622">
        <v>20000</v>
      </c>
      <c r="K495" s="1023">
        <f>I495*J495</f>
        <v>0</v>
      </c>
      <c r="L495" s="626"/>
      <c r="M495" s="607"/>
      <c r="N495" s="627"/>
    </row>
    <row r="496" spans="1:14" s="27" customFormat="1" ht="17.25" customHeight="1">
      <c r="A496" s="1020" t="s">
        <v>780</v>
      </c>
      <c r="B496" s="1027" t="s">
        <v>781</v>
      </c>
      <c r="C496" s="1026"/>
      <c r="D496" s="622"/>
      <c r="E496" s="1023">
        <f>VLOOKUP(B486,'CNKT '!$D$16:$AE$99,28,0)</f>
        <v>0</v>
      </c>
      <c r="F496" s="1052"/>
      <c r="G496" s="1020" t="s">
        <v>780</v>
      </c>
      <c r="H496" s="1027" t="s">
        <v>781</v>
      </c>
      <c r="I496" s="1026"/>
      <c r="J496" s="622"/>
      <c r="K496" s="1023">
        <f>VLOOKUP(H486,'CNKT '!$D$16:$AE$99,28,0)</f>
        <v>0</v>
      </c>
      <c r="L496" s="626"/>
      <c r="M496" s="607"/>
      <c r="N496" s="627"/>
    </row>
    <row r="497" spans="1:14" s="27" customFormat="1" ht="17.25" customHeight="1">
      <c r="A497" s="1028" t="s">
        <v>74</v>
      </c>
      <c r="B497" s="1029" t="s">
        <v>498</v>
      </c>
      <c r="C497" s="1030"/>
      <c r="D497" s="1031"/>
      <c r="E497" s="1030"/>
      <c r="F497" s="1052"/>
      <c r="G497" s="1028" t="s">
        <v>74</v>
      </c>
      <c r="H497" s="1029" t="s">
        <v>498</v>
      </c>
      <c r="I497" s="1030"/>
      <c r="J497" s="1031"/>
      <c r="K497" s="1030"/>
      <c r="L497" s="626"/>
      <c r="M497" s="607"/>
      <c r="N497" s="627"/>
    </row>
    <row r="498" spans="1:14" s="27" customFormat="1" ht="17.25" customHeight="1">
      <c r="A498" s="1032" t="s">
        <v>75</v>
      </c>
      <c r="B498" s="1033" t="s">
        <v>499</v>
      </c>
      <c r="C498" s="1030"/>
      <c r="D498" s="1030"/>
      <c r="E498" s="1030"/>
      <c r="F498" s="1052"/>
      <c r="G498" s="1032" t="s">
        <v>75</v>
      </c>
      <c r="H498" s="1033" t="s">
        <v>499</v>
      </c>
      <c r="I498" s="1030"/>
      <c r="J498" s="1030"/>
      <c r="K498" s="1030"/>
      <c r="L498" s="626"/>
      <c r="M498" s="607"/>
      <c r="N498" s="627"/>
    </row>
    <row r="499" spans="1:14" s="27" customFormat="1" ht="17.25" customHeight="1">
      <c r="A499" s="1032" t="s">
        <v>76</v>
      </c>
      <c r="B499" s="1034" t="s">
        <v>500</v>
      </c>
      <c r="C499" s="1030"/>
      <c r="D499" s="1030"/>
      <c r="E499" s="1023">
        <f>SUM(E498)</f>
        <v>0</v>
      </c>
      <c r="F499" s="1052"/>
      <c r="G499" s="1032" t="s">
        <v>76</v>
      </c>
      <c r="H499" s="1034" t="s">
        <v>500</v>
      </c>
      <c r="I499" s="1030"/>
      <c r="J499" s="1030"/>
      <c r="K499" s="1023">
        <f>SUM(K498)</f>
        <v>0</v>
      </c>
      <c r="L499" s="626"/>
      <c r="M499" s="1035">
        <f>E499+K499</f>
        <v>0</v>
      </c>
      <c r="N499" s="627"/>
    </row>
    <row r="500" spans="1:14" s="27" customFormat="1" ht="17.25" customHeight="1">
      <c r="A500" s="1036" t="s">
        <v>77</v>
      </c>
      <c r="B500" s="1037" t="s">
        <v>412</v>
      </c>
      <c r="C500" s="1038"/>
      <c r="D500" s="1038"/>
      <c r="E500" s="1038">
        <f>(E488+E489+E490+E491+E492+E493+E494+E495+E496)-E499</f>
        <v>7626056.9617360104</v>
      </c>
      <c r="F500" s="1052"/>
      <c r="G500" s="1036" t="s">
        <v>77</v>
      </c>
      <c r="H500" s="1037" t="s">
        <v>412</v>
      </c>
      <c r="I500" s="1038"/>
      <c r="J500" s="1038"/>
      <c r="K500" s="1038">
        <f>(K488+K489+K490+K491+K492+K493+K494+K495+K496)-K499</f>
        <v>8127645.8911725441</v>
      </c>
      <c r="L500" s="1040">
        <f>E500+K500</f>
        <v>15753702.852908555</v>
      </c>
      <c r="M500" s="607"/>
      <c r="N500" s="627"/>
    </row>
    <row r="501" spans="1:14" s="27" customFormat="1" ht="17.25" customHeight="1">
      <c r="A501" s="1045"/>
      <c r="B501" s="1050"/>
      <c r="C501" s="1051"/>
      <c r="D501" s="1051"/>
      <c r="E501" s="1049"/>
      <c r="F501" s="1052"/>
      <c r="G501" s="1045"/>
      <c r="H501" s="1050"/>
      <c r="I501" s="1051"/>
      <c r="J501" s="1049"/>
      <c r="K501" s="1043"/>
      <c r="L501" s="626"/>
      <c r="M501" s="607"/>
      <c r="N501" s="627"/>
    </row>
    <row r="502" spans="1:14" s="27" customFormat="1" ht="17.25" customHeight="1">
      <c r="A502" s="1611" t="str">
        <f>G485</f>
        <v>LƯƠNG THÁNG 08/2025</v>
      </c>
      <c r="B502" s="1612"/>
      <c r="C502" s="1612"/>
      <c r="D502" s="1612"/>
      <c r="E502" s="1014">
        <v>59</v>
      </c>
      <c r="F502" s="1052"/>
      <c r="G502" s="1611" t="str">
        <f>A502</f>
        <v>LƯƠNG THÁNG 08/2025</v>
      </c>
      <c r="H502" s="1612"/>
      <c r="I502" s="1612"/>
      <c r="J502" s="1613"/>
      <c r="K502" s="1014">
        <v>60</v>
      </c>
      <c r="L502" s="626"/>
      <c r="M502" s="607"/>
      <c r="N502" s="627"/>
    </row>
    <row r="503" spans="1:14" s="27" customFormat="1" ht="17.25" customHeight="1">
      <c r="A503" s="1044" t="s">
        <v>13</v>
      </c>
      <c r="B503" s="1016" t="str">
        <f>'CNKT '!D74</f>
        <v>T. Cạp</v>
      </c>
      <c r="C503" s="1017"/>
      <c r="D503" s="1018" t="s">
        <v>376</v>
      </c>
      <c r="E503" s="1018" t="s">
        <v>16</v>
      </c>
      <c r="F503" s="1052"/>
      <c r="G503" s="1044" t="s">
        <v>13</v>
      </c>
      <c r="H503" s="1016" t="str">
        <f>'CNKT '!D75</f>
        <v>N. Ních</v>
      </c>
      <c r="I503" s="1017"/>
      <c r="J503" s="1018" t="s">
        <v>376</v>
      </c>
      <c r="K503" s="1018" t="s">
        <v>16</v>
      </c>
      <c r="L503" s="626"/>
      <c r="M503" s="607"/>
      <c r="N503" s="627"/>
    </row>
    <row r="504" spans="1:14" s="27" customFormat="1" ht="17.25" customHeight="1">
      <c r="A504" s="1020" t="s">
        <v>377</v>
      </c>
      <c r="B504" s="1021" t="s">
        <v>493</v>
      </c>
      <c r="C504" s="1022" t="str">
        <f>VLOOKUP(B503,'BTH mủ tạp'!$D$17:$AN$94,37,0)</f>
        <v>A</v>
      </c>
      <c r="D504" s="1023"/>
      <c r="E504" s="1023"/>
      <c r="F504" s="1052"/>
      <c r="G504" s="1020" t="s">
        <v>377</v>
      </c>
      <c r="H504" s="1021" t="s">
        <v>493</v>
      </c>
      <c r="I504" s="1022" t="str">
        <f>VLOOKUP(H503,'BTH mủ tạp'!$D$17:$AN$94,37,0)</f>
        <v>B</v>
      </c>
      <c r="J504" s="1023"/>
      <c r="K504" s="1023"/>
      <c r="L504" s="626"/>
      <c r="M504" s="607"/>
      <c r="N504" s="627"/>
    </row>
    <row r="505" spans="1:14" s="27" customFormat="1" ht="17.25" customHeight="1">
      <c r="A505" s="1020" t="s">
        <v>72</v>
      </c>
      <c r="B505" s="1024" t="s">
        <v>406</v>
      </c>
      <c r="C505" s="621">
        <f>VLOOKUP(B503,'CNKT '!$D$16:$AA$96,3,0)</f>
        <v>0</v>
      </c>
      <c r="D505" s="622">
        <v>25000</v>
      </c>
      <c r="E505" s="1023">
        <f>C505*D505</f>
        <v>0</v>
      </c>
      <c r="F505" s="1052"/>
      <c r="G505" s="1020" t="s">
        <v>72</v>
      </c>
      <c r="H505" s="1024" t="s">
        <v>406</v>
      </c>
      <c r="I505" s="621">
        <f>VLOOKUP(H503,'CNKT '!$D$16:$AA$96,3,0)</f>
        <v>0</v>
      </c>
      <c r="J505" s="622">
        <v>25000</v>
      </c>
      <c r="K505" s="1023">
        <f>I505*J505</f>
        <v>0</v>
      </c>
      <c r="L505" s="626"/>
      <c r="M505" s="607"/>
      <c r="N505" s="627"/>
    </row>
    <row r="506" spans="1:14" s="27" customFormat="1" ht="17.25" customHeight="1">
      <c r="A506" s="1020" t="s">
        <v>292</v>
      </c>
      <c r="B506" s="1025" t="s">
        <v>494</v>
      </c>
      <c r="C506" s="1026">
        <f>VLOOKUP(B503,'CNKT '!$D$16:$AA$96,11,0)</f>
        <v>25</v>
      </c>
      <c r="D506" s="623">
        <f>46.1*$B$2</f>
        <v>30922.036</v>
      </c>
      <c r="E506" s="1023">
        <f>C506*D506</f>
        <v>773050.9</v>
      </c>
      <c r="F506" s="1052"/>
      <c r="G506" s="1020" t="s">
        <v>292</v>
      </c>
      <c r="H506" s="1025" t="s">
        <v>494</v>
      </c>
      <c r="I506" s="1026">
        <f>VLOOKUP(H503,'CNKT '!$D$16:$AA$96,11,0)</f>
        <v>25</v>
      </c>
      <c r="J506" s="623">
        <f>46.1*$B$2</f>
        <v>30922.036</v>
      </c>
      <c r="K506" s="1023">
        <f>I506*J506</f>
        <v>773050.9</v>
      </c>
      <c r="L506" s="626"/>
      <c r="M506" s="607"/>
      <c r="N506" s="627"/>
    </row>
    <row r="507" spans="1:14" s="27" customFormat="1" ht="17.25" customHeight="1">
      <c r="A507" s="1020" t="s">
        <v>379</v>
      </c>
      <c r="B507" s="1025" t="s">
        <v>495</v>
      </c>
      <c r="C507" s="1026">
        <f>VLOOKUP(B503,'CNKT '!$D$16:$AA$96,12,0)</f>
        <v>2</v>
      </c>
      <c r="D507" s="622">
        <f>76.9*$B$2</f>
        <v>51581.444000000003</v>
      </c>
      <c r="E507" s="1023">
        <f t="shared" ref="E507:E508" si="115">C507*D507</f>
        <v>103162.88800000001</v>
      </c>
      <c r="F507" s="1052"/>
      <c r="G507" s="1020" t="s">
        <v>379</v>
      </c>
      <c r="H507" s="1025" t="s">
        <v>495</v>
      </c>
      <c r="I507" s="1026">
        <f>VLOOKUP(H503,'CNKT '!$D$16:$AA$96,12,0)</f>
        <v>2</v>
      </c>
      <c r="J507" s="622">
        <f>76.9*$B$2</f>
        <v>51581.444000000003</v>
      </c>
      <c r="K507" s="1023">
        <f t="shared" ref="K507:K508" si="116">I507*J507</f>
        <v>103162.88800000001</v>
      </c>
      <c r="L507" s="626"/>
      <c r="M507" s="607"/>
      <c r="N507" s="627"/>
    </row>
    <row r="508" spans="1:14" s="27" customFormat="1" ht="17.25" customHeight="1">
      <c r="A508" s="1020" t="s">
        <v>73</v>
      </c>
      <c r="B508" s="1025" t="s">
        <v>496</v>
      </c>
      <c r="C508" s="1026">
        <f>VLOOKUP(B503,'CNKT '!$D$16:$AA$96,8,0)</f>
        <v>1412.9752532133809</v>
      </c>
      <c r="D508" s="622">
        <f>IF(C504="A",6.1,IF(C504="B",5.8,IF(C504="C",5.5,IF(C504="C.",5.5,IF(C504="D",5.2)))))*$B$2</f>
        <v>4091.6359999999995</v>
      </c>
      <c r="E508" s="1023">
        <f t="shared" si="115"/>
        <v>5781380.4131569844</v>
      </c>
      <c r="F508" s="1052"/>
      <c r="G508" s="1020" t="s">
        <v>73</v>
      </c>
      <c r="H508" s="1025" t="s">
        <v>496</v>
      </c>
      <c r="I508" s="1026">
        <f>VLOOKUP(H503,'CNKT '!$D$16:$AA$96,8,0)</f>
        <v>1462.0962187876066</v>
      </c>
      <c r="J508" s="622">
        <f>IF(I504="A",6.1,IF(I504="B",5.8,IF(I504="C",5.5,IF(I504="C.",5.5,IF(I504="D",5.2)))))*$B$2</f>
        <v>3890.4079999999999</v>
      </c>
      <c r="K508" s="1023">
        <f t="shared" si="116"/>
        <v>5688150.8263410553</v>
      </c>
      <c r="L508" s="626"/>
      <c r="M508" s="607"/>
      <c r="N508" s="627"/>
    </row>
    <row r="509" spans="1:14" s="27" customFormat="1" ht="17.25" customHeight="1">
      <c r="A509" s="1089" t="s">
        <v>462</v>
      </c>
      <c r="B509" s="1090" t="s">
        <v>497</v>
      </c>
      <c r="C509" s="1091">
        <f>VLOOKUP(B503,'CNKT '!$D$16:$AA$96,13,0)</f>
        <v>0</v>
      </c>
      <c r="D509" s="1092">
        <v>100000</v>
      </c>
      <c r="E509" s="1093">
        <f>C509*D509</f>
        <v>0</v>
      </c>
      <c r="F509" s="1052"/>
      <c r="G509" s="1089" t="s">
        <v>462</v>
      </c>
      <c r="H509" s="1090" t="s">
        <v>497</v>
      </c>
      <c r="I509" s="1091">
        <f>VLOOKUP(H503,'CNKT '!$D$16:$AA$96,13,0)</f>
        <v>0</v>
      </c>
      <c r="J509" s="1092">
        <v>100000</v>
      </c>
      <c r="K509" s="1093">
        <f>I509*J509</f>
        <v>0</v>
      </c>
      <c r="L509" s="626"/>
      <c r="M509" s="607"/>
      <c r="N509" s="627"/>
    </row>
    <row r="510" spans="1:14" s="27" customFormat="1" ht="17.25" customHeight="1">
      <c r="A510" s="1020" t="s">
        <v>463</v>
      </c>
      <c r="B510" s="1025" t="s">
        <v>467</v>
      </c>
      <c r="C510" s="1026">
        <f>VLOOKUP(B503,'CNKT '!$D$16:$AA$96,16,0)</f>
        <v>0</v>
      </c>
      <c r="D510" s="622">
        <f>153.8*$B$2</f>
        <v>103162.88800000001</v>
      </c>
      <c r="E510" s="1023">
        <f t="shared" ref="E510" si="117">C510*D510</f>
        <v>0</v>
      </c>
      <c r="F510" s="1052"/>
      <c r="G510" s="1020" t="s">
        <v>463</v>
      </c>
      <c r="H510" s="1025" t="s">
        <v>467</v>
      </c>
      <c r="I510" s="1026">
        <f>VLOOKUP(H503,'CNKT '!$D$16:$AA$96,16,0)</f>
        <v>0</v>
      </c>
      <c r="J510" s="622">
        <f>153.8*$B$2</f>
        <v>103162.88800000001</v>
      </c>
      <c r="K510" s="1023">
        <f t="shared" ref="K510" si="118">I510*J510</f>
        <v>0</v>
      </c>
      <c r="L510" s="626"/>
      <c r="M510" s="607"/>
      <c r="N510" s="627"/>
    </row>
    <row r="511" spans="1:14" s="27" customFormat="1" ht="17.25" customHeight="1">
      <c r="A511" s="1020" t="s">
        <v>425</v>
      </c>
      <c r="B511" s="1025" t="s">
        <v>468</v>
      </c>
      <c r="C511" s="1026">
        <f>VLOOKUP(B503,'CNKT '!$D$16:$AA$96,18,0)</f>
        <v>2</v>
      </c>
      <c r="D511" s="622">
        <v>10000</v>
      </c>
      <c r="E511" s="1023">
        <f>C511*D511</f>
        <v>20000</v>
      </c>
      <c r="F511" s="1052"/>
      <c r="G511" s="1020" t="s">
        <v>425</v>
      </c>
      <c r="H511" s="1025" t="s">
        <v>468</v>
      </c>
      <c r="I511" s="1026">
        <f>VLOOKUP(H503,'CNKT '!$D$16:$AA$96,18,0)</f>
        <v>2</v>
      </c>
      <c r="J511" s="622">
        <v>10000</v>
      </c>
      <c r="K511" s="1023">
        <f>I511*J511</f>
        <v>20000</v>
      </c>
      <c r="L511" s="626"/>
      <c r="M511" s="607"/>
      <c r="N511" s="627"/>
    </row>
    <row r="512" spans="1:14" s="27" customFormat="1" ht="17.25" customHeight="1">
      <c r="A512" s="1020" t="s">
        <v>425</v>
      </c>
      <c r="B512" s="1025" t="s">
        <v>468</v>
      </c>
      <c r="C512" s="1026">
        <f>VLOOKUP(B503,'CNKT '!$D$16:$AA$96,19,0)</f>
        <v>0</v>
      </c>
      <c r="D512" s="622">
        <v>20000</v>
      </c>
      <c r="E512" s="1023">
        <f>C512*D512</f>
        <v>0</v>
      </c>
      <c r="F512" s="1052"/>
      <c r="G512" s="1020" t="s">
        <v>425</v>
      </c>
      <c r="H512" s="1025" t="s">
        <v>468</v>
      </c>
      <c r="I512" s="1026">
        <f>VLOOKUP(H503,'CNKT '!$D$16:$AA$96,19,0)</f>
        <v>0</v>
      </c>
      <c r="J512" s="622">
        <v>20000</v>
      </c>
      <c r="K512" s="1023">
        <f>I512*J512</f>
        <v>0</v>
      </c>
      <c r="L512" s="626"/>
      <c r="M512" s="607"/>
      <c r="N512" s="627"/>
    </row>
    <row r="513" spans="1:14" s="27" customFormat="1" ht="17.25" customHeight="1">
      <c r="A513" s="1020" t="s">
        <v>780</v>
      </c>
      <c r="B513" s="1027" t="s">
        <v>781</v>
      </c>
      <c r="C513" s="1026"/>
      <c r="D513" s="622"/>
      <c r="E513" s="1023">
        <f>VLOOKUP(B503,'CNKT '!$D$16:$AE$99,28,0)</f>
        <v>0</v>
      </c>
      <c r="F513" s="1052"/>
      <c r="G513" s="1020" t="s">
        <v>780</v>
      </c>
      <c r="H513" s="1027" t="s">
        <v>781</v>
      </c>
      <c r="I513" s="1026"/>
      <c r="J513" s="622"/>
      <c r="K513" s="1023">
        <f>VLOOKUP(H503,'CNKT '!$D$16:$AE$99,28,0)</f>
        <v>0</v>
      </c>
      <c r="L513" s="626"/>
      <c r="M513" s="607"/>
      <c r="N513" s="627"/>
    </row>
    <row r="514" spans="1:14" s="27" customFormat="1" ht="17.25" customHeight="1">
      <c r="A514" s="1028" t="s">
        <v>74</v>
      </c>
      <c r="B514" s="1029" t="s">
        <v>498</v>
      </c>
      <c r="C514" s="1030"/>
      <c r="D514" s="1031"/>
      <c r="E514" s="1030"/>
      <c r="F514" s="1052"/>
      <c r="G514" s="1028" t="s">
        <v>74</v>
      </c>
      <c r="H514" s="1029" t="s">
        <v>498</v>
      </c>
      <c r="I514" s="1030"/>
      <c r="J514" s="1031"/>
      <c r="K514" s="1030"/>
      <c r="L514" s="626"/>
      <c r="M514" s="607"/>
      <c r="N514" s="627"/>
    </row>
    <row r="515" spans="1:14" s="27" customFormat="1" ht="17.25" customHeight="1">
      <c r="A515" s="1032" t="s">
        <v>75</v>
      </c>
      <c r="B515" s="1033" t="s">
        <v>499</v>
      </c>
      <c r="C515" s="1030"/>
      <c r="D515" s="1030"/>
      <c r="E515" s="1030"/>
      <c r="F515" s="1052"/>
      <c r="G515" s="1032" t="s">
        <v>75</v>
      </c>
      <c r="H515" s="1033" t="s">
        <v>499</v>
      </c>
      <c r="I515" s="1030"/>
      <c r="J515" s="1030"/>
      <c r="K515" s="1030"/>
      <c r="L515" s="626"/>
      <c r="M515" s="607"/>
      <c r="N515" s="627"/>
    </row>
    <row r="516" spans="1:14" s="27" customFormat="1" ht="17.25" customHeight="1">
      <c r="A516" s="1032" t="s">
        <v>76</v>
      </c>
      <c r="B516" s="1034" t="s">
        <v>500</v>
      </c>
      <c r="C516" s="1030"/>
      <c r="D516" s="1030"/>
      <c r="E516" s="1023">
        <f>SUM(E515)</f>
        <v>0</v>
      </c>
      <c r="F516" s="1052"/>
      <c r="G516" s="1032" t="s">
        <v>76</v>
      </c>
      <c r="H516" s="1034" t="s">
        <v>500</v>
      </c>
      <c r="I516" s="1030"/>
      <c r="J516" s="1030"/>
      <c r="K516" s="1023">
        <f>SUM(K515)</f>
        <v>0</v>
      </c>
      <c r="L516" s="626"/>
      <c r="M516" s="1035">
        <f>E516+K516</f>
        <v>0</v>
      </c>
      <c r="N516" s="627"/>
    </row>
    <row r="517" spans="1:14" s="27" customFormat="1" ht="17.25" customHeight="1">
      <c r="A517" s="1036" t="s">
        <v>77</v>
      </c>
      <c r="B517" s="1037" t="s">
        <v>412</v>
      </c>
      <c r="C517" s="1038"/>
      <c r="D517" s="1038"/>
      <c r="E517" s="1038">
        <f>(E505+E506+E507+E508+E509+E510+E511+E512+E513)-E516</f>
        <v>6677594.2011569841</v>
      </c>
      <c r="F517" s="1052"/>
      <c r="G517" s="1036" t="s">
        <v>77</v>
      </c>
      <c r="H517" s="1037" t="s">
        <v>412</v>
      </c>
      <c r="I517" s="1038"/>
      <c r="J517" s="1038"/>
      <c r="K517" s="1038">
        <f>(K505+K506+K507+K508+K509+K510+K511+K512+K513)-K516</f>
        <v>6584364.614341055</v>
      </c>
      <c r="L517" s="1040">
        <f>E517+K517</f>
        <v>13261958.815498039</v>
      </c>
      <c r="M517" s="607"/>
      <c r="N517" s="627"/>
    </row>
    <row r="518" spans="1:14" s="27" customFormat="1" ht="7.5" customHeight="1">
      <c r="A518" s="1045"/>
      <c r="B518" s="1050"/>
      <c r="C518" s="1051"/>
      <c r="D518" s="1051"/>
      <c r="E518" s="1049"/>
      <c r="F518" s="1052"/>
      <c r="G518" s="1045"/>
      <c r="H518" s="1050"/>
      <c r="I518" s="1051"/>
      <c r="J518" s="1049"/>
      <c r="K518" s="1052"/>
      <c r="L518" s="626"/>
      <c r="M518" s="607"/>
      <c r="N518" s="627"/>
    </row>
    <row r="519" spans="1:14" s="27" customFormat="1" ht="17.25" customHeight="1">
      <c r="A519" s="1611" t="str">
        <f>G502</f>
        <v>LƯƠNG THÁNG 08/2025</v>
      </c>
      <c r="B519" s="1612"/>
      <c r="C519" s="1612"/>
      <c r="D519" s="1612"/>
      <c r="E519" s="1014">
        <v>61</v>
      </c>
      <c r="F519" s="1052"/>
      <c r="G519" s="1611" t="str">
        <f>A519</f>
        <v>LƯƠNG THÁNG 08/2025</v>
      </c>
      <c r="H519" s="1612"/>
      <c r="I519" s="1612"/>
      <c r="J519" s="1613"/>
      <c r="K519" s="1014">
        <v>62</v>
      </c>
      <c r="L519" s="626"/>
      <c r="M519" s="607"/>
      <c r="N519" s="627"/>
    </row>
    <row r="520" spans="1:14" s="27" customFormat="1" ht="17.25" customHeight="1">
      <c r="A520" s="1044" t="s">
        <v>13</v>
      </c>
      <c r="B520" s="1016" t="str">
        <f>'CNKT '!D76</f>
        <v>N. Bua Hom</v>
      </c>
      <c r="C520" s="1017"/>
      <c r="D520" s="1018" t="s">
        <v>376</v>
      </c>
      <c r="E520" s="1018" t="s">
        <v>16</v>
      </c>
      <c r="F520" s="1052"/>
      <c r="G520" s="1044" t="s">
        <v>13</v>
      </c>
      <c r="H520" s="1016" t="str">
        <f>'CNKT '!D77</f>
        <v>N. Lăm Phay (2)</v>
      </c>
      <c r="I520" s="1017"/>
      <c r="J520" s="1018" t="s">
        <v>376</v>
      </c>
      <c r="K520" s="1018" t="s">
        <v>16</v>
      </c>
      <c r="L520" s="626"/>
      <c r="M520" s="607"/>
      <c r="N520" s="627"/>
    </row>
    <row r="521" spans="1:14" s="27" customFormat="1" ht="17.25" customHeight="1">
      <c r="A521" s="1020" t="s">
        <v>377</v>
      </c>
      <c r="B521" s="1021" t="s">
        <v>493</v>
      </c>
      <c r="C521" s="1022" t="str">
        <f>VLOOKUP(B520,'BTH mủ tạp'!$D$17:$AN$94,37,0)</f>
        <v>A</v>
      </c>
      <c r="D521" s="1023"/>
      <c r="E521" s="1023"/>
      <c r="F521" s="1052"/>
      <c r="G521" s="1020" t="s">
        <v>377</v>
      </c>
      <c r="H521" s="1021" t="s">
        <v>493</v>
      </c>
      <c r="I521" s="1022" t="str">
        <f>VLOOKUP(H520,'BTH mủ tạp'!$D$17:$AN$94,37,0)</f>
        <v>A</v>
      </c>
      <c r="J521" s="1023"/>
      <c r="K521" s="1023"/>
      <c r="L521" s="626"/>
      <c r="M521" s="607"/>
      <c r="N521" s="627"/>
    </row>
    <row r="522" spans="1:14" s="27" customFormat="1" ht="17.25" customHeight="1">
      <c r="A522" s="1020" t="s">
        <v>72</v>
      </c>
      <c r="B522" s="1024" t="s">
        <v>406</v>
      </c>
      <c r="C522" s="621">
        <f>VLOOKUP(B520,'CNKT '!$D$16:$AA$96,3,0)</f>
        <v>0</v>
      </c>
      <c r="D522" s="622">
        <v>25000</v>
      </c>
      <c r="E522" s="1023">
        <f>C522*D522</f>
        <v>0</v>
      </c>
      <c r="F522" s="1052"/>
      <c r="G522" s="1020" t="s">
        <v>72</v>
      </c>
      <c r="H522" s="1024" t="s">
        <v>406</v>
      </c>
      <c r="I522" s="621">
        <f>VLOOKUP(H520,'CNKT '!$D$16:$AA$96,3,0)</f>
        <v>0</v>
      </c>
      <c r="J522" s="622">
        <v>25000</v>
      </c>
      <c r="K522" s="1023">
        <f>I522*J522</f>
        <v>0</v>
      </c>
      <c r="L522" s="626"/>
      <c r="M522" s="607"/>
      <c r="N522" s="627"/>
    </row>
    <row r="523" spans="1:14" s="27" customFormat="1" ht="17.25" customHeight="1">
      <c r="A523" s="1020" t="s">
        <v>292</v>
      </c>
      <c r="B523" s="1025" t="s">
        <v>494</v>
      </c>
      <c r="C523" s="1026">
        <f>VLOOKUP(B520,'CNKT '!$D$16:$AA$96,11,0)</f>
        <v>25</v>
      </c>
      <c r="D523" s="623">
        <f>46.1*$B$2</f>
        <v>30922.036</v>
      </c>
      <c r="E523" s="1023">
        <f>C523*D523</f>
        <v>773050.9</v>
      </c>
      <c r="F523" s="1052"/>
      <c r="G523" s="1020" t="s">
        <v>292</v>
      </c>
      <c r="H523" s="1025" t="s">
        <v>494</v>
      </c>
      <c r="I523" s="1026">
        <f>VLOOKUP(H520,'CNKT '!$D$16:$AA$96,11,0)</f>
        <v>26</v>
      </c>
      <c r="J523" s="623">
        <f>46.1*$B$2</f>
        <v>30922.036</v>
      </c>
      <c r="K523" s="1023">
        <f>I523*J523</f>
        <v>803972.93599999999</v>
      </c>
      <c r="L523" s="626"/>
      <c r="M523" s="607"/>
      <c r="N523" s="627"/>
    </row>
    <row r="524" spans="1:14" s="27" customFormat="1" ht="17.25" customHeight="1">
      <c r="A524" s="1020" t="s">
        <v>379</v>
      </c>
      <c r="B524" s="1025" t="s">
        <v>495</v>
      </c>
      <c r="C524" s="1026">
        <f>VLOOKUP(B520,'CNKT '!$D$16:$AA$96,12,0)</f>
        <v>2</v>
      </c>
      <c r="D524" s="622">
        <f>76.9*$B$2</f>
        <v>51581.444000000003</v>
      </c>
      <c r="E524" s="1023">
        <f t="shared" ref="E524:E525" si="119">C524*D524</f>
        <v>103162.88800000001</v>
      </c>
      <c r="F524" s="1052"/>
      <c r="G524" s="1020" t="s">
        <v>379</v>
      </c>
      <c r="H524" s="1025" t="s">
        <v>495</v>
      </c>
      <c r="I524" s="1026">
        <f>VLOOKUP(H520,'CNKT '!$D$16:$AA$96,12,0)</f>
        <v>2</v>
      </c>
      <c r="J524" s="622">
        <f>76.9*$B$2</f>
        <v>51581.444000000003</v>
      </c>
      <c r="K524" s="1023">
        <f t="shared" ref="K524:K525" si="120">I524*J524</f>
        <v>103162.88800000001</v>
      </c>
      <c r="L524" s="626"/>
      <c r="M524" s="607"/>
      <c r="N524" s="627"/>
    </row>
    <row r="525" spans="1:14" s="27" customFormat="1" ht="17.25" customHeight="1">
      <c r="A525" s="1020" t="s">
        <v>73</v>
      </c>
      <c r="B525" s="1025" t="s">
        <v>496</v>
      </c>
      <c r="C525" s="1026">
        <f>VLOOKUP(B520,'CNKT '!$D$16:$AA$96,8,0)</f>
        <v>1834.5612794895621</v>
      </c>
      <c r="D525" s="622">
        <f>IF(C521="A",6.1,IF(C521="B",5.8,IF(C521="C",5.5,IF(C521="C.",5.5,IF(C521="D",5.2)))))*$B$2</f>
        <v>4091.6359999999995</v>
      </c>
      <c r="E525" s="1023">
        <f t="shared" si="119"/>
        <v>7506356.9753655531</v>
      </c>
      <c r="F525" s="1052"/>
      <c r="G525" s="1020" t="s">
        <v>73</v>
      </c>
      <c r="H525" s="1025" t="s">
        <v>496</v>
      </c>
      <c r="I525" s="1026">
        <f>VLOOKUP(H520,'CNKT '!$D$16:$AA$96,8,0)</f>
        <v>1498.4030194294257</v>
      </c>
      <c r="J525" s="622">
        <f>IF(I521="A",6.1,IF(I521="B",5.8,IF(I521="C",5.5,IF(I521="C.",5.5,IF(I521="D",5.2)))))*$B$2</f>
        <v>4091.6359999999995</v>
      </c>
      <c r="K525" s="1023">
        <f t="shared" si="120"/>
        <v>6130919.7368061375</v>
      </c>
      <c r="L525" s="626"/>
      <c r="M525" s="607"/>
      <c r="N525" s="627"/>
    </row>
    <row r="526" spans="1:14" s="27" customFormat="1" ht="17.25" customHeight="1">
      <c r="A526" s="1089" t="s">
        <v>462</v>
      </c>
      <c r="B526" s="1090" t="s">
        <v>497</v>
      </c>
      <c r="C526" s="1091">
        <f>VLOOKUP(B520,'CNKT '!$D$16:$AA$96,13,0)</f>
        <v>0</v>
      </c>
      <c r="D526" s="1092">
        <v>100000</v>
      </c>
      <c r="E526" s="1093">
        <f>C526*D526</f>
        <v>0</v>
      </c>
      <c r="F526" s="1052"/>
      <c r="G526" s="1089" t="s">
        <v>462</v>
      </c>
      <c r="H526" s="1090" t="s">
        <v>497</v>
      </c>
      <c r="I526" s="1091">
        <f>VLOOKUP(H520,'CNKT '!$D$16:$AA$96,13,0)</f>
        <v>0</v>
      </c>
      <c r="J526" s="1092">
        <v>100000</v>
      </c>
      <c r="K526" s="1093">
        <f>I526*J526</f>
        <v>0</v>
      </c>
      <c r="L526" s="626"/>
      <c r="M526" s="607"/>
      <c r="N526" s="627"/>
    </row>
    <row r="527" spans="1:14" s="27" customFormat="1" ht="17.25" customHeight="1">
      <c r="A527" s="1020" t="s">
        <v>463</v>
      </c>
      <c r="B527" s="1025" t="s">
        <v>467</v>
      </c>
      <c r="C527" s="1026">
        <f>VLOOKUP(B520,'CNKT '!$D$16:$AA$96,16,0)</f>
        <v>0</v>
      </c>
      <c r="D527" s="622">
        <f>153.8*$B$2</f>
        <v>103162.88800000001</v>
      </c>
      <c r="E527" s="1023">
        <f t="shared" ref="E527" si="121">C527*D527</f>
        <v>0</v>
      </c>
      <c r="F527" s="1052"/>
      <c r="G527" s="1020" t="s">
        <v>463</v>
      </c>
      <c r="H527" s="1025" t="s">
        <v>467</v>
      </c>
      <c r="I527" s="1026">
        <f>VLOOKUP(H520,'CNKT '!$D$16:$AA$96,16,0)</f>
        <v>0</v>
      </c>
      <c r="J527" s="622">
        <f>153.8*$B$2</f>
        <v>103162.88800000001</v>
      </c>
      <c r="K527" s="1023">
        <f t="shared" ref="K527" si="122">I527*J527</f>
        <v>0</v>
      </c>
      <c r="L527" s="626"/>
      <c r="M527" s="607"/>
      <c r="N527" s="627"/>
    </row>
    <row r="528" spans="1:14" s="27" customFormat="1" ht="17.25" customHeight="1">
      <c r="A528" s="1020" t="s">
        <v>425</v>
      </c>
      <c r="B528" s="1025" t="s">
        <v>468</v>
      </c>
      <c r="C528" s="1026">
        <f>VLOOKUP(B520,'CNKT '!$D$16:$AA$96,18,0)</f>
        <v>2</v>
      </c>
      <c r="D528" s="622">
        <v>10000</v>
      </c>
      <c r="E528" s="1023">
        <f>C528*D528</f>
        <v>20000</v>
      </c>
      <c r="F528" s="1052"/>
      <c r="G528" s="1020" t="s">
        <v>425</v>
      </c>
      <c r="H528" s="1025" t="s">
        <v>468</v>
      </c>
      <c r="I528" s="1026">
        <f>VLOOKUP(H520,'CNKT '!$D$16:$AA$96,18,0)</f>
        <v>2</v>
      </c>
      <c r="J528" s="622">
        <v>10000</v>
      </c>
      <c r="K528" s="1023">
        <f>I528*J528</f>
        <v>20000</v>
      </c>
      <c r="L528" s="626"/>
      <c r="M528" s="607"/>
      <c r="N528" s="627"/>
    </row>
    <row r="529" spans="1:14" s="27" customFormat="1" ht="17.25" customHeight="1">
      <c r="A529" s="1020" t="s">
        <v>425</v>
      </c>
      <c r="B529" s="1025" t="s">
        <v>468</v>
      </c>
      <c r="C529" s="1026">
        <f>VLOOKUP(B520,'CNKT '!$D$16:$AA$96,19,0)</f>
        <v>0</v>
      </c>
      <c r="D529" s="622">
        <v>20000</v>
      </c>
      <c r="E529" s="1023">
        <f>C529*D529</f>
        <v>0</v>
      </c>
      <c r="F529" s="1052"/>
      <c r="G529" s="1020" t="s">
        <v>425</v>
      </c>
      <c r="H529" s="1025" t="s">
        <v>468</v>
      </c>
      <c r="I529" s="1026">
        <f>VLOOKUP(H520,'CNKT '!$D$16:$AA$96,19,0)</f>
        <v>0</v>
      </c>
      <c r="J529" s="622">
        <v>20000</v>
      </c>
      <c r="K529" s="1023">
        <f>I529*J529</f>
        <v>0</v>
      </c>
      <c r="L529" s="626"/>
      <c r="M529" s="607"/>
      <c r="N529" s="627"/>
    </row>
    <row r="530" spans="1:14" s="27" customFormat="1" ht="17.25" customHeight="1">
      <c r="A530" s="1020" t="s">
        <v>780</v>
      </c>
      <c r="B530" s="1027" t="s">
        <v>781</v>
      </c>
      <c r="C530" s="1026"/>
      <c r="D530" s="622"/>
      <c r="E530" s="1023">
        <f>VLOOKUP(B520,'CNKT '!$D$16:$AE$99,28,0)</f>
        <v>0</v>
      </c>
      <c r="F530" s="1052"/>
      <c r="G530" s="1020" t="s">
        <v>780</v>
      </c>
      <c r="H530" s="1027" t="s">
        <v>781</v>
      </c>
      <c r="I530" s="1026"/>
      <c r="J530" s="622"/>
      <c r="K530" s="1023">
        <f>VLOOKUP(H520,'CNKT '!$D$16:$AE$99,28,0)</f>
        <v>0</v>
      </c>
      <c r="L530" s="626"/>
      <c r="M530" s="607"/>
      <c r="N530" s="627"/>
    </row>
    <row r="531" spans="1:14" s="27" customFormat="1" ht="17.25" customHeight="1">
      <c r="A531" s="1028" t="s">
        <v>74</v>
      </c>
      <c r="B531" s="1029" t="s">
        <v>498</v>
      </c>
      <c r="C531" s="1030"/>
      <c r="D531" s="1031"/>
      <c r="E531" s="1030"/>
      <c r="F531" s="1052"/>
      <c r="G531" s="1028" t="s">
        <v>74</v>
      </c>
      <c r="H531" s="1029" t="s">
        <v>498</v>
      </c>
      <c r="I531" s="1030"/>
      <c r="J531" s="1031"/>
      <c r="K531" s="1030"/>
      <c r="L531" s="626"/>
      <c r="M531" s="607"/>
      <c r="N531" s="627"/>
    </row>
    <row r="532" spans="1:14" s="27" customFormat="1" ht="17.25" customHeight="1">
      <c r="A532" s="1032" t="s">
        <v>75</v>
      </c>
      <c r="B532" s="1033" t="s">
        <v>499</v>
      </c>
      <c r="C532" s="1030"/>
      <c r="D532" s="1030"/>
      <c r="E532" s="1030"/>
      <c r="F532" s="1052"/>
      <c r="G532" s="1032" t="s">
        <v>75</v>
      </c>
      <c r="H532" s="1033" t="s">
        <v>499</v>
      </c>
      <c r="I532" s="1030"/>
      <c r="J532" s="1030"/>
      <c r="K532" s="1030"/>
      <c r="L532" s="1040">
        <f>E532+K532</f>
        <v>0</v>
      </c>
      <c r="M532" s="607"/>
      <c r="N532" s="627"/>
    </row>
    <row r="533" spans="1:14" s="27" customFormat="1" ht="17.25" customHeight="1">
      <c r="A533" s="1032" t="s">
        <v>76</v>
      </c>
      <c r="B533" s="1034" t="s">
        <v>500</v>
      </c>
      <c r="C533" s="1030"/>
      <c r="D533" s="1030"/>
      <c r="E533" s="1023">
        <f>SUM(E532)</f>
        <v>0</v>
      </c>
      <c r="F533" s="1052"/>
      <c r="G533" s="1032" t="s">
        <v>76</v>
      </c>
      <c r="H533" s="1034" t="s">
        <v>500</v>
      </c>
      <c r="I533" s="1030"/>
      <c r="J533" s="1030"/>
      <c r="K533" s="1023">
        <f>SUM(K532)</f>
        <v>0</v>
      </c>
      <c r="L533" s="626"/>
      <c r="M533" s="1035">
        <f>E533+K533</f>
        <v>0</v>
      </c>
      <c r="N533" s="627"/>
    </row>
    <row r="534" spans="1:14" s="27" customFormat="1" ht="17.25" customHeight="1">
      <c r="A534" s="1036" t="s">
        <v>77</v>
      </c>
      <c r="B534" s="1037" t="s">
        <v>412</v>
      </c>
      <c r="C534" s="1038"/>
      <c r="D534" s="1038"/>
      <c r="E534" s="1038">
        <f>(E522+E523+E524+E525+E526+E527+E528+E529+E530)-E533</f>
        <v>8402570.7633655518</v>
      </c>
      <c r="F534" s="1052"/>
      <c r="G534" s="1036" t="s">
        <v>77</v>
      </c>
      <c r="H534" s="1037" t="s">
        <v>412</v>
      </c>
      <c r="I534" s="1038"/>
      <c r="J534" s="1038"/>
      <c r="K534" s="1038">
        <f>(K522+K523+K524+K525+K526+K527+K528+K529+K530)-K533</f>
        <v>7058055.5608061375</v>
      </c>
      <c r="L534" s="1040">
        <f>E534+K534</f>
        <v>15460626.324171688</v>
      </c>
      <c r="M534" s="607"/>
      <c r="N534" s="627"/>
    </row>
    <row r="535" spans="1:14" s="27" customFormat="1" ht="17.25" customHeight="1">
      <c r="A535" s="1611" t="str">
        <f>G519</f>
        <v>LƯƠNG THÁNG 08/2025</v>
      </c>
      <c r="B535" s="1612"/>
      <c r="C535" s="1612"/>
      <c r="D535" s="1612"/>
      <c r="E535" s="1014">
        <v>63</v>
      </c>
      <c r="F535" s="1052"/>
      <c r="G535" s="1611" t="str">
        <f>A535</f>
        <v>LƯƠNG THÁNG 08/2025</v>
      </c>
      <c r="H535" s="1612"/>
      <c r="I535" s="1612"/>
      <c r="J535" s="1613"/>
      <c r="K535" s="1014">
        <v>64</v>
      </c>
      <c r="L535" s="626"/>
      <c r="M535" s="607"/>
      <c r="N535" s="627"/>
    </row>
    <row r="536" spans="1:14" s="27" customFormat="1" ht="17.25" customHeight="1">
      <c r="A536" s="1044" t="s">
        <v>13</v>
      </c>
      <c r="B536" s="1016" t="str">
        <f>'CNKT '!D78</f>
        <v>T. Đèng</v>
      </c>
      <c r="C536" s="1017"/>
      <c r="D536" s="1018" t="s">
        <v>376</v>
      </c>
      <c r="E536" s="1018" t="s">
        <v>16</v>
      </c>
      <c r="F536" s="1052"/>
      <c r="G536" s="1044" t="s">
        <v>13</v>
      </c>
      <c r="H536" s="1016" t="str">
        <f>'CNKT '!D79</f>
        <v>N. Đon</v>
      </c>
      <c r="I536" s="1017"/>
      <c r="J536" s="1018" t="s">
        <v>376</v>
      </c>
      <c r="K536" s="1018" t="s">
        <v>16</v>
      </c>
      <c r="L536" s="626"/>
      <c r="M536" s="607"/>
      <c r="N536" s="627"/>
    </row>
    <row r="537" spans="1:14" s="27" customFormat="1" ht="17.25" customHeight="1">
      <c r="A537" s="1020" t="s">
        <v>377</v>
      </c>
      <c r="B537" s="1021" t="s">
        <v>493</v>
      </c>
      <c r="C537" s="1022" t="str">
        <f>VLOOKUP(B536,'BTH mủ tạp'!$D$17:$AN$94,37,0)</f>
        <v>B</v>
      </c>
      <c r="D537" s="1023"/>
      <c r="E537" s="1023"/>
      <c r="F537" s="1052"/>
      <c r="G537" s="1020" t="s">
        <v>377</v>
      </c>
      <c r="H537" s="1021" t="s">
        <v>493</v>
      </c>
      <c r="I537" s="1022" t="str">
        <f>VLOOKUP(H536,'BTH mủ tạp'!$D$17:$AN$94,37,0)</f>
        <v>B</v>
      </c>
      <c r="J537" s="1023"/>
      <c r="K537" s="1023"/>
      <c r="L537" s="626"/>
      <c r="M537" s="607"/>
      <c r="N537" s="627"/>
    </row>
    <row r="538" spans="1:14" s="27" customFormat="1" ht="17.25" customHeight="1">
      <c r="A538" s="1020" t="s">
        <v>72</v>
      </c>
      <c r="B538" s="1024" t="s">
        <v>406</v>
      </c>
      <c r="C538" s="621">
        <f>VLOOKUP(B536,'CNKT '!$D$16:$AA$96,3,0)</f>
        <v>0</v>
      </c>
      <c r="D538" s="622">
        <v>25000</v>
      </c>
      <c r="E538" s="1023">
        <f>C538*D538</f>
        <v>0</v>
      </c>
      <c r="F538" s="1052"/>
      <c r="G538" s="1020" t="s">
        <v>72</v>
      </c>
      <c r="H538" s="1024" t="s">
        <v>406</v>
      </c>
      <c r="I538" s="621">
        <f>VLOOKUP(H536,'CNKT '!$D$16:$AA$96,3,0)</f>
        <v>0</v>
      </c>
      <c r="J538" s="622">
        <v>25000</v>
      </c>
      <c r="K538" s="1023">
        <f>I538*J538</f>
        <v>0</v>
      </c>
      <c r="L538" s="626"/>
      <c r="M538" s="607"/>
      <c r="N538" s="627"/>
    </row>
    <row r="539" spans="1:14" s="27" customFormat="1" ht="17.25" customHeight="1">
      <c r="A539" s="1020" t="s">
        <v>292</v>
      </c>
      <c r="B539" s="1025" t="s">
        <v>494</v>
      </c>
      <c r="C539" s="1026">
        <f>VLOOKUP(B536,'CNKT '!$D$16:$AA$96,11,0)</f>
        <v>26</v>
      </c>
      <c r="D539" s="623">
        <f>46.1*$B$2</f>
        <v>30922.036</v>
      </c>
      <c r="E539" s="1023">
        <f>C539*D539</f>
        <v>803972.93599999999</v>
      </c>
      <c r="F539" s="1052"/>
      <c r="G539" s="1020" t="s">
        <v>292</v>
      </c>
      <c r="H539" s="1025" t="s">
        <v>494</v>
      </c>
      <c r="I539" s="1026">
        <f>VLOOKUP(H536,'CNKT '!$D$16:$AA$96,11,0)</f>
        <v>25</v>
      </c>
      <c r="J539" s="623">
        <f>46.1*$B$2</f>
        <v>30922.036</v>
      </c>
      <c r="K539" s="1023">
        <f>I539*J539</f>
        <v>773050.9</v>
      </c>
      <c r="L539" s="626"/>
      <c r="M539" s="607"/>
      <c r="N539" s="627"/>
    </row>
    <row r="540" spans="1:14" s="27" customFormat="1" ht="17.25" customHeight="1">
      <c r="A540" s="1020" t="s">
        <v>379</v>
      </c>
      <c r="B540" s="1025" t="s">
        <v>495</v>
      </c>
      <c r="C540" s="1026">
        <f>VLOOKUP(B536,'CNKT '!$D$16:$AA$96,12,0)</f>
        <v>2</v>
      </c>
      <c r="D540" s="622">
        <f>76.9*$B$2</f>
        <v>51581.444000000003</v>
      </c>
      <c r="E540" s="1023">
        <f t="shared" ref="E540:E541" si="123">C540*D540</f>
        <v>103162.88800000001</v>
      </c>
      <c r="F540" s="1052"/>
      <c r="G540" s="1020" t="s">
        <v>379</v>
      </c>
      <c r="H540" s="1025" t="s">
        <v>495</v>
      </c>
      <c r="I540" s="1026">
        <f>VLOOKUP(H536,'CNKT '!$D$16:$AA$96,12,0)</f>
        <v>2</v>
      </c>
      <c r="J540" s="622">
        <f>76.9*$B$2</f>
        <v>51581.444000000003</v>
      </c>
      <c r="K540" s="1023">
        <f t="shared" ref="K540:K541" si="124">I540*J540</f>
        <v>103162.88800000001</v>
      </c>
      <c r="L540" s="626"/>
      <c r="M540" s="607"/>
      <c r="N540" s="627"/>
    </row>
    <row r="541" spans="1:14" s="27" customFormat="1" ht="17.25" customHeight="1">
      <c r="A541" s="1020" t="s">
        <v>73</v>
      </c>
      <c r="B541" s="1025" t="s">
        <v>496</v>
      </c>
      <c r="C541" s="1026">
        <f>VLOOKUP(B536,'CNKT '!$D$16:$AA$96,8,0)</f>
        <v>1362.1457323148343</v>
      </c>
      <c r="D541" s="622">
        <f>IF(C537="A",6.1,IF(C537="B",5.8,IF(C537="C",5.5,IF(C537="C.",5.5,IF(C537="D",5.2)))))*$B$2</f>
        <v>3890.4079999999999</v>
      </c>
      <c r="E541" s="1023">
        <f t="shared" si="123"/>
        <v>5299302.65416349</v>
      </c>
      <c r="F541" s="1052"/>
      <c r="G541" s="1020" t="s">
        <v>73</v>
      </c>
      <c r="H541" s="1025" t="s">
        <v>496</v>
      </c>
      <c r="I541" s="1026">
        <f>VLOOKUP(H536,'CNKT '!$D$16:$AA$96,8,0)</f>
        <v>1546.2425685104108</v>
      </c>
      <c r="J541" s="622">
        <f>IF(I537="A",6.1,IF(I537="B",5.8,IF(I537="C",5.5,IF(I537="C.",5.5,IF(I537="D",5.2)))))*$B$2</f>
        <v>3890.4079999999999</v>
      </c>
      <c r="K541" s="1023">
        <f t="shared" si="124"/>
        <v>6015514.4584734505</v>
      </c>
      <c r="L541" s="626"/>
      <c r="M541" s="607"/>
      <c r="N541" s="627"/>
    </row>
    <row r="542" spans="1:14" s="27" customFormat="1" ht="17.25" customHeight="1">
      <c r="A542" s="1089" t="s">
        <v>462</v>
      </c>
      <c r="B542" s="1090" t="s">
        <v>497</v>
      </c>
      <c r="C542" s="1091">
        <f>VLOOKUP(B536,'CNKT '!$D$16:$AA$96,13,0)</f>
        <v>0</v>
      </c>
      <c r="D542" s="1092">
        <v>100000</v>
      </c>
      <c r="E542" s="1093">
        <f>C542*D542</f>
        <v>0</v>
      </c>
      <c r="F542" s="1052"/>
      <c r="G542" s="1089" t="s">
        <v>462</v>
      </c>
      <c r="H542" s="1090" t="s">
        <v>497</v>
      </c>
      <c r="I542" s="1091">
        <f>VLOOKUP(H536,'CNKT '!$D$16:$AA$96,13,0)</f>
        <v>0</v>
      </c>
      <c r="J542" s="1092">
        <v>100000</v>
      </c>
      <c r="K542" s="1093">
        <f>I542*J542</f>
        <v>0</v>
      </c>
      <c r="L542" s="626"/>
      <c r="M542" s="607"/>
      <c r="N542" s="627"/>
    </row>
    <row r="543" spans="1:14" s="27" customFormat="1" ht="17.25" customHeight="1">
      <c r="A543" s="1020" t="s">
        <v>463</v>
      </c>
      <c r="B543" s="1025" t="s">
        <v>467</v>
      </c>
      <c r="C543" s="1026">
        <f>VLOOKUP(B536,'CNKT '!$D$16:$AA$96,16,0)</f>
        <v>0</v>
      </c>
      <c r="D543" s="622">
        <f>153.8*$B$2</f>
        <v>103162.88800000001</v>
      </c>
      <c r="E543" s="1023">
        <f t="shared" ref="E543" si="125">C543*D543</f>
        <v>0</v>
      </c>
      <c r="F543" s="1052"/>
      <c r="G543" s="1020" t="s">
        <v>463</v>
      </c>
      <c r="H543" s="1025" t="s">
        <v>467</v>
      </c>
      <c r="I543" s="1026">
        <f>VLOOKUP(H536,'CNKT '!$D$16:$AA$96,16,0)</f>
        <v>0</v>
      </c>
      <c r="J543" s="622">
        <f>153.8*$B$2</f>
        <v>103162.88800000001</v>
      </c>
      <c r="K543" s="1023">
        <f t="shared" ref="K543" si="126">I543*J543</f>
        <v>0</v>
      </c>
      <c r="L543" s="626"/>
      <c r="M543" s="607"/>
      <c r="N543" s="627"/>
    </row>
    <row r="544" spans="1:14" s="27" customFormat="1" ht="17.25" customHeight="1">
      <c r="A544" s="1020" t="s">
        <v>425</v>
      </c>
      <c r="B544" s="1025" t="s">
        <v>468</v>
      </c>
      <c r="C544" s="1026">
        <f>VLOOKUP(B536,'CNKT '!$D$16:$AA$96,18,0)</f>
        <v>2</v>
      </c>
      <c r="D544" s="622">
        <v>10000</v>
      </c>
      <c r="E544" s="1023">
        <f>C544*D544</f>
        <v>20000</v>
      </c>
      <c r="F544" s="1052"/>
      <c r="G544" s="1020" t="s">
        <v>425</v>
      </c>
      <c r="H544" s="1025" t="s">
        <v>468</v>
      </c>
      <c r="I544" s="1026">
        <f>VLOOKUP(H536,'CNKT '!$D$16:$AA$96,18,0)</f>
        <v>2</v>
      </c>
      <c r="J544" s="622">
        <v>10000</v>
      </c>
      <c r="K544" s="1023">
        <f>I544*J544</f>
        <v>20000</v>
      </c>
      <c r="L544" s="626"/>
      <c r="M544" s="607"/>
      <c r="N544" s="627"/>
    </row>
    <row r="545" spans="1:14" s="27" customFormat="1" ht="17.25" customHeight="1">
      <c r="A545" s="1020" t="s">
        <v>425</v>
      </c>
      <c r="B545" s="1025" t="s">
        <v>468</v>
      </c>
      <c r="C545" s="1026">
        <f>VLOOKUP(B536,'CNKT '!$D$16:$AA$96,19,0)</f>
        <v>0</v>
      </c>
      <c r="D545" s="622">
        <v>20000</v>
      </c>
      <c r="E545" s="1023">
        <f>C545*D545</f>
        <v>0</v>
      </c>
      <c r="F545" s="1052"/>
      <c r="G545" s="1020" t="s">
        <v>425</v>
      </c>
      <c r="H545" s="1025" t="s">
        <v>468</v>
      </c>
      <c r="I545" s="1026">
        <f>VLOOKUP(H536,'CNKT '!$D$16:$AA$96,19,0)</f>
        <v>0</v>
      </c>
      <c r="J545" s="622">
        <v>20000</v>
      </c>
      <c r="K545" s="1023">
        <f>I545*J545</f>
        <v>0</v>
      </c>
      <c r="L545" s="626"/>
      <c r="M545" s="607"/>
      <c r="N545" s="627"/>
    </row>
    <row r="546" spans="1:14" s="27" customFormat="1" ht="17.25" customHeight="1">
      <c r="A546" s="1020" t="s">
        <v>780</v>
      </c>
      <c r="B546" s="1027" t="s">
        <v>781</v>
      </c>
      <c r="C546" s="1026"/>
      <c r="D546" s="622"/>
      <c r="E546" s="1023">
        <f>VLOOKUP(B536,'CNKT '!$D$16:$AE$99,28,0)</f>
        <v>0</v>
      </c>
      <c r="F546" s="1052"/>
      <c r="G546" s="1020" t="s">
        <v>780</v>
      </c>
      <c r="H546" s="1027" t="s">
        <v>781</v>
      </c>
      <c r="I546" s="1026"/>
      <c r="J546" s="622"/>
      <c r="K546" s="1023">
        <f>VLOOKUP(H536,'CNKT '!$D$16:$AE$99,28,0)</f>
        <v>0</v>
      </c>
      <c r="L546" s="626"/>
      <c r="M546" s="607"/>
      <c r="N546" s="627"/>
    </row>
    <row r="547" spans="1:14" s="27" customFormat="1" ht="17.25" customHeight="1">
      <c r="A547" s="1028" t="s">
        <v>74</v>
      </c>
      <c r="B547" s="1029" t="s">
        <v>498</v>
      </c>
      <c r="C547" s="1030"/>
      <c r="D547" s="1031"/>
      <c r="E547" s="1030"/>
      <c r="F547" s="1052"/>
      <c r="G547" s="1028" t="s">
        <v>74</v>
      </c>
      <c r="H547" s="1029" t="s">
        <v>498</v>
      </c>
      <c r="I547" s="1030"/>
      <c r="J547" s="1031"/>
      <c r="K547" s="1030"/>
      <c r="L547" s="626"/>
      <c r="M547" s="607"/>
      <c r="N547" s="627"/>
    </row>
    <row r="548" spans="1:14" s="27" customFormat="1" ht="17.25" customHeight="1">
      <c r="A548" s="1032" t="s">
        <v>75</v>
      </c>
      <c r="B548" s="1033" t="s">
        <v>499</v>
      </c>
      <c r="C548" s="1030"/>
      <c r="D548" s="1030"/>
      <c r="E548" s="1030"/>
      <c r="F548" s="1052"/>
      <c r="G548" s="1032" t="s">
        <v>75</v>
      </c>
      <c r="H548" s="1033" t="s">
        <v>499</v>
      </c>
      <c r="I548" s="1030"/>
      <c r="J548" s="1030"/>
      <c r="K548" s="1030"/>
      <c r="L548" s="626"/>
      <c r="M548" s="607"/>
      <c r="N548" s="627"/>
    </row>
    <row r="549" spans="1:14" s="27" customFormat="1" ht="17.25" customHeight="1">
      <c r="A549" s="1032" t="s">
        <v>76</v>
      </c>
      <c r="B549" s="1034" t="s">
        <v>500</v>
      </c>
      <c r="C549" s="1030"/>
      <c r="D549" s="1030"/>
      <c r="E549" s="1023">
        <f>SUM(E548)</f>
        <v>0</v>
      </c>
      <c r="F549" s="1052"/>
      <c r="G549" s="1032" t="s">
        <v>76</v>
      </c>
      <c r="H549" s="1034" t="s">
        <v>500</v>
      </c>
      <c r="I549" s="1030"/>
      <c r="J549" s="1030"/>
      <c r="K549" s="1023">
        <f>SUM(K548)</f>
        <v>0</v>
      </c>
      <c r="L549" s="626"/>
      <c r="M549" s="1035">
        <f>E549+K549</f>
        <v>0</v>
      </c>
      <c r="N549" s="627"/>
    </row>
    <row r="550" spans="1:14" s="27" customFormat="1" ht="17.25" customHeight="1">
      <c r="A550" s="1036" t="s">
        <v>77</v>
      </c>
      <c r="B550" s="1037" t="s">
        <v>412</v>
      </c>
      <c r="C550" s="1038"/>
      <c r="D550" s="1038"/>
      <c r="E550" s="1038">
        <f>(E538+E539+E540+E541+E542+E543+E544+E545+E546)-E549</f>
        <v>6226438.4781634901</v>
      </c>
      <c r="F550" s="1052"/>
      <c r="G550" s="1036" t="s">
        <v>77</v>
      </c>
      <c r="H550" s="1037" t="s">
        <v>412</v>
      </c>
      <c r="I550" s="1038"/>
      <c r="J550" s="1038"/>
      <c r="K550" s="1038">
        <f>(K538+K539+K540+K541+K542+K543+K544+K545+K546)-K549</f>
        <v>6911728.2464734502</v>
      </c>
      <c r="L550" s="1040">
        <f>E550+K550</f>
        <v>13138166.72463694</v>
      </c>
      <c r="M550" s="607"/>
      <c r="N550" s="627"/>
    </row>
    <row r="551" spans="1:14" s="27" customFormat="1" ht="9.75" customHeight="1">
      <c r="A551" s="1045"/>
      <c r="B551" s="1050"/>
      <c r="C551" s="1051"/>
      <c r="D551" s="1051"/>
      <c r="E551" s="1049"/>
      <c r="F551" s="1052"/>
      <c r="G551" s="1045"/>
      <c r="H551" s="1050"/>
      <c r="I551" s="1051"/>
      <c r="J551" s="1049"/>
      <c r="K551" s="1052"/>
      <c r="L551" s="626"/>
      <c r="M551" s="607"/>
      <c r="N551" s="627"/>
    </row>
    <row r="552" spans="1:14" s="27" customFormat="1" ht="17.25" customHeight="1">
      <c r="A552" s="1611" t="str">
        <f>G535</f>
        <v>LƯƠNG THÁNG 08/2025</v>
      </c>
      <c r="B552" s="1612"/>
      <c r="C552" s="1612"/>
      <c r="D552" s="1612"/>
      <c r="E552" s="1014">
        <v>65</v>
      </c>
      <c r="F552" s="1052"/>
      <c r="G552" s="1611" t="str">
        <f>A552</f>
        <v>LƯƠNG THÁNG 08/2025</v>
      </c>
      <c r="H552" s="1612"/>
      <c r="I552" s="1612"/>
      <c r="J552" s="1613"/>
      <c r="K552" s="1014">
        <v>66</v>
      </c>
      <c r="L552" s="626"/>
      <c r="M552" s="607"/>
      <c r="N552" s="627"/>
    </row>
    <row r="553" spans="1:14" s="27" customFormat="1" ht="17.25" customHeight="1">
      <c r="A553" s="1044" t="s">
        <v>13</v>
      </c>
      <c r="B553" s="1016" t="str">
        <f>'CNKT '!D80</f>
        <v xml:space="preserve">T. La </v>
      </c>
      <c r="C553" s="1017"/>
      <c r="D553" s="1018" t="s">
        <v>376</v>
      </c>
      <c r="E553" s="1018" t="s">
        <v>16</v>
      </c>
      <c r="F553" s="1052"/>
      <c r="G553" s="1044" t="s">
        <v>13</v>
      </c>
      <c r="H553" s="1016" t="str">
        <f>'CNKT '!D81</f>
        <v>T. Bờm</v>
      </c>
      <c r="I553" s="1017"/>
      <c r="J553" s="1018" t="s">
        <v>376</v>
      </c>
      <c r="K553" s="1018" t="s">
        <v>16</v>
      </c>
      <c r="L553" s="626"/>
      <c r="M553" s="607"/>
      <c r="N553" s="627"/>
    </row>
    <row r="554" spans="1:14" s="27" customFormat="1" ht="17.25" customHeight="1">
      <c r="A554" s="1020" t="s">
        <v>377</v>
      </c>
      <c r="B554" s="1021" t="s">
        <v>493</v>
      </c>
      <c r="C554" s="1022" t="str">
        <f>VLOOKUP(B553,'BTH mủ tạp'!$D$17:$AN$94,37,0)</f>
        <v>B</v>
      </c>
      <c r="D554" s="1023"/>
      <c r="E554" s="1023"/>
      <c r="F554" s="1052"/>
      <c r="G554" s="1020" t="s">
        <v>377</v>
      </c>
      <c r="H554" s="1021" t="s">
        <v>493</v>
      </c>
      <c r="I554" s="1022" t="str">
        <f>VLOOKUP(H553,'BTH mủ tạp'!$D$17:$AN$94,37,0)</f>
        <v>A</v>
      </c>
      <c r="J554" s="1023"/>
      <c r="K554" s="1023"/>
      <c r="L554" s="626"/>
      <c r="M554" s="607"/>
      <c r="N554" s="627"/>
    </row>
    <row r="555" spans="1:14" s="27" customFormat="1" ht="17.25" customHeight="1">
      <c r="A555" s="1020" t="s">
        <v>72</v>
      </c>
      <c r="B555" s="1024" t="s">
        <v>406</v>
      </c>
      <c r="C555" s="621">
        <f>VLOOKUP(B553,'CNKT '!$D$16:$AA$96,3,0)</f>
        <v>0</v>
      </c>
      <c r="D555" s="622">
        <v>25000</v>
      </c>
      <c r="E555" s="1023">
        <f>C555*D555</f>
        <v>0</v>
      </c>
      <c r="F555" s="1052"/>
      <c r="G555" s="1020" t="s">
        <v>72</v>
      </c>
      <c r="H555" s="1024" t="s">
        <v>406</v>
      </c>
      <c r="I555" s="621">
        <f>VLOOKUP(H553,'CNKT '!$D$16:$AA$96,3,0)</f>
        <v>0</v>
      </c>
      <c r="J555" s="622">
        <v>25000</v>
      </c>
      <c r="K555" s="1023">
        <f>I555*J555</f>
        <v>0</v>
      </c>
      <c r="L555" s="626"/>
      <c r="M555" s="607"/>
      <c r="N555" s="627"/>
    </row>
    <row r="556" spans="1:14" s="27" customFormat="1" ht="17.25" customHeight="1">
      <c r="A556" s="1020" t="s">
        <v>292</v>
      </c>
      <c r="B556" s="1025" t="s">
        <v>494</v>
      </c>
      <c r="C556" s="1026">
        <f>VLOOKUP(B553,'CNKT '!$D$16:$AA$96,11,0)</f>
        <v>25</v>
      </c>
      <c r="D556" s="623">
        <f>46.1*$B$2</f>
        <v>30922.036</v>
      </c>
      <c r="E556" s="1023">
        <f>C556*D556</f>
        <v>773050.9</v>
      </c>
      <c r="F556" s="1052"/>
      <c r="G556" s="1020" t="s">
        <v>292</v>
      </c>
      <c r="H556" s="1025" t="s">
        <v>494</v>
      </c>
      <c r="I556" s="1026">
        <f>VLOOKUP(H553,'CNKT '!$D$16:$AA$96,11,0)</f>
        <v>24</v>
      </c>
      <c r="J556" s="623">
        <f>46.1*$B$2</f>
        <v>30922.036</v>
      </c>
      <c r="K556" s="1023">
        <f>I556*J556</f>
        <v>742128.86400000006</v>
      </c>
      <c r="L556" s="626"/>
      <c r="M556" s="607"/>
      <c r="N556" s="627"/>
    </row>
    <row r="557" spans="1:14" s="27" customFormat="1" ht="17.25" customHeight="1">
      <c r="A557" s="1020" t="s">
        <v>379</v>
      </c>
      <c r="B557" s="1025" t="s">
        <v>495</v>
      </c>
      <c r="C557" s="1026">
        <f>VLOOKUP(B553,'CNKT '!$D$16:$AA$96,12,0)</f>
        <v>2</v>
      </c>
      <c r="D557" s="622">
        <f>76.9*$B$2</f>
        <v>51581.444000000003</v>
      </c>
      <c r="E557" s="1023">
        <f t="shared" ref="E557:E558" si="127">C557*D557</f>
        <v>103162.88800000001</v>
      </c>
      <c r="F557" s="1052"/>
      <c r="G557" s="1020" t="s">
        <v>379</v>
      </c>
      <c r="H557" s="1025" t="s">
        <v>495</v>
      </c>
      <c r="I557" s="1026">
        <f>VLOOKUP(H553,'CNKT '!$D$16:$AA$96,12,0)</f>
        <v>2</v>
      </c>
      <c r="J557" s="622">
        <f>76.9*$B$2</f>
        <v>51581.444000000003</v>
      </c>
      <c r="K557" s="1023">
        <f t="shared" ref="K557:K558" si="128">I557*J557</f>
        <v>103162.88800000001</v>
      </c>
      <c r="L557" s="626"/>
      <c r="M557" s="607"/>
      <c r="N557" s="627"/>
    </row>
    <row r="558" spans="1:14" s="27" customFormat="1" ht="17.25" customHeight="1">
      <c r="A558" s="1020" t="s">
        <v>73</v>
      </c>
      <c r="B558" s="1025" t="s">
        <v>496</v>
      </c>
      <c r="C558" s="1026">
        <f>VLOOKUP(B553,'CNKT '!$D$16:$AA$96,8,0)</f>
        <v>1592.3735622670749</v>
      </c>
      <c r="D558" s="622">
        <f>IF(C554="A",6.1,IF(C554="B",5.8,IF(C554="C",5.5,IF(C554="C.",5.5,IF(C554="D",5.2)))))*$B$2</f>
        <v>3890.4079999999999</v>
      </c>
      <c r="E558" s="1023">
        <f t="shared" si="127"/>
        <v>6194982.8456323259</v>
      </c>
      <c r="F558" s="1052"/>
      <c r="G558" s="1020" t="s">
        <v>73</v>
      </c>
      <c r="H558" s="1025" t="s">
        <v>496</v>
      </c>
      <c r="I558" s="1026">
        <f>VLOOKUP(H553,'CNKT '!$D$16:$AA$96,8,0)</f>
        <v>1495.8401864429445</v>
      </c>
      <c r="J558" s="622">
        <f>IF(I554="A",6.1,IF(I554="B",5.8,IF(I554="C",5.5,IF(I554="C.",5.5,IF(I554="D",5.2)))))*$B$2</f>
        <v>4091.6359999999995</v>
      </c>
      <c r="K558" s="1023">
        <f t="shared" si="128"/>
        <v>6120433.5570966629</v>
      </c>
      <c r="L558" s="626"/>
      <c r="M558" s="607"/>
      <c r="N558" s="627"/>
    </row>
    <row r="559" spans="1:14" s="27" customFormat="1" ht="17.25" customHeight="1">
      <c r="A559" s="1089" t="s">
        <v>462</v>
      </c>
      <c r="B559" s="1090" t="s">
        <v>497</v>
      </c>
      <c r="C559" s="1091">
        <f>VLOOKUP(B553,'CNKT '!$D$16:$AA$96,13,0)</f>
        <v>0</v>
      </c>
      <c r="D559" s="1092">
        <v>100000</v>
      </c>
      <c r="E559" s="1093">
        <f>C559*D559</f>
        <v>0</v>
      </c>
      <c r="F559" s="1052"/>
      <c r="G559" s="1089" t="s">
        <v>462</v>
      </c>
      <c r="H559" s="1090" t="s">
        <v>497</v>
      </c>
      <c r="I559" s="1091">
        <f>VLOOKUP(H553,'CNKT '!$D$16:$AA$96,13,0)</f>
        <v>0</v>
      </c>
      <c r="J559" s="1092">
        <v>100000</v>
      </c>
      <c r="K559" s="1093">
        <f>I559*J559</f>
        <v>0</v>
      </c>
      <c r="L559" s="626"/>
      <c r="M559" s="607"/>
      <c r="N559" s="627"/>
    </row>
    <row r="560" spans="1:14" s="27" customFormat="1" ht="17.25" customHeight="1">
      <c r="A560" s="1020" t="s">
        <v>463</v>
      </c>
      <c r="B560" s="1025" t="s">
        <v>467</v>
      </c>
      <c r="C560" s="1026">
        <f>VLOOKUP(B553,'CNKT '!$D$16:$AA$96,16,0)</f>
        <v>0</v>
      </c>
      <c r="D560" s="622">
        <f>153.8*$B$2</f>
        <v>103162.88800000001</v>
      </c>
      <c r="E560" s="1023">
        <f t="shared" ref="E560" si="129">C560*D560</f>
        <v>0</v>
      </c>
      <c r="F560" s="1052"/>
      <c r="G560" s="1020" t="s">
        <v>463</v>
      </c>
      <c r="H560" s="1025" t="s">
        <v>467</v>
      </c>
      <c r="I560" s="1026">
        <f>VLOOKUP(H553,'CNKT '!$D$16:$AA$96,16,0)</f>
        <v>0</v>
      </c>
      <c r="J560" s="622">
        <f>153.8*$B$2</f>
        <v>103162.88800000001</v>
      </c>
      <c r="K560" s="1023">
        <f t="shared" ref="K560" si="130">I560*J560</f>
        <v>0</v>
      </c>
      <c r="L560" s="626"/>
      <c r="M560" s="607"/>
      <c r="N560" s="627"/>
    </row>
    <row r="561" spans="1:14" s="27" customFormat="1" ht="17.25" customHeight="1">
      <c r="A561" s="1020" t="s">
        <v>425</v>
      </c>
      <c r="B561" s="1025" t="s">
        <v>468</v>
      </c>
      <c r="C561" s="1026">
        <f>VLOOKUP(B553,'CNKT '!$D$16:$AA$96,18,0)</f>
        <v>2</v>
      </c>
      <c r="D561" s="622">
        <v>10000</v>
      </c>
      <c r="E561" s="1023">
        <f>C561*D561</f>
        <v>20000</v>
      </c>
      <c r="F561" s="1052"/>
      <c r="G561" s="1020" t="s">
        <v>425</v>
      </c>
      <c r="H561" s="1025" t="s">
        <v>468</v>
      </c>
      <c r="I561" s="1026">
        <f>VLOOKUP(H553,'CNKT '!$D$16:$AA$96,18,0)</f>
        <v>2</v>
      </c>
      <c r="J561" s="622">
        <v>10000</v>
      </c>
      <c r="K561" s="1023">
        <f>I561*J561</f>
        <v>20000</v>
      </c>
      <c r="L561" s="626"/>
      <c r="M561" s="607"/>
      <c r="N561" s="627"/>
    </row>
    <row r="562" spans="1:14" s="27" customFormat="1" ht="17.25" customHeight="1">
      <c r="A562" s="1020" t="s">
        <v>425</v>
      </c>
      <c r="B562" s="1025" t="s">
        <v>468</v>
      </c>
      <c r="C562" s="1026">
        <f>VLOOKUP(B553,'CNKT '!$D$16:$AA$96,19,0)</f>
        <v>0</v>
      </c>
      <c r="D562" s="622">
        <v>20000</v>
      </c>
      <c r="E562" s="1023">
        <f>C562*D562</f>
        <v>0</v>
      </c>
      <c r="F562" s="1052"/>
      <c r="G562" s="1020" t="s">
        <v>425</v>
      </c>
      <c r="H562" s="1025" t="s">
        <v>468</v>
      </c>
      <c r="I562" s="1026">
        <f>VLOOKUP(H553,'CNKT '!$D$16:$AA$96,19,0)</f>
        <v>0</v>
      </c>
      <c r="J562" s="622">
        <v>20000</v>
      </c>
      <c r="K562" s="1023">
        <f>I562*J562</f>
        <v>0</v>
      </c>
      <c r="L562" s="626"/>
      <c r="M562" s="607"/>
      <c r="N562" s="627"/>
    </row>
    <row r="563" spans="1:14" s="27" customFormat="1" ht="17.25" customHeight="1">
      <c r="A563" s="1020" t="s">
        <v>780</v>
      </c>
      <c r="B563" s="1027" t="s">
        <v>781</v>
      </c>
      <c r="C563" s="1026"/>
      <c r="D563" s="622"/>
      <c r="E563" s="1023">
        <f>VLOOKUP(B553,'CNKT '!$D$16:$AE$99,28,0)</f>
        <v>0</v>
      </c>
      <c r="F563" s="1052"/>
      <c r="G563" s="1020" t="s">
        <v>780</v>
      </c>
      <c r="H563" s="1027" t="s">
        <v>781</v>
      </c>
      <c r="I563" s="1026"/>
      <c r="J563" s="622"/>
      <c r="K563" s="1023">
        <f>VLOOKUP(H553,'CNKT '!$D$16:$AE$99,28,0)</f>
        <v>0</v>
      </c>
      <c r="L563" s="626"/>
      <c r="M563" s="607"/>
      <c r="N563" s="627"/>
    </row>
    <row r="564" spans="1:14" s="27" customFormat="1" ht="17.25" customHeight="1">
      <c r="A564" s="1028" t="s">
        <v>74</v>
      </c>
      <c r="B564" s="1029" t="s">
        <v>498</v>
      </c>
      <c r="C564" s="1030"/>
      <c r="D564" s="1031"/>
      <c r="E564" s="1030"/>
      <c r="F564" s="1052"/>
      <c r="G564" s="1028" t="s">
        <v>74</v>
      </c>
      <c r="H564" s="1029" t="s">
        <v>498</v>
      </c>
      <c r="I564" s="1030"/>
      <c r="J564" s="1031"/>
      <c r="K564" s="1030"/>
      <c r="L564" s="626"/>
      <c r="M564" s="607"/>
      <c r="N564" s="627"/>
    </row>
    <row r="565" spans="1:14" s="27" customFormat="1" ht="17.25" customHeight="1">
      <c r="A565" s="1032" t="s">
        <v>75</v>
      </c>
      <c r="B565" s="1033" t="s">
        <v>499</v>
      </c>
      <c r="C565" s="1030"/>
      <c r="D565" s="1030"/>
      <c r="E565" s="1030"/>
      <c r="F565" s="1052"/>
      <c r="G565" s="1032" t="s">
        <v>75</v>
      </c>
      <c r="H565" s="1033" t="s">
        <v>499</v>
      </c>
      <c r="I565" s="1030"/>
      <c r="J565" s="1030"/>
      <c r="K565" s="1030"/>
      <c r="L565" s="626"/>
      <c r="M565" s="607"/>
      <c r="N565" s="627"/>
    </row>
    <row r="566" spans="1:14" s="27" customFormat="1" ht="17.25" customHeight="1">
      <c r="A566" s="1032" t="s">
        <v>76</v>
      </c>
      <c r="B566" s="1034" t="s">
        <v>500</v>
      </c>
      <c r="C566" s="1030"/>
      <c r="D566" s="1030"/>
      <c r="E566" s="1023">
        <f>SUM(E565)</f>
        <v>0</v>
      </c>
      <c r="F566" s="1052"/>
      <c r="G566" s="1032" t="s">
        <v>76</v>
      </c>
      <c r="H566" s="1034" t="s">
        <v>500</v>
      </c>
      <c r="I566" s="1030"/>
      <c r="J566" s="1030"/>
      <c r="K566" s="1023">
        <f>SUM(K565)</f>
        <v>0</v>
      </c>
      <c r="L566" s="626"/>
      <c r="M566" s="1035">
        <f>E566+K566</f>
        <v>0</v>
      </c>
      <c r="N566" s="627"/>
    </row>
    <row r="567" spans="1:14" s="27" customFormat="1" ht="17.25" customHeight="1">
      <c r="A567" s="1036" t="s">
        <v>77</v>
      </c>
      <c r="B567" s="1037" t="s">
        <v>412</v>
      </c>
      <c r="C567" s="1038"/>
      <c r="D567" s="1038"/>
      <c r="E567" s="1038">
        <f>(E555+E556+E557+E558+E559+E560+E561+E562+E563)-E566</f>
        <v>7091196.6336323256</v>
      </c>
      <c r="F567" s="1052"/>
      <c r="G567" s="1036" t="s">
        <v>77</v>
      </c>
      <c r="H567" s="1037" t="s">
        <v>412</v>
      </c>
      <c r="I567" s="1038"/>
      <c r="J567" s="1038"/>
      <c r="K567" s="1038">
        <f>(K555+K556+K557+K558+K559+K560+K561+K562+K563)-K566</f>
        <v>6985725.3090966633</v>
      </c>
      <c r="L567" s="1040">
        <f>E567+K567</f>
        <v>14076921.942728989</v>
      </c>
      <c r="M567" s="607"/>
      <c r="N567" s="627"/>
    </row>
    <row r="568" spans="1:14" s="27" customFormat="1" ht="17.25" customHeight="1">
      <c r="A568" s="1045"/>
      <c r="B568" s="1050"/>
      <c r="C568" s="1051"/>
      <c r="D568" s="1051"/>
      <c r="E568" s="1049"/>
      <c r="F568" s="1052"/>
      <c r="G568" s="1045"/>
      <c r="H568" s="1050"/>
      <c r="I568" s="1051"/>
      <c r="J568" s="1049"/>
      <c r="K568" s="1052"/>
      <c r="L568" s="626"/>
      <c r="M568" s="607"/>
      <c r="N568" s="627"/>
    </row>
    <row r="569" spans="1:14" s="27" customFormat="1" ht="17.25" customHeight="1">
      <c r="A569" s="1611" t="str">
        <f>A552</f>
        <v>LƯƠNG THÁNG 08/2025</v>
      </c>
      <c r="B569" s="1612"/>
      <c r="C569" s="1612"/>
      <c r="D569" s="1612"/>
      <c r="E569" s="1014">
        <v>67</v>
      </c>
      <c r="F569" s="1052"/>
      <c r="G569" s="1611" t="str">
        <f>A569</f>
        <v>LƯƠNG THÁNG 08/2025</v>
      </c>
      <c r="H569" s="1612"/>
      <c r="I569" s="1612"/>
      <c r="J569" s="1613"/>
      <c r="K569" s="1014">
        <v>68</v>
      </c>
      <c r="L569" s="626"/>
      <c r="M569" s="607"/>
      <c r="N569" s="627"/>
    </row>
    <row r="570" spans="1:14" s="27" customFormat="1" ht="17.25" customHeight="1">
      <c r="A570" s="1044" t="s">
        <v>13</v>
      </c>
      <c r="B570" s="1016" t="str">
        <f>'CNKT '!D82</f>
        <v>T. Nọi</v>
      </c>
      <c r="C570" s="1017"/>
      <c r="D570" s="1018" t="s">
        <v>376</v>
      </c>
      <c r="E570" s="1018" t="s">
        <v>16</v>
      </c>
      <c r="F570" s="1052"/>
      <c r="G570" s="1044" t="s">
        <v>13</v>
      </c>
      <c r="H570" s="1016" t="str">
        <f>'CNKT '!D83</f>
        <v>T. Ê</v>
      </c>
      <c r="I570" s="1017"/>
      <c r="J570" s="1018" t="s">
        <v>376</v>
      </c>
      <c r="K570" s="1018" t="s">
        <v>16</v>
      </c>
      <c r="L570" s="626"/>
      <c r="M570" s="607"/>
      <c r="N570" s="627"/>
    </row>
    <row r="571" spans="1:14" s="27" customFormat="1" ht="17.25" customHeight="1">
      <c r="A571" s="1020" t="s">
        <v>377</v>
      </c>
      <c r="B571" s="1021" t="s">
        <v>493</v>
      </c>
      <c r="C571" s="1022" t="str">
        <f>VLOOKUP(B570,'BTH mủ tạp'!$D$17:$AN$94,37,0)</f>
        <v>A</v>
      </c>
      <c r="D571" s="1023"/>
      <c r="E571" s="1023"/>
      <c r="F571" s="1052"/>
      <c r="G571" s="1020" t="s">
        <v>377</v>
      </c>
      <c r="H571" s="1021" t="s">
        <v>493</v>
      </c>
      <c r="I571" s="1022" t="str">
        <f>VLOOKUP(H570,'BTH mủ tạp'!$D$17:$AN$94,37,0)</f>
        <v>B</v>
      </c>
      <c r="J571" s="1023"/>
      <c r="K571" s="1023"/>
      <c r="L571" s="626"/>
      <c r="M571" s="607"/>
      <c r="N571" s="627"/>
    </row>
    <row r="572" spans="1:14" s="27" customFormat="1" ht="17.25" customHeight="1">
      <c r="A572" s="1020" t="s">
        <v>72</v>
      </c>
      <c r="B572" s="1024" t="s">
        <v>406</v>
      </c>
      <c r="C572" s="621">
        <f>VLOOKUP(B570,'CNKT '!$D$16:$AA$96,3,0)</f>
        <v>0</v>
      </c>
      <c r="D572" s="622">
        <v>25000</v>
      </c>
      <c r="E572" s="1023">
        <f>C572*D572</f>
        <v>0</v>
      </c>
      <c r="F572" s="1052"/>
      <c r="G572" s="1020" t="s">
        <v>72</v>
      </c>
      <c r="H572" s="1024" t="s">
        <v>406</v>
      </c>
      <c r="I572" s="621">
        <f>VLOOKUP(H570,'CNKT '!$D$16:$AA$96,3,0)</f>
        <v>0</v>
      </c>
      <c r="J572" s="622">
        <v>25000</v>
      </c>
      <c r="K572" s="1023">
        <f>I572*J572</f>
        <v>0</v>
      </c>
      <c r="L572" s="626"/>
      <c r="M572" s="607"/>
      <c r="N572" s="627"/>
    </row>
    <row r="573" spans="1:14" s="27" customFormat="1" ht="17.25" customHeight="1">
      <c r="A573" s="1020" t="s">
        <v>292</v>
      </c>
      <c r="B573" s="1025" t="s">
        <v>494</v>
      </c>
      <c r="C573" s="1026">
        <f>VLOOKUP(B570,'CNKT '!$D$16:$AA$96,11,0)</f>
        <v>26</v>
      </c>
      <c r="D573" s="623">
        <f>46.1*$B$2</f>
        <v>30922.036</v>
      </c>
      <c r="E573" s="1023">
        <f>C573*D573</f>
        <v>803972.93599999999</v>
      </c>
      <c r="F573" s="1052"/>
      <c r="G573" s="1020" t="s">
        <v>292</v>
      </c>
      <c r="H573" s="1025" t="s">
        <v>494</v>
      </c>
      <c r="I573" s="1026">
        <f>VLOOKUP(H570,'CNKT '!$D$16:$AA$96,11,0)</f>
        <v>26</v>
      </c>
      <c r="J573" s="623">
        <f>46.1*$B$2</f>
        <v>30922.036</v>
      </c>
      <c r="K573" s="1023">
        <f>I573*J573</f>
        <v>803972.93599999999</v>
      </c>
      <c r="L573" s="626"/>
      <c r="M573" s="607"/>
      <c r="N573" s="627"/>
    </row>
    <row r="574" spans="1:14" s="27" customFormat="1" ht="17.25" customHeight="1">
      <c r="A574" s="1020" t="s">
        <v>379</v>
      </c>
      <c r="B574" s="1025" t="s">
        <v>495</v>
      </c>
      <c r="C574" s="1026">
        <f>VLOOKUP(B570,'CNKT '!$D$16:$AA$96,12,0)</f>
        <v>2</v>
      </c>
      <c r="D574" s="622">
        <f>76.9*$B$2</f>
        <v>51581.444000000003</v>
      </c>
      <c r="E574" s="1023">
        <f t="shared" ref="E574:E575" si="131">C574*D574</f>
        <v>103162.88800000001</v>
      </c>
      <c r="F574" s="1052"/>
      <c r="G574" s="1020" t="s">
        <v>379</v>
      </c>
      <c r="H574" s="1025" t="s">
        <v>495</v>
      </c>
      <c r="I574" s="1026">
        <f>VLOOKUP(H570,'CNKT '!$D$16:$AA$96,12,0)</f>
        <v>2</v>
      </c>
      <c r="J574" s="622">
        <f>76.9*$B$2</f>
        <v>51581.444000000003</v>
      </c>
      <c r="K574" s="1023">
        <f t="shared" ref="K574:K575" si="132">I574*J574</f>
        <v>103162.88800000001</v>
      </c>
      <c r="L574" s="626"/>
      <c r="M574" s="607"/>
      <c r="N574" s="627"/>
    </row>
    <row r="575" spans="1:14" s="27" customFormat="1" ht="17.25" customHeight="1">
      <c r="A575" s="1020" t="s">
        <v>73</v>
      </c>
      <c r="B575" s="1025" t="s">
        <v>496</v>
      </c>
      <c r="C575" s="1026">
        <f>VLOOKUP(B570,'CNKT '!$D$16:$AA$96,8,0)</f>
        <v>1526.1670434496402</v>
      </c>
      <c r="D575" s="622">
        <f>IF(C571="A",6.1,IF(C571="B",5.8,IF(C571="C",5.5,IF(C571="C.",5.5,IF(C571="D",5.2)))))*$B$2</f>
        <v>4091.6359999999995</v>
      </c>
      <c r="E575" s="1023">
        <f t="shared" si="131"/>
        <v>6244520.0169921117</v>
      </c>
      <c r="F575" s="1052"/>
      <c r="G575" s="1020" t="s">
        <v>73</v>
      </c>
      <c r="H575" s="1025" t="s">
        <v>496</v>
      </c>
      <c r="I575" s="1026">
        <f>VLOOKUP(H570,'CNKT '!$D$16:$AA$96,8,0)</f>
        <v>1262.6223846731421</v>
      </c>
      <c r="J575" s="622">
        <f>IF(I571="A",6.1,IF(I571="B",5.8,IF(I571="C",5.5,IF(I571="C.",5.5,IF(I571="D",5.2)))))*$B$2</f>
        <v>3890.4079999999999</v>
      </c>
      <c r="K575" s="1023">
        <f t="shared" si="132"/>
        <v>4912116.2263114695</v>
      </c>
      <c r="L575" s="626"/>
      <c r="M575" s="607"/>
      <c r="N575" s="627"/>
    </row>
    <row r="576" spans="1:14" s="27" customFormat="1" ht="17.25" customHeight="1">
      <c r="A576" s="1089" t="s">
        <v>462</v>
      </c>
      <c r="B576" s="1090" t="s">
        <v>497</v>
      </c>
      <c r="C576" s="1091">
        <f>VLOOKUP(B570,'CNKT '!$D$16:$AA$96,13,0)</f>
        <v>0</v>
      </c>
      <c r="D576" s="1092">
        <v>100000</v>
      </c>
      <c r="E576" s="1093">
        <f>C576*D576</f>
        <v>0</v>
      </c>
      <c r="F576" s="1052"/>
      <c r="G576" s="1089" t="s">
        <v>462</v>
      </c>
      <c r="H576" s="1090" t="s">
        <v>497</v>
      </c>
      <c r="I576" s="1091">
        <f>VLOOKUP(H570,'CNKT '!$D$16:$AA$96,13,0)</f>
        <v>0</v>
      </c>
      <c r="J576" s="1092">
        <v>100000</v>
      </c>
      <c r="K576" s="1093">
        <f>I576*J576</f>
        <v>0</v>
      </c>
      <c r="L576" s="626"/>
      <c r="M576" s="607"/>
      <c r="N576" s="627"/>
    </row>
    <row r="577" spans="1:14" s="27" customFormat="1" ht="17.25" customHeight="1">
      <c r="A577" s="1020" t="s">
        <v>463</v>
      </c>
      <c r="B577" s="1025" t="s">
        <v>467</v>
      </c>
      <c r="C577" s="1026">
        <f>VLOOKUP(B570,'CNKT '!$D$16:$AA$96,16,0)</f>
        <v>0</v>
      </c>
      <c r="D577" s="622">
        <f>153.8*$B$2</f>
        <v>103162.88800000001</v>
      </c>
      <c r="E577" s="1023">
        <f t="shared" ref="E577" si="133">C577*D577</f>
        <v>0</v>
      </c>
      <c r="F577" s="1052"/>
      <c r="G577" s="1020" t="s">
        <v>463</v>
      </c>
      <c r="H577" s="1025" t="s">
        <v>467</v>
      </c>
      <c r="I577" s="1026">
        <f>VLOOKUP(H570,'CNKT '!$D$16:$AA$96,16,0)</f>
        <v>0</v>
      </c>
      <c r="J577" s="622">
        <f>153.8*$B$2</f>
        <v>103162.88800000001</v>
      </c>
      <c r="K577" s="1023">
        <f t="shared" ref="K577" si="134">I577*J577</f>
        <v>0</v>
      </c>
      <c r="L577" s="626"/>
      <c r="M577" s="607"/>
      <c r="N577" s="627"/>
    </row>
    <row r="578" spans="1:14" s="27" customFormat="1" ht="17.25" customHeight="1">
      <c r="A578" s="1020" t="s">
        <v>425</v>
      </c>
      <c r="B578" s="1025" t="s">
        <v>468</v>
      </c>
      <c r="C578" s="1026">
        <f>VLOOKUP(B570,'CNKT '!$D$16:$AA$96,18,0)</f>
        <v>2</v>
      </c>
      <c r="D578" s="622">
        <v>10000</v>
      </c>
      <c r="E578" s="1023">
        <f>C578*D578</f>
        <v>20000</v>
      </c>
      <c r="F578" s="1052"/>
      <c r="G578" s="1020" t="s">
        <v>425</v>
      </c>
      <c r="H578" s="1025" t="s">
        <v>468</v>
      </c>
      <c r="I578" s="1026">
        <f>VLOOKUP(H570,'CNKT '!$D$16:$AA$96,18,0)</f>
        <v>2</v>
      </c>
      <c r="J578" s="622">
        <v>10000</v>
      </c>
      <c r="K578" s="1023">
        <f>I578*J578</f>
        <v>20000</v>
      </c>
      <c r="L578" s="626"/>
      <c r="M578" s="607"/>
      <c r="N578" s="627"/>
    </row>
    <row r="579" spans="1:14" s="27" customFormat="1" ht="17.25" customHeight="1">
      <c r="A579" s="1020" t="s">
        <v>425</v>
      </c>
      <c r="B579" s="1025" t="s">
        <v>468</v>
      </c>
      <c r="C579" s="1026">
        <f>VLOOKUP(B570,'CNKT '!$D$16:$AA$96,19,0)</f>
        <v>0</v>
      </c>
      <c r="D579" s="622">
        <v>20000</v>
      </c>
      <c r="E579" s="1023">
        <f>C579*D579</f>
        <v>0</v>
      </c>
      <c r="F579" s="1052"/>
      <c r="G579" s="1020" t="s">
        <v>425</v>
      </c>
      <c r="H579" s="1025" t="s">
        <v>468</v>
      </c>
      <c r="I579" s="1026">
        <f>VLOOKUP(H570,'CNKT '!$D$16:$AA$96,19,0)</f>
        <v>0</v>
      </c>
      <c r="J579" s="622">
        <v>20000</v>
      </c>
      <c r="K579" s="1023">
        <f>I579*J579</f>
        <v>0</v>
      </c>
      <c r="L579" s="626"/>
      <c r="M579" s="607"/>
      <c r="N579" s="627"/>
    </row>
    <row r="580" spans="1:14" s="27" customFormat="1" ht="17.25" customHeight="1">
      <c r="A580" s="1020" t="s">
        <v>780</v>
      </c>
      <c r="B580" s="1027" t="s">
        <v>781</v>
      </c>
      <c r="C580" s="1026"/>
      <c r="D580" s="622"/>
      <c r="E580" s="1023">
        <f>VLOOKUP(B570,'CNKT '!$D$16:$AE$99,28,0)</f>
        <v>0</v>
      </c>
      <c r="F580" s="1052"/>
      <c r="G580" s="1020" t="s">
        <v>780</v>
      </c>
      <c r="H580" s="1027" t="s">
        <v>781</v>
      </c>
      <c r="I580" s="1026"/>
      <c r="J580" s="622"/>
      <c r="K580" s="1023">
        <f>VLOOKUP(H570,'CNKT '!$D$16:$AE$99,28,0)</f>
        <v>0</v>
      </c>
      <c r="L580" s="626"/>
      <c r="M580" s="607"/>
      <c r="N580" s="627"/>
    </row>
    <row r="581" spans="1:14" s="27" customFormat="1" ht="17.25" customHeight="1">
      <c r="A581" s="1028" t="s">
        <v>74</v>
      </c>
      <c r="B581" s="1029" t="s">
        <v>498</v>
      </c>
      <c r="C581" s="1030"/>
      <c r="D581" s="1031"/>
      <c r="E581" s="1030"/>
      <c r="F581" s="1052"/>
      <c r="G581" s="1028" t="s">
        <v>74</v>
      </c>
      <c r="H581" s="1029" t="s">
        <v>498</v>
      </c>
      <c r="I581" s="1030"/>
      <c r="J581" s="1031"/>
      <c r="K581" s="1030"/>
      <c r="L581" s="626"/>
      <c r="M581" s="607"/>
      <c r="N581" s="627"/>
    </row>
    <row r="582" spans="1:14" s="27" customFormat="1" ht="17.25" customHeight="1">
      <c r="A582" s="1032" t="s">
        <v>75</v>
      </c>
      <c r="B582" s="1033" t="s">
        <v>499</v>
      </c>
      <c r="C582" s="1030"/>
      <c r="D582" s="1030"/>
      <c r="E582" s="1030"/>
      <c r="F582" s="1052"/>
      <c r="G582" s="1032" t="s">
        <v>75</v>
      </c>
      <c r="H582" s="1033" t="s">
        <v>499</v>
      </c>
      <c r="I582" s="1030"/>
      <c r="J582" s="1030"/>
      <c r="K582" s="1030"/>
      <c r="L582" s="626"/>
      <c r="M582" s="607"/>
      <c r="N582" s="627"/>
    </row>
    <row r="583" spans="1:14" s="27" customFormat="1" ht="17.25" customHeight="1">
      <c r="A583" s="1032" t="s">
        <v>76</v>
      </c>
      <c r="B583" s="1034" t="s">
        <v>500</v>
      </c>
      <c r="C583" s="1030"/>
      <c r="D583" s="1030"/>
      <c r="E583" s="1023">
        <f>SUM(E582)</f>
        <v>0</v>
      </c>
      <c r="F583" s="1052"/>
      <c r="G583" s="1032" t="s">
        <v>76</v>
      </c>
      <c r="H583" s="1034" t="s">
        <v>500</v>
      </c>
      <c r="I583" s="1030"/>
      <c r="J583" s="1030"/>
      <c r="K583" s="1023">
        <f>SUM(K582)</f>
        <v>0</v>
      </c>
      <c r="L583" s="626"/>
      <c r="M583" s="1035">
        <f>E583+K583</f>
        <v>0</v>
      </c>
      <c r="N583" s="627"/>
    </row>
    <row r="584" spans="1:14" s="27" customFormat="1" ht="17.25" customHeight="1">
      <c r="A584" s="1036" t="s">
        <v>77</v>
      </c>
      <c r="B584" s="1037" t="s">
        <v>412</v>
      </c>
      <c r="C584" s="1038"/>
      <c r="D584" s="1038"/>
      <c r="E584" s="1038">
        <f>(E572+E573+E574+E575+E576+E577+E578+E579+E580)-E583</f>
        <v>7171655.8409921117</v>
      </c>
      <c r="F584" s="1052"/>
      <c r="G584" s="1036" t="s">
        <v>77</v>
      </c>
      <c r="H584" s="1037" t="s">
        <v>412</v>
      </c>
      <c r="I584" s="1038"/>
      <c r="J584" s="1038"/>
      <c r="K584" s="1038">
        <f>(K572+K573+K574+K575+K576+K577+K578+K579+K580)-K583</f>
        <v>5839252.0503114695</v>
      </c>
      <c r="L584" s="1040">
        <f>E584+K584</f>
        <v>13010907.89130358</v>
      </c>
      <c r="M584" s="607"/>
      <c r="N584" s="627"/>
    </row>
    <row r="585" spans="1:14" s="27" customFormat="1" ht="17.25" customHeight="1">
      <c r="A585" s="1045"/>
      <c r="B585" s="1050"/>
      <c r="C585" s="1051"/>
      <c r="D585" s="1051"/>
      <c r="E585" s="1049"/>
      <c r="F585" s="1052"/>
      <c r="G585" s="1045"/>
      <c r="H585" s="1050"/>
      <c r="I585" s="1051"/>
      <c r="J585" s="1049"/>
      <c r="K585" s="1052"/>
      <c r="L585" s="626"/>
      <c r="M585" s="607"/>
      <c r="N585" s="627"/>
    </row>
    <row r="586" spans="1:14" s="27" customFormat="1" ht="17.25" customHeight="1">
      <c r="A586" s="1611" t="str">
        <f>A569</f>
        <v>LƯƠNG THÁNG 08/2025</v>
      </c>
      <c r="B586" s="1612"/>
      <c r="C586" s="1612"/>
      <c r="D586" s="1612"/>
      <c r="E586" s="1014">
        <v>69</v>
      </c>
      <c r="F586" s="1052"/>
      <c r="G586" s="1611" t="str">
        <f>A586</f>
        <v>LƯƠNG THÁNG 08/2025</v>
      </c>
      <c r="H586" s="1612"/>
      <c r="I586" s="1612"/>
      <c r="J586" s="1613"/>
      <c r="K586" s="1014">
        <v>70</v>
      </c>
      <c r="L586" s="626"/>
      <c r="M586" s="607"/>
      <c r="N586" s="627"/>
    </row>
    <row r="587" spans="1:14" s="27" customFormat="1" ht="17.25" customHeight="1">
      <c r="A587" s="1044" t="s">
        <v>13</v>
      </c>
      <c r="B587" s="1016" t="str">
        <f>'CNKT '!D84</f>
        <v>T. Tu</v>
      </c>
      <c r="C587" s="1017"/>
      <c r="D587" s="1018" t="s">
        <v>376</v>
      </c>
      <c r="E587" s="1018" t="s">
        <v>16</v>
      </c>
      <c r="F587" s="1052"/>
      <c r="G587" s="1044" t="s">
        <v>13</v>
      </c>
      <c r="H587" s="1016" t="str">
        <f>'CNKT '!D85</f>
        <v>N. Xi</v>
      </c>
      <c r="I587" s="1017"/>
      <c r="J587" s="1018" t="s">
        <v>376</v>
      </c>
      <c r="K587" s="1018" t="s">
        <v>16</v>
      </c>
      <c r="L587" s="626"/>
      <c r="M587" s="607"/>
      <c r="N587" s="627"/>
    </row>
    <row r="588" spans="1:14" s="27" customFormat="1" ht="17.25" customHeight="1">
      <c r="A588" s="1020" t="s">
        <v>377</v>
      </c>
      <c r="B588" s="1021" t="s">
        <v>493</v>
      </c>
      <c r="C588" s="1022" t="str">
        <f>VLOOKUP(B587,'BTH mủ tạp'!$D$17:$AN$94,37,0)</f>
        <v>B</v>
      </c>
      <c r="D588" s="1023"/>
      <c r="E588" s="1023"/>
      <c r="F588" s="1052"/>
      <c r="G588" s="1020" t="s">
        <v>377</v>
      </c>
      <c r="H588" s="1021" t="s">
        <v>493</v>
      </c>
      <c r="I588" s="1022" t="str">
        <f>VLOOKUP(H587,'BTH mủ tạp'!$D$17:$AN$94,37,0)</f>
        <v>A</v>
      </c>
      <c r="J588" s="1023"/>
      <c r="K588" s="1023"/>
      <c r="L588" s="626"/>
      <c r="M588" s="607"/>
      <c r="N588" s="627"/>
    </row>
    <row r="589" spans="1:14" s="27" customFormat="1" ht="17.25" customHeight="1">
      <c r="A589" s="1020" t="s">
        <v>72</v>
      </c>
      <c r="B589" s="1024" t="s">
        <v>406</v>
      </c>
      <c r="C589" s="621">
        <f>VLOOKUP(B587,'CNKT '!$D$16:$AA$96,3,0)</f>
        <v>0</v>
      </c>
      <c r="D589" s="622">
        <v>25000</v>
      </c>
      <c r="E589" s="1023">
        <f>C589*D589</f>
        <v>0</v>
      </c>
      <c r="F589" s="1052"/>
      <c r="G589" s="1020" t="s">
        <v>72</v>
      </c>
      <c r="H589" s="1024" t="s">
        <v>406</v>
      </c>
      <c r="I589" s="621">
        <f>VLOOKUP(H587,'CNKT '!$D$16:$AA$96,3,0)</f>
        <v>0</v>
      </c>
      <c r="J589" s="622">
        <v>25000</v>
      </c>
      <c r="K589" s="1023">
        <f>I589*J589</f>
        <v>0</v>
      </c>
      <c r="L589" s="626"/>
      <c r="M589" s="607"/>
      <c r="N589" s="627"/>
    </row>
    <row r="590" spans="1:14" s="27" customFormat="1" ht="17.25" customHeight="1">
      <c r="A590" s="1020" t="s">
        <v>292</v>
      </c>
      <c r="B590" s="1025" t="s">
        <v>494</v>
      </c>
      <c r="C590" s="1026">
        <f>VLOOKUP(B587,'CNKT '!$D$16:$AA$96,11,0)</f>
        <v>25</v>
      </c>
      <c r="D590" s="623">
        <f>46.1*$B$2</f>
        <v>30922.036</v>
      </c>
      <c r="E590" s="1023">
        <f>C590*D590</f>
        <v>773050.9</v>
      </c>
      <c r="F590" s="1052"/>
      <c r="G590" s="1020" t="s">
        <v>292</v>
      </c>
      <c r="H590" s="1025" t="s">
        <v>494</v>
      </c>
      <c r="I590" s="1026">
        <f>VLOOKUP(H587,'CNKT '!$D$16:$AA$96,11,0)</f>
        <v>26</v>
      </c>
      <c r="J590" s="623">
        <f>46.1*$B$2</f>
        <v>30922.036</v>
      </c>
      <c r="K590" s="1023">
        <f>I590*J590</f>
        <v>803972.93599999999</v>
      </c>
      <c r="L590" s="626"/>
      <c r="M590" s="607"/>
      <c r="N590" s="627"/>
    </row>
    <row r="591" spans="1:14" s="27" customFormat="1" ht="17.25" customHeight="1">
      <c r="A591" s="1020" t="s">
        <v>379</v>
      </c>
      <c r="B591" s="1025" t="s">
        <v>495</v>
      </c>
      <c r="C591" s="1026">
        <f>VLOOKUP(B587,'CNKT '!$D$16:$AA$96,12,0)</f>
        <v>2</v>
      </c>
      <c r="D591" s="622">
        <f>76.9*$B$2</f>
        <v>51581.444000000003</v>
      </c>
      <c r="E591" s="1023">
        <f t="shared" ref="E591:E592" si="135">C591*D591</f>
        <v>103162.88800000001</v>
      </c>
      <c r="F591" s="1052"/>
      <c r="G591" s="1020" t="s">
        <v>379</v>
      </c>
      <c r="H591" s="1025" t="s">
        <v>495</v>
      </c>
      <c r="I591" s="1026">
        <f>VLOOKUP(H587,'CNKT '!$D$16:$AA$96,12,0)</f>
        <v>2</v>
      </c>
      <c r="J591" s="622">
        <f>76.9*$B$2</f>
        <v>51581.444000000003</v>
      </c>
      <c r="K591" s="1023">
        <f t="shared" ref="K591:K592" si="136">I591*J591</f>
        <v>103162.88800000001</v>
      </c>
      <c r="L591" s="626"/>
      <c r="M591" s="607"/>
      <c r="N591" s="627"/>
    </row>
    <row r="592" spans="1:14" s="27" customFormat="1" ht="17.25" customHeight="1">
      <c r="A592" s="1020" t="s">
        <v>73</v>
      </c>
      <c r="B592" s="1025" t="s">
        <v>496</v>
      </c>
      <c r="C592" s="1026">
        <f>VLOOKUP(B587,'CNKT '!$D$16:$AA$96,8,0)</f>
        <v>2048.1306950296739</v>
      </c>
      <c r="D592" s="622">
        <f>IF(C588="A",6.1,IF(C588="B",5.8,IF(C588="C",5.5,IF(C588="C.",5.5,IF(C588="D",5.2)))))*$B$2</f>
        <v>3890.4079999999999</v>
      </c>
      <c r="E592" s="1023">
        <f t="shared" si="135"/>
        <v>7968064.0409890031</v>
      </c>
      <c r="F592" s="1052"/>
      <c r="G592" s="1020" t="s">
        <v>73</v>
      </c>
      <c r="H592" s="1025" t="s">
        <v>496</v>
      </c>
      <c r="I592" s="1026">
        <f>VLOOKUP(H587,'CNKT '!$D$16:$AA$96,8,0)</f>
        <v>1598.7806447332785</v>
      </c>
      <c r="J592" s="622">
        <f>IF(I588="A",6.1,IF(I588="B",5.8,IF(I588="C",5.5,IF(I588="C.",5.5,IF(I588="D",5.2)))))*$B$2</f>
        <v>4091.6359999999995</v>
      </c>
      <c r="K592" s="1023">
        <f t="shared" si="136"/>
        <v>6541628.442093892</v>
      </c>
      <c r="L592" s="626"/>
      <c r="M592" s="607"/>
      <c r="N592" s="627"/>
    </row>
    <row r="593" spans="1:14" s="27" customFormat="1" ht="17.25" customHeight="1">
      <c r="A593" s="1089" t="s">
        <v>462</v>
      </c>
      <c r="B593" s="1090" t="s">
        <v>497</v>
      </c>
      <c r="C593" s="1091">
        <f>VLOOKUP(B587,'CNKT '!$D$16:$AA$96,13,0)</f>
        <v>0</v>
      </c>
      <c r="D593" s="1092">
        <v>100000</v>
      </c>
      <c r="E593" s="1093">
        <f>C593*D593</f>
        <v>0</v>
      </c>
      <c r="F593" s="1052"/>
      <c r="G593" s="1089" t="s">
        <v>462</v>
      </c>
      <c r="H593" s="1090" t="s">
        <v>497</v>
      </c>
      <c r="I593" s="1091">
        <f>VLOOKUP(H587,'CNKT '!$D$16:$AA$96,13,0)</f>
        <v>0</v>
      </c>
      <c r="J593" s="1092">
        <v>100000</v>
      </c>
      <c r="K593" s="1093">
        <f>I593*J593</f>
        <v>0</v>
      </c>
      <c r="L593" s="626"/>
      <c r="M593" s="607"/>
      <c r="N593" s="627"/>
    </row>
    <row r="594" spans="1:14" s="27" customFormat="1" ht="17.25" customHeight="1">
      <c r="A594" s="1020" t="s">
        <v>463</v>
      </c>
      <c r="B594" s="1025" t="s">
        <v>467</v>
      </c>
      <c r="C594" s="1026">
        <f>VLOOKUP(B587,'CNKT '!$D$16:$AA$96,16,0)</f>
        <v>0</v>
      </c>
      <c r="D594" s="622">
        <f>153.8*$B$2</f>
        <v>103162.88800000001</v>
      </c>
      <c r="E594" s="1023">
        <f t="shared" ref="E594" si="137">C594*D594</f>
        <v>0</v>
      </c>
      <c r="F594" s="1052"/>
      <c r="G594" s="1020" t="s">
        <v>463</v>
      </c>
      <c r="H594" s="1025" t="s">
        <v>467</v>
      </c>
      <c r="I594" s="1026">
        <f>VLOOKUP(H587,'CNKT '!$D$16:$AA$96,16,0)</f>
        <v>0</v>
      </c>
      <c r="J594" s="622">
        <f>153.8*$B$2</f>
        <v>103162.88800000001</v>
      </c>
      <c r="K594" s="1023">
        <f t="shared" ref="K594" si="138">I594*J594</f>
        <v>0</v>
      </c>
      <c r="L594" s="626"/>
      <c r="M594" s="607"/>
      <c r="N594" s="627"/>
    </row>
    <row r="595" spans="1:14" s="27" customFormat="1" ht="17.25" customHeight="1">
      <c r="A595" s="1020" t="s">
        <v>425</v>
      </c>
      <c r="B595" s="1025" t="s">
        <v>468</v>
      </c>
      <c r="C595" s="1026">
        <f>VLOOKUP(B587,'CNKT '!$D$16:$AA$96,18,0)</f>
        <v>2</v>
      </c>
      <c r="D595" s="622">
        <v>10000</v>
      </c>
      <c r="E595" s="1023">
        <f>C595*D595</f>
        <v>20000</v>
      </c>
      <c r="F595" s="1052"/>
      <c r="G595" s="1020" t="s">
        <v>425</v>
      </c>
      <c r="H595" s="1025" t="s">
        <v>468</v>
      </c>
      <c r="I595" s="1026">
        <f>VLOOKUP(H587,'CNKT '!$D$16:$AA$96,18,0)</f>
        <v>2</v>
      </c>
      <c r="J595" s="622">
        <v>10000</v>
      </c>
      <c r="K595" s="1023">
        <f>I595*J595</f>
        <v>20000</v>
      </c>
      <c r="L595" s="626"/>
      <c r="M595" s="607"/>
      <c r="N595" s="627"/>
    </row>
    <row r="596" spans="1:14" s="27" customFormat="1" ht="17.25" customHeight="1">
      <c r="A596" s="1020" t="s">
        <v>425</v>
      </c>
      <c r="B596" s="1025" t="s">
        <v>468</v>
      </c>
      <c r="C596" s="1026">
        <f>VLOOKUP(B587,'CNKT '!$D$16:$AA$96,19,0)</f>
        <v>0</v>
      </c>
      <c r="D596" s="622">
        <v>20000</v>
      </c>
      <c r="E596" s="1023">
        <f>C596*D596</f>
        <v>0</v>
      </c>
      <c r="F596" s="1052"/>
      <c r="G596" s="1020" t="s">
        <v>425</v>
      </c>
      <c r="H596" s="1025" t="s">
        <v>468</v>
      </c>
      <c r="I596" s="1026">
        <f>VLOOKUP(H587,'CNKT '!$D$16:$AA$96,19,0)</f>
        <v>0</v>
      </c>
      <c r="J596" s="622">
        <v>20000</v>
      </c>
      <c r="K596" s="1023">
        <f>I596*J596</f>
        <v>0</v>
      </c>
      <c r="L596" s="626"/>
      <c r="M596" s="607"/>
      <c r="N596" s="627"/>
    </row>
    <row r="597" spans="1:14" s="27" customFormat="1" ht="17.25" customHeight="1">
      <c r="A597" s="1020" t="s">
        <v>780</v>
      </c>
      <c r="B597" s="1027" t="s">
        <v>781</v>
      </c>
      <c r="C597" s="1026"/>
      <c r="D597" s="622"/>
      <c r="E597" s="1023">
        <f>VLOOKUP(B587,'CNKT '!$D$16:$AE$99,28,0)</f>
        <v>0</v>
      </c>
      <c r="F597" s="1052"/>
      <c r="G597" s="1020" t="s">
        <v>780</v>
      </c>
      <c r="H597" s="1027" t="s">
        <v>781</v>
      </c>
      <c r="I597" s="1026"/>
      <c r="J597" s="622"/>
      <c r="K597" s="1023">
        <f>VLOOKUP(H587,'CNKT '!$D$16:$AE$99,28,0)</f>
        <v>0</v>
      </c>
      <c r="L597" s="626"/>
      <c r="M597" s="607"/>
      <c r="N597" s="627"/>
    </row>
    <row r="598" spans="1:14" s="27" customFormat="1" ht="17.25" customHeight="1">
      <c r="A598" s="1028" t="s">
        <v>74</v>
      </c>
      <c r="B598" s="1029" t="s">
        <v>498</v>
      </c>
      <c r="C598" s="1030"/>
      <c r="D598" s="1031"/>
      <c r="E598" s="1030"/>
      <c r="F598" s="1052"/>
      <c r="G598" s="1028" t="s">
        <v>74</v>
      </c>
      <c r="H598" s="1029" t="s">
        <v>498</v>
      </c>
      <c r="I598" s="1030"/>
      <c r="J598" s="1031"/>
      <c r="K598" s="1030"/>
      <c r="L598" s="626"/>
      <c r="M598" s="607"/>
      <c r="N598" s="627"/>
    </row>
    <row r="599" spans="1:14" s="27" customFormat="1" ht="17.25" customHeight="1">
      <c r="A599" s="1032" t="s">
        <v>75</v>
      </c>
      <c r="B599" s="1033" t="s">
        <v>499</v>
      </c>
      <c r="C599" s="1030"/>
      <c r="D599" s="1030"/>
      <c r="E599" s="1030"/>
      <c r="F599" s="1052"/>
      <c r="G599" s="1032" t="s">
        <v>75</v>
      </c>
      <c r="H599" s="1033" t="s">
        <v>499</v>
      </c>
      <c r="I599" s="1030"/>
      <c r="J599" s="1030"/>
      <c r="K599" s="1030"/>
      <c r="L599" s="626"/>
      <c r="M599" s="607"/>
      <c r="N599" s="627"/>
    </row>
    <row r="600" spans="1:14" s="27" customFormat="1" ht="17.25" customHeight="1">
      <c r="A600" s="1032" t="s">
        <v>76</v>
      </c>
      <c r="B600" s="1034" t="s">
        <v>500</v>
      </c>
      <c r="C600" s="1030"/>
      <c r="D600" s="1030"/>
      <c r="E600" s="1023">
        <f>SUM(E599)</f>
        <v>0</v>
      </c>
      <c r="F600" s="1052"/>
      <c r="G600" s="1032" t="s">
        <v>76</v>
      </c>
      <c r="H600" s="1034" t="s">
        <v>500</v>
      </c>
      <c r="I600" s="1030"/>
      <c r="J600" s="1030"/>
      <c r="K600" s="1023">
        <f>SUM(K599)</f>
        <v>0</v>
      </c>
      <c r="L600" s="626"/>
      <c r="M600" s="1035">
        <f>E600+K600</f>
        <v>0</v>
      </c>
      <c r="N600" s="627"/>
    </row>
    <row r="601" spans="1:14" s="27" customFormat="1" ht="17.25" customHeight="1">
      <c r="A601" s="1036" t="s">
        <v>77</v>
      </c>
      <c r="B601" s="1037" t="s">
        <v>412</v>
      </c>
      <c r="C601" s="1038"/>
      <c r="D601" s="1038"/>
      <c r="E601" s="1038">
        <f>(E589+E590+E591+E592+E593+E594+E595+E596+E597)-E600</f>
        <v>8864277.8289890029</v>
      </c>
      <c r="F601" s="1052"/>
      <c r="G601" s="1036" t="s">
        <v>77</v>
      </c>
      <c r="H601" s="1037" t="s">
        <v>412</v>
      </c>
      <c r="I601" s="1038"/>
      <c r="J601" s="1038"/>
      <c r="K601" s="1038">
        <f>(K589+K590+K591+K592+K593+K594+K595+K596+K597)-K600</f>
        <v>7468764.266093892</v>
      </c>
      <c r="L601" s="1040">
        <f>E601+K601</f>
        <v>16333042.095082894</v>
      </c>
      <c r="M601" s="607"/>
      <c r="N601" s="627"/>
    </row>
    <row r="602" spans="1:14" s="27" customFormat="1" ht="70.5" customHeight="1">
      <c r="A602" s="1053"/>
      <c r="B602" s="1048"/>
      <c r="C602" s="1048"/>
      <c r="D602" s="1048"/>
      <c r="E602" s="1048"/>
      <c r="F602" s="1052"/>
      <c r="G602" s="1053"/>
      <c r="H602" s="1048"/>
      <c r="I602" s="1048"/>
      <c r="J602" s="1048"/>
      <c r="K602" s="1052"/>
      <c r="L602" s="626"/>
      <c r="M602" s="607"/>
      <c r="N602" s="627"/>
    </row>
    <row r="603" spans="1:14" s="27" customFormat="1" ht="17.25" customHeight="1">
      <c r="A603" s="1611" t="str">
        <f>A586</f>
        <v>LƯƠNG THÁNG 08/2025</v>
      </c>
      <c r="B603" s="1612"/>
      <c r="C603" s="1612"/>
      <c r="D603" s="1612"/>
      <c r="E603" s="1014">
        <v>71</v>
      </c>
      <c r="F603" s="1052"/>
      <c r="G603" s="1611" t="str">
        <f>A603</f>
        <v>LƯƠNG THÁNG 08/2025</v>
      </c>
      <c r="H603" s="1612"/>
      <c r="I603" s="1612"/>
      <c r="J603" s="1613"/>
      <c r="K603" s="1014">
        <v>72</v>
      </c>
      <c r="L603" s="626"/>
      <c r="M603" s="607"/>
      <c r="N603" s="627"/>
    </row>
    <row r="604" spans="1:14" s="27" customFormat="1" ht="17.25" customHeight="1">
      <c r="A604" s="1044" t="s">
        <v>13</v>
      </c>
      <c r="B604" s="1016" t="str">
        <f>'CNKT '!D86</f>
        <v>N. Chay</v>
      </c>
      <c r="C604" s="1017"/>
      <c r="D604" s="1018" t="s">
        <v>376</v>
      </c>
      <c r="E604" s="1018" t="s">
        <v>16</v>
      </c>
      <c r="F604" s="1052"/>
      <c r="G604" s="1044" t="s">
        <v>13</v>
      </c>
      <c r="H604" s="1016" t="str">
        <f>'CNKT '!D87</f>
        <v>T. Ta</v>
      </c>
      <c r="I604" s="1017"/>
      <c r="J604" s="1018" t="s">
        <v>376</v>
      </c>
      <c r="K604" s="1018" t="s">
        <v>16</v>
      </c>
      <c r="L604" s="626"/>
      <c r="M604" s="607"/>
      <c r="N604" s="627"/>
    </row>
    <row r="605" spans="1:14" s="27" customFormat="1" ht="17.25" customHeight="1">
      <c r="A605" s="1020" t="s">
        <v>377</v>
      </c>
      <c r="B605" s="1021" t="s">
        <v>493</v>
      </c>
      <c r="C605" s="1022" t="str">
        <f>VLOOKUP(B604,'BTH mủ tạp'!$D$17:$AN$94,37,0)</f>
        <v>A</v>
      </c>
      <c r="D605" s="1023"/>
      <c r="E605" s="1023"/>
      <c r="F605" s="1052"/>
      <c r="G605" s="1020" t="s">
        <v>377</v>
      </c>
      <c r="H605" s="1021" t="s">
        <v>493</v>
      </c>
      <c r="I605" s="1022" t="str">
        <f>VLOOKUP(H604,'BTH mủ tạp'!$D$17:$AN$94,37,0)</f>
        <v>A</v>
      </c>
      <c r="J605" s="1023"/>
      <c r="K605" s="1023"/>
      <c r="L605" s="626"/>
      <c r="M605" s="607"/>
      <c r="N605" s="627"/>
    </row>
    <row r="606" spans="1:14" s="27" customFormat="1" ht="17.25" customHeight="1">
      <c r="A606" s="1020" t="s">
        <v>72</v>
      </c>
      <c r="B606" s="1024" t="s">
        <v>406</v>
      </c>
      <c r="C606" s="621">
        <f>VLOOKUP(B604,'CNKT '!$D$16:$AA$96,3,0)</f>
        <v>0</v>
      </c>
      <c r="D606" s="622">
        <v>25000</v>
      </c>
      <c r="E606" s="1023">
        <f>C606*D606</f>
        <v>0</v>
      </c>
      <c r="F606" s="1052"/>
      <c r="G606" s="1020" t="s">
        <v>72</v>
      </c>
      <c r="H606" s="1024" t="s">
        <v>406</v>
      </c>
      <c r="I606" s="621">
        <f>VLOOKUP(H604,'CNKT '!$D$16:$AA$96,3,0)</f>
        <v>0</v>
      </c>
      <c r="J606" s="622">
        <v>25000</v>
      </c>
      <c r="K606" s="1023">
        <f>I606*J606</f>
        <v>0</v>
      </c>
      <c r="L606" s="626"/>
      <c r="M606" s="607"/>
      <c r="N606" s="627"/>
    </row>
    <row r="607" spans="1:14" s="27" customFormat="1" ht="17.25" customHeight="1">
      <c r="A607" s="1020" t="s">
        <v>292</v>
      </c>
      <c r="B607" s="1025" t="s">
        <v>494</v>
      </c>
      <c r="C607" s="1026">
        <f>VLOOKUP(B604,'CNKT '!$D$16:$AA$96,11,0)</f>
        <v>26</v>
      </c>
      <c r="D607" s="623">
        <f>46.1*$B$2</f>
        <v>30922.036</v>
      </c>
      <c r="E607" s="1023">
        <f>C607*D607</f>
        <v>803972.93599999999</v>
      </c>
      <c r="F607" s="1052"/>
      <c r="G607" s="1020" t="s">
        <v>292</v>
      </c>
      <c r="H607" s="1025" t="s">
        <v>494</v>
      </c>
      <c r="I607" s="1026">
        <f>VLOOKUP(H604,'CNKT '!$D$16:$AA$96,11,0)</f>
        <v>26</v>
      </c>
      <c r="J607" s="623">
        <f>46.1*$B$2</f>
        <v>30922.036</v>
      </c>
      <c r="K607" s="1023">
        <f>I607*J607</f>
        <v>803972.93599999999</v>
      </c>
      <c r="L607" s="626"/>
      <c r="M607" s="607"/>
      <c r="N607" s="627"/>
    </row>
    <row r="608" spans="1:14" s="27" customFormat="1" ht="17.25" customHeight="1">
      <c r="A608" s="1020" t="s">
        <v>379</v>
      </c>
      <c r="B608" s="1025" t="s">
        <v>495</v>
      </c>
      <c r="C608" s="1026">
        <f>VLOOKUP(B604,'CNKT '!$D$16:$AA$96,12,0)</f>
        <v>2</v>
      </c>
      <c r="D608" s="622">
        <f>76.9*$B$2</f>
        <v>51581.444000000003</v>
      </c>
      <c r="E608" s="1023">
        <f t="shared" ref="E608:E609" si="139">C608*D608</f>
        <v>103162.88800000001</v>
      </c>
      <c r="F608" s="1052"/>
      <c r="G608" s="1020" t="s">
        <v>379</v>
      </c>
      <c r="H608" s="1025" t="s">
        <v>495</v>
      </c>
      <c r="I608" s="1026">
        <f>VLOOKUP(H604,'CNKT '!$D$16:$AA$96,12,0)</f>
        <v>2</v>
      </c>
      <c r="J608" s="622">
        <f>76.9*$B$2</f>
        <v>51581.444000000003</v>
      </c>
      <c r="K608" s="1023">
        <f t="shared" ref="K608:K609" si="140">I608*J608</f>
        <v>103162.88800000001</v>
      </c>
      <c r="L608" s="626"/>
      <c r="M608" s="607"/>
      <c r="N608" s="627"/>
    </row>
    <row r="609" spans="1:14" s="27" customFormat="1" ht="17.25" customHeight="1">
      <c r="A609" s="1020" t="s">
        <v>73</v>
      </c>
      <c r="B609" s="1025" t="s">
        <v>496</v>
      </c>
      <c r="C609" s="1026">
        <f>VLOOKUP(B604,'CNKT '!$D$16:$AA$96,8,0)</f>
        <v>1684.2084109493233</v>
      </c>
      <c r="D609" s="622">
        <f>IF(C605="A",6.1,IF(C605="B",5.8,IF(C605="C",5.5,IF(C605="C.",5.5,IF(C605="D",5.2)))))*$B$2</f>
        <v>4091.6359999999995</v>
      </c>
      <c r="E609" s="1023">
        <f t="shared" si="139"/>
        <v>6891167.7657430442</v>
      </c>
      <c r="F609" s="1052"/>
      <c r="G609" s="1020" t="s">
        <v>73</v>
      </c>
      <c r="H609" s="1025" t="s">
        <v>496</v>
      </c>
      <c r="I609" s="1026">
        <f>VLOOKUP(H604,'CNKT '!$D$16:$AA$96,8,0)</f>
        <v>1092.1939910721328</v>
      </c>
      <c r="J609" s="622">
        <f>IF(I605="A",6.1,IF(I605="B",5.8,IF(I605="C",5.5,IF(I605="C.",5.5,IF(I605="D",5.2)))))*$B$2</f>
        <v>4091.6359999999995</v>
      </c>
      <c r="K609" s="1023">
        <f t="shared" si="140"/>
        <v>4468860.2528544171</v>
      </c>
      <c r="L609" s="626"/>
      <c r="M609" s="607"/>
      <c r="N609" s="627"/>
    </row>
    <row r="610" spans="1:14" s="27" customFormat="1" ht="17.25" customHeight="1">
      <c r="A610" s="1089" t="s">
        <v>462</v>
      </c>
      <c r="B610" s="1090" t="s">
        <v>497</v>
      </c>
      <c r="C610" s="1091">
        <f>VLOOKUP(B604,'CNKT '!$D$16:$AA$96,13,0)</f>
        <v>0</v>
      </c>
      <c r="D610" s="1092">
        <v>100000</v>
      </c>
      <c r="E610" s="1093">
        <f>C610*D610</f>
        <v>0</v>
      </c>
      <c r="F610" s="1052"/>
      <c r="G610" s="1089" t="s">
        <v>462</v>
      </c>
      <c r="H610" s="1090" t="s">
        <v>497</v>
      </c>
      <c r="I610" s="1091">
        <f>VLOOKUP(H604,'CNKT '!$D$16:$AA$96,13,0)</f>
        <v>0</v>
      </c>
      <c r="J610" s="1092">
        <v>100000</v>
      </c>
      <c r="K610" s="1093">
        <f>I610*J610</f>
        <v>0</v>
      </c>
      <c r="L610" s="626"/>
      <c r="M610" s="607"/>
      <c r="N610" s="627"/>
    </row>
    <row r="611" spans="1:14" s="27" customFormat="1" ht="17.25" customHeight="1">
      <c r="A611" s="1020" t="s">
        <v>463</v>
      </c>
      <c r="B611" s="1025" t="s">
        <v>467</v>
      </c>
      <c r="C611" s="1026">
        <f>VLOOKUP(B604,'CNKT '!$D$16:$AA$96,16,0)</f>
        <v>0</v>
      </c>
      <c r="D611" s="622">
        <f>153.8*$B$2</f>
        <v>103162.88800000001</v>
      </c>
      <c r="E611" s="1023">
        <f t="shared" ref="E611" si="141">C611*D611</f>
        <v>0</v>
      </c>
      <c r="F611" s="1052"/>
      <c r="G611" s="1020" t="s">
        <v>463</v>
      </c>
      <c r="H611" s="1025" t="s">
        <v>467</v>
      </c>
      <c r="I611" s="1026">
        <f>VLOOKUP(H604,'CNKT '!$D$16:$AA$96,16,0)</f>
        <v>0</v>
      </c>
      <c r="J611" s="622">
        <f>153.8*$B$2</f>
        <v>103162.88800000001</v>
      </c>
      <c r="K611" s="1023">
        <f t="shared" ref="K611" si="142">I611*J611</f>
        <v>0</v>
      </c>
      <c r="L611" s="626"/>
      <c r="M611" s="607"/>
      <c r="N611" s="627"/>
    </row>
    <row r="612" spans="1:14" s="27" customFormat="1" ht="17.25" customHeight="1">
      <c r="A612" s="1020" t="s">
        <v>425</v>
      </c>
      <c r="B612" s="1025" t="s">
        <v>468</v>
      </c>
      <c r="C612" s="1026">
        <f>VLOOKUP(B604,'CNKT '!$D$16:$AA$96,18,0)</f>
        <v>2</v>
      </c>
      <c r="D612" s="622">
        <v>10000</v>
      </c>
      <c r="E612" s="1023">
        <f>C612*D612</f>
        <v>20000</v>
      </c>
      <c r="F612" s="1052"/>
      <c r="G612" s="1020" t="s">
        <v>425</v>
      </c>
      <c r="H612" s="1025" t="s">
        <v>468</v>
      </c>
      <c r="I612" s="1026">
        <f>VLOOKUP(H604,'CNKT '!$D$16:$AA$96,18,0)</f>
        <v>2</v>
      </c>
      <c r="J612" s="622">
        <v>10000</v>
      </c>
      <c r="K612" s="1023">
        <f>I612*J612</f>
        <v>20000</v>
      </c>
      <c r="L612" s="626"/>
      <c r="M612" s="607"/>
      <c r="N612" s="627"/>
    </row>
    <row r="613" spans="1:14" s="27" customFormat="1" ht="17.25" customHeight="1">
      <c r="A613" s="1020" t="s">
        <v>425</v>
      </c>
      <c r="B613" s="1025" t="s">
        <v>468</v>
      </c>
      <c r="C613" s="1026">
        <f>VLOOKUP(B604,'CNKT '!$D$16:$AA$96,19,0)</f>
        <v>0</v>
      </c>
      <c r="D613" s="622">
        <v>20000</v>
      </c>
      <c r="E613" s="1023">
        <f>C613*D613</f>
        <v>0</v>
      </c>
      <c r="F613" s="1052"/>
      <c r="G613" s="1020" t="s">
        <v>425</v>
      </c>
      <c r="H613" s="1025" t="s">
        <v>468</v>
      </c>
      <c r="I613" s="1026">
        <f>VLOOKUP(H604,'CNKT '!$D$16:$AA$96,19,0)</f>
        <v>0</v>
      </c>
      <c r="J613" s="622">
        <v>20000</v>
      </c>
      <c r="K613" s="1023">
        <f>I613*J613</f>
        <v>0</v>
      </c>
      <c r="L613" s="626"/>
      <c r="M613" s="607"/>
      <c r="N613" s="627"/>
    </row>
    <row r="614" spans="1:14" s="27" customFormat="1" ht="17.25" customHeight="1">
      <c r="A614" s="1020" t="s">
        <v>780</v>
      </c>
      <c r="B614" s="1027" t="s">
        <v>781</v>
      </c>
      <c r="C614" s="1026"/>
      <c r="D614" s="622"/>
      <c r="E614" s="1023">
        <f>VLOOKUP(B604,'CNKT '!$D$16:$AE$99,28,0)</f>
        <v>0</v>
      </c>
      <c r="F614" s="1052"/>
      <c r="G614" s="1020" t="s">
        <v>780</v>
      </c>
      <c r="H614" s="1027" t="s">
        <v>781</v>
      </c>
      <c r="I614" s="1026"/>
      <c r="J614" s="622"/>
      <c r="K614" s="1023">
        <f>VLOOKUP(H604,'CNKT '!$D$16:$AE$99,28,0)</f>
        <v>0</v>
      </c>
      <c r="L614" s="626"/>
      <c r="M614" s="607"/>
      <c r="N614" s="627"/>
    </row>
    <row r="615" spans="1:14" s="27" customFormat="1" ht="17.25" customHeight="1">
      <c r="A615" s="1028" t="s">
        <v>74</v>
      </c>
      <c r="B615" s="1029" t="s">
        <v>498</v>
      </c>
      <c r="C615" s="1030"/>
      <c r="D615" s="1031"/>
      <c r="E615" s="1030"/>
      <c r="F615" s="1052"/>
      <c r="G615" s="1028" t="s">
        <v>74</v>
      </c>
      <c r="H615" s="1029" t="s">
        <v>498</v>
      </c>
      <c r="I615" s="1030"/>
      <c r="J615" s="1031"/>
      <c r="K615" s="1030"/>
      <c r="L615" s="626"/>
      <c r="M615" s="607"/>
      <c r="N615" s="627"/>
    </row>
    <row r="616" spans="1:14" s="27" customFormat="1" ht="17.25" customHeight="1">
      <c r="A616" s="1032" t="s">
        <v>75</v>
      </c>
      <c r="B616" s="1033" t="s">
        <v>499</v>
      </c>
      <c r="C616" s="1030"/>
      <c r="D616" s="1030"/>
      <c r="E616" s="1030"/>
      <c r="F616" s="1052"/>
      <c r="G616" s="1032" t="s">
        <v>75</v>
      </c>
      <c r="H616" s="1033" t="s">
        <v>499</v>
      </c>
      <c r="I616" s="1030"/>
      <c r="J616" s="1030"/>
      <c r="K616" s="1030"/>
      <c r="L616" s="626"/>
      <c r="M616" s="607"/>
      <c r="N616" s="627"/>
    </row>
    <row r="617" spans="1:14" s="27" customFormat="1" ht="17.25" customHeight="1">
      <c r="A617" s="1032" t="s">
        <v>76</v>
      </c>
      <c r="B617" s="1034" t="s">
        <v>500</v>
      </c>
      <c r="C617" s="1030"/>
      <c r="D617" s="1030"/>
      <c r="E617" s="1023">
        <f>SUM(E616)</f>
        <v>0</v>
      </c>
      <c r="F617" s="1052"/>
      <c r="G617" s="1032" t="s">
        <v>76</v>
      </c>
      <c r="H617" s="1034" t="s">
        <v>500</v>
      </c>
      <c r="I617" s="1030"/>
      <c r="J617" s="1030"/>
      <c r="K617" s="1023">
        <f>SUM(K616)</f>
        <v>0</v>
      </c>
      <c r="L617" s="626"/>
      <c r="M617" s="1035">
        <f>E617+K617</f>
        <v>0</v>
      </c>
      <c r="N617" s="627"/>
    </row>
    <row r="618" spans="1:14" s="27" customFormat="1" ht="17.25" customHeight="1">
      <c r="A618" s="1036" t="s">
        <v>77</v>
      </c>
      <c r="B618" s="1037" t="s">
        <v>412</v>
      </c>
      <c r="C618" s="1038"/>
      <c r="D618" s="1038"/>
      <c r="E618" s="1038">
        <f>(E606+E607+E608+E609+E610+E611+E612+E613+E614)-E617</f>
        <v>7818303.5897430442</v>
      </c>
      <c r="F618" s="1052"/>
      <c r="G618" s="1036" t="s">
        <v>77</v>
      </c>
      <c r="H618" s="1037" t="s">
        <v>412</v>
      </c>
      <c r="I618" s="1038"/>
      <c r="J618" s="1038"/>
      <c r="K618" s="1038">
        <f>(K606+K607+K608+K609+K610+K611+K612+K613+K614)-K617</f>
        <v>5395996.0768544171</v>
      </c>
      <c r="L618" s="1040">
        <f>E618+K618</f>
        <v>13214299.666597461</v>
      </c>
      <c r="M618" s="607"/>
      <c r="N618" s="627"/>
    </row>
    <row r="619" spans="1:14" s="27" customFormat="1" ht="17.25" customHeight="1">
      <c r="A619" s="1053"/>
      <c r="B619" s="1048"/>
      <c r="C619" s="1048"/>
      <c r="D619" s="1048"/>
      <c r="E619" s="1048"/>
      <c r="F619" s="1052"/>
      <c r="G619" s="1053"/>
      <c r="H619" s="1048"/>
      <c r="I619" s="1048"/>
      <c r="J619" s="1048"/>
      <c r="K619" s="1052"/>
      <c r="L619" s="626"/>
      <c r="M619" s="607"/>
      <c r="N619" s="627"/>
    </row>
    <row r="620" spans="1:14" s="27" customFormat="1" ht="17.25" customHeight="1">
      <c r="A620" s="1611" t="str">
        <f>A603</f>
        <v>LƯƠNG THÁNG 08/2025</v>
      </c>
      <c r="B620" s="1612"/>
      <c r="C620" s="1612"/>
      <c r="D620" s="1612"/>
      <c r="E620" s="1014">
        <v>73</v>
      </c>
      <c r="F620" s="1052"/>
      <c r="G620" s="1611" t="str">
        <f>A620</f>
        <v>LƯƠNG THÁNG 08/2025</v>
      </c>
      <c r="H620" s="1612"/>
      <c r="I620" s="1612"/>
      <c r="J620" s="1613"/>
      <c r="K620" s="1014">
        <v>74</v>
      </c>
      <c r="L620" s="626"/>
      <c r="M620" s="607"/>
      <c r="N620" s="627"/>
    </row>
    <row r="621" spans="1:14" s="27" customFormat="1" ht="17.25" customHeight="1">
      <c r="A621" s="1044" t="s">
        <v>13</v>
      </c>
      <c r="B621" s="1016" t="str">
        <f>'CNKT '!D88</f>
        <v>T. Ne</v>
      </c>
      <c r="C621" s="1017"/>
      <c r="D621" s="1018" t="s">
        <v>376</v>
      </c>
      <c r="E621" s="1018" t="s">
        <v>16</v>
      </c>
      <c r="F621" s="1052"/>
      <c r="G621" s="1044" t="s">
        <v>13</v>
      </c>
      <c r="H621" s="1016" t="str">
        <f>'CNKT '!D89</f>
        <v>T. Tý</v>
      </c>
      <c r="I621" s="1017"/>
      <c r="J621" s="1018" t="s">
        <v>376</v>
      </c>
      <c r="K621" s="1018" t="s">
        <v>16</v>
      </c>
      <c r="L621" s="626"/>
      <c r="M621" s="607"/>
      <c r="N621" s="627"/>
    </row>
    <row r="622" spans="1:14" s="27" customFormat="1" ht="17.25" customHeight="1">
      <c r="A622" s="1020" t="s">
        <v>377</v>
      </c>
      <c r="B622" s="1021" t="s">
        <v>493</v>
      </c>
      <c r="C622" s="1022" t="str">
        <f>VLOOKUP(B621,'BTH mủ tạp'!$D$17:$AN$94,37,0)</f>
        <v>A</v>
      </c>
      <c r="D622" s="1023"/>
      <c r="E622" s="1023"/>
      <c r="F622" s="1052"/>
      <c r="G622" s="1020" t="s">
        <v>377</v>
      </c>
      <c r="H622" s="1021" t="s">
        <v>493</v>
      </c>
      <c r="I622" s="1022" t="str">
        <f>VLOOKUP(H621,'BTH mủ tạp'!$D$17:$AN$94,37,0)</f>
        <v>C.</v>
      </c>
      <c r="J622" s="1023"/>
      <c r="K622" s="1023"/>
      <c r="L622" s="626"/>
      <c r="M622" s="607"/>
      <c r="N622" s="627"/>
    </row>
    <row r="623" spans="1:14" s="27" customFormat="1" ht="17.25" customHeight="1">
      <c r="A623" s="1020" t="s">
        <v>72</v>
      </c>
      <c r="B623" s="1024" t="s">
        <v>406</v>
      </c>
      <c r="C623" s="621">
        <f>VLOOKUP(B621,'CNKT '!$D$16:$AA$96,3,0)</f>
        <v>0</v>
      </c>
      <c r="D623" s="622">
        <v>25000</v>
      </c>
      <c r="E623" s="1023">
        <f>C623*D623</f>
        <v>0</v>
      </c>
      <c r="F623" s="1052"/>
      <c r="G623" s="1020" t="s">
        <v>72</v>
      </c>
      <c r="H623" s="1024" t="s">
        <v>406</v>
      </c>
      <c r="I623" s="621">
        <f>VLOOKUP(H621,'CNKT '!$D$16:$AA$96,3,0)</f>
        <v>0</v>
      </c>
      <c r="J623" s="622">
        <v>25000</v>
      </c>
      <c r="K623" s="1023">
        <f>I623*J623</f>
        <v>0</v>
      </c>
      <c r="L623" s="626"/>
      <c r="M623" s="607"/>
      <c r="N623" s="627"/>
    </row>
    <row r="624" spans="1:14" s="27" customFormat="1" ht="17.25" customHeight="1">
      <c r="A624" s="1020" t="s">
        <v>292</v>
      </c>
      <c r="B624" s="1025" t="s">
        <v>494</v>
      </c>
      <c r="C624" s="1026">
        <f>VLOOKUP(B621,'CNKT '!$D$16:$AA$96,11,0)</f>
        <v>26</v>
      </c>
      <c r="D624" s="623">
        <f>46.1*$B$2</f>
        <v>30922.036</v>
      </c>
      <c r="E624" s="1023">
        <f>C624*D624</f>
        <v>803972.93599999999</v>
      </c>
      <c r="F624" s="1052"/>
      <c r="G624" s="1020" t="s">
        <v>292</v>
      </c>
      <c r="H624" s="1025" t="s">
        <v>494</v>
      </c>
      <c r="I624" s="1026">
        <f>VLOOKUP(H621,'CNKT '!$D$16:$AA$96,11,0)</f>
        <v>7</v>
      </c>
      <c r="J624" s="623">
        <f>46.1*$B$2</f>
        <v>30922.036</v>
      </c>
      <c r="K624" s="1023">
        <f>I624*J624</f>
        <v>216454.25200000001</v>
      </c>
      <c r="L624" s="626"/>
      <c r="M624" s="607"/>
      <c r="N624" s="627"/>
    </row>
    <row r="625" spans="1:14" s="27" customFormat="1" ht="17.25" customHeight="1">
      <c r="A625" s="1020" t="s">
        <v>379</v>
      </c>
      <c r="B625" s="1025" t="s">
        <v>495</v>
      </c>
      <c r="C625" s="1026">
        <f>VLOOKUP(B621,'CNKT '!$D$16:$AA$96,12,0)</f>
        <v>2</v>
      </c>
      <c r="D625" s="622">
        <f>76.9*$B$2</f>
        <v>51581.444000000003</v>
      </c>
      <c r="E625" s="1023">
        <f t="shared" ref="E625:E626" si="143">C625*D625</f>
        <v>103162.88800000001</v>
      </c>
      <c r="F625" s="1052"/>
      <c r="G625" s="1020" t="s">
        <v>379</v>
      </c>
      <c r="H625" s="1025" t="s">
        <v>495</v>
      </c>
      <c r="I625" s="1026">
        <f>VLOOKUP(H621,'CNKT '!$D$16:$AA$96,12,0)</f>
        <v>0</v>
      </c>
      <c r="J625" s="622">
        <f>76.9*$B$2</f>
        <v>51581.444000000003</v>
      </c>
      <c r="K625" s="1023">
        <f t="shared" ref="K625:K626" si="144">I625*J625</f>
        <v>0</v>
      </c>
      <c r="L625" s="626"/>
      <c r="M625" s="607"/>
      <c r="N625" s="627"/>
    </row>
    <row r="626" spans="1:14" s="27" customFormat="1" ht="17.25" customHeight="1">
      <c r="A626" s="1020" t="s">
        <v>73</v>
      </c>
      <c r="B626" s="1025" t="s">
        <v>496</v>
      </c>
      <c r="C626" s="1026">
        <f>VLOOKUP(B621,'CNKT '!$D$16:$AA$96,8,0)</f>
        <v>1119.5308762612672</v>
      </c>
      <c r="D626" s="622">
        <f>IF(C622="A",6.1,IF(C622="B",5.8,IF(C622="C",5.5,IF(C622="C.",5.5,IF(C622="D",5.2)))))*$B$2</f>
        <v>4091.6359999999995</v>
      </c>
      <c r="E626" s="1023">
        <f t="shared" si="143"/>
        <v>4580712.8364221454</v>
      </c>
      <c r="F626" s="1052"/>
      <c r="G626" s="1020" t="s">
        <v>73</v>
      </c>
      <c r="H626" s="1025" t="s">
        <v>496</v>
      </c>
      <c r="I626" s="1026">
        <f>VLOOKUP(H621,'CNKT '!$D$16:$AA$96,8,0)</f>
        <v>58.518019857990687</v>
      </c>
      <c r="J626" s="622">
        <f>IF(I622="A",6.1,IF(I622="B",5.8,IF(I622="C",5.5,IF(I622="C.",5.5,IF(I622="D",5.2)))))*$B$2</f>
        <v>3689.18</v>
      </c>
      <c r="K626" s="1023">
        <f t="shared" si="144"/>
        <v>215883.50849970206</v>
      </c>
      <c r="L626" s="626"/>
      <c r="M626" s="607"/>
      <c r="N626" s="627"/>
    </row>
    <row r="627" spans="1:14" s="27" customFormat="1" ht="17.25" customHeight="1">
      <c r="A627" s="1089" t="s">
        <v>462</v>
      </c>
      <c r="B627" s="1090" t="s">
        <v>497</v>
      </c>
      <c r="C627" s="1091">
        <f>VLOOKUP(B621,'CNKT '!$D$16:$AA$96,13,0)</f>
        <v>0</v>
      </c>
      <c r="D627" s="1092">
        <v>100000</v>
      </c>
      <c r="E627" s="1093">
        <f>C627*D627</f>
        <v>0</v>
      </c>
      <c r="F627" s="1052"/>
      <c r="G627" s="1089" t="s">
        <v>462</v>
      </c>
      <c r="H627" s="1090" t="s">
        <v>497</v>
      </c>
      <c r="I627" s="1091">
        <f>VLOOKUP(H621,'CNKT '!$D$16:$AA$96,13,0)</f>
        <v>0</v>
      </c>
      <c r="J627" s="1092">
        <v>100000</v>
      </c>
      <c r="K627" s="1093">
        <f>I627*J627</f>
        <v>0</v>
      </c>
      <c r="L627" s="626"/>
      <c r="M627" s="607"/>
      <c r="N627" s="627"/>
    </row>
    <row r="628" spans="1:14" s="27" customFormat="1" ht="17.25" customHeight="1">
      <c r="A628" s="1020" t="s">
        <v>463</v>
      </c>
      <c r="B628" s="1025" t="s">
        <v>467</v>
      </c>
      <c r="C628" s="1026">
        <f>VLOOKUP(B621,'CNKT '!$D$16:$AA$96,16,0)</f>
        <v>0</v>
      </c>
      <c r="D628" s="622">
        <f>153.8*$B$2</f>
        <v>103162.88800000001</v>
      </c>
      <c r="E628" s="1023">
        <f t="shared" ref="E628" si="145">C628*D628</f>
        <v>0</v>
      </c>
      <c r="F628" s="1052"/>
      <c r="G628" s="1020" t="s">
        <v>463</v>
      </c>
      <c r="H628" s="1025" t="s">
        <v>467</v>
      </c>
      <c r="I628" s="1026">
        <f>VLOOKUP(H621,'CNKT '!$D$16:$AA$96,16,0)</f>
        <v>0</v>
      </c>
      <c r="J628" s="622">
        <f>153.8*$B$2</f>
        <v>103162.88800000001</v>
      </c>
      <c r="K628" s="1023">
        <f t="shared" ref="K628" si="146">I628*J628</f>
        <v>0</v>
      </c>
      <c r="L628" s="626"/>
      <c r="M628" s="607"/>
      <c r="N628" s="627"/>
    </row>
    <row r="629" spans="1:14" s="27" customFormat="1" ht="17.25" customHeight="1">
      <c r="A629" s="1020" t="s">
        <v>425</v>
      </c>
      <c r="B629" s="1025" t="s">
        <v>468</v>
      </c>
      <c r="C629" s="1026">
        <f>VLOOKUP(B621,'CNKT '!$D$16:$AA$96,18,0)</f>
        <v>2</v>
      </c>
      <c r="D629" s="622">
        <v>10000</v>
      </c>
      <c r="E629" s="1023">
        <f>C629*D629</f>
        <v>20000</v>
      </c>
      <c r="F629" s="1052"/>
      <c r="G629" s="1020" t="s">
        <v>425</v>
      </c>
      <c r="H629" s="1025" t="s">
        <v>468</v>
      </c>
      <c r="I629" s="1026">
        <f>VLOOKUP(H621,'CNKT '!$D$16:$AA$96,18,0)</f>
        <v>0</v>
      </c>
      <c r="J629" s="622">
        <v>10000</v>
      </c>
      <c r="K629" s="1023">
        <f>I629*J629</f>
        <v>0</v>
      </c>
      <c r="L629" s="626"/>
      <c r="M629" s="607"/>
      <c r="N629" s="627"/>
    </row>
    <row r="630" spans="1:14" s="27" customFormat="1" ht="17.25" customHeight="1">
      <c r="A630" s="1020" t="s">
        <v>425</v>
      </c>
      <c r="B630" s="1025" t="s">
        <v>468</v>
      </c>
      <c r="C630" s="1026">
        <f>VLOOKUP(B621,'CNKT '!$D$16:$AA$96,19,0)</f>
        <v>0</v>
      </c>
      <c r="D630" s="622">
        <v>20000</v>
      </c>
      <c r="E630" s="1023">
        <f>C630*D630</f>
        <v>0</v>
      </c>
      <c r="F630" s="1052"/>
      <c r="G630" s="1020" t="s">
        <v>425</v>
      </c>
      <c r="H630" s="1025" t="s">
        <v>468</v>
      </c>
      <c r="I630" s="1026">
        <f>VLOOKUP(H621,'CNKT '!$D$16:$AA$96,19,0)</f>
        <v>0</v>
      </c>
      <c r="J630" s="622">
        <v>20000</v>
      </c>
      <c r="K630" s="1023">
        <f>I630*J630</f>
        <v>0</v>
      </c>
      <c r="L630" s="626"/>
      <c r="M630" s="607"/>
      <c r="N630" s="627"/>
    </row>
    <row r="631" spans="1:14" s="27" customFormat="1" ht="17.25" customHeight="1">
      <c r="A631" s="1020" t="s">
        <v>780</v>
      </c>
      <c r="B631" s="1027" t="s">
        <v>781</v>
      </c>
      <c r="C631" s="1026"/>
      <c r="D631" s="622"/>
      <c r="E631" s="1023">
        <f>VLOOKUP(B621,'CNKT '!$D$16:$AE$99,28,0)</f>
        <v>0</v>
      </c>
      <c r="F631" s="1052"/>
      <c r="G631" s="1020" t="s">
        <v>780</v>
      </c>
      <c r="H631" s="1027" t="s">
        <v>781</v>
      </c>
      <c r="I631" s="1026"/>
      <c r="J631" s="622"/>
      <c r="K631" s="1023">
        <f>VLOOKUP(H621,'CNKT '!$D$16:$AE$99,28,0)</f>
        <v>0</v>
      </c>
      <c r="L631" s="626"/>
      <c r="M631" s="607"/>
      <c r="N631" s="627"/>
    </row>
    <row r="632" spans="1:14" s="27" customFormat="1" ht="17.25" customHeight="1">
      <c r="A632" s="1028" t="s">
        <v>74</v>
      </c>
      <c r="B632" s="1029" t="s">
        <v>498</v>
      </c>
      <c r="C632" s="1030"/>
      <c r="D632" s="1031"/>
      <c r="E632" s="1030"/>
      <c r="F632" s="1052"/>
      <c r="G632" s="1028" t="s">
        <v>74</v>
      </c>
      <c r="H632" s="1029" t="s">
        <v>498</v>
      </c>
      <c r="I632" s="1030"/>
      <c r="J632" s="1031"/>
      <c r="K632" s="1030"/>
      <c r="L632" s="626"/>
      <c r="M632" s="607"/>
      <c r="N632" s="627"/>
    </row>
    <row r="633" spans="1:14" s="27" customFormat="1" ht="17.25" customHeight="1">
      <c r="A633" s="1032" t="s">
        <v>75</v>
      </c>
      <c r="B633" s="1033" t="s">
        <v>499</v>
      </c>
      <c r="C633" s="1030"/>
      <c r="D633" s="1030"/>
      <c r="E633" s="1030"/>
      <c r="F633" s="1052"/>
      <c r="G633" s="1032" t="s">
        <v>75</v>
      </c>
      <c r="H633" s="1033" t="s">
        <v>499</v>
      </c>
      <c r="I633" s="1030"/>
      <c r="J633" s="1030"/>
      <c r="K633" s="1030"/>
      <c r="L633" s="626"/>
      <c r="M633" s="607"/>
      <c r="N633" s="627"/>
    </row>
    <row r="634" spans="1:14" s="27" customFormat="1" ht="17.25" customHeight="1">
      <c r="A634" s="1032" t="s">
        <v>76</v>
      </c>
      <c r="B634" s="1034" t="s">
        <v>500</v>
      </c>
      <c r="C634" s="1030"/>
      <c r="D634" s="1030"/>
      <c r="E634" s="1023">
        <f>SUM(E633)</f>
        <v>0</v>
      </c>
      <c r="F634" s="1052"/>
      <c r="G634" s="1032" t="s">
        <v>76</v>
      </c>
      <c r="H634" s="1034" t="s">
        <v>500</v>
      </c>
      <c r="I634" s="1030"/>
      <c r="J634" s="1030"/>
      <c r="K634" s="1023">
        <f>SUM(K633)</f>
        <v>0</v>
      </c>
      <c r="L634" s="626"/>
      <c r="M634" s="1035">
        <f>E634+K634</f>
        <v>0</v>
      </c>
      <c r="N634" s="627"/>
    </row>
    <row r="635" spans="1:14" s="27" customFormat="1" ht="17.25" customHeight="1">
      <c r="A635" s="1036" t="s">
        <v>77</v>
      </c>
      <c r="B635" s="1037" t="s">
        <v>412</v>
      </c>
      <c r="C635" s="1038"/>
      <c r="D635" s="1038"/>
      <c r="E635" s="1038">
        <f>(E623+E624+E625+E626+E627+E628+E629+E630+E631)-E634</f>
        <v>5507848.6604221454</v>
      </c>
      <c r="F635" s="1052"/>
      <c r="G635" s="1036" t="s">
        <v>77</v>
      </c>
      <c r="H635" s="1037" t="s">
        <v>412</v>
      </c>
      <c r="I635" s="1038"/>
      <c r="J635" s="1038"/>
      <c r="K635" s="1038">
        <f>(K623+K624+K625+K626+K627+K628+K629+K630+K631)-K634</f>
        <v>432337.76049970207</v>
      </c>
      <c r="L635" s="1040">
        <f>E635+K635</f>
        <v>5940186.4209218472</v>
      </c>
      <c r="M635" s="607"/>
      <c r="N635" s="627"/>
    </row>
    <row r="636" spans="1:14" s="27" customFormat="1" ht="17.25" customHeight="1">
      <c r="A636" s="1045"/>
      <c r="B636" s="1050"/>
      <c r="C636" s="1051"/>
      <c r="D636" s="1051"/>
      <c r="E636" s="1049"/>
      <c r="F636" s="1052"/>
      <c r="G636" s="1045"/>
      <c r="H636" s="1050"/>
      <c r="I636" s="1051"/>
      <c r="J636" s="1049"/>
      <c r="K636" s="1052"/>
      <c r="L636" s="626"/>
      <c r="M636" s="607"/>
      <c r="N636" s="627"/>
    </row>
    <row r="637" spans="1:14" s="27" customFormat="1" ht="187.5" customHeight="1">
      <c r="A637" s="1045"/>
      <c r="B637" s="1050"/>
      <c r="C637" s="1051"/>
      <c r="D637" s="1051"/>
      <c r="E637" s="1049"/>
      <c r="F637" s="1052"/>
      <c r="G637" s="1045"/>
      <c r="H637" s="1050"/>
      <c r="I637" s="1051"/>
      <c r="J637" s="1049"/>
      <c r="K637" s="1052"/>
      <c r="L637" s="626"/>
      <c r="M637" s="607"/>
      <c r="N637" s="627"/>
    </row>
    <row r="638" spans="1:14" s="27" customFormat="1" ht="17.25" customHeight="1">
      <c r="A638" s="1611" t="str">
        <f>A620</f>
        <v>LƯƠNG THÁNG 08/2025</v>
      </c>
      <c r="B638" s="1612"/>
      <c r="C638" s="1612"/>
      <c r="D638" s="1612"/>
      <c r="E638" s="1014">
        <v>75</v>
      </c>
      <c r="F638" s="1052"/>
      <c r="G638" s="1611" t="str">
        <f>A638</f>
        <v>LƯƠNG THÁNG 08/2025</v>
      </c>
      <c r="H638" s="1612"/>
      <c r="I638" s="1612"/>
      <c r="J638" s="1613"/>
      <c r="K638" s="1014">
        <v>76</v>
      </c>
      <c r="L638" s="626"/>
      <c r="M638" s="607"/>
      <c r="N638" s="627"/>
    </row>
    <row r="639" spans="1:14" s="27" customFormat="1" ht="17.25" customHeight="1">
      <c r="A639" s="1044" t="s">
        <v>13</v>
      </c>
      <c r="B639" s="1016" t="str">
        <f>'CNKT '!D90</f>
        <v>T. Lã</v>
      </c>
      <c r="C639" s="1017"/>
      <c r="D639" s="1018" t="s">
        <v>376</v>
      </c>
      <c r="E639" s="1018" t="s">
        <v>16</v>
      </c>
      <c r="F639" s="1052"/>
      <c r="G639" s="1044" t="s">
        <v>13</v>
      </c>
      <c r="H639" s="1016" t="str">
        <f>'CNKT '!D91</f>
        <v>N. Veo</v>
      </c>
      <c r="I639" s="1017"/>
      <c r="J639" s="1018" t="s">
        <v>376</v>
      </c>
      <c r="K639" s="1018" t="s">
        <v>16</v>
      </c>
      <c r="L639" s="626"/>
      <c r="M639" s="607"/>
      <c r="N639" s="627"/>
    </row>
    <row r="640" spans="1:14" s="27" customFormat="1" ht="17.25" customHeight="1">
      <c r="A640" s="1020" t="s">
        <v>377</v>
      </c>
      <c r="B640" s="1021" t="s">
        <v>493</v>
      </c>
      <c r="C640" s="1022" t="str">
        <f>VLOOKUP(B639,'BTH mủ tạp'!$D$17:$AN$94,37,0)</f>
        <v>C.</v>
      </c>
      <c r="D640" s="1023"/>
      <c r="E640" s="1023"/>
      <c r="F640" s="1052"/>
      <c r="G640" s="1020" t="s">
        <v>377</v>
      </c>
      <c r="H640" s="1021" t="s">
        <v>493</v>
      </c>
      <c r="I640" s="1022" t="str">
        <f>VLOOKUP(H639,'BTH mủ tạp'!$D$17:$AN$94,37,0)</f>
        <v>C.</v>
      </c>
      <c r="J640" s="1023"/>
      <c r="K640" s="1023"/>
      <c r="L640" s="626"/>
      <c r="M640" s="607"/>
      <c r="N640" s="627"/>
    </row>
    <row r="641" spans="1:14" s="27" customFormat="1" ht="17.25" customHeight="1">
      <c r="A641" s="1020" t="s">
        <v>72</v>
      </c>
      <c r="B641" s="1024" t="s">
        <v>406</v>
      </c>
      <c r="C641" s="621">
        <f>VLOOKUP(B639,'CNKT '!$D$16:$AA$96,3,0)</f>
        <v>0</v>
      </c>
      <c r="D641" s="622">
        <v>25000</v>
      </c>
      <c r="E641" s="1023">
        <f>C641*D641</f>
        <v>0</v>
      </c>
      <c r="F641" s="1052"/>
      <c r="G641" s="1020" t="s">
        <v>72</v>
      </c>
      <c r="H641" s="1024" t="s">
        <v>406</v>
      </c>
      <c r="I641" s="621">
        <f>VLOOKUP(H639,'CNKT '!$D$16:$AA$96,3,0)</f>
        <v>0</v>
      </c>
      <c r="J641" s="622">
        <v>25000</v>
      </c>
      <c r="K641" s="1023">
        <f>I641*J641</f>
        <v>0</v>
      </c>
      <c r="L641" s="626"/>
      <c r="M641" s="607"/>
      <c r="N641" s="627"/>
    </row>
    <row r="642" spans="1:14" s="27" customFormat="1" ht="17.25" customHeight="1">
      <c r="A642" s="1020" t="s">
        <v>292</v>
      </c>
      <c r="B642" s="1025" t="s">
        <v>494</v>
      </c>
      <c r="C642" s="1026">
        <f>VLOOKUP(B639,'CNKT '!$D$16:$AA$96,11,0)</f>
        <v>3</v>
      </c>
      <c r="D642" s="623">
        <f>46.1*$B$2</f>
        <v>30922.036</v>
      </c>
      <c r="E642" s="1023">
        <f>C642*D642</f>
        <v>92766.108000000007</v>
      </c>
      <c r="F642" s="1052"/>
      <c r="G642" s="1020" t="s">
        <v>292</v>
      </c>
      <c r="H642" s="1025" t="s">
        <v>494</v>
      </c>
      <c r="I642" s="1026">
        <f>VLOOKUP(H639,'CNKT '!$D$16:$AA$96,11,0)</f>
        <v>2</v>
      </c>
      <c r="J642" s="623">
        <f>46.1*$B$2</f>
        <v>30922.036</v>
      </c>
      <c r="K642" s="1023">
        <f>I642*J642</f>
        <v>61844.072</v>
      </c>
      <c r="L642" s="626"/>
      <c r="M642" s="607"/>
      <c r="N642" s="627"/>
    </row>
    <row r="643" spans="1:14" s="27" customFormat="1" ht="17.25" customHeight="1">
      <c r="A643" s="1020" t="s">
        <v>379</v>
      </c>
      <c r="B643" s="1025" t="s">
        <v>495</v>
      </c>
      <c r="C643" s="1026">
        <f>VLOOKUP(B639,'CNKT '!$D$16:$AA$96,12,0)</f>
        <v>0</v>
      </c>
      <c r="D643" s="622">
        <f>76.9*$B$2</f>
        <v>51581.444000000003</v>
      </c>
      <c r="E643" s="1023">
        <f t="shared" ref="E643:E644" si="147">C643*D643</f>
        <v>0</v>
      </c>
      <c r="F643" s="1052"/>
      <c r="G643" s="1020" t="s">
        <v>379</v>
      </c>
      <c r="H643" s="1025" t="s">
        <v>495</v>
      </c>
      <c r="I643" s="1026">
        <f>VLOOKUP(H639,'CNKT '!$D$16:$AA$96,12,0)</f>
        <v>0</v>
      </c>
      <c r="J643" s="622">
        <f>76.9*$B$2</f>
        <v>51581.444000000003</v>
      </c>
      <c r="K643" s="1023">
        <f t="shared" ref="K643:K644" si="148">I643*J643</f>
        <v>0</v>
      </c>
      <c r="L643" s="626"/>
      <c r="M643" s="607"/>
      <c r="N643" s="627"/>
    </row>
    <row r="644" spans="1:14" s="27" customFormat="1" ht="17.25" customHeight="1">
      <c r="A644" s="1020" t="s">
        <v>73</v>
      </c>
      <c r="B644" s="1025" t="s">
        <v>496</v>
      </c>
      <c r="C644" s="1026">
        <f>VLOOKUP(B639,'CNKT '!$D$16:$AA$96,8,0)</f>
        <v>115.32748439166048</v>
      </c>
      <c r="D644" s="622">
        <f>IF(C640="A",6.1,IF(C640="B",5.8,IF(C640="C",5.5,IF(C640="C.",5.5,IF(C640="D",5.2)))))*$B$2</f>
        <v>3689.18</v>
      </c>
      <c r="E644" s="1023">
        <f t="shared" si="147"/>
        <v>425463.84886802599</v>
      </c>
      <c r="F644" s="1052"/>
      <c r="G644" s="1020" t="s">
        <v>73</v>
      </c>
      <c r="H644" s="1025" t="s">
        <v>496</v>
      </c>
      <c r="I644" s="1026">
        <f>VLOOKUP(H639,'CNKT '!$D$16:$AA$96,8,0)</f>
        <v>56.809464533669789</v>
      </c>
      <c r="J644" s="622">
        <f>IF(I640="A",6.1,IF(I640="B",5.8,IF(I640="C",5.5,IF(I640="C.",5.5,IF(I640="D",5.2)))))*$B$2</f>
        <v>3689.18</v>
      </c>
      <c r="K644" s="1023">
        <f t="shared" si="148"/>
        <v>209580.3403683239</v>
      </c>
      <c r="L644" s="626"/>
      <c r="M644" s="607"/>
      <c r="N644" s="627"/>
    </row>
    <row r="645" spans="1:14" s="27" customFormat="1" ht="17.25" customHeight="1">
      <c r="A645" s="1089" t="s">
        <v>462</v>
      </c>
      <c r="B645" s="1090" t="s">
        <v>497</v>
      </c>
      <c r="C645" s="1091">
        <f>VLOOKUP(B639,'CNKT '!$D$16:$AA$96,13,0)</f>
        <v>0</v>
      </c>
      <c r="D645" s="1092">
        <v>100000</v>
      </c>
      <c r="E645" s="1093">
        <f>C645*D645</f>
        <v>0</v>
      </c>
      <c r="F645" s="1052"/>
      <c r="G645" s="1089" t="s">
        <v>462</v>
      </c>
      <c r="H645" s="1090" t="s">
        <v>497</v>
      </c>
      <c r="I645" s="1091">
        <f>VLOOKUP(H639,'CNKT '!$D$16:$AA$96,13,0)</f>
        <v>0</v>
      </c>
      <c r="J645" s="1092">
        <v>100000</v>
      </c>
      <c r="K645" s="1093">
        <f>I645*J645</f>
        <v>0</v>
      </c>
      <c r="L645" s="626"/>
      <c r="M645" s="607"/>
      <c r="N645" s="627"/>
    </row>
    <row r="646" spans="1:14" s="27" customFormat="1" ht="17.25" customHeight="1">
      <c r="A646" s="1020" t="s">
        <v>463</v>
      </c>
      <c r="B646" s="1025" t="s">
        <v>467</v>
      </c>
      <c r="C646" s="1026">
        <f>VLOOKUP(B639,'CNKT '!$D$16:$AA$96,16,0)</f>
        <v>0</v>
      </c>
      <c r="D646" s="622">
        <f>153.8*$B$2</f>
        <v>103162.88800000001</v>
      </c>
      <c r="E646" s="1023">
        <f t="shared" ref="E646" si="149">C646*D646</f>
        <v>0</v>
      </c>
      <c r="F646" s="1052"/>
      <c r="G646" s="1020" t="s">
        <v>463</v>
      </c>
      <c r="H646" s="1025" t="s">
        <v>467</v>
      </c>
      <c r="I646" s="1026">
        <f>VLOOKUP(H639,'CNKT '!$D$16:$AA$96,16,0)</f>
        <v>0</v>
      </c>
      <c r="J646" s="622">
        <f>153.8*$B$2</f>
        <v>103162.88800000001</v>
      </c>
      <c r="K646" s="1023">
        <f t="shared" ref="K646" si="150">I646*J646</f>
        <v>0</v>
      </c>
      <c r="L646" s="626"/>
      <c r="M646" s="607"/>
      <c r="N646" s="627"/>
    </row>
    <row r="647" spans="1:14" s="27" customFormat="1" ht="17.25" customHeight="1">
      <c r="A647" s="1020" t="s">
        <v>425</v>
      </c>
      <c r="B647" s="1025" t="s">
        <v>468</v>
      </c>
      <c r="C647" s="1026">
        <f>VLOOKUP(B639,'CNKT '!$D$16:$AA$96,18,0)</f>
        <v>0</v>
      </c>
      <c r="D647" s="622">
        <v>10000</v>
      </c>
      <c r="E647" s="1023">
        <f>C647*D647</f>
        <v>0</v>
      </c>
      <c r="F647" s="1052"/>
      <c r="G647" s="1020" t="s">
        <v>425</v>
      </c>
      <c r="H647" s="1025" t="s">
        <v>468</v>
      </c>
      <c r="I647" s="1026">
        <f>VLOOKUP(H639,'CNKT '!$D$16:$AA$96,18,0)</f>
        <v>0</v>
      </c>
      <c r="J647" s="622">
        <v>10000</v>
      </c>
      <c r="K647" s="1023">
        <f>I647*J647</f>
        <v>0</v>
      </c>
      <c r="L647" s="626"/>
      <c r="M647" s="607"/>
      <c r="N647" s="627"/>
    </row>
    <row r="648" spans="1:14" s="27" customFormat="1" ht="17.25" customHeight="1">
      <c r="A648" s="1020" t="s">
        <v>425</v>
      </c>
      <c r="B648" s="1025" t="s">
        <v>468</v>
      </c>
      <c r="C648" s="1026">
        <f>VLOOKUP(B639,'CNKT '!$D$16:$AA$96,19,0)</f>
        <v>0</v>
      </c>
      <c r="D648" s="622">
        <v>20000</v>
      </c>
      <c r="E648" s="1023">
        <f>C648*D648</f>
        <v>0</v>
      </c>
      <c r="F648" s="1052"/>
      <c r="G648" s="1020" t="s">
        <v>425</v>
      </c>
      <c r="H648" s="1025" t="s">
        <v>468</v>
      </c>
      <c r="I648" s="1026">
        <f>VLOOKUP(H639,'CNKT '!$D$16:$AA$96,19,0)</f>
        <v>0</v>
      </c>
      <c r="J648" s="622">
        <v>20000</v>
      </c>
      <c r="K648" s="1023">
        <f>I648*J648</f>
        <v>0</v>
      </c>
      <c r="L648" s="626"/>
      <c r="M648" s="607"/>
      <c r="N648" s="627"/>
    </row>
    <row r="649" spans="1:14" s="27" customFormat="1" ht="17.25" customHeight="1">
      <c r="A649" s="1020" t="s">
        <v>780</v>
      </c>
      <c r="B649" s="1027" t="s">
        <v>781</v>
      </c>
      <c r="C649" s="1026"/>
      <c r="D649" s="622"/>
      <c r="E649" s="1023">
        <f>VLOOKUP(B639,'CNKT '!$D$16:$AE$99,28,0)</f>
        <v>0</v>
      </c>
      <c r="F649" s="1052"/>
      <c r="G649" s="1020" t="s">
        <v>780</v>
      </c>
      <c r="H649" s="1027" t="s">
        <v>781</v>
      </c>
      <c r="I649" s="1026"/>
      <c r="J649" s="622"/>
      <c r="K649" s="1023">
        <f>VLOOKUP(H639,'CNKT '!$D$16:$AE$99,28,0)</f>
        <v>0</v>
      </c>
      <c r="L649" s="626"/>
      <c r="M649" s="607"/>
      <c r="N649" s="627"/>
    </row>
    <row r="650" spans="1:14" s="27" customFormat="1" ht="17.25" customHeight="1">
      <c r="A650" s="1028" t="s">
        <v>74</v>
      </c>
      <c r="B650" s="1029" t="s">
        <v>498</v>
      </c>
      <c r="C650" s="1030"/>
      <c r="D650" s="1031"/>
      <c r="E650" s="1030"/>
      <c r="F650" s="1052"/>
      <c r="G650" s="1028" t="s">
        <v>74</v>
      </c>
      <c r="H650" s="1029" t="s">
        <v>498</v>
      </c>
      <c r="I650" s="1030"/>
      <c r="J650" s="1031"/>
      <c r="K650" s="1030"/>
      <c r="L650" s="626"/>
      <c r="M650" s="607"/>
      <c r="N650" s="627"/>
    </row>
    <row r="651" spans="1:14" s="27" customFormat="1" ht="17.25" customHeight="1">
      <c r="A651" s="1032" t="s">
        <v>75</v>
      </c>
      <c r="B651" s="1033" t="s">
        <v>499</v>
      </c>
      <c r="C651" s="1030"/>
      <c r="D651" s="1030"/>
      <c r="E651" s="1030"/>
      <c r="F651" s="1052"/>
      <c r="G651" s="1032" t="s">
        <v>75</v>
      </c>
      <c r="H651" s="1033" t="s">
        <v>499</v>
      </c>
      <c r="I651" s="1030"/>
      <c r="J651" s="1030"/>
      <c r="K651" s="1030"/>
      <c r="L651" s="1040">
        <f>E651+K651</f>
        <v>0</v>
      </c>
      <c r="M651" s="607"/>
      <c r="N651" s="627"/>
    </row>
    <row r="652" spans="1:14" s="27" customFormat="1" ht="17.25" customHeight="1">
      <c r="A652" s="1032" t="s">
        <v>76</v>
      </c>
      <c r="B652" s="1034" t="s">
        <v>500</v>
      </c>
      <c r="C652" s="1030"/>
      <c r="D652" s="1030"/>
      <c r="E652" s="1023">
        <f>SUM(E651)</f>
        <v>0</v>
      </c>
      <c r="F652" s="1052"/>
      <c r="G652" s="1032" t="s">
        <v>76</v>
      </c>
      <c r="H652" s="1034" t="s">
        <v>500</v>
      </c>
      <c r="I652" s="1030"/>
      <c r="J652" s="1030"/>
      <c r="K652" s="1023">
        <f>SUM(K651)</f>
        <v>0</v>
      </c>
      <c r="L652" s="626"/>
      <c r="M652" s="1035">
        <f>E652+K652</f>
        <v>0</v>
      </c>
      <c r="N652" s="627"/>
    </row>
    <row r="653" spans="1:14" s="27" customFormat="1" ht="17.25" customHeight="1">
      <c r="A653" s="1036" t="s">
        <v>77</v>
      </c>
      <c r="B653" s="1037" t="s">
        <v>412</v>
      </c>
      <c r="C653" s="1038"/>
      <c r="D653" s="1038"/>
      <c r="E653" s="1038">
        <f>(E641+E642+E643+E644+E645+E646+E647+E648+E649)-E652</f>
        <v>518229.956868026</v>
      </c>
      <c r="F653" s="1052"/>
      <c r="G653" s="1036" t="s">
        <v>77</v>
      </c>
      <c r="H653" s="1037" t="s">
        <v>412</v>
      </c>
      <c r="I653" s="1038"/>
      <c r="J653" s="1038"/>
      <c r="K653" s="1038">
        <f>(K641+K642+K643+K644+K645+K646+K647+K648+K649)-K652</f>
        <v>271424.41236832389</v>
      </c>
      <c r="L653" s="1040">
        <f>E653+K653</f>
        <v>789654.36923634983</v>
      </c>
      <c r="M653" s="607"/>
      <c r="N653" s="627"/>
    </row>
    <row r="654" spans="1:14" s="27" customFormat="1" ht="17.25" customHeight="1">
      <c r="A654" s="1045"/>
      <c r="B654" s="1050"/>
      <c r="C654" s="1051"/>
      <c r="D654" s="1051"/>
      <c r="E654" s="1049"/>
      <c r="F654" s="1052"/>
      <c r="G654" s="1045"/>
      <c r="H654" s="1050"/>
      <c r="I654" s="1051"/>
      <c r="J654" s="1049"/>
      <c r="K654" s="1052"/>
      <c r="L654" s="626"/>
      <c r="M654" s="607"/>
      <c r="N654" s="627"/>
    </row>
    <row r="655" spans="1:14" s="27" customFormat="1" ht="17.25" customHeight="1">
      <c r="A655" s="1611" t="str">
        <f>A638</f>
        <v>LƯƠNG THÁNG 08/2025</v>
      </c>
      <c r="B655" s="1612"/>
      <c r="C655" s="1612"/>
      <c r="D655" s="1612"/>
      <c r="E655" s="1014">
        <v>77</v>
      </c>
      <c r="F655" s="1052"/>
      <c r="G655" s="1611" t="str">
        <f>A655</f>
        <v>LƯƠNG THÁNG 08/2025</v>
      </c>
      <c r="H655" s="1612"/>
      <c r="I655" s="1612"/>
      <c r="J655" s="1613"/>
      <c r="K655" s="1014">
        <v>78</v>
      </c>
      <c r="L655" s="626"/>
      <c r="M655" s="607"/>
      <c r="N655" s="627"/>
    </row>
    <row r="656" spans="1:14" s="27" customFormat="1" ht="17.25" customHeight="1">
      <c r="A656" s="1044" t="s">
        <v>13</v>
      </c>
      <c r="B656" s="1016" t="str">
        <f>'CNKT '!D92</f>
        <v>T. Pu</v>
      </c>
      <c r="C656" s="1017"/>
      <c r="D656" s="1018" t="s">
        <v>376</v>
      </c>
      <c r="E656" s="1018" t="s">
        <v>16</v>
      </c>
      <c r="F656" s="1052"/>
      <c r="G656" s="1044" t="s">
        <v>13</v>
      </c>
      <c r="H656" s="1016" t="str">
        <f>'CNKT '!D93</f>
        <v>T. Ta.</v>
      </c>
      <c r="I656" s="1017"/>
      <c r="J656" s="1018" t="s">
        <v>376</v>
      </c>
      <c r="K656" s="1018" t="s">
        <v>16</v>
      </c>
      <c r="L656" s="626"/>
      <c r="M656" s="607"/>
      <c r="N656" s="627"/>
    </row>
    <row r="657" spans="1:14" s="27" customFormat="1" ht="17.25" customHeight="1">
      <c r="A657" s="1020" t="s">
        <v>377</v>
      </c>
      <c r="B657" s="1021" t="s">
        <v>493</v>
      </c>
      <c r="C657" s="1022" t="str">
        <f>VLOOKUP(B656,'BTH mủ tạp'!$D$17:$AN$94,37,0)</f>
        <v>C.</v>
      </c>
      <c r="D657" s="1023"/>
      <c r="E657" s="1023"/>
      <c r="F657" s="1052"/>
      <c r="G657" s="1020" t="s">
        <v>377</v>
      </c>
      <c r="H657" s="1021" t="s">
        <v>493</v>
      </c>
      <c r="I657" s="1022" t="str">
        <f>VLOOKUP(H656,'BTH mủ tạp'!$D$17:$AN$94,37,0)</f>
        <v>C.</v>
      </c>
      <c r="J657" s="1023"/>
      <c r="K657" s="1023"/>
      <c r="L657" s="626"/>
      <c r="M657" s="607"/>
      <c r="N657" s="627"/>
    </row>
    <row r="658" spans="1:14" s="27" customFormat="1" ht="17.25" customHeight="1">
      <c r="A658" s="1020" t="s">
        <v>72</v>
      </c>
      <c r="B658" s="1024" t="s">
        <v>406</v>
      </c>
      <c r="C658" s="621">
        <f>VLOOKUP(B656,'CNKT '!$D$16:$AA$96,3,0)</f>
        <v>0</v>
      </c>
      <c r="D658" s="622">
        <v>25000</v>
      </c>
      <c r="E658" s="1023">
        <f>C658*D658</f>
        <v>0</v>
      </c>
      <c r="F658" s="1052"/>
      <c r="G658" s="1020" t="s">
        <v>72</v>
      </c>
      <c r="H658" s="1024" t="s">
        <v>406</v>
      </c>
      <c r="I658" s="621">
        <f>VLOOKUP(H656,'CNKT '!$D$16:$AA$96,3,0)</f>
        <v>0</v>
      </c>
      <c r="J658" s="622">
        <v>25000</v>
      </c>
      <c r="K658" s="1023">
        <f>I658*J658</f>
        <v>0</v>
      </c>
      <c r="L658" s="626"/>
      <c r="M658" s="607"/>
      <c r="N658" s="627"/>
    </row>
    <row r="659" spans="1:14" s="27" customFormat="1" ht="17.25" customHeight="1">
      <c r="A659" s="1020" t="s">
        <v>292</v>
      </c>
      <c r="B659" s="1025" t="s">
        <v>494</v>
      </c>
      <c r="C659" s="1026">
        <f>VLOOKUP(B656,'CNKT '!$D$16:$AA$96,11,0)</f>
        <v>2</v>
      </c>
      <c r="D659" s="623">
        <f>46.1*$B$2</f>
        <v>30922.036</v>
      </c>
      <c r="E659" s="1023">
        <f>C659*D659</f>
        <v>61844.072</v>
      </c>
      <c r="F659" s="1052"/>
      <c r="G659" s="1020" t="s">
        <v>292</v>
      </c>
      <c r="H659" s="1025" t="s">
        <v>494</v>
      </c>
      <c r="I659" s="1026">
        <f>VLOOKUP(H656,'CNKT '!$D$16:$AA$96,11,0)</f>
        <v>0</v>
      </c>
      <c r="J659" s="623">
        <f>46.1*$B$2</f>
        <v>30922.036</v>
      </c>
      <c r="K659" s="1023">
        <f>I659*J659</f>
        <v>0</v>
      </c>
      <c r="L659" s="626"/>
      <c r="M659" s="607"/>
      <c r="N659" s="627"/>
    </row>
    <row r="660" spans="1:14" s="27" customFormat="1" ht="17.25" customHeight="1">
      <c r="A660" s="1020" t="s">
        <v>379</v>
      </c>
      <c r="B660" s="1025" t="s">
        <v>495</v>
      </c>
      <c r="C660" s="1026">
        <f>VLOOKUP(B656,'CNKT '!$D$16:$AA$96,12,0)</f>
        <v>0</v>
      </c>
      <c r="D660" s="622">
        <f>76.9*$B$2</f>
        <v>51581.444000000003</v>
      </c>
      <c r="E660" s="1023">
        <f t="shared" ref="E660:E661" si="151">C660*D660</f>
        <v>0</v>
      </c>
      <c r="F660" s="1052"/>
      <c r="G660" s="1020" t="s">
        <v>379</v>
      </c>
      <c r="H660" s="1025" t="s">
        <v>495</v>
      </c>
      <c r="I660" s="1026">
        <f>VLOOKUP(H656,'CNKT '!$D$16:$AA$96,12,0)</f>
        <v>0</v>
      </c>
      <c r="J660" s="622">
        <f>76.9*$B$2</f>
        <v>51581.444000000003</v>
      </c>
      <c r="K660" s="1023">
        <f t="shared" ref="K660:K661" si="152">I660*J660</f>
        <v>0</v>
      </c>
      <c r="L660" s="626"/>
      <c r="M660" s="607"/>
      <c r="N660" s="627"/>
    </row>
    <row r="661" spans="1:14" s="27" customFormat="1" ht="17.25" customHeight="1">
      <c r="A661" s="1020" t="s">
        <v>73</v>
      </c>
      <c r="B661" s="1025" t="s">
        <v>496</v>
      </c>
      <c r="C661" s="1026">
        <f>VLOOKUP(B656,'CNKT '!$D$16:$AA$96,8,0)</f>
        <v>111.91037374301868</v>
      </c>
      <c r="D661" s="622">
        <f>IF(C657="A",6.1,IF(C657="B",5.8,IF(C657="C",5.5,IF(C657="C.",5.5,IF(C657="D",5.2)))))*$B$2</f>
        <v>3689.18</v>
      </c>
      <c r="E661" s="1023">
        <f t="shared" si="151"/>
        <v>412857.51260526961</v>
      </c>
      <c r="F661" s="1052"/>
      <c r="G661" s="1020" t="s">
        <v>73</v>
      </c>
      <c r="H661" s="1025" t="s">
        <v>496</v>
      </c>
      <c r="I661" s="1026">
        <f>VLOOKUP(H656,'CNKT '!$D$16:$AA$96,8,0)</f>
        <v>0</v>
      </c>
      <c r="J661" s="622">
        <f>IF(I657="A",6.1,IF(I657="B",5.8,IF(I657="C",5.5,IF(I657="C.",5.5,IF(I657="D",5.2)))))*$B$2</f>
        <v>3689.18</v>
      </c>
      <c r="K661" s="1023">
        <f t="shared" si="152"/>
        <v>0</v>
      </c>
      <c r="L661" s="626"/>
      <c r="M661" s="607"/>
      <c r="N661" s="627"/>
    </row>
    <row r="662" spans="1:14" s="27" customFormat="1" ht="17.25" customHeight="1">
      <c r="A662" s="1089" t="s">
        <v>462</v>
      </c>
      <c r="B662" s="1090" t="s">
        <v>497</v>
      </c>
      <c r="C662" s="1091">
        <f>VLOOKUP(B656,'CNKT '!$D$16:$AA$96,13,0)</f>
        <v>0</v>
      </c>
      <c r="D662" s="1092">
        <v>100000</v>
      </c>
      <c r="E662" s="1093">
        <f>C662*D662</f>
        <v>0</v>
      </c>
      <c r="F662" s="1052"/>
      <c r="G662" s="1089" t="s">
        <v>462</v>
      </c>
      <c r="H662" s="1090" t="s">
        <v>497</v>
      </c>
      <c r="I662" s="1091">
        <f>VLOOKUP(H656,'CNKT '!$D$16:$AA$96,13,0)</f>
        <v>0</v>
      </c>
      <c r="J662" s="1092">
        <v>100000</v>
      </c>
      <c r="K662" s="1093">
        <f>I662*J662</f>
        <v>0</v>
      </c>
      <c r="L662" s="626"/>
      <c r="M662" s="607"/>
      <c r="N662" s="627"/>
    </row>
    <row r="663" spans="1:14" s="27" customFormat="1" ht="17.25" customHeight="1">
      <c r="A663" s="1020" t="s">
        <v>463</v>
      </c>
      <c r="B663" s="1025" t="s">
        <v>467</v>
      </c>
      <c r="C663" s="1026">
        <f>VLOOKUP(B656,'CNKT '!$D$16:$AA$96,16,0)</f>
        <v>0</v>
      </c>
      <c r="D663" s="622">
        <f>153.8*$B$2</f>
        <v>103162.88800000001</v>
      </c>
      <c r="E663" s="1023">
        <f t="shared" ref="E663" si="153">C663*D663</f>
        <v>0</v>
      </c>
      <c r="F663" s="1052"/>
      <c r="G663" s="1020" t="s">
        <v>463</v>
      </c>
      <c r="H663" s="1025" t="s">
        <v>467</v>
      </c>
      <c r="I663" s="1026">
        <f>VLOOKUP(H656,'CNKT '!$D$16:$AA$96,16,0)</f>
        <v>0</v>
      </c>
      <c r="J663" s="622">
        <f>153.8*$B$2</f>
        <v>103162.88800000001</v>
      </c>
      <c r="K663" s="1023">
        <f t="shared" ref="K663" si="154">I663*J663</f>
        <v>0</v>
      </c>
      <c r="L663" s="626"/>
      <c r="M663" s="607"/>
      <c r="N663" s="627"/>
    </row>
    <row r="664" spans="1:14" s="27" customFormat="1" ht="17.25" customHeight="1">
      <c r="A664" s="1020" t="s">
        <v>425</v>
      </c>
      <c r="B664" s="1025" t="s">
        <v>468</v>
      </c>
      <c r="C664" s="1026">
        <f>VLOOKUP(B656,'CNKT '!$D$16:$AA$96,18,0)</f>
        <v>0</v>
      </c>
      <c r="D664" s="622">
        <v>10000</v>
      </c>
      <c r="E664" s="1023">
        <f>C664*D664</f>
        <v>0</v>
      </c>
      <c r="F664" s="1052"/>
      <c r="G664" s="1020" t="s">
        <v>425</v>
      </c>
      <c r="H664" s="1025" t="s">
        <v>468</v>
      </c>
      <c r="I664" s="1026">
        <f>VLOOKUP(H656,'CNKT '!$D$16:$AA$96,18,0)</f>
        <v>0</v>
      </c>
      <c r="J664" s="622">
        <v>10000</v>
      </c>
      <c r="K664" s="1023">
        <f>I664*J664</f>
        <v>0</v>
      </c>
      <c r="L664" s="626"/>
      <c r="M664" s="607"/>
      <c r="N664" s="627"/>
    </row>
    <row r="665" spans="1:14" s="27" customFormat="1" ht="17.25" customHeight="1">
      <c r="A665" s="1020" t="s">
        <v>425</v>
      </c>
      <c r="B665" s="1025" t="s">
        <v>468</v>
      </c>
      <c r="C665" s="1026">
        <f>VLOOKUP(B656,'CNKT '!$D$16:$AA$96,19,0)</f>
        <v>0</v>
      </c>
      <c r="D665" s="622">
        <v>20000</v>
      </c>
      <c r="E665" s="1023">
        <f>C665*D665</f>
        <v>0</v>
      </c>
      <c r="F665" s="1052"/>
      <c r="G665" s="1020" t="s">
        <v>425</v>
      </c>
      <c r="H665" s="1025" t="s">
        <v>468</v>
      </c>
      <c r="I665" s="1026">
        <f>VLOOKUP(H656,'CNKT '!$D$16:$AA$96,19,0)</f>
        <v>0</v>
      </c>
      <c r="J665" s="622">
        <v>20000</v>
      </c>
      <c r="K665" s="1023">
        <f>I665*J665</f>
        <v>0</v>
      </c>
      <c r="L665" s="626"/>
      <c r="M665" s="607"/>
      <c r="N665" s="627"/>
    </row>
    <row r="666" spans="1:14" s="27" customFormat="1" ht="17.25" customHeight="1">
      <c r="A666" s="1020" t="s">
        <v>780</v>
      </c>
      <c r="B666" s="1027" t="s">
        <v>781</v>
      </c>
      <c r="C666" s="1026"/>
      <c r="D666" s="622"/>
      <c r="E666" s="1023">
        <f>VLOOKUP(B656,'CNKT '!$D$16:$AE$99,28,0)</f>
        <v>0</v>
      </c>
      <c r="F666" s="1052"/>
      <c r="G666" s="1020" t="s">
        <v>780</v>
      </c>
      <c r="H666" s="1027" t="s">
        <v>781</v>
      </c>
      <c r="I666" s="1026"/>
      <c r="J666" s="622"/>
      <c r="K666" s="1023">
        <f>VLOOKUP(H656,'CNKT '!$D$16:$AE$99,28,0)</f>
        <v>0</v>
      </c>
      <c r="L666" s="626"/>
      <c r="M666" s="607"/>
      <c r="N666" s="627"/>
    </row>
    <row r="667" spans="1:14" s="27" customFormat="1" ht="17.25" customHeight="1">
      <c r="A667" s="1028" t="s">
        <v>74</v>
      </c>
      <c r="B667" s="1029" t="s">
        <v>498</v>
      </c>
      <c r="C667" s="1030"/>
      <c r="D667" s="1031"/>
      <c r="E667" s="1030"/>
      <c r="F667" s="1052"/>
      <c r="G667" s="1028" t="s">
        <v>74</v>
      </c>
      <c r="H667" s="1029" t="s">
        <v>498</v>
      </c>
      <c r="I667" s="1030"/>
      <c r="J667" s="1031"/>
      <c r="K667" s="1030"/>
      <c r="L667" s="626"/>
      <c r="M667" s="607"/>
      <c r="N667" s="627"/>
    </row>
    <row r="668" spans="1:14" s="27" customFormat="1" ht="17.25" customHeight="1">
      <c r="A668" s="1032" t="s">
        <v>75</v>
      </c>
      <c r="B668" s="1033" t="s">
        <v>499</v>
      </c>
      <c r="C668" s="1030"/>
      <c r="D668" s="1030"/>
      <c r="E668" s="1030"/>
      <c r="F668" s="1052"/>
      <c r="G668" s="1032" t="s">
        <v>75</v>
      </c>
      <c r="H668" s="1033" t="s">
        <v>499</v>
      </c>
      <c r="I668" s="1030"/>
      <c r="J668" s="1030"/>
      <c r="K668" s="1030"/>
      <c r="L668" s="626"/>
      <c r="M668" s="607"/>
      <c r="N668" s="627"/>
    </row>
    <row r="669" spans="1:14" s="27" customFormat="1" ht="17.25" customHeight="1">
      <c r="A669" s="1032" t="s">
        <v>76</v>
      </c>
      <c r="B669" s="1034" t="s">
        <v>500</v>
      </c>
      <c r="C669" s="1030"/>
      <c r="D669" s="1030"/>
      <c r="E669" s="1023">
        <f>SUM(E668)</f>
        <v>0</v>
      </c>
      <c r="F669" s="1052"/>
      <c r="G669" s="1032" t="s">
        <v>76</v>
      </c>
      <c r="H669" s="1034" t="s">
        <v>500</v>
      </c>
      <c r="I669" s="1030"/>
      <c r="J669" s="1030"/>
      <c r="K669" s="1023">
        <f>SUM(K668)</f>
        <v>0</v>
      </c>
      <c r="L669" s="626"/>
      <c r="M669" s="1035">
        <f>E669+K669</f>
        <v>0</v>
      </c>
      <c r="N669" s="627"/>
    </row>
    <row r="670" spans="1:14" s="27" customFormat="1" ht="17.25" customHeight="1">
      <c r="A670" s="1036" t="s">
        <v>77</v>
      </c>
      <c r="B670" s="1037" t="s">
        <v>412</v>
      </c>
      <c r="C670" s="1038"/>
      <c r="D670" s="1038"/>
      <c r="E670" s="1038">
        <f>(E658+E659+E660+E661+E662+E663+E664+E665+E666)-E669</f>
        <v>474701.5846052696</v>
      </c>
      <c r="F670" s="1052"/>
      <c r="G670" s="1036" t="s">
        <v>77</v>
      </c>
      <c r="H670" s="1037" t="s">
        <v>412</v>
      </c>
      <c r="I670" s="1038"/>
      <c r="J670" s="1038"/>
      <c r="K670" s="1038">
        <f>(K658+K659+K660+K661+K662+K663+K664+K665+K666)-K669</f>
        <v>0</v>
      </c>
      <c r="L670" s="1040">
        <f>E670+K670</f>
        <v>474701.5846052696</v>
      </c>
      <c r="M670" s="607"/>
      <c r="N670" s="627"/>
    </row>
    <row r="671" spans="1:14" s="27" customFormat="1" ht="17.25" customHeight="1">
      <c r="A671" s="1045"/>
      <c r="B671" s="1050"/>
      <c r="C671" s="1051"/>
      <c r="D671" s="1051"/>
      <c r="E671" s="1049"/>
      <c r="F671" s="1052"/>
      <c r="G671" s="1045"/>
      <c r="H671" s="1050"/>
      <c r="I671" s="1051"/>
      <c r="J671" s="1049"/>
      <c r="K671" s="1052"/>
      <c r="L671" s="626"/>
      <c r="M671" s="607"/>
      <c r="N671" s="627"/>
    </row>
    <row r="672" spans="1:14" s="27" customFormat="1" ht="17.25" customHeight="1">
      <c r="A672" s="1611" t="str">
        <f>A655</f>
        <v>LƯƠNG THÁNG 08/2025</v>
      </c>
      <c r="B672" s="1612"/>
      <c r="C672" s="1612"/>
      <c r="D672" s="1612"/>
      <c r="E672" s="1014">
        <v>79</v>
      </c>
      <c r="F672" s="1052"/>
      <c r="G672" s="1611" t="str">
        <f>G655</f>
        <v>LƯƠNG THÁNG 08/2025</v>
      </c>
      <c r="H672" s="1612"/>
      <c r="I672" s="1612"/>
      <c r="J672" s="1612"/>
      <c r="K672" s="1014">
        <v>80</v>
      </c>
      <c r="L672" s="626"/>
      <c r="M672" s="607"/>
      <c r="N672" s="627"/>
    </row>
    <row r="673" spans="1:15" s="27" customFormat="1" ht="17.25" customHeight="1">
      <c r="A673" s="1044" t="s">
        <v>13</v>
      </c>
      <c r="B673" s="1016" t="str">
        <f>'CNKT '!D94</f>
        <v>N. Nang</v>
      </c>
      <c r="C673" s="1017"/>
      <c r="D673" s="1018" t="s">
        <v>376</v>
      </c>
      <c r="E673" s="1018" t="s">
        <v>16</v>
      </c>
      <c r="F673" s="1052"/>
      <c r="G673" s="1044" t="s">
        <v>13</v>
      </c>
      <c r="H673" s="1016" t="str">
        <f>'CNKT '!D95</f>
        <v>T. Tan</v>
      </c>
      <c r="I673" s="1017"/>
      <c r="J673" s="1018" t="s">
        <v>376</v>
      </c>
      <c r="K673" s="1018" t="s">
        <v>16</v>
      </c>
      <c r="L673" s="626"/>
      <c r="M673" s="607"/>
      <c r="N673" s="627"/>
    </row>
    <row r="674" spans="1:15" s="27" customFormat="1" ht="17.25" customHeight="1">
      <c r="A674" s="1020" t="s">
        <v>377</v>
      </c>
      <c r="B674" s="1021" t="s">
        <v>493</v>
      </c>
      <c r="C674" s="1022" t="str">
        <f>VLOOKUP(B673,'BTH mủ tạp'!$D$17:$AN$99,37,0)</f>
        <v>C.</v>
      </c>
      <c r="D674" s="1023"/>
      <c r="E674" s="1023"/>
      <c r="F674" s="1052"/>
      <c r="G674" s="1020" t="s">
        <v>377</v>
      </c>
      <c r="H674" s="1021" t="s">
        <v>493</v>
      </c>
      <c r="I674" s="1022" t="str">
        <f>VLOOKUP(H673,'BTH mủ tạp'!$D$17:$AN$99,37,0)</f>
        <v>C.</v>
      </c>
      <c r="J674" s="1023"/>
      <c r="K674" s="1023"/>
      <c r="L674" s="626"/>
      <c r="M674" s="607"/>
      <c r="N674" s="627"/>
    </row>
    <row r="675" spans="1:15" s="27" customFormat="1" ht="17.25" customHeight="1">
      <c r="A675" s="1020" t="s">
        <v>72</v>
      </c>
      <c r="B675" s="1024" t="s">
        <v>406</v>
      </c>
      <c r="C675" s="621">
        <f>VLOOKUP(B673,'CNKT '!$D$16:$AA$96,3,0)</f>
        <v>0</v>
      </c>
      <c r="D675" s="622">
        <v>25000</v>
      </c>
      <c r="E675" s="1023">
        <f>C675*D675</f>
        <v>0</v>
      </c>
      <c r="F675" s="1052"/>
      <c r="G675" s="1020" t="s">
        <v>72</v>
      </c>
      <c r="H675" s="1024" t="s">
        <v>406</v>
      </c>
      <c r="I675" s="621">
        <f>VLOOKUP(H673,'CNKT '!$D$16:$AA$96,3,0)</f>
        <v>0</v>
      </c>
      <c r="J675" s="622">
        <v>25000</v>
      </c>
      <c r="K675" s="1023">
        <f>I675*J675</f>
        <v>0</v>
      </c>
      <c r="L675" s="626"/>
      <c r="M675" s="607"/>
      <c r="N675" s="627"/>
    </row>
    <row r="676" spans="1:15" s="27" customFormat="1" ht="17.25" customHeight="1">
      <c r="A676" s="1020" t="s">
        <v>292</v>
      </c>
      <c r="B676" s="1025" t="s">
        <v>494</v>
      </c>
      <c r="C676" s="1026">
        <f>VLOOKUP(B673,'CNKT '!$D$16:$AA$96,11,0)</f>
        <v>0</v>
      </c>
      <c r="D676" s="623">
        <f>46.1*$B$2</f>
        <v>30922.036</v>
      </c>
      <c r="E676" s="1023">
        <f>C676*D676</f>
        <v>0</v>
      </c>
      <c r="F676" s="1052"/>
      <c r="G676" s="1020" t="s">
        <v>292</v>
      </c>
      <c r="H676" s="1025" t="s">
        <v>494</v>
      </c>
      <c r="I676" s="1026">
        <f>VLOOKUP(H673,'CNKT '!$D$16:$AA$96,11,0)</f>
        <v>0</v>
      </c>
      <c r="J676" s="623">
        <f>46.1*$B$2</f>
        <v>30922.036</v>
      </c>
      <c r="K676" s="1023">
        <f>I676*J676</f>
        <v>0</v>
      </c>
      <c r="L676" s="626"/>
      <c r="M676" s="607"/>
      <c r="N676" s="627"/>
    </row>
    <row r="677" spans="1:15" s="27" customFormat="1" ht="17.25" customHeight="1">
      <c r="A677" s="1020" t="s">
        <v>379</v>
      </c>
      <c r="B677" s="1025" t="s">
        <v>495</v>
      </c>
      <c r="C677" s="1026">
        <f>VLOOKUP(B673,'CNKT '!$D$16:$AA$96,12,0)</f>
        <v>0</v>
      </c>
      <c r="D677" s="622">
        <f>76.9*$B$2</f>
        <v>51581.444000000003</v>
      </c>
      <c r="E677" s="1023">
        <f t="shared" ref="E677:E678" si="155">C677*D677</f>
        <v>0</v>
      </c>
      <c r="F677" s="1052"/>
      <c r="G677" s="1020" t="s">
        <v>379</v>
      </c>
      <c r="H677" s="1025" t="s">
        <v>495</v>
      </c>
      <c r="I677" s="1026">
        <f>VLOOKUP(H673,'CNKT '!$D$16:$AA$96,12,0)</f>
        <v>0</v>
      </c>
      <c r="J677" s="622">
        <f>76.9*$B$2</f>
        <v>51581.444000000003</v>
      </c>
      <c r="K677" s="1023">
        <f t="shared" ref="K677:K678" si="156">I677*J677</f>
        <v>0</v>
      </c>
      <c r="L677" s="626"/>
      <c r="M677" s="607"/>
      <c r="N677" s="627"/>
    </row>
    <row r="678" spans="1:15" s="27" customFormat="1" ht="17.25" customHeight="1">
      <c r="A678" s="1020" t="s">
        <v>73</v>
      </c>
      <c r="B678" s="1025" t="s">
        <v>496</v>
      </c>
      <c r="C678" s="1026">
        <f>VLOOKUP(B673,'CNKT '!$D$16:$AA$96,8,0)</f>
        <v>0</v>
      </c>
      <c r="D678" s="622">
        <f>IF(C674="A",6.1,IF(C674="B",5.8,IF(C674="C",5.5,IF(C674="C.",5.5,IF(C674="D",5.2)))))*$B$2</f>
        <v>3689.18</v>
      </c>
      <c r="E678" s="1023">
        <f t="shared" si="155"/>
        <v>0</v>
      </c>
      <c r="F678" s="1052"/>
      <c r="G678" s="1020" t="s">
        <v>73</v>
      </c>
      <c r="H678" s="1025" t="s">
        <v>496</v>
      </c>
      <c r="I678" s="1026">
        <f>VLOOKUP(H673,'CNKT '!$D$16:$AA$96,8,0)</f>
        <v>0</v>
      </c>
      <c r="J678" s="622">
        <f>IF(I674="A",6.1,IF(I674="B",5.8,IF(I674="C",5.5,IF(I674="C.",5.5,IF(I674="D",5.2)))))*$B$2</f>
        <v>3689.18</v>
      </c>
      <c r="K678" s="1023">
        <f t="shared" si="156"/>
        <v>0</v>
      </c>
      <c r="L678" s="626"/>
      <c r="M678" s="607"/>
      <c r="N678" s="627"/>
    </row>
    <row r="679" spans="1:15" s="27" customFormat="1" ht="17.25" customHeight="1">
      <c r="A679" s="1089" t="s">
        <v>462</v>
      </c>
      <c r="B679" s="1090" t="s">
        <v>497</v>
      </c>
      <c r="C679" s="1091">
        <f>VLOOKUP(B673,'CNKT '!$D$16:$AA$96,13,0)</f>
        <v>0</v>
      </c>
      <c r="D679" s="1092">
        <v>100000</v>
      </c>
      <c r="E679" s="1093">
        <f>C679*D679</f>
        <v>0</v>
      </c>
      <c r="F679" s="1052"/>
      <c r="G679" s="1089" t="s">
        <v>462</v>
      </c>
      <c r="H679" s="1090" t="s">
        <v>497</v>
      </c>
      <c r="I679" s="1091">
        <f>VLOOKUP(H673,'CNKT '!$D$16:$AA$96,13,0)</f>
        <v>0</v>
      </c>
      <c r="J679" s="1092">
        <v>100000</v>
      </c>
      <c r="K679" s="1093">
        <f>I679*J679</f>
        <v>0</v>
      </c>
      <c r="L679" s="626"/>
      <c r="M679" s="607"/>
      <c r="N679" s="627"/>
    </row>
    <row r="680" spans="1:15" s="27" customFormat="1" ht="17.25" customHeight="1">
      <c r="A680" s="1020" t="s">
        <v>463</v>
      </c>
      <c r="B680" s="1025" t="s">
        <v>467</v>
      </c>
      <c r="C680" s="1026">
        <f>VLOOKUP(B673,'CNKT '!$D$16:$AA$96,16,0)</f>
        <v>0</v>
      </c>
      <c r="D680" s="622">
        <f>153.8*$B$2</f>
        <v>103162.88800000001</v>
      </c>
      <c r="E680" s="1023">
        <f t="shared" ref="E680" si="157">C680*D680</f>
        <v>0</v>
      </c>
      <c r="F680" s="1052"/>
      <c r="G680" s="1020" t="s">
        <v>463</v>
      </c>
      <c r="H680" s="1025" t="s">
        <v>467</v>
      </c>
      <c r="I680" s="1026">
        <f>VLOOKUP(H673,'CNKT '!$D$16:$AA$96,16,0)</f>
        <v>0</v>
      </c>
      <c r="J680" s="622">
        <f>153.8*$B$2</f>
        <v>103162.88800000001</v>
      </c>
      <c r="K680" s="1023">
        <f t="shared" ref="K680" si="158">I680*J680</f>
        <v>0</v>
      </c>
      <c r="L680" s="626"/>
      <c r="M680" s="607"/>
      <c r="N680" s="627"/>
    </row>
    <row r="681" spans="1:15" s="27" customFormat="1" ht="17.25" customHeight="1">
      <c r="A681" s="1020" t="s">
        <v>425</v>
      </c>
      <c r="B681" s="1025" t="s">
        <v>468</v>
      </c>
      <c r="C681" s="1026">
        <f>VLOOKUP(B673,'CNKT '!$D$16:$AA$96,18,0)</f>
        <v>0</v>
      </c>
      <c r="D681" s="622">
        <v>10000</v>
      </c>
      <c r="E681" s="1023">
        <f>C681*D681</f>
        <v>0</v>
      </c>
      <c r="F681" s="1052"/>
      <c r="G681" s="1020" t="s">
        <v>425</v>
      </c>
      <c r="H681" s="1025" t="s">
        <v>468</v>
      </c>
      <c r="I681" s="1026">
        <f>VLOOKUP(H673,'CNKT '!$D$16:$AA$96,18,0)</f>
        <v>0</v>
      </c>
      <c r="J681" s="622">
        <v>10000</v>
      </c>
      <c r="K681" s="1023">
        <f>I681*J681</f>
        <v>0</v>
      </c>
      <c r="L681" s="626"/>
      <c r="M681" s="607"/>
      <c r="N681" s="627"/>
    </row>
    <row r="682" spans="1:15" s="27" customFormat="1" ht="17.25" customHeight="1">
      <c r="A682" s="1020" t="s">
        <v>425</v>
      </c>
      <c r="B682" s="1025" t="s">
        <v>468</v>
      </c>
      <c r="C682" s="1026">
        <f>VLOOKUP(B673,'CNKT '!$D$16:$AA$96,19,0)</f>
        <v>0</v>
      </c>
      <c r="D682" s="622">
        <v>20000</v>
      </c>
      <c r="E682" s="1023">
        <f>C682*D682</f>
        <v>0</v>
      </c>
      <c r="F682" s="1052"/>
      <c r="G682" s="1020" t="s">
        <v>425</v>
      </c>
      <c r="H682" s="1025" t="s">
        <v>468</v>
      </c>
      <c r="I682" s="1026">
        <f>VLOOKUP(H673,'CNKT '!$D$16:$AA$96,19,0)</f>
        <v>0</v>
      </c>
      <c r="J682" s="622">
        <v>20000</v>
      </c>
      <c r="K682" s="1023">
        <f>I682*J682</f>
        <v>0</v>
      </c>
      <c r="L682" s="626"/>
      <c r="M682" s="607"/>
      <c r="N682" s="627"/>
    </row>
    <row r="683" spans="1:15" s="27" customFormat="1" ht="17.25" customHeight="1">
      <c r="A683" s="1020" t="s">
        <v>780</v>
      </c>
      <c r="B683" s="1027" t="s">
        <v>781</v>
      </c>
      <c r="C683" s="1026"/>
      <c r="D683" s="622"/>
      <c r="E683" s="1023">
        <f>VLOOKUP(B673,'CNKT '!$D$16:$AE$99,28,0)</f>
        <v>0</v>
      </c>
      <c r="F683" s="1052"/>
      <c r="G683" s="1020" t="s">
        <v>780</v>
      </c>
      <c r="H683" s="1027" t="s">
        <v>781</v>
      </c>
      <c r="I683" s="1026"/>
      <c r="J683" s="622"/>
      <c r="K683" s="1023">
        <f>VLOOKUP(H673,'CNKT '!$D$16:$AE$99,28,0)</f>
        <v>0</v>
      </c>
      <c r="L683" s="626"/>
      <c r="M683" s="607"/>
      <c r="N683" s="627"/>
    </row>
    <row r="684" spans="1:15" s="27" customFormat="1" ht="17.25" customHeight="1">
      <c r="A684" s="1028" t="s">
        <v>74</v>
      </c>
      <c r="B684" s="1029" t="s">
        <v>498</v>
      </c>
      <c r="C684" s="1030"/>
      <c r="D684" s="1031"/>
      <c r="E684" s="1030"/>
      <c r="F684" s="1052"/>
      <c r="G684" s="1028" t="s">
        <v>74</v>
      </c>
      <c r="H684" s="1029" t="s">
        <v>498</v>
      </c>
      <c r="I684" s="1030"/>
      <c r="J684" s="1031"/>
      <c r="K684" s="1030"/>
      <c r="L684" s="626"/>
      <c r="M684" s="607"/>
      <c r="N684" s="627"/>
    </row>
    <row r="685" spans="1:15" s="27" customFormat="1" ht="17.25" customHeight="1">
      <c r="A685" s="1032" t="s">
        <v>75</v>
      </c>
      <c r="B685" s="1033" t="s">
        <v>499</v>
      </c>
      <c r="C685" s="1030"/>
      <c r="D685" s="1030"/>
      <c r="E685" s="1030"/>
      <c r="F685" s="1052"/>
      <c r="G685" s="1032" t="s">
        <v>75</v>
      </c>
      <c r="H685" s="1033" t="s">
        <v>499</v>
      </c>
      <c r="I685" s="1030"/>
      <c r="J685" s="1030"/>
      <c r="K685" s="1030"/>
      <c r="L685" s="626"/>
      <c r="M685" s="607"/>
      <c r="N685" s="627"/>
    </row>
    <row r="686" spans="1:15" s="27" customFormat="1" ht="17.25" customHeight="1">
      <c r="A686" s="1032" t="s">
        <v>76</v>
      </c>
      <c r="B686" s="1034" t="s">
        <v>500</v>
      </c>
      <c r="C686" s="1030"/>
      <c r="D686" s="1030"/>
      <c r="E686" s="1023">
        <f>SUM(E685)</f>
        <v>0</v>
      </c>
      <c r="F686" s="1052"/>
      <c r="G686" s="1032" t="s">
        <v>76</v>
      </c>
      <c r="H686" s="1034" t="s">
        <v>500</v>
      </c>
      <c r="I686" s="1030"/>
      <c r="J686" s="1030"/>
      <c r="K686" s="1023">
        <f>SUM(K685)</f>
        <v>0</v>
      </c>
      <c r="L686" s="626"/>
      <c r="M686" s="607"/>
      <c r="N686" s="627"/>
    </row>
    <row r="687" spans="1:15" s="27" customFormat="1" ht="17.25" customHeight="1">
      <c r="A687" s="1036" t="s">
        <v>77</v>
      </c>
      <c r="B687" s="1037" t="s">
        <v>412</v>
      </c>
      <c r="C687" s="1038"/>
      <c r="D687" s="1038"/>
      <c r="E687" s="1038">
        <f>(E675+E676+E677+E678+E679+E680+E681+E682+E683)-E686</f>
        <v>0</v>
      </c>
      <c r="F687" s="1052"/>
      <c r="G687" s="1036" t="s">
        <v>77</v>
      </c>
      <c r="H687" s="1037" t="s">
        <v>412</v>
      </c>
      <c r="I687" s="1038"/>
      <c r="J687" s="1038"/>
      <c r="K687" s="1038">
        <f>(K675+K676+K677+K678+K679+K680+K681+K682+K683)-K686</f>
        <v>0</v>
      </c>
      <c r="L687" s="1040">
        <f>E687+K687</f>
        <v>0</v>
      </c>
      <c r="M687" s="627"/>
      <c r="N687" s="607"/>
      <c r="O687" s="627"/>
    </row>
    <row r="688" spans="1:15" s="27" customFormat="1" ht="15.75" customHeight="1">
      <c r="A688" s="1058"/>
      <c r="B688" s="1059"/>
      <c r="C688" s="1049"/>
      <c r="D688" s="1049"/>
      <c r="E688" s="1049"/>
      <c r="F688" s="1052"/>
      <c r="G688" s="1058"/>
      <c r="H688" s="1059"/>
      <c r="I688" s="1049"/>
      <c r="J688" s="1060"/>
      <c r="K688" s="1049"/>
      <c r="L688" s="626"/>
      <c r="M688" s="627"/>
      <c r="N688" s="607"/>
      <c r="O688" s="627"/>
    </row>
    <row r="689" spans="1:15" s="27" customFormat="1" ht="17.25" customHeight="1">
      <c r="A689" s="1611" t="str">
        <f>A672</f>
        <v>LƯƠNG THÁNG 08/2025</v>
      </c>
      <c r="B689" s="1612"/>
      <c r="C689" s="1612"/>
      <c r="D689" s="1612"/>
      <c r="E689" s="1014">
        <v>81</v>
      </c>
      <c r="F689" s="1052"/>
      <c r="G689" s="1611" t="str">
        <f>G672</f>
        <v>LƯƠNG THÁNG 08/2025</v>
      </c>
      <c r="H689" s="1612"/>
      <c r="I689" s="1612"/>
      <c r="J689" s="1612"/>
      <c r="K689" s="1014">
        <v>82</v>
      </c>
      <c r="L689" s="626"/>
      <c r="M689" s="627"/>
      <c r="N689" s="607"/>
      <c r="O689" s="627"/>
    </row>
    <row r="690" spans="1:15" s="27" customFormat="1" ht="17.25" customHeight="1">
      <c r="A690" s="1044" t="s">
        <v>13</v>
      </c>
      <c r="B690" s="1016">
        <f>'CNKT '!D96</f>
        <v>0</v>
      </c>
      <c r="C690" s="1017"/>
      <c r="D690" s="1018" t="s">
        <v>376</v>
      </c>
      <c r="E690" s="1018" t="s">
        <v>16</v>
      </c>
      <c r="F690" s="1052"/>
      <c r="G690" s="1044" t="s">
        <v>13</v>
      </c>
      <c r="H690" s="1016"/>
      <c r="I690" s="1017"/>
      <c r="J690" s="1018" t="s">
        <v>376</v>
      </c>
      <c r="K690" s="1018" t="s">
        <v>16</v>
      </c>
      <c r="L690" s="626"/>
      <c r="M690" s="627"/>
      <c r="N690" s="607"/>
      <c r="O690" s="627"/>
    </row>
    <row r="691" spans="1:15" s="27" customFormat="1" ht="17.25" customHeight="1">
      <c r="A691" s="1020" t="s">
        <v>377</v>
      </c>
      <c r="B691" s="1021" t="s">
        <v>493</v>
      </c>
      <c r="C691" s="1022" t="str">
        <f>VLOOKUP(B690,'BTH mủ tạp'!$D$17:$AN$99,37,0)</f>
        <v>C.</v>
      </c>
      <c r="D691" s="1023"/>
      <c r="E691" s="1023"/>
      <c r="F691" s="1052"/>
      <c r="G691" s="1020" t="s">
        <v>377</v>
      </c>
      <c r="H691" s="1021" t="s">
        <v>493</v>
      </c>
      <c r="I691" s="1022" t="str">
        <f>VLOOKUP(H690,'BTH mủ tạp'!$D$17:$AN$105,37,0)</f>
        <v>C.</v>
      </c>
      <c r="J691" s="1023"/>
      <c r="K691" s="1023"/>
      <c r="L691" s="626"/>
      <c r="M691" s="627"/>
      <c r="N691" s="607"/>
      <c r="O691" s="627"/>
    </row>
    <row r="692" spans="1:15" s="27" customFormat="1" ht="17.25" customHeight="1">
      <c r="A692" s="1020" t="s">
        <v>72</v>
      </c>
      <c r="B692" s="1024" t="s">
        <v>406</v>
      </c>
      <c r="C692" s="621">
        <f>VLOOKUP(B690,'CNKT '!$D$16:$AA$96,3,0)</f>
        <v>0</v>
      </c>
      <c r="D692" s="622">
        <v>25000</v>
      </c>
      <c r="E692" s="1023">
        <f>C692*D692</f>
        <v>0</v>
      </c>
      <c r="F692" s="1052"/>
      <c r="G692" s="1020" t="s">
        <v>72</v>
      </c>
      <c r="H692" s="1024" t="s">
        <v>406</v>
      </c>
      <c r="I692" s="621">
        <f>VLOOKUP(H690,'CNKT '!$D$16:$AA$96,3,0)</f>
        <v>0</v>
      </c>
      <c r="J692" s="622">
        <v>25000</v>
      </c>
      <c r="K692" s="1023">
        <f>I692*J692</f>
        <v>0</v>
      </c>
      <c r="L692" s="626"/>
      <c r="M692" s="627"/>
      <c r="N692" s="607"/>
      <c r="O692" s="627"/>
    </row>
    <row r="693" spans="1:15" s="27" customFormat="1" ht="17.25" customHeight="1">
      <c r="A693" s="1020" t="s">
        <v>292</v>
      </c>
      <c r="B693" s="1025" t="s">
        <v>494</v>
      </c>
      <c r="C693" s="1026">
        <f>VLOOKUP(B690,'CNKT '!$D$16:$AA$96,11,0)</f>
        <v>0</v>
      </c>
      <c r="D693" s="623">
        <f>46.1*$B$2</f>
        <v>30922.036</v>
      </c>
      <c r="E693" s="1023">
        <f>C693*D693</f>
        <v>0</v>
      </c>
      <c r="F693" s="1052"/>
      <c r="G693" s="1020" t="s">
        <v>292</v>
      </c>
      <c r="H693" s="1025" t="s">
        <v>494</v>
      </c>
      <c r="I693" s="1026">
        <f>VLOOKUP(H690,'CNKT '!$D$16:$AA$96,11,0)</f>
        <v>0</v>
      </c>
      <c r="J693" s="623">
        <f>46.1*$B$2</f>
        <v>30922.036</v>
      </c>
      <c r="K693" s="1023">
        <f>I693*J693</f>
        <v>0</v>
      </c>
      <c r="L693" s="626"/>
      <c r="M693" s="627"/>
      <c r="N693" s="607"/>
      <c r="O693" s="627"/>
    </row>
    <row r="694" spans="1:15" s="27" customFormat="1" ht="17.25" customHeight="1">
      <c r="A694" s="1020" t="s">
        <v>379</v>
      </c>
      <c r="B694" s="1025" t="s">
        <v>495</v>
      </c>
      <c r="C694" s="1026">
        <f>VLOOKUP(B690,'CNKT '!$D$16:$AA$96,12,0)</f>
        <v>0</v>
      </c>
      <c r="D694" s="622">
        <f>76.9*$B$2</f>
        <v>51581.444000000003</v>
      </c>
      <c r="E694" s="1023">
        <f t="shared" ref="E694:E695" si="159">C694*D694</f>
        <v>0</v>
      </c>
      <c r="F694" s="1052"/>
      <c r="G694" s="1020" t="s">
        <v>379</v>
      </c>
      <c r="H694" s="1025" t="s">
        <v>495</v>
      </c>
      <c r="I694" s="1026">
        <f>VLOOKUP(H690,'CNKT '!$D$16:$AA$96,12,0)</f>
        <v>0</v>
      </c>
      <c r="J694" s="622">
        <f>76.9*$B$2</f>
        <v>51581.444000000003</v>
      </c>
      <c r="K694" s="1023">
        <f t="shared" ref="K694:K695" si="160">I694*J694</f>
        <v>0</v>
      </c>
      <c r="L694" s="626"/>
      <c r="M694" s="627"/>
      <c r="N694" s="607"/>
      <c r="O694" s="627"/>
    </row>
    <row r="695" spans="1:15" s="27" customFormat="1" ht="17.25" customHeight="1">
      <c r="A695" s="1020" t="s">
        <v>73</v>
      </c>
      <c r="B695" s="1025" t="s">
        <v>496</v>
      </c>
      <c r="C695" s="1026">
        <f>VLOOKUP(B690,'CNKT '!$D$16:$AA$96,8,0)</f>
        <v>0</v>
      </c>
      <c r="D695" s="622">
        <f>IF(C691="A",6.1,IF(C691="B",5.8,IF(C691="C",5.5,IF(C691="C.",5.5,IF(C691="D",5.2)))))*$B$2</f>
        <v>3689.18</v>
      </c>
      <c r="E695" s="1023">
        <f t="shared" si="159"/>
        <v>0</v>
      </c>
      <c r="F695" s="1052"/>
      <c r="G695" s="1020" t="s">
        <v>73</v>
      </c>
      <c r="H695" s="1025" t="s">
        <v>496</v>
      </c>
      <c r="I695" s="1026">
        <f>VLOOKUP(H690,'CNKT '!$D$16:$AA$96,8,0)</f>
        <v>0</v>
      </c>
      <c r="J695" s="622">
        <f>IF(I691="A",6.1,IF(I691="B",5.8,IF(I691="C",5.5,IF(I691="C.",5.5,IF(I691="D",5.2)))))*$B$2</f>
        <v>3689.18</v>
      </c>
      <c r="K695" s="1023">
        <f t="shared" si="160"/>
        <v>0</v>
      </c>
      <c r="L695" s="626"/>
      <c r="M695" s="627"/>
      <c r="N695" s="607"/>
      <c r="O695" s="627"/>
    </row>
    <row r="696" spans="1:15" s="27" customFormat="1" ht="17.25" customHeight="1">
      <c r="A696" s="1089" t="s">
        <v>462</v>
      </c>
      <c r="B696" s="1090" t="s">
        <v>497</v>
      </c>
      <c r="C696" s="1091">
        <f>VLOOKUP(B690,'CNKT '!$D$16:$AA$96,13,0)</f>
        <v>0</v>
      </c>
      <c r="D696" s="1092">
        <v>100000</v>
      </c>
      <c r="E696" s="1093">
        <f>C696*D696</f>
        <v>0</v>
      </c>
      <c r="F696" s="1052"/>
      <c r="G696" s="1089" t="s">
        <v>462</v>
      </c>
      <c r="H696" s="1090" t="s">
        <v>497</v>
      </c>
      <c r="I696" s="1091">
        <f>VLOOKUP(H690,'CNKT '!$D$16:$AA$96,13,0)</f>
        <v>0</v>
      </c>
      <c r="J696" s="1092">
        <v>100000</v>
      </c>
      <c r="K696" s="1093">
        <f>I696*J696</f>
        <v>0</v>
      </c>
      <c r="L696" s="626"/>
      <c r="M696" s="627"/>
      <c r="N696" s="607"/>
      <c r="O696" s="627"/>
    </row>
    <row r="697" spans="1:15" s="27" customFormat="1" ht="17.25" customHeight="1">
      <c r="A697" s="1020" t="s">
        <v>463</v>
      </c>
      <c r="B697" s="1025" t="s">
        <v>467</v>
      </c>
      <c r="C697" s="1026">
        <f>VLOOKUP(B690,'CNKT '!$D$16:$AA$96,16,0)</f>
        <v>0</v>
      </c>
      <c r="D697" s="622">
        <f>153.8*$B$2</f>
        <v>103162.88800000001</v>
      </c>
      <c r="E697" s="1023">
        <f t="shared" ref="E697" si="161">C697*D697</f>
        <v>0</v>
      </c>
      <c r="F697" s="1052"/>
      <c r="G697" s="1020" t="s">
        <v>463</v>
      </c>
      <c r="H697" s="1025" t="s">
        <v>467</v>
      </c>
      <c r="I697" s="1026">
        <f>VLOOKUP(H690,'CNKT '!$D$16:$AA$96,16,0)</f>
        <v>0</v>
      </c>
      <c r="J697" s="622">
        <f>153.8*$B$2</f>
        <v>103162.88800000001</v>
      </c>
      <c r="K697" s="1023">
        <f t="shared" ref="K697" si="162">I697*J697</f>
        <v>0</v>
      </c>
      <c r="L697" s="626"/>
      <c r="M697" s="627"/>
      <c r="N697" s="607"/>
      <c r="O697" s="627"/>
    </row>
    <row r="698" spans="1:15" s="27" customFormat="1" ht="17.25" customHeight="1">
      <c r="A698" s="1020" t="s">
        <v>425</v>
      </c>
      <c r="B698" s="1025" t="s">
        <v>468</v>
      </c>
      <c r="C698" s="1026">
        <f>VLOOKUP(B690,'CNKT '!$D$16:$AA$96,18,0)</f>
        <v>0</v>
      </c>
      <c r="D698" s="622">
        <v>10000</v>
      </c>
      <c r="E698" s="1023">
        <f>C698*D698</f>
        <v>0</v>
      </c>
      <c r="F698" s="1052"/>
      <c r="G698" s="1020" t="s">
        <v>425</v>
      </c>
      <c r="H698" s="1025" t="s">
        <v>468</v>
      </c>
      <c r="I698" s="1026">
        <f>VLOOKUP(H690,'CNKT '!$D$16:$AA$96,18,0)</f>
        <v>0</v>
      </c>
      <c r="J698" s="622">
        <v>10000</v>
      </c>
      <c r="K698" s="1023">
        <f>I698*J698</f>
        <v>0</v>
      </c>
      <c r="L698" s="626"/>
      <c r="M698" s="627"/>
      <c r="N698" s="607"/>
      <c r="O698" s="627"/>
    </row>
    <row r="699" spans="1:15" s="27" customFormat="1" ht="17.25" customHeight="1">
      <c r="A699" s="1020" t="s">
        <v>425</v>
      </c>
      <c r="B699" s="1025" t="s">
        <v>468</v>
      </c>
      <c r="C699" s="1026">
        <f>VLOOKUP(B690,'CNKT '!$D$16:$AA$96,19,0)</f>
        <v>0</v>
      </c>
      <c r="D699" s="622">
        <v>20000</v>
      </c>
      <c r="E699" s="1023">
        <f>C699*D699</f>
        <v>0</v>
      </c>
      <c r="F699" s="1052"/>
      <c r="G699" s="1020" t="s">
        <v>425</v>
      </c>
      <c r="H699" s="1025" t="s">
        <v>468</v>
      </c>
      <c r="I699" s="1026">
        <f>VLOOKUP(H690,'CNKT '!$D$16:$AA$96,19,0)</f>
        <v>0</v>
      </c>
      <c r="J699" s="622">
        <v>20000</v>
      </c>
      <c r="K699" s="1023">
        <f>I699*J699</f>
        <v>0</v>
      </c>
      <c r="L699" s="626"/>
      <c r="M699" s="627"/>
      <c r="N699" s="607"/>
      <c r="O699" s="627"/>
    </row>
    <row r="700" spans="1:15" s="27" customFormat="1" ht="17.25" customHeight="1">
      <c r="A700" s="1020" t="s">
        <v>780</v>
      </c>
      <c r="B700" s="1027" t="s">
        <v>781</v>
      </c>
      <c r="C700" s="1026"/>
      <c r="D700" s="622"/>
      <c r="E700" s="1023">
        <f>VLOOKUP(B690,'CNKT '!$D$16:$AE$99,28,0)</f>
        <v>0</v>
      </c>
      <c r="F700" s="1052"/>
      <c r="G700" s="1020" t="s">
        <v>780</v>
      </c>
      <c r="H700" s="1027" t="s">
        <v>781</v>
      </c>
      <c r="I700" s="1026"/>
      <c r="J700" s="622"/>
      <c r="K700" s="1023">
        <f>VLOOKUP(H690,'CNKT '!$D$16:$AE$99,28,0)</f>
        <v>0</v>
      </c>
      <c r="L700" s="626"/>
      <c r="M700" s="627"/>
      <c r="N700" s="607"/>
      <c r="O700" s="627"/>
    </row>
    <row r="701" spans="1:15" s="27" customFormat="1" ht="17.25" customHeight="1">
      <c r="A701" s="1028" t="s">
        <v>74</v>
      </c>
      <c r="B701" s="1029" t="s">
        <v>498</v>
      </c>
      <c r="C701" s="1030"/>
      <c r="D701" s="1031"/>
      <c r="E701" s="1030"/>
      <c r="F701" s="1052"/>
      <c r="G701" s="1028" t="s">
        <v>74</v>
      </c>
      <c r="H701" s="1029" t="s">
        <v>498</v>
      </c>
      <c r="I701" s="1030"/>
      <c r="J701" s="1031"/>
      <c r="K701" s="1030"/>
      <c r="L701" s="626"/>
      <c r="M701" s="627"/>
      <c r="N701" s="607"/>
      <c r="O701" s="627"/>
    </row>
    <row r="702" spans="1:15" s="27" customFormat="1" ht="17.25" customHeight="1">
      <c r="A702" s="1032" t="s">
        <v>75</v>
      </c>
      <c r="B702" s="1033" t="s">
        <v>499</v>
      </c>
      <c r="C702" s="1030"/>
      <c r="D702" s="1030"/>
      <c r="E702" s="1030"/>
      <c r="F702" s="1052"/>
      <c r="G702" s="1032" t="s">
        <v>75</v>
      </c>
      <c r="H702" s="1033" t="s">
        <v>499</v>
      </c>
      <c r="I702" s="1030"/>
      <c r="J702" s="1030"/>
      <c r="K702" s="1030"/>
      <c r="L702" s="626"/>
      <c r="M702" s="627"/>
      <c r="N702" s="607"/>
      <c r="O702" s="627"/>
    </row>
    <row r="703" spans="1:15" s="27" customFormat="1" ht="17.25" customHeight="1">
      <c r="A703" s="1032" t="s">
        <v>76</v>
      </c>
      <c r="B703" s="1034" t="s">
        <v>500</v>
      </c>
      <c r="C703" s="1030"/>
      <c r="D703" s="1030"/>
      <c r="E703" s="1023">
        <f>SUM(E702)</f>
        <v>0</v>
      </c>
      <c r="F703" s="1052"/>
      <c r="G703" s="1032" t="s">
        <v>76</v>
      </c>
      <c r="H703" s="1034" t="s">
        <v>500</v>
      </c>
      <c r="I703" s="1030"/>
      <c r="J703" s="1030"/>
      <c r="K703" s="1023">
        <f>SUM(K702)</f>
        <v>0</v>
      </c>
      <c r="L703" s="626"/>
      <c r="M703" s="627"/>
      <c r="N703" s="607"/>
      <c r="O703" s="627"/>
    </row>
    <row r="704" spans="1:15" s="27" customFormat="1" ht="17.25" customHeight="1">
      <c r="A704" s="1036" t="s">
        <v>77</v>
      </c>
      <c r="B704" s="1037" t="s">
        <v>412</v>
      </c>
      <c r="C704" s="1038"/>
      <c r="D704" s="1038"/>
      <c r="E704" s="1038">
        <f>(E692+E693+E694+E695+E696+E697+E698+E699+E700)-E703</f>
        <v>0</v>
      </c>
      <c r="F704" s="1052"/>
      <c r="G704" s="1036" t="s">
        <v>77</v>
      </c>
      <c r="H704" s="1037" t="s">
        <v>412</v>
      </c>
      <c r="I704" s="1038"/>
      <c r="J704" s="1038"/>
      <c r="K704" s="1038">
        <f>(K692+K693+K694+K695+K696+K697+K698+K699+K700)-K703</f>
        <v>0</v>
      </c>
      <c r="L704" s="1040">
        <f>E704</f>
        <v>0</v>
      </c>
      <c r="M704" s="627"/>
      <c r="N704" s="607"/>
      <c r="O704" s="627"/>
    </row>
    <row r="705" spans="1:15" s="27" customFormat="1" ht="17.25" customHeight="1">
      <c r="A705" s="1058"/>
      <c r="B705" s="1059"/>
      <c r="C705" s="1049"/>
      <c r="D705" s="1049"/>
      <c r="E705" s="1049"/>
      <c r="F705" s="1052"/>
      <c r="G705" s="1058"/>
      <c r="H705" s="1059"/>
      <c r="I705" s="1049"/>
      <c r="J705" s="1049"/>
      <c r="K705" s="1049"/>
      <c r="L705" s="626"/>
      <c r="M705" s="627"/>
      <c r="N705" s="607"/>
      <c r="O705" s="627"/>
    </row>
    <row r="706" spans="1:15" s="27" customFormat="1" ht="17.25" customHeight="1">
      <c r="A706" s="1611" t="str">
        <f>A672</f>
        <v>LƯƠNG THÁNG 08/2025</v>
      </c>
      <c r="B706" s="1612"/>
      <c r="C706" s="1612"/>
      <c r="D706" s="1612"/>
      <c r="E706" s="1014">
        <v>83</v>
      </c>
      <c r="F706" s="1052"/>
      <c r="G706" s="1611" t="str">
        <f>G672</f>
        <v>LƯƠNG THÁNG 08/2025</v>
      </c>
      <c r="H706" s="1612"/>
      <c r="I706" s="1612"/>
      <c r="J706" s="1612"/>
      <c r="K706" s="1613"/>
      <c r="L706" s="626"/>
      <c r="M706" s="607"/>
      <c r="N706" s="627"/>
    </row>
    <row r="707" spans="1:15" s="27" customFormat="1" ht="17.25" customHeight="1">
      <c r="A707" s="1044" t="s">
        <v>13</v>
      </c>
      <c r="B707" s="1016" t="str">
        <f>'CNKT '!D97</f>
        <v>Mủ Xi Rum 1</v>
      </c>
      <c r="C707" s="1017"/>
      <c r="D707" s="1061"/>
      <c r="E707" s="1062" t="s">
        <v>39</v>
      </c>
      <c r="F707" s="1052"/>
      <c r="G707" s="1044"/>
      <c r="H707" s="1016"/>
      <c r="I707" s="1017"/>
      <c r="J707" s="1061"/>
      <c r="K707" s="1062"/>
      <c r="L707" s="626"/>
      <c r="M707" s="607"/>
      <c r="N707" s="627"/>
    </row>
    <row r="708" spans="1:15" s="27" customFormat="1" ht="17.25" customHeight="1">
      <c r="A708" s="1020" t="s">
        <v>377</v>
      </c>
      <c r="B708" s="1063" t="s">
        <v>405</v>
      </c>
      <c r="C708" s="1022" t="e">
        <f>VLOOKUP(B707,'BTH mủ tạp'!$D$17:$AN$96,36,0)</f>
        <v>#N/A</v>
      </c>
      <c r="D708" s="1023"/>
      <c r="E708" s="1023"/>
      <c r="F708" s="1052"/>
      <c r="G708" s="1020"/>
      <c r="H708" s="1063"/>
      <c r="I708" s="1022"/>
      <c r="J708" s="1023"/>
      <c r="K708" s="1023"/>
      <c r="L708" s="626"/>
      <c r="M708" s="607"/>
      <c r="N708" s="627"/>
    </row>
    <row r="709" spans="1:15" s="27" customFormat="1" ht="17.25" customHeight="1">
      <c r="A709" s="1020" t="s">
        <v>72</v>
      </c>
      <c r="B709" s="1064" t="s">
        <v>406</v>
      </c>
      <c r="C709" s="621">
        <f>VLOOKUP(B707,'CNKT '!$D$16:$AA$97,3,0)</f>
        <v>0</v>
      </c>
      <c r="D709" s="622">
        <v>25000</v>
      </c>
      <c r="E709" s="1023">
        <f>C709*D709</f>
        <v>0</v>
      </c>
      <c r="F709" s="1052"/>
      <c r="G709" s="1020"/>
      <c r="H709" s="1064"/>
      <c r="I709" s="621"/>
      <c r="J709" s="622"/>
      <c r="K709" s="1023"/>
      <c r="L709" s="626"/>
      <c r="M709" s="607"/>
      <c r="N709" s="627"/>
    </row>
    <row r="710" spans="1:15" s="27" customFormat="1" ht="17.25" customHeight="1">
      <c r="A710" s="1020" t="s">
        <v>292</v>
      </c>
      <c r="B710" s="1065" t="s">
        <v>407</v>
      </c>
      <c r="C710" s="1026">
        <f>VLOOKUP(B707,'CNKT '!$D$16:$AA$97,11,0)</f>
        <v>0</v>
      </c>
      <c r="D710" s="623">
        <f>46.1*$B$2</f>
        <v>30922.036</v>
      </c>
      <c r="E710" s="1023">
        <f t="shared" ref="E710:E714" si="163">C710*D710</f>
        <v>0</v>
      </c>
      <c r="F710" s="1052"/>
      <c r="G710" s="1020"/>
      <c r="H710" s="1065"/>
      <c r="I710" s="1026"/>
      <c r="J710" s="623"/>
      <c r="K710" s="1023"/>
      <c r="L710" s="626"/>
      <c r="M710" s="607"/>
      <c r="N710" s="627"/>
    </row>
    <row r="711" spans="1:15" s="27" customFormat="1" ht="17.25" customHeight="1">
      <c r="A711" s="1020" t="s">
        <v>379</v>
      </c>
      <c r="B711" s="1065" t="s">
        <v>465</v>
      </c>
      <c r="C711" s="1026">
        <f>VLOOKUP(B707,'CNKT '!$D$16:$AA$97,12,0)</f>
        <v>0</v>
      </c>
      <c r="D711" s="622">
        <f>76.9*$B$2</f>
        <v>51581.444000000003</v>
      </c>
      <c r="E711" s="1023">
        <f t="shared" si="163"/>
        <v>0</v>
      </c>
      <c r="F711" s="1052"/>
      <c r="G711" s="1020"/>
      <c r="H711" s="1065"/>
      <c r="I711" s="1026"/>
      <c r="J711" s="622"/>
      <c r="K711" s="1023"/>
      <c r="L711" s="626"/>
      <c r="M711" s="607"/>
      <c r="N711" s="627"/>
    </row>
    <row r="712" spans="1:15" s="27" customFormat="1" ht="17.25" customHeight="1">
      <c r="A712" s="1020" t="s">
        <v>73</v>
      </c>
      <c r="B712" s="1065" t="s">
        <v>408</v>
      </c>
      <c r="C712" s="1026">
        <f>VLOOKUP(B707,'CNKT '!$D$16:$AA$97,8,0)</f>
        <v>184.21199999999999</v>
      </c>
      <c r="D712" s="622"/>
      <c r="E712" s="1023">
        <f t="shared" si="163"/>
        <v>0</v>
      </c>
      <c r="F712" s="1052"/>
      <c r="G712" s="1020"/>
      <c r="H712" s="1065"/>
      <c r="I712" s="1026"/>
      <c r="J712" s="622"/>
      <c r="K712" s="1023"/>
      <c r="L712" s="626"/>
      <c r="M712" s="607"/>
      <c r="N712" s="627"/>
    </row>
    <row r="713" spans="1:15" s="27" customFormat="1" ht="17.25" customHeight="1">
      <c r="A713" s="1020" t="s">
        <v>462</v>
      </c>
      <c r="B713" s="1065" t="s">
        <v>466</v>
      </c>
      <c r="C713" s="1026">
        <f>VLOOKUP(B707,'CNKT '!$D$16:$AA$97,15,0)</f>
        <v>0</v>
      </c>
      <c r="D713" s="623">
        <f>92.2*$B$2</f>
        <v>61844.072</v>
      </c>
      <c r="E713" s="1023">
        <f t="shared" si="163"/>
        <v>0</v>
      </c>
      <c r="F713" s="1052"/>
      <c r="G713" s="1020"/>
      <c r="H713" s="1065"/>
      <c r="I713" s="1026"/>
      <c r="J713" s="623"/>
      <c r="K713" s="1023"/>
      <c r="L713" s="626"/>
      <c r="M713" s="607"/>
      <c r="N713" s="627"/>
    </row>
    <row r="714" spans="1:15" s="27" customFormat="1" ht="17.25" customHeight="1">
      <c r="A714" s="1020" t="s">
        <v>421</v>
      </c>
      <c r="B714" s="1065" t="s">
        <v>467</v>
      </c>
      <c r="C714" s="1026">
        <f>VLOOKUP(B707,'CNKT '!$D$16:$AA$97,14,0)</f>
        <v>0</v>
      </c>
      <c r="D714" s="622">
        <f>153.6*$B$2</f>
        <v>103028.73599999999</v>
      </c>
      <c r="E714" s="1023">
        <f t="shared" si="163"/>
        <v>0</v>
      </c>
      <c r="F714" s="1052"/>
      <c r="G714" s="1020"/>
      <c r="H714" s="1065"/>
      <c r="I714" s="1026"/>
      <c r="J714" s="622"/>
      <c r="K714" s="1023"/>
      <c r="L714" s="626"/>
      <c r="M714" s="607"/>
      <c r="N714" s="627"/>
    </row>
    <row r="715" spans="1:15" s="27" customFormat="1" ht="17.25" customHeight="1">
      <c r="A715" s="1020" t="s">
        <v>425</v>
      </c>
      <c r="B715" s="1065" t="s">
        <v>468</v>
      </c>
      <c r="C715" s="1026">
        <f>VLOOKUP(B707,'CNKT '!$D$16:$AA$97,18,0)</f>
        <v>0</v>
      </c>
      <c r="D715" s="622">
        <v>10000</v>
      </c>
      <c r="E715" s="1023">
        <f>C715*D715</f>
        <v>0</v>
      </c>
      <c r="F715" s="1052"/>
      <c r="G715" s="1020"/>
      <c r="H715" s="1065"/>
      <c r="I715" s="1026"/>
      <c r="J715" s="622"/>
      <c r="K715" s="1023"/>
      <c r="L715" s="626"/>
      <c r="M715" s="607"/>
      <c r="N715" s="627"/>
    </row>
    <row r="716" spans="1:15" s="27" customFormat="1" ht="17.25" customHeight="1">
      <c r="A716" s="1028" t="s">
        <v>74</v>
      </c>
      <c r="B716" s="1066" t="s">
        <v>409</v>
      </c>
      <c r="C716" s="1030"/>
      <c r="D716" s="1031"/>
      <c r="E716" s="1030"/>
      <c r="F716" s="1052"/>
      <c r="G716" s="1028"/>
      <c r="H716" s="1066"/>
      <c r="I716" s="1030"/>
      <c r="J716" s="1031"/>
      <c r="K716" s="1030"/>
      <c r="L716" s="626"/>
      <c r="M716" s="607"/>
      <c r="N716" s="627"/>
    </row>
    <row r="717" spans="1:15" s="27" customFormat="1" ht="17.25" customHeight="1">
      <c r="A717" s="1032" t="s">
        <v>75</v>
      </c>
      <c r="B717" s="1067" t="s">
        <v>410</v>
      </c>
      <c r="C717" s="1030"/>
      <c r="D717" s="1030"/>
      <c r="E717" s="1030"/>
      <c r="F717" s="1052"/>
      <c r="G717" s="1032"/>
      <c r="H717" s="1067"/>
      <c r="I717" s="1030"/>
      <c r="J717" s="1030"/>
      <c r="K717" s="1030"/>
      <c r="L717" s="626"/>
      <c r="M717" s="607"/>
      <c r="N717" s="627"/>
    </row>
    <row r="718" spans="1:15" s="27" customFormat="1" ht="17.25" customHeight="1">
      <c r="A718" s="1032" t="s">
        <v>76</v>
      </c>
      <c r="B718" s="1068" t="s">
        <v>411</v>
      </c>
      <c r="C718" s="1030"/>
      <c r="D718" s="1030"/>
      <c r="E718" s="1023">
        <f>SUM(E717)</f>
        <v>0</v>
      </c>
      <c r="F718" s="1052"/>
      <c r="G718" s="1032"/>
      <c r="H718" s="1068"/>
      <c r="I718" s="1030"/>
      <c r="J718" s="1030"/>
      <c r="K718" s="1023"/>
      <c r="L718" s="626"/>
      <c r="M718" s="607"/>
      <c r="N718" s="627"/>
    </row>
    <row r="719" spans="1:15" s="27" customFormat="1" ht="17.25" customHeight="1">
      <c r="A719" s="1036" t="s">
        <v>77</v>
      </c>
      <c r="B719" s="1069" t="s">
        <v>412</v>
      </c>
      <c r="C719" s="1038"/>
      <c r="D719" s="1038"/>
      <c r="E719" s="1038">
        <f>(E709+E710+E711+E712+E713+E714+E715)-E718</f>
        <v>0</v>
      </c>
      <c r="F719" s="1052"/>
      <c r="G719" s="1036"/>
      <c r="H719" s="1069"/>
      <c r="I719" s="1038"/>
      <c r="J719" s="1038"/>
      <c r="K719" s="1038"/>
      <c r="L719" s="1040">
        <f>E719+K719</f>
        <v>0</v>
      </c>
      <c r="M719" s="627"/>
      <c r="N719" s="607"/>
      <c r="O719" s="627"/>
    </row>
    <row r="720" spans="1:15" s="27" customFormat="1" ht="17.25" customHeight="1">
      <c r="A720" s="1070"/>
      <c r="B720" s="1071"/>
      <c r="C720" s="1072"/>
      <c r="D720" s="1072"/>
      <c r="E720" s="1072"/>
      <c r="F720" s="1052"/>
      <c r="G720" s="1070"/>
      <c r="H720" s="1071"/>
      <c r="I720" s="1072"/>
      <c r="J720" s="1073"/>
      <c r="K720" s="1072"/>
      <c r="L720" s="1040"/>
      <c r="M720" s="627"/>
      <c r="N720" s="607"/>
      <c r="O720" s="627"/>
    </row>
    <row r="721" spans="1:15" s="27" customFormat="1" ht="17.25" customHeight="1">
      <c r="A721" s="1611" t="str">
        <f>A706</f>
        <v>LƯƠNG THÁNG 08/2025</v>
      </c>
      <c r="B721" s="1612"/>
      <c r="C721" s="1612"/>
      <c r="D721" s="1612"/>
      <c r="E721" s="1014">
        <v>84</v>
      </c>
      <c r="F721" s="1052"/>
      <c r="G721" s="1611" t="str">
        <f>A721</f>
        <v>LƯƠNG THÁNG 08/2025</v>
      </c>
      <c r="H721" s="1612"/>
      <c r="I721" s="1612"/>
      <c r="J721" s="1612"/>
      <c r="K721" s="1014">
        <v>85</v>
      </c>
      <c r="L721" s="1040"/>
      <c r="M721" s="627"/>
      <c r="N721" s="607"/>
      <c r="O721" s="627"/>
    </row>
    <row r="722" spans="1:15" s="27" customFormat="1" ht="17.25" customHeight="1">
      <c r="A722" s="1044" t="s">
        <v>13</v>
      </c>
      <c r="B722" s="1016" t="str">
        <f>'CNKT '!D99</f>
        <v>T. Tạch</v>
      </c>
      <c r="C722" s="1017"/>
      <c r="D722" s="1061"/>
      <c r="E722" s="1062" t="s">
        <v>39</v>
      </c>
      <c r="F722" s="1052"/>
      <c r="G722" s="1044" t="s">
        <v>13</v>
      </c>
      <c r="H722" s="1016" t="str">
        <f>'CNKT '!D98</f>
        <v>A. Trí</v>
      </c>
      <c r="I722" s="1017"/>
      <c r="J722" s="1061"/>
      <c r="K722" s="1062" t="s">
        <v>39</v>
      </c>
      <c r="L722" s="1040"/>
      <c r="M722" s="627"/>
      <c r="N722" s="607"/>
      <c r="O722" s="627"/>
    </row>
    <row r="723" spans="1:15" s="27" customFormat="1" ht="17.25" customHeight="1">
      <c r="A723" s="1020" t="s">
        <v>377</v>
      </c>
      <c r="B723" s="1021" t="s">
        <v>493</v>
      </c>
      <c r="C723" s="1022"/>
      <c r="D723" s="1023"/>
      <c r="E723" s="1023"/>
      <c r="F723" s="1052"/>
      <c r="G723" s="1020" t="s">
        <v>377</v>
      </c>
      <c r="H723" s="1021" t="s">
        <v>493</v>
      </c>
      <c r="I723" s="1022"/>
      <c r="J723" s="1023"/>
      <c r="K723" s="1023"/>
      <c r="L723" s="1040"/>
      <c r="M723" s="627"/>
      <c r="N723" s="607"/>
      <c r="O723" s="627"/>
    </row>
    <row r="724" spans="1:15" s="27" customFormat="1" ht="17.25" customHeight="1">
      <c r="A724" s="1020" t="s">
        <v>72</v>
      </c>
      <c r="B724" s="1024" t="s">
        <v>406</v>
      </c>
      <c r="C724" s="621">
        <f>VLOOKUP(B722,'CNKT '!$D$16:$AA$111,3,0)</f>
        <v>0</v>
      </c>
      <c r="D724" s="622">
        <v>25000</v>
      </c>
      <c r="E724" s="1023">
        <f>C724*D724</f>
        <v>0</v>
      </c>
      <c r="F724" s="1052"/>
      <c r="G724" s="1020" t="s">
        <v>72</v>
      </c>
      <c r="H724" s="1024" t="s">
        <v>406</v>
      </c>
      <c r="I724" s="621">
        <f>VLOOKUP(H722,'CNKT '!$D$16:$AA$111,3,0)</f>
        <v>0</v>
      </c>
      <c r="J724" s="622">
        <v>25000</v>
      </c>
      <c r="K724" s="1023">
        <f>I724*J724</f>
        <v>0</v>
      </c>
      <c r="L724" s="1040"/>
      <c r="M724" s="627"/>
      <c r="N724" s="607"/>
      <c r="O724" s="627"/>
    </row>
    <row r="725" spans="1:15" s="27" customFormat="1" ht="17.25" customHeight="1">
      <c r="A725" s="1020" t="s">
        <v>292</v>
      </c>
      <c r="B725" s="1025" t="s">
        <v>494</v>
      </c>
      <c r="C725" s="1026">
        <f>VLOOKUP(B722,'CNKT '!$D$16:$AA$111,11,0)</f>
        <v>0</v>
      </c>
      <c r="D725" s="623">
        <f>46.1*$B$2</f>
        <v>30922.036</v>
      </c>
      <c r="E725" s="1023">
        <f>C725*D725</f>
        <v>0</v>
      </c>
      <c r="F725" s="1052"/>
      <c r="G725" s="1020" t="s">
        <v>292</v>
      </c>
      <c r="H725" s="1025" t="s">
        <v>494</v>
      </c>
      <c r="I725" s="1026">
        <f>VLOOKUP(H722,'CNKT '!$D$16:$AA$111,11,0)</f>
        <v>0</v>
      </c>
      <c r="J725" s="623">
        <f>46.1*$B$2</f>
        <v>30922.036</v>
      </c>
      <c r="K725" s="1023">
        <f>I725*J725</f>
        <v>0</v>
      </c>
      <c r="L725" s="1040"/>
      <c r="M725" s="627"/>
      <c r="N725" s="607"/>
      <c r="O725" s="627"/>
    </row>
    <row r="726" spans="1:15" s="27" customFormat="1" ht="17.25" customHeight="1">
      <c r="A726" s="1020" t="s">
        <v>379</v>
      </c>
      <c r="B726" s="1025" t="s">
        <v>495</v>
      </c>
      <c r="C726" s="1026">
        <f>VLOOKUP(B722,'CNKT '!$D$16:$AA$111,12,0)</f>
        <v>0</v>
      </c>
      <c r="D726" s="622">
        <f>76.9*$B$2</f>
        <v>51581.444000000003</v>
      </c>
      <c r="E726" s="1023">
        <f t="shared" ref="E726:E727" si="164">C726*D726</f>
        <v>0</v>
      </c>
      <c r="F726" s="1052"/>
      <c r="G726" s="1020" t="s">
        <v>379</v>
      </c>
      <c r="H726" s="1025" t="s">
        <v>495</v>
      </c>
      <c r="I726" s="1026">
        <f>VLOOKUP(H722,'CNKT '!$D$16:$AA$111,12,0)</f>
        <v>0</v>
      </c>
      <c r="J726" s="622">
        <f>76.9*$B$2</f>
        <v>51581.444000000003</v>
      </c>
      <c r="K726" s="1023">
        <f t="shared" ref="K726:K727" si="165">I726*J726</f>
        <v>0</v>
      </c>
      <c r="L726" s="1040"/>
      <c r="M726" s="627"/>
      <c r="N726" s="607"/>
      <c r="O726" s="627"/>
    </row>
    <row r="727" spans="1:15" s="27" customFormat="1" ht="17.25" customHeight="1">
      <c r="A727" s="1020" t="s">
        <v>73</v>
      </c>
      <c r="B727" s="1025" t="s">
        <v>496</v>
      </c>
      <c r="C727" s="1026">
        <f>VLOOKUP(B722,'CNKT '!$D$16:$AA$111,8,0)</f>
        <v>0</v>
      </c>
      <c r="D727" s="622">
        <f>IF(C723="A",6.1,IF(C723="B",5.8,IF(C723="C",5.5,IF(C723="C.",5.5,IF(C723="D",5.2)))))*$B$2</f>
        <v>0</v>
      </c>
      <c r="E727" s="1023">
        <f t="shared" si="164"/>
        <v>0</v>
      </c>
      <c r="F727" s="1052"/>
      <c r="G727" s="1020" t="s">
        <v>73</v>
      </c>
      <c r="H727" s="1025" t="s">
        <v>496</v>
      </c>
      <c r="I727" s="1026">
        <f>VLOOKUP(H722,'CNKT '!$D$16:$AA$111,8,0)</f>
        <v>0</v>
      </c>
      <c r="J727" s="622">
        <f>IF(I723="A",6.1,IF(I723="B",5.8,IF(I723="C",5.5,IF(I723="C.",5.5,IF(I723="D",5.2)))))*$B$2</f>
        <v>0</v>
      </c>
      <c r="K727" s="1023">
        <f t="shared" si="165"/>
        <v>0</v>
      </c>
      <c r="L727" s="1040"/>
      <c r="M727" s="627"/>
      <c r="N727" s="607"/>
      <c r="O727" s="627"/>
    </row>
    <row r="728" spans="1:15" s="27" customFormat="1" ht="17.25" customHeight="1">
      <c r="A728" s="1089" t="s">
        <v>462</v>
      </c>
      <c r="B728" s="1090" t="s">
        <v>497</v>
      </c>
      <c r="C728" s="1091">
        <f>VLOOKUP(B722,'CNKT '!$D$16:$AA$111,13,0)</f>
        <v>0</v>
      </c>
      <c r="D728" s="1092">
        <v>100000</v>
      </c>
      <c r="E728" s="1093">
        <f>C728*D728</f>
        <v>0</v>
      </c>
      <c r="F728" s="1052"/>
      <c r="G728" s="1089" t="s">
        <v>462</v>
      </c>
      <c r="H728" s="1090" t="s">
        <v>497</v>
      </c>
      <c r="I728" s="1091">
        <f>VLOOKUP(H722,'CNKT '!$D$16:$AA$111,13,0)</f>
        <v>0</v>
      </c>
      <c r="J728" s="1092">
        <v>100000</v>
      </c>
      <c r="K728" s="1093">
        <f>I728*J728</f>
        <v>0</v>
      </c>
      <c r="L728" s="1040"/>
      <c r="M728" s="627"/>
      <c r="N728" s="607"/>
      <c r="O728" s="627"/>
    </row>
    <row r="729" spans="1:15" s="27" customFormat="1" ht="17.25" customHeight="1">
      <c r="A729" s="1020" t="s">
        <v>463</v>
      </c>
      <c r="B729" s="1025" t="s">
        <v>467</v>
      </c>
      <c r="C729" s="1026">
        <f>VLOOKUP(B722,'CNKT '!$D$16:$AA$111,16,0)</f>
        <v>0</v>
      </c>
      <c r="D729" s="622">
        <f>153.8*$B$2</f>
        <v>103162.88800000001</v>
      </c>
      <c r="E729" s="1023">
        <f t="shared" ref="E729" si="166">C729*D729</f>
        <v>0</v>
      </c>
      <c r="F729" s="1052"/>
      <c r="G729" s="1020" t="s">
        <v>463</v>
      </c>
      <c r="H729" s="1025" t="s">
        <v>467</v>
      </c>
      <c r="I729" s="1026">
        <f>VLOOKUP(H722,'CNKT '!$D$16:$AA$111,16,0)</f>
        <v>0</v>
      </c>
      <c r="J729" s="622">
        <f>153.8*$B$2</f>
        <v>103162.88800000001</v>
      </c>
      <c r="K729" s="1023">
        <f t="shared" ref="K729" si="167">I729*J729</f>
        <v>0</v>
      </c>
      <c r="L729" s="1040"/>
      <c r="M729" s="627"/>
      <c r="N729" s="607"/>
      <c r="O729" s="627"/>
    </row>
    <row r="730" spans="1:15" s="27" customFormat="1" ht="17.25" customHeight="1">
      <c r="A730" s="1020" t="s">
        <v>425</v>
      </c>
      <c r="B730" s="1025" t="s">
        <v>468</v>
      </c>
      <c r="C730" s="1026">
        <f>VLOOKUP(B722,'CNKT '!$D$16:$AA$111,18,0)</f>
        <v>0</v>
      </c>
      <c r="D730" s="622">
        <v>10000</v>
      </c>
      <c r="E730" s="1023">
        <f>C730*D730</f>
        <v>0</v>
      </c>
      <c r="F730" s="1052"/>
      <c r="G730" s="1020" t="s">
        <v>425</v>
      </c>
      <c r="H730" s="1025" t="s">
        <v>468</v>
      </c>
      <c r="I730" s="1026">
        <f>VLOOKUP(H722,'CNKT '!$D$16:$AA$111,18,0)</f>
        <v>0</v>
      </c>
      <c r="J730" s="622">
        <v>10000</v>
      </c>
      <c r="K730" s="1023">
        <f>I730*J730</f>
        <v>0</v>
      </c>
      <c r="L730" s="1040"/>
      <c r="M730" s="627"/>
      <c r="N730" s="607"/>
      <c r="O730" s="627"/>
    </row>
    <row r="731" spans="1:15" s="27" customFormat="1" ht="17.25" customHeight="1">
      <c r="A731" s="1020" t="s">
        <v>425</v>
      </c>
      <c r="B731" s="1025" t="s">
        <v>468</v>
      </c>
      <c r="C731" s="1026">
        <f>VLOOKUP(B722,'CNKT '!$D$16:$AA$101,19,0)</f>
        <v>0</v>
      </c>
      <c r="D731" s="622">
        <v>20000</v>
      </c>
      <c r="E731" s="1023">
        <f>C731*D731</f>
        <v>0</v>
      </c>
      <c r="F731" s="1052"/>
      <c r="G731" s="1020" t="s">
        <v>425</v>
      </c>
      <c r="H731" s="1025" t="s">
        <v>468</v>
      </c>
      <c r="I731" s="1026">
        <f>VLOOKUP(H722,'CNKT '!$D$16:$AA$101,19,0)</f>
        <v>0</v>
      </c>
      <c r="J731" s="622">
        <v>20000</v>
      </c>
      <c r="K731" s="1023">
        <f>I731*J731</f>
        <v>0</v>
      </c>
      <c r="L731" s="1040"/>
      <c r="M731" s="627"/>
      <c r="N731" s="607"/>
      <c r="O731" s="627"/>
    </row>
    <row r="732" spans="1:15" s="27" customFormat="1" ht="17.25" customHeight="1">
      <c r="A732" s="1020" t="s">
        <v>780</v>
      </c>
      <c r="B732" s="1027" t="s">
        <v>781</v>
      </c>
      <c r="C732" s="1026"/>
      <c r="D732" s="622"/>
      <c r="E732" s="1023">
        <f>VLOOKUP(B722,'CNKT '!$D$16:$AE$99,28,0)</f>
        <v>0</v>
      </c>
      <c r="F732" s="1052"/>
      <c r="G732" s="1020" t="s">
        <v>780</v>
      </c>
      <c r="H732" s="1027" t="s">
        <v>781</v>
      </c>
      <c r="I732" s="1026"/>
      <c r="J732" s="622"/>
      <c r="K732" s="1023">
        <f>VLOOKUP(H722,'CNKT '!$D$16:$AE$99,28,0)</f>
        <v>0</v>
      </c>
      <c r="L732" s="1040"/>
      <c r="M732" s="627"/>
      <c r="N732" s="607"/>
      <c r="O732" s="627"/>
    </row>
    <row r="733" spans="1:15" s="27" customFormat="1" ht="17.25" customHeight="1">
      <c r="A733" s="1028" t="s">
        <v>74</v>
      </c>
      <c r="B733" s="1029" t="s">
        <v>498</v>
      </c>
      <c r="C733" s="1030"/>
      <c r="D733" s="1031"/>
      <c r="E733" s="1030"/>
      <c r="F733" s="1052"/>
      <c r="G733" s="1028" t="s">
        <v>74</v>
      </c>
      <c r="H733" s="1029" t="s">
        <v>498</v>
      </c>
      <c r="I733" s="1030"/>
      <c r="J733" s="1031"/>
      <c r="K733" s="1030"/>
      <c r="L733" s="1040"/>
      <c r="M733" s="627"/>
      <c r="N733" s="607"/>
      <c r="O733" s="627"/>
    </row>
    <row r="734" spans="1:15" s="27" customFormat="1" ht="17.25" customHeight="1">
      <c r="A734" s="1032" t="s">
        <v>75</v>
      </c>
      <c r="B734" s="1033" t="s">
        <v>499</v>
      </c>
      <c r="C734" s="1030"/>
      <c r="D734" s="1030"/>
      <c r="E734" s="1030"/>
      <c r="F734" s="1052"/>
      <c r="G734" s="1032" t="s">
        <v>75</v>
      </c>
      <c r="H734" s="1033" t="s">
        <v>499</v>
      </c>
      <c r="I734" s="1030"/>
      <c r="J734" s="1030"/>
      <c r="K734" s="1030"/>
      <c r="L734" s="1040"/>
      <c r="M734" s="627"/>
      <c r="N734" s="607"/>
      <c r="O734" s="627"/>
    </row>
    <row r="735" spans="1:15" s="27" customFormat="1" ht="17.25" customHeight="1">
      <c r="A735" s="1032" t="s">
        <v>76</v>
      </c>
      <c r="B735" s="1034" t="s">
        <v>500</v>
      </c>
      <c r="C735" s="1030"/>
      <c r="D735" s="1030"/>
      <c r="E735" s="1023">
        <f>SUM(E734)</f>
        <v>0</v>
      </c>
      <c r="F735" s="1052"/>
      <c r="G735" s="1032" t="s">
        <v>76</v>
      </c>
      <c r="H735" s="1034" t="s">
        <v>500</v>
      </c>
      <c r="I735" s="1030"/>
      <c r="J735" s="1030"/>
      <c r="K735" s="1023">
        <f>SUM(K734)</f>
        <v>0</v>
      </c>
      <c r="L735" s="1040"/>
      <c r="M735" s="627"/>
      <c r="N735" s="607"/>
      <c r="O735" s="627"/>
    </row>
    <row r="736" spans="1:15" s="27" customFormat="1" ht="17.25" customHeight="1">
      <c r="A736" s="1036" t="s">
        <v>77</v>
      </c>
      <c r="B736" s="1037" t="s">
        <v>412</v>
      </c>
      <c r="C736" s="1038"/>
      <c r="D736" s="1038"/>
      <c r="E736" s="1038">
        <f>(E724+E725+E726+E727+E728+E729+E730+E731+E732)-E735</f>
        <v>0</v>
      </c>
      <c r="F736" s="1052"/>
      <c r="G736" s="1036" t="s">
        <v>77</v>
      </c>
      <c r="H736" s="1037" t="s">
        <v>412</v>
      </c>
      <c r="I736" s="1038"/>
      <c r="J736" s="1038"/>
      <c r="K736" s="1038">
        <f>(K724+K725+K726+K727+K728+K729+K730+K731+K732)-K735</f>
        <v>0</v>
      </c>
      <c r="L736" s="1040">
        <f>K736+E736</f>
        <v>0</v>
      </c>
      <c r="M736" s="627"/>
      <c r="N736" s="607"/>
      <c r="O736" s="627"/>
    </row>
    <row r="737" spans="1:16" s="27" customFormat="1" ht="17.25" customHeight="1">
      <c r="A737" s="1070"/>
      <c r="B737" s="1071"/>
      <c r="C737" s="1072"/>
      <c r="D737" s="1072"/>
      <c r="E737" s="1072"/>
      <c r="F737" s="1052"/>
      <c r="G737" s="1070"/>
      <c r="H737" s="1071"/>
      <c r="I737" s="1072"/>
      <c r="J737" s="1073"/>
      <c r="K737" s="1072"/>
      <c r="L737" s="1040"/>
      <c r="M737" s="607"/>
      <c r="N737" s="627"/>
    </row>
    <row r="738" spans="1:16" s="27" customFormat="1" ht="17.25" customHeight="1">
      <c r="A738" s="1614"/>
      <c r="B738" s="1614"/>
      <c r="C738" s="1614"/>
      <c r="D738" s="1614"/>
      <c r="E738" s="1614"/>
      <c r="F738" s="1614"/>
      <c r="G738" s="1614"/>
      <c r="H738" s="1614"/>
      <c r="I738" s="1614"/>
      <c r="J738" s="1615"/>
      <c r="K738" s="1052"/>
      <c r="L738" s="1015"/>
      <c r="M738" s="627">
        <f>SUM(L12:L736)</f>
        <v>573321260.08307278</v>
      </c>
      <c r="N738" s="607">
        <v>661430555</v>
      </c>
      <c r="O738" s="1074"/>
      <c r="P738" s="627">
        <f>M738-N738-O738</f>
        <v>-88109294.916927218</v>
      </c>
    </row>
    <row r="739" spans="1:16" s="27" customFormat="1" ht="17.25" customHeight="1">
      <c r="A739" s="1616"/>
      <c r="B739" s="1616"/>
      <c r="C739" s="1616"/>
      <c r="D739" s="1616"/>
      <c r="E739" s="1616"/>
      <c r="F739" s="1052"/>
      <c r="G739" s="1616"/>
      <c r="H739" s="1616"/>
      <c r="I739" s="1616"/>
      <c r="J739" s="1616"/>
      <c r="K739" s="1052"/>
      <c r="L739" s="1015"/>
      <c r="M739" s="1075"/>
    </row>
    <row r="740" spans="1:16" s="27" customFormat="1" ht="17.25" customHeight="1">
      <c r="A740" s="1045"/>
      <c r="B740" s="1050"/>
      <c r="C740" s="1051"/>
      <c r="D740" s="1051"/>
      <c r="E740" s="1049"/>
      <c r="F740" s="1049"/>
      <c r="G740" s="1045"/>
      <c r="H740" s="1050"/>
      <c r="I740" s="1051"/>
      <c r="J740" s="1049"/>
      <c r="K740" s="1052"/>
      <c r="L740" s="1015"/>
    </row>
    <row r="741" spans="1:16" s="27" customFormat="1" ht="17.25" customHeight="1">
      <c r="A741" s="1043" t="s">
        <v>763</v>
      </c>
      <c r="B741" s="1043"/>
      <c r="C741" s="1043"/>
      <c r="D741" s="1043"/>
      <c r="E741" s="1043"/>
      <c r="F741" s="1043"/>
      <c r="G741" s="1043"/>
      <c r="H741" s="1043"/>
      <c r="I741" s="1043"/>
      <c r="J741" s="1043"/>
      <c r="L741" s="1040"/>
      <c r="M741" s="627"/>
      <c r="N741" s="627"/>
      <c r="O741" s="1075"/>
    </row>
    <row r="742" spans="1:16" s="27" customFormat="1" ht="17.25" customHeight="1">
      <c r="A742" s="1052"/>
      <c r="B742" s="1052"/>
      <c r="C742" s="1052"/>
      <c r="D742" s="1052"/>
      <c r="E742" s="1052"/>
      <c r="F742" s="1052"/>
      <c r="G742" s="1052"/>
      <c r="H742" s="1052"/>
      <c r="I742" s="1052"/>
      <c r="J742" s="1052"/>
      <c r="L742" s="1040"/>
      <c r="M742" s="627"/>
      <c r="N742" s="627"/>
      <c r="O742" s="1075"/>
    </row>
    <row r="743" spans="1:16" s="27" customFormat="1" ht="17.25" customHeight="1">
      <c r="A743" s="1076" t="str">
        <f>A721</f>
        <v>LƯƠNG THÁNG 08/2025</v>
      </c>
      <c r="B743" s="1077"/>
      <c r="C743" s="1077"/>
      <c r="D743" s="1077"/>
      <c r="E743" s="1078">
        <f>VLOOKUP(B744,'CNKT '!$D$102:$AD$166,26,0)</f>
        <v>1</v>
      </c>
      <c r="F743" s="636"/>
      <c r="G743" s="1076" t="str">
        <f>A743</f>
        <v>LƯƠNG THÁNG 08/2025</v>
      </c>
      <c r="H743" s="1077"/>
      <c r="I743" s="1077"/>
      <c r="J743" s="1077"/>
      <c r="K743" s="1078">
        <f>VLOOKUP(H744,'CNKT '!$D$102:$AD$166,26,0)</f>
        <v>2</v>
      </c>
      <c r="L743" s="1040"/>
      <c r="M743" s="627"/>
      <c r="N743" s="627"/>
      <c r="O743" s="1075"/>
    </row>
    <row r="744" spans="1:16" s="27" customFormat="1" ht="17.25" customHeight="1">
      <c r="A744" s="1044" t="s">
        <v>13</v>
      </c>
      <c r="B744" s="1016" t="str">
        <f>'CNKT '!D102</f>
        <v xml:space="preserve">T. Lun </v>
      </c>
      <c r="C744" s="1022"/>
      <c r="D744" s="1016" t="s">
        <v>376</v>
      </c>
      <c r="E744" s="1016" t="s">
        <v>16</v>
      </c>
      <c r="F744" s="1079"/>
      <c r="G744" s="1044" t="s">
        <v>13</v>
      </c>
      <c r="H744" s="1016" t="str">
        <f>'CNKT '!D103</f>
        <v>N. Keo</v>
      </c>
      <c r="I744" s="1022"/>
      <c r="J744" s="1016" t="s">
        <v>376</v>
      </c>
      <c r="K744" s="1016" t="s">
        <v>16</v>
      </c>
      <c r="L744" s="1080"/>
    </row>
    <row r="745" spans="1:16" s="27" customFormat="1" ht="17.25" customHeight="1">
      <c r="A745" s="1020" t="s">
        <v>377</v>
      </c>
      <c r="B745" s="1021" t="s">
        <v>493</v>
      </c>
      <c r="C745" s="1022" t="str">
        <f>VLOOKUP(B744,'BTH mủ tạp'!$D$98:$AN$160,37,0)</f>
        <v>A</v>
      </c>
      <c r="D745" s="1023"/>
      <c r="E745" s="1023"/>
      <c r="F745" s="1079"/>
      <c r="G745" s="1020" t="s">
        <v>377</v>
      </c>
      <c r="H745" s="1021" t="s">
        <v>493</v>
      </c>
      <c r="I745" s="1022" t="str">
        <f>VLOOKUP(H744,'BTH mủ tạp'!$D$98:$AN$160,37,0)</f>
        <v>A</v>
      </c>
      <c r="J745" s="1023"/>
      <c r="K745" s="1023"/>
      <c r="L745" s="1015"/>
      <c r="M745" s="1075"/>
    </row>
    <row r="746" spans="1:16" s="27" customFormat="1" ht="17.25" customHeight="1">
      <c r="A746" s="1020" t="s">
        <v>72</v>
      </c>
      <c r="B746" s="1024" t="s">
        <v>406</v>
      </c>
      <c r="C746" s="621">
        <f>VLOOKUP(B744,'CNKT '!$D$101:$AA$166,3,0)</f>
        <v>0</v>
      </c>
      <c r="D746" s="622">
        <v>25000</v>
      </c>
      <c r="E746" s="1023">
        <f t="shared" ref="E746:E751" si="168">C746*D746</f>
        <v>0</v>
      </c>
      <c r="F746" s="1079"/>
      <c r="G746" s="1020" t="s">
        <v>72</v>
      </c>
      <c r="H746" s="1024" t="s">
        <v>406</v>
      </c>
      <c r="I746" s="621">
        <f>VLOOKUP(H744,'CNKT '!$D$101:$AA$166,3,0)</f>
        <v>0</v>
      </c>
      <c r="J746" s="622">
        <v>25000</v>
      </c>
      <c r="K746" s="1023">
        <f t="shared" ref="K746:K751" si="169">I746*J746</f>
        <v>0</v>
      </c>
      <c r="L746" s="1015"/>
    </row>
    <row r="747" spans="1:16" s="27" customFormat="1" ht="17.25" customHeight="1">
      <c r="A747" s="1020" t="s">
        <v>292</v>
      </c>
      <c r="B747" s="1025" t="s">
        <v>494</v>
      </c>
      <c r="C747" s="1026">
        <f>VLOOKUP(B744,'CNKT '!$D$101:$AA$166,11,0)</f>
        <v>24</v>
      </c>
      <c r="D747" s="623">
        <f>46.1*$B$2</f>
        <v>30922.036</v>
      </c>
      <c r="E747" s="1023">
        <f t="shared" si="168"/>
        <v>742128.86400000006</v>
      </c>
      <c r="F747" s="1079"/>
      <c r="G747" s="1020" t="s">
        <v>292</v>
      </c>
      <c r="H747" s="1025" t="s">
        <v>494</v>
      </c>
      <c r="I747" s="1026">
        <f>VLOOKUP(H744,'CNKT '!$D$101:$AA$166,11,0)</f>
        <v>23</v>
      </c>
      <c r="J747" s="623">
        <f>46.1*$B$2</f>
        <v>30922.036</v>
      </c>
      <c r="K747" s="1023">
        <f t="shared" si="169"/>
        <v>711206.82799999998</v>
      </c>
      <c r="L747" s="1015"/>
    </row>
    <row r="748" spans="1:16" s="27" customFormat="1" ht="17.25" customHeight="1">
      <c r="A748" s="1020" t="s">
        <v>379</v>
      </c>
      <c r="B748" s="1025" t="s">
        <v>495</v>
      </c>
      <c r="C748" s="1026">
        <f>VLOOKUP(B744,'CNKT '!$D$101:$AA$166,12,0)</f>
        <v>4</v>
      </c>
      <c r="D748" s="622">
        <f>76.9*$B$2</f>
        <v>51581.444000000003</v>
      </c>
      <c r="E748" s="1023">
        <f t="shared" si="168"/>
        <v>206325.77600000001</v>
      </c>
      <c r="F748" s="1079"/>
      <c r="G748" s="1020" t="s">
        <v>379</v>
      </c>
      <c r="H748" s="1025" t="s">
        <v>495</v>
      </c>
      <c r="I748" s="1026">
        <f>VLOOKUP(H744,'CNKT '!$D$101:$AA$166,12,0)</f>
        <v>4</v>
      </c>
      <c r="J748" s="622">
        <f>76.9*$B$2</f>
        <v>51581.444000000003</v>
      </c>
      <c r="K748" s="1023">
        <f t="shared" si="169"/>
        <v>206325.77600000001</v>
      </c>
      <c r="L748" s="1015"/>
    </row>
    <row r="749" spans="1:16" s="27" customFormat="1" ht="17.25" customHeight="1">
      <c r="A749" s="1020" t="s">
        <v>73</v>
      </c>
      <c r="B749" s="1025" t="s">
        <v>496</v>
      </c>
      <c r="C749" s="1026">
        <f>VLOOKUP(B744,'CNKT '!$D$101:$AA$166,8,0)</f>
        <v>1732.4091765006149</v>
      </c>
      <c r="D749" s="622">
        <f>IF(C745="A",6.1,IF(C745="B",5.8,IF(C745="C",5.5,IF(C745="C.",5.5,IF(C745="D",5.2)))))*$B$2</f>
        <v>4091.6359999999995</v>
      </c>
      <c r="E749" s="1023">
        <f t="shared" si="168"/>
        <v>7088387.7533002691</v>
      </c>
      <c r="F749" s="1079"/>
      <c r="G749" s="1020" t="s">
        <v>73</v>
      </c>
      <c r="H749" s="1025" t="s">
        <v>496</v>
      </c>
      <c r="I749" s="1026">
        <f>VLOOKUP(H744,'CNKT '!$D$101:$AA$166,8,0)</f>
        <v>1576.6870033320201</v>
      </c>
      <c r="J749" s="622">
        <f>IF(I745="A",6.1,IF(I745="B",5.8,IF(I745="C",5.5,IF(I745="C.",5.5,IF(I745="D",5.2)))))*$B$2</f>
        <v>4091.6359999999995</v>
      </c>
      <c r="K749" s="1023">
        <f t="shared" si="169"/>
        <v>6451229.3035654128</v>
      </c>
      <c r="L749" s="1015"/>
    </row>
    <row r="750" spans="1:16" s="27" customFormat="1" ht="17.25" customHeight="1">
      <c r="A750" s="1089" t="s">
        <v>464</v>
      </c>
      <c r="B750" s="1090" t="s">
        <v>497</v>
      </c>
      <c r="C750" s="1091">
        <f>VLOOKUP(B744,'CNKT '!$D$99:$AA$166,13,0)</f>
        <v>2</v>
      </c>
      <c r="D750" s="1092">
        <v>100000</v>
      </c>
      <c r="E750" s="1093">
        <f t="shared" si="168"/>
        <v>200000</v>
      </c>
      <c r="F750" s="1079"/>
      <c r="G750" s="1089" t="s">
        <v>464</v>
      </c>
      <c r="H750" s="1090" t="s">
        <v>497</v>
      </c>
      <c r="I750" s="1091">
        <f>VLOOKUP(H744,'CNKT '!$D$99:$AA$166,13,0)</f>
        <v>2</v>
      </c>
      <c r="J750" s="1092">
        <v>100000</v>
      </c>
      <c r="K750" s="1093">
        <f t="shared" si="169"/>
        <v>200000</v>
      </c>
      <c r="L750" s="1015"/>
    </row>
    <row r="751" spans="1:16" s="27" customFormat="1" ht="19.5" customHeight="1">
      <c r="A751" s="1020" t="s">
        <v>421</v>
      </c>
      <c r="B751" s="1025" t="s">
        <v>467</v>
      </c>
      <c r="C751" s="1026">
        <f>VLOOKUP(B744,'CNKT '!$D$101:$AA$166,14,0)</f>
        <v>0</v>
      </c>
      <c r="D751" s="622">
        <f>153.6*$B$2</f>
        <v>103028.73599999999</v>
      </c>
      <c r="E751" s="1023">
        <f t="shared" si="168"/>
        <v>0</v>
      </c>
      <c r="F751" s="1079"/>
      <c r="G751" s="1020" t="s">
        <v>421</v>
      </c>
      <c r="H751" s="1025" t="s">
        <v>467</v>
      </c>
      <c r="I751" s="1026">
        <f>VLOOKUP(H744,'CNKT '!$D$101:$AA$166,14,0)</f>
        <v>0</v>
      </c>
      <c r="J751" s="622">
        <f>153.6*$B$2</f>
        <v>103028.73599999999</v>
      </c>
      <c r="K751" s="1023">
        <f t="shared" si="169"/>
        <v>0</v>
      </c>
      <c r="L751" s="1015"/>
    </row>
    <row r="752" spans="1:16" s="27" customFormat="1" ht="17.25" customHeight="1">
      <c r="A752" s="1020" t="s">
        <v>425</v>
      </c>
      <c r="B752" s="1025" t="s">
        <v>468</v>
      </c>
      <c r="C752" s="1026">
        <f>VLOOKUP(B744,'CNKT '!$D$102:$AA$166,18,0)</f>
        <v>2</v>
      </c>
      <c r="D752" s="622">
        <v>10000</v>
      </c>
      <c r="E752" s="1023">
        <f>C752*D752</f>
        <v>20000</v>
      </c>
      <c r="F752" s="1079"/>
      <c r="G752" s="1020" t="s">
        <v>425</v>
      </c>
      <c r="H752" s="1025" t="s">
        <v>468</v>
      </c>
      <c r="I752" s="1026">
        <f>VLOOKUP(H744,'CNKT '!$D$102:$AA$166,18,0)</f>
        <v>2</v>
      </c>
      <c r="J752" s="622">
        <v>10000</v>
      </c>
      <c r="K752" s="1023">
        <f>I752*J752</f>
        <v>20000</v>
      </c>
      <c r="L752" s="1015"/>
    </row>
    <row r="753" spans="1:13" s="27" customFormat="1" ht="17.25" customHeight="1">
      <c r="A753" s="1020" t="s">
        <v>425</v>
      </c>
      <c r="B753" s="1025" t="s">
        <v>468</v>
      </c>
      <c r="C753" s="1026">
        <f>VLOOKUP(B744,'CNKT '!$D$102:$AA$166,19,0)</f>
        <v>0</v>
      </c>
      <c r="D753" s="622">
        <v>20000</v>
      </c>
      <c r="E753" s="1023">
        <f>C753*D753</f>
        <v>0</v>
      </c>
      <c r="F753" s="1079"/>
      <c r="G753" s="1020" t="s">
        <v>425</v>
      </c>
      <c r="H753" s="1025" t="s">
        <v>468</v>
      </c>
      <c r="I753" s="1026">
        <f>VLOOKUP(H744,'CNKT '!$D$102:$AA$166,19,0)</f>
        <v>0</v>
      </c>
      <c r="J753" s="622">
        <v>20000</v>
      </c>
      <c r="K753" s="1023">
        <f>I753*J753</f>
        <v>0</v>
      </c>
      <c r="L753" s="1015"/>
    </row>
    <row r="754" spans="1:13" s="27" customFormat="1" ht="17.25" customHeight="1">
      <c r="A754" s="1020" t="s">
        <v>780</v>
      </c>
      <c r="B754" s="1027" t="s">
        <v>781</v>
      </c>
      <c r="C754" s="1026"/>
      <c r="D754" s="622"/>
      <c r="E754" s="1023">
        <f>VLOOKUP(B744,'CNKT '!$D$102:$AE$166,28,0)</f>
        <v>0</v>
      </c>
      <c r="F754" s="1079"/>
      <c r="G754" s="1020" t="s">
        <v>780</v>
      </c>
      <c r="H754" s="1027" t="s">
        <v>781</v>
      </c>
      <c r="I754" s="1026"/>
      <c r="J754" s="622"/>
      <c r="K754" s="1023">
        <f>VLOOKUP(H744,'CNKT '!$D$102:$AE$166,28,0)</f>
        <v>0</v>
      </c>
      <c r="L754" s="1015"/>
    </row>
    <row r="755" spans="1:13" s="27" customFormat="1" ht="17.25" customHeight="1">
      <c r="A755" s="1028" t="s">
        <v>74</v>
      </c>
      <c r="B755" s="1029" t="s">
        <v>498</v>
      </c>
      <c r="C755" s="1030"/>
      <c r="D755" s="1031"/>
      <c r="E755" s="1030"/>
      <c r="F755" s="1079"/>
      <c r="G755" s="1028" t="s">
        <v>74</v>
      </c>
      <c r="H755" s="1029" t="s">
        <v>498</v>
      </c>
      <c r="I755" s="1030"/>
      <c r="J755" s="1031"/>
      <c r="K755" s="1030"/>
      <c r="L755" s="1015"/>
    </row>
    <row r="756" spans="1:13" s="27" customFormat="1" ht="17.25" customHeight="1">
      <c r="A756" s="1032" t="s">
        <v>75</v>
      </c>
      <c r="B756" s="1033" t="s">
        <v>499</v>
      </c>
      <c r="C756" s="1030"/>
      <c r="D756" s="1030"/>
      <c r="E756" s="1030"/>
      <c r="F756" s="1079"/>
      <c r="G756" s="1032" t="s">
        <v>75</v>
      </c>
      <c r="H756" s="1033" t="s">
        <v>499</v>
      </c>
      <c r="I756" s="1030"/>
      <c r="J756" s="1030"/>
      <c r="K756" s="1030"/>
      <c r="L756" s="1015"/>
    </row>
    <row r="757" spans="1:13" s="27" customFormat="1" ht="17.25" customHeight="1">
      <c r="A757" s="1032" t="s">
        <v>76</v>
      </c>
      <c r="B757" s="1034" t="s">
        <v>500</v>
      </c>
      <c r="C757" s="1030"/>
      <c r="D757" s="1030"/>
      <c r="E757" s="1023">
        <f>SUM(E756)</f>
        <v>0</v>
      </c>
      <c r="F757" s="1081"/>
      <c r="G757" s="1032" t="s">
        <v>76</v>
      </c>
      <c r="H757" s="1034" t="s">
        <v>500</v>
      </c>
      <c r="I757" s="1030"/>
      <c r="J757" s="1030"/>
      <c r="K757" s="1023">
        <f>SUM(K756)</f>
        <v>0</v>
      </c>
      <c r="L757" s="1015"/>
      <c r="M757" s="1035">
        <f>E757+K757</f>
        <v>0</v>
      </c>
    </row>
    <row r="758" spans="1:13" s="27" customFormat="1" ht="17.25" customHeight="1">
      <c r="A758" s="1036" t="s">
        <v>77</v>
      </c>
      <c r="B758" s="1037" t="s">
        <v>412</v>
      </c>
      <c r="C758" s="1038"/>
      <c r="D758" s="1038"/>
      <c r="E758" s="1038">
        <f>(E746+E747+E748+E749+E750+E751+E752+E753+E754)-E757</f>
        <v>8256842.3933002688</v>
      </c>
      <c r="F758" s="1079"/>
      <c r="G758" s="1036" t="s">
        <v>77</v>
      </c>
      <c r="H758" s="1037" t="s">
        <v>412</v>
      </c>
      <c r="I758" s="1038"/>
      <c r="J758" s="1038"/>
      <c r="K758" s="1038">
        <f>(K746+K747+K748+K749+K750+K751+K752+K753+K754)-K757</f>
        <v>7588761.907565413</v>
      </c>
      <c r="L758" s="1040">
        <f>E758+K758</f>
        <v>15845604.300865682</v>
      </c>
    </row>
    <row r="759" spans="1:13" s="27" customFormat="1" ht="17.25" customHeight="1">
      <c r="A759" s="1082"/>
      <c r="B759" s="1082"/>
      <c r="C759" s="1082"/>
      <c r="D759" s="1082"/>
      <c r="E759" s="1082"/>
      <c r="F759" s="1082"/>
      <c r="G759" s="1082"/>
      <c r="H759" s="1082"/>
      <c r="I759" s="1082"/>
      <c r="J759" s="1082"/>
      <c r="K759" s="1082"/>
      <c r="L759" s="1015"/>
    </row>
    <row r="760" spans="1:13" s="27" customFormat="1" ht="17.25" customHeight="1">
      <c r="A760" s="1083" t="str">
        <f>A743</f>
        <v>LƯƠNG THÁNG 08/2025</v>
      </c>
      <c r="B760" s="1082"/>
      <c r="C760" s="1082"/>
      <c r="D760" s="1082"/>
      <c r="E760" s="1078">
        <f>VLOOKUP(B761,'CNKT '!$D$102:$AD$166,26,0)</f>
        <v>3</v>
      </c>
      <c r="F760" s="1079"/>
      <c r="G760" s="1083" t="str">
        <f>G743</f>
        <v>LƯƠNG THÁNG 08/2025</v>
      </c>
      <c r="H760" s="1082"/>
      <c r="I760" s="1082"/>
      <c r="J760" s="1082"/>
      <c r="K760" s="1078">
        <f>VLOOKUP(H761,'CNKT '!$D$102:$AD$166,26,0)</f>
        <v>4</v>
      </c>
      <c r="L760" s="1015"/>
    </row>
    <row r="761" spans="1:13" s="27" customFormat="1" ht="17.25" customHeight="1">
      <c r="A761" s="1044" t="s">
        <v>13</v>
      </c>
      <c r="B761" s="1016" t="str">
        <f>'CNKT '!D104</f>
        <v>T .Nhum</v>
      </c>
      <c r="C761" s="1022"/>
      <c r="D761" s="1016" t="s">
        <v>376</v>
      </c>
      <c r="E761" s="1016" t="s">
        <v>16</v>
      </c>
      <c r="F761" s="1079"/>
      <c r="G761" s="1044" t="s">
        <v>13</v>
      </c>
      <c r="H761" s="1016" t="str">
        <f>'CNKT '!D105</f>
        <v>N.Vông Ma Ni</v>
      </c>
      <c r="I761" s="1022"/>
      <c r="J761" s="1016" t="s">
        <v>376</v>
      </c>
      <c r="K761" s="1016" t="s">
        <v>16</v>
      </c>
      <c r="L761" s="1015"/>
    </row>
    <row r="762" spans="1:13" s="27" customFormat="1" ht="17.25" customHeight="1">
      <c r="A762" s="1020" t="s">
        <v>377</v>
      </c>
      <c r="B762" s="1021" t="s">
        <v>493</v>
      </c>
      <c r="C762" s="1022" t="str">
        <f>VLOOKUP(B761,'BTH mủ tạp'!$D$98:$AN$160,37,0)</f>
        <v>A</v>
      </c>
      <c r="D762" s="1023"/>
      <c r="E762" s="1023"/>
      <c r="F762" s="1079"/>
      <c r="G762" s="1020" t="s">
        <v>377</v>
      </c>
      <c r="H762" s="1021" t="s">
        <v>493</v>
      </c>
      <c r="I762" s="1022" t="str">
        <f>VLOOKUP(H761,'BTH mủ tạp'!$D$98:$AN$160,37,0)</f>
        <v>A</v>
      </c>
      <c r="J762" s="1023"/>
      <c r="K762" s="1023"/>
      <c r="L762" s="1015"/>
    </row>
    <row r="763" spans="1:13" s="27" customFormat="1" ht="17.25" customHeight="1">
      <c r="A763" s="1020" t="s">
        <v>72</v>
      </c>
      <c r="B763" s="1024" t="s">
        <v>406</v>
      </c>
      <c r="C763" s="621">
        <f>VLOOKUP(B761,'CNKT '!$D$101:$AA$166,3,0)</f>
        <v>0</v>
      </c>
      <c r="D763" s="622">
        <v>25000</v>
      </c>
      <c r="E763" s="1023">
        <f t="shared" ref="E763:E768" si="170">C763*D763</f>
        <v>0</v>
      </c>
      <c r="F763" s="1079"/>
      <c r="G763" s="1020" t="s">
        <v>72</v>
      </c>
      <c r="H763" s="1024" t="s">
        <v>406</v>
      </c>
      <c r="I763" s="621">
        <f>VLOOKUP(H761,'CNKT '!$D$101:$AA$166,3,0)</f>
        <v>0</v>
      </c>
      <c r="J763" s="622">
        <v>25000</v>
      </c>
      <c r="K763" s="1023">
        <f t="shared" ref="K763:K768" si="171">I763*J763</f>
        <v>0</v>
      </c>
      <c r="L763" s="1015"/>
    </row>
    <row r="764" spans="1:13" s="27" customFormat="1" ht="17.25" customHeight="1">
      <c r="A764" s="1020" t="s">
        <v>292</v>
      </c>
      <c r="B764" s="1025" t="s">
        <v>494</v>
      </c>
      <c r="C764" s="1026">
        <f>VLOOKUP(B761,'CNKT '!$D$101:$AA$166,11,0)</f>
        <v>24</v>
      </c>
      <c r="D764" s="623">
        <f>46.1*$B$2</f>
        <v>30922.036</v>
      </c>
      <c r="E764" s="1023">
        <f t="shared" si="170"/>
        <v>742128.86400000006</v>
      </c>
      <c r="F764" s="1079"/>
      <c r="G764" s="1020" t="s">
        <v>292</v>
      </c>
      <c r="H764" s="1025" t="s">
        <v>494</v>
      </c>
      <c r="I764" s="1026">
        <f>VLOOKUP(H761,'CNKT '!$D$101:$AA$166,11,0)</f>
        <v>24</v>
      </c>
      <c r="J764" s="623">
        <f>46.1*$B$2</f>
        <v>30922.036</v>
      </c>
      <c r="K764" s="1023">
        <f t="shared" si="171"/>
        <v>742128.86400000006</v>
      </c>
      <c r="L764" s="1015"/>
    </row>
    <row r="765" spans="1:13" s="27" customFormat="1" ht="17.25" customHeight="1">
      <c r="A765" s="1020" t="s">
        <v>379</v>
      </c>
      <c r="B765" s="1025" t="s">
        <v>495</v>
      </c>
      <c r="C765" s="1026">
        <f>VLOOKUP(B761,'CNKT '!$D$101:$AA$166,12,0)</f>
        <v>4</v>
      </c>
      <c r="D765" s="622">
        <f>76.9*$B$2</f>
        <v>51581.444000000003</v>
      </c>
      <c r="E765" s="1023">
        <f t="shared" si="170"/>
        <v>206325.77600000001</v>
      </c>
      <c r="F765" s="1079"/>
      <c r="G765" s="1020" t="s">
        <v>379</v>
      </c>
      <c r="H765" s="1025" t="s">
        <v>495</v>
      </c>
      <c r="I765" s="1026">
        <f>VLOOKUP(H761,'CNKT '!$D$101:$AA$166,12,0)</f>
        <v>4</v>
      </c>
      <c r="J765" s="622">
        <f>76.9*$B$2</f>
        <v>51581.444000000003</v>
      </c>
      <c r="K765" s="1023">
        <f t="shared" si="171"/>
        <v>206325.77600000001</v>
      </c>
      <c r="L765" s="1015"/>
    </row>
    <row r="766" spans="1:13" s="27" customFormat="1" ht="17.25" customHeight="1">
      <c r="A766" s="1020" t="s">
        <v>73</v>
      </c>
      <c r="B766" s="1025" t="s">
        <v>496</v>
      </c>
      <c r="C766" s="1026">
        <f>VLOOKUP(B761,'CNKT '!$D$101:$AA$166,8,0)</f>
        <v>1575.8218801477501</v>
      </c>
      <c r="D766" s="622">
        <f>IF(C762="A",6.1,IF(C762="B",5.8,IF(C762="C",5.5,IF(C762="C.",5.5,IF(C762="D",5.2)))))*$B$2</f>
        <v>4091.6359999999995</v>
      </c>
      <c r="E766" s="1023">
        <f t="shared" si="170"/>
        <v>6447689.5344002191</v>
      </c>
      <c r="F766" s="1079"/>
      <c r="G766" s="1020" t="s">
        <v>73</v>
      </c>
      <c r="H766" s="1025" t="s">
        <v>496</v>
      </c>
      <c r="I766" s="1026">
        <f>VLOOKUP(H761,'CNKT '!$D$101:$AA$166,8,0)</f>
        <v>1760.0931183972539</v>
      </c>
      <c r="J766" s="622">
        <f>IF(I762="A",6.1,IF(I762="B",5.8,IF(I762="C",5.5,IF(I762="C.",5.5,IF(I762="D",5.2)))))*$B$2</f>
        <v>4091.6359999999995</v>
      </c>
      <c r="K766" s="1023">
        <f t="shared" si="171"/>
        <v>7201660.3665864654</v>
      </c>
      <c r="L766" s="1015"/>
    </row>
    <row r="767" spans="1:13" s="27" customFormat="1" ht="17.25" customHeight="1">
      <c r="A767" s="1089" t="s">
        <v>464</v>
      </c>
      <c r="B767" s="1090" t="s">
        <v>497</v>
      </c>
      <c r="C767" s="1091">
        <f>VLOOKUP(B761,'CNKT '!$D$99:$AA$166,13,0)</f>
        <v>2</v>
      </c>
      <c r="D767" s="1092">
        <v>100000</v>
      </c>
      <c r="E767" s="1093">
        <f t="shared" si="170"/>
        <v>200000</v>
      </c>
      <c r="F767" s="1079"/>
      <c r="G767" s="1089" t="s">
        <v>464</v>
      </c>
      <c r="H767" s="1090" t="s">
        <v>497</v>
      </c>
      <c r="I767" s="1091">
        <f>VLOOKUP(H761,'CNKT '!$D$99:$AA$166,13,0)</f>
        <v>2</v>
      </c>
      <c r="J767" s="1092">
        <v>100000</v>
      </c>
      <c r="K767" s="1093">
        <f t="shared" si="171"/>
        <v>200000</v>
      </c>
      <c r="L767" s="1015"/>
    </row>
    <row r="768" spans="1:13" s="27" customFormat="1" ht="17.25" customHeight="1">
      <c r="A768" s="1020" t="s">
        <v>421</v>
      </c>
      <c r="B768" s="1025" t="s">
        <v>467</v>
      </c>
      <c r="C768" s="1026">
        <f>VLOOKUP(B761,'CNKT '!$D$101:$AA$166,14,0)</f>
        <v>0</v>
      </c>
      <c r="D768" s="622">
        <f>153.6*$B$2</f>
        <v>103028.73599999999</v>
      </c>
      <c r="E768" s="1023">
        <f t="shared" si="170"/>
        <v>0</v>
      </c>
      <c r="F768" s="1079"/>
      <c r="G768" s="1020" t="s">
        <v>421</v>
      </c>
      <c r="H768" s="1025" t="s">
        <v>467</v>
      </c>
      <c r="I768" s="1026">
        <f>VLOOKUP(H761,'CNKT '!$D$101:$AA$166,14,0)</f>
        <v>0</v>
      </c>
      <c r="J768" s="622">
        <f>153.6*$B$2</f>
        <v>103028.73599999999</v>
      </c>
      <c r="K768" s="1023">
        <f t="shared" si="171"/>
        <v>0</v>
      </c>
      <c r="L768" s="1015"/>
    </row>
    <row r="769" spans="1:12" s="27" customFormat="1" ht="17.25" customHeight="1">
      <c r="A769" s="1020" t="s">
        <v>425</v>
      </c>
      <c r="B769" s="1025" t="s">
        <v>468</v>
      </c>
      <c r="C769" s="1026">
        <f>VLOOKUP(B761,'CNKT '!$D$102:$AA$166,18,0)</f>
        <v>2</v>
      </c>
      <c r="D769" s="622">
        <v>10000</v>
      </c>
      <c r="E769" s="1023">
        <f>C769*D769</f>
        <v>20000</v>
      </c>
      <c r="F769" s="1079"/>
      <c r="G769" s="1020" t="s">
        <v>425</v>
      </c>
      <c r="H769" s="1025" t="s">
        <v>468</v>
      </c>
      <c r="I769" s="1026">
        <f>VLOOKUP(H761,'CNKT '!$D$102:$AA$166,18,0)</f>
        <v>2</v>
      </c>
      <c r="J769" s="622">
        <v>10000</v>
      </c>
      <c r="K769" s="1023">
        <f>I769*J769</f>
        <v>20000</v>
      </c>
      <c r="L769" s="1015"/>
    </row>
    <row r="770" spans="1:12" s="27" customFormat="1" ht="17.25" customHeight="1">
      <c r="A770" s="1020" t="s">
        <v>425</v>
      </c>
      <c r="B770" s="1025" t="s">
        <v>468</v>
      </c>
      <c r="C770" s="1026">
        <f>VLOOKUP(B761,'CNKT '!$D$102:$AA$166,19,0)</f>
        <v>0</v>
      </c>
      <c r="D770" s="622">
        <v>20000</v>
      </c>
      <c r="E770" s="1023">
        <f>C770*D770</f>
        <v>0</v>
      </c>
      <c r="F770" s="1079"/>
      <c r="G770" s="1020" t="s">
        <v>425</v>
      </c>
      <c r="H770" s="1025" t="s">
        <v>468</v>
      </c>
      <c r="I770" s="1026">
        <f>VLOOKUP(H761,'CNKT '!$D$102:$AA$166,19,0)</f>
        <v>0</v>
      </c>
      <c r="J770" s="622">
        <v>20000</v>
      </c>
      <c r="K770" s="1023">
        <f>I770*J770</f>
        <v>0</v>
      </c>
      <c r="L770" s="1015"/>
    </row>
    <row r="771" spans="1:12" s="27" customFormat="1" ht="17.25" customHeight="1">
      <c r="A771" s="1020" t="s">
        <v>780</v>
      </c>
      <c r="B771" s="1027" t="s">
        <v>781</v>
      </c>
      <c r="C771" s="1026"/>
      <c r="D771" s="622"/>
      <c r="E771" s="1023">
        <f>VLOOKUP(B761,'CNKT '!$D$102:$AE$166,28,0)</f>
        <v>0</v>
      </c>
      <c r="F771" s="1079"/>
      <c r="G771" s="1020" t="s">
        <v>780</v>
      </c>
      <c r="H771" s="1027" t="s">
        <v>781</v>
      </c>
      <c r="I771" s="1026"/>
      <c r="J771" s="622"/>
      <c r="K771" s="1023">
        <f>VLOOKUP(H761,'CNKT '!$D$102:$AE$166,28,0)</f>
        <v>0</v>
      </c>
      <c r="L771" s="1015"/>
    </row>
    <row r="772" spans="1:12" s="27" customFormat="1" ht="17.25" customHeight="1">
      <c r="A772" s="1028" t="s">
        <v>74</v>
      </c>
      <c r="B772" s="1029" t="s">
        <v>498</v>
      </c>
      <c r="C772" s="1030"/>
      <c r="D772" s="1031"/>
      <c r="E772" s="1030"/>
      <c r="F772" s="1079"/>
      <c r="G772" s="1028" t="s">
        <v>74</v>
      </c>
      <c r="H772" s="1029" t="s">
        <v>498</v>
      </c>
      <c r="I772" s="1030"/>
      <c r="J772" s="1031"/>
      <c r="K772" s="1030"/>
      <c r="L772" s="1015"/>
    </row>
    <row r="773" spans="1:12" s="27" customFormat="1" ht="17.25" customHeight="1">
      <c r="A773" s="1032" t="s">
        <v>75</v>
      </c>
      <c r="B773" s="1033" t="s">
        <v>499</v>
      </c>
      <c r="C773" s="1030"/>
      <c r="D773" s="1030"/>
      <c r="E773" s="1030"/>
      <c r="F773" s="1079"/>
      <c r="G773" s="1032" t="s">
        <v>75</v>
      </c>
      <c r="H773" s="1033" t="s">
        <v>499</v>
      </c>
      <c r="I773" s="1030"/>
      <c r="J773" s="1030"/>
      <c r="K773" s="1030"/>
      <c r="L773" s="1015"/>
    </row>
    <row r="774" spans="1:12" s="27" customFormat="1" ht="17.25" customHeight="1">
      <c r="A774" s="1032" t="s">
        <v>76</v>
      </c>
      <c r="B774" s="1034" t="s">
        <v>500</v>
      </c>
      <c r="C774" s="1030"/>
      <c r="D774" s="1030"/>
      <c r="E774" s="1023">
        <f>SUM(E773)</f>
        <v>0</v>
      </c>
      <c r="F774" s="1026"/>
      <c r="G774" s="1032" t="s">
        <v>76</v>
      </c>
      <c r="H774" s="1034" t="s">
        <v>500</v>
      </c>
      <c r="I774" s="1030"/>
      <c r="J774" s="1030"/>
      <c r="K774" s="1023">
        <f>SUM(K773)</f>
        <v>0</v>
      </c>
      <c r="L774" s="1015"/>
    </row>
    <row r="775" spans="1:12" s="27" customFormat="1" ht="17.25" customHeight="1">
      <c r="A775" s="1036" t="s">
        <v>77</v>
      </c>
      <c r="B775" s="1037" t="s">
        <v>412</v>
      </c>
      <c r="C775" s="1038"/>
      <c r="D775" s="1038"/>
      <c r="E775" s="1038">
        <f>(E763+E764+E765+E766+E767+E768+E769+E770+E771)-E774</f>
        <v>7616144.1744002197</v>
      </c>
      <c r="F775" s="1079"/>
      <c r="G775" s="1036" t="s">
        <v>77</v>
      </c>
      <c r="H775" s="1037" t="s">
        <v>412</v>
      </c>
      <c r="I775" s="1038"/>
      <c r="J775" s="1038"/>
      <c r="K775" s="1038">
        <f>(K763+K764+K765+K766+K767+K768+K769+K770+K771)-K774</f>
        <v>8370115.006586466</v>
      </c>
      <c r="L775" s="1040">
        <f>E775+K775</f>
        <v>15986259.180986686</v>
      </c>
    </row>
    <row r="776" spans="1:12" s="27" customFormat="1" ht="17.25" customHeight="1">
      <c r="A776" s="1082"/>
      <c r="B776" s="1082"/>
      <c r="C776" s="1082"/>
      <c r="D776" s="1082"/>
      <c r="E776" s="1082"/>
      <c r="F776" s="1082"/>
      <c r="G776" s="1082"/>
      <c r="H776" s="1082"/>
      <c r="I776" s="1082"/>
      <c r="J776" s="1082"/>
      <c r="K776" s="1082"/>
      <c r="L776" s="1015"/>
    </row>
    <row r="777" spans="1:12" s="27" customFormat="1" ht="17.25" customHeight="1">
      <c r="A777" s="1083" t="str">
        <f>A760</f>
        <v>LƯƠNG THÁNG 08/2025</v>
      </c>
      <c r="B777" s="1082"/>
      <c r="C777" s="1082"/>
      <c r="D777" s="1082"/>
      <c r="E777" s="1078">
        <f>VLOOKUP(B778,'CNKT '!$D$102:$AD$166,26,0)</f>
        <v>5</v>
      </c>
      <c r="F777" s="1079"/>
      <c r="G777" s="1083" t="str">
        <f>G760</f>
        <v>LƯƠNG THÁNG 08/2025</v>
      </c>
      <c r="H777" s="1082"/>
      <c r="I777" s="1082"/>
      <c r="J777" s="1082"/>
      <c r="K777" s="1078">
        <f>VLOOKUP(H778,'CNKT '!$D$102:$AD$166,26,0)</f>
        <v>6</v>
      </c>
      <c r="L777" s="1015"/>
    </row>
    <row r="778" spans="1:12" s="27" customFormat="1" ht="17.25" customHeight="1">
      <c r="A778" s="1044" t="s">
        <v>13</v>
      </c>
      <c r="B778" s="1016" t="str">
        <f>'CNKT '!D106</f>
        <v>Đao Hương</v>
      </c>
      <c r="C778" s="1022"/>
      <c r="D778" s="1016" t="s">
        <v>376</v>
      </c>
      <c r="E778" s="1016" t="s">
        <v>16</v>
      </c>
      <c r="F778" s="1079"/>
      <c r="G778" s="1044" t="s">
        <v>13</v>
      </c>
      <c r="H778" s="1016" t="str">
        <f>'CNKT '!D107</f>
        <v>T. Xi Nun</v>
      </c>
      <c r="I778" s="1022"/>
      <c r="J778" s="1016" t="s">
        <v>376</v>
      </c>
      <c r="K778" s="1016" t="s">
        <v>16</v>
      </c>
      <c r="L778" s="1015"/>
    </row>
    <row r="779" spans="1:12" s="27" customFormat="1" ht="17.25" customHeight="1">
      <c r="A779" s="1020" t="s">
        <v>377</v>
      </c>
      <c r="B779" s="1021" t="s">
        <v>493</v>
      </c>
      <c r="C779" s="1022" t="str">
        <f>VLOOKUP(B778,'BTH mủ tạp'!$D$98:$AN$160,37,0)</f>
        <v>A</v>
      </c>
      <c r="D779" s="1023"/>
      <c r="E779" s="1023"/>
      <c r="F779" s="1079"/>
      <c r="G779" s="1020" t="s">
        <v>377</v>
      </c>
      <c r="H779" s="1021" t="s">
        <v>493</v>
      </c>
      <c r="I779" s="1022" t="str">
        <f>VLOOKUP(H778,'BTH mủ tạp'!$D$98:$AN$160,37,0)</f>
        <v>B</v>
      </c>
      <c r="J779" s="1023"/>
      <c r="K779" s="1023"/>
      <c r="L779" s="1015"/>
    </row>
    <row r="780" spans="1:12" s="27" customFormat="1" ht="17.25" customHeight="1">
      <c r="A780" s="1020" t="s">
        <v>72</v>
      </c>
      <c r="B780" s="1024" t="s">
        <v>406</v>
      </c>
      <c r="C780" s="621">
        <f>VLOOKUP(B778,'CNKT '!$D$101:$AA$166,3,0)</f>
        <v>0</v>
      </c>
      <c r="D780" s="622">
        <v>25000</v>
      </c>
      <c r="E780" s="1023">
        <f t="shared" ref="E780:E785" si="172">C780*D780</f>
        <v>0</v>
      </c>
      <c r="F780" s="1079"/>
      <c r="G780" s="1020" t="s">
        <v>72</v>
      </c>
      <c r="H780" s="1024" t="s">
        <v>406</v>
      </c>
      <c r="I780" s="621">
        <f>VLOOKUP(H778,'CNKT '!$D$101:$AA$166,3,0)</f>
        <v>0</v>
      </c>
      <c r="J780" s="622">
        <v>25000</v>
      </c>
      <c r="K780" s="1023">
        <f t="shared" ref="K780:K785" si="173">I780*J780</f>
        <v>0</v>
      </c>
      <c r="L780" s="1015"/>
    </row>
    <row r="781" spans="1:12" s="27" customFormat="1" ht="17.25" customHeight="1">
      <c r="A781" s="1020" t="s">
        <v>292</v>
      </c>
      <c r="B781" s="1025" t="s">
        <v>494</v>
      </c>
      <c r="C781" s="1026">
        <f>VLOOKUP(B778,'CNKT '!$D$101:$AA$166,11,0)</f>
        <v>24</v>
      </c>
      <c r="D781" s="623">
        <f>46.1*$B$2</f>
        <v>30922.036</v>
      </c>
      <c r="E781" s="1023">
        <f t="shared" si="172"/>
        <v>742128.86400000006</v>
      </c>
      <c r="F781" s="1079"/>
      <c r="G781" s="1020" t="s">
        <v>292</v>
      </c>
      <c r="H781" s="1025" t="s">
        <v>494</v>
      </c>
      <c r="I781" s="1026">
        <f>VLOOKUP(H778,'CNKT '!$D$101:$AA$166,11,0)</f>
        <v>22</v>
      </c>
      <c r="J781" s="623">
        <f>46.1*$B$2</f>
        <v>30922.036</v>
      </c>
      <c r="K781" s="1023">
        <f t="shared" si="173"/>
        <v>680284.79200000002</v>
      </c>
      <c r="L781" s="1015"/>
    </row>
    <row r="782" spans="1:12" s="27" customFormat="1" ht="17.25" customHeight="1">
      <c r="A782" s="1020" t="s">
        <v>379</v>
      </c>
      <c r="B782" s="1025" t="s">
        <v>495</v>
      </c>
      <c r="C782" s="1026">
        <f>VLOOKUP(B778,'CNKT '!$D$101:$AA$166,12,0)</f>
        <v>4</v>
      </c>
      <c r="D782" s="622">
        <f>76.9*$B$2</f>
        <v>51581.444000000003</v>
      </c>
      <c r="E782" s="1023">
        <f t="shared" si="172"/>
        <v>206325.77600000001</v>
      </c>
      <c r="F782" s="1079"/>
      <c r="G782" s="1020" t="s">
        <v>379</v>
      </c>
      <c r="H782" s="1025" t="s">
        <v>495</v>
      </c>
      <c r="I782" s="1026">
        <f>VLOOKUP(H778,'CNKT '!$D$101:$AA$166,12,0)</f>
        <v>4</v>
      </c>
      <c r="J782" s="622">
        <f>76.9*$B$2</f>
        <v>51581.444000000003</v>
      </c>
      <c r="K782" s="1023">
        <f t="shared" si="173"/>
        <v>206325.77600000001</v>
      </c>
      <c r="L782" s="1015"/>
    </row>
    <row r="783" spans="1:12" s="27" customFormat="1" ht="17.25" customHeight="1">
      <c r="A783" s="1020" t="s">
        <v>73</v>
      </c>
      <c r="B783" s="1025" t="s">
        <v>496</v>
      </c>
      <c r="C783" s="1026">
        <f>VLOOKUP(B778,'CNKT '!$D$101:$AA$166,8,0)</f>
        <v>1616.9152314005737</v>
      </c>
      <c r="D783" s="622">
        <f>IF(C779="A",6.1,IF(C779="B",5.8,IF(C779="C",5.5,IF(C779="C.",5.5,IF(C779="D",5.2)))))*$B$2</f>
        <v>4091.6359999999995</v>
      </c>
      <c r="E783" s="1023">
        <f t="shared" si="172"/>
        <v>6615828.5697469171</v>
      </c>
      <c r="F783" s="1079"/>
      <c r="G783" s="1020" t="s">
        <v>73</v>
      </c>
      <c r="H783" s="1025" t="s">
        <v>496</v>
      </c>
      <c r="I783" s="1026">
        <f>VLOOKUP(H778,'CNKT '!$D$101:$AA$166,8,0)</f>
        <v>2165.8358918198696</v>
      </c>
      <c r="J783" s="622">
        <f>IF(I779="A",6.1,IF(I779="B",5.8,IF(I779="C",5.5,IF(I779="C.",5.5,IF(I779="D",5.2)))))*$B$2</f>
        <v>3890.4079999999999</v>
      </c>
      <c r="K783" s="1023">
        <f t="shared" si="173"/>
        <v>8425985.2802231554</v>
      </c>
      <c r="L783" s="1015"/>
    </row>
    <row r="784" spans="1:12" s="27" customFormat="1" ht="17.25" customHeight="1">
      <c r="A784" s="1089" t="s">
        <v>464</v>
      </c>
      <c r="B784" s="1090" t="s">
        <v>497</v>
      </c>
      <c r="C784" s="1091">
        <f>VLOOKUP(B778,'CNKT '!$D$99:$AA$166,13,0)</f>
        <v>2</v>
      </c>
      <c r="D784" s="1092">
        <v>100000</v>
      </c>
      <c r="E784" s="1093">
        <f t="shared" si="172"/>
        <v>200000</v>
      </c>
      <c r="F784" s="1079"/>
      <c r="G784" s="1089" t="s">
        <v>464</v>
      </c>
      <c r="H784" s="1090" t="s">
        <v>497</v>
      </c>
      <c r="I784" s="1091">
        <f>VLOOKUP(H778,'CNKT '!$D$99:$AA$166,13,0)</f>
        <v>2</v>
      </c>
      <c r="J784" s="1092">
        <v>100000</v>
      </c>
      <c r="K784" s="1093">
        <f t="shared" si="173"/>
        <v>200000</v>
      </c>
      <c r="L784" s="1015"/>
    </row>
    <row r="785" spans="1:12" s="27" customFormat="1" ht="17.25" customHeight="1">
      <c r="A785" s="1020" t="s">
        <v>421</v>
      </c>
      <c r="B785" s="1025" t="s">
        <v>467</v>
      </c>
      <c r="C785" s="1026">
        <f>VLOOKUP(B778,'CNKT '!$D$101:$AA$166,14,0)</f>
        <v>0</v>
      </c>
      <c r="D785" s="622">
        <f>153.6*$B$2</f>
        <v>103028.73599999999</v>
      </c>
      <c r="E785" s="1023">
        <f t="shared" si="172"/>
        <v>0</v>
      </c>
      <c r="F785" s="1079"/>
      <c r="G785" s="1020" t="s">
        <v>421</v>
      </c>
      <c r="H785" s="1025" t="s">
        <v>467</v>
      </c>
      <c r="I785" s="1026">
        <f>VLOOKUP(H778,'CNKT '!$D$101:$AA$166,14,0)</f>
        <v>0</v>
      </c>
      <c r="J785" s="622">
        <f>153.6*$B$2</f>
        <v>103028.73599999999</v>
      </c>
      <c r="K785" s="1023">
        <f t="shared" si="173"/>
        <v>0</v>
      </c>
      <c r="L785" s="1015"/>
    </row>
    <row r="786" spans="1:12" s="27" customFormat="1" ht="17.25" customHeight="1">
      <c r="A786" s="1020" t="s">
        <v>425</v>
      </c>
      <c r="B786" s="1025" t="s">
        <v>468</v>
      </c>
      <c r="C786" s="1026">
        <f>VLOOKUP(B778,'CNKT '!$D$102:$AA$166,18,0)</f>
        <v>2</v>
      </c>
      <c r="D786" s="622">
        <v>10000</v>
      </c>
      <c r="E786" s="1023">
        <f>C786*D786</f>
        <v>20000</v>
      </c>
      <c r="F786" s="1079"/>
      <c r="G786" s="1020" t="s">
        <v>425</v>
      </c>
      <c r="H786" s="1025" t="s">
        <v>468</v>
      </c>
      <c r="I786" s="1026">
        <f>VLOOKUP(H778,'CNKT '!$D$102:$AA$166,18,0)</f>
        <v>2</v>
      </c>
      <c r="J786" s="622">
        <v>10000</v>
      </c>
      <c r="K786" s="1023">
        <f>I786*J786</f>
        <v>20000</v>
      </c>
      <c r="L786" s="1015"/>
    </row>
    <row r="787" spans="1:12" s="27" customFormat="1" ht="17.25" customHeight="1">
      <c r="A787" s="1020" t="s">
        <v>425</v>
      </c>
      <c r="B787" s="1025" t="s">
        <v>468</v>
      </c>
      <c r="C787" s="1026">
        <f>VLOOKUP(B778,'CNKT '!$D$102:$AA$166,19,0)</f>
        <v>0</v>
      </c>
      <c r="D787" s="622">
        <v>20000</v>
      </c>
      <c r="E787" s="1023">
        <f>C787*D787</f>
        <v>0</v>
      </c>
      <c r="F787" s="1079"/>
      <c r="G787" s="1020" t="s">
        <v>425</v>
      </c>
      <c r="H787" s="1025" t="s">
        <v>468</v>
      </c>
      <c r="I787" s="1026">
        <f>VLOOKUP(H778,'CNKT '!$D$102:$AA$166,19,0)</f>
        <v>0</v>
      </c>
      <c r="J787" s="622">
        <v>20000</v>
      </c>
      <c r="K787" s="1023">
        <f>I787*J787</f>
        <v>0</v>
      </c>
      <c r="L787" s="1015"/>
    </row>
    <row r="788" spans="1:12" s="27" customFormat="1" ht="17.25" customHeight="1">
      <c r="A788" s="1020" t="s">
        <v>780</v>
      </c>
      <c r="B788" s="1027" t="s">
        <v>781</v>
      </c>
      <c r="C788" s="1026"/>
      <c r="D788" s="622"/>
      <c r="E788" s="1023">
        <f>VLOOKUP(B778,'CNKT '!$D$102:$AE$166,28,0)</f>
        <v>0</v>
      </c>
      <c r="F788" s="1079"/>
      <c r="G788" s="1020" t="s">
        <v>780</v>
      </c>
      <c r="H788" s="1027" t="s">
        <v>781</v>
      </c>
      <c r="I788" s="1026"/>
      <c r="J788" s="622"/>
      <c r="K788" s="1023">
        <f>VLOOKUP(H778,'CNKT '!$D$102:$AE$166,28,0)</f>
        <v>0</v>
      </c>
      <c r="L788" s="1015"/>
    </row>
    <row r="789" spans="1:12" s="27" customFormat="1" ht="17.25" customHeight="1">
      <c r="A789" s="1028" t="s">
        <v>74</v>
      </c>
      <c r="B789" s="1029" t="s">
        <v>498</v>
      </c>
      <c r="C789" s="1030"/>
      <c r="D789" s="1031"/>
      <c r="E789" s="1030"/>
      <c r="F789" s="1079"/>
      <c r="G789" s="1028" t="s">
        <v>74</v>
      </c>
      <c r="H789" s="1029" t="s">
        <v>498</v>
      </c>
      <c r="I789" s="1030"/>
      <c r="J789" s="1031"/>
      <c r="K789" s="1030"/>
      <c r="L789" s="1015"/>
    </row>
    <row r="790" spans="1:12" s="27" customFormat="1" ht="17.25" customHeight="1">
      <c r="A790" s="1032" t="s">
        <v>75</v>
      </c>
      <c r="B790" s="1033" t="s">
        <v>499</v>
      </c>
      <c r="C790" s="1030"/>
      <c r="D790" s="1030"/>
      <c r="E790" s="1030"/>
      <c r="F790" s="1079"/>
      <c r="G790" s="1032" t="s">
        <v>75</v>
      </c>
      <c r="H790" s="1033" t="s">
        <v>499</v>
      </c>
      <c r="I790" s="1030"/>
      <c r="J790" s="1030"/>
      <c r="K790" s="1030"/>
      <c r="L790" s="1015"/>
    </row>
    <row r="791" spans="1:12" s="27" customFormat="1" ht="17.25" customHeight="1">
      <c r="A791" s="1032" t="s">
        <v>76</v>
      </c>
      <c r="B791" s="1034" t="s">
        <v>500</v>
      </c>
      <c r="C791" s="1030"/>
      <c r="D791" s="1030"/>
      <c r="E791" s="1023">
        <f>SUM(E790)</f>
        <v>0</v>
      </c>
      <c r="F791" s="1079"/>
      <c r="G791" s="1032" t="s">
        <v>76</v>
      </c>
      <c r="H791" s="1034" t="s">
        <v>500</v>
      </c>
      <c r="I791" s="1030"/>
      <c r="J791" s="1030"/>
      <c r="K791" s="1023">
        <f>SUM(K790)</f>
        <v>0</v>
      </c>
      <c r="L791" s="1015"/>
    </row>
    <row r="792" spans="1:12" s="27" customFormat="1" ht="17.25" customHeight="1">
      <c r="A792" s="1036" t="s">
        <v>77</v>
      </c>
      <c r="B792" s="1037" t="s">
        <v>412</v>
      </c>
      <c r="C792" s="1038"/>
      <c r="D792" s="1038"/>
      <c r="E792" s="1038">
        <f>(E780+E781+E782+E783+E784+E785+E786+E787+E788)-E791</f>
        <v>7784283.2097469177</v>
      </c>
      <c r="F792" s="628"/>
      <c r="G792" s="1036" t="s">
        <v>77</v>
      </c>
      <c r="H792" s="1037" t="s">
        <v>412</v>
      </c>
      <c r="I792" s="1038"/>
      <c r="J792" s="1038"/>
      <c r="K792" s="1038">
        <f>(K780+K781+K782+K783+K784+K785+K786+K787+K788)-K791</f>
        <v>9532595.8482231554</v>
      </c>
      <c r="L792" s="1040">
        <f>E792+K792</f>
        <v>17316879.057970073</v>
      </c>
    </row>
    <row r="793" spans="1:12" s="27" customFormat="1" ht="21" customHeight="1">
      <c r="A793" s="1082"/>
      <c r="B793" s="1082"/>
      <c r="C793" s="1082"/>
      <c r="D793" s="1082"/>
      <c r="E793" s="1082"/>
      <c r="F793" s="1082"/>
      <c r="G793" s="1082"/>
      <c r="H793" s="1082"/>
      <c r="I793" s="1082"/>
      <c r="J793" s="1082"/>
      <c r="K793" s="1082"/>
      <c r="L793" s="1015"/>
    </row>
    <row r="794" spans="1:12" s="27" customFormat="1" ht="17.25" customHeight="1">
      <c r="A794" s="1083" t="str">
        <f>A777</f>
        <v>LƯƠNG THÁNG 08/2025</v>
      </c>
      <c r="B794" s="1082"/>
      <c r="C794" s="1082"/>
      <c r="D794" s="1082"/>
      <c r="E794" s="1078">
        <f>VLOOKUP(B795,'CNKT '!$D$102:$AD$166,26,0)</f>
        <v>7</v>
      </c>
      <c r="F794" s="1079"/>
      <c r="G794" s="1083" t="str">
        <f>G777</f>
        <v>LƯƠNG THÁNG 08/2025</v>
      </c>
      <c r="H794" s="1082"/>
      <c r="I794" s="1082"/>
      <c r="J794" s="1082"/>
      <c r="K794" s="1078">
        <f>VLOOKUP(H795,'CNKT '!$D$102:$AD$166,26,0)</f>
        <v>8</v>
      </c>
      <c r="L794" s="1015"/>
    </row>
    <row r="795" spans="1:12" s="27" customFormat="1" ht="17.25" customHeight="1">
      <c r="A795" s="1044" t="s">
        <v>13</v>
      </c>
      <c r="B795" s="1016" t="str">
        <f>'CNKT '!D108</f>
        <v>T. Bun Hinh</v>
      </c>
      <c r="C795" s="1022"/>
      <c r="D795" s="1016" t="s">
        <v>376</v>
      </c>
      <c r="E795" s="1016" t="s">
        <v>16</v>
      </c>
      <c r="F795" s="1079"/>
      <c r="G795" s="1044" t="s">
        <v>13</v>
      </c>
      <c r="H795" s="1016" t="str">
        <f>'CNKT '!D109</f>
        <v>T. Miềng</v>
      </c>
      <c r="I795" s="1022"/>
      <c r="J795" s="1016" t="s">
        <v>376</v>
      </c>
      <c r="K795" s="1016" t="s">
        <v>16</v>
      </c>
      <c r="L795" s="1015"/>
    </row>
    <row r="796" spans="1:12" s="27" customFormat="1" ht="17.25" customHeight="1">
      <c r="A796" s="1020" t="s">
        <v>377</v>
      </c>
      <c r="B796" s="1021" t="s">
        <v>493</v>
      </c>
      <c r="C796" s="1022" t="str">
        <f>VLOOKUP(B795,'BTH mủ tạp'!$D$98:$AN$160,37,0)</f>
        <v>A</v>
      </c>
      <c r="D796" s="1023"/>
      <c r="E796" s="1023"/>
      <c r="F796" s="1079"/>
      <c r="G796" s="1020" t="s">
        <v>377</v>
      </c>
      <c r="H796" s="1021" t="s">
        <v>493</v>
      </c>
      <c r="I796" s="1022" t="str">
        <f>VLOOKUP(H795,'BTH mủ tạp'!$D$98:$AN$160,37,0)</f>
        <v>B</v>
      </c>
      <c r="J796" s="1023"/>
      <c r="K796" s="1023"/>
      <c r="L796" s="1015"/>
    </row>
    <row r="797" spans="1:12" s="27" customFormat="1" ht="17.25" customHeight="1">
      <c r="A797" s="1020" t="s">
        <v>72</v>
      </c>
      <c r="B797" s="1024" t="s">
        <v>406</v>
      </c>
      <c r="C797" s="621">
        <f>VLOOKUP(B795,'CNKT '!$D$101:$AA$166,3,0)</f>
        <v>0</v>
      </c>
      <c r="D797" s="622">
        <v>25000</v>
      </c>
      <c r="E797" s="1023">
        <f t="shared" ref="E797:E802" si="174">C797*D797</f>
        <v>0</v>
      </c>
      <c r="F797" s="1079"/>
      <c r="G797" s="1020" t="s">
        <v>72</v>
      </c>
      <c r="H797" s="1024" t="s">
        <v>406</v>
      </c>
      <c r="I797" s="621">
        <f>VLOOKUP(H795,'CNKT '!$D$101:$AA$166,3,0)</f>
        <v>0</v>
      </c>
      <c r="J797" s="622">
        <v>25000</v>
      </c>
      <c r="K797" s="1023">
        <f t="shared" ref="K797:K802" si="175">I797*J797</f>
        <v>0</v>
      </c>
      <c r="L797" s="1015"/>
    </row>
    <row r="798" spans="1:12" s="27" customFormat="1" ht="17.25" customHeight="1">
      <c r="A798" s="1020" t="s">
        <v>292</v>
      </c>
      <c r="B798" s="1025" t="s">
        <v>494</v>
      </c>
      <c r="C798" s="1026">
        <f>VLOOKUP(B795,'CNKT '!$D$101:$AA$166,11,0)</f>
        <v>24</v>
      </c>
      <c r="D798" s="623">
        <f>46.1*$B$2</f>
        <v>30922.036</v>
      </c>
      <c r="E798" s="1023">
        <f t="shared" si="174"/>
        <v>742128.86400000006</v>
      </c>
      <c r="F798" s="1079"/>
      <c r="G798" s="1020" t="s">
        <v>292</v>
      </c>
      <c r="H798" s="1025" t="s">
        <v>494</v>
      </c>
      <c r="I798" s="1026">
        <f>VLOOKUP(H795,'CNKT '!$D$101:$AA$166,11,0)</f>
        <v>22</v>
      </c>
      <c r="J798" s="623">
        <f>46.1*$B$2</f>
        <v>30922.036</v>
      </c>
      <c r="K798" s="1023">
        <f t="shared" si="175"/>
        <v>680284.79200000002</v>
      </c>
      <c r="L798" s="1015"/>
    </row>
    <row r="799" spans="1:12" s="27" customFormat="1" ht="17.25" customHeight="1">
      <c r="A799" s="1020" t="s">
        <v>379</v>
      </c>
      <c r="B799" s="1025" t="s">
        <v>495</v>
      </c>
      <c r="C799" s="1026">
        <f>VLOOKUP(B795,'CNKT '!$D$101:$AA$166,12,0)</f>
        <v>4</v>
      </c>
      <c r="D799" s="622">
        <f>76.9*$B$2</f>
        <v>51581.444000000003</v>
      </c>
      <c r="E799" s="1023">
        <f t="shared" si="174"/>
        <v>206325.77600000001</v>
      </c>
      <c r="F799" s="1079"/>
      <c r="G799" s="1020" t="s">
        <v>379</v>
      </c>
      <c r="H799" s="1025" t="s">
        <v>495</v>
      </c>
      <c r="I799" s="1026">
        <f>VLOOKUP(H795,'CNKT '!$D$101:$AA$166,12,0)</f>
        <v>4</v>
      </c>
      <c r="J799" s="622">
        <f>76.9*$B$2</f>
        <v>51581.444000000003</v>
      </c>
      <c r="K799" s="1023">
        <f t="shared" si="175"/>
        <v>206325.77600000001</v>
      </c>
      <c r="L799" s="1015"/>
    </row>
    <row r="800" spans="1:12" s="27" customFormat="1" ht="17.25" customHeight="1">
      <c r="A800" s="1020" t="s">
        <v>73</v>
      </c>
      <c r="B800" s="1025" t="s">
        <v>496</v>
      </c>
      <c r="C800" s="1026">
        <f>VLOOKUP(B795,'CNKT '!$D$101:$AA$166,8,0)</f>
        <v>1366.4620695544174</v>
      </c>
      <c r="D800" s="622">
        <f>IF(C796="A",6.1,IF(C796="B",5.8,IF(C796="C",5.5,IF(C796="C.",5.5,IF(C796="D",5.2)))))*$B$2</f>
        <v>4091.6359999999995</v>
      </c>
      <c r="E800" s="1023">
        <f t="shared" si="174"/>
        <v>5591065.3964233575</v>
      </c>
      <c r="F800" s="1079"/>
      <c r="G800" s="1020" t="s">
        <v>73</v>
      </c>
      <c r="H800" s="1025" t="s">
        <v>496</v>
      </c>
      <c r="I800" s="1026">
        <f>VLOOKUP(H795,'CNKT '!$D$101:$AA$166,8,0)</f>
        <v>1280.8148743116906</v>
      </c>
      <c r="J800" s="622">
        <f>IF(I796="A",6.1,IF(I796="B",5.8,IF(I796="C",5.5,IF(I796="C.",5.5,IF(I796="D",5.2)))))*$B$2</f>
        <v>3890.4079999999999</v>
      </c>
      <c r="K800" s="1023">
        <f t="shared" si="175"/>
        <v>4982892.4335411955</v>
      </c>
      <c r="L800" s="1015"/>
    </row>
    <row r="801" spans="1:12" s="27" customFormat="1" ht="17.25" customHeight="1">
      <c r="A801" s="1089" t="s">
        <v>464</v>
      </c>
      <c r="B801" s="1090" t="s">
        <v>497</v>
      </c>
      <c r="C801" s="1091">
        <f>VLOOKUP(B795,'CNKT '!$D$99:$AA$166,13,0)</f>
        <v>2</v>
      </c>
      <c r="D801" s="1092">
        <v>100000</v>
      </c>
      <c r="E801" s="1093">
        <f t="shared" si="174"/>
        <v>200000</v>
      </c>
      <c r="F801" s="1079"/>
      <c r="G801" s="1089" t="s">
        <v>464</v>
      </c>
      <c r="H801" s="1090" t="s">
        <v>497</v>
      </c>
      <c r="I801" s="1091">
        <f>VLOOKUP(H795,'CNKT '!$D$99:$AA$166,13,0)</f>
        <v>2</v>
      </c>
      <c r="J801" s="1092">
        <v>100000</v>
      </c>
      <c r="K801" s="1093">
        <f t="shared" si="175"/>
        <v>200000</v>
      </c>
      <c r="L801" s="1015"/>
    </row>
    <row r="802" spans="1:12" s="27" customFormat="1" ht="17.25" customHeight="1">
      <c r="A802" s="1020" t="s">
        <v>421</v>
      </c>
      <c r="B802" s="1025" t="s">
        <v>467</v>
      </c>
      <c r="C802" s="1026">
        <f>VLOOKUP(B795,'CNKT '!$D$101:$AA$166,14,0)</f>
        <v>0</v>
      </c>
      <c r="D802" s="622">
        <f>153.6*$B$2</f>
        <v>103028.73599999999</v>
      </c>
      <c r="E802" s="1023">
        <f t="shared" si="174"/>
        <v>0</v>
      </c>
      <c r="F802" s="1079"/>
      <c r="G802" s="1020" t="s">
        <v>421</v>
      </c>
      <c r="H802" s="1025" t="s">
        <v>467</v>
      </c>
      <c r="I802" s="1026">
        <f>VLOOKUP(H795,'CNKT '!$D$101:$AA$166,14,0)</f>
        <v>0</v>
      </c>
      <c r="J802" s="622">
        <f>153.6*$B$2</f>
        <v>103028.73599999999</v>
      </c>
      <c r="K802" s="1023">
        <f t="shared" si="175"/>
        <v>0</v>
      </c>
      <c r="L802" s="1015"/>
    </row>
    <row r="803" spans="1:12" s="27" customFormat="1" ht="17.25" customHeight="1">
      <c r="A803" s="1020" t="s">
        <v>425</v>
      </c>
      <c r="B803" s="1025" t="s">
        <v>468</v>
      </c>
      <c r="C803" s="1026">
        <f>VLOOKUP(B795,'CNKT '!$D$102:$AA$166,18,0)</f>
        <v>2</v>
      </c>
      <c r="D803" s="622">
        <v>10000</v>
      </c>
      <c r="E803" s="1023">
        <f>C803*D803</f>
        <v>20000</v>
      </c>
      <c r="F803" s="1079"/>
      <c r="G803" s="1020" t="s">
        <v>425</v>
      </c>
      <c r="H803" s="1025" t="s">
        <v>468</v>
      </c>
      <c r="I803" s="1026">
        <f>VLOOKUP(H795,'CNKT '!$D$102:$AA$166,18,0)</f>
        <v>2</v>
      </c>
      <c r="J803" s="622">
        <v>10000</v>
      </c>
      <c r="K803" s="1023">
        <f>I803*J803</f>
        <v>20000</v>
      </c>
      <c r="L803" s="1015"/>
    </row>
    <row r="804" spans="1:12" s="27" customFormat="1" ht="17.25" customHeight="1">
      <c r="A804" s="1020" t="s">
        <v>425</v>
      </c>
      <c r="B804" s="1025" t="s">
        <v>468</v>
      </c>
      <c r="C804" s="1026">
        <f>VLOOKUP(B795,'CNKT '!$D$102:$AA$166,19,0)</f>
        <v>0</v>
      </c>
      <c r="D804" s="622">
        <v>20000</v>
      </c>
      <c r="E804" s="1023">
        <f>C804*D804</f>
        <v>0</v>
      </c>
      <c r="F804" s="1079"/>
      <c r="G804" s="1020" t="s">
        <v>425</v>
      </c>
      <c r="H804" s="1025" t="s">
        <v>468</v>
      </c>
      <c r="I804" s="1026">
        <f>VLOOKUP(H795,'CNKT '!$D$102:$AA$166,19,0)</f>
        <v>0</v>
      </c>
      <c r="J804" s="622">
        <v>20000</v>
      </c>
      <c r="K804" s="1023">
        <f>I804*J804</f>
        <v>0</v>
      </c>
      <c r="L804" s="1015"/>
    </row>
    <row r="805" spans="1:12" s="27" customFormat="1" ht="17.25" customHeight="1">
      <c r="A805" s="1020" t="s">
        <v>780</v>
      </c>
      <c r="B805" s="1027" t="s">
        <v>781</v>
      </c>
      <c r="C805" s="1026"/>
      <c r="D805" s="622"/>
      <c r="E805" s="1023">
        <f>VLOOKUP(B795,'CNKT '!$D$102:$AE$166,28,0)</f>
        <v>0</v>
      </c>
      <c r="F805" s="1079"/>
      <c r="G805" s="1020" t="s">
        <v>780</v>
      </c>
      <c r="H805" s="1027" t="s">
        <v>781</v>
      </c>
      <c r="I805" s="1026"/>
      <c r="J805" s="622"/>
      <c r="K805" s="1023">
        <f>VLOOKUP(H795,'CNKT '!$D$102:$AE$166,28,0)</f>
        <v>0</v>
      </c>
      <c r="L805" s="1015"/>
    </row>
    <row r="806" spans="1:12" s="27" customFormat="1" ht="17.25" customHeight="1">
      <c r="A806" s="1028" t="s">
        <v>74</v>
      </c>
      <c r="B806" s="1029" t="s">
        <v>498</v>
      </c>
      <c r="C806" s="1030"/>
      <c r="D806" s="1031"/>
      <c r="E806" s="1030"/>
      <c r="F806" s="1079"/>
      <c r="G806" s="1028" t="s">
        <v>74</v>
      </c>
      <c r="H806" s="1029" t="s">
        <v>498</v>
      </c>
      <c r="I806" s="1030"/>
      <c r="J806" s="1031"/>
      <c r="K806" s="1030"/>
      <c r="L806" s="1015"/>
    </row>
    <row r="807" spans="1:12" s="27" customFormat="1" ht="17.25" customHeight="1">
      <c r="A807" s="1032" t="s">
        <v>75</v>
      </c>
      <c r="B807" s="1033" t="s">
        <v>499</v>
      </c>
      <c r="C807" s="1030"/>
      <c r="D807" s="1030"/>
      <c r="E807" s="1030"/>
      <c r="F807" s="1079"/>
      <c r="G807" s="1032" t="s">
        <v>75</v>
      </c>
      <c r="H807" s="1033" t="s">
        <v>499</v>
      </c>
      <c r="I807" s="1030"/>
      <c r="J807" s="1030"/>
      <c r="K807" s="1030"/>
      <c r="L807" s="1015"/>
    </row>
    <row r="808" spans="1:12" s="27" customFormat="1" ht="17.25" customHeight="1">
      <c r="A808" s="1032" t="s">
        <v>76</v>
      </c>
      <c r="B808" s="1034" t="s">
        <v>500</v>
      </c>
      <c r="C808" s="1030"/>
      <c r="D808" s="1030"/>
      <c r="E808" s="1023">
        <f>SUM(E807)</f>
        <v>0</v>
      </c>
      <c r="F808" s="1079"/>
      <c r="G808" s="1032" t="s">
        <v>76</v>
      </c>
      <c r="H808" s="1034" t="s">
        <v>500</v>
      </c>
      <c r="I808" s="1030"/>
      <c r="J808" s="1030"/>
      <c r="K808" s="1023">
        <f>SUM(K807)</f>
        <v>0</v>
      </c>
      <c r="L808" s="1015"/>
    </row>
    <row r="809" spans="1:12" s="27" customFormat="1" ht="17.25" customHeight="1">
      <c r="A809" s="1036" t="s">
        <v>77</v>
      </c>
      <c r="B809" s="1037" t="s">
        <v>412</v>
      </c>
      <c r="C809" s="1038"/>
      <c r="D809" s="1038"/>
      <c r="E809" s="1038">
        <f>(E797+E798+E799+E800+E801+E802+E803+E804+E805)-E808</f>
        <v>6759520.0364233572</v>
      </c>
      <c r="F809" s="1081"/>
      <c r="G809" s="1036" t="s">
        <v>77</v>
      </c>
      <c r="H809" s="1037" t="s">
        <v>412</v>
      </c>
      <c r="I809" s="1038"/>
      <c r="J809" s="1038"/>
      <c r="K809" s="1038">
        <f>(K797+K798+K799+K800+K801+K802+K803+K804+K805)-K808</f>
        <v>6089503.0015411954</v>
      </c>
      <c r="L809" s="1040">
        <f>E809+K809</f>
        <v>12849023.037964553</v>
      </c>
    </row>
    <row r="810" spans="1:12" s="27" customFormat="1" ht="17.25" customHeight="1">
      <c r="A810" s="1082"/>
      <c r="B810" s="1082"/>
      <c r="C810" s="1082"/>
      <c r="D810" s="1082"/>
      <c r="E810" s="1082"/>
      <c r="F810" s="1082"/>
      <c r="G810" s="1082"/>
      <c r="H810" s="1082"/>
      <c r="I810" s="1082"/>
      <c r="J810" s="1082"/>
      <c r="K810" s="1082"/>
      <c r="L810" s="1015"/>
    </row>
    <row r="811" spans="1:12" s="27" customFormat="1" ht="17.25" customHeight="1">
      <c r="A811" s="1083" t="str">
        <f>A794</f>
        <v>LƯƠNG THÁNG 08/2025</v>
      </c>
      <c r="B811" s="1082"/>
      <c r="C811" s="1082"/>
      <c r="D811" s="1082"/>
      <c r="E811" s="1078">
        <f>VLOOKUP(B812,'CNKT '!$D$102:$AD$166,26,0)</f>
        <v>9</v>
      </c>
      <c r="F811" s="1079"/>
      <c r="G811" s="1083" t="str">
        <f>A811</f>
        <v>LƯƠNG THÁNG 08/2025</v>
      </c>
      <c r="H811" s="1082"/>
      <c r="I811" s="1082"/>
      <c r="J811" s="1014"/>
      <c r="K811" s="1078">
        <f>VLOOKUP(H812,'CNKT '!$D$102:$AD$166,26,0)</f>
        <v>10</v>
      </c>
      <c r="L811" s="1015"/>
    </row>
    <row r="812" spans="1:12" s="27" customFormat="1" ht="17.25" customHeight="1">
      <c r="A812" s="1044" t="s">
        <v>13</v>
      </c>
      <c r="B812" s="1016" t="str">
        <f>'CNKT '!D110</f>
        <v>N. Xúc</v>
      </c>
      <c r="C812" s="1022"/>
      <c r="D812" s="1016" t="s">
        <v>376</v>
      </c>
      <c r="E812" s="1016" t="s">
        <v>16</v>
      </c>
      <c r="F812" s="1079"/>
      <c r="G812" s="1044" t="s">
        <v>13</v>
      </c>
      <c r="H812" s="1016" t="str">
        <f>'CNKT '!D111</f>
        <v>N. Lẹ</v>
      </c>
      <c r="I812" s="1022"/>
      <c r="J812" s="1016" t="s">
        <v>376</v>
      </c>
      <c r="K812" s="1016" t="s">
        <v>16</v>
      </c>
      <c r="L812" s="1015"/>
    </row>
    <row r="813" spans="1:12" s="27" customFormat="1" ht="17.25" customHeight="1">
      <c r="A813" s="1020" t="s">
        <v>377</v>
      </c>
      <c r="B813" s="1021" t="s">
        <v>493</v>
      </c>
      <c r="C813" s="1022" t="str">
        <f>VLOOKUP(B812,'BTH mủ tạp'!$D$98:$AN$160,37,0)</f>
        <v>B</v>
      </c>
      <c r="D813" s="1023"/>
      <c r="E813" s="1023"/>
      <c r="F813" s="1079"/>
      <c r="G813" s="1020" t="s">
        <v>377</v>
      </c>
      <c r="H813" s="1021" t="s">
        <v>493</v>
      </c>
      <c r="I813" s="1022" t="str">
        <f>VLOOKUP(H812,'BTH mủ tạp'!$D$98:$AN$160,37,0)</f>
        <v>A</v>
      </c>
      <c r="J813" s="1023"/>
      <c r="K813" s="1023"/>
      <c r="L813" s="1015"/>
    </row>
    <row r="814" spans="1:12" s="27" customFormat="1" ht="17.25" customHeight="1">
      <c r="A814" s="1020" t="s">
        <v>72</v>
      </c>
      <c r="B814" s="1024" t="s">
        <v>406</v>
      </c>
      <c r="C814" s="621">
        <f>VLOOKUP(B812,'CNKT '!$D$101:$AA$166,3,0)</f>
        <v>0</v>
      </c>
      <c r="D814" s="622">
        <v>25000</v>
      </c>
      <c r="E814" s="1023">
        <f t="shared" ref="E814:E819" si="176">C814*D814</f>
        <v>0</v>
      </c>
      <c r="F814" s="1079"/>
      <c r="G814" s="1020" t="s">
        <v>72</v>
      </c>
      <c r="H814" s="1024" t="s">
        <v>406</v>
      </c>
      <c r="I814" s="621">
        <f>VLOOKUP(H812,'CNKT '!$D$101:$AA$166,3,0)</f>
        <v>0</v>
      </c>
      <c r="J814" s="622">
        <v>25000</v>
      </c>
      <c r="K814" s="1023">
        <f t="shared" ref="K814:K819" si="177">I814*J814</f>
        <v>0</v>
      </c>
      <c r="L814" s="1015"/>
    </row>
    <row r="815" spans="1:12" s="27" customFormat="1" ht="17.25" customHeight="1">
      <c r="A815" s="1020" t="s">
        <v>292</v>
      </c>
      <c r="B815" s="1025" t="s">
        <v>494</v>
      </c>
      <c r="C815" s="1026">
        <f>VLOOKUP(B812,'CNKT '!$D$101:$AA$166,11,0)</f>
        <v>23</v>
      </c>
      <c r="D815" s="623">
        <f>46.1*$B$2</f>
        <v>30922.036</v>
      </c>
      <c r="E815" s="1023">
        <f t="shared" si="176"/>
        <v>711206.82799999998</v>
      </c>
      <c r="F815" s="1079"/>
      <c r="G815" s="1020" t="s">
        <v>292</v>
      </c>
      <c r="H815" s="1025" t="s">
        <v>494</v>
      </c>
      <c r="I815" s="1026">
        <f>VLOOKUP(H812,'CNKT '!$D$101:$AA$166,11,0)</f>
        <v>24</v>
      </c>
      <c r="J815" s="623">
        <f>46.1*$B$2</f>
        <v>30922.036</v>
      </c>
      <c r="K815" s="1023">
        <f t="shared" si="177"/>
        <v>742128.86400000006</v>
      </c>
      <c r="L815" s="1015"/>
    </row>
    <row r="816" spans="1:12" s="27" customFormat="1" ht="17.25" customHeight="1">
      <c r="A816" s="1020" t="s">
        <v>379</v>
      </c>
      <c r="B816" s="1025" t="s">
        <v>495</v>
      </c>
      <c r="C816" s="1026">
        <f>VLOOKUP(B812,'CNKT '!$D$101:$AA$166,12,0)</f>
        <v>3</v>
      </c>
      <c r="D816" s="622">
        <f>76.9*$B$2</f>
        <v>51581.444000000003</v>
      </c>
      <c r="E816" s="1023">
        <f t="shared" si="176"/>
        <v>154744.33199999999</v>
      </c>
      <c r="F816" s="1079"/>
      <c r="G816" s="1020" t="s">
        <v>379</v>
      </c>
      <c r="H816" s="1025" t="s">
        <v>495</v>
      </c>
      <c r="I816" s="1026">
        <f>VLOOKUP(H812,'CNKT '!$D$101:$AA$166,12,0)</f>
        <v>4</v>
      </c>
      <c r="J816" s="622">
        <f>76.9*$B$2</f>
        <v>51581.444000000003</v>
      </c>
      <c r="K816" s="1023">
        <f t="shared" si="177"/>
        <v>206325.77600000001</v>
      </c>
      <c r="L816" s="1015"/>
    </row>
    <row r="817" spans="1:12" s="27" customFormat="1" ht="17.25" customHeight="1">
      <c r="A817" s="1020" t="s">
        <v>73</v>
      </c>
      <c r="B817" s="1025" t="s">
        <v>496</v>
      </c>
      <c r="C817" s="1026">
        <f>VLOOKUP(B812,'CNKT '!$D$101:$AA$166,8,0)</f>
        <v>1515.6958188409874</v>
      </c>
      <c r="D817" s="622">
        <f>IF(C813="A",6.1,IF(C813="B",5.8,IF(C813="C",5.5,IF(C813="C.",5.5,IF(C813="D",5.2)))))*$B$2</f>
        <v>3890.4079999999999</v>
      </c>
      <c r="E817" s="1023">
        <f t="shared" si="176"/>
        <v>5896675.1391855283</v>
      </c>
      <c r="F817" s="1079"/>
      <c r="G817" s="1020" t="s">
        <v>73</v>
      </c>
      <c r="H817" s="1025" t="s">
        <v>496</v>
      </c>
      <c r="I817" s="1026">
        <f>VLOOKUP(H812,'CNKT '!$D$101:$AA$166,8,0)</f>
        <v>1633.7851334938382</v>
      </c>
      <c r="J817" s="622">
        <f>IF(I813="A",6.1,IF(I813="B",5.8,IF(I813="C",5.5,IF(I813="C.",5.5,IF(I813="D",5.2)))))*$B$2</f>
        <v>4091.6359999999995</v>
      </c>
      <c r="K817" s="1023">
        <f t="shared" si="177"/>
        <v>6684854.0684681935</v>
      </c>
      <c r="L817" s="1015"/>
    </row>
    <row r="818" spans="1:12" s="27" customFormat="1" ht="17.25" customHeight="1">
      <c r="A818" s="1089" t="s">
        <v>464</v>
      </c>
      <c r="B818" s="1090" t="s">
        <v>497</v>
      </c>
      <c r="C818" s="1091">
        <f>VLOOKUP(B812,'CNKT '!$D$99:$AA$166,13,0)</f>
        <v>2</v>
      </c>
      <c r="D818" s="1092">
        <v>100000</v>
      </c>
      <c r="E818" s="1093">
        <f t="shared" si="176"/>
        <v>200000</v>
      </c>
      <c r="F818" s="1079"/>
      <c r="G818" s="1089" t="s">
        <v>464</v>
      </c>
      <c r="H818" s="1090" t="s">
        <v>497</v>
      </c>
      <c r="I818" s="1091">
        <f>VLOOKUP(H812,'CNKT '!$D$99:$AA$166,13,0)</f>
        <v>2</v>
      </c>
      <c r="J818" s="1092">
        <v>100000</v>
      </c>
      <c r="K818" s="1093">
        <f t="shared" si="177"/>
        <v>200000</v>
      </c>
      <c r="L818" s="1015"/>
    </row>
    <row r="819" spans="1:12" s="27" customFormat="1" ht="17.25" customHeight="1">
      <c r="A819" s="1020" t="s">
        <v>421</v>
      </c>
      <c r="B819" s="1025" t="s">
        <v>467</v>
      </c>
      <c r="C819" s="1026">
        <f>VLOOKUP(B812,'CNKT '!$D$101:$AA$166,14,0)</f>
        <v>0</v>
      </c>
      <c r="D819" s="622">
        <f>153.6*$B$2</f>
        <v>103028.73599999999</v>
      </c>
      <c r="E819" s="1023">
        <f t="shared" si="176"/>
        <v>0</v>
      </c>
      <c r="F819" s="1079"/>
      <c r="G819" s="1020" t="s">
        <v>421</v>
      </c>
      <c r="H819" s="1025" t="s">
        <v>467</v>
      </c>
      <c r="I819" s="1026">
        <f>VLOOKUP(H812,'CNKT '!$D$101:$AA$166,14,0)</f>
        <v>0</v>
      </c>
      <c r="J819" s="622">
        <f>153.6*$B$2</f>
        <v>103028.73599999999</v>
      </c>
      <c r="K819" s="1023">
        <f t="shared" si="177"/>
        <v>0</v>
      </c>
      <c r="L819" s="1015"/>
    </row>
    <row r="820" spans="1:12" s="27" customFormat="1" ht="17.25" customHeight="1">
      <c r="A820" s="1020" t="s">
        <v>425</v>
      </c>
      <c r="B820" s="1025" t="s">
        <v>468</v>
      </c>
      <c r="C820" s="1026">
        <f>VLOOKUP(B812,'CNKT '!$D$102:$AA$166,18,0)</f>
        <v>2</v>
      </c>
      <c r="D820" s="622">
        <v>10000</v>
      </c>
      <c r="E820" s="1023">
        <f>C820*D820</f>
        <v>20000</v>
      </c>
      <c r="F820" s="1079"/>
      <c r="G820" s="1020" t="s">
        <v>425</v>
      </c>
      <c r="H820" s="1025" t="s">
        <v>468</v>
      </c>
      <c r="I820" s="1026">
        <f>VLOOKUP(H812,'CNKT '!$D$102:$AA$166,18,0)</f>
        <v>2</v>
      </c>
      <c r="J820" s="622">
        <v>10000</v>
      </c>
      <c r="K820" s="1023">
        <f>I820*J820</f>
        <v>20000</v>
      </c>
      <c r="L820" s="1015"/>
    </row>
    <row r="821" spans="1:12" s="27" customFormat="1" ht="17.25" customHeight="1">
      <c r="A821" s="1020" t="s">
        <v>425</v>
      </c>
      <c r="B821" s="1025" t="s">
        <v>468</v>
      </c>
      <c r="C821" s="1026">
        <f>VLOOKUP(B812,'CNKT '!$D$102:$AA$166,19,0)</f>
        <v>0</v>
      </c>
      <c r="D821" s="622">
        <v>20000</v>
      </c>
      <c r="E821" s="1023">
        <f>C821*D821</f>
        <v>0</v>
      </c>
      <c r="F821" s="1079"/>
      <c r="G821" s="1020" t="s">
        <v>425</v>
      </c>
      <c r="H821" s="1025" t="s">
        <v>468</v>
      </c>
      <c r="I821" s="1026">
        <f>VLOOKUP(H812,'CNKT '!$D$102:$AA$166,19,0)</f>
        <v>0</v>
      </c>
      <c r="J821" s="622">
        <v>20000</v>
      </c>
      <c r="K821" s="1023">
        <f>I821*J821</f>
        <v>0</v>
      </c>
      <c r="L821" s="1015"/>
    </row>
    <row r="822" spans="1:12" s="27" customFormat="1" ht="17.25" customHeight="1">
      <c r="A822" s="1020" t="s">
        <v>780</v>
      </c>
      <c r="B822" s="1027" t="s">
        <v>781</v>
      </c>
      <c r="C822" s="1026"/>
      <c r="D822" s="622"/>
      <c r="E822" s="1023">
        <f>VLOOKUP(B812,'CNKT '!$D$102:$AE$166,28,0)</f>
        <v>0</v>
      </c>
      <c r="F822" s="1079"/>
      <c r="G822" s="1020" t="s">
        <v>780</v>
      </c>
      <c r="H822" s="1027" t="s">
        <v>781</v>
      </c>
      <c r="I822" s="1026"/>
      <c r="J822" s="622"/>
      <c r="K822" s="1023">
        <f>VLOOKUP(H812,'CNKT '!$D$102:$AE$166,28,0)</f>
        <v>0</v>
      </c>
      <c r="L822" s="1015"/>
    </row>
    <row r="823" spans="1:12" s="27" customFormat="1" ht="17.25" customHeight="1">
      <c r="A823" s="1028" t="s">
        <v>74</v>
      </c>
      <c r="B823" s="1029" t="s">
        <v>498</v>
      </c>
      <c r="C823" s="1030"/>
      <c r="D823" s="1031"/>
      <c r="E823" s="1030"/>
      <c r="F823" s="1079"/>
      <c r="G823" s="1028" t="s">
        <v>74</v>
      </c>
      <c r="H823" s="1029" t="s">
        <v>498</v>
      </c>
      <c r="I823" s="1030"/>
      <c r="J823" s="1031"/>
      <c r="K823" s="1030"/>
      <c r="L823" s="1015"/>
    </row>
    <row r="824" spans="1:12" s="27" customFormat="1" ht="17.25" customHeight="1">
      <c r="A824" s="1032" t="s">
        <v>75</v>
      </c>
      <c r="B824" s="1033" t="s">
        <v>499</v>
      </c>
      <c r="C824" s="1030"/>
      <c r="D824" s="1030"/>
      <c r="E824" s="1030"/>
      <c r="F824" s="1079"/>
      <c r="G824" s="1032" t="s">
        <v>75</v>
      </c>
      <c r="H824" s="1033" t="s">
        <v>499</v>
      </c>
      <c r="I824" s="1030"/>
      <c r="J824" s="1030"/>
      <c r="K824" s="1030"/>
      <c r="L824" s="1015"/>
    </row>
    <row r="825" spans="1:12" s="27" customFormat="1" ht="17.25" customHeight="1">
      <c r="A825" s="1032" t="s">
        <v>76</v>
      </c>
      <c r="B825" s="1034" t="s">
        <v>500</v>
      </c>
      <c r="C825" s="1030"/>
      <c r="D825" s="1030"/>
      <c r="E825" s="1023">
        <f>SUM(E824)</f>
        <v>0</v>
      </c>
      <c r="F825" s="1079"/>
      <c r="G825" s="1032" t="s">
        <v>76</v>
      </c>
      <c r="H825" s="1034" t="s">
        <v>500</v>
      </c>
      <c r="I825" s="1030"/>
      <c r="J825" s="1030"/>
      <c r="K825" s="1023">
        <f>SUM(K824)</f>
        <v>0</v>
      </c>
      <c r="L825" s="1015"/>
    </row>
    <row r="826" spans="1:12" s="27" customFormat="1" ht="17.25" customHeight="1">
      <c r="A826" s="1036" t="s">
        <v>77</v>
      </c>
      <c r="B826" s="1037" t="s">
        <v>412</v>
      </c>
      <c r="C826" s="1038"/>
      <c r="D826" s="1038"/>
      <c r="E826" s="1038">
        <f>(E814+E815+E816+E817+E818+E819+E820+E821+E822)-E825</f>
        <v>6982626.2991855284</v>
      </c>
      <c r="F826" s="1079"/>
      <c r="G826" s="1036" t="s">
        <v>77</v>
      </c>
      <c r="H826" s="1037" t="s">
        <v>412</v>
      </c>
      <c r="I826" s="1038"/>
      <c r="J826" s="1038"/>
      <c r="K826" s="1038">
        <f>(K814+K815+K816+K817+K818+K819+K820+K821+K822)-K825</f>
        <v>7853308.7084681932</v>
      </c>
      <c r="L826" s="1040">
        <f>E826+K826</f>
        <v>14835935.007653721</v>
      </c>
    </row>
    <row r="827" spans="1:12" s="27" customFormat="1" ht="17.25" customHeight="1">
      <c r="A827" s="1082"/>
      <c r="B827" s="1082"/>
      <c r="C827" s="1082"/>
      <c r="D827" s="1082"/>
      <c r="E827" s="1082"/>
      <c r="F827" s="1082"/>
      <c r="G827" s="1082"/>
      <c r="H827" s="1082"/>
      <c r="I827" s="1082"/>
      <c r="J827" s="1082"/>
      <c r="K827" s="1082"/>
      <c r="L827" s="1015"/>
    </row>
    <row r="828" spans="1:12" s="27" customFormat="1" ht="17.25" customHeight="1">
      <c r="A828" s="1083" t="str">
        <f>A811</f>
        <v>LƯƠNG THÁNG 08/2025</v>
      </c>
      <c r="B828" s="1082"/>
      <c r="C828" s="1082"/>
      <c r="D828" s="1082"/>
      <c r="E828" s="1078">
        <f>VLOOKUP(B829,'CNKT '!$D$102:$AD$166,26,0)</f>
        <v>11</v>
      </c>
      <c r="F828" s="1079"/>
      <c r="G828" s="1083" t="str">
        <f>A828</f>
        <v>LƯƠNG THÁNG 08/2025</v>
      </c>
      <c r="H828" s="1082"/>
      <c r="I828" s="1082"/>
      <c r="J828" s="1014"/>
      <c r="K828" s="1078">
        <f>VLOOKUP(H829,'CNKT '!$D$102:$AD$166,26,0)</f>
        <v>12</v>
      </c>
      <c r="L828" s="1015"/>
    </row>
    <row r="829" spans="1:12" s="27" customFormat="1" ht="17.25" customHeight="1">
      <c r="A829" s="1044" t="s">
        <v>13</v>
      </c>
      <c r="B829" s="1016" t="str">
        <f>'CNKT '!D112</f>
        <v>N . Thích</v>
      </c>
      <c r="C829" s="1022"/>
      <c r="D829" s="1016" t="s">
        <v>376</v>
      </c>
      <c r="E829" s="1016" t="s">
        <v>16</v>
      </c>
      <c r="F829" s="1079"/>
      <c r="G829" s="1044" t="s">
        <v>13</v>
      </c>
      <c r="H829" s="1016" t="str">
        <f>'CNKT '!D113</f>
        <v>N. Cong Mi</v>
      </c>
      <c r="I829" s="1022"/>
      <c r="J829" s="1016" t="s">
        <v>376</v>
      </c>
      <c r="K829" s="1016" t="s">
        <v>16</v>
      </c>
      <c r="L829" s="1015"/>
    </row>
    <row r="830" spans="1:12" s="27" customFormat="1" ht="17.25" customHeight="1">
      <c r="A830" s="1020" t="s">
        <v>377</v>
      </c>
      <c r="B830" s="1021" t="s">
        <v>493</v>
      </c>
      <c r="C830" s="1022" t="str">
        <f>VLOOKUP(B829,'BTH mủ tạp'!$D$98:$AN$160,37,0)</f>
        <v>A</v>
      </c>
      <c r="D830" s="1023"/>
      <c r="E830" s="1023"/>
      <c r="F830" s="1079"/>
      <c r="G830" s="1020" t="s">
        <v>377</v>
      </c>
      <c r="H830" s="1021" t="s">
        <v>493</v>
      </c>
      <c r="I830" s="1022" t="str">
        <f>VLOOKUP(H829,'BTH mủ tạp'!$D$98:$AN$160,37,0)</f>
        <v>A</v>
      </c>
      <c r="J830" s="1023"/>
      <c r="K830" s="1023"/>
      <c r="L830" s="1015"/>
    </row>
    <row r="831" spans="1:12" s="27" customFormat="1" ht="17.25" customHeight="1">
      <c r="A831" s="1020" t="s">
        <v>72</v>
      </c>
      <c r="B831" s="1024" t="s">
        <v>406</v>
      </c>
      <c r="C831" s="621">
        <f>VLOOKUP(B829,'CNKT '!$D$101:$AA$166,3,0)</f>
        <v>0</v>
      </c>
      <c r="D831" s="622">
        <v>25000</v>
      </c>
      <c r="E831" s="1023">
        <f t="shared" ref="E831:E836" si="178">C831*D831</f>
        <v>0</v>
      </c>
      <c r="F831" s="1079"/>
      <c r="G831" s="1020" t="s">
        <v>72</v>
      </c>
      <c r="H831" s="1024" t="s">
        <v>406</v>
      </c>
      <c r="I831" s="621">
        <f>VLOOKUP(H829,'CNKT '!$D$101:$AA$166,3,0)</f>
        <v>0</v>
      </c>
      <c r="J831" s="622">
        <v>25000</v>
      </c>
      <c r="K831" s="1023">
        <f t="shared" ref="K831:K836" si="179">I831*J831</f>
        <v>0</v>
      </c>
      <c r="L831" s="1015"/>
    </row>
    <row r="832" spans="1:12" s="27" customFormat="1" ht="17.25" customHeight="1">
      <c r="A832" s="1020" t="s">
        <v>292</v>
      </c>
      <c r="B832" s="1025" t="s">
        <v>494</v>
      </c>
      <c r="C832" s="1026">
        <f>VLOOKUP(B829,'CNKT '!$D$101:$AA$166,11,0)</f>
        <v>24</v>
      </c>
      <c r="D832" s="623">
        <f>46.1*$B$2</f>
        <v>30922.036</v>
      </c>
      <c r="E832" s="1023">
        <f t="shared" si="178"/>
        <v>742128.86400000006</v>
      </c>
      <c r="F832" s="1079"/>
      <c r="G832" s="1020" t="s">
        <v>292</v>
      </c>
      <c r="H832" s="1025" t="s">
        <v>494</v>
      </c>
      <c r="I832" s="1026">
        <f>VLOOKUP(H829,'CNKT '!$D$101:$AA$166,11,0)</f>
        <v>24</v>
      </c>
      <c r="J832" s="623">
        <f>46.1*$B$2</f>
        <v>30922.036</v>
      </c>
      <c r="K832" s="1023">
        <f t="shared" si="179"/>
        <v>742128.86400000006</v>
      </c>
      <c r="L832" s="1015"/>
    </row>
    <row r="833" spans="1:12" s="27" customFormat="1" ht="17.25" customHeight="1">
      <c r="A833" s="1020" t="s">
        <v>379</v>
      </c>
      <c r="B833" s="1025" t="s">
        <v>495</v>
      </c>
      <c r="C833" s="1026">
        <f>VLOOKUP(B829,'CNKT '!$D$101:$AA$166,12,0)</f>
        <v>4</v>
      </c>
      <c r="D833" s="622">
        <f>76.9*$B$2</f>
        <v>51581.444000000003</v>
      </c>
      <c r="E833" s="1023">
        <f t="shared" si="178"/>
        <v>206325.77600000001</v>
      </c>
      <c r="F833" s="1079"/>
      <c r="G833" s="1020" t="s">
        <v>379</v>
      </c>
      <c r="H833" s="1025" t="s">
        <v>495</v>
      </c>
      <c r="I833" s="1026">
        <f>VLOOKUP(H829,'CNKT '!$D$101:$AA$166,12,0)</f>
        <v>4</v>
      </c>
      <c r="J833" s="622">
        <f>76.9*$B$2</f>
        <v>51581.444000000003</v>
      </c>
      <c r="K833" s="1023">
        <f t="shared" si="179"/>
        <v>206325.77600000001</v>
      </c>
      <c r="L833" s="1015"/>
    </row>
    <row r="834" spans="1:12" s="27" customFormat="1" ht="17.25" customHeight="1">
      <c r="A834" s="1020" t="s">
        <v>73</v>
      </c>
      <c r="B834" s="1025" t="s">
        <v>496</v>
      </c>
      <c r="C834" s="1026">
        <f>VLOOKUP(B829,'CNKT '!$D$101:$AA$166,8,0)</f>
        <v>1646.7619812578878</v>
      </c>
      <c r="D834" s="622">
        <f>IF(C830="A",6.1,IF(C830="B",5.8,IF(C830="C",5.5,IF(C830="C.",5.5,IF(C830="D",5.2)))))*$B$2</f>
        <v>4091.6359999999995</v>
      </c>
      <c r="E834" s="1023">
        <f t="shared" si="178"/>
        <v>6737950.6059460985</v>
      </c>
      <c r="F834" s="1079"/>
      <c r="G834" s="1020" t="s">
        <v>73</v>
      </c>
      <c r="H834" s="1025" t="s">
        <v>496</v>
      </c>
      <c r="I834" s="1026">
        <f>VLOOKUP(H829,'CNKT '!$D$101:$AA$166,8,0)</f>
        <v>1448.6487720600646</v>
      </c>
      <c r="J834" s="622">
        <f>IF(I830="A",6.1,IF(I830="B",5.8,IF(I830="C",5.5,IF(I830="C.",5.5,IF(I830="D",5.2)))))*$B$2</f>
        <v>4091.6359999999995</v>
      </c>
      <c r="K834" s="1023">
        <f t="shared" si="179"/>
        <v>5927343.4671167536</v>
      </c>
      <c r="L834" s="1015"/>
    </row>
    <row r="835" spans="1:12" s="27" customFormat="1" ht="17.25" customHeight="1">
      <c r="A835" s="1089" t="s">
        <v>464</v>
      </c>
      <c r="B835" s="1090" t="s">
        <v>497</v>
      </c>
      <c r="C835" s="1091">
        <f>VLOOKUP(B829,'CNKT '!$D$99:$AA$166,13,0)</f>
        <v>2</v>
      </c>
      <c r="D835" s="1092">
        <v>100000</v>
      </c>
      <c r="E835" s="1093">
        <f t="shared" si="178"/>
        <v>200000</v>
      </c>
      <c r="F835" s="1079"/>
      <c r="G835" s="1089" t="s">
        <v>464</v>
      </c>
      <c r="H835" s="1090" t="s">
        <v>497</v>
      </c>
      <c r="I835" s="1091">
        <f>VLOOKUP(H829,'CNKT '!$D$99:$AA$166,13,0)</f>
        <v>2</v>
      </c>
      <c r="J835" s="1092">
        <v>100000</v>
      </c>
      <c r="K835" s="1093">
        <f t="shared" si="179"/>
        <v>200000</v>
      </c>
      <c r="L835" s="1015"/>
    </row>
    <row r="836" spans="1:12" s="27" customFormat="1" ht="17.25" customHeight="1">
      <c r="A836" s="1020" t="s">
        <v>421</v>
      </c>
      <c r="B836" s="1025" t="s">
        <v>467</v>
      </c>
      <c r="C836" s="1026">
        <f>VLOOKUP(B829,'CNKT '!$D$101:$AA$166,14,0)</f>
        <v>0</v>
      </c>
      <c r="D836" s="622">
        <f>153.6*$B$2</f>
        <v>103028.73599999999</v>
      </c>
      <c r="E836" s="1023">
        <f t="shared" si="178"/>
        <v>0</v>
      </c>
      <c r="F836" s="1079"/>
      <c r="G836" s="1020" t="s">
        <v>421</v>
      </c>
      <c r="H836" s="1025" t="s">
        <v>467</v>
      </c>
      <c r="I836" s="1026">
        <f>VLOOKUP(H829,'CNKT '!$D$101:$AA$166,14,0)</f>
        <v>0</v>
      </c>
      <c r="J836" s="622">
        <f>153.6*$B$2</f>
        <v>103028.73599999999</v>
      </c>
      <c r="K836" s="1023">
        <f t="shared" si="179"/>
        <v>0</v>
      </c>
      <c r="L836" s="1015"/>
    </row>
    <row r="837" spans="1:12" s="27" customFormat="1" ht="17.25" customHeight="1">
      <c r="A837" s="1020" t="s">
        <v>425</v>
      </c>
      <c r="B837" s="1025" t="s">
        <v>468</v>
      </c>
      <c r="C837" s="1026">
        <f>VLOOKUP(B829,'CNKT '!$D$102:$AA$166,18,0)</f>
        <v>2</v>
      </c>
      <c r="D837" s="622">
        <v>10000</v>
      </c>
      <c r="E837" s="1023">
        <f>C837*D837</f>
        <v>20000</v>
      </c>
      <c r="F837" s="1079"/>
      <c r="G837" s="1020" t="s">
        <v>425</v>
      </c>
      <c r="H837" s="1025" t="s">
        <v>468</v>
      </c>
      <c r="I837" s="1026">
        <f>VLOOKUP(H829,'CNKT '!$D$102:$AA$166,18,0)</f>
        <v>2</v>
      </c>
      <c r="J837" s="622">
        <v>10000</v>
      </c>
      <c r="K837" s="1023">
        <f>I837*J837</f>
        <v>20000</v>
      </c>
      <c r="L837" s="1015"/>
    </row>
    <row r="838" spans="1:12" s="27" customFormat="1" ht="17.25" customHeight="1">
      <c r="A838" s="1020" t="s">
        <v>425</v>
      </c>
      <c r="B838" s="1025" t="s">
        <v>468</v>
      </c>
      <c r="C838" s="1026">
        <f>VLOOKUP(B829,'CNKT '!$D$102:$AA$166,19,0)</f>
        <v>0</v>
      </c>
      <c r="D838" s="622">
        <v>20000</v>
      </c>
      <c r="E838" s="1023">
        <f>C838*D838</f>
        <v>0</v>
      </c>
      <c r="F838" s="1079"/>
      <c r="G838" s="1020" t="s">
        <v>425</v>
      </c>
      <c r="H838" s="1025" t="s">
        <v>468</v>
      </c>
      <c r="I838" s="1026">
        <f>VLOOKUP(H829,'CNKT '!$D$102:$AA$166,19,0)</f>
        <v>0</v>
      </c>
      <c r="J838" s="622">
        <v>20000</v>
      </c>
      <c r="K838" s="1023">
        <f>I838*J838</f>
        <v>0</v>
      </c>
      <c r="L838" s="1015"/>
    </row>
    <row r="839" spans="1:12" s="27" customFormat="1" ht="17.25" customHeight="1">
      <c r="A839" s="1020" t="s">
        <v>780</v>
      </c>
      <c r="B839" s="1027" t="s">
        <v>781</v>
      </c>
      <c r="C839" s="1026"/>
      <c r="D839" s="622"/>
      <c r="E839" s="1023">
        <f>VLOOKUP(B829,'CNKT '!$D$102:$AE$166,28,0)</f>
        <v>0</v>
      </c>
      <c r="F839" s="1079"/>
      <c r="G839" s="1020" t="s">
        <v>780</v>
      </c>
      <c r="H839" s="1027" t="s">
        <v>781</v>
      </c>
      <c r="I839" s="1026"/>
      <c r="J839" s="622"/>
      <c r="K839" s="1023">
        <f>VLOOKUP(H829,'CNKT '!$D$102:$AE$166,28,0)</f>
        <v>0</v>
      </c>
      <c r="L839" s="1015"/>
    </row>
    <row r="840" spans="1:12" s="27" customFormat="1" ht="17.25" customHeight="1">
      <c r="A840" s="1028" t="s">
        <v>74</v>
      </c>
      <c r="B840" s="1029" t="s">
        <v>498</v>
      </c>
      <c r="C840" s="1030"/>
      <c r="D840" s="1031"/>
      <c r="E840" s="1030"/>
      <c r="F840" s="1079"/>
      <c r="G840" s="1028" t="s">
        <v>74</v>
      </c>
      <c r="H840" s="1029" t="s">
        <v>498</v>
      </c>
      <c r="I840" s="1030"/>
      <c r="J840" s="1031"/>
      <c r="K840" s="1030"/>
      <c r="L840" s="1015"/>
    </row>
    <row r="841" spans="1:12" s="27" customFormat="1" ht="17.25" customHeight="1">
      <c r="A841" s="1032" t="s">
        <v>75</v>
      </c>
      <c r="B841" s="1033" t="s">
        <v>499</v>
      </c>
      <c r="C841" s="1030"/>
      <c r="D841" s="1030"/>
      <c r="E841" s="1030"/>
      <c r="F841" s="1079"/>
      <c r="G841" s="1032" t="s">
        <v>75</v>
      </c>
      <c r="H841" s="1033" t="s">
        <v>499</v>
      </c>
      <c r="I841" s="1030"/>
      <c r="J841" s="1030"/>
      <c r="K841" s="1030"/>
      <c r="L841" s="1015"/>
    </row>
    <row r="842" spans="1:12" s="27" customFormat="1" ht="17.25" customHeight="1">
      <c r="A842" s="1032" t="s">
        <v>76</v>
      </c>
      <c r="B842" s="1034" t="s">
        <v>500</v>
      </c>
      <c r="C842" s="1030"/>
      <c r="D842" s="1030"/>
      <c r="E842" s="1023">
        <f>SUM(E841)</f>
        <v>0</v>
      </c>
      <c r="F842" s="1079"/>
      <c r="G842" s="1032" t="s">
        <v>76</v>
      </c>
      <c r="H842" s="1034" t="s">
        <v>500</v>
      </c>
      <c r="I842" s="1030"/>
      <c r="J842" s="1030"/>
      <c r="K842" s="1023">
        <f>SUM(K841)</f>
        <v>0</v>
      </c>
      <c r="L842" s="1015"/>
    </row>
    <row r="843" spans="1:12" s="27" customFormat="1" ht="17.25" customHeight="1">
      <c r="A843" s="1036" t="s">
        <v>77</v>
      </c>
      <c r="B843" s="1037" t="s">
        <v>412</v>
      </c>
      <c r="C843" s="1038"/>
      <c r="D843" s="1038"/>
      <c r="E843" s="1038">
        <f>(E831+E832+E833+E834+E835+E836+E837+E838+E839)-E842</f>
        <v>7906405.2459460981</v>
      </c>
      <c r="F843" s="1079"/>
      <c r="G843" s="1036" t="s">
        <v>77</v>
      </c>
      <c r="H843" s="1037" t="s">
        <v>412</v>
      </c>
      <c r="I843" s="1038"/>
      <c r="J843" s="1038"/>
      <c r="K843" s="1038">
        <f>(K831+K832+K833+K834+K835+K836+K837+K838+K839)-K842</f>
        <v>7095798.1071167532</v>
      </c>
      <c r="L843" s="1040">
        <f>E843+K843</f>
        <v>15002203.353062851</v>
      </c>
    </row>
    <row r="844" spans="1:12" s="27" customFormat="1" ht="17.25" customHeight="1">
      <c r="A844" s="1082"/>
      <c r="B844" s="1082"/>
      <c r="C844" s="1082"/>
      <c r="D844" s="1082"/>
      <c r="E844" s="1082"/>
      <c r="F844" s="1082"/>
      <c r="G844" s="1082"/>
      <c r="H844" s="1082"/>
      <c r="I844" s="1082"/>
      <c r="J844" s="1082"/>
      <c r="K844" s="1082"/>
      <c r="L844" s="1015"/>
    </row>
    <row r="845" spans="1:12" s="27" customFormat="1" ht="17.25" customHeight="1">
      <c r="A845" s="1083" t="str">
        <f>A828</f>
        <v>LƯƠNG THÁNG 08/2025</v>
      </c>
      <c r="B845" s="1082"/>
      <c r="C845" s="1082"/>
      <c r="D845" s="1082"/>
      <c r="E845" s="1078">
        <f>VLOOKUP(B846,'CNKT '!$D$102:$AD$166,26,0)</f>
        <v>13</v>
      </c>
      <c r="F845" s="1079"/>
      <c r="G845" s="1083" t="str">
        <f>A845</f>
        <v>LƯƠNG THÁNG 08/2025</v>
      </c>
      <c r="H845" s="1082"/>
      <c r="I845" s="1082"/>
      <c r="J845" s="1014"/>
      <c r="K845" s="1078">
        <f>VLOOKUP(H846,'CNKT '!$D$102:$AD$166,26,0)</f>
        <v>14</v>
      </c>
      <c r="L845" s="1015"/>
    </row>
    <row r="846" spans="1:12" s="27" customFormat="1" ht="17.25" customHeight="1">
      <c r="A846" s="1044" t="s">
        <v>13</v>
      </c>
      <c r="B846" s="1016" t="str">
        <f>'CNKT '!D114</f>
        <v>T. Na</v>
      </c>
      <c r="C846" s="1022"/>
      <c r="D846" s="1016" t="s">
        <v>376</v>
      </c>
      <c r="E846" s="1016" t="s">
        <v>16</v>
      </c>
      <c r="F846" s="1079"/>
      <c r="G846" s="1044" t="s">
        <v>13</v>
      </c>
      <c r="H846" s="1016" t="str">
        <f>'CNKT '!D115</f>
        <v>T. Khăm Mặn</v>
      </c>
      <c r="I846" s="1022"/>
      <c r="J846" s="1016" t="s">
        <v>376</v>
      </c>
      <c r="K846" s="1016" t="s">
        <v>16</v>
      </c>
      <c r="L846" s="1015"/>
    </row>
    <row r="847" spans="1:12" s="27" customFormat="1" ht="17.25" customHeight="1">
      <c r="A847" s="1020" t="s">
        <v>377</v>
      </c>
      <c r="B847" s="1021" t="s">
        <v>493</v>
      </c>
      <c r="C847" s="1022" t="str">
        <f>VLOOKUP(B846,'BTH mủ tạp'!$D$98:$AN$160,37,0)</f>
        <v>A</v>
      </c>
      <c r="D847" s="1023"/>
      <c r="E847" s="1023"/>
      <c r="F847" s="1079"/>
      <c r="G847" s="1020" t="s">
        <v>377</v>
      </c>
      <c r="H847" s="1021" t="s">
        <v>493</v>
      </c>
      <c r="I847" s="1022" t="str">
        <f>VLOOKUP(H846,'BTH mủ tạp'!$D$98:$AN$160,37,0)</f>
        <v>A</v>
      </c>
      <c r="J847" s="1023"/>
      <c r="K847" s="1023"/>
      <c r="L847" s="1015"/>
    </row>
    <row r="848" spans="1:12" s="27" customFormat="1" ht="17.25" customHeight="1">
      <c r="A848" s="1020" t="s">
        <v>72</v>
      </c>
      <c r="B848" s="1024" t="s">
        <v>406</v>
      </c>
      <c r="C848" s="621">
        <f>VLOOKUP(B846,'CNKT '!$D$101:$AA$166,3,0)</f>
        <v>0</v>
      </c>
      <c r="D848" s="622">
        <v>25000</v>
      </c>
      <c r="E848" s="1023">
        <f t="shared" ref="E848:E853" si="180">C848*D848</f>
        <v>0</v>
      </c>
      <c r="F848" s="1079"/>
      <c r="G848" s="1020" t="s">
        <v>72</v>
      </c>
      <c r="H848" s="1024" t="s">
        <v>406</v>
      </c>
      <c r="I848" s="621">
        <f>VLOOKUP(H846,'CNKT '!$D$101:$AA$166,3,0)</f>
        <v>0</v>
      </c>
      <c r="J848" s="622">
        <v>25000</v>
      </c>
      <c r="K848" s="1023">
        <f t="shared" ref="K848:K853" si="181">I848*J848</f>
        <v>0</v>
      </c>
      <c r="L848" s="1015"/>
    </row>
    <row r="849" spans="1:12" s="27" customFormat="1" ht="17.25" customHeight="1">
      <c r="A849" s="1020" t="s">
        <v>292</v>
      </c>
      <c r="B849" s="1025" t="s">
        <v>494</v>
      </c>
      <c r="C849" s="1026">
        <f>VLOOKUP(B846,'CNKT '!$D$101:$AA$166,11,0)</f>
        <v>22</v>
      </c>
      <c r="D849" s="623">
        <f>46.1*$B$2</f>
        <v>30922.036</v>
      </c>
      <c r="E849" s="1023">
        <f t="shared" si="180"/>
        <v>680284.79200000002</v>
      </c>
      <c r="F849" s="1079"/>
      <c r="G849" s="1020" t="s">
        <v>292</v>
      </c>
      <c r="H849" s="1025" t="s">
        <v>494</v>
      </c>
      <c r="I849" s="1026">
        <f>VLOOKUP(H846,'CNKT '!$D$101:$AA$166,11,0)</f>
        <v>24</v>
      </c>
      <c r="J849" s="623">
        <f>46.1*$B$2</f>
        <v>30922.036</v>
      </c>
      <c r="K849" s="1023">
        <f t="shared" si="181"/>
        <v>742128.86400000006</v>
      </c>
      <c r="L849" s="1015"/>
    </row>
    <row r="850" spans="1:12" s="27" customFormat="1" ht="17.25" customHeight="1">
      <c r="A850" s="1020" t="s">
        <v>379</v>
      </c>
      <c r="B850" s="1025" t="s">
        <v>495</v>
      </c>
      <c r="C850" s="1026">
        <f>VLOOKUP(B846,'CNKT '!$D$101:$AA$166,12,0)</f>
        <v>4</v>
      </c>
      <c r="D850" s="622">
        <f>76.9*$B$2</f>
        <v>51581.444000000003</v>
      </c>
      <c r="E850" s="1023">
        <f t="shared" si="180"/>
        <v>206325.77600000001</v>
      </c>
      <c r="F850" s="1079"/>
      <c r="G850" s="1020" t="s">
        <v>379</v>
      </c>
      <c r="H850" s="1025" t="s">
        <v>495</v>
      </c>
      <c r="I850" s="1026">
        <f>VLOOKUP(H846,'CNKT '!$D$101:$AA$166,12,0)</f>
        <v>4</v>
      </c>
      <c r="J850" s="622">
        <f>76.9*$B$2</f>
        <v>51581.444000000003</v>
      </c>
      <c r="K850" s="1023">
        <f t="shared" si="181"/>
        <v>206325.77600000001</v>
      </c>
      <c r="L850" s="1015"/>
    </row>
    <row r="851" spans="1:12" s="27" customFormat="1" ht="17.25" customHeight="1">
      <c r="A851" s="1020" t="s">
        <v>73</v>
      </c>
      <c r="B851" s="1025" t="s">
        <v>496</v>
      </c>
      <c r="C851" s="1026">
        <f>VLOOKUP(B846,'CNKT '!$D$101:$AA$166,8,0)</f>
        <v>1350.457290645423</v>
      </c>
      <c r="D851" s="622">
        <f>IF(C847="A",6.1,IF(C847="B",5.8,IF(C847="C",5.5,IF(C847="C.",5.5,IF(C847="D",5.2)))))*$B$2</f>
        <v>4091.6359999999995</v>
      </c>
      <c r="E851" s="1023">
        <f t="shared" si="180"/>
        <v>5525579.6668672748</v>
      </c>
      <c r="F851" s="1079"/>
      <c r="G851" s="1020" t="s">
        <v>73</v>
      </c>
      <c r="H851" s="1025" t="s">
        <v>496</v>
      </c>
      <c r="I851" s="1026">
        <f>VLOOKUP(H846,'CNKT '!$D$101:$AA$166,8,0)</f>
        <v>2184.4360402816742</v>
      </c>
      <c r="J851" s="622">
        <f>IF(I847="A",6.1,IF(I847="B",5.8,IF(I847="C",5.5,IF(I847="C.",5.5,IF(I847="D",5.2)))))*$B$2</f>
        <v>4091.6359999999995</v>
      </c>
      <c r="K851" s="1023">
        <f t="shared" si="181"/>
        <v>8937917.1421139464</v>
      </c>
      <c r="L851" s="1015"/>
    </row>
    <row r="852" spans="1:12" s="27" customFormat="1" ht="17.25" customHeight="1">
      <c r="A852" s="1089" t="s">
        <v>464</v>
      </c>
      <c r="B852" s="1090" t="s">
        <v>497</v>
      </c>
      <c r="C852" s="1091">
        <f>VLOOKUP(B846,'CNKT '!$D$99:$AA$166,13,0)</f>
        <v>2</v>
      </c>
      <c r="D852" s="1092">
        <v>100000</v>
      </c>
      <c r="E852" s="1093">
        <f t="shared" si="180"/>
        <v>200000</v>
      </c>
      <c r="F852" s="1079"/>
      <c r="G852" s="1089" t="s">
        <v>464</v>
      </c>
      <c r="H852" s="1090" t="s">
        <v>497</v>
      </c>
      <c r="I852" s="1091">
        <f>VLOOKUP(H846,'CNKT '!$D$99:$AA$166,13,0)</f>
        <v>2</v>
      </c>
      <c r="J852" s="1092">
        <v>100000</v>
      </c>
      <c r="K852" s="1093">
        <f t="shared" si="181"/>
        <v>200000</v>
      </c>
      <c r="L852" s="1015"/>
    </row>
    <row r="853" spans="1:12" s="27" customFormat="1" ht="17.25" customHeight="1">
      <c r="A853" s="1020" t="s">
        <v>421</v>
      </c>
      <c r="B853" s="1025" t="s">
        <v>467</v>
      </c>
      <c r="C853" s="1026">
        <f>VLOOKUP(B846,'CNKT '!$D$101:$AA$166,14,0)</f>
        <v>0</v>
      </c>
      <c r="D853" s="622">
        <f>153.6*$B$2</f>
        <v>103028.73599999999</v>
      </c>
      <c r="E853" s="1023">
        <f t="shared" si="180"/>
        <v>0</v>
      </c>
      <c r="F853" s="1079"/>
      <c r="G853" s="1020" t="s">
        <v>421</v>
      </c>
      <c r="H853" s="1025" t="s">
        <v>467</v>
      </c>
      <c r="I853" s="1026">
        <f>VLOOKUP(H846,'CNKT '!$D$101:$AA$166,14,0)</f>
        <v>0</v>
      </c>
      <c r="J853" s="622">
        <f>153.6*$B$2</f>
        <v>103028.73599999999</v>
      </c>
      <c r="K853" s="1023">
        <f t="shared" si="181"/>
        <v>0</v>
      </c>
      <c r="L853" s="1015"/>
    </row>
    <row r="854" spans="1:12" s="27" customFormat="1" ht="17.25" customHeight="1">
      <c r="A854" s="1020" t="s">
        <v>425</v>
      </c>
      <c r="B854" s="1025" t="s">
        <v>468</v>
      </c>
      <c r="C854" s="1026">
        <f>VLOOKUP(B846,'CNKT '!$D$102:$AA$166,18,0)</f>
        <v>2</v>
      </c>
      <c r="D854" s="622">
        <v>10000</v>
      </c>
      <c r="E854" s="1023">
        <f>C854*D854</f>
        <v>20000</v>
      </c>
      <c r="F854" s="1079"/>
      <c r="G854" s="1020" t="s">
        <v>425</v>
      </c>
      <c r="H854" s="1025" t="s">
        <v>468</v>
      </c>
      <c r="I854" s="1026">
        <f>VLOOKUP(H846,'CNKT '!$D$102:$AA$166,18,0)</f>
        <v>2</v>
      </c>
      <c r="J854" s="622">
        <v>10000</v>
      </c>
      <c r="K854" s="1023">
        <f>I854*J854</f>
        <v>20000</v>
      </c>
      <c r="L854" s="1015"/>
    </row>
    <row r="855" spans="1:12" s="27" customFormat="1" ht="17.25" customHeight="1">
      <c r="A855" s="1020" t="s">
        <v>425</v>
      </c>
      <c r="B855" s="1025" t="s">
        <v>468</v>
      </c>
      <c r="C855" s="1026">
        <f>VLOOKUP(B846,'CNKT '!$D$102:$AA$166,19,0)</f>
        <v>0</v>
      </c>
      <c r="D855" s="622">
        <v>20000</v>
      </c>
      <c r="E855" s="1023">
        <f>C855*D855</f>
        <v>0</v>
      </c>
      <c r="F855" s="1079"/>
      <c r="G855" s="1020" t="s">
        <v>425</v>
      </c>
      <c r="H855" s="1025" t="s">
        <v>468</v>
      </c>
      <c r="I855" s="1026">
        <f>VLOOKUP(H846,'CNKT '!$D$102:$AA$166,19,0)</f>
        <v>0</v>
      </c>
      <c r="J855" s="622">
        <v>20000</v>
      </c>
      <c r="K855" s="1023">
        <f>I855*J855</f>
        <v>0</v>
      </c>
      <c r="L855" s="1015"/>
    </row>
    <row r="856" spans="1:12" s="27" customFormat="1" ht="17.25" customHeight="1">
      <c r="A856" s="1020" t="s">
        <v>780</v>
      </c>
      <c r="B856" s="1027" t="s">
        <v>781</v>
      </c>
      <c r="C856" s="1026"/>
      <c r="D856" s="622"/>
      <c r="E856" s="1023">
        <f>VLOOKUP(B846,'CNKT '!$D$102:$AE$166,28,0)</f>
        <v>0</v>
      </c>
      <c r="F856" s="1079"/>
      <c r="G856" s="1020" t="s">
        <v>780</v>
      </c>
      <c r="H856" s="1027" t="s">
        <v>781</v>
      </c>
      <c r="I856" s="1026"/>
      <c r="J856" s="622"/>
      <c r="K856" s="1023">
        <f>VLOOKUP(H846,'CNKT '!$D$102:$AE$166,28,0)</f>
        <v>0</v>
      </c>
      <c r="L856" s="1015"/>
    </row>
    <row r="857" spans="1:12" s="27" customFormat="1" ht="17.25" customHeight="1">
      <c r="A857" s="1028" t="s">
        <v>74</v>
      </c>
      <c r="B857" s="1029" t="s">
        <v>498</v>
      </c>
      <c r="C857" s="1030"/>
      <c r="D857" s="1031"/>
      <c r="E857" s="1030"/>
      <c r="F857" s="1079"/>
      <c r="G857" s="1028" t="s">
        <v>74</v>
      </c>
      <c r="H857" s="1029" t="s">
        <v>498</v>
      </c>
      <c r="I857" s="1030"/>
      <c r="J857" s="1031"/>
      <c r="K857" s="1030"/>
      <c r="L857" s="1015"/>
    </row>
    <row r="858" spans="1:12" s="27" customFormat="1" ht="17.25" customHeight="1">
      <c r="A858" s="1032" t="s">
        <v>75</v>
      </c>
      <c r="B858" s="1033" t="s">
        <v>499</v>
      </c>
      <c r="C858" s="1030"/>
      <c r="D858" s="1030"/>
      <c r="E858" s="1030"/>
      <c r="F858" s="1079"/>
      <c r="G858" s="1032" t="s">
        <v>75</v>
      </c>
      <c r="H858" s="1033" t="s">
        <v>499</v>
      </c>
      <c r="I858" s="1030"/>
      <c r="J858" s="1030"/>
      <c r="K858" s="1030"/>
      <c r="L858" s="1015"/>
    </row>
    <row r="859" spans="1:12" s="27" customFormat="1" ht="17.25" customHeight="1">
      <c r="A859" s="1032" t="s">
        <v>76</v>
      </c>
      <c r="B859" s="1034" t="s">
        <v>500</v>
      </c>
      <c r="C859" s="1030"/>
      <c r="D859" s="1030"/>
      <c r="E859" s="1023">
        <f>SUM(E858)</f>
        <v>0</v>
      </c>
      <c r="F859" s="1081"/>
      <c r="G859" s="1032" t="s">
        <v>76</v>
      </c>
      <c r="H859" s="1034" t="s">
        <v>500</v>
      </c>
      <c r="I859" s="1030"/>
      <c r="J859" s="1030"/>
      <c r="K859" s="1023">
        <f>SUM(K858)</f>
        <v>0</v>
      </c>
      <c r="L859" s="1015"/>
    </row>
    <row r="860" spans="1:12" s="27" customFormat="1" ht="17.25" customHeight="1">
      <c r="A860" s="1036" t="s">
        <v>77</v>
      </c>
      <c r="B860" s="1037" t="s">
        <v>412</v>
      </c>
      <c r="C860" s="1038"/>
      <c r="D860" s="1038"/>
      <c r="E860" s="1038">
        <f>(E848+E849+E850+E851+E852+E853+E854+E855+E856)-E859</f>
        <v>6632190.2348672748</v>
      </c>
      <c r="F860" s="1081"/>
      <c r="G860" s="1036" t="s">
        <v>77</v>
      </c>
      <c r="H860" s="1037" t="s">
        <v>412</v>
      </c>
      <c r="I860" s="1038"/>
      <c r="J860" s="1038"/>
      <c r="K860" s="1038">
        <f>(K848+K849+K850+K851+K852+K853+K854+K855+K856)-K859</f>
        <v>10106371.782113947</v>
      </c>
      <c r="L860" s="1040">
        <f>E860+K860</f>
        <v>16738562.016981222</v>
      </c>
    </row>
    <row r="861" spans="1:12" s="27" customFormat="1" ht="9.75" customHeight="1">
      <c r="A861" s="1082"/>
      <c r="B861" s="1082"/>
      <c r="C861" s="1082"/>
      <c r="D861" s="1082"/>
      <c r="E861" s="1082"/>
      <c r="F861" s="1082"/>
      <c r="G861" s="1082"/>
      <c r="H861" s="1082"/>
      <c r="I861" s="1082"/>
      <c r="J861" s="1082"/>
      <c r="K861" s="1082"/>
      <c r="L861" s="1015"/>
    </row>
    <row r="862" spans="1:12" s="27" customFormat="1" ht="17.25" customHeight="1">
      <c r="A862" s="1083" t="str">
        <f>A845</f>
        <v>LƯƠNG THÁNG 08/2025</v>
      </c>
      <c r="B862" s="1082"/>
      <c r="C862" s="1082"/>
      <c r="D862" s="1082"/>
      <c r="E862" s="1078">
        <f>VLOOKUP(B863,'CNKT '!$D$102:$AD$166,26,0)</f>
        <v>15</v>
      </c>
      <c r="F862" s="1079"/>
      <c r="G862" s="1083" t="str">
        <f>A862</f>
        <v>LƯƠNG THÁNG 08/2025</v>
      </c>
      <c r="H862" s="1082"/>
      <c r="I862" s="1082"/>
      <c r="J862" s="1014"/>
      <c r="K862" s="1078">
        <f>VLOOKUP(H863,'CNKT '!$D$102:$AD$166,26,0)</f>
        <v>16</v>
      </c>
      <c r="L862" s="1015"/>
    </row>
    <row r="863" spans="1:12" s="27" customFormat="1" ht="17.25" customHeight="1">
      <c r="A863" s="1044" t="s">
        <v>13</v>
      </c>
      <c r="B863" s="1016" t="str">
        <f>'CNKT '!D116</f>
        <v>T . In Tong</v>
      </c>
      <c r="C863" s="1022"/>
      <c r="D863" s="1016" t="s">
        <v>376</v>
      </c>
      <c r="E863" s="1016" t="s">
        <v>16</v>
      </c>
      <c r="F863" s="1079"/>
      <c r="G863" s="1044" t="s">
        <v>13</v>
      </c>
      <c r="H863" s="1016" t="str">
        <f>'CNKT '!D117</f>
        <v>T. Lốp</v>
      </c>
      <c r="I863" s="1022"/>
      <c r="J863" s="1016" t="s">
        <v>376</v>
      </c>
      <c r="K863" s="1016" t="s">
        <v>16</v>
      </c>
      <c r="L863" s="1015"/>
    </row>
    <row r="864" spans="1:12" s="27" customFormat="1" ht="17.25" customHeight="1">
      <c r="A864" s="1020" t="s">
        <v>377</v>
      </c>
      <c r="B864" s="1021" t="s">
        <v>493</v>
      </c>
      <c r="C864" s="1022" t="str">
        <f>VLOOKUP(B863,'BTH mủ tạp'!$D$98:$AN$160,37,0)</f>
        <v>A</v>
      </c>
      <c r="D864" s="1023"/>
      <c r="E864" s="1023"/>
      <c r="F864" s="1079"/>
      <c r="G864" s="1020" t="s">
        <v>377</v>
      </c>
      <c r="H864" s="1021" t="s">
        <v>493</v>
      </c>
      <c r="I864" s="1022" t="str">
        <f>VLOOKUP(H863,'BTH mủ tạp'!$D$98:$AN$160,37,0)</f>
        <v>A</v>
      </c>
      <c r="J864" s="1023"/>
      <c r="K864" s="1023"/>
      <c r="L864" s="1015"/>
    </row>
    <row r="865" spans="1:12" s="27" customFormat="1" ht="17.25" customHeight="1">
      <c r="A865" s="1020" t="s">
        <v>72</v>
      </c>
      <c r="B865" s="1024" t="s">
        <v>406</v>
      </c>
      <c r="C865" s="621">
        <f>VLOOKUP(B863,'CNKT '!$D$101:$AA$166,3,0)</f>
        <v>0</v>
      </c>
      <c r="D865" s="622">
        <v>25000</v>
      </c>
      <c r="E865" s="1023">
        <f t="shared" ref="E865:E870" si="182">C865*D865</f>
        <v>0</v>
      </c>
      <c r="F865" s="1079"/>
      <c r="G865" s="1020" t="s">
        <v>72</v>
      </c>
      <c r="H865" s="1024" t="s">
        <v>406</v>
      </c>
      <c r="I865" s="621">
        <f>VLOOKUP(H863,'CNKT '!$D$101:$AA$166,3,0)</f>
        <v>0</v>
      </c>
      <c r="J865" s="622">
        <v>25000</v>
      </c>
      <c r="K865" s="1023">
        <f t="shared" ref="K865:K870" si="183">I865*J865</f>
        <v>0</v>
      </c>
      <c r="L865" s="1015"/>
    </row>
    <row r="866" spans="1:12" s="27" customFormat="1" ht="17.25" customHeight="1">
      <c r="A866" s="1020" t="s">
        <v>292</v>
      </c>
      <c r="B866" s="1025" t="s">
        <v>494</v>
      </c>
      <c r="C866" s="1026">
        <f>VLOOKUP(B863,'CNKT '!$D$101:$AA$166,11,0)</f>
        <v>24</v>
      </c>
      <c r="D866" s="623">
        <f>46.1*$B$2</f>
        <v>30922.036</v>
      </c>
      <c r="E866" s="1023">
        <f t="shared" si="182"/>
        <v>742128.86400000006</v>
      </c>
      <c r="F866" s="1079"/>
      <c r="G866" s="1020" t="s">
        <v>292</v>
      </c>
      <c r="H866" s="1025" t="s">
        <v>494</v>
      </c>
      <c r="I866" s="1026">
        <f>VLOOKUP(H863,'CNKT '!$D$101:$AA$166,11,0)</f>
        <v>24</v>
      </c>
      <c r="J866" s="623">
        <f>46.1*$B$2</f>
        <v>30922.036</v>
      </c>
      <c r="K866" s="1023">
        <f t="shared" si="183"/>
        <v>742128.86400000006</v>
      </c>
      <c r="L866" s="1015"/>
    </row>
    <row r="867" spans="1:12" s="27" customFormat="1" ht="17.25" customHeight="1">
      <c r="A867" s="1020" t="s">
        <v>379</v>
      </c>
      <c r="B867" s="1025" t="s">
        <v>495</v>
      </c>
      <c r="C867" s="1026">
        <f>VLOOKUP(B863,'CNKT '!$D$101:$AA$166,12,0)</f>
        <v>4</v>
      </c>
      <c r="D867" s="622">
        <f>76.9*$B$2</f>
        <v>51581.444000000003</v>
      </c>
      <c r="E867" s="1023">
        <f t="shared" si="182"/>
        <v>206325.77600000001</v>
      </c>
      <c r="F867" s="1079"/>
      <c r="G867" s="1020" t="s">
        <v>379</v>
      </c>
      <c r="H867" s="1025" t="s">
        <v>495</v>
      </c>
      <c r="I867" s="1026">
        <f>VLOOKUP(H863,'CNKT '!$D$101:$AA$166,12,0)</f>
        <v>4</v>
      </c>
      <c r="J867" s="622">
        <f>76.9*$B$2</f>
        <v>51581.444000000003</v>
      </c>
      <c r="K867" s="1023">
        <f t="shared" si="183"/>
        <v>206325.77600000001</v>
      </c>
      <c r="L867" s="1015"/>
    </row>
    <row r="868" spans="1:12" s="27" customFormat="1" ht="17.25" customHeight="1">
      <c r="A868" s="1020" t="s">
        <v>73</v>
      </c>
      <c r="B868" s="1025" t="s">
        <v>496</v>
      </c>
      <c r="C868" s="1026">
        <f>VLOOKUP(B863,'CNKT '!$D$101:$AA$166,8,0)</f>
        <v>1675.3110463387968</v>
      </c>
      <c r="D868" s="622">
        <f>IF(C864="A",6.1,IF(C864="B",5.8,IF(C864="C",5.5,IF(C864="C.",5.5,IF(C864="D",5.2)))))*$B$2</f>
        <v>4091.6359999999995</v>
      </c>
      <c r="E868" s="1023">
        <f t="shared" si="182"/>
        <v>6854762.9883974884</v>
      </c>
      <c r="F868" s="1079"/>
      <c r="G868" s="1020" t="s">
        <v>73</v>
      </c>
      <c r="H868" s="1025" t="s">
        <v>496</v>
      </c>
      <c r="I868" s="1026">
        <f>VLOOKUP(H863,'CNKT '!$D$101:$AA$166,8,0)</f>
        <v>1706.0229193803807</v>
      </c>
      <c r="J868" s="622">
        <f>IF(I864="A",6.1,IF(I864="B",5.8,IF(I864="C",5.5,IF(I864="C.",5.5,IF(I864="D",5.2)))))*$B$2</f>
        <v>4091.6359999999995</v>
      </c>
      <c r="K868" s="1023">
        <f t="shared" si="183"/>
        <v>6980424.7937618624</v>
      </c>
      <c r="L868" s="1015"/>
    </row>
    <row r="869" spans="1:12" s="27" customFormat="1" ht="17.25" customHeight="1">
      <c r="A869" s="1089" t="s">
        <v>464</v>
      </c>
      <c r="B869" s="1090" t="s">
        <v>497</v>
      </c>
      <c r="C869" s="1091">
        <f>VLOOKUP(B863,'CNKT '!$D$99:$AA$166,13,0)</f>
        <v>2</v>
      </c>
      <c r="D869" s="1092">
        <v>100000</v>
      </c>
      <c r="E869" s="1093">
        <f t="shared" si="182"/>
        <v>200000</v>
      </c>
      <c r="F869" s="1079"/>
      <c r="G869" s="1089" t="s">
        <v>464</v>
      </c>
      <c r="H869" s="1090" t="s">
        <v>497</v>
      </c>
      <c r="I869" s="1091">
        <f>VLOOKUP(H863,'CNKT '!$D$99:$AA$166,13,0)</f>
        <v>2</v>
      </c>
      <c r="J869" s="1092">
        <v>100000</v>
      </c>
      <c r="K869" s="1093">
        <f t="shared" si="183"/>
        <v>200000</v>
      </c>
      <c r="L869" s="1015"/>
    </row>
    <row r="870" spans="1:12" s="27" customFormat="1" ht="17.25" customHeight="1">
      <c r="A870" s="1020" t="s">
        <v>421</v>
      </c>
      <c r="B870" s="1025" t="s">
        <v>467</v>
      </c>
      <c r="C870" s="1026">
        <f>VLOOKUP(B863,'CNKT '!$D$101:$AA$166,14,0)</f>
        <v>0</v>
      </c>
      <c r="D870" s="622">
        <f>153.6*$B$2</f>
        <v>103028.73599999999</v>
      </c>
      <c r="E870" s="1023">
        <f t="shared" si="182"/>
        <v>0</v>
      </c>
      <c r="F870" s="1079"/>
      <c r="G870" s="1020" t="s">
        <v>421</v>
      </c>
      <c r="H870" s="1025" t="s">
        <v>467</v>
      </c>
      <c r="I870" s="1026">
        <f>VLOOKUP(H863,'CNKT '!$D$101:$AA$166,14,0)</f>
        <v>0</v>
      </c>
      <c r="J870" s="622">
        <f>153.6*$B$2</f>
        <v>103028.73599999999</v>
      </c>
      <c r="K870" s="1023">
        <f t="shared" si="183"/>
        <v>0</v>
      </c>
      <c r="L870" s="1015"/>
    </row>
    <row r="871" spans="1:12" s="27" customFormat="1" ht="17.25" customHeight="1">
      <c r="A871" s="1020" t="s">
        <v>425</v>
      </c>
      <c r="B871" s="1025" t="s">
        <v>468</v>
      </c>
      <c r="C871" s="1026">
        <f>VLOOKUP(B863,'CNKT '!$D$102:$AA$166,18,0)</f>
        <v>2</v>
      </c>
      <c r="D871" s="622">
        <v>10000</v>
      </c>
      <c r="E871" s="1023">
        <f>C871*D871</f>
        <v>20000</v>
      </c>
      <c r="F871" s="1079"/>
      <c r="G871" s="1020" t="s">
        <v>425</v>
      </c>
      <c r="H871" s="1025" t="s">
        <v>468</v>
      </c>
      <c r="I871" s="1026">
        <f>VLOOKUP(H863,'CNKT '!$D$102:$AA$166,18,0)</f>
        <v>2</v>
      </c>
      <c r="J871" s="622">
        <v>10000</v>
      </c>
      <c r="K871" s="1023">
        <f>I871*J871</f>
        <v>20000</v>
      </c>
      <c r="L871" s="1015"/>
    </row>
    <row r="872" spans="1:12" s="27" customFormat="1" ht="17.25" customHeight="1">
      <c r="A872" s="1020" t="s">
        <v>425</v>
      </c>
      <c r="B872" s="1025" t="s">
        <v>468</v>
      </c>
      <c r="C872" s="1026">
        <f>VLOOKUP(B863,'CNKT '!$D$102:$AA$166,19,0)</f>
        <v>0</v>
      </c>
      <c r="D872" s="622">
        <v>20000</v>
      </c>
      <c r="E872" s="1023">
        <f>C872*D872</f>
        <v>0</v>
      </c>
      <c r="F872" s="1079"/>
      <c r="G872" s="1020" t="s">
        <v>425</v>
      </c>
      <c r="H872" s="1025" t="s">
        <v>468</v>
      </c>
      <c r="I872" s="1026">
        <f>VLOOKUP(H863,'CNKT '!$D$102:$AA$166,19,0)</f>
        <v>0</v>
      </c>
      <c r="J872" s="622">
        <v>20000</v>
      </c>
      <c r="K872" s="1023">
        <f>I872*J872</f>
        <v>0</v>
      </c>
      <c r="L872" s="1015"/>
    </row>
    <row r="873" spans="1:12" s="27" customFormat="1" ht="17.25" customHeight="1">
      <c r="A873" s="1020" t="s">
        <v>780</v>
      </c>
      <c r="B873" s="1027" t="s">
        <v>781</v>
      </c>
      <c r="C873" s="1026"/>
      <c r="D873" s="622"/>
      <c r="E873" s="1023">
        <f>VLOOKUP(B863,'CNKT '!$D$102:$AE$166,28,0)</f>
        <v>0</v>
      </c>
      <c r="F873" s="1079"/>
      <c r="G873" s="1020" t="s">
        <v>780</v>
      </c>
      <c r="H873" s="1027" t="s">
        <v>781</v>
      </c>
      <c r="I873" s="1026"/>
      <c r="J873" s="622"/>
      <c r="K873" s="1023">
        <f>VLOOKUP(H863,'CNKT '!$D$102:$AE$166,28,0)</f>
        <v>0</v>
      </c>
      <c r="L873" s="1015"/>
    </row>
    <row r="874" spans="1:12" s="27" customFormat="1" ht="17.25" customHeight="1">
      <c r="A874" s="1028" t="s">
        <v>74</v>
      </c>
      <c r="B874" s="1029" t="s">
        <v>498</v>
      </c>
      <c r="C874" s="1030"/>
      <c r="D874" s="1031"/>
      <c r="E874" s="1030"/>
      <c r="F874" s="1079"/>
      <c r="G874" s="1028" t="s">
        <v>74</v>
      </c>
      <c r="H874" s="1029" t="s">
        <v>498</v>
      </c>
      <c r="I874" s="1030"/>
      <c r="J874" s="1031"/>
      <c r="K874" s="1030"/>
      <c r="L874" s="1015"/>
    </row>
    <row r="875" spans="1:12" s="27" customFormat="1" ht="17.25" customHeight="1">
      <c r="A875" s="1032" t="s">
        <v>75</v>
      </c>
      <c r="B875" s="1033" t="s">
        <v>499</v>
      </c>
      <c r="C875" s="1030"/>
      <c r="D875" s="1030"/>
      <c r="E875" s="1030"/>
      <c r="F875" s="1079"/>
      <c r="G875" s="1032" t="s">
        <v>75</v>
      </c>
      <c r="H875" s="1033" t="s">
        <v>499</v>
      </c>
      <c r="I875" s="1030"/>
      <c r="J875" s="1030"/>
      <c r="K875" s="1030"/>
      <c r="L875" s="1015"/>
    </row>
    <row r="876" spans="1:12" s="27" customFormat="1" ht="17.25" customHeight="1">
      <c r="A876" s="1032" t="s">
        <v>76</v>
      </c>
      <c r="B876" s="1034" t="s">
        <v>500</v>
      </c>
      <c r="C876" s="1030"/>
      <c r="D876" s="1030"/>
      <c r="E876" s="1023">
        <f>SUM(E875)</f>
        <v>0</v>
      </c>
      <c r="F876" s="1081"/>
      <c r="G876" s="1032" t="s">
        <v>76</v>
      </c>
      <c r="H876" s="1034" t="s">
        <v>500</v>
      </c>
      <c r="I876" s="1030"/>
      <c r="J876" s="1030"/>
      <c r="K876" s="1023">
        <f>SUM(K875)</f>
        <v>0</v>
      </c>
      <c r="L876" s="1015"/>
    </row>
    <row r="877" spans="1:12" s="27" customFormat="1" ht="17.25" customHeight="1">
      <c r="A877" s="1036" t="s">
        <v>77</v>
      </c>
      <c r="B877" s="1037" t="s">
        <v>412</v>
      </c>
      <c r="C877" s="1038"/>
      <c r="D877" s="1038"/>
      <c r="E877" s="1038">
        <f>(E865+E866+E867+E868+E869+E870+E871+E872+E873)-E876</f>
        <v>8023217.628397489</v>
      </c>
      <c r="F877" s="1081"/>
      <c r="G877" s="1036" t="s">
        <v>77</v>
      </c>
      <c r="H877" s="1037" t="s">
        <v>412</v>
      </c>
      <c r="I877" s="1038"/>
      <c r="J877" s="1038"/>
      <c r="K877" s="1038">
        <f>(K865+K866+K867+K868+K869+K870+K871+K872+K873)-K876</f>
        <v>8148879.433761863</v>
      </c>
      <c r="L877" s="1040">
        <f>E877+K877</f>
        <v>16172097.062159352</v>
      </c>
    </row>
    <row r="878" spans="1:12" s="27" customFormat="1" ht="17.25" customHeight="1">
      <c r="A878" s="1082"/>
      <c r="B878" s="1082"/>
      <c r="C878" s="1082"/>
      <c r="D878" s="1082"/>
      <c r="E878" s="1082"/>
      <c r="F878" s="1082"/>
      <c r="G878" s="1082"/>
      <c r="H878" s="1082"/>
      <c r="I878" s="1082"/>
      <c r="J878" s="1082"/>
      <c r="K878" s="1082"/>
      <c r="L878" s="1015"/>
    </row>
    <row r="879" spans="1:12" s="27" customFormat="1" ht="17.25" customHeight="1">
      <c r="A879" s="1083" t="str">
        <f>A862</f>
        <v>LƯƠNG THÁNG 08/2025</v>
      </c>
      <c r="B879" s="1082"/>
      <c r="C879" s="1082"/>
      <c r="D879" s="1082"/>
      <c r="E879" s="1078">
        <f>VLOOKUP(B880,'CNKT '!$D$102:$AD$166,26,0)</f>
        <v>17</v>
      </c>
      <c r="F879" s="1079"/>
      <c r="G879" s="1083" t="str">
        <f>A879</f>
        <v>LƯƠNG THÁNG 08/2025</v>
      </c>
      <c r="H879" s="1082"/>
      <c r="I879" s="1082"/>
      <c r="J879" s="1014"/>
      <c r="K879" s="1078">
        <f>VLOOKUP(H880,'CNKT '!$D$102:$AD$166,26,0)</f>
        <v>18</v>
      </c>
      <c r="L879" s="1015"/>
    </row>
    <row r="880" spans="1:12" s="27" customFormat="1" ht="17.25" customHeight="1">
      <c r="A880" s="1044" t="s">
        <v>13</v>
      </c>
      <c r="B880" s="1016" t="str">
        <f>'CNKT '!D118</f>
        <v>T. Lăm Phêng</v>
      </c>
      <c r="C880" s="1022"/>
      <c r="D880" s="1016" t="s">
        <v>376</v>
      </c>
      <c r="E880" s="1016" t="s">
        <v>16</v>
      </c>
      <c r="F880" s="1079"/>
      <c r="G880" s="1044" t="s">
        <v>13</v>
      </c>
      <c r="H880" s="1016" t="str">
        <f>'CNKT '!D119</f>
        <v>T Xèng</v>
      </c>
      <c r="I880" s="1022"/>
      <c r="J880" s="1016" t="s">
        <v>376</v>
      </c>
      <c r="K880" s="1016" t="s">
        <v>16</v>
      </c>
      <c r="L880" s="1015"/>
    </row>
    <row r="881" spans="1:12" s="27" customFormat="1" ht="17.25" customHeight="1">
      <c r="A881" s="1020" t="s">
        <v>377</v>
      </c>
      <c r="B881" s="1021" t="s">
        <v>493</v>
      </c>
      <c r="C881" s="1022" t="str">
        <f>VLOOKUP(B880,'BTH mủ tạp'!$D$98:$AN$160,37,0)</f>
        <v>A</v>
      </c>
      <c r="D881" s="1023"/>
      <c r="E881" s="1023"/>
      <c r="F881" s="1079"/>
      <c r="G881" s="1020" t="s">
        <v>377</v>
      </c>
      <c r="H881" s="1021" t="s">
        <v>493</v>
      </c>
      <c r="I881" s="1022" t="str">
        <f>VLOOKUP(H880,'BTH mủ tạp'!$D$98:$AN$160,37,0)</f>
        <v>A</v>
      </c>
      <c r="J881" s="1023"/>
      <c r="K881" s="1023"/>
      <c r="L881" s="1015"/>
    </row>
    <row r="882" spans="1:12" s="27" customFormat="1" ht="17.25" customHeight="1">
      <c r="A882" s="1020" t="s">
        <v>72</v>
      </c>
      <c r="B882" s="1024" t="s">
        <v>406</v>
      </c>
      <c r="C882" s="621">
        <f>VLOOKUP(B880,'CNKT '!$D$101:$AA$166,3,0)</f>
        <v>0</v>
      </c>
      <c r="D882" s="622">
        <v>25000</v>
      </c>
      <c r="E882" s="1023">
        <f t="shared" ref="E882:E887" si="184">C882*D882</f>
        <v>0</v>
      </c>
      <c r="F882" s="1079"/>
      <c r="G882" s="1020" t="s">
        <v>72</v>
      </c>
      <c r="H882" s="1024" t="s">
        <v>406</v>
      </c>
      <c r="I882" s="621">
        <f>VLOOKUP(H880,'CNKT '!$D$101:$AA$166,3,0)</f>
        <v>0</v>
      </c>
      <c r="J882" s="622">
        <v>25000</v>
      </c>
      <c r="K882" s="1023">
        <f t="shared" ref="K882:K887" si="185">I882*J882</f>
        <v>0</v>
      </c>
      <c r="L882" s="1015"/>
    </row>
    <row r="883" spans="1:12" s="27" customFormat="1" ht="17.25" customHeight="1">
      <c r="A883" s="1020" t="s">
        <v>292</v>
      </c>
      <c r="B883" s="1025" t="s">
        <v>494</v>
      </c>
      <c r="C883" s="1026">
        <f>VLOOKUP(B880,'CNKT '!$D$101:$AA$166,11,0)</f>
        <v>24</v>
      </c>
      <c r="D883" s="623">
        <f>46.1*$B$2</f>
        <v>30922.036</v>
      </c>
      <c r="E883" s="1023">
        <f t="shared" si="184"/>
        <v>742128.86400000006</v>
      </c>
      <c r="F883" s="1079"/>
      <c r="G883" s="1020" t="s">
        <v>292</v>
      </c>
      <c r="H883" s="1025" t="s">
        <v>494</v>
      </c>
      <c r="I883" s="1026">
        <f>VLOOKUP(H880,'CNKT '!$D$101:$AA$166,11,0)</f>
        <v>24</v>
      </c>
      <c r="J883" s="623">
        <f>46.1*$B$2</f>
        <v>30922.036</v>
      </c>
      <c r="K883" s="1023">
        <f t="shared" si="185"/>
        <v>742128.86400000006</v>
      </c>
      <c r="L883" s="1015"/>
    </row>
    <row r="884" spans="1:12" s="27" customFormat="1" ht="17.25" customHeight="1">
      <c r="A884" s="1020" t="s">
        <v>379</v>
      </c>
      <c r="B884" s="1025" t="s">
        <v>495</v>
      </c>
      <c r="C884" s="1026">
        <f>VLOOKUP(B880,'CNKT '!$D$101:$AA$166,12,0)</f>
        <v>4</v>
      </c>
      <c r="D884" s="622">
        <f>76.9*$B$2</f>
        <v>51581.444000000003</v>
      </c>
      <c r="E884" s="1023">
        <f t="shared" si="184"/>
        <v>206325.77600000001</v>
      </c>
      <c r="F884" s="1079"/>
      <c r="G884" s="1020" t="s">
        <v>379</v>
      </c>
      <c r="H884" s="1025" t="s">
        <v>495</v>
      </c>
      <c r="I884" s="1026">
        <f>VLOOKUP(H880,'CNKT '!$D$101:$AA$166,12,0)</f>
        <v>4</v>
      </c>
      <c r="J884" s="622">
        <f>76.9*$B$2</f>
        <v>51581.444000000003</v>
      </c>
      <c r="K884" s="1023">
        <f t="shared" si="185"/>
        <v>206325.77600000001</v>
      </c>
      <c r="L884" s="1015"/>
    </row>
    <row r="885" spans="1:12" s="27" customFormat="1" ht="17.25" customHeight="1">
      <c r="A885" s="1020" t="s">
        <v>73</v>
      </c>
      <c r="B885" s="1025" t="s">
        <v>496</v>
      </c>
      <c r="C885" s="1026">
        <f>VLOOKUP(B880,'CNKT '!$D$101:$AA$166,8,0)</f>
        <v>2777.4779830987386</v>
      </c>
      <c r="D885" s="622">
        <f>IF(C881="A",6.1,IF(C881="B",5.8,IF(C881="C",5.5,IF(C881="C.",5.5,IF(C881="D",5.2)))))*$B$2</f>
        <v>4091.6359999999995</v>
      </c>
      <c r="E885" s="1023">
        <f t="shared" si="184"/>
        <v>11364428.90485419</v>
      </c>
      <c r="F885" s="1079"/>
      <c r="G885" s="1020" t="s">
        <v>73</v>
      </c>
      <c r="H885" s="1025" t="s">
        <v>496</v>
      </c>
      <c r="I885" s="1026">
        <f>VLOOKUP(H880,'CNKT '!$D$101:$AA$166,8,0)</f>
        <v>2068.509533589498</v>
      </c>
      <c r="J885" s="622">
        <f>IF(I881="A",6.1,IF(I881="B",5.8,IF(I881="C",5.5,IF(I881="C.",5.5,IF(I881="D",5.2)))))*$B$2</f>
        <v>4091.6359999999995</v>
      </c>
      <c r="K885" s="1023">
        <f t="shared" si="185"/>
        <v>8463588.0739779975</v>
      </c>
      <c r="L885" s="1015"/>
    </row>
    <row r="886" spans="1:12" s="27" customFormat="1" ht="17.25" customHeight="1">
      <c r="A886" s="1089" t="s">
        <v>464</v>
      </c>
      <c r="B886" s="1090" t="s">
        <v>497</v>
      </c>
      <c r="C886" s="1091">
        <f>VLOOKUP(B880,'CNKT '!$D$99:$AA$166,13,0)</f>
        <v>2</v>
      </c>
      <c r="D886" s="1092">
        <v>100000</v>
      </c>
      <c r="E886" s="1093">
        <f t="shared" si="184"/>
        <v>200000</v>
      </c>
      <c r="F886" s="1079"/>
      <c r="G886" s="1089" t="s">
        <v>464</v>
      </c>
      <c r="H886" s="1090" t="s">
        <v>497</v>
      </c>
      <c r="I886" s="1091">
        <f>VLOOKUP(H880,'CNKT '!$D$99:$AA$166,13,0)</f>
        <v>2</v>
      </c>
      <c r="J886" s="1092">
        <v>100000</v>
      </c>
      <c r="K886" s="1093">
        <f t="shared" si="185"/>
        <v>200000</v>
      </c>
      <c r="L886" s="1015"/>
    </row>
    <row r="887" spans="1:12" s="27" customFormat="1" ht="17.25" customHeight="1">
      <c r="A887" s="1020" t="s">
        <v>421</v>
      </c>
      <c r="B887" s="1025" t="s">
        <v>467</v>
      </c>
      <c r="C887" s="1026">
        <f>VLOOKUP(B880,'CNKT '!$D$101:$AA$166,14,0)</f>
        <v>0</v>
      </c>
      <c r="D887" s="622">
        <f>153.6*$B$2</f>
        <v>103028.73599999999</v>
      </c>
      <c r="E887" s="1023">
        <f t="shared" si="184"/>
        <v>0</v>
      </c>
      <c r="F887" s="1079"/>
      <c r="G887" s="1020" t="s">
        <v>421</v>
      </c>
      <c r="H887" s="1025" t="s">
        <v>467</v>
      </c>
      <c r="I887" s="1026">
        <f>VLOOKUP(H880,'CNKT '!$D$101:$AA$166,14,0)</f>
        <v>0</v>
      </c>
      <c r="J887" s="622">
        <f>153.6*$B$2</f>
        <v>103028.73599999999</v>
      </c>
      <c r="K887" s="1023">
        <f t="shared" si="185"/>
        <v>0</v>
      </c>
      <c r="L887" s="1015"/>
    </row>
    <row r="888" spans="1:12" s="27" customFormat="1" ht="17.25" customHeight="1">
      <c r="A888" s="1020" t="s">
        <v>425</v>
      </c>
      <c r="B888" s="1025" t="s">
        <v>468</v>
      </c>
      <c r="C888" s="1026">
        <f>VLOOKUP(B880,'CNKT '!$D$102:$AA$166,18,0)</f>
        <v>2</v>
      </c>
      <c r="D888" s="622">
        <v>10000</v>
      </c>
      <c r="E888" s="1023">
        <f>C888*D888</f>
        <v>20000</v>
      </c>
      <c r="F888" s="1079"/>
      <c r="G888" s="1020" t="s">
        <v>425</v>
      </c>
      <c r="H888" s="1025" t="s">
        <v>468</v>
      </c>
      <c r="I888" s="1026">
        <f>VLOOKUP(H880,'CNKT '!$D$102:$AA$166,18,0)</f>
        <v>2</v>
      </c>
      <c r="J888" s="622">
        <v>10000</v>
      </c>
      <c r="K888" s="1023">
        <f>I888*J888</f>
        <v>20000</v>
      </c>
      <c r="L888" s="1015"/>
    </row>
    <row r="889" spans="1:12" s="27" customFormat="1" ht="17.25" customHeight="1">
      <c r="A889" s="1020" t="s">
        <v>425</v>
      </c>
      <c r="B889" s="1025" t="s">
        <v>468</v>
      </c>
      <c r="C889" s="1026">
        <f>VLOOKUP(B880,'CNKT '!$D$102:$AA$166,19,0)</f>
        <v>0</v>
      </c>
      <c r="D889" s="622">
        <v>20000</v>
      </c>
      <c r="E889" s="1023">
        <f>C889*D889</f>
        <v>0</v>
      </c>
      <c r="F889" s="1079"/>
      <c r="G889" s="1020" t="s">
        <v>425</v>
      </c>
      <c r="H889" s="1025" t="s">
        <v>468</v>
      </c>
      <c r="I889" s="1026">
        <f>VLOOKUP(H880,'CNKT '!$D$102:$AA$166,19,0)</f>
        <v>0</v>
      </c>
      <c r="J889" s="622">
        <v>20000</v>
      </c>
      <c r="K889" s="1023">
        <f>I889*J889</f>
        <v>0</v>
      </c>
      <c r="L889" s="1015"/>
    </row>
    <row r="890" spans="1:12" s="27" customFormat="1" ht="17.25" customHeight="1">
      <c r="A890" s="1020" t="s">
        <v>780</v>
      </c>
      <c r="B890" s="1027" t="s">
        <v>781</v>
      </c>
      <c r="C890" s="1026"/>
      <c r="D890" s="622"/>
      <c r="E890" s="1023">
        <f>VLOOKUP(B880,'CNKT '!$D$102:$AE$166,28,0)</f>
        <v>0</v>
      </c>
      <c r="F890" s="1079"/>
      <c r="G890" s="1020" t="s">
        <v>780</v>
      </c>
      <c r="H890" s="1027" t="s">
        <v>781</v>
      </c>
      <c r="I890" s="1026"/>
      <c r="J890" s="622"/>
      <c r="K890" s="1023">
        <f>VLOOKUP(H880,'CNKT '!$D$102:$AE$166,28,0)</f>
        <v>0</v>
      </c>
      <c r="L890" s="1015"/>
    </row>
    <row r="891" spans="1:12" s="27" customFormat="1" ht="17.25" customHeight="1">
      <c r="A891" s="1028" t="s">
        <v>74</v>
      </c>
      <c r="B891" s="1029" t="s">
        <v>498</v>
      </c>
      <c r="C891" s="1030"/>
      <c r="D891" s="1031"/>
      <c r="E891" s="1030"/>
      <c r="F891" s="1079"/>
      <c r="G891" s="1028" t="s">
        <v>74</v>
      </c>
      <c r="H891" s="1029" t="s">
        <v>498</v>
      </c>
      <c r="I891" s="1030"/>
      <c r="J891" s="1031"/>
      <c r="K891" s="1030"/>
      <c r="L891" s="1015"/>
    </row>
    <row r="892" spans="1:12" s="27" customFormat="1" ht="17.25" customHeight="1">
      <c r="A892" s="1032" t="s">
        <v>75</v>
      </c>
      <c r="B892" s="1033" t="s">
        <v>499</v>
      </c>
      <c r="C892" s="1030"/>
      <c r="D892" s="1030"/>
      <c r="E892" s="1030"/>
      <c r="F892" s="1079"/>
      <c r="G892" s="1032" t="s">
        <v>75</v>
      </c>
      <c r="H892" s="1033" t="s">
        <v>499</v>
      </c>
      <c r="I892" s="1030"/>
      <c r="J892" s="1030"/>
      <c r="K892" s="1030"/>
      <c r="L892" s="1015"/>
    </row>
    <row r="893" spans="1:12" s="27" customFormat="1" ht="17.25" customHeight="1">
      <c r="A893" s="1032" t="s">
        <v>76</v>
      </c>
      <c r="B893" s="1034" t="s">
        <v>500</v>
      </c>
      <c r="C893" s="1030"/>
      <c r="D893" s="1030"/>
      <c r="E893" s="1023">
        <f>SUM(E892)</f>
        <v>0</v>
      </c>
      <c r="F893" s="1084"/>
      <c r="G893" s="1032" t="s">
        <v>76</v>
      </c>
      <c r="H893" s="1034" t="s">
        <v>500</v>
      </c>
      <c r="I893" s="1030"/>
      <c r="J893" s="1030"/>
      <c r="K893" s="1023">
        <f>SUM(K892)</f>
        <v>0</v>
      </c>
      <c r="L893" s="1015"/>
    </row>
    <row r="894" spans="1:12" s="27" customFormat="1" ht="17.25" customHeight="1">
      <c r="A894" s="1036" t="s">
        <v>77</v>
      </c>
      <c r="B894" s="1037" t="s">
        <v>412</v>
      </c>
      <c r="C894" s="1038"/>
      <c r="D894" s="1038"/>
      <c r="E894" s="1038">
        <f>(E882+E883+E884+E885+E886+E887+E888+E889+E890)-E893</f>
        <v>12532883.54485419</v>
      </c>
      <c r="F894" s="1084"/>
      <c r="G894" s="1036" t="s">
        <v>77</v>
      </c>
      <c r="H894" s="1037" t="s">
        <v>412</v>
      </c>
      <c r="I894" s="1038"/>
      <c r="J894" s="1038"/>
      <c r="K894" s="1038">
        <f>(K882+K883+K884+K885+K886+K887+K888+K889+K890)-K893</f>
        <v>9632042.7139779981</v>
      </c>
      <c r="L894" s="1040">
        <f>E894+K894</f>
        <v>22164926.258832186</v>
      </c>
    </row>
    <row r="895" spans="1:12" s="27" customFormat="1" ht="69.75" customHeight="1">
      <c r="A895" s="1082"/>
      <c r="B895" s="1082"/>
      <c r="C895" s="1082"/>
      <c r="D895" s="1082"/>
      <c r="E895" s="1082"/>
      <c r="F895" s="1082"/>
      <c r="G895" s="1082"/>
      <c r="H895" s="1082"/>
      <c r="I895" s="1082"/>
      <c r="J895" s="1082"/>
      <c r="K895" s="1082"/>
      <c r="L895" s="1015"/>
    </row>
    <row r="896" spans="1:12" s="27" customFormat="1" ht="17.25" customHeight="1">
      <c r="A896" s="1083" t="str">
        <f>A879</f>
        <v>LƯƠNG THÁNG 08/2025</v>
      </c>
      <c r="B896" s="1082"/>
      <c r="C896" s="1082"/>
      <c r="D896" s="1082"/>
      <c r="E896" s="1078">
        <f>VLOOKUP(B897,'CNKT '!$D$102:$AD$166,26,0)</f>
        <v>19</v>
      </c>
      <c r="F896" s="1079"/>
      <c r="G896" s="1083" t="str">
        <f>A896</f>
        <v>LƯƠNG THÁNG 08/2025</v>
      </c>
      <c r="H896" s="1082"/>
      <c r="I896" s="1082"/>
      <c r="J896" s="1014"/>
      <c r="K896" s="1078">
        <f>VLOOKUP(H897,'CNKT '!$D$102:$AD$166,26,0)</f>
        <v>20</v>
      </c>
      <c r="L896" s="1015"/>
    </row>
    <row r="897" spans="1:12" s="27" customFormat="1" ht="17.25" customHeight="1">
      <c r="A897" s="1044" t="s">
        <v>13</v>
      </c>
      <c r="B897" s="1016" t="str">
        <f>'CNKT '!D120</f>
        <v>T. May</v>
      </c>
      <c r="C897" s="1022"/>
      <c r="D897" s="1016" t="s">
        <v>376</v>
      </c>
      <c r="E897" s="1016" t="s">
        <v>16</v>
      </c>
      <c r="F897" s="1079"/>
      <c r="G897" s="1044" t="s">
        <v>13</v>
      </c>
      <c r="H897" s="1016" t="str">
        <f>'CNKT '!D121</f>
        <v>T. Huôn</v>
      </c>
      <c r="I897" s="1022"/>
      <c r="J897" s="1016" t="s">
        <v>376</v>
      </c>
      <c r="K897" s="1016" t="s">
        <v>16</v>
      </c>
      <c r="L897" s="1015"/>
    </row>
    <row r="898" spans="1:12" s="27" customFormat="1" ht="17.25" customHeight="1">
      <c r="A898" s="1020" t="s">
        <v>377</v>
      </c>
      <c r="B898" s="1021" t="s">
        <v>493</v>
      </c>
      <c r="C898" s="1022" t="str">
        <f>VLOOKUP(B897,'BTH mủ tạp'!$D$98:$AN$160,37,0)</f>
        <v>A</v>
      </c>
      <c r="D898" s="1023"/>
      <c r="E898" s="1023"/>
      <c r="F898" s="1079"/>
      <c r="G898" s="1020" t="s">
        <v>377</v>
      </c>
      <c r="H898" s="1021" t="s">
        <v>493</v>
      </c>
      <c r="I898" s="1022" t="str">
        <f>VLOOKUP(H897,'BTH mủ tạp'!$D$98:$AN$160,37,0)</f>
        <v>A</v>
      </c>
      <c r="J898" s="1023"/>
      <c r="K898" s="1023"/>
      <c r="L898" s="1015"/>
    </row>
    <row r="899" spans="1:12" s="27" customFormat="1" ht="17.25" customHeight="1">
      <c r="A899" s="1020" t="s">
        <v>72</v>
      </c>
      <c r="B899" s="1024" t="s">
        <v>406</v>
      </c>
      <c r="C899" s="621">
        <f>VLOOKUP(B897,'CNKT '!$D$101:$AA$166,3,0)</f>
        <v>0</v>
      </c>
      <c r="D899" s="622">
        <v>25000</v>
      </c>
      <c r="E899" s="1023">
        <f t="shared" ref="E899:E904" si="186">C899*D899</f>
        <v>0</v>
      </c>
      <c r="F899" s="1079"/>
      <c r="G899" s="1020" t="s">
        <v>72</v>
      </c>
      <c r="H899" s="1024" t="s">
        <v>406</v>
      </c>
      <c r="I899" s="621">
        <f>VLOOKUP(H897,'CNKT '!$D$101:$AA$166,3,0)</f>
        <v>0</v>
      </c>
      <c r="J899" s="622">
        <v>25000</v>
      </c>
      <c r="K899" s="1023">
        <f t="shared" ref="K899:K904" si="187">I899*J899</f>
        <v>0</v>
      </c>
      <c r="L899" s="1015"/>
    </row>
    <row r="900" spans="1:12" s="27" customFormat="1" ht="17.25" customHeight="1">
      <c r="A900" s="1020" t="s">
        <v>292</v>
      </c>
      <c r="B900" s="1025" t="s">
        <v>494</v>
      </c>
      <c r="C900" s="1026">
        <f>VLOOKUP(B897,'CNKT '!$D$101:$AA$166,11,0)</f>
        <v>24</v>
      </c>
      <c r="D900" s="623">
        <f>46.1*$B$2</f>
        <v>30922.036</v>
      </c>
      <c r="E900" s="1023">
        <f t="shared" si="186"/>
        <v>742128.86400000006</v>
      </c>
      <c r="F900" s="1079"/>
      <c r="G900" s="1020" t="s">
        <v>292</v>
      </c>
      <c r="H900" s="1025" t="s">
        <v>494</v>
      </c>
      <c r="I900" s="1026">
        <f>VLOOKUP(H897,'CNKT '!$D$101:$AA$166,11,0)</f>
        <v>23</v>
      </c>
      <c r="J900" s="623">
        <f>46.1*$B$2</f>
        <v>30922.036</v>
      </c>
      <c r="K900" s="1023">
        <f t="shared" si="187"/>
        <v>711206.82799999998</v>
      </c>
      <c r="L900" s="1015"/>
    </row>
    <row r="901" spans="1:12" s="27" customFormat="1" ht="17.25" customHeight="1">
      <c r="A901" s="1020" t="s">
        <v>379</v>
      </c>
      <c r="B901" s="1025" t="s">
        <v>495</v>
      </c>
      <c r="C901" s="1026">
        <f>VLOOKUP(B897,'CNKT '!$D$101:$AA$166,12,0)</f>
        <v>3</v>
      </c>
      <c r="D901" s="622">
        <f>76.9*$B$2</f>
        <v>51581.444000000003</v>
      </c>
      <c r="E901" s="1023">
        <f t="shared" si="186"/>
        <v>154744.33199999999</v>
      </c>
      <c r="F901" s="1079"/>
      <c r="G901" s="1020" t="s">
        <v>379</v>
      </c>
      <c r="H901" s="1025" t="s">
        <v>495</v>
      </c>
      <c r="I901" s="1026">
        <f>VLOOKUP(H897,'CNKT '!$D$101:$AA$166,12,0)</f>
        <v>3</v>
      </c>
      <c r="J901" s="622">
        <f>76.9*$B$2</f>
        <v>51581.444000000003</v>
      </c>
      <c r="K901" s="1023">
        <f t="shared" si="187"/>
        <v>154744.33199999999</v>
      </c>
      <c r="L901" s="1015"/>
    </row>
    <row r="902" spans="1:12" s="27" customFormat="1" ht="17.25" customHeight="1">
      <c r="A902" s="1020" t="s">
        <v>73</v>
      </c>
      <c r="B902" s="1025" t="s">
        <v>496</v>
      </c>
      <c r="C902" s="1026">
        <f>VLOOKUP(B897,'CNKT '!$D$101:$AA$166,8,0)</f>
        <v>1965.9924362535066</v>
      </c>
      <c r="D902" s="622">
        <f>IF(C898="A",6.1,IF(C898="B",5.8,IF(C898="C",5.5,IF(C898="C.",5.5,IF(C898="D",5.2)))))*$B$2</f>
        <v>4091.6359999999995</v>
      </c>
      <c r="E902" s="1023">
        <f t="shared" si="186"/>
        <v>8044125.4279025523</v>
      </c>
      <c r="F902" s="1079"/>
      <c r="G902" s="1020" t="s">
        <v>73</v>
      </c>
      <c r="H902" s="1025" t="s">
        <v>496</v>
      </c>
      <c r="I902" s="1026">
        <f>VLOOKUP(H897,'CNKT '!$D$101:$AA$166,8,0)</f>
        <v>1486.2816305758083</v>
      </c>
      <c r="J902" s="622">
        <f>IF(I898="A",6.1,IF(I898="B",5.8,IF(I898="C",5.5,IF(I898="C.",5.5,IF(I898="D",5.2)))))*$B$2</f>
        <v>4091.6359999999995</v>
      </c>
      <c r="K902" s="1023">
        <f t="shared" si="187"/>
        <v>6081323.4258026769</v>
      </c>
      <c r="L902" s="1015"/>
    </row>
    <row r="903" spans="1:12" s="27" customFormat="1" ht="17.25" customHeight="1">
      <c r="A903" s="1089" t="s">
        <v>464</v>
      </c>
      <c r="B903" s="1090" t="s">
        <v>497</v>
      </c>
      <c r="C903" s="1091">
        <f>VLOOKUP(B897,'CNKT '!$D$99:$AA$166,13,0)</f>
        <v>2</v>
      </c>
      <c r="D903" s="1092">
        <v>100000</v>
      </c>
      <c r="E903" s="1093">
        <f t="shared" si="186"/>
        <v>200000</v>
      </c>
      <c r="F903" s="1079"/>
      <c r="G903" s="1089" t="s">
        <v>464</v>
      </c>
      <c r="H903" s="1090" t="s">
        <v>497</v>
      </c>
      <c r="I903" s="1091">
        <f>VLOOKUP(H897,'CNKT '!$D$99:$AA$166,13,0)</f>
        <v>2</v>
      </c>
      <c r="J903" s="1092">
        <v>100000</v>
      </c>
      <c r="K903" s="1093">
        <f t="shared" si="187"/>
        <v>200000</v>
      </c>
      <c r="L903" s="1015"/>
    </row>
    <row r="904" spans="1:12" s="27" customFormat="1" ht="17.25" customHeight="1">
      <c r="A904" s="1020" t="s">
        <v>421</v>
      </c>
      <c r="B904" s="1025" t="s">
        <v>467</v>
      </c>
      <c r="C904" s="1026">
        <f>VLOOKUP(B897,'CNKT '!$D$101:$AA$166,14,0)</f>
        <v>0</v>
      </c>
      <c r="D904" s="622">
        <f>153.6*$B$2</f>
        <v>103028.73599999999</v>
      </c>
      <c r="E904" s="1023">
        <f t="shared" si="186"/>
        <v>0</v>
      </c>
      <c r="F904" s="1079"/>
      <c r="G904" s="1020" t="s">
        <v>421</v>
      </c>
      <c r="H904" s="1025" t="s">
        <v>467</v>
      </c>
      <c r="I904" s="1026">
        <f>VLOOKUP(H897,'CNKT '!$D$101:$AA$166,14,0)</f>
        <v>0</v>
      </c>
      <c r="J904" s="622">
        <f>153.6*$B$2</f>
        <v>103028.73599999999</v>
      </c>
      <c r="K904" s="1023">
        <f t="shared" si="187"/>
        <v>0</v>
      </c>
      <c r="L904" s="1015"/>
    </row>
    <row r="905" spans="1:12" s="27" customFormat="1" ht="17.25" customHeight="1">
      <c r="A905" s="1020" t="s">
        <v>425</v>
      </c>
      <c r="B905" s="1025" t="s">
        <v>468</v>
      </c>
      <c r="C905" s="1026">
        <f>VLOOKUP(B897,'CNKT '!$D$102:$AA$166,18,0)</f>
        <v>2</v>
      </c>
      <c r="D905" s="622">
        <v>10000</v>
      </c>
      <c r="E905" s="1023">
        <f>C905*D905</f>
        <v>20000</v>
      </c>
      <c r="F905" s="1079"/>
      <c r="G905" s="1020" t="s">
        <v>425</v>
      </c>
      <c r="H905" s="1025" t="s">
        <v>468</v>
      </c>
      <c r="I905" s="1026">
        <f>VLOOKUP(H897,'CNKT '!$D$102:$AA$166,18,0)</f>
        <v>2</v>
      </c>
      <c r="J905" s="622">
        <v>10000</v>
      </c>
      <c r="K905" s="1023">
        <f>I905*J905</f>
        <v>20000</v>
      </c>
      <c r="L905" s="1015"/>
    </row>
    <row r="906" spans="1:12" s="27" customFormat="1" ht="17.25" customHeight="1">
      <c r="A906" s="1020" t="s">
        <v>425</v>
      </c>
      <c r="B906" s="1025" t="s">
        <v>468</v>
      </c>
      <c r="C906" s="1026">
        <f>VLOOKUP(B897,'CNKT '!$D$102:$AA$166,19,0)</f>
        <v>0</v>
      </c>
      <c r="D906" s="622">
        <v>20000</v>
      </c>
      <c r="E906" s="1023">
        <f>C906*D906</f>
        <v>0</v>
      </c>
      <c r="F906" s="1079"/>
      <c r="G906" s="1020" t="s">
        <v>425</v>
      </c>
      <c r="H906" s="1025" t="s">
        <v>468</v>
      </c>
      <c r="I906" s="1026">
        <f>VLOOKUP(H897,'CNKT '!$D$102:$AA$166,19,0)</f>
        <v>0</v>
      </c>
      <c r="J906" s="622">
        <v>20000</v>
      </c>
      <c r="K906" s="1023">
        <f>I906*J906</f>
        <v>0</v>
      </c>
      <c r="L906" s="1015"/>
    </row>
    <row r="907" spans="1:12" s="27" customFormat="1" ht="17.25" customHeight="1">
      <c r="A907" s="1020" t="s">
        <v>780</v>
      </c>
      <c r="B907" s="1027" t="s">
        <v>781</v>
      </c>
      <c r="C907" s="1026"/>
      <c r="D907" s="622"/>
      <c r="E907" s="1023">
        <f>VLOOKUP(B897,'CNKT '!$D$102:$AE$166,28,0)</f>
        <v>0</v>
      </c>
      <c r="F907" s="1079"/>
      <c r="G907" s="1020" t="s">
        <v>780</v>
      </c>
      <c r="H907" s="1027" t="s">
        <v>781</v>
      </c>
      <c r="I907" s="1026"/>
      <c r="J907" s="622"/>
      <c r="K907" s="1023">
        <f>VLOOKUP(H897,'CNKT '!$D$102:$AE$166,28,0)</f>
        <v>0</v>
      </c>
      <c r="L907" s="1015"/>
    </row>
    <row r="908" spans="1:12" s="27" customFormat="1" ht="17.25" customHeight="1">
      <c r="A908" s="1028" t="s">
        <v>74</v>
      </c>
      <c r="B908" s="1029" t="s">
        <v>498</v>
      </c>
      <c r="C908" s="1030"/>
      <c r="D908" s="1031"/>
      <c r="E908" s="1030"/>
      <c r="F908" s="1079"/>
      <c r="G908" s="1028" t="s">
        <v>74</v>
      </c>
      <c r="H908" s="1029" t="s">
        <v>498</v>
      </c>
      <c r="I908" s="1030"/>
      <c r="J908" s="1031"/>
      <c r="K908" s="1030"/>
      <c r="L908" s="1015"/>
    </row>
    <row r="909" spans="1:12" s="27" customFormat="1" ht="17.25" customHeight="1">
      <c r="A909" s="1032" t="s">
        <v>75</v>
      </c>
      <c r="B909" s="1033" t="s">
        <v>499</v>
      </c>
      <c r="C909" s="1030"/>
      <c r="D909" s="1030"/>
      <c r="E909" s="1030"/>
      <c r="F909" s="1079"/>
      <c r="G909" s="1032" t="s">
        <v>75</v>
      </c>
      <c r="H909" s="1033" t="s">
        <v>499</v>
      </c>
      <c r="I909" s="1030"/>
      <c r="J909" s="1030"/>
      <c r="K909" s="1030"/>
      <c r="L909" s="1015"/>
    </row>
    <row r="910" spans="1:12" s="27" customFormat="1" ht="17.25" customHeight="1">
      <c r="A910" s="1032" t="s">
        <v>76</v>
      </c>
      <c r="B910" s="1034" t="s">
        <v>500</v>
      </c>
      <c r="C910" s="1030"/>
      <c r="D910" s="1030"/>
      <c r="E910" s="1023">
        <f>SUM(E909)</f>
        <v>0</v>
      </c>
      <c r="F910" s="1081"/>
      <c r="G910" s="1032" t="s">
        <v>76</v>
      </c>
      <c r="H910" s="1034" t="s">
        <v>500</v>
      </c>
      <c r="I910" s="1030"/>
      <c r="J910" s="1030"/>
      <c r="K910" s="1023">
        <f>SUM(K909)</f>
        <v>0</v>
      </c>
      <c r="L910" s="1015"/>
    </row>
    <row r="911" spans="1:12" s="27" customFormat="1" ht="17.25" customHeight="1">
      <c r="A911" s="1036" t="s">
        <v>77</v>
      </c>
      <c r="B911" s="1037" t="s">
        <v>412</v>
      </c>
      <c r="C911" s="1038"/>
      <c r="D911" s="1038"/>
      <c r="E911" s="1038">
        <f>(E899+E900+E901+E902+E903+E904+E905+E906+E907)-E910</f>
        <v>9160998.6239025518</v>
      </c>
      <c r="F911" s="1081"/>
      <c r="G911" s="1036" t="s">
        <v>77</v>
      </c>
      <c r="H911" s="1037" t="s">
        <v>412</v>
      </c>
      <c r="I911" s="1038"/>
      <c r="J911" s="1038"/>
      <c r="K911" s="1038">
        <f>(K899+K900+K901+K902+K903+K904+K905+K906+K907)-K910</f>
        <v>7167274.5858026771</v>
      </c>
      <c r="L911" s="1040">
        <f>E911+K911</f>
        <v>16328273.20970523</v>
      </c>
    </row>
    <row r="912" spans="1:12" s="27" customFormat="1" ht="17.25" customHeight="1">
      <c r="A912" s="1082"/>
      <c r="B912" s="1082"/>
      <c r="C912" s="1082"/>
      <c r="D912" s="1082"/>
      <c r="E912" s="1082"/>
      <c r="F912" s="1082"/>
      <c r="G912" s="1082"/>
      <c r="H912" s="1082"/>
      <c r="I912" s="1082"/>
      <c r="J912" s="1082"/>
      <c r="K912" s="1082"/>
      <c r="L912" s="1015"/>
    </row>
    <row r="913" spans="1:12" s="27" customFormat="1" ht="17.25" customHeight="1">
      <c r="A913" s="1083" t="str">
        <f>A896</f>
        <v>LƯƠNG THÁNG 08/2025</v>
      </c>
      <c r="B913" s="1082"/>
      <c r="C913" s="1082"/>
      <c r="D913" s="1082"/>
      <c r="E913" s="1078">
        <f>VLOOKUP(B914,'CNKT '!$D$102:$AD$166,26,0)</f>
        <v>21</v>
      </c>
      <c r="F913" s="1079"/>
      <c r="G913" s="1083" t="str">
        <f>A913</f>
        <v>LƯƠNG THÁNG 08/2025</v>
      </c>
      <c r="H913" s="1082"/>
      <c r="I913" s="1082"/>
      <c r="J913" s="1014"/>
      <c r="K913" s="1078">
        <f>VLOOKUP(H914,'CNKT '!$D$102:$AD$166,26,0)</f>
        <v>22</v>
      </c>
      <c r="L913" s="1015"/>
    </row>
    <row r="914" spans="1:12" s="27" customFormat="1" ht="17.25" customHeight="1">
      <c r="A914" s="1044" t="s">
        <v>13</v>
      </c>
      <c r="B914" s="1016" t="str">
        <f>'CNKT '!D122</f>
        <v>N. Lay</v>
      </c>
      <c r="C914" s="1022"/>
      <c r="D914" s="1016" t="s">
        <v>376</v>
      </c>
      <c r="E914" s="1016" t="s">
        <v>16</v>
      </c>
      <c r="F914" s="1079"/>
      <c r="G914" s="1044" t="s">
        <v>13</v>
      </c>
      <c r="H914" s="1016" t="str">
        <f>'CNKT '!D123</f>
        <v>N. Pon</v>
      </c>
      <c r="I914" s="1022"/>
      <c r="J914" s="1016" t="s">
        <v>376</v>
      </c>
      <c r="K914" s="1016" t="s">
        <v>16</v>
      </c>
      <c r="L914" s="1015"/>
    </row>
    <row r="915" spans="1:12" s="27" customFormat="1" ht="17.25" customHeight="1">
      <c r="A915" s="1020" t="s">
        <v>377</v>
      </c>
      <c r="B915" s="1021" t="s">
        <v>493</v>
      </c>
      <c r="C915" s="1022" t="str">
        <f>VLOOKUP(B914,'BTH mủ tạp'!$D$98:$AN$160,37,0)</f>
        <v>A</v>
      </c>
      <c r="D915" s="1023"/>
      <c r="E915" s="1023"/>
      <c r="F915" s="1079"/>
      <c r="G915" s="1020" t="s">
        <v>377</v>
      </c>
      <c r="H915" s="1021" t="s">
        <v>493</v>
      </c>
      <c r="I915" s="1022" t="str">
        <f>VLOOKUP(H914,'BTH mủ tạp'!$D$98:$AN$160,37,0)</f>
        <v>A</v>
      </c>
      <c r="J915" s="1023"/>
      <c r="K915" s="1023"/>
      <c r="L915" s="1015"/>
    </row>
    <row r="916" spans="1:12" s="27" customFormat="1" ht="17.25" customHeight="1">
      <c r="A916" s="1020" t="s">
        <v>72</v>
      </c>
      <c r="B916" s="1024" t="s">
        <v>406</v>
      </c>
      <c r="C916" s="621">
        <f>VLOOKUP(B914,'CNKT '!$D$101:$AA$166,3,0)</f>
        <v>0</v>
      </c>
      <c r="D916" s="622">
        <v>25000</v>
      </c>
      <c r="E916" s="1023">
        <f t="shared" ref="E916:E921" si="188">C916*D916</f>
        <v>0</v>
      </c>
      <c r="F916" s="1079"/>
      <c r="G916" s="1020" t="s">
        <v>72</v>
      </c>
      <c r="H916" s="1024" t="s">
        <v>406</v>
      </c>
      <c r="I916" s="621">
        <f>VLOOKUP(H914,'CNKT '!$D$101:$AA$166,3,0)</f>
        <v>0</v>
      </c>
      <c r="J916" s="622">
        <v>25000</v>
      </c>
      <c r="K916" s="1023">
        <f t="shared" ref="K916:K921" si="189">I916*J916</f>
        <v>0</v>
      </c>
      <c r="L916" s="1015"/>
    </row>
    <row r="917" spans="1:12" s="27" customFormat="1" ht="17.25" customHeight="1">
      <c r="A917" s="1020" t="s">
        <v>292</v>
      </c>
      <c r="B917" s="1025" t="s">
        <v>494</v>
      </c>
      <c r="C917" s="1026">
        <f>VLOOKUP(B914,'CNKT '!$D$101:$AA$166,11,0)</f>
        <v>22</v>
      </c>
      <c r="D917" s="623">
        <f>46.1*$B$2</f>
        <v>30922.036</v>
      </c>
      <c r="E917" s="1023">
        <f t="shared" si="188"/>
        <v>680284.79200000002</v>
      </c>
      <c r="F917" s="1079"/>
      <c r="G917" s="1020" t="s">
        <v>292</v>
      </c>
      <c r="H917" s="1025" t="s">
        <v>494</v>
      </c>
      <c r="I917" s="1026">
        <f>VLOOKUP(H914,'CNKT '!$D$101:$AA$166,11,0)</f>
        <v>24</v>
      </c>
      <c r="J917" s="623">
        <f>46.1*$B$2</f>
        <v>30922.036</v>
      </c>
      <c r="K917" s="1023">
        <f t="shared" si="189"/>
        <v>742128.86400000006</v>
      </c>
      <c r="L917" s="1015"/>
    </row>
    <row r="918" spans="1:12" s="27" customFormat="1" ht="17.25" customHeight="1">
      <c r="A918" s="1020" t="s">
        <v>379</v>
      </c>
      <c r="B918" s="1025" t="s">
        <v>495</v>
      </c>
      <c r="C918" s="1026">
        <f>VLOOKUP(B914,'CNKT '!$D$101:$AA$166,12,0)</f>
        <v>3</v>
      </c>
      <c r="D918" s="622">
        <f>76.9*$B$2</f>
        <v>51581.444000000003</v>
      </c>
      <c r="E918" s="1023">
        <f t="shared" si="188"/>
        <v>154744.33199999999</v>
      </c>
      <c r="F918" s="1079"/>
      <c r="G918" s="1020" t="s">
        <v>379</v>
      </c>
      <c r="H918" s="1025" t="s">
        <v>495</v>
      </c>
      <c r="I918" s="1026">
        <f>VLOOKUP(H914,'CNKT '!$D$101:$AA$166,12,0)</f>
        <v>4</v>
      </c>
      <c r="J918" s="622">
        <f>76.9*$B$2</f>
        <v>51581.444000000003</v>
      </c>
      <c r="K918" s="1023">
        <f t="shared" si="189"/>
        <v>206325.77600000001</v>
      </c>
      <c r="L918" s="1015"/>
    </row>
    <row r="919" spans="1:12" s="27" customFormat="1" ht="17.25" customHeight="1">
      <c r="A919" s="1020" t="s">
        <v>73</v>
      </c>
      <c r="B919" s="1025" t="s">
        <v>496</v>
      </c>
      <c r="C919" s="1026">
        <f>VLOOKUP(B914,'CNKT '!$D$101:$AA$166,8,0)</f>
        <v>1482.3885762465934</v>
      </c>
      <c r="D919" s="622">
        <f>IF(C915="A",6.1,IF(C915="B",5.8,IF(C915="C",5.5,IF(C915="C.",5.5,IF(C915="D",5.2)))))*$B$2</f>
        <v>4091.6359999999995</v>
      </c>
      <c r="E919" s="1023">
        <f t="shared" si="188"/>
        <v>6065394.4645593055</v>
      </c>
      <c r="F919" s="1079"/>
      <c r="G919" s="1020" t="s">
        <v>73</v>
      </c>
      <c r="H919" s="1025" t="s">
        <v>496</v>
      </c>
      <c r="I919" s="1026">
        <f>VLOOKUP(H914,'CNKT '!$D$101:$AA$166,8,0)</f>
        <v>2026.5510591524046</v>
      </c>
      <c r="J919" s="622">
        <f>IF(I915="A",6.1,IF(I915="B",5.8,IF(I915="C",5.5,IF(I915="C.",5.5,IF(I915="D",5.2)))))*$B$2</f>
        <v>4091.6359999999995</v>
      </c>
      <c r="K919" s="1023">
        <f t="shared" si="189"/>
        <v>8291909.2694661068</v>
      </c>
      <c r="L919" s="1015"/>
    </row>
    <row r="920" spans="1:12" s="27" customFormat="1" ht="17.25" customHeight="1">
      <c r="A920" s="1089" t="s">
        <v>464</v>
      </c>
      <c r="B920" s="1090" t="s">
        <v>497</v>
      </c>
      <c r="C920" s="1091">
        <f>VLOOKUP(B914,'CNKT '!$D$99:$AA$166,13,0)</f>
        <v>2</v>
      </c>
      <c r="D920" s="1092">
        <v>100000</v>
      </c>
      <c r="E920" s="1093">
        <f t="shared" si="188"/>
        <v>200000</v>
      </c>
      <c r="F920" s="1079"/>
      <c r="G920" s="1089" t="s">
        <v>464</v>
      </c>
      <c r="H920" s="1090" t="s">
        <v>497</v>
      </c>
      <c r="I920" s="1091">
        <f>VLOOKUP(H914,'CNKT '!$D$99:$AA$166,13,0)</f>
        <v>2</v>
      </c>
      <c r="J920" s="1092">
        <v>100000</v>
      </c>
      <c r="K920" s="1093">
        <f t="shared" si="189"/>
        <v>200000</v>
      </c>
      <c r="L920" s="1015"/>
    </row>
    <row r="921" spans="1:12" s="27" customFormat="1" ht="17.25" customHeight="1">
      <c r="A921" s="1020" t="s">
        <v>421</v>
      </c>
      <c r="B921" s="1025" t="s">
        <v>467</v>
      </c>
      <c r="C921" s="1026">
        <f>VLOOKUP(B914,'CNKT '!$D$101:$AA$166,14,0)</f>
        <v>0</v>
      </c>
      <c r="D921" s="622">
        <f>153.6*$B$2</f>
        <v>103028.73599999999</v>
      </c>
      <c r="E921" s="1023">
        <f t="shared" si="188"/>
        <v>0</v>
      </c>
      <c r="F921" s="1079"/>
      <c r="G921" s="1020" t="s">
        <v>421</v>
      </c>
      <c r="H921" s="1025" t="s">
        <v>467</v>
      </c>
      <c r="I921" s="1026">
        <f>VLOOKUP(H914,'CNKT '!$D$101:$AA$166,14,0)</f>
        <v>0</v>
      </c>
      <c r="J921" s="622">
        <f>153.6*$B$2</f>
        <v>103028.73599999999</v>
      </c>
      <c r="K921" s="1023">
        <f t="shared" si="189"/>
        <v>0</v>
      </c>
      <c r="L921" s="1015"/>
    </row>
    <row r="922" spans="1:12" s="27" customFormat="1" ht="17.25" customHeight="1">
      <c r="A922" s="1020" t="s">
        <v>425</v>
      </c>
      <c r="B922" s="1025" t="s">
        <v>468</v>
      </c>
      <c r="C922" s="1026">
        <f>VLOOKUP(B914,'CNKT '!$D$102:$AA$166,18,0)</f>
        <v>2</v>
      </c>
      <c r="D922" s="622">
        <v>10000</v>
      </c>
      <c r="E922" s="1023">
        <f>C922*D922</f>
        <v>20000</v>
      </c>
      <c r="F922" s="1079"/>
      <c r="G922" s="1020" t="s">
        <v>425</v>
      </c>
      <c r="H922" s="1025" t="s">
        <v>468</v>
      </c>
      <c r="I922" s="1026">
        <f>VLOOKUP(H914,'CNKT '!$D$102:$AA$166,18,0)</f>
        <v>2</v>
      </c>
      <c r="J922" s="622">
        <v>10000</v>
      </c>
      <c r="K922" s="1023">
        <f>I922*J922</f>
        <v>20000</v>
      </c>
      <c r="L922" s="1015"/>
    </row>
    <row r="923" spans="1:12" s="27" customFormat="1" ht="17.25" customHeight="1">
      <c r="A923" s="1020" t="s">
        <v>425</v>
      </c>
      <c r="B923" s="1025" t="s">
        <v>468</v>
      </c>
      <c r="C923" s="1026">
        <f>VLOOKUP(B914,'CNKT '!$D$102:$AA$166,19,0)</f>
        <v>0</v>
      </c>
      <c r="D923" s="622">
        <v>20000</v>
      </c>
      <c r="E923" s="1023">
        <f>C923*D923</f>
        <v>0</v>
      </c>
      <c r="F923" s="1079"/>
      <c r="G923" s="1020" t="s">
        <v>425</v>
      </c>
      <c r="H923" s="1025" t="s">
        <v>468</v>
      </c>
      <c r="I923" s="1026">
        <f>VLOOKUP(H914,'CNKT '!$D$102:$AA$166,19,0)</f>
        <v>0</v>
      </c>
      <c r="J923" s="622">
        <v>20000</v>
      </c>
      <c r="K923" s="1023">
        <f>I923*J923</f>
        <v>0</v>
      </c>
      <c r="L923" s="1015"/>
    </row>
    <row r="924" spans="1:12" s="27" customFormat="1" ht="17.25" customHeight="1">
      <c r="A924" s="1020" t="s">
        <v>780</v>
      </c>
      <c r="B924" s="1027" t="s">
        <v>781</v>
      </c>
      <c r="C924" s="1026"/>
      <c r="D924" s="622"/>
      <c r="E924" s="1023">
        <f>VLOOKUP(B914,'CNKT '!$D$102:$AE$166,28,0)</f>
        <v>0</v>
      </c>
      <c r="F924" s="1079"/>
      <c r="G924" s="1020" t="s">
        <v>780</v>
      </c>
      <c r="H924" s="1027" t="s">
        <v>781</v>
      </c>
      <c r="I924" s="1026"/>
      <c r="J924" s="622"/>
      <c r="K924" s="1023">
        <f>VLOOKUP(H914,'CNKT '!$D$102:$AE$166,28,0)</f>
        <v>0</v>
      </c>
      <c r="L924" s="1015"/>
    </row>
    <row r="925" spans="1:12" s="27" customFormat="1" ht="17.25" customHeight="1">
      <c r="A925" s="1028" t="s">
        <v>74</v>
      </c>
      <c r="B925" s="1029" t="s">
        <v>498</v>
      </c>
      <c r="C925" s="1030"/>
      <c r="D925" s="1031"/>
      <c r="E925" s="1030"/>
      <c r="F925" s="1079"/>
      <c r="G925" s="1028" t="s">
        <v>74</v>
      </c>
      <c r="H925" s="1029" t="s">
        <v>498</v>
      </c>
      <c r="I925" s="1030"/>
      <c r="J925" s="1031"/>
      <c r="K925" s="1030"/>
      <c r="L925" s="1015"/>
    </row>
    <row r="926" spans="1:12" s="27" customFormat="1" ht="17.25" customHeight="1">
      <c r="A926" s="1032" t="s">
        <v>75</v>
      </c>
      <c r="B926" s="1033" t="s">
        <v>499</v>
      </c>
      <c r="C926" s="1030"/>
      <c r="D926" s="1030"/>
      <c r="E926" s="1030"/>
      <c r="F926" s="1079"/>
      <c r="G926" s="1032" t="s">
        <v>75</v>
      </c>
      <c r="H926" s="1033" t="s">
        <v>499</v>
      </c>
      <c r="I926" s="1030"/>
      <c r="J926" s="1030"/>
      <c r="K926" s="1030"/>
      <c r="L926" s="1015"/>
    </row>
    <row r="927" spans="1:12" s="27" customFormat="1" ht="17.25" customHeight="1">
      <c r="A927" s="1032" t="s">
        <v>76</v>
      </c>
      <c r="B927" s="1034" t="s">
        <v>500</v>
      </c>
      <c r="C927" s="1030"/>
      <c r="D927" s="1030"/>
      <c r="E927" s="1023">
        <f>SUM(E926)</f>
        <v>0</v>
      </c>
      <c r="F927" s="1081"/>
      <c r="G927" s="1032" t="s">
        <v>76</v>
      </c>
      <c r="H927" s="1034" t="s">
        <v>500</v>
      </c>
      <c r="I927" s="1030"/>
      <c r="J927" s="1030"/>
      <c r="K927" s="1023">
        <f>SUM(K926)</f>
        <v>0</v>
      </c>
      <c r="L927" s="1015"/>
    </row>
    <row r="928" spans="1:12" s="27" customFormat="1" ht="17.25" customHeight="1">
      <c r="A928" s="1036" t="s">
        <v>77</v>
      </c>
      <c r="B928" s="1037" t="s">
        <v>412</v>
      </c>
      <c r="C928" s="1038"/>
      <c r="D928" s="1038"/>
      <c r="E928" s="1038">
        <f>(E916+E917+E918+E919+E920+E921+E922+E923+E924)-E927</f>
        <v>7120423.5885593053</v>
      </c>
      <c r="F928" s="1081"/>
      <c r="G928" s="1036" t="s">
        <v>77</v>
      </c>
      <c r="H928" s="1037" t="s">
        <v>412</v>
      </c>
      <c r="I928" s="1038"/>
      <c r="J928" s="1038"/>
      <c r="K928" s="1038">
        <f>(K916+K917+K918+K919+K920+K921+K922+K923+K924)-K927</f>
        <v>9460363.9094661064</v>
      </c>
      <c r="L928" s="1040">
        <f>E928+K928</f>
        <v>16580787.498025412</v>
      </c>
    </row>
    <row r="929" spans="1:12" s="27" customFormat="1" ht="17.25" customHeight="1">
      <c r="A929" s="1082"/>
      <c r="B929" s="1082"/>
      <c r="C929" s="1082"/>
      <c r="D929" s="1082"/>
      <c r="E929" s="1082"/>
      <c r="F929" s="1082"/>
      <c r="G929" s="1082"/>
      <c r="H929" s="1082"/>
      <c r="I929" s="1082"/>
      <c r="J929" s="1082"/>
      <c r="K929" s="1082"/>
      <c r="L929" s="1015"/>
    </row>
    <row r="930" spans="1:12" s="27" customFormat="1" ht="17.25" customHeight="1">
      <c r="A930" s="1083" t="str">
        <f>A913</f>
        <v>LƯƠNG THÁNG 08/2025</v>
      </c>
      <c r="B930" s="1082"/>
      <c r="C930" s="1082"/>
      <c r="D930" s="1082"/>
      <c r="E930" s="1078">
        <f>VLOOKUP(B931,'CNKT '!$D$102:$AD$166,26,0)</f>
        <v>23</v>
      </c>
      <c r="F930" s="1079"/>
      <c r="G930" s="1083" t="str">
        <f>A930</f>
        <v>LƯƠNG THÁNG 08/2025</v>
      </c>
      <c r="H930" s="1082"/>
      <c r="I930" s="1082"/>
      <c r="J930" s="1014"/>
      <c r="K930" s="1078">
        <f>VLOOKUP(H931,'CNKT '!$D$102:$AD$166,26,0)</f>
        <v>24</v>
      </c>
      <c r="L930" s="1015"/>
    </row>
    <row r="931" spans="1:12" s="27" customFormat="1" ht="17.25" customHeight="1">
      <c r="A931" s="1044" t="s">
        <v>13</v>
      </c>
      <c r="B931" s="1016" t="str">
        <f>'CNKT '!D124</f>
        <v>N. Bun Đi</v>
      </c>
      <c r="C931" s="1022"/>
      <c r="D931" s="1016" t="s">
        <v>376</v>
      </c>
      <c r="E931" s="1016" t="s">
        <v>16</v>
      </c>
      <c r="F931" s="1079"/>
      <c r="G931" s="1044" t="s">
        <v>13</v>
      </c>
      <c r="H931" s="1016" t="str">
        <f>'CNKT '!D125</f>
        <v>N. Phon</v>
      </c>
      <c r="I931" s="1022"/>
      <c r="J931" s="1016" t="s">
        <v>376</v>
      </c>
      <c r="K931" s="1016" t="s">
        <v>16</v>
      </c>
      <c r="L931" s="1015"/>
    </row>
    <row r="932" spans="1:12" s="27" customFormat="1" ht="17.25" customHeight="1">
      <c r="A932" s="1020" t="s">
        <v>377</v>
      </c>
      <c r="B932" s="1021" t="s">
        <v>493</v>
      </c>
      <c r="C932" s="1022" t="str">
        <f>VLOOKUP(B931,'BTH mủ tạp'!$D$98:$AN$160,37,0)</f>
        <v>A</v>
      </c>
      <c r="D932" s="1023"/>
      <c r="E932" s="1023"/>
      <c r="F932" s="1079"/>
      <c r="G932" s="1020" t="s">
        <v>377</v>
      </c>
      <c r="H932" s="1021" t="s">
        <v>493</v>
      </c>
      <c r="I932" s="1022" t="str">
        <f>VLOOKUP(H931,'BTH mủ tạp'!$D$98:$AN$160,37,0)</f>
        <v>B</v>
      </c>
      <c r="J932" s="1023"/>
      <c r="K932" s="1023"/>
      <c r="L932" s="1015"/>
    </row>
    <row r="933" spans="1:12" s="27" customFormat="1" ht="17.25" customHeight="1">
      <c r="A933" s="1020" t="s">
        <v>72</v>
      </c>
      <c r="B933" s="1024" t="s">
        <v>406</v>
      </c>
      <c r="C933" s="621">
        <f>VLOOKUP(B931,'CNKT '!$D$101:$AA$166,3,0)</f>
        <v>0</v>
      </c>
      <c r="D933" s="622">
        <v>25000</v>
      </c>
      <c r="E933" s="1023">
        <f t="shared" ref="E933:E938" si="190">C933*D933</f>
        <v>0</v>
      </c>
      <c r="F933" s="1079"/>
      <c r="G933" s="1020" t="s">
        <v>72</v>
      </c>
      <c r="H933" s="1024" t="s">
        <v>406</v>
      </c>
      <c r="I933" s="621">
        <f>VLOOKUP(H931,'CNKT '!$D$101:$AA$166,3,0)</f>
        <v>0</v>
      </c>
      <c r="J933" s="622">
        <v>25000</v>
      </c>
      <c r="K933" s="1023">
        <f t="shared" ref="K933:K938" si="191">I933*J933</f>
        <v>0</v>
      </c>
      <c r="L933" s="1015"/>
    </row>
    <row r="934" spans="1:12" s="27" customFormat="1" ht="17.25" customHeight="1">
      <c r="A934" s="1020" t="s">
        <v>292</v>
      </c>
      <c r="B934" s="1025" t="s">
        <v>494</v>
      </c>
      <c r="C934" s="1026">
        <f>VLOOKUP(B931,'CNKT '!$D$101:$AA$166,11,0)</f>
        <v>24</v>
      </c>
      <c r="D934" s="623">
        <f>46.1*$B$2</f>
        <v>30922.036</v>
      </c>
      <c r="E934" s="1023">
        <f t="shared" si="190"/>
        <v>742128.86400000006</v>
      </c>
      <c r="F934" s="1079"/>
      <c r="G934" s="1020" t="s">
        <v>292</v>
      </c>
      <c r="H934" s="1025" t="s">
        <v>494</v>
      </c>
      <c r="I934" s="1026">
        <f>VLOOKUP(H931,'CNKT '!$D$101:$AA$166,11,0)</f>
        <v>24</v>
      </c>
      <c r="J934" s="623">
        <f>46.1*$B$2</f>
        <v>30922.036</v>
      </c>
      <c r="K934" s="1023">
        <f t="shared" si="191"/>
        <v>742128.86400000006</v>
      </c>
      <c r="L934" s="1015"/>
    </row>
    <row r="935" spans="1:12" s="27" customFormat="1" ht="17.25" customHeight="1">
      <c r="A935" s="1020" t="s">
        <v>379</v>
      </c>
      <c r="B935" s="1025" t="s">
        <v>495</v>
      </c>
      <c r="C935" s="1026">
        <f>VLOOKUP(B931,'CNKT '!$D$101:$AA$166,12,0)</f>
        <v>4</v>
      </c>
      <c r="D935" s="622">
        <f>76.9*$B$2</f>
        <v>51581.444000000003</v>
      </c>
      <c r="E935" s="1023">
        <f t="shared" si="190"/>
        <v>206325.77600000001</v>
      </c>
      <c r="F935" s="1079"/>
      <c r="G935" s="1020" t="s">
        <v>379</v>
      </c>
      <c r="H935" s="1025" t="s">
        <v>495</v>
      </c>
      <c r="I935" s="1026">
        <f>VLOOKUP(H931,'CNKT '!$D$101:$AA$166,12,0)</f>
        <v>4</v>
      </c>
      <c r="J935" s="622">
        <f>76.9*$B$2</f>
        <v>51581.444000000003</v>
      </c>
      <c r="K935" s="1023">
        <f t="shared" si="191"/>
        <v>206325.77600000001</v>
      </c>
      <c r="L935" s="1015"/>
    </row>
    <row r="936" spans="1:12" s="27" customFormat="1" ht="17.25" customHeight="1">
      <c r="A936" s="1020" t="s">
        <v>73</v>
      </c>
      <c r="B936" s="1025" t="s">
        <v>496</v>
      </c>
      <c r="C936" s="1026">
        <f>VLOOKUP(B931,'CNKT '!$D$101:$AA$166,8,0)</f>
        <v>1646.7619812578878</v>
      </c>
      <c r="D936" s="622">
        <f>IF(C932="A",6.1,IF(C932="B",5.8,IF(C932="C",5.5,IF(C932="C.",5.5,IF(C932="D",5.2)))))*$B$2</f>
        <v>4091.6359999999995</v>
      </c>
      <c r="E936" s="1023">
        <f t="shared" si="190"/>
        <v>6737950.6059460985</v>
      </c>
      <c r="F936" s="1079"/>
      <c r="G936" s="1020" t="s">
        <v>73</v>
      </c>
      <c r="H936" s="1025" t="s">
        <v>496</v>
      </c>
      <c r="I936" s="1026">
        <f>VLOOKUP(H931,'CNKT '!$D$101:$AA$166,8,0)</f>
        <v>1683.0971549972264</v>
      </c>
      <c r="J936" s="622">
        <f>IF(I932="A",6.1,IF(I932="B",5.8,IF(I932="C",5.5,IF(I932="C.",5.5,IF(I932="D",5.2)))))*$B$2</f>
        <v>3890.4079999999999</v>
      </c>
      <c r="K936" s="1023">
        <f t="shared" si="191"/>
        <v>6547934.636578449</v>
      </c>
      <c r="L936" s="1015"/>
    </row>
    <row r="937" spans="1:12" s="27" customFormat="1" ht="17.25" customHeight="1">
      <c r="A937" s="1089" t="s">
        <v>464</v>
      </c>
      <c r="B937" s="1090" t="s">
        <v>497</v>
      </c>
      <c r="C937" s="1091">
        <f>VLOOKUP(B931,'CNKT '!$D$99:$AA$166,13,0)</f>
        <v>2</v>
      </c>
      <c r="D937" s="1092">
        <v>100000</v>
      </c>
      <c r="E937" s="1093">
        <f t="shared" si="190"/>
        <v>200000</v>
      </c>
      <c r="F937" s="1079"/>
      <c r="G937" s="1089" t="s">
        <v>464</v>
      </c>
      <c r="H937" s="1090" t="s">
        <v>497</v>
      </c>
      <c r="I937" s="1091">
        <f>VLOOKUP(H931,'CNKT '!$D$99:$AA$166,13,0)</f>
        <v>2</v>
      </c>
      <c r="J937" s="1092">
        <v>100000</v>
      </c>
      <c r="K937" s="1093">
        <f t="shared" si="191"/>
        <v>200000</v>
      </c>
      <c r="L937" s="1015"/>
    </row>
    <row r="938" spans="1:12" s="27" customFormat="1" ht="17.25" customHeight="1">
      <c r="A938" s="1020" t="s">
        <v>421</v>
      </c>
      <c r="B938" s="1025" t="s">
        <v>467</v>
      </c>
      <c r="C938" s="1026">
        <f>VLOOKUP(B931,'CNKT '!$D$101:$AA$166,14,0)</f>
        <v>0</v>
      </c>
      <c r="D938" s="622">
        <f>153.6*$B$2</f>
        <v>103028.73599999999</v>
      </c>
      <c r="E938" s="1023">
        <f t="shared" si="190"/>
        <v>0</v>
      </c>
      <c r="F938" s="1079"/>
      <c r="G938" s="1020" t="s">
        <v>421</v>
      </c>
      <c r="H938" s="1025" t="s">
        <v>467</v>
      </c>
      <c r="I938" s="1026">
        <f>VLOOKUP(H931,'CNKT '!$D$101:$AA$166,14,0)</f>
        <v>0</v>
      </c>
      <c r="J938" s="622">
        <f>153.6*$B$2</f>
        <v>103028.73599999999</v>
      </c>
      <c r="K938" s="1023">
        <f t="shared" si="191"/>
        <v>0</v>
      </c>
      <c r="L938" s="1015"/>
    </row>
    <row r="939" spans="1:12" s="27" customFormat="1" ht="17.25" customHeight="1">
      <c r="A939" s="1020" t="s">
        <v>425</v>
      </c>
      <c r="B939" s="1025" t="s">
        <v>468</v>
      </c>
      <c r="C939" s="1026">
        <f>VLOOKUP(B931,'CNKT '!$D$102:$AA$166,18,0)</f>
        <v>2</v>
      </c>
      <c r="D939" s="622">
        <v>10000</v>
      </c>
      <c r="E939" s="1023">
        <f>C939*D939</f>
        <v>20000</v>
      </c>
      <c r="F939" s="1079"/>
      <c r="G939" s="1020" t="s">
        <v>425</v>
      </c>
      <c r="H939" s="1025" t="s">
        <v>468</v>
      </c>
      <c r="I939" s="1026">
        <f>VLOOKUP(H931,'CNKT '!$D$102:$AA$166,18,0)</f>
        <v>2</v>
      </c>
      <c r="J939" s="622">
        <v>10000</v>
      </c>
      <c r="K939" s="1023">
        <f>I939*J939</f>
        <v>20000</v>
      </c>
      <c r="L939" s="1015"/>
    </row>
    <row r="940" spans="1:12" s="27" customFormat="1" ht="17.25" customHeight="1">
      <c r="A940" s="1020" t="s">
        <v>425</v>
      </c>
      <c r="B940" s="1025" t="s">
        <v>468</v>
      </c>
      <c r="C940" s="1026">
        <f>VLOOKUP(B931,'CNKT '!$D$102:$AA$166,19,0)</f>
        <v>0</v>
      </c>
      <c r="D940" s="622">
        <v>20000</v>
      </c>
      <c r="E940" s="1023">
        <f>C940*D940</f>
        <v>0</v>
      </c>
      <c r="F940" s="1079"/>
      <c r="G940" s="1020" t="s">
        <v>425</v>
      </c>
      <c r="H940" s="1025" t="s">
        <v>468</v>
      </c>
      <c r="I940" s="1026">
        <f>VLOOKUP(H931,'CNKT '!$D$102:$AA$166,19,0)</f>
        <v>0</v>
      </c>
      <c r="J940" s="622">
        <v>20000</v>
      </c>
      <c r="K940" s="1023">
        <f>I940*J940</f>
        <v>0</v>
      </c>
      <c r="L940" s="1015"/>
    </row>
    <row r="941" spans="1:12" s="27" customFormat="1" ht="17.25" customHeight="1">
      <c r="A941" s="1020" t="s">
        <v>780</v>
      </c>
      <c r="B941" s="1027" t="s">
        <v>781</v>
      </c>
      <c r="C941" s="1026"/>
      <c r="D941" s="622"/>
      <c r="E941" s="1023">
        <f>VLOOKUP(B931,'CNKT '!$D$102:$AE$166,28,0)</f>
        <v>0</v>
      </c>
      <c r="F941" s="1079"/>
      <c r="G941" s="1020" t="s">
        <v>780</v>
      </c>
      <c r="H941" s="1027" t="s">
        <v>781</v>
      </c>
      <c r="I941" s="1026"/>
      <c r="J941" s="622"/>
      <c r="K941" s="1023">
        <f>VLOOKUP(H931,'CNKT '!$D$102:$AE$166,28,0)</f>
        <v>0</v>
      </c>
      <c r="L941" s="1015"/>
    </row>
    <row r="942" spans="1:12" s="27" customFormat="1" ht="17.25" customHeight="1">
      <c r="A942" s="1028" t="s">
        <v>74</v>
      </c>
      <c r="B942" s="1029" t="s">
        <v>498</v>
      </c>
      <c r="C942" s="1030"/>
      <c r="D942" s="1031"/>
      <c r="E942" s="1030"/>
      <c r="F942" s="1079"/>
      <c r="G942" s="1028" t="s">
        <v>74</v>
      </c>
      <c r="H942" s="1029" t="s">
        <v>498</v>
      </c>
      <c r="I942" s="1030"/>
      <c r="J942" s="1031"/>
      <c r="K942" s="1030"/>
      <c r="L942" s="1015"/>
    </row>
    <row r="943" spans="1:12" s="27" customFormat="1" ht="17.25" customHeight="1">
      <c r="A943" s="1032" t="s">
        <v>75</v>
      </c>
      <c r="B943" s="1033" t="s">
        <v>499</v>
      </c>
      <c r="C943" s="1030"/>
      <c r="D943" s="1030"/>
      <c r="E943" s="1030"/>
      <c r="F943" s="1079"/>
      <c r="G943" s="1032" t="s">
        <v>75</v>
      </c>
      <c r="H943" s="1033" t="s">
        <v>499</v>
      </c>
      <c r="I943" s="1030"/>
      <c r="J943" s="1030"/>
      <c r="K943" s="1030"/>
      <c r="L943" s="1015"/>
    </row>
    <row r="944" spans="1:12" s="27" customFormat="1" ht="17.25" customHeight="1">
      <c r="A944" s="1032" t="s">
        <v>76</v>
      </c>
      <c r="B944" s="1034" t="s">
        <v>500</v>
      </c>
      <c r="C944" s="1030"/>
      <c r="D944" s="1030"/>
      <c r="E944" s="1023">
        <f>SUM(E943)</f>
        <v>0</v>
      </c>
      <c r="F944" s="1084"/>
      <c r="G944" s="1032" t="s">
        <v>76</v>
      </c>
      <c r="H944" s="1034" t="s">
        <v>500</v>
      </c>
      <c r="I944" s="1030"/>
      <c r="J944" s="1030"/>
      <c r="K944" s="1023">
        <f>SUM(K943)</f>
        <v>0</v>
      </c>
      <c r="L944" s="1015"/>
    </row>
    <row r="945" spans="1:12" s="27" customFormat="1" ht="17.25" customHeight="1">
      <c r="A945" s="1036" t="s">
        <v>77</v>
      </c>
      <c r="B945" s="1037" t="s">
        <v>412</v>
      </c>
      <c r="C945" s="1038"/>
      <c r="D945" s="1038"/>
      <c r="E945" s="1038">
        <f>(E933+E934+E935+E936+E937+E938+E939+E940+E941)-E944</f>
        <v>7906405.2459460981</v>
      </c>
      <c r="F945" s="1084"/>
      <c r="G945" s="1036" t="s">
        <v>77</v>
      </c>
      <c r="H945" s="1037" t="s">
        <v>412</v>
      </c>
      <c r="I945" s="1038"/>
      <c r="J945" s="1038"/>
      <c r="K945" s="1038">
        <f>(K933+K934+K935+K936+K937+K938+K939+K940+K941)-K944</f>
        <v>7716389.2765784487</v>
      </c>
      <c r="L945" s="1040">
        <f>E945+K945</f>
        <v>15622794.522524547</v>
      </c>
    </row>
    <row r="946" spans="1:12" s="27" customFormat="1" ht="25.15" customHeight="1">
      <c r="A946" s="1082"/>
      <c r="B946" s="1082"/>
      <c r="C946" s="1082"/>
      <c r="D946" s="1082"/>
      <c r="E946" s="1082"/>
      <c r="F946" s="1082"/>
      <c r="G946" s="1082"/>
      <c r="H946" s="1082"/>
      <c r="I946" s="1082"/>
      <c r="J946" s="1082"/>
      <c r="K946" s="1082"/>
      <c r="L946" s="1015"/>
    </row>
    <row r="947" spans="1:12" s="27" customFormat="1" ht="17.25" customHeight="1">
      <c r="A947" s="1083" t="str">
        <f>A930</f>
        <v>LƯƠNG THÁNG 08/2025</v>
      </c>
      <c r="B947" s="1082"/>
      <c r="C947" s="1082"/>
      <c r="D947" s="1082"/>
      <c r="E947" s="1078">
        <f>VLOOKUP(B948,'CNKT '!$D$102:$AD$166,26,0)</f>
        <v>25</v>
      </c>
      <c r="F947" s="1079"/>
      <c r="G947" s="1083" t="str">
        <f>A947</f>
        <v>LƯƠNG THÁNG 08/2025</v>
      </c>
      <c r="H947" s="1082"/>
      <c r="I947" s="1082"/>
      <c r="J947" s="1014"/>
      <c r="K947" s="1078">
        <f>VLOOKUP(H948,'CNKT '!$D$102:$AD$166,26,0)</f>
        <v>26</v>
      </c>
      <c r="L947" s="1015"/>
    </row>
    <row r="948" spans="1:12" s="27" customFormat="1" ht="17.25" customHeight="1">
      <c r="A948" s="1044" t="s">
        <v>13</v>
      </c>
      <c r="B948" s="1016" t="str">
        <f>'CNKT '!D126</f>
        <v xml:space="preserve">N. Bun </v>
      </c>
      <c r="C948" s="1022"/>
      <c r="D948" s="1016" t="s">
        <v>376</v>
      </c>
      <c r="E948" s="1016" t="s">
        <v>16</v>
      </c>
      <c r="F948" s="1079"/>
      <c r="G948" s="1044" t="s">
        <v>13</v>
      </c>
      <c r="H948" s="1016" t="str">
        <f>'CNKT '!D127</f>
        <v>N. Phu Văn</v>
      </c>
      <c r="I948" s="1022"/>
      <c r="J948" s="1016" t="s">
        <v>376</v>
      </c>
      <c r="K948" s="1016" t="s">
        <v>16</v>
      </c>
      <c r="L948" s="1015"/>
    </row>
    <row r="949" spans="1:12" s="27" customFormat="1" ht="17.25" customHeight="1">
      <c r="A949" s="1020" t="s">
        <v>377</v>
      </c>
      <c r="B949" s="1021" t="s">
        <v>493</v>
      </c>
      <c r="C949" s="1022" t="str">
        <f>VLOOKUP(B948,'BTH mủ tạp'!$D$98:$AN$160,37,0)</f>
        <v>A</v>
      </c>
      <c r="D949" s="1023"/>
      <c r="E949" s="1023"/>
      <c r="F949" s="1079"/>
      <c r="G949" s="1020" t="s">
        <v>377</v>
      </c>
      <c r="H949" s="1021" t="s">
        <v>493</v>
      </c>
      <c r="I949" s="1022" t="str">
        <f>VLOOKUP(H948,'BTH mủ tạp'!$D$98:$AN$160,37,0)</f>
        <v>A</v>
      </c>
      <c r="J949" s="1023"/>
      <c r="K949" s="1023"/>
      <c r="L949" s="1015"/>
    </row>
    <row r="950" spans="1:12" s="27" customFormat="1" ht="17.25" customHeight="1">
      <c r="A950" s="1020" t="s">
        <v>72</v>
      </c>
      <c r="B950" s="1024" t="s">
        <v>406</v>
      </c>
      <c r="C950" s="621">
        <f>VLOOKUP(B948,'CNKT '!$D$101:$AA$166,3,0)</f>
        <v>0</v>
      </c>
      <c r="D950" s="622">
        <v>25000</v>
      </c>
      <c r="E950" s="1023">
        <f t="shared" ref="E950:E955" si="192">C950*D950</f>
        <v>0</v>
      </c>
      <c r="F950" s="1079"/>
      <c r="G950" s="1020" t="s">
        <v>72</v>
      </c>
      <c r="H950" s="1024" t="s">
        <v>406</v>
      </c>
      <c r="I950" s="621">
        <f>VLOOKUP(H948,'CNKT '!$D$101:$AA$166,3,0)</f>
        <v>0</v>
      </c>
      <c r="J950" s="622">
        <v>25000</v>
      </c>
      <c r="K950" s="1023">
        <f t="shared" ref="K950:K955" si="193">I950*J950</f>
        <v>0</v>
      </c>
      <c r="L950" s="1015"/>
    </row>
    <row r="951" spans="1:12" s="27" customFormat="1" ht="17.25" customHeight="1">
      <c r="A951" s="1020" t="s">
        <v>292</v>
      </c>
      <c r="B951" s="1025" t="s">
        <v>494</v>
      </c>
      <c r="C951" s="1026">
        <f>VLOOKUP(B948,'CNKT '!$D$101:$AA$166,11,0)</f>
        <v>24</v>
      </c>
      <c r="D951" s="623">
        <f>46.1*$B$2</f>
        <v>30922.036</v>
      </c>
      <c r="E951" s="1023">
        <f t="shared" si="192"/>
        <v>742128.86400000006</v>
      </c>
      <c r="F951" s="1079"/>
      <c r="G951" s="1020" t="s">
        <v>292</v>
      </c>
      <c r="H951" s="1025" t="s">
        <v>494</v>
      </c>
      <c r="I951" s="1026">
        <f>VLOOKUP(H948,'CNKT '!$D$101:$AA$166,11,0)</f>
        <v>24</v>
      </c>
      <c r="J951" s="623">
        <f>46.1*$B$2</f>
        <v>30922.036</v>
      </c>
      <c r="K951" s="1023">
        <f t="shared" si="193"/>
        <v>742128.86400000006</v>
      </c>
      <c r="L951" s="1015"/>
    </row>
    <row r="952" spans="1:12" s="27" customFormat="1" ht="17.25" customHeight="1">
      <c r="A952" s="1020" t="s">
        <v>379</v>
      </c>
      <c r="B952" s="1025" t="s">
        <v>495</v>
      </c>
      <c r="C952" s="1026">
        <f>VLOOKUP(B948,'CNKT '!$D$101:$AA$166,12,0)</f>
        <v>4</v>
      </c>
      <c r="D952" s="622">
        <f>76.9*$B$2</f>
        <v>51581.444000000003</v>
      </c>
      <c r="E952" s="1023">
        <f t="shared" si="192"/>
        <v>206325.77600000001</v>
      </c>
      <c r="F952" s="1079"/>
      <c r="G952" s="1020" t="s">
        <v>379</v>
      </c>
      <c r="H952" s="1025" t="s">
        <v>495</v>
      </c>
      <c r="I952" s="1026">
        <f>VLOOKUP(H948,'CNKT '!$D$101:$AA$166,12,0)</f>
        <v>4</v>
      </c>
      <c r="J952" s="622">
        <f>76.9*$B$2</f>
        <v>51581.444000000003</v>
      </c>
      <c r="K952" s="1023">
        <f t="shared" si="193"/>
        <v>206325.77600000001</v>
      </c>
      <c r="L952" s="1015"/>
    </row>
    <row r="953" spans="1:12" s="27" customFormat="1" ht="17.25" customHeight="1">
      <c r="A953" s="1020" t="s">
        <v>73</v>
      </c>
      <c r="B953" s="1025" t="s">
        <v>496</v>
      </c>
      <c r="C953" s="1026">
        <f>VLOOKUP(B948,'CNKT '!$D$101:$AA$166,8,0)</f>
        <v>2103.114460960297</v>
      </c>
      <c r="D953" s="622">
        <f>IF(C949="A",6.1,IF(C949="B",5.8,IF(C949="C",5.5,IF(C949="C.",5.5,IF(C949="D",5.2)))))*$B$2</f>
        <v>4091.6359999999995</v>
      </c>
      <c r="E953" s="1023">
        <f t="shared" si="192"/>
        <v>8605178.840585744</v>
      </c>
      <c r="F953" s="1079"/>
      <c r="G953" s="1020" t="s">
        <v>73</v>
      </c>
      <c r="H953" s="1025" t="s">
        <v>496</v>
      </c>
      <c r="I953" s="1026">
        <f>VLOOKUP(H948,'CNKT '!$D$101:$AA$166,8,0)</f>
        <v>2121.2820478299664</v>
      </c>
      <c r="J953" s="622">
        <f>IF(I949="A",6.1,IF(I949="B",5.8,IF(I949="C",5.5,IF(I949="C.",5.5,IF(I949="D",5.2)))))*$B$2</f>
        <v>4091.6359999999995</v>
      </c>
      <c r="K953" s="1023">
        <f t="shared" si="193"/>
        <v>8679513.9930548109</v>
      </c>
      <c r="L953" s="1015"/>
    </row>
    <row r="954" spans="1:12" s="27" customFormat="1" ht="17.25" customHeight="1">
      <c r="A954" s="1089" t="s">
        <v>464</v>
      </c>
      <c r="B954" s="1090" t="s">
        <v>497</v>
      </c>
      <c r="C954" s="1091">
        <f>VLOOKUP(B948,'CNKT '!$D$99:$AA$166,13,0)</f>
        <v>2</v>
      </c>
      <c r="D954" s="1092">
        <v>100000</v>
      </c>
      <c r="E954" s="1093">
        <f t="shared" si="192"/>
        <v>200000</v>
      </c>
      <c r="F954" s="1079"/>
      <c r="G954" s="1089" t="s">
        <v>464</v>
      </c>
      <c r="H954" s="1090" t="s">
        <v>497</v>
      </c>
      <c r="I954" s="1091">
        <f>VLOOKUP(H948,'CNKT '!$D$99:$AA$166,13,0)</f>
        <v>2</v>
      </c>
      <c r="J954" s="1092">
        <v>100000</v>
      </c>
      <c r="K954" s="1093">
        <f t="shared" si="193"/>
        <v>200000</v>
      </c>
      <c r="L954" s="1015"/>
    </row>
    <row r="955" spans="1:12" s="27" customFormat="1" ht="17.25" customHeight="1">
      <c r="A955" s="1020" t="s">
        <v>421</v>
      </c>
      <c r="B955" s="1025" t="s">
        <v>467</v>
      </c>
      <c r="C955" s="1026">
        <f>VLOOKUP(B948,'CNKT '!$D$101:$AA$166,14,0)</f>
        <v>0</v>
      </c>
      <c r="D955" s="622">
        <f>153.6*$B$2</f>
        <v>103028.73599999999</v>
      </c>
      <c r="E955" s="1023">
        <f t="shared" si="192"/>
        <v>0</v>
      </c>
      <c r="F955" s="1079"/>
      <c r="G955" s="1020" t="s">
        <v>421</v>
      </c>
      <c r="H955" s="1025" t="s">
        <v>467</v>
      </c>
      <c r="I955" s="1026">
        <f>VLOOKUP(H948,'CNKT '!$D$101:$AA$166,14,0)</f>
        <v>0</v>
      </c>
      <c r="J955" s="622">
        <f>153.6*$B$2</f>
        <v>103028.73599999999</v>
      </c>
      <c r="K955" s="1023">
        <f t="shared" si="193"/>
        <v>0</v>
      </c>
      <c r="L955" s="1015"/>
    </row>
    <row r="956" spans="1:12" s="27" customFormat="1" ht="17.25" customHeight="1">
      <c r="A956" s="1020" t="s">
        <v>425</v>
      </c>
      <c r="B956" s="1025" t="s">
        <v>468</v>
      </c>
      <c r="C956" s="1026">
        <f>VLOOKUP(B948,'CNKT '!$D$102:$AA$166,18,0)</f>
        <v>2</v>
      </c>
      <c r="D956" s="622">
        <v>10000</v>
      </c>
      <c r="E956" s="1023">
        <f>C956*D956</f>
        <v>20000</v>
      </c>
      <c r="F956" s="1079"/>
      <c r="G956" s="1020" t="s">
        <v>425</v>
      </c>
      <c r="H956" s="1025" t="s">
        <v>468</v>
      </c>
      <c r="I956" s="1026">
        <f>VLOOKUP(H948,'CNKT '!$D$102:$AA$166,18,0)</f>
        <v>2</v>
      </c>
      <c r="J956" s="622">
        <v>10000</v>
      </c>
      <c r="K956" s="1023">
        <f>I956*J956</f>
        <v>20000</v>
      </c>
      <c r="L956" s="1015"/>
    </row>
    <row r="957" spans="1:12" s="27" customFormat="1" ht="17.25" customHeight="1">
      <c r="A957" s="1020" t="s">
        <v>425</v>
      </c>
      <c r="B957" s="1025" t="s">
        <v>468</v>
      </c>
      <c r="C957" s="1026">
        <f>VLOOKUP(B948,'CNKT '!$D$102:$AA$166,19,0)</f>
        <v>0</v>
      </c>
      <c r="D957" s="622">
        <v>20000</v>
      </c>
      <c r="E957" s="1023">
        <f>C957*D957</f>
        <v>0</v>
      </c>
      <c r="F957" s="1079"/>
      <c r="G957" s="1020" t="s">
        <v>425</v>
      </c>
      <c r="H957" s="1025" t="s">
        <v>468</v>
      </c>
      <c r="I957" s="1026">
        <f>VLOOKUP(H948,'CNKT '!$D$102:$AA$166,19,0)</f>
        <v>0</v>
      </c>
      <c r="J957" s="622">
        <v>20000</v>
      </c>
      <c r="K957" s="1023">
        <f>I957*J957</f>
        <v>0</v>
      </c>
      <c r="L957" s="1015"/>
    </row>
    <row r="958" spans="1:12" s="27" customFormat="1" ht="17.25" customHeight="1">
      <c r="A958" s="1020" t="s">
        <v>780</v>
      </c>
      <c r="B958" s="1027" t="s">
        <v>781</v>
      </c>
      <c r="C958" s="1026"/>
      <c r="D958" s="622"/>
      <c r="E958" s="1023">
        <f>VLOOKUP(B948,'CNKT '!$D$102:$AE$166,28,0)</f>
        <v>0</v>
      </c>
      <c r="F958" s="1079"/>
      <c r="G958" s="1020" t="s">
        <v>780</v>
      </c>
      <c r="H958" s="1027" t="s">
        <v>781</v>
      </c>
      <c r="I958" s="1026"/>
      <c r="J958" s="622"/>
      <c r="K958" s="1023">
        <f>VLOOKUP(H948,'CNKT '!$D$102:$AE$166,28,0)</f>
        <v>0</v>
      </c>
      <c r="L958" s="1015"/>
    </row>
    <row r="959" spans="1:12" s="27" customFormat="1" ht="17.25" customHeight="1">
      <c r="A959" s="1028" t="s">
        <v>74</v>
      </c>
      <c r="B959" s="1029" t="s">
        <v>498</v>
      </c>
      <c r="C959" s="1030"/>
      <c r="D959" s="1031"/>
      <c r="E959" s="1030"/>
      <c r="F959" s="1079"/>
      <c r="G959" s="1028" t="s">
        <v>74</v>
      </c>
      <c r="H959" s="1029" t="s">
        <v>498</v>
      </c>
      <c r="I959" s="1030"/>
      <c r="J959" s="1031"/>
      <c r="K959" s="1030"/>
      <c r="L959" s="1015"/>
    </row>
    <row r="960" spans="1:12" s="27" customFormat="1" ht="17.25" customHeight="1">
      <c r="A960" s="1032" t="s">
        <v>75</v>
      </c>
      <c r="B960" s="1033" t="s">
        <v>499</v>
      </c>
      <c r="C960" s="1030"/>
      <c r="D960" s="1030"/>
      <c r="E960" s="1030"/>
      <c r="F960" s="1079"/>
      <c r="G960" s="1032" t="s">
        <v>75</v>
      </c>
      <c r="H960" s="1033" t="s">
        <v>499</v>
      </c>
      <c r="I960" s="1030"/>
      <c r="J960" s="1030"/>
      <c r="K960" s="1030"/>
      <c r="L960" s="1015"/>
    </row>
    <row r="961" spans="1:12" s="27" customFormat="1" ht="17.25" customHeight="1">
      <c r="A961" s="1032" t="s">
        <v>76</v>
      </c>
      <c r="B961" s="1034" t="s">
        <v>500</v>
      </c>
      <c r="C961" s="1030"/>
      <c r="D961" s="1030"/>
      <c r="E961" s="1023">
        <f>SUM(E960)</f>
        <v>0</v>
      </c>
      <c r="F961" s="1081"/>
      <c r="G961" s="1032" t="s">
        <v>76</v>
      </c>
      <c r="H961" s="1034" t="s">
        <v>500</v>
      </c>
      <c r="I961" s="1030"/>
      <c r="J961" s="1030"/>
      <c r="K961" s="1023">
        <f>SUM(K960)</f>
        <v>0</v>
      </c>
      <c r="L961" s="1015"/>
    </row>
    <row r="962" spans="1:12" s="27" customFormat="1" ht="17.25" customHeight="1">
      <c r="A962" s="1036" t="s">
        <v>77</v>
      </c>
      <c r="B962" s="1037" t="s">
        <v>412</v>
      </c>
      <c r="C962" s="1038"/>
      <c r="D962" s="1038"/>
      <c r="E962" s="1038">
        <f>(E950+E951+E952+E953+E954+E955+E956+E957+E958)-E961</f>
        <v>9773633.4805857446</v>
      </c>
      <c r="F962" s="1081"/>
      <c r="G962" s="1036" t="s">
        <v>77</v>
      </c>
      <c r="H962" s="1037" t="s">
        <v>412</v>
      </c>
      <c r="I962" s="1038"/>
      <c r="J962" s="1038"/>
      <c r="K962" s="1038">
        <f>(K950+K951+K952+K953+K954+K955+K956+K957+K958)-K961</f>
        <v>9847968.6330548115</v>
      </c>
      <c r="L962" s="1040">
        <f>E962+K962</f>
        <v>19621602.113640554</v>
      </c>
    </row>
    <row r="963" spans="1:12" s="27" customFormat="1" ht="17.25" customHeight="1">
      <c r="A963" s="1082"/>
      <c r="B963" s="1082"/>
      <c r="C963" s="1082"/>
      <c r="D963" s="1082"/>
      <c r="E963" s="1082"/>
      <c r="F963" s="1082"/>
      <c r="G963" s="1082"/>
      <c r="H963" s="1082"/>
      <c r="I963" s="1082"/>
      <c r="J963" s="1082"/>
      <c r="K963" s="1082"/>
      <c r="L963" s="1015"/>
    </row>
    <row r="964" spans="1:12" s="27" customFormat="1" ht="17.25" customHeight="1">
      <c r="A964" s="1083" t="str">
        <f>A947</f>
        <v>LƯƠNG THÁNG 08/2025</v>
      </c>
      <c r="B964" s="1082"/>
      <c r="C964" s="1082"/>
      <c r="D964" s="1082"/>
      <c r="E964" s="1078">
        <f>VLOOKUP(B965,'CNKT '!$D$102:$AD$166,26,0)</f>
        <v>27</v>
      </c>
      <c r="F964" s="1079"/>
      <c r="G964" s="1083" t="str">
        <f>A964</f>
        <v>LƯƠNG THÁNG 08/2025</v>
      </c>
      <c r="H964" s="1082"/>
      <c r="I964" s="1082"/>
      <c r="J964" s="1014"/>
      <c r="K964" s="1078">
        <f>VLOOKUP(H965,'CNKT '!$D$102:$AD$166,26,0)</f>
        <v>28</v>
      </c>
      <c r="L964" s="1015"/>
    </row>
    <row r="965" spans="1:12" s="27" customFormat="1" ht="17.25" customHeight="1">
      <c r="A965" s="1044" t="s">
        <v>13</v>
      </c>
      <c r="B965" s="1016" t="str">
        <f>'CNKT '!D128</f>
        <v>N. Lỷ</v>
      </c>
      <c r="C965" s="1022"/>
      <c r="D965" s="1016" t="s">
        <v>376</v>
      </c>
      <c r="E965" s="1016" t="s">
        <v>16</v>
      </c>
      <c r="F965" s="1079"/>
      <c r="G965" s="1044" t="s">
        <v>13</v>
      </c>
      <c r="H965" s="1016" t="str">
        <f>'CNKT '!D129</f>
        <v>N. Quen</v>
      </c>
      <c r="I965" s="1022"/>
      <c r="J965" s="1016" t="s">
        <v>376</v>
      </c>
      <c r="K965" s="1016" t="s">
        <v>16</v>
      </c>
      <c r="L965" s="1015"/>
    </row>
    <row r="966" spans="1:12" s="27" customFormat="1" ht="17.25" customHeight="1">
      <c r="A966" s="1020" t="s">
        <v>377</v>
      </c>
      <c r="B966" s="1021" t="s">
        <v>493</v>
      </c>
      <c r="C966" s="1022" t="str">
        <f>VLOOKUP(B965,'BTH mủ tạp'!$D$98:$AN$160,37,0)</f>
        <v>A</v>
      </c>
      <c r="D966" s="1023"/>
      <c r="E966" s="1023"/>
      <c r="F966" s="1079"/>
      <c r="G966" s="1020" t="s">
        <v>377</v>
      </c>
      <c r="H966" s="1021" t="s">
        <v>493</v>
      </c>
      <c r="I966" s="1022" t="str">
        <f>VLOOKUP(H965,'BTH mủ tạp'!$D$98:$AN$160,37,0)</f>
        <v>A</v>
      </c>
      <c r="J966" s="1023"/>
      <c r="K966" s="1023"/>
      <c r="L966" s="1015"/>
    </row>
    <row r="967" spans="1:12" s="27" customFormat="1" ht="17.25" customHeight="1">
      <c r="A967" s="1020" t="s">
        <v>72</v>
      </c>
      <c r="B967" s="1024" t="s">
        <v>406</v>
      </c>
      <c r="C967" s="621">
        <f>VLOOKUP(B965,'CNKT '!$D$101:$AA$166,3,0)</f>
        <v>0</v>
      </c>
      <c r="D967" s="622">
        <v>25000</v>
      </c>
      <c r="E967" s="1023">
        <f t="shared" ref="E967:E972" si="194">C967*D967</f>
        <v>0</v>
      </c>
      <c r="F967" s="1079"/>
      <c r="G967" s="1020" t="s">
        <v>72</v>
      </c>
      <c r="H967" s="1024" t="s">
        <v>406</v>
      </c>
      <c r="I967" s="621">
        <f>VLOOKUP(H965,'CNKT '!$D$101:$AA$166,3,0)</f>
        <v>0</v>
      </c>
      <c r="J967" s="622">
        <v>25000</v>
      </c>
      <c r="K967" s="1023">
        <f t="shared" ref="K967:K972" si="195">I967*J967</f>
        <v>0</v>
      </c>
      <c r="L967" s="1015"/>
    </row>
    <row r="968" spans="1:12" s="27" customFormat="1" ht="17.25" customHeight="1">
      <c r="A968" s="1020" t="s">
        <v>292</v>
      </c>
      <c r="B968" s="1025" t="s">
        <v>494</v>
      </c>
      <c r="C968" s="1026">
        <f>VLOOKUP(B965,'CNKT '!$D$101:$AA$166,11,0)</f>
        <v>24</v>
      </c>
      <c r="D968" s="623">
        <f>46.1*$B$2</f>
        <v>30922.036</v>
      </c>
      <c r="E968" s="1023">
        <f t="shared" si="194"/>
        <v>742128.86400000006</v>
      </c>
      <c r="F968" s="1079"/>
      <c r="G968" s="1020" t="s">
        <v>292</v>
      </c>
      <c r="H968" s="1025" t="s">
        <v>494</v>
      </c>
      <c r="I968" s="1026">
        <f>VLOOKUP(H965,'CNKT '!$D$101:$AA$166,11,0)</f>
        <v>24</v>
      </c>
      <c r="J968" s="623">
        <f>46.1*$B$2</f>
        <v>30922.036</v>
      </c>
      <c r="K968" s="1023">
        <f t="shared" si="195"/>
        <v>742128.86400000006</v>
      </c>
      <c r="L968" s="1015"/>
    </row>
    <row r="969" spans="1:12" s="27" customFormat="1" ht="17.25" customHeight="1">
      <c r="A969" s="1020" t="s">
        <v>379</v>
      </c>
      <c r="B969" s="1025" t="s">
        <v>495</v>
      </c>
      <c r="C969" s="1026">
        <f>VLOOKUP(B965,'CNKT '!$D$101:$AA$166,12,0)</f>
        <v>4</v>
      </c>
      <c r="D969" s="622">
        <f>76.9*$B$2</f>
        <v>51581.444000000003</v>
      </c>
      <c r="E969" s="1023">
        <f t="shared" si="194"/>
        <v>206325.77600000001</v>
      </c>
      <c r="F969" s="1079"/>
      <c r="G969" s="1020" t="s">
        <v>379</v>
      </c>
      <c r="H969" s="1025" t="s">
        <v>495</v>
      </c>
      <c r="I969" s="1026">
        <f>VLOOKUP(H965,'CNKT '!$D$101:$AA$166,12,0)</f>
        <v>4</v>
      </c>
      <c r="J969" s="622">
        <f>76.9*$B$2</f>
        <v>51581.444000000003</v>
      </c>
      <c r="K969" s="1023">
        <f t="shared" si="195"/>
        <v>206325.77600000001</v>
      </c>
      <c r="L969" s="1015"/>
    </row>
    <row r="970" spans="1:12" s="27" customFormat="1" ht="17.25" customHeight="1">
      <c r="A970" s="1020" t="s">
        <v>73</v>
      </c>
      <c r="B970" s="1025" t="s">
        <v>496</v>
      </c>
      <c r="C970" s="1026">
        <f>VLOOKUP(B965,'CNKT '!$D$101:$AA$166,8,0)</f>
        <v>2422.7774775480507</v>
      </c>
      <c r="D970" s="622">
        <f>IF(C966="A",6.1,IF(C966="B",5.8,IF(C966="C",5.5,IF(C966="C.",5.5,IF(C966="D",5.2)))))*$B$2</f>
        <v>4091.6359999999995</v>
      </c>
      <c r="E970" s="1023">
        <f t="shared" si="194"/>
        <v>9913123.5471247956</v>
      </c>
      <c r="F970" s="1079"/>
      <c r="G970" s="1020" t="s">
        <v>73</v>
      </c>
      <c r="H970" s="1025" t="s">
        <v>496</v>
      </c>
      <c r="I970" s="1026">
        <f>VLOOKUP(H965,'CNKT '!$D$101:$AA$166,8,0)</f>
        <v>2065.4816024445531</v>
      </c>
      <c r="J970" s="622">
        <f>IF(I966="A",6.1,IF(I966="B",5.8,IF(I966="C",5.5,IF(I966="C.",5.5,IF(I966="D",5.2)))))*$B$2</f>
        <v>4091.6359999999995</v>
      </c>
      <c r="K970" s="1023">
        <f t="shared" si="195"/>
        <v>8451198.8818998206</v>
      </c>
      <c r="L970" s="1015"/>
    </row>
    <row r="971" spans="1:12" s="27" customFormat="1" ht="17.25" customHeight="1">
      <c r="A971" s="1089" t="s">
        <v>464</v>
      </c>
      <c r="B971" s="1090" t="s">
        <v>497</v>
      </c>
      <c r="C971" s="1091">
        <f>VLOOKUP(B965,'CNKT '!$D$99:$AA$166,13,0)</f>
        <v>2</v>
      </c>
      <c r="D971" s="1092">
        <v>100000</v>
      </c>
      <c r="E971" s="1093">
        <f t="shared" si="194"/>
        <v>200000</v>
      </c>
      <c r="F971" s="1079"/>
      <c r="G971" s="1089" t="s">
        <v>464</v>
      </c>
      <c r="H971" s="1090" t="s">
        <v>497</v>
      </c>
      <c r="I971" s="1091">
        <f>VLOOKUP(H965,'CNKT '!$D$99:$AA$166,13,0)</f>
        <v>2</v>
      </c>
      <c r="J971" s="1092">
        <v>100000</v>
      </c>
      <c r="K971" s="1093">
        <f t="shared" si="195"/>
        <v>200000</v>
      </c>
      <c r="L971" s="1015"/>
    </row>
    <row r="972" spans="1:12" s="27" customFormat="1" ht="17.25" customHeight="1">
      <c r="A972" s="1020" t="s">
        <v>421</v>
      </c>
      <c r="B972" s="1025" t="s">
        <v>467</v>
      </c>
      <c r="C972" s="1026">
        <f>VLOOKUP(B965,'CNKT '!$D$101:$AA$166,14,0)</f>
        <v>0</v>
      </c>
      <c r="D972" s="622">
        <f>153.6*$B$2</f>
        <v>103028.73599999999</v>
      </c>
      <c r="E972" s="1023">
        <f t="shared" si="194"/>
        <v>0</v>
      </c>
      <c r="F972" s="1079"/>
      <c r="G972" s="1020" t="s">
        <v>421</v>
      </c>
      <c r="H972" s="1025" t="s">
        <v>467</v>
      </c>
      <c r="I972" s="1026">
        <f>VLOOKUP(H965,'CNKT '!$D$101:$AA$166,14,0)</f>
        <v>0</v>
      </c>
      <c r="J972" s="622">
        <f>153.6*$B$2</f>
        <v>103028.73599999999</v>
      </c>
      <c r="K972" s="1023">
        <f t="shared" si="195"/>
        <v>0</v>
      </c>
      <c r="L972" s="1015"/>
    </row>
    <row r="973" spans="1:12" s="27" customFormat="1" ht="17.25" customHeight="1">
      <c r="A973" s="1020" t="s">
        <v>425</v>
      </c>
      <c r="B973" s="1025" t="s">
        <v>468</v>
      </c>
      <c r="C973" s="1026">
        <f>VLOOKUP(B965,'CNKT '!$D$102:$AA$166,18,0)</f>
        <v>2</v>
      </c>
      <c r="D973" s="622">
        <v>10000</v>
      </c>
      <c r="E973" s="1023">
        <f>C973*D973</f>
        <v>20000</v>
      </c>
      <c r="F973" s="1079"/>
      <c r="G973" s="1020" t="s">
        <v>425</v>
      </c>
      <c r="H973" s="1025" t="s">
        <v>468</v>
      </c>
      <c r="I973" s="1026">
        <f>VLOOKUP(H965,'CNKT '!$D$102:$AA$166,18,0)</f>
        <v>2</v>
      </c>
      <c r="J973" s="622">
        <v>10000</v>
      </c>
      <c r="K973" s="1023">
        <f>I973*J973</f>
        <v>20000</v>
      </c>
      <c r="L973" s="1015"/>
    </row>
    <row r="974" spans="1:12" s="27" customFormat="1" ht="17.25" customHeight="1">
      <c r="A974" s="1020" t="s">
        <v>425</v>
      </c>
      <c r="B974" s="1025" t="s">
        <v>468</v>
      </c>
      <c r="C974" s="1026">
        <f>VLOOKUP(B965,'CNKT '!$D$102:$AA$166,19,0)</f>
        <v>0</v>
      </c>
      <c r="D974" s="622">
        <v>20000</v>
      </c>
      <c r="E974" s="1023">
        <f>C974*D974</f>
        <v>0</v>
      </c>
      <c r="F974" s="1079"/>
      <c r="G974" s="1020" t="s">
        <v>425</v>
      </c>
      <c r="H974" s="1025" t="s">
        <v>468</v>
      </c>
      <c r="I974" s="1026">
        <f>VLOOKUP(H965,'CNKT '!$D$102:$AA$166,19,0)</f>
        <v>0</v>
      </c>
      <c r="J974" s="622">
        <v>20000</v>
      </c>
      <c r="K974" s="1023">
        <f>I974*J974</f>
        <v>0</v>
      </c>
      <c r="L974" s="1015"/>
    </row>
    <row r="975" spans="1:12" s="27" customFormat="1" ht="17.25" customHeight="1">
      <c r="A975" s="1020" t="s">
        <v>780</v>
      </c>
      <c r="B975" s="1027" t="s">
        <v>781</v>
      </c>
      <c r="C975" s="1026"/>
      <c r="D975" s="622"/>
      <c r="E975" s="1023">
        <f>VLOOKUP(B965,'CNKT '!$D$102:$AE$166,28,0)</f>
        <v>0</v>
      </c>
      <c r="F975" s="1079"/>
      <c r="G975" s="1020" t="s">
        <v>780</v>
      </c>
      <c r="H975" s="1027" t="s">
        <v>781</v>
      </c>
      <c r="I975" s="1026"/>
      <c r="J975" s="622"/>
      <c r="K975" s="1023">
        <f>VLOOKUP(H965,'CNKT '!$D$102:$AE$166,28,0)</f>
        <v>0</v>
      </c>
      <c r="L975" s="1015"/>
    </row>
    <row r="976" spans="1:12" s="27" customFormat="1" ht="17.25" customHeight="1">
      <c r="A976" s="1028" t="s">
        <v>74</v>
      </c>
      <c r="B976" s="1029" t="s">
        <v>498</v>
      </c>
      <c r="C976" s="1030"/>
      <c r="D976" s="1031"/>
      <c r="E976" s="1030"/>
      <c r="F976" s="1079"/>
      <c r="G976" s="1028" t="s">
        <v>74</v>
      </c>
      <c r="H976" s="1029" t="s">
        <v>498</v>
      </c>
      <c r="I976" s="1030"/>
      <c r="J976" s="1031"/>
      <c r="K976" s="1030"/>
      <c r="L976" s="1015"/>
    </row>
    <row r="977" spans="1:12" s="27" customFormat="1" ht="17.25" customHeight="1">
      <c r="A977" s="1032" t="s">
        <v>75</v>
      </c>
      <c r="B977" s="1033" t="s">
        <v>499</v>
      </c>
      <c r="C977" s="1030"/>
      <c r="D977" s="1030"/>
      <c r="E977" s="1030"/>
      <c r="F977" s="1079"/>
      <c r="G977" s="1032" t="s">
        <v>75</v>
      </c>
      <c r="H977" s="1033" t="s">
        <v>499</v>
      </c>
      <c r="I977" s="1030"/>
      <c r="J977" s="1030"/>
      <c r="K977" s="1030"/>
      <c r="L977" s="1015"/>
    </row>
    <row r="978" spans="1:12" s="27" customFormat="1" ht="17.25" customHeight="1">
      <c r="A978" s="1032" t="s">
        <v>76</v>
      </c>
      <c r="B978" s="1034" t="s">
        <v>500</v>
      </c>
      <c r="C978" s="1030"/>
      <c r="D978" s="1030"/>
      <c r="E978" s="1023">
        <f>SUM(E977)</f>
        <v>0</v>
      </c>
      <c r="F978" s="1081"/>
      <c r="G978" s="1032" t="s">
        <v>76</v>
      </c>
      <c r="H978" s="1034" t="s">
        <v>500</v>
      </c>
      <c r="I978" s="1030"/>
      <c r="J978" s="1030"/>
      <c r="K978" s="1023">
        <f>SUM(K977)</f>
        <v>0</v>
      </c>
      <c r="L978" s="1015"/>
    </row>
    <row r="979" spans="1:12" s="27" customFormat="1" ht="17.25" customHeight="1">
      <c r="A979" s="1036" t="s">
        <v>77</v>
      </c>
      <c r="B979" s="1037" t="s">
        <v>412</v>
      </c>
      <c r="C979" s="1038"/>
      <c r="D979" s="1038"/>
      <c r="E979" s="1038">
        <f>(E967+E968+E969+E970+E971+E972+E973+E974+E975)-E978</f>
        <v>11081578.187124796</v>
      </c>
      <c r="F979" s="1081"/>
      <c r="G979" s="1036" t="s">
        <v>77</v>
      </c>
      <c r="H979" s="1037" t="s">
        <v>412</v>
      </c>
      <c r="I979" s="1038"/>
      <c r="J979" s="1038"/>
      <c r="K979" s="1038">
        <f>(K967+K968+K969+K970+K971+K972+K973+K974+K975)-K978</f>
        <v>9619653.5218998212</v>
      </c>
      <c r="L979" s="1040">
        <f>E979+K979</f>
        <v>20701231.709024616</v>
      </c>
    </row>
    <row r="980" spans="1:12" s="27" customFormat="1" ht="66.75" customHeight="1">
      <c r="A980" s="1082"/>
      <c r="B980" s="1082"/>
      <c r="C980" s="1082"/>
      <c r="D980" s="1082"/>
      <c r="E980" s="1082"/>
      <c r="F980" s="1082"/>
      <c r="G980" s="1082"/>
      <c r="H980" s="1082"/>
      <c r="I980" s="1082"/>
      <c r="J980" s="1082"/>
      <c r="K980" s="1082"/>
      <c r="L980" s="1015"/>
    </row>
    <row r="981" spans="1:12" s="27" customFormat="1" ht="17.25" customHeight="1">
      <c r="A981" s="1083" t="str">
        <f>A964</f>
        <v>LƯƠNG THÁNG 08/2025</v>
      </c>
      <c r="B981" s="1082"/>
      <c r="C981" s="1082"/>
      <c r="D981" s="1082"/>
      <c r="E981" s="1078">
        <f>VLOOKUP(B982,'CNKT '!$D$102:$AD$166,26,0)</f>
        <v>29</v>
      </c>
      <c r="F981" s="1079"/>
      <c r="G981" s="1083" t="str">
        <f>A981</f>
        <v>LƯƠNG THÁNG 08/2025</v>
      </c>
      <c r="H981" s="1082"/>
      <c r="I981" s="1082"/>
      <c r="J981" s="1014"/>
      <c r="K981" s="1078">
        <f>VLOOKUP(H982,'CNKT '!$D$102:$AD$166,26,0)</f>
        <v>30</v>
      </c>
      <c r="L981" s="1015"/>
    </row>
    <row r="982" spans="1:12" s="27" customFormat="1" ht="17.25" customHeight="1">
      <c r="A982" s="1044" t="s">
        <v>13</v>
      </c>
      <c r="B982" s="1016" t="str">
        <f>'CNKT '!D130</f>
        <v>T. Xi Nuôn</v>
      </c>
      <c r="C982" s="1022"/>
      <c r="D982" s="1016" t="s">
        <v>376</v>
      </c>
      <c r="E982" s="1016" t="s">
        <v>16</v>
      </c>
      <c r="F982" s="1079"/>
      <c r="G982" s="1044" t="s">
        <v>13</v>
      </c>
      <c r="H982" s="1016" t="str">
        <f>'CNKT '!D131</f>
        <v>N. Ốc</v>
      </c>
      <c r="I982" s="1022"/>
      <c r="J982" s="1016" t="s">
        <v>376</v>
      </c>
      <c r="K982" s="1016" t="s">
        <v>16</v>
      </c>
      <c r="L982" s="1015"/>
    </row>
    <row r="983" spans="1:12" s="27" customFormat="1" ht="17.25" customHeight="1">
      <c r="A983" s="1020" t="s">
        <v>377</v>
      </c>
      <c r="B983" s="1021" t="s">
        <v>493</v>
      </c>
      <c r="C983" s="1022" t="str">
        <f>VLOOKUP(B982,'BTH mủ tạp'!$D$98:$AN$160,37,0)</f>
        <v>A</v>
      </c>
      <c r="D983" s="1023"/>
      <c r="E983" s="1023"/>
      <c r="F983" s="1079"/>
      <c r="G983" s="1020" t="s">
        <v>377</v>
      </c>
      <c r="H983" s="1021" t="s">
        <v>493</v>
      </c>
      <c r="I983" s="1022" t="str">
        <f>VLOOKUP(H982,'BTH mủ tạp'!$D$98:$AN$160,37,0)</f>
        <v>A</v>
      </c>
      <c r="J983" s="1023"/>
      <c r="K983" s="1023"/>
      <c r="L983" s="1015"/>
    </row>
    <row r="984" spans="1:12" s="27" customFormat="1" ht="17.25" customHeight="1">
      <c r="A984" s="1020" t="s">
        <v>72</v>
      </c>
      <c r="B984" s="1024" t="s">
        <v>406</v>
      </c>
      <c r="C984" s="621">
        <f>VLOOKUP(B982,'CNKT '!$D$101:$AA$166,3,0)</f>
        <v>0</v>
      </c>
      <c r="D984" s="622">
        <v>25000</v>
      </c>
      <c r="E984" s="1023">
        <f t="shared" ref="E984:E989" si="196">C984*D984</f>
        <v>0</v>
      </c>
      <c r="F984" s="1079"/>
      <c r="G984" s="1020" t="s">
        <v>72</v>
      </c>
      <c r="H984" s="1024" t="s">
        <v>406</v>
      </c>
      <c r="I984" s="621">
        <f>VLOOKUP(H982,'CNKT '!$D$101:$AA$166,3,0)</f>
        <v>0</v>
      </c>
      <c r="J984" s="622">
        <v>25000</v>
      </c>
      <c r="K984" s="1023">
        <f t="shared" ref="K984:K989" si="197">I984*J984</f>
        <v>0</v>
      </c>
      <c r="L984" s="1015"/>
    </row>
    <row r="985" spans="1:12" s="27" customFormat="1" ht="17.25" customHeight="1">
      <c r="A985" s="1020" t="s">
        <v>292</v>
      </c>
      <c r="B985" s="1025" t="s">
        <v>494</v>
      </c>
      <c r="C985" s="1026">
        <f>VLOOKUP(B982,'CNKT '!$D$101:$AA$166,11,0)</f>
        <v>22</v>
      </c>
      <c r="D985" s="623">
        <f>46.1*$B$2</f>
        <v>30922.036</v>
      </c>
      <c r="E985" s="1023">
        <f t="shared" si="196"/>
        <v>680284.79200000002</v>
      </c>
      <c r="F985" s="1079"/>
      <c r="G985" s="1020" t="s">
        <v>292</v>
      </c>
      <c r="H985" s="1025" t="s">
        <v>494</v>
      </c>
      <c r="I985" s="1026">
        <f>VLOOKUP(H982,'CNKT '!$D$101:$AA$166,11,0)</f>
        <v>24</v>
      </c>
      <c r="J985" s="623">
        <f>46.1*$B$2</f>
        <v>30922.036</v>
      </c>
      <c r="K985" s="1023">
        <f t="shared" si="197"/>
        <v>742128.86400000006</v>
      </c>
      <c r="L985" s="1015"/>
    </row>
    <row r="986" spans="1:12" s="27" customFormat="1" ht="17.25" customHeight="1">
      <c r="A986" s="1020" t="s">
        <v>379</v>
      </c>
      <c r="B986" s="1025" t="s">
        <v>495</v>
      </c>
      <c r="C986" s="1026">
        <f>VLOOKUP(B982,'CNKT '!$D$101:$AA$166,12,0)</f>
        <v>4</v>
      </c>
      <c r="D986" s="622">
        <f>76.9*$B$2</f>
        <v>51581.444000000003</v>
      </c>
      <c r="E986" s="1023">
        <f t="shared" si="196"/>
        <v>206325.77600000001</v>
      </c>
      <c r="F986" s="1079"/>
      <c r="G986" s="1020" t="s">
        <v>379</v>
      </c>
      <c r="H986" s="1025" t="s">
        <v>495</v>
      </c>
      <c r="I986" s="1026">
        <f>VLOOKUP(H982,'CNKT '!$D$101:$AA$166,12,0)</f>
        <v>4</v>
      </c>
      <c r="J986" s="622">
        <f>76.9*$B$2</f>
        <v>51581.444000000003</v>
      </c>
      <c r="K986" s="1023">
        <f t="shared" si="197"/>
        <v>206325.77600000001</v>
      </c>
      <c r="L986" s="1015"/>
    </row>
    <row r="987" spans="1:12" s="27" customFormat="1" ht="17.25" customHeight="1">
      <c r="A987" s="1020" t="s">
        <v>73</v>
      </c>
      <c r="B987" s="1025" t="s">
        <v>496</v>
      </c>
      <c r="C987" s="1026">
        <f>VLOOKUP(B982,'CNKT '!$D$101:$AA$166,8,0)</f>
        <v>1468.546605298274</v>
      </c>
      <c r="D987" s="622">
        <f>IF(C983="A",6.1,IF(C983="B",5.8,IF(C983="C",5.5,IF(C983="C.",5.5,IF(C983="D",5.2)))))*$B$2</f>
        <v>4091.6359999999995</v>
      </c>
      <c r="E987" s="1023">
        <f t="shared" si="196"/>
        <v>6008758.1579162078</v>
      </c>
      <c r="F987" s="1079"/>
      <c r="G987" s="1020" t="s">
        <v>73</v>
      </c>
      <c r="H987" s="1025" t="s">
        <v>496</v>
      </c>
      <c r="I987" s="1026">
        <f>VLOOKUP(H982,'CNKT '!$D$101:$AA$166,8,0)</f>
        <v>2321.9906265805994</v>
      </c>
      <c r="J987" s="622">
        <f>IF(I983="A",6.1,IF(I983="B",5.8,IF(I983="C",5.5,IF(I983="C.",5.5,IF(I983="D",5.2)))))*$B$2</f>
        <v>4091.6359999999995</v>
      </c>
      <c r="K987" s="1023">
        <f t="shared" si="197"/>
        <v>9500740.4393797368</v>
      </c>
      <c r="L987" s="1015"/>
    </row>
    <row r="988" spans="1:12" s="27" customFormat="1" ht="17.25" customHeight="1">
      <c r="A988" s="1089" t="s">
        <v>464</v>
      </c>
      <c r="B988" s="1090" t="s">
        <v>497</v>
      </c>
      <c r="C988" s="1091">
        <f>VLOOKUP(B982,'CNKT '!$D$99:$AA$166,13,0)</f>
        <v>2</v>
      </c>
      <c r="D988" s="1092">
        <v>100000</v>
      </c>
      <c r="E988" s="1093">
        <f t="shared" si="196"/>
        <v>200000</v>
      </c>
      <c r="F988" s="1079"/>
      <c r="G988" s="1089" t="s">
        <v>464</v>
      </c>
      <c r="H988" s="1090" t="s">
        <v>497</v>
      </c>
      <c r="I988" s="1091">
        <f>VLOOKUP(H982,'CNKT '!$D$99:$AA$166,13,0)</f>
        <v>2</v>
      </c>
      <c r="J988" s="1092">
        <v>100000</v>
      </c>
      <c r="K988" s="1093">
        <f t="shared" si="197"/>
        <v>200000</v>
      </c>
      <c r="L988" s="1015"/>
    </row>
    <row r="989" spans="1:12" s="27" customFormat="1" ht="17.25" customHeight="1">
      <c r="A989" s="1020" t="s">
        <v>421</v>
      </c>
      <c r="B989" s="1025" t="s">
        <v>467</v>
      </c>
      <c r="C989" s="1026">
        <f>VLOOKUP(B982,'CNKT '!$D$101:$AA$166,14,0)</f>
        <v>0</v>
      </c>
      <c r="D989" s="622">
        <f>153.6*$B$2</f>
        <v>103028.73599999999</v>
      </c>
      <c r="E989" s="1023">
        <f t="shared" si="196"/>
        <v>0</v>
      </c>
      <c r="F989" s="1079"/>
      <c r="G989" s="1020" t="s">
        <v>421</v>
      </c>
      <c r="H989" s="1025" t="s">
        <v>467</v>
      </c>
      <c r="I989" s="1026">
        <f>VLOOKUP(H982,'CNKT '!$D$101:$AA$166,14,0)</f>
        <v>0</v>
      </c>
      <c r="J989" s="622">
        <f>153.6*$B$2</f>
        <v>103028.73599999999</v>
      </c>
      <c r="K989" s="1023">
        <f t="shared" si="197"/>
        <v>0</v>
      </c>
      <c r="L989" s="1015"/>
    </row>
    <row r="990" spans="1:12" s="27" customFormat="1" ht="17.25" customHeight="1">
      <c r="A990" s="1020" t="s">
        <v>425</v>
      </c>
      <c r="B990" s="1025" t="s">
        <v>468</v>
      </c>
      <c r="C990" s="1026">
        <f>VLOOKUP(B982,'CNKT '!$D$102:$AA$166,18,0)</f>
        <v>2</v>
      </c>
      <c r="D990" s="622">
        <v>10000</v>
      </c>
      <c r="E990" s="1023">
        <f>C990*D990</f>
        <v>20000</v>
      </c>
      <c r="F990" s="1079"/>
      <c r="G990" s="1020" t="s">
        <v>425</v>
      </c>
      <c r="H990" s="1025" t="s">
        <v>468</v>
      </c>
      <c r="I990" s="1026">
        <f>VLOOKUP(H982,'CNKT '!$D$102:$AA$166,18,0)</f>
        <v>2</v>
      </c>
      <c r="J990" s="622">
        <v>10000</v>
      </c>
      <c r="K990" s="1023">
        <f>I990*J990</f>
        <v>20000</v>
      </c>
      <c r="L990" s="1015"/>
    </row>
    <row r="991" spans="1:12" s="27" customFormat="1" ht="17.25" customHeight="1">
      <c r="A991" s="1020" t="s">
        <v>425</v>
      </c>
      <c r="B991" s="1025" t="s">
        <v>468</v>
      </c>
      <c r="C991" s="1026">
        <f>VLOOKUP(B982,'CNKT '!$D$102:$AA$166,19,0)</f>
        <v>0</v>
      </c>
      <c r="D991" s="622">
        <v>20000</v>
      </c>
      <c r="E991" s="1023">
        <f>C991*D991</f>
        <v>0</v>
      </c>
      <c r="F991" s="1079"/>
      <c r="G991" s="1020" t="s">
        <v>425</v>
      </c>
      <c r="H991" s="1025" t="s">
        <v>468</v>
      </c>
      <c r="I991" s="1026">
        <f>VLOOKUP(H982,'CNKT '!$D$102:$AA$166,19,0)</f>
        <v>0</v>
      </c>
      <c r="J991" s="622">
        <v>20000</v>
      </c>
      <c r="K991" s="1023">
        <f>I991*J991</f>
        <v>0</v>
      </c>
      <c r="L991" s="1015"/>
    </row>
    <row r="992" spans="1:12" s="27" customFormat="1" ht="17.25" customHeight="1">
      <c r="A992" s="1020" t="s">
        <v>780</v>
      </c>
      <c r="B992" s="1027" t="s">
        <v>781</v>
      </c>
      <c r="C992" s="1026"/>
      <c r="D992" s="622"/>
      <c r="E992" s="1023">
        <f>VLOOKUP(B982,'CNKT '!$D$102:$AE$166,28,0)</f>
        <v>0</v>
      </c>
      <c r="F992" s="1079"/>
      <c r="G992" s="1020" t="s">
        <v>780</v>
      </c>
      <c r="H992" s="1027" t="s">
        <v>781</v>
      </c>
      <c r="I992" s="1026"/>
      <c r="J992" s="622"/>
      <c r="K992" s="1023">
        <f>VLOOKUP(H982,'CNKT '!$D$102:$AE$166,28,0)</f>
        <v>0</v>
      </c>
      <c r="L992" s="1015"/>
    </row>
    <row r="993" spans="1:12" s="27" customFormat="1" ht="17.25" customHeight="1">
      <c r="A993" s="1028" t="s">
        <v>74</v>
      </c>
      <c r="B993" s="1029" t="s">
        <v>498</v>
      </c>
      <c r="C993" s="1030"/>
      <c r="D993" s="1031"/>
      <c r="E993" s="1030"/>
      <c r="F993" s="1079"/>
      <c r="G993" s="1028" t="s">
        <v>74</v>
      </c>
      <c r="H993" s="1029" t="s">
        <v>498</v>
      </c>
      <c r="I993" s="1030"/>
      <c r="J993" s="1031"/>
      <c r="K993" s="1030"/>
      <c r="L993" s="1015"/>
    </row>
    <row r="994" spans="1:12" s="27" customFormat="1" ht="17.25" customHeight="1">
      <c r="A994" s="1032" t="s">
        <v>75</v>
      </c>
      <c r="B994" s="1033" t="s">
        <v>499</v>
      </c>
      <c r="C994" s="1030"/>
      <c r="D994" s="1030"/>
      <c r="E994" s="1030"/>
      <c r="F994" s="1079"/>
      <c r="G994" s="1032" t="s">
        <v>75</v>
      </c>
      <c r="H994" s="1033" t="s">
        <v>499</v>
      </c>
      <c r="I994" s="1030"/>
      <c r="J994" s="1030"/>
      <c r="K994" s="1030"/>
      <c r="L994" s="1015"/>
    </row>
    <row r="995" spans="1:12" s="27" customFormat="1" ht="17.25" customHeight="1">
      <c r="A995" s="1032" t="s">
        <v>76</v>
      </c>
      <c r="B995" s="1034" t="s">
        <v>500</v>
      </c>
      <c r="C995" s="1030"/>
      <c r="D995" s="1030"/>
      <c r="E995" s="1023">
        <f>SUM(E994)</f>
        <v>0</v>
      </c>
      <c r="F995" s="1084"/>
      <c r="G995" s="1032" t="s">
        <v>76</v>
      </c>
      <c r="H995" s="1034" t="s">
        <v>500</v>
      </c>
      <c r="I995" s="1030"/>
      <c r="J995" s="1030"/>
      <c r="K995" s="1023">
        <f>SUM(K994)</f>
        <v>0</v>
      </c>
      <c r="L995" s="1015"/>
    </row>
    <row r="996" spans="1:12" s="27" customFormat="1" ht="17.25" customHeight="1">
      <c r="A996" s="1036" t="s">
        <v>77</v>
      </c>
      <c r="B996" s="1037" t="s">
        <v>412</v>
      </c>
      <c r="C996" s="1038"/>
      <c r="D996" s="1038"/>
      <c r="E996" s="1038">
        <f>(E984+E985+E986+E987+E988+E989+E990+E991+E992)-E995</f>
        <v>7115368.7259162078</v>
      </c>
      <c r="F996" s="1084"/>
      <c r="G996" s="1036" t="s">
        <v>77</v>
      </c>
      <c r="H996" s="1037" t="s">
        <v>412</v>
      </c>
      <c r="I996" s="1038"/>
      <c r="J996" s="1038"/>
      <c r="K996" s="1038">
        <f>(K984+K985+K986+K987+K988+K989+K990+K991+K992)-K995</f>
        <v>10669195.079379737</v>
      </c>
      <c r="L996" s="1040">
        <f>E996+K996</f>
        <v>17784563.805295944</v>
      </c>
    </row>
    <row r="997" spans="1:12" s="27" customFormat="1" ht="17.25" customHeight="1">
      <c r="A997" s="1082"/>
      <c r="B997" s="1082"/>
      <c r="C997" s="1082"/>
      <c r="D997" s="1082"/>
      <c r="E997" s="1082"/>
      <c r="F997" s="1082"/>
      <c r="G997" s="1082"/>
      <c r="H997" s="1082"/>
      <c r="I997" s="1082"/>
      <c r="J997" s="1082"/>
      <c r="K997" s="1082"/>
      <c r="L997" s="1015"/>
    </row>
    <row r="998" spans="1:12" s="27" customFormat="1" ht="17.25" customHeight="1">
      <c r="A998" s="1083" t="str">
        <f>A981</f>
        <v>LƯƠNG THÁNG 08/2025</v>
      </c>
      <c r="B998" s="1082"/>
      <c r="C998" s="1082"/>
      <c r="D998" s="1082"/>
      <c r="E998" s="1078">
        <f>VLOOKUP(B999,'CNKT '!$D$102:$AD$166,26,0)</f>
        <v>31</v>
      </c>
      <c r="F998" s="1079"/>
      <c r="G998" s="1083" t="str">
        <f>A998</f>
        <v>LƯƠNG THÁNG 08/2025</v>
      </c>
      <c r="H998" s="1082"/>
      <c r="I998" s="1082"/>
      <c r="J998" s="1014"/>
      <c r="K998" s="1078">
        <f>VLOOKUP(H999,'CNKT '!$D$102:$AD$166,26,0)</f>
        <v>32</v>
      </c>
      <c r="L998" s="1015"/>
    </row>
    <row r="999" spans="1:12" s="27" customFormat="1" ht="17.25" customHeight="1">
      <c r="A999" s="1044" t="s">
        <v>13</v>
      </c>
      <c r="B999" s="1016" t="str">
        <f>'CNKT '!D132</f>
        <v>T. Văn Nô</v>
      </c>
      <c r="C999" s="1022"/>
      <c r="D999" s="1016" t="s">
        <v>376</v>
      </c>
      <c r="E999" s="1016" t="s">
        <v>16</v>
      </c>
      <c r="F999" s="1079"/>
      <c r="G999" s="1044" t="s">
        <v>13</v>
      </c>
      <c r="H999" s="1016" t="str">
        <f>'CNKT '!D133</f>
        <v>N. Văn Ta</v>
      </c>
      <c r="I999" s="1022"/>
      <c r="J999" s="1016" t="s">
        <v>376</v>
      </c>
      <c r="K999" s="1016" t="s">
        <v>16</v>
      </c>
      <c r="L999" s="1015"/>
    </row>
    <row r="1000" spans="1:12" s="27" customFormat="1" ht="17.25" customHeight="1">
      <c r="A1000" s="1020" t="s">
        <v>377</v>
      </c>
      <c r="B1000" s="1021" t="s">
        <v>493</v>
      </c>
      <c r="C1000" s="1022" t="str">
        <f>VLOOKUP(B999,'BTH mủ tạp'!$D$98:$AN$160,37,0)</f>
        <v>A</v>
      </c>
      <c r="D1000" s="1023"/>
      <c r="E1000" s="1023"/>
      <c r="F1000" s="1079"/>
      <c r="G1000" s="1020" t="s">
        <v>377</v>
      </c>
      <c r="H1000" s="1021" t="s">
        <v>493</v>
      </c>
      <c r="I1000" s="1022" t="str">
        <f>VLOOKUP(H999,'BTH mủ tạp'!$D$98:$AN$160,37,0)</f>
        <v>A</v>
      </c>
      <c r="J1000" s="1023"/>
      <c r="K1000" s="1023"/>
      <c r="L1000" s="1015"/>
    </row>
    <row r="1001" spans="1:12" s="27" customFormat="1" ht="17.25" customHeight="1">
      <c r="A1001" s="1020" t="s">
        <v>72</v>
      </c>
      <c r="B1001" s="1024" t="s">
        <v>406</v>
      </c>
      <c r="C1001" s="621">
        <f>VLOOKUP(B999,'CNKT '!$D$101:$AA$166,3,0)</f>
        <v>0</v>
      </c>
      <c r="D1001" s="622">
        <v>25000</v>
      </c>
      <c r="E1001" s="1023">
        <f t="shared" ref="E1001:E1006" si="198">C1001*D1001</f>
        <v>0</v>
      </c>
      <c r="F1001" s="1079"/>
      <c r="G1001" s="1020" t="s">
        <v>72</v>
      </c>
      <c r="H1001" s="1024" t="s">
        <v>406</v>
      </c>
      <c r="I1001" s="621">
        <f>VLOOKUP(H999,'CNKT '!$D$101:$AA$166,3,0)</f>
        <v>0</v>
      </c>
      <c r="J1001" s="622">
        <v>25000</v>
      </c>
      <c r="K1001" s="1023">
        <f t="shared" ref="K1001:K1006" si="199">I1001*J1001</f>
        <v>0</v>
      </c>
      <c r="L1001" s="1015"/>
    </row>
    <row r="1002" spans="1:12" s="27" customFormat="1" ht="17.25" customHeight="1">
      <c r="A1002" s="1020" t="s">
        <v>292</v>
      </c>
      <c r="B1002" s="1025" t="s">
        <v>494</v>
      </c>
      <c r="C1002" s="1026">
        <f>VLOOKUP(B999,'CNKT '!$D$101:$AA$166,11,0)</f>
        <v>24</v>
      </c>
      <c r="D1002" s="623">
        <f>46.1*$B$2</f>
        <v>30922.036</v>
      </c>
      <c r="E1002" s="1023">
        <f t="shared" si="198"/>
        <v>742128.86400000006</v>
      </c>
      <c r="F1002" s="1079"/>
      <c r="G1002" s="1020" t="s">
        <v>292</v>
      </c>
      <c r="H1002" s="1025" t="s">
        <v>494</v>
      </c>
      <c r="I1002" s="1026">
        <f>VLOOKUP(H999,'CNKT '!$D$101:$AA$166,11,0)</f>
        <v>23</v>
      </c>
      <c r="J1002" s="623">
        <f>46.1*$B$2</f>
        <v>30922.036</v>
      </c>
      <c r="K1002" s="1023">
        <f t="shared" si="199"/>
        <v>711206.82799999998</v>
      </c>
      <c r="L1002" s="1015"/>
    </row>
    <row r="1003" spans="1:12" s="27" customFormat="1" ht="17.25" customHeight="1">
      <c r="A1003" s="1020" t="s">
        <v>379</v>
      </c>
      <c r="B1003" s="1025" t="s">
        <v>495</v>
      </c>
      <c r="C1003" s="1026">
        <f>VLOOKUP(B999,'CNKT '!$D$101:$AA$166,12,0)</f>
        <v>4</v>
      </c>
      <c r="D1003" s="622">
        <f>76.9*$B$2</f>
        <v>51581.444000000003</v>
      </c>
      <c r="E1003" s="1023">
        <f t="shared" si="198"/>
        <v>206325.77600000001</v>
      </c>
      <c r="F1003" s="1079"/>
      <c r="G1003" s="1020" t="s">
        <v>379</v>
      </c>
      <c r="H1003" s="1025" t="s">
        <v>495</v>
      </c>
      <c r="I1003" s="1026">
        <f>VLOOKUP(H999,'CNKT '!$D$101:$AA$166,12,0)</f>
        <v>4</v>
      </c>
      <c r="J1003" s="622">
        <f>76.9*$B$2</f>
        <v>51581.444000000003</v>
      </c>
      <c r="K1003" s="1023">
        <f t="shared" si="199"/>
        <v>206325.77600000001</v>
      </c>
      <c r="L1003" s="1015"/>
    </row>
    <row r="1004" spans="1:12" s="27" customFormat="1" ht="17.25" customHeight="1">
      <c r="A1004" s="1020" t="s">
        <v>73</v>
      </c>
      <c r="B1004" s="1025" t="s">
        <v>496</v>
      </c>
      <c r="C1004" s="1026">
        <f>VLOOKUP(B999,'CNKT '!$D$101:$AA$166,8,0)</f>
        <v>1996.7043092950905</v>
      </c>
      <c r="D1004" s="622">
        <f>IF(C1000="A",6.1,IF(C1000="B",5.8,IF(C1000="C",5.5,IF(C1000="C.",5.5,IF(C1000="D",5.2)))))*$B$2</f>
        <v>4091.6359999999995</v>
      </c>
      <c r="E1004" s="1023">
        <f t="shared" si="198"/>
        <v>8169787.2332669264</v>
      </c>
      <c r="F1004" s="1079"/>
      <c r="G1004" s="1020" t="s">
        <v>73</v>
      </c>
      <c r="H1004" s="1025" t="s">
        <v>496</v>
      </c>
      <c r="I1004" s="1026">
        <f>VLOOKUP(H999,'CNKT '!$D$101:$AA$166,8,0)</f>
        <v>2141.6124426603105</v>
      </c>
      <c r="J1004" s="622">
        <f>IF(I1000="A",6.1,IF(I1000="B",5.8,IF(I1000="C",5.5,IF(I1000="C.",5.5,IF(I1000="D",5.2)))))*$B$2</f>
        <v>4091.6359999999995</v>
      </c>
      <c r="K1004" s="1023">
        <f t="shared" si="199"/>
        <v>8762698.568436861</v>
      </c>
      <c r="L1004" s="1015"/>
    </row>
    <row r="1005" spans="1:12" s="27" customFormat="1" ht="17.25" customHeight="1">
      <c r="A1005" s="1089" t="s">
        <v>464</v>
      </c>
      <c r="B1005" s="1090" t="s">
        <v>497</v>
      </c>
      <c r="C1005" s="1091">
        <f>VLOOKUP(B999,'CNKT '!$D$99:$AA$166,13,0)</f>
        <v>2</v>
      </c>
      <c r="D1005" s="1092">
        <v>100000</v>
      </c>
      <c r="E1005" s="1093">
        <f t="shared" si="198"/>
        <v>200000</v>
      </c>
      <c r="F1005" s="1079"/>
      <c r="G1005" s="1089" t="s">
        <v>464</v>
      </c>
      <c r="H1005" s="1090" t="s">
        <v>497</v>
      </c>
      <c r="I1005" s="1091">
        <f>VLOOKUP(H999,'CNKT '!$D$99:$AA$166,13,0)</f>
        <v>2</v>
      </c>
      <c r="J1005" s="1092">
        <v>100000</v>
      </c>
      <c r="K1005" s="1093">
        <f t="shared" si="199"/>
        <v>200000</v>
      </c>
      <c r="L1005" s="1015"/>
    </row>
    <row r="1006" spans="1:12" s="27" customFormat="1" ht="17.25" customHeight="1">
      <c r="A1006" s="1020" t="s">
        <v>421</v>
      </c>
      <c r="B1006" s="1025" t="s">
        <v>467</v>
      </c>
      <c r="C1006" s="1026">
        <f>VLOOKUP(B999,'CNKT '!$D$101:$AA$166,14,0)</f>
        <v>0</v>
      </c>
      <c r="D1006" s="622">
        <f>153.6*$B$2</f>
        <v>103028.73599999999</v>
      </c>
      <c r="E1006" s="1023">
        <f t="shared" si="198"/>
        <v>0</v>
      </c>
      <c r="F1006" s="1079"/>
      <c r="G1006" s="1020" t="s">
        <v>421</v>
      </c>
      <c r="H1006" s="1025" t="s">
        <v>467</v>
      </c>
      <c r="I1006" s="1026">
        <f>VLOOKUP(H999,'CNKT '!$D$101:$AA$166,14,0)</f>
        <v>0</v>
      </c>
      <c r="J1006" s="622">
        <f>153.6*$B$2</f>
        <v>103028.73599999999</v>
      </c>
      <c r="K1006" s="1023">
        <f t="shared" si="199"/>
        <v>0</v>
      </c>
      <c r="L1006" s="1015"/>
    </row>
    <row r="1007" spans="1:12" s="27" customFormat="1" ht="17.25" customHeight="1">
      <c r="A1007" s="1020" t="s">
        <v>425</v>
      </c>
      <c r="B1007" s="1025" t="s">
        <v>468</v>
      </c>
      <c r="C1007" s="1026">
        <f>VLOOKUP(B999,'CNKT '!$D$102:$AA$166,18,0)</f>
        <v>2</v>
      </c>
      <c r="D1007" s="622">
        <v>10000</v>
      </c>
      <c r="E1007" s="1023">
        <f>C1007*D1007</f>
        <v>20000</v>
      </c>
      <c r="F1007" s="1079"/>
      <c r="G1007" s="1020" t="s">
        <v>425</v>
      </c>
      <c r="H1007" s="1025" t="s">
        <v>468</v>
      </c>
      <c r="I1007" s="1026">
        <f>VLOOKUP(H999,'CNKT '!$D$102:$AA$166,18,0)</f>
        <v>2</v>
      </c>
      <c r="J1007" s="622">
        <v>10000</v>
      </c>
      <c r="K1007" s="1023">
        <f>I1007*J1007</f>
        <v>20000</v>
      </c>
      <c r="L1007" s="1015"/>
    </row>
    <row r="1008" spans="1:12" s="27" customFormat="1" ht="17.25" customHeight="1">
      <c r="A1008" s="1020" t="s">
        <v>425</v>
      </c>
      <c r="B1008" s="1025" t="s">
        <v>468</v>
      </c>
      <c r="C1008" s="1026">
        <f>VLOOKUP(B999,'CNKT '!$D$102:$AA$166,19,0)</f>
        <v>0</v>
      </c>
      <c r="D1008" s="622">
        <v>20000</v>
      </c>
      <c r="E1008" s="1023">
        <f>C1008*D1008</f>
        <v>0</v>
      </c>
      <c r="F1008" s="1079"/>
      <c r="G1008" s="1020" t="s">
        <v>425</v>
      </c>
      <c r="H1008" s="1025" t="s">
        <v>468</v>
      </c>
      <c r="I1008" s="1026">
        <f>VLOOKUP(H999,'CNKT '!$D$102:$AA$166,19,0)</f>
        <v>0</v>
      </c>
      <c r="J1008" s="622">
        <v>20000</v>
      </c>
      <c r="K1008" s="1023">
        <f>I1008*J1008</f>
        <v>0</v>
      </c>
      <c r="L1008" s="1015"/>
    </row>
    <row r="1009" spans="1:12" s="27" customFormat="1" ht="17.25" customHeight="1">
      <c r="A1009" s="1020" t="s">
        <v>780</v>
      </c>
      <c r="B1009" s="1027" t="s">
        <v>781</v>
      </c>
      <c r="C1009" s="1026"/>
      <c r="D1009" s="622"/>
      <c r="E1009" s="1023">
        <f>VLOOKUP(B999,'CNKT '!$D$102:$AE$166,28,0)</f>
        <v>0</v>
      </c>
      <c r="F1009" s="1079"/>
      <c r="G1009" s="1020" t="s">
        <v>780</v>
      </c>
      <c r="H1009" s="1027" t="s">
        <v>781</v>
      </c>
      <c r="I1009" s="1026"/>
      <c r="J1009" s="622"/>
      <c r="K1009" s="1023">
        <f>VLOOKUP(H999,'CNKT '!$D$102:$AE$166,28,0)</f>
        <v>0</v>
      </c>
      <c r="L1009" s="1015"/>
    </row>
    <row r="1010" spans="1:12" s="27" customFormat="1" ht="17.25" customHeight="1">
      <c r="A1010" s="1028" t="s">
        <v>74</v>
      </c>
      <c r="B1010" s="1029" t="s">
        <v>498</v>
      </c>
      <c r="C1010" s="1030"/>
      <c r="D1010" s="1031"/>
      <c r="E1010" s="1030"/>
      <c r="F1010" s="1079"/>
      <c r="G1010" s="1028" t="s">
        <v>74</v>
      </c>
      <c r="H1010" s="1029" t="s">
        <v>498</v>
      </c>
      <c r="I1010" s="1030"/>
      <c r="J1010" s="1031"/>
      <c r="K1010" s="1030"/>
      <c r="L1010" s="1015"/>
    </row>
    <row r="1011" spans="1:12" s="27" customFormat="1" ht="17.25" customHeight="1">
      <c r="A1011" s="1032" t="s">
        <v>75</v>
      </c>
      <c r="B1011" s="1033" t="s">
        <v>499</v>
      </c>
      <c r="C1011" s="1030"/>
      <c r="D1011" s="1030"/>
      <c r="E1011" s="1030"/>
      <c r="F1011" s="1079"/>
      <c r="G1011" s="1032" t="s">
        <v>75</v>
      </c>
      <c r="H1011" s="1033" t="s">
        <v>499</v>
      </c>
      <c r="I1011" s="1030"/>
      <c r="J1011" s="1030"/>
      <c r="K1011" s="1030"/>
      <c r="L1011" s="1015"/>
    </row>
    <row r="1012" spans="1:12" s="27" customFormat="1" ht="17.25" customHeight="1">
      <c r="A1012" s="1032" t="s">
        <v>76</v>
      </c>
      <c r="B1012" s="1034" t="s">
        <v>500</v>
      </c>
      <c r="C1012" s="1030"/>
      <c r="D1012" s="1030"/>
      <c r="E1012" s="1023">
        <f>SUM(E1011)</f>
        <v>0</v>
      </c>
      <c r="F1012" s="1081"/>
      <c r="G1012" s="1032" t="s">
        <v>76</v>
      </c>
      <c r="H1012" s="1034" t="s">
        <v>500</v>
      </c>
      <c r="I1012" s="1030"/>
      <c r="J1012" s="1030"/>
      <c r="K1012" s="1023">
        <f>SUM(K1011)</f>
        <v>0</v>
      </c>
      <c r="L1012" s="1015"/>
    </row>
    <row r="1013" spans="1:12" s="27" customFormat="1" ht="17.25" customHeight="1">
      <c r="A1013" s="1036" t="s">
        <v>77</v>
      </c>
      <c r="B1013" s="1037" t="s">
        <v>412</v>
      </c>
      <c r="C1013" s="1038"/>
      <c r="D1013" s="1038"/>
      <c r="E1013" s="1038">
        <f>(E1001+E1002+E1003+E1004+E1005+E1006+E1007+E1008+E1009)-E1012</f>
        <v>9338241.873266926</v>
      </c>
      <c r="F1013" s="1081"/>
      <c r="G1013" s="1036" t="s">
        <v>77</v>
      </c>
      <c r="H1013" s="1037" t="s">
        <v>412</v>
      </c>
      <c r="I1013" s="1038"/>
      <c r="J1013" s="1038"/>
      <c r="K1013" s="1038">
        <f>(K1001+K1002+K1003+K1004+K1005+K1006+K1007+K1008+K1009)-K1012</f>
        <v>9900231.1724368613</v>
      </c>
      <c r="L1013" s="1040">
        <f>E1013+K1013</f>
        <v>19238473.045703787</v>
      </c>
    </row>
    <row r="1014" spans="1:12" s="27" customFormat="1" ht="222" customHeight="1">
      <c r="A1014" s="1082"/>
      <c r="B1014" s="1082"/>
      <c r="C1014" s="1082"/>
      <c r="D1014" s="1082"/>
      <c r="E1014" s="1082"/>
      <c r="F1014" s="1082"/>
      <c r="G1014" s="1082"/>
      <c r="H1014" s="1082"/>
      <c r="I1014" s="1082"/>
      <c r="J1014" s="1082"/>
      <c r="K1014" s="1082"/>
      <c r="L1014" s="1015"/>
    </row>
    <row r="1015" spans="1:12" s="27" customFormat="1" ht="17.25" customHeight="1">
      <c r="A1015" s="1083" t="str">
        <f>A998</f>
        <v>LƯƠNG THÁNG 08/2025</v>
      </c>
      <c r="B1015" s="1082"/>
      <c r="C1015" s="1082"/>
      <c r="D1015" s="1082"/>
      <c r="E1015" s="1078">
        <f>VLOOKUP(B1016,'CNKT '!$D$102:$AD$166,26,0)</f>
        <v>33</v>
      </c>
      <c r="F1015" s="1079"/>
      <c r="G1015" s="1083" t="str">
        <f>A1015</f>
        <v>LƯƠNG THÁNG 08/2025</v>
      </c>
      <c r="H1015" s="1082"/>
      <c r="I1015" s="1082"/>
      <c r="J1015" s="1014"/>
      <c r="K1015" s="1078">
        <f>VLOOKUP(H1016,'CNKT '!$D$102:$AD$166,26,0)</f>
        <v>34</v>
      </c>
      <c r="L1015" s="1015"/>
    </row>
    <row r="1016" spans="1:12" s="27" customFormat="1" ht="17.25" customHeight="1">
      <c r="A1016" s="1044" t="s">
        <v>13</v>
      </c>
      <c r="B1016" s="1016" t="str">
        <f>'CNKT '!D134</f>
        <v>T. Thon</v>
      </c>
      <c r="C1016" s="1022"/>
      <c r="D1016" s="1016" t="s">
        <v>376</v>
      </c>
      <c r="E1016" s="1016" t="s">
        <v>16</v>
      </c>
      <c r="F1016" s="1079"/>
      <c r="G1016" s="1044" t="s">
        <v>13</v>
      </c>
      <c r="H1016" s="1016" t="str">
        <f>'CNKT '!D135</f>
        <v>Bun Thon</v>
      </c>
      <c r="I1016" s="1022"/>
      <c r="J1016" s="1016" t="s">
        <v>376</v>
      </c>
      <c r="K1016" s="1016" t="s">
        <v>16</v>
      </c>
      <c r="L1016" s="1015"/>
    </row>
    <row r="1017" spans="1:12" s="27" customFormat="1" ht="17.25" customHeight="1">
      <c r="A1017" s="1020" t="s">
        <v>377</v>
      </c>
      <c r="B1017" s="1021" t="s">
        <v>493</v>
      </c>
      <c r="C1017" s="1022" t="str">
        <f>VLOOKUP(B1016,'BTH mủ tạp'!$D$98:$AN$160,37,0)</f>
        <v>A</v>
      </c>
      <c r="D1017" s="1023"/>
      <c r="E1017" s="1023"/>
      <c r="F1017" s="1079"/>
      <c r="G1017" s="1020" t="s">
        <v>377</v>
      </c>
      <c r="H1017" s="1021" t="s">
        <v>493</v>
      </c>
      <c r="I1017" s="1022" t="str">
        <f>VLOOKUP(H1016,'BTH mủ tạp'!$D$98:$AN$160,37,0)</f>
        <v>A</v>
      </c>
      <c r="J1017" s="1023"/>
      <c r="K1017" s="1023"/>
      <c r="L1017" s="1015"/>
    </row>
    <row r="1018" spans="1:12" s="27" customFormat="1" ht="17.25" customHeight="1">
      <c r="A1018" s="1020" t="s">
        <v>72</v>
      </c>
      <c r="B1018" s="1024" t="s">
        <v>406</v>
      </c>
      <c r="C1018" s="621">
        <f>VLOOKUP(B1016,'CNKT '!$D$101:$AA$166,3,0)</f>
        <v>0</v>
      </c>
      <c r="D1018" s="622">
        <v>25000</v>
      </c>
      <c r="E1018" s="1023">
        <f t="shared" ref="E1018:E1023" si="200">C1018*D1018</f>
        <v>0</v>
      </c>
      <c r="F1018" s="1079"/>
      <c r="G1018" s="1020" t="s">
        <v>72</v>
      </c>
      <c r="H1018" s="1024" t="s">
        <v>406</v>
      </c>
      <c r="I1018" s="621">
        <f>VLOOKUP(H1016,'CNKT '!$D$101:$AA$166,3,0)</f>
        <v>0</v>
      </c>
      <c r="J1018" s="622">
        <v>25000</v>
      </c>
      <c r="K1018" s="1023">
        <f t="shared" ref="K1018:K1023" si="201">I1018*J1018</f>
        <v>0</v>
      </c>
      <c r="L1018" s="1015"/>
    </row>
    <row r="1019" spans="1:12" s="27" customFormat="1" ht="17.25" customHeight="1">
      <c r="A1019" s="1020" t="s">
        <v>292</v>
      </c>
      <c r="B1019" s="1025" t="s">
        <v>494</v>
      </c>
      <c r="C1019" s="1026">
        <f>VLOOKUP(B1016,'CNKT '!$D$101:$AA$166,11,0)</f>
        <v>21</v>
      </c>
      <c r="D1019" s="623">
        <f>46.1*$B$2</f>
        <v>30922.036</v>
      </c>
      <c r="E1019" s="1023">
        <f t="shared" si="200"/>
        <v>649362.75600000005</v>
      </c>
      <c r="F1019" s="1079"/>
      <c r="G1019" s="1020" t="s">
        <v>292</v>
      </c>
      <c r="H1019" s="1025" t="s">
        <v>494</v>
      </c>
      <c r="I1019" s="1026">
        <f>VLOOKUP(H1016,'CNKT '!$D$101:$AA$166,11,0)</f>
        <v>24</v>
      </c>
      <c r="J1019" s="623">
        <f>46.1*$B$2</f>
        <v>30922.036</v>
      </c>
      <c r="K1019" s="1023">
        <f t="shared" si="201"/>
        <v>742128.86400000006</v>
      </c>
      <c r="L1019" s="1015"/>
    </row>
    <row r="1020" spans="1:12" s="27" customFormat="1" ht="17.25" customHeight="1">
      <c r="A1020" s="1020" t="s">
        <v>379</v>
      </c>
      <c r="B1020" s="1025" t="s">
        <v>495</v>
      </c>
      <c r="C1020" s="1026">
        <f>VLOOKUP(B1016,'CNKT '!$D$101:$AA$166,12,0)</f>
        <v>4</v>
      </c>
      <c r="D1020" s="622">
        <f>76.9*$B$2</f>
        <v>51581.444000000003</v>
      </c>
      <c r="E1020" s="1023">
        <f t="shared" si="200"/>
        <v>206325.77600000001</v>
      </c>
      <c r="F1020" s="1079"/>
      <c r="G1020" s="1020" t="s">
        <v>379</v>
      </c>
      <c r="H1020" s="1025" t="s">
        <v>495</v>
      </c>
      <c r="I1020" s="1026">
        <f>VLOOKUP(H1016,'CNKT '!$D$101:$AA$166,12,0)</f>
        <v>4</v>
      </c>
      <c r="J1020" s="622">
        <f>76.9*$B$2</f>
        <v>51581.444000000003</v>
      </c>
      <c r="K1020" s="1023">
        <f t="shared" si="201"/>
        <v>206325.77600000001</v>
      </c>
      <c r="L1020" s="1015"/>
    </row>
    <row r="1021" spans="1:12" s="27" customFormat="1" ht="17.25" customHeight="1">
      <c r="A1021" s="1020" t="s">
        <v>73</v>
      </c>
      <c r="B1021" s="1025" t="s">
        <v>496</v>
      </c>
      <c r="C1021" s="1026">
        <f>VLOOKUP(B1016,'CNKT '!$D$101:$AA$166,8,0)</f>
        <v>1733.7068612770197</v>
      </c>
      <c r="D1021" s="622">
        <f>IF(C1017="A",6.1,IF(C1017="B",5.8,IF(C1017="C",5.5,IF(C1017="C.",5.5,IF(C1017="D",5.2)))))*$B$2</f>
        <v>4091.6359999999995</v>
      </c>
      <c r="E1021" s="1023">
        <f t="shared" si="200"/>
        <v>7093697.4070480587</v>
      </c>
      <c r="F1021" s="1079"/>
      <c r="G1021" s="1020" t="s">
        <v>73</v>
      </c>
      <c r="H1021" s="1025" t="s">
        <v>496</v>
      </c>
      <c r="I1021" s="1026">
        <f>VLOOKUP(H1016,'CNKT '!$D$101:$AA$166,8,0)</f>
        <v>1709.0508505253256</v>
      </c>
      <c r="J1021" s="622">
        <f>IF(I1017="A",6.1,IF(I1017="B",5.8,IF(I1017="C",5.5,IF(I1017="C.",5.5,IF(I1017="D",5.2)))))*$B$2</f>
        <v>4091.6359999999995</v>
      </c>
      <c r="K1021" s="1023">
        <f t="shared" si="201"/>
        <v>6992813.9858400403</v>
      </c>
      <c r="L1021" s="1015"/>
    </row>
    <row r="1022" spans="1:12" s="27" customFormat="1" ht="17.25" customHeight="1">
      <c r="A1022" s="1089" t="s">
        <v>464</v>
      </c>
      <c r="B1022" s="1090" t="s">
        <v>497</v>
      </c>
      <c r="C1022" s="1091">
        <f>VLOOKUP(B1016,'CNKT '!$D$99:$AA$166,13,0)</f>
        <v>2</v>
      </c>
      <c r="D1022" s="1092">
        <v>100000</v>
      </c>
      <c r="E1022" s="1093">
        <f t="shared" si="200"/>
        <v>200000</v>
      </c>
      <c r="F1022" s="1079"/>
      <c r="G1022" s="1089" t="s">
        <v>464</v>
      </c>
      <c r="H1022" s="1090" t="s">
        <v>497</v>
      </c>
      <c r="I1022" s="1091">
        <f>VLOOKUP(H1016,'CNKT '!$D$99:$AA$166,13,0)</f>
        <v>2</v>
      </c>
      <c r="J1022" s="1092">
        <v>100000</v>
      </c>
      <c r="K1022" s="1093">
        <f t="shared" si="201"/>
        <v>200000</v>
      </c>
      <c r="L1022" s="1015"/>
    </row>
    <row r="1023" spans="1:12" s="27" customFormat="1" ht="17.25" customHeight="1">
      <c r="A1023" s="1020" t="s">
        <v>421</v>
      </c>
      <c r="B1023" s="1025" t="s">
        <v>467</v>
      </c>
      <c r="C1023" s="1026">
        <f>VLOOKUP(B1016,'CNKT '!$D$101:$AA$166,14,0)</f>
        <v>0</v>
      </c>
      <c r="D1023" s="622">
        <f>153.6*$B$2</f>
        <v>103028.73599999999</v>
      </c>
      <c r="E1023" s="1023">
        <f t="shared" si="200"/>
        <v>0</v>
      </c>
      <c r="F1023" s="1079"/>
      <c r="G1023" s="1020" t="s">
        <v>421</v>
      </c>
      <c r="H1023" s="1025" t="s">
        <v>467</v>
      </c>
      <c r="I1023" s="1026">
        <f>VLOOKUP(H1016,'CNKT '!$D$101:$AA$166,14,0)</f>
        <v>0</v>
      </c>
      <c r="J1023" s="622">
        <f>153.6*$B$2</f>
        <v>103028.73599999999</v>
      </c>
      <c r="K1023" s="1023">
        <f t="shared" si="201"/>
        <v>0</v>
      </c>
      <c r="L1023" s="1015"/>
    </row>
    <row r="1024" spans="1:12" s="27" customFormat="1" ht="17.25" customHeight="1">
      <c r="A1024" s="1020" t="s">
        <v>425</v>
      </c>
      <c r="B1024" s="1025" t="s">
        <v>468</v>
      </c>
      <c r="C1024" s="1026">
        <f>VLOOKUP(B1016,'CNKT '!$D$102:$AA$166,18,0)</f>
        <v>2</v>
      </c>
      <c r="D1024" s="622">
        <v>10000</v>
      </c>
      <c r="E1024" s="1023">
        <f>C1024*D1024</f>
        <v>20000</v>
      </c>
      <c r="F1024" s="1079"/>
      <c r="G1024" s="1020" t="s">
        <v>425</v>
      </c>
      <c r="H1024" s="1025" t="s">
        <v>468</v>
      </c>
      <c r="I1024" s="1026">
        <f>VLOOKUP(H1016,'CNKT '!$D$102:$AA$166,18,0)</f>
        <v>2</v>
      </c>
      <c r="J1024" s="622">
        <v>10000</v>
      </c>
      <c r="K1024" s="1023">
        <f>I1024*J1024</f>
        <v>20000</v>
      </c>
      <c r="L1024" s="1015"/>
    </row>
    <row r="1025" spans="1:12" s="27" customFormat="1" ht="17.25" customHeight="1">
      <c r="A1025" s="1020" t="s">
        <v>425</v>
      </c>
      <c r="B1025" s="1025" t="s">
        <v>468</v>
      </c>
      <c r="C1025" s="1026">
        <f>VLOOKUP(B1016,'CNKT '!$D$102:$AA$166,19,0)</f>
        <v>0</v>
      </c>
      <c r="D1025" s="622">
        <v>20000</v>
      </c>
      <c r="E1025" s="1023">
        <f>C1025*D1025</f>
        <v>0</v>
      </c>
      <c r="F1025" s="1079"/>
      <c r="G1025" s="1020" t="s">
        <v>425</v>
      </c>
      <c r="H1025" s="1025" t="s">
        <v>468</v>
      </c>
      <c r="I1025" s="1026">
        <f>VLOOKUP(H1016,'CNKT '!$D$102:$AA$166,19,0)</f>
        <v>0</v>
      </c>
      <c r="J1025" s="622">
        <v>20000</v>
      </c>
      <c r="K1025" s="1023">
        <f>I1025*J1025</f>
        <v>0</v>
      </c>
      <c r="L1025" s="1015"/>
    </row>
    <row r="1026" spans="1:12" s="27" customFormat="1" ht="17.25" customHeight="1">
      <c r="A1026" s="1020" t="s">
        <v>780</v>
      </c>
      <c r="B1026" s="1027" t="s">
        <v>781</v>
      </c>
      <c r="C1026" s="1026"/>
      <c r="D1026" s="622"/>
      <c r="E1026" s="1023">
        <f>VLOOKUP(B1016,'CNKT '!$D$102:$AE$166,28,0)</f>
        <v>0</v>
      </c>
      <c r="F1026" s="1079"/>
      <c r="G1026" s="1020" t="s">
        <v>780</v>
      </c>
      <c r="H1026" s="1027" t="s">
        <v>781</v>
      </c>
      <c r="I1026" s="1026"/>
      <c r="J1026" s="622"/>
      <c r="K1026" s="1023">
        <f>VLOOKUP(H1016,'CNKT '!$D$102:$AE$166,28,0)</f>
        <v>0</v>
      </c>
      <c r="L1026" s="1015"/>
    </row>
    <row r="1027" spans="1:12" s="27" customFormat="1" ht="17.25" customHeight="1">
      <c r="A1027" s="1028" t="s">
        <v>74</v>
      </c>
      <c r="B1027" s="1029" t="s">
        <v>498</v>
      </c>
      <c r="C1027" s="1030"/>
      <c r="D1027" s="1031"/>
      <c r="E1027" s="1030"/>
      <c r="F1027" s="1079"/>
      <c r="G1027" s="1028" t="s">
        <v>74</v>
      </c>
      <c r="H1027" s="1029" t="s">
        <v>498</v>
      </c>
      <c r="I1027" s="1030"/>
      <c r="J1027" s="1031"/>
      <c r="K1027" s="1030"/>
      <c r="L1027" s="1015"/>
    </row>
    <row r="1028" spans="1:12" s="27" customFormat="1" ht="17.25" customHeight="1">
      <c r="A1028" s="1032" t="s">
        <v>75</v>
      </c>
      <c r="B1028" s="1033" t="s">
        <v>499</v>
      </c>
      <c r="C1028" s="1030"/>
      <c r="D1028" s="1030"/>
      <c r="E1028" s="1030"/>
      <c r="F1028" s="1079"/>
      <c r="G1028" s="1032" t="s">
        <v>75</v>
      </c>
      <c r="H1028" s="1033" t="s">
        <v>499</v>
      </c>
      <c r="I1028" s="1030"/>
      <c r="J1028" s="1030"/>
      <c r="K1028" s="1030"/>
      <c r="L1028" s="1015"/>
    </row>
    <row r="1029" spans="1:12" s="27" customFormat="1" ht="17.25" customHeight="1">
      <c r="A1029" s="1032" t="s">
        <v>76</v>
      </c>
      <c r="B1029" s="1034" t="s">
        <v>500</v>
      </c>
      <c r="C1029" s="1030"/>
      <c r="D1029" s="1030"/>
      <c r="E1029" s="1023">
        <f>SUM(E1028)</f>
        <v>0</v>
      </c>
      <c r="F1029" s="1081"/>
      <c r="G1029" s="1032" t="s">
        <v>76</v>
      </c>
      <c r="H1029" s="1034" t="s">
        <v>500</v>
      </c>
      <c r="I1029" s="1030"/>
      <c r="J1029" s="1030"/>
      <c r="K1029" s="1023">
        <f>SUM(K1028)</f>
        <v>0</v>
      </c>
      <c r="L1029" s="1015"/>
    </row>
    <row r="1030" spans="1:12" s="27" customFormat="1" ht="17.25" customHeight="1">
      <c r="A1030" s="1036" t="s">
        <v>77</v>
      </c>
      <c r="B1030" s="1037" t="s">
        <v>412</v>
      </c>
      <c r="C1030" s="1038"/>
      <c r="D1030" s="1038"/>
      <c r="E1030" s="1038">
        <f>(E1018+E1019+E1020+E1021+E1022+E1023+E1024+E1025+E1026)-E1029</f>
        <v>8169385.9390480593</v>
      </c>
      <c r="F1030" s="1081"/>
      <c r="G1030" s="1036" t="s">
        <v>77</v>
      </c>
      <c r="H1030" s="1037" t="s">
        <v>412</v>
      </c>
      <c r="I1030" s="1038"/>
      <c r="J1030" s="1038"/>
      <c r="K1030" s="1038">
        <f>(K1018+K1019+K1020+K1021+K1022+K1023+K1024+K1025+K1026)-K1029</f>
        <v>8161268.6258400399</v>
      </c>
      <c r="L1030" s="1040">
        <f>E1030+K1030</f>
        <v>16330654.564888099</v>
      </c>
    </row>
    <row r="1031" spans="1:12" s="27" customFormat="1" ht="17.25" customHeight="1">
      <c r="A1031" s="1082"/>
      <c r="B1031" s="1082"/>
      <c r="C1031" s="1082"/>
      <c r="D1031" s="1082"/>
      <c r="E1031" s="1082"/>
      <c r="F1031" s="1082"/>
      <c r="G1031" s="1082"/>
      <c r="H1031" s="1082"/>
      <c r="I1031" s="1082"/>
      <c r="J1031" s="1082"/>
      <c r="K1031" s="1082"/>
      <c r="L1031" s="1015"/>
    </row>
    <row r="1032" spans="1:12" s="27" customFormat="1" ht="17.25" customHeight="1">
      <c r="A1032" s="1083" t="str">
        <f>A1015</f>
        <v>LƯƠNG THÁNG 08/2025</v>
      </c>
      <c r="B1032" s="1082"/>
      <c r="C1032" s="1082"/>
      <c r="D1032" s="1082"/>
      <c r="E1032" s="1078">
        <f>VLOOKUP(B1033,'CNKT '!$D$102:$AD$166,26,0)</f>
        <v>35</v>
      </c>
      <c r="F1032" s="1079"/>
      <c r="G1032" s="1083" t="str">
        <f>A1032</f>
        <v>LƯƠNG THÁNG 08/2025</v>
      </c>
      <c r="H1032" s="1082"/>
      <c r="I1032" s="1082"/>
      <c r="J1032" s="1014"/>
      <c r="K1032" s="1078">
        <f>VLOOKUP(H1033,'CNKT '!$D$102:$AD$166,26,0)</f>
        <v>36</v>
      </c>
      <c r="L1032" s="1015"/>
    </row>
    <row r="1033" spans="1:12" s="27" customFormat="1" ht="17.25" customHeight="1">
      <c r="A1033" s="1044" t="s">
        <v>13</v>
      </c>
      <c r="B1033" s="1016" t="str">
        <f>'CNKT '!D136</f>
        <v>Lăm Thong</v>
      </c>
      <c r="C1033" s="1022"/>
      <c r="D1033" s="1016" t="s">
        <v>376</v>
      </c>
      <c r="E1033" s="1016" t="s">
        <v>16</v>
      </c>
      <c r="F1033" s="1079"/>
      <c r="G1033" s="1044" t="s">
        <v>13</v>
      </c>
      <c r="H1033" s="1016" t="str">
        <f>'CNKT '!D137</f>
        <v>N. Xeo Khăm</v>
      </c>
      <c r="I1033" s="1022"/>
      <c r="J1033" s="1016" t="s">
        <v>376</v>
      </c>
      <c r="K1033" s="1016" t="s">
        <v>16</v>
      </c>
      <c r="L1033" s="1015"/>
    </row>
    <row r="1034" spans="1:12" s="27" customFormat="1" ht="17.25" customHeight="1">
      <c r="A1034" s="1020" t="s">
        <v>377</v>
      </c>
      <c r="B1034" s="1021" t="s">
        <v>493</v>
      </c>
      <c r="C1034" s="1022" t="str">
        <f>VLOOKUP(B1033,'BTH mủ tạp'!$D$98:$AN$160,37,0)</f>
        <v>B</v>
      </c>
      <c r="D1034" s="1023"/>
      <c r="E1034" s="1023"/>
      <c r="F1034" s="1079"/>
      <c r="G1034" s="1020" t="s">
        <v>377</v>
      </c>
      <c r="H1034" s="1021" t="s">
        <v>493</v>
      </c>
      <c r="I1034" s="1022" t="str">
        <f>VLOOKUP(H1033,'BTH mủ tạp'!$D$98:$AN$160,37,0)</f>
        <v>A</v>
      </c>
      <c r="J1034" s="1023"/>
      <c r="K1034" s="1023"/>
      <c r="L1034" s="1015"/>
    </row>
    <row r="1035" spans="1:12" s="27" customFormat="1" ht="17.25" customHeight="1">
      <c r="A1035" s="1020" t="s">
        <v>72</v>
      </c>
      <c r="B1035" s="1024" t="s">
        <v>406</v>
      </c>
      <c r="C1035" s="621">
        <f>VLOOKUP(B1033,'CNKT '!$D$101:$AA$166,3,0)</f>
        <v>0</v>
      </c>
      <c r="D1035" s="622">
        <v>25000</v>
      </c>
      <c r="E1035" s="1023">
        <f t="shared" ref="E1035:E1040" si="202">C1035*D1035</f>
        <v>0</v>
      </c>
      <c r="F1035" s="1079"/>
      <c r="G1035" s="1020" t="s">
        <v>72</v>
      </c>
      <c r="H1035" s="1024" t="s">
        <v>406</v>
      </c>
      <c r="I1035" s="621">
        <f>VLOOKUP(H1033,'CNKT '!$D$101:$AA$166,3,0)</f>
        <v>0</v>
      </c>
      <c r="J1035" s="622">
        <v>25000</v>
      </c>
      <c r="K1035" s="1023">
        <f t="shared" ref="K1035:K1040" si="203">I1035*J1035</f>
        <v>0</v>
      </c>
      <c r="L1035" s="1015"/>
    </row>
    <row r="1036" spans="1:12" s="27" customFormat="1" ht="17.25" customHeight="1">
      <c r="A1036" s="1020" t="s">
        <v>292</v>
      </c>
      <c r="B1036" s="1025" t="s">
        <v>494</v>
      </c>
      <c r="C1036" s="1026">
        <f>VLOOKUP(B1033,'CNKT '!$D$101:$AA$166,11,0)</f>
        <v>23</v>
      </c>
      <c r="D1036" s="623">
        <f>46.1*$B$2</f>
        <v>30922.036</v>
      </c>
      <c r="E1036" s="1023">
        <f t="shared" si="202"/>
        <v>711206.82799999998</v>
      </c>
      <c r="F1036" s="1079"/>
      <c r="G1036" s="1020" t="s">
        <v>292</v>
      </c>
      <c r="H1036" s="1025" t="s">
        <v>494</v>
      </c>
      <c r="I1036" s="1026">
        <f>VLOOKUP(H1033,'CNKT '!$D$101:$AA$166,11,0)</f>
        <v>24</v>
      </c>
      <c r="J1036" s="623">
        <f>46.1*$B$2</f>
        <v>30922.036</v>
      </c>
      <c r="K1036" s="1023">
        <f t="shared" si="203"/>
        <v>742128.86400000006</v>
      </c>
      <c r="L1036" s="1015"/>
    </row>
    <row r="1037" spans="1:12" s="27" customFormat="1" ht="17.25" customHeight="1">
      <c r="A1037" s="1020" t="s">
        <v>379</v>
      </c>
      <c r="B1037" s="1025" t="s">
        <v>495</v>
      </c>
      <c r="C1037" s="1026">
        <f>VLOOKUP(B1033,'CNKT '!$D$101:$AA$166,12,0)</f>
        <v>3</v>
      </c>
      <c r="D1037" s="622">
        <f>76.9*$B$2</f>
        <v>51581.444000000003</v>
      </c>
      <c r="E1037" s="1023">
        <f t="shared" si="202"/>
        <v>154744.33199999999</v>
      </c>
      <c r="F1037" s="1079"/>
      <c r="G1037" s="1020" t="s">
        <v>379</v>
      </c>
      <c r="H1037" s="1025" t="s">
        <v>495</v>
      </c>
      <c r="I1037" s="1026">
        <f>VLOOKUP(H1033,'CNKT '!$D$101:$AA$166,12,0)</f>
        <v>4</v>
      </c>
      <c r="J1037" s="622">
        <f>76.9*$B$2</f>
        <v>51581.444000000003</v>
      </c>
      <c r="K1037" s="1023">
        <f t="shared" si="203"/>
        <v>206325.77600000001</v>
      </c>
      <c r="L1037" s="1015"/>
    </row>
    <row r="1038" spans="1:12" s="27" customFormat="1" ht="17.25" customHeight="1">
      <c r="A1038" s="1020" t="s">
        <v>73</v>
      </c>
      <c r="B1038" s="1025" t="s">
        <v>496</v>
      </c>
      <c r="C1038" s="1026">
        <f>VLOOKUP(B1033,'CNKT '!$D$101:$AA$166,8,0)</f>
        <v>1659.7388290219374</v>
      </c>
      <c r="D1038" s="622">
        <f>IF(C1034="A",6.1,IF(C1034="B",5.8,IF(C1034="C",5.5,IF(C1034="C.",5.5,IF(C1034="D",5.2)))))*$B$2</f>
        <v>3890.4079999999999</v>
      </c>
      <c r="E1038" s="1023">
        <f t="shared" si="202"/>
        <v>6457061.2183375768</v>
      </c>
      <c r="F1038" s="1079"/>
      <c r="G1038" s="1020" t="s">
        <v>73</v>
      </c>
      <c r="H1038" s="1025" t="s">
        <v>496</v>
      </c>
      <c r="I1038" s="1026">
        <f>VLOOKUP(H1033,'CNKT '!$D$101:$AA$166,8,0)</f>
        <v>1944.3643566467574</v>
      </c>
      <c r="J1038" s="622">
        <f>IF(I1034="A",6.1,IF(I1034="B",5.8,IF(I1034="C",5.5,IF(I1034="C.",5.5,IF(I1034="D",5.2)))))*$B$2</f>
        <v>4091.6359999999995</v>
      </c>
      <c r="K1038" s="1023">
        <f t="shared" si="203"/>
        <v>7955631.1987727107</v>
      </c>
      <c r="L1038" s="1015"/>
    </row>
    <row r="1039" spans="1:12" s="27" customFormat="1" ht="17.25" customHeight="1">
      <c r="A1039" s="1089" t="s">
        <v>464</v>
      </c>
      <c r="B1039" s="1090" t="s">
        <v>497</v>
      </c>
      <c r="C1039" s="1091">
        <f>VLOOKUP(B1033,'CNKT '!$D$99:$AA$166,13,0)</f>
        <v>2</v>
      </c>
      <c r="D1039" s="1092">
        <v>100000</v>
      </c>
      <c r="E1039" s="1093">
        <f t="shared" si="202"/>
        <v>200000</v>
      </c>
      <c r="F1039" s="1079"/>
      <c r="G1039" s="1089" t="s">
        <v>464</v>
      </c>
      <c r="H1039" s="1090" t="s">
        <v>497</v>
      </c>
      <c r="I1039" s="1091">
        <f>VLOOKUP(H1033,'CNKT '!$D$99:$AA$166,13,0)</f>
        <v>2</v>
      </c>
      <c r="J1039" s="1092">
        <v>100000</v>
      </c>
      <c r="K1039" s="1093">
        <f t="shared" si="203"/>
        <v>200000</v>
      </c>
      <c r="L1039" s="1015"/>
    </row>
    <row r="1040" spans="1:12" s="27" customFormat="1" ht="17.25" customHeight="1">
      <c r="A1040" s="1020" t="s">
        <v>421</v>
      </c>
      <c r="B1040" s="1025" t="s">
        <v>467</v>
      </c>
      <c r="C1040" s="1026">
        <f>VLOOKUP(B1033,'CNKT '!$D$101:$AA$166,14,0)</f>
        <v>0</v>
      </c>
      <c r="D1040" s="622">
        <f>153.6*$B$2</f>
        <v>103028.73599999999</v>
      </c>
      <c r="E1040" s="1023">
        <f t="shared" si="202"/>
        <v>0</v>
      </c>
      <c r="F1040" s="1079"/>
      <c r="G1040" s="1020" t="s">
        <v>421</v>
      </c>
      <c r="H1040" s="1025" t="s">
        <v>467</v>
      </c>
      <c r="I1040" s="1026">
        <f>VLOOKUP(H1033,'CNKT '!$D$101:$AA$166,14,0)</f>
        <v>0</v>
      </c>
      <c r="J1040" s="622">
        <f>153.6*$B$2</f>
        <v>103028.73599999999</v>
      </c>
      <c r="K1040" s="1023">
        <f t="shared" si="203"/>
        <v>0</v>
      </c>
      <c r="L1040" s="1015"/>
    </row>
    <row r="1041" spans="1:12" s="27" customFormat="1" ht="17.25" customHeight="1">
      <c r="A1041" s="1020" t="s">
        <v>425</v>
      </c>
      <c r="B1041" s="1025" t="s">
        <v>468</v>
      </c>
      <c r="C1041" s="1026">
        <f>VLOOKUP(B1033,'CNKT '!$D$102:$AA$166,18,0)</f>
        <v>2</v>
      </c>
      <c r="D1041" s="622">
        <v>10000</v>
      </c>
      <c r="E1041" s="1023">
        <f>C1041*D1041</f>
        <v>20000</v>
      </c>
      <c r="F1041" s="1079"/>
      <c r="G1041" s="1020" t="s">
        <v>425</v>
      </c>
      <c r="H1041" s="1025" t="s">
        <v>468</v>
      </c>
      <c r="I1041" s="1026">
        <f>VLOOKUP(H1033,'CNKT '!$D$102:$AA$166,18,0)</f>
        <v>2</v>
      </c>
      <c r="J1041" s="622">
        <v>10000</v>
      </c>
      <c r="K1041" s="1023">
        <f>I1041*J1041</f>
        <v>20000</v>
      </c>
      <c r="L1041" s="1015"/>
    </row>
    <row r="1042" spans="1:12" s="27" customFormat="1" ht="17.25" customHeight="1">
      <c r="A1042" s="1020" t="s">
        <v>425</v>
      </c>
      <c r="B1042" s="1025" t="s">
        <v>468</v>
      </c>
      <c r="C1042" s="1026">
        <f>VLOOKUP(B1033,'CNKT '!$D$102:$AA$166,19,0)</f>
        <v>0</v>
      </c>
      <c r="D1042" s="622">
        <v>20000</v>
      </c>
      <c r="E1042" s="1023">
        <f>C1042*D1042</f>
        <v>0</v>
      </c>
      <c r="F1042" s="1079"/>
      <c r="G1042" s="1020" t="s">
        <v>425</v>
      </c>
      <c r="H1042" s="1025" t="s">
        <v>468</v>
      </c>
      <c r="I1042" s="1026">
        <f>VLOOKUP(H1033,'CNKT '!$D$102:$AA$166,19,0)</f>
        <v>0</v>
      </c>
      <c r="J1042" s="622">
        <v>20000</v>
      </c>
      <c r="K1042" s="1023">
        <f>I1042*J1042</f>
        <v>0</v>
      </c>
      <c r="L1042" s="1015"/>
    </row>
    <row r="1043" spans="1:12" s="27" customFormat="1" ht="17.25" customHeight="1">
      <c r="A1043" s="1020" t="s">
        <v>780</v>
      </c>
      <c r="B1043" s="1027" t="s">
        <v>781</v>
      </c>
      <c r="C1043" s="1026"/>
      <c r="D1043" s="622"/>
      <c r="E1043" s="1023">
        <f>VLOOKUP(B1033,'CNKT '!$D$102:$AE$166,28,0)</f>
        <v>0</v>
      </c>
      <c r="F1043" s="1079"/>
      <c r="G1043" s="1020" t="s">
        <v>780</v>
      </c>
      <c r="H1043" s="1027" t="s">
        <v>781</v>
      </c>
      <c r="I1043" s="1026"/>
      <c r="J1043" s="622"/>
      <c r="K1043" s="1023">
        <f>VLOOKUP(H1033,'CNKT '!$D$102:$AE$166,28,0)</f>
        <v>0</v>
      </c>
      <c r="L1043" s="1015"/>
    </row>
    <row r="1044" spans="1:12" s="27" customFormat="1" ht="17.25" customHeight="1">
      <c r="A1044" s="1028" t="s">
        <v>74</v>
      </c>
      <c r="B1044" s="1029" t="s">
        <v>498</v>
      </c>
      <c r="C1044" s="1030"/>
      <c r="D1044" s="1031"/>
      <c r="E1044" s="1030"/>
      <c r="F1044" s="1079"/>
      <c r="G1044" s="1028" t="s">
        <v>74</v>
      </c>
      <c r="H1044" s="1029" t="s">
        <v>498</v>
      </c>
      <c r="I1044" s="1030"/>
      <c r="J1044" s="1031"/>
      <c r="K1044" s="1030"/>
      <c r="L1044" s="1015"/>
    </row>
    <row r="1045" spans="1:12" s="27" customFormat="1" ht="17.25" customHeight="1">
      <c r="A1045" s="1032" t="s">
        <v>75</v>
      </c>
      <c r="B1045" s="1033" t="s">
        <v>499</v>
      </c>
      <c r="C1045" s="1030"/>
      <c r="D1045" s="1030"/>
      <c r="E1045" s="1030"/>
      <c r="F1045" s="1079"/>
      <c r="G1045" s="1032" t="s">
        <v>75</v>
      </c>
      <c r="H1045" s="1033" t="s">
        <v>499</v>
      </c>
      <c r="I1045" s="1030"/>
      <c r="J1045" s="1030"/>
      <c r="K1045" s="1030"/>
      <c r="L1045" s="1015"/>
    </row>
    <row r="1046" spans="1:12" s="27" customFormat="1" ht="17.25" customHeight="1">
      <c r="A1046" s="1032" t="s">
        <v>76</v>
      </c>
      <c r="B1046" s="1034" t="s">
        <v>500</v>
      </c>
      <c r="C1046" s="1030"/>
      <c r="D1046" s="1030"/>
      <c r="E1046" s="1023">
        <f>SUM(E1045)</f>
        <v>0</v>
      </c>
      <c r="F1046" s="1026"/>
      <c r="G1046" s="1032" t="s">
        <v>76</v>
      </c>
      <c r="H1046" s="1034" t="s">
        <v>500</v>
      </c>
      <c r="I1046" s="1030"/>
      <c r="J1046" s="1030"/>
      <c r="K1046" s="1023">
        <f>SUM(K1045)</f>
        <v>0</v>
      </c>
      <c r="L1046" s="1015"/>
    </row>
    <row r="1047" spans="1:12" s="27" customFormat="1" ht="17.25" customHeight="1">
      <c r="A1047" s="1036" t="s">
        <v>77</v>
      </c>
      <c r="B1047" s="1037" t="s">
        <v>412</v>
      </c>
      <c r="C1047" s="1038"/>
      <c r="D1047" s="1038"/>
      <c r="E1047" s="1038">
        <f>(E1035+E1036+E1037+E1038+E1039+E1040+E1041+E1042+E1043)-E1046</f>
        <v>7543012.378337577</v>
      </c>
      <c r="F1047" s="1026"/>
      <c r="G1047" s="1036" t="s">
        <v>77</v>
      </c>
      <c r="H1047" s="1037" t="s">
        <v>412</v>
      </c>
      <c r="I1047" s="1038"/>
      <c r="J1047" s="1038"/>
      <c r="K1047" s="1038">
        <f>(K1035+K1036+K1037+K1038+K1039+K1040+K1041+K1042+K1043)-K1046</f>
        <v>9124085.8387727104</v>
      </c>
      <c r="L1047" s="1040">
        <f>E1047+K1047</f>
        <v>16667098.217110287</v>
      </c>
    </row>
    <row r="1048" spans="1:12" s="27" customFormat="1" ht="17.25" customHeight="1">
      <c r="A1048" s="1082"/>
      <c r="B1048" s="1082"/>
      <c r="C1048" s="1082"/>
      <c r="D1048" s="1082"/>
      <c r="E1048" s="1082"/>
      <c r="F1048" s="1082"/>
      <c r="G1048" s="1082"/>
      <c r="H1048" s="1082"/>
      <c r="I1048" s="1082"/>
      <c r="J1048" s="1082"/>
      <c r="K1048" s="1082"/>
      <c r="L1048" s="1015"/>
    </row>
    <row r="1049" spans="1:12" s="27" customFormat="1" ht="17.25" customHeight="1">
      <c r="A1049" s="1083" t="str">
        <f>A1032</f>
        <v>LƯƠNG THÁNG 08/2025</v>
      </c>
      <c r="B1049" s="1082"/>
      <c r="C1049" s="1082"/>
      <c r="D1049" s="1082"/>
      <c r="E1049" s="1078">
        <f>VLOOKUP(B1050,'CNKT '!$D$102:$AD$166,26,0)</f>
        <v>37</v>
      </c>
      <c r="F1049" s="1079"/>
      <c r="G1049" s="1083" t="str">
        <f>A1049</f>
        <v>LƯƠNG THÁNG 08/2025</v>
      </c>
      <c r="H1049" s="1082"/>
      <c r="I1049" s="1082"/>
      <c r="J1049" s="1014"/>
      <c r="K1049" s="1078">
        <f>VLOOKUP(H1050,'CNKT '!$D$102:$AD$166,26,0)</f>
        <v>38</v>
      </c>
      <c r="L1049" s="1015"/>
    </row>
    <row r="1050" spans="1:12" s="27" customFormat="1" ht="17.25" customHeight="1">
      <c r="A1050" s="1044" t="s">
        <v>13</v>
      </c>
      <c r="B1050" s="1016" t="str">
        <f>'CNKT '!D138</f>
        <v>T. Khăm...</v>
      </c>
      <c r="C1050" s="1022"/>
      <c r="D1050" s="1016" t="s">
        <v>376</v>
      </c>
      <c r="E1050" s="1016" t="s">
        <v>16</v>
      </c>
      <c r="F1050" s="1079"/>
      <c r="G1050" s="1044" t="s">
        <v>13</v>
      </c>
      <c r="H1050" s="1016" t="str">
        <f>'CNKT '!D139</f>
        <v>N. Túc</v>
      </c>
      <c r="I1050" s="1022"/>
      <c r="J1050" s="1016" t="s">
        <v>376</v>
      </c>
      <c r="K1050" s="1016" t="s">
        <v>16</v>
      </c>
      <c r="L1050" s="1015"/>
    </row>
    <row r="1051" spans="1:12" s="27" customFormat="1" ht="17.25" customHeight="1">
      <c r="A1051" s="1020" t="s">
        <v>377</v>
      </c>
      <c r="B1051" s="1021" t="s">
        <v>493</v>
      </c>
      <c r="C1051" s="1022" t="str">
        <f>VLOOKUP(B1050,'BTH mủ tạp'!$D$98:$AN$160,37,0)</f>
        <v>A</v>
      </c>
      <c r="D1051" s="1023"/>
      <c r="E1051" s="1023"/>
      <c r="F1051" s="1079"/>
      <c r="G1051" s="1020" t="s">
        <v>377</v>
      </c>
      <c r="H1051" s="1021" t="s">
        <v>493</v>
      </c>
      <c r="I1051" s="1022" t="str">
        <f>VLOOKUP(H1050,'BTH mủ tạp'!$D$98:$AN$160,37,0)</f>
        <v>A</v>
      </c>
      <c r="J1051" s="1023"/>
      <c r="K1051" s="1023"/>
      <c r="L1051" s="1015"/>
    </row>
    <row r="1052" spans="1:12" s="27" customFormat="1" ht="17.25" customHeight="1">
      <c r="A1052" s="1020" t="s">
        <v>72</v>
      </c>
      <c r="B1052" s="1024" t="s">
        <v>406</v>
      </c>
      <c r="C1052" s="621">
        <f>VLOOKUP(B1050,'CNKT '!$D$101:$AA$166,3,0)</f>
        <v>0</v>
      </c>
      <c r="D1052" s="622">
        <v>25000</v>
      </c>
      <c r="E1052" s="1023">
        <f t="shared" ref="E1052:E1057" si="204">C1052*D1052</f>
        <v>0</v>
      </c>
      <c r="F1052" s="1079"/>
      <c r="G1052" s="1020" t="s">
        <v>72</v>
      </c>
      <c r="H1052" s="1024" t="s">
        <v>406</v>
      </c>
      <c r="I1052" s="621">
        <f>VLOOKUP(H1050,'CNKT '!$D$101:$AA$166,3,0)</f>
        <v>0</v>
      </c>
      <c r="J1052" s="622">
        <v>25000</v>
      </c>
      <c r="K1052" s="1023">
        <f t="shared" ref="K1052:K1057" si="205">I1052*J1052</f>
        <v>0</v>
      </c>
      <c r="L1052" s="1015"/>
    </row>
    <row r="1053" spans="1:12" s="27" customFormat="1" ht="17.25" customHeight="1">
      <c r="A1053" s="1020" t="s">
        <v>292</v>
      </c>
      <c r="B1053" s="1025" t="s">
        <v>494</v>
      </c>
      <c r="C1053" s="1026">
        <f>VLOOKUP(B1050,'CNKT '!$D$101:$AA$166,11,0)</f>
        <v>24</v>
      </c>
      <c r="D1053" s="623">
        <f>46.1*$B$2</f>
        <v>30922.036</v>
      </c>
      <c r="E1053" s="1023">
        <f t="shared" si="204"/>
        <v>742128.86400000006</v>
      </c>
      <c r="F1053" s="1079"/>
      <c r="G1053" s="1020" t="s">
        <v>292</v>
      </c>
      <c r="H1053" s="1025" t="s">
        <v>494</v>
      </c>
      <c r="I1053" s="1026">
        <f>VLOOKUP(H1050,'CNKT '!$D$101:$AA$166,11,0)</f>
        <v>24</v>
      </c>
      <c r="J1053" s="623">
        <f>46.1*$B$2</f>
        <v>30922.036</v>
      </c>
      <c r="K1053" s="1023">
        <f t="shared" si="205"/>
        <v>742128.86400000006</v>
      </c>
      <c r="L1053" s="1015"/>
    </row>
    <row r="1054" spans="1:12" s="27" customFormat="1" ht="17.25" customHeight="1">
      <c r="A1054" s="1020" t="s">
        <v>379</v>
      </c>
      <c r="B1054" s="1025" t="s">
        <v>495</v>
      </c>
      <c r="C1054" s="1026">
        <f>VLOOKUP(B1050,'CNKT '!$D$101:$AA$166,12,0)</f>
        <v>4</v>
      </c>
      <c r="D1054" s="622">
        <f>76.9*$B$2</f>
        <v>51581.444000000003</v>
      </c>
      <c r="E1054" s="1023">
        <f t="shared" si="204"/>
        <v>206325.77600000001</v>
      </c>
      <c r="F1054" s="1079"/>
      <c r="G1054" s="1020" t="s">
        <v>379</v>
      </c>
      <c r="H1054" s="1025" t="s">
        <v>495</v>
      </c>
      <c r="I1054" s="1026">
        <f>VLOOKUP(H1050,'CNKT '!$D$101:$AA$166,12,0)</f>
        <v>4</v>
      </c>
      <c r="J1054" s="622">
        <f>76.9*$B$2</f>
        <v>51581.444000000003</v>
      </c>
      <c r="K1054" s="1023">
        <f t="shared" si="205"/>
        <v>206325.77600000001</v>
      </c>
      <c r="L1054" s="1015"/>
    </row>
    <row r="1055" spans="1:12" s="27" customFormat="1" ht="17.25" customHeight="1">
      <c r="A1055" s="1020" t="s">
        <v>73</v>
      </c>
      <c r="B1055" s="1025" t="s">
        <v>496</v>
      </c>
      <c r="C1055" s="1026">
        <f>VLOOKUP(B1050,'CNKT '!$D$101:$AA$166,8,0)</f>
        <v>2190.0593409794287</v>
      </c>
      <c r="D1055" s="622">
        <f>IF(C1051="A",6.1,IF(C1051="B",5.8,IF(C1051="C",5.5,IF(C1051="C.",5.5,IF(C1051="D",5.2)))))*$B$2</f>
        <v>4091.6359999999995</v>
      </c>
      <c r="E1055" s="1023">
        <f t="shared" si="204"/>
        <v>8960925.6416877043</v>
      </c>
      <c r="F1055" s="1079"/>
      <c r="G1055" s="1020" t="s">
        <v>73</v>
      </c>
      <c r="H1055" s="1025" t="s">
        <v>496</v>
      </c>
      <c r="I1055" s="1026">
        <f>VLOOKUP(H1050,'CNKT '!$D$101:$AA$166,8,0)</f>
        <v>2033.4720446265644</v>
      </c>
      <c r="J1055" s="622">
        <f>IF(I1051="A",6.1,IF(I1051="B",5.8,IF(I1051="C",5.5,IF(I1051="C.",5.5,IF(I1051="D",5.2)))))*$B$2</f>
        <v>4091.6359999999995</v>
      </c>
      <c r="K1055" s="1023">
        <f t="shared" si="205"/>
        <v>8320227.4227876561</v>
      </c>
      <c r="L1055" s="1015"/>
    </row>
    <row r="1056" spans="1:12" s="27" customFormat="1" ht="17.25" customHeight="1">
      <c r="A1056" s="1089" t="s">
        <v>464</v>
      </c>
      <c r="B1056" s="1090" t="s">
        <v>497</v>
      </c>
      <c r="C1056" s="1091">
        <f>VLOOKUP(B1050,'CNKT '!$D$99:$AA$166,13,0)</f>
        <v>2</v>
      </c>
      <c r="D1056" s="1092">
        <v>100000</v>
      </c>
      <c r="E1056" s="1093">
        <f t="shared" si="204"/>
        <v>200000</v>
      </c>
      <c r="F1056" s="1079"/>
      <c r="G1056" s="1089" t="s">
        <v>464</v>
      </c>
      <c r="H1056" s="1090" t="s">
        <v>497</v>
      </c>
      <c r="I1056" s="1091">
        <f>VLOOKUP(H1050,'CNKT '!$D$99:$AA$166,13,0)</f>
        <v>2</v>
      </c>
      <c r="J1056" s="1092">
        <v>100000</v>
      </c>
      <c r="K1056" s="1093">
        <f t="shared" si="205"/>
        <v>200000</v>
      </c>
      <c r="L1056" s="1015"/>
    </row>
    <row r="1057" spans="1:13" s="27" customFormat="1" ht="17.25" customHeight="1">
      <c r="A1057" s="1020" t="s">
        <v>421</v>
      </c>
      <c r="B1057" s="1025" t="s">
        <v>467</v>
      </c>
      <c r="C1057" s="1026">
        <f>VLOOKUP(B1050,'CNKT '!$D$101:$AA$166,14,0)</f>
        <v>0</v>
      </c>
      <c r="D1057" s="622">
        <f>153.6*$B$2</f>
        <v>103028.73599999999</v>
      </c>
      <c r="E1057" s="1023">
        <f t="shared" si="204"/>
        <v>0</v>
      </c>
      <c r="F1057" s="1079"/>
      <c r="G1057" s="1020" t="s">
        <v>421</v>
      </c>
      <c r="H1057" s="1025" t="s">
        <v>467</v>
      </c>
      <c r="I1057" s="1026">
        <f>VLOOKUP(H1050,'CNKT '!$D$101:$AA$166,14,0)</f>
        <v>0</v>
      </c>
      <c r="J1057" s="622">
        <f>153.6*$B$2</f>
        <v>103028.73599999999</v>
      </c>
      <c r="K1057" s="1023">
        <f t="shared" si="205"/>
        <v>0</v>
      </c>
      <c r="L1057" s="1015"/>
    </row>
    <row r="1058" spans="1:13" s="27" customFormat="1" ht="17.25" customHeight="1">
      <c r="A1058" s="1020" t="s">
        <v>425</v>
      </c>
      <c r="B1058" s="1025" t="s">
        <v>468</v>
      </c>
      <c r="C1058" s="1026">
        <f>VLOOKUP(B1050,'CNKT '!$D$102:$AA$166,18,0)</f>
        <v>2</v>
      </c>
      <c r="D1058" s="622">
        <v>10000</v>
      </c>
      <c r="E1058" s="1023">
        <f>C1058*D1058</f>
        <v>20000</v>
      </c>
      <c r="F1058" s="1079"/>
      <c r="G1058" s="1020" t="s">
        <v>425</v>
      </c>
      <c r="H1058" s="1025" t="s">
        <v>468</v>
      </c>
      <c r="I1058" s="1026">
        <f>VLOOKUP(H1050,'CNKT '!$D$102:$AA$166,18,0)</f>
        <v>2</v>
      </c>
      <c r="J1058" s="622">
        <v>10000</v>
      </c>
      <c r="K1058" s="1023">
        <f>I1058*J1058</f>
        <v>20000</v>
      </c>
      <c r="L1058" s="1015"/>
    </row>
    <row r="1059" spans="1:13" s="27" customFormat="1" ht="17.25" customHeight="1">
      <c r="A1059" s="1020" t="s">
        <v>425</v>
      </c>
      <c r="B1059" s="1025" t="s">
        <v>468</v>
      </c>
      <c r="C1059" s="1026">
        <f>VLOOKUP(B1050,'CNKT '!$D$102:$AA$166,19,0)</f>
        <v>0</v>
      </c>
      <c r="D1059" s="622">
        <v>20000</v>
      </c>
      <c r="E1059" s="1023">
        <f>C1059*D1059</f>
        <v>0</v>
      </c>
      <c r="F1059" s="1079"/>
      <c r="G1059" s="1020" t="s">
        <v>425</v>
      </c>
      <c r="H1059" s="1025" t="s">
        <v>468</v>
      </c>
      <c r="I1059" s="1026">
        <f>VLOOKUP(H1050,'CNKT '!$D$102:$AA$166,19,0)</f>
        <v>0</v>
      </c>
      <c r="J1059" s="622">
        <v>20000</v>
      </c>
      <c r="K1059" s="1023">
        <f>I1059*J1059</f>
        <v>0</v>
      </c>
      <c r="L1059" s="1015"/>
    </row>
    <row r="1060" spans="1:13" s="27" customFormat="1" ht="17.25" customHeight="1">
      <c r="A1060" s="1020" t="s">
        <v>780</v>
      </c>
      <c r="B1060" s="1027" t="s">
        <v>781</v>
      </c>
      <c r="C1060" s="1026"/>
      <c r="D1060" s="622"/>
      <c r="E1060" s="1023">
        <f>VLOOKUP(B1050,'CNKT '!$D$102:$AE$166,28,0)</f>
        <v>0</v>
      </c>
      <c r="F1060" s="1079"/>
      <c r="G1060" s="1020" t="s">
        <v>780</v>
      </c>
      <c r="H1060" s="1027" t="s">
        <v>781</v>
      </c>
      <c r="I1060" s="1026"/>
      <c r="J1060" s="622"/>
      <c r="K1060" s="1023">
        <f>VLOOKUP(H1050,'CNKT '!$D$102:$AE$166,28,0)</f>
        <v>0</v>
      </c>
      <c r="L1060" s="1015"/>
    </row>
    <row r="1061" spans="1:13" s="27" customFormat="1" ht="17.25" customHeight="1">
      <c r="A1061" s="1028" t="s">
        <v>74</v>
      </c>
      <c r="B1061" s="1029" t="s">
        <v>498</v>
      </c>
      <c r="C1061" s="1030"/>
      <c r="D1061" s="1031"/>
      <c r="E1061" s="1030"/>
      <c r="F1061" s="1079"/>
      <c r="G1061" s="1028" t="s">
        <v>74</v>
      </c>
      <c r="H1061" s="1029" t="s">
        <v>498</v>
      </c>
      <c r="I1061" s="1030"/>
      <c r="J1061" s="1031"/>
      <c r="K1061" s="1030"/>
      <c r="L1061" s="1015"/>
    </row>
    <row r="1062" spans="1:13" s="27" customFormat="1" ht="17.25" customHeight="1">
      <c r="A1062" s="1032" t="s">
        <v>75</v>
      </c>
      <c r="B1062" s="1033" t="s">
        <v>499</v>
      </c>
      <c r="C1062" s="1030"/>
      <c r="D1062" s="1030"/>
      <c r="E1062" s="1030"/>
      <c r="F1062" s="1079"/>
      <c r="G1062" s="1032" t="s">
        <v>75</v>
      </c>
      <c r="H1062" s="1033" t="s">
        <v>499</v>
      </c>
      <c r="I1062" s="1030"/>
      <c r="J1062" s="1030"/>
      <c r="K1062" s="1030"/>
      <c r="L1062" s="1015"/>
    </row>
    <row r="1063" spans="1:13" s="27" customFormat="1" ht="17.25" customHeight="1">
      <c r="A1063" s="1032" t="s">
        <v>76</v>
      </c>
      <c r="B1063" s="1034" t="s">
        <v>500</v>
      </c>
      <c r="C1063" s="1030"/>
      <c r="D1063" s="1030"/>
      <c r="E1063" s="1023">
        <f>SUM(E1062)</f>
        <v>0</v>
      </c>
      <c r="F1063" s="1084"/>
      <c r="G1063" s="1032" t="s">
        <v>76</v>
      </c>
      <c r="H1063" s="1034" t="s">
        <v>500</v>
      </c>
      <c r="I1063" s="1030"/>
      <c r="J1063" s="1030"/>
      <c r="K1063" s="1023">
        <f>SUM(K1062)</f>
        <v>0</v>
      </c>
      <c r="L1063" s="1040"/>
      <c r="M1063" s="1035"/>
    </row>
    <row r="1064" spans="1:13" s="27" customFormat="1" ht="17.25" customHeight="1">
      <c r="A1064" s="1036" t="s">
        <v>77</v>
      </c>
      <c r="B1064" s="1037" t="s">
        <v>412</v>
      </c>
      <c r="C1064" s="1038"/>
      <c r="D1064" s="1038"/>
      <c r="E1064" s="1038">
        <f>(E1052+E1053+E1054+E1055+E1056+E1057+E1058+E1059+E1060)-E1063</f>
        <v>10129380.281687705</v>
      </c>
      <c r="F1064" s="1084"/>
      <c r="G1064" s="1036" t="s">
        <v>77</v>
      </c>
      <c r="H1064" s="1037" t="s">
        <v>412</v>
      </c>
      <c r="I1064" s="1038"/>
      <c r="J1064" s="1038"/>
      <c r="K1064" s="1038">
        <f>(K1052+K1053+K1054+K1055+K1056+K1057+K1058+K1059+K1060)-K1063</f>
        <v>9488682.0627876557</v>
      </c>
      <c r="L1064" s="1040">
        <f>E1064+K1064</f>
        <v>19618062.344475359</v>
      </c>
      <c r="M1064" s="1035"/>
    </row>
    <row r="1065" spans="1:13" s="27" customFormat="1" ht="66.75" customHeight="1">
      <c r="A1065" s="1082"/>
      <c r="B1065" s="1082"/>
      <c r="C1065" s="1082"/>
      <c r="D1065" s="1082"/>
      <c r="E1065" s="1082"/>
      <c r="F1065" s="1082"/>
      <c r="G1065" s="1082"/>
      <c r="H1065" s="1082"/>
      <c r="I1065" s="1082"/>
      <c r="J1065" s="1082"/>
      <c r="K1065" s="1082"/>
      <c r="L1065" s="1040"/>
      <c r="M1065" s="1035"/>
    </row>
    <row r="1066" spans="1:13" s="27" customFormat="1" ht="17.25" customHeight="1">
      <c r="A1066" s="1083" t="str">
        <f>A1049</f>
        <v>LƯƠNG THÁNG 08/2025</v>
      </c>
      <c r="B1066" s="1082"/>
      <c r="C1066" s="1082"/>
      <c r="D1066" s="1082"/>
      <c r="E1066" s="1078">
        <f>VLOOKUP(B1067,'CNKT '!$D$102:$AD$166,26,0)</f>
        <v>39</v>
      </c>
      <c r="F1066" s="1079"/>
      <c r="G1066" s="1083" t="str">
        <f>A1066</f>
        <v>LƯƠNG THÁNG 08/2025</v>
      </c>
      <c r="H1066" s="1082"/>
      <c r="I1066" s="1082"/>
      <c r="J1066" s="1014"/>
      <c r="K1066" s="1078">
        <f>VLOOKUP(H1067,'CNKT '!$D$102:$AD$166,26,0)</f>
        <v>40</v>
      </c>
      <c r="L1066" s="1040"/>
      <c r="M1066" s="1035"/>
    </row>
    <row r="1067" spans="1:13" s="27" customFormat="1" ht="17.25" customHeight="1">
      <c r="A1067" s="1044" t="s">
        <v>13</v>
      </c>
      <c r="B1067" s="1016" t="str">
        <f>'CNKT '!D140</f>
        <v>N. Pheng</v>
      </c>
      <c r="C1067" s="1022"/>
      <c r="D1067" s="1016" t="s">
        <v>376</v>
      </c>
      <c r="E1067" s="1016" t="s">
        <v>16</v>
      </c>
      <c r="F1067" s="1079"/>
      <c r="G1067" s="1044" t="s">
        <v>13</v>
      </c>
      <c r="H1067" s="1016" t="str">
        <f>'CNKT '!D141</f>
        <v>N. Mom</v>
      </c>
      <c r="I1067" s="1022"/>
      <c r="J1067" s="1016" t="s">
        <v>376</v>
      </c>
      <c r="K1067" s="1016" t="s">
        <v>16</v>
      </c>
      <c r="L1067" s="1040"/>
      <c r="M1067" s="1035"/>
    </row>
    <row r="1068" spans="1:13" s="27" customFormat="1" ht="17.25" customHeight="1">
      <c r="A1068" s="1020" t="s">
        <v>377</v>
      </c>
      <c r="B1068" s="1021" t="s">
        <v>493</v>
      </c>
      <c r="C1068" s="1022" t="str">
        <f>VLOOKUP(B1067,'BTH mủ tạp'!$D$98:$AN$160,37,0)</f>
        <v>A</v>
      </c>
      <c r="D1068" s="1023"/>
      <c r="E1068" s="1023"/>
      <c r="F1068" s="1079"/>
      <c r="G1068" s="1020" t="s">
        <v>377</v>
      </c>
      <c r="H1068" s="1021" t="s">
        <v>493</v>
      </c>
      <c r="I1068" s="1022" t="str">
        <f>VLOOKUP(H1067,'BTH mủ tạp'!$D$98:$AN$160,37,0)</f>
        <v>A</v>
      </c>
      <c r="J1068" s="1023"/>
      <c r="K1068" s="1023"/>
      <c r="L1068" s="1040"/>
      <c r="M1068" s="1035"/>
    </row>
    <row r="1069" spans="1:13" s="27" customFormat="1" ht="17.25" customHeight="1">
      <c r="A1069" s="1020" t="s">
        <v>72</v>
      </c>
      <c r="B1069" s="1024" t="s">
        <v>406</v>
      </c>
      <c r="C1069" s="621">
        <f>VLOOKUP(B1067,'CNKT '!$D$101:$AA$166,3,0)</f>
        <v>0</v>
      </c>
      <c r="D1069" s="622">
        <v>25000</v>
      </c>
      <c r="E1069" s="1023">
        <f t="shared" ref="E1069:E1074" si="206">C1069*D1069</f>
        <v>0</v>
      </c>
      <c r="F1069" s="1079"/>
      <c r="G1069" s="1020" t="s">
        <v>72</v>
      </c>
      <c r="H1069" s="1024" t="s">
        <v>406</v>
      </c>
      <c r="I1069" s="621">
        <f>VLOOKUP(H1067,'CNKT '!$D$101:$AA$166,3,0)</f>
        <v>0</v>
      </c>
      <c r="J1069" s="622">
        <v>25000</v>
      </c>
      <c r="K1069" s="1023">
        <f t="shared" ref="K1069:K1074" si="207">I1069*J1069</f>
        <v>0</v>
      </c>
      <c r="L1069" s="1040"/>
      <c r="M1069" s="1035"/>
    </row>
    <row r="1070" spans="1:13" s="27" customFormat="1" ht="17.25" customHeight="1">
      <c r="A1070" s="1020" t="s">
        <v>292</v>
      </c>
      <c r="B1070" s="1025" t="s">
        <v>494</v>
      </c>
      <c r="C1070" s="1026">
        <f>VLOOKUP(B1067,'CNKT '!$D$101:$AA$166,11,0)</f>
        <v>24</v>
      </c>
      <c r="D1070" s="623">
        <f>46.1*$B$2</f>
        <v>30922.036</v>
      </c>
      <c r="E1070" s="1023">
        <f t="shared" si="206"/>
        <v>742128.86400000006</v>
      </c>
      <c r="F1070" s="1079"/>
      <c r="G1070" s="1020" t="s">
        <v>292</v>
      </c>
      <c r="H1070" s="1025" t="s">
        <v>494</v>
      </c>
      <c r="I1070" s="1026">
        <f>VLOOKUP(H1067,'CNKT '!$D$101:$AA$166,11,0)</f>
        <v>24</v>
      </c>
      <c r="J1070" s="623">
        <f>46.1*$B$2</f>
        <v>30922.036</v>
      </c>
      <c r="K1070" s="1023">
        <f t="shared" si="207"/>
        <v>742128.86400000006</v>
      </c>
      <c r="L1070" s="1040"/>
      <c r="M1070" s="1035"/>
    </row>
    <row r="1071" spans="1:13" s="27" customFormat="1" ht="17.25" customHeight="1">
      <c r="A1071" s="1020" t="s">
        <v>379</v>
      </c>
      <c r="B1071" s="1025" t="s">
        <v>495</v>
      </c>
      <c r="C1071" s="1026">
        <f>VLOOKUP(B1067,'CNKT '!$D$101:$AA$166,12,0)</f>
        <v>4</v>
      </c>
      <c r="D1071" s="622">
        <f>76.9*$B$2</f>
        <v>51581.444000000003</v>
      </c>
      <c r="E1071" s="1023">
        <f t="shared" si="206"/>
        <v>206325.77600000001</v>
      </c>
      <c r="F1071" s="1079"/>
      <c r="G1071" s="1020" t="s">
        <v>379</v>
      </c>
      <c r="H1071" s="1025" t="s">
        <v>495</v>
      </c>
      <c r="I1071" s="1026">
        <f>VLOOKUP(H1067,'CNKT '!$D$101:$AA$166,12,0)</f>
        <v>4</v>
      </c>
      <c r="J1071" s="622">
        <f>76.9*$B$2</f>
        <v>51581.444000000003</v>
      </c>
      <c r="K1071" s="1023">
        <f t="shared" si="207"/>
        <v>206325.77600000001</v>
      </c>
      <c r="L1071" s="1040"/>
      <c r="M1071" s="1035"/>
    </row>
    <row r="1072" spans="1:13" s="27" customFormat="1" ht="17.25" customHeight="1">
      <c r="A1072" s="1020" t="s">
        <v>73</v>
      </c>
      <c r="B1072" s="1025" t="s">
        <v>496</v>
      </c>
      <c r="C1072" s="1026">
        <f>VLOOKUP(B1067,'CNKT '!$D$101:$AA$166,8,0)</f>
        <v>2257.5389493524867</v>
      </c>
      <c r="D1072" s="622">
        <f>IF(C1068="A",6.1,IF(C1068="B",5.8,IF(C1068="C",5.5,IF(C1068="C.",5.5,IF(C1068="D",5.2)))))*$B$2</f>
        <v>4091.6359999999995</v>
      </c>
      <c r="E1072" s="1023">
        <f t="shared" si="206"/>
        <v>9237027.6365728099</v>
      </c>
      <c r="F1072" s="1079"/>
      <c r="G1072" s="1020" t="s">
        <v>73</v>
      </c>
      <c r="H1072" s="1025" t="s">
        <v>496</v>
      </c>
      <c r="I1072" s="1026">
        <f>VLOOKUP(H1067,'CNKT '!$D$101:$AA$166,8,0)</f>
        <v>1993.6763781501456</v>
      </c>
      <c r="J1072" s="622">
        <f>IF(I1068="A",6.1,IF(I1068="B",5.8,IF(I1068="C",5.5,IF(I1068="C.",5.5,IF(I1068="D",5.2)))))*$B$2</f>
        <v>4091.6359999999995</v>
      </c>
      <c r="K1072" s="1023">
        <f t="shared" si="207"/>
        <v>8157398.0411887486</v>
      </c>
      <c r="L1072" s="1040"/>
      <c r="M1072" s="1035"/>
    </row>
    <row r="1073" spans="1:13" s="27" customFormat="1" ht="17.25" customHeight="1">
      <c r="A1073" s="1089" t="s">
        <v>464</v>
      </c>
      <c r="B1073" s="1090" t="s">
        <v>497</v>
      </c>
      <c r="C1073" s="1091">
        <f>VLOOKUP(B1067,'CNKT '!$D$99:$AA$166,13,0)</f>
        <v>2</v>
      </c>
      <c r="D1073" s="1092">
        <v>100000</v>
      </c>
      <c r="E1073" s="1093">
        <f t="shared" si="206"/>
        <v>200000</v>
      </c>
      <c r="F1073" s="1079"/>
      <c r="G1073" s="1089" t="s">
        <v>464</v>
      </c>
      <c r="H1073" s="1090" t="s">
        <v>497</v>
      </c>
      <c r="I1073" s="1091">
        <f>VLOOKUP(H1067,'CNKT '!$D$99:$AA$166,13,0)</f>
        <v>2</v>
      </c>
      <c r="J1073" s="1092">
        <v>100000</v>
      </c>
      <c r="K1073" s="1093">
        <f t="shared" si="207"/>
        <v>200000</v>
      </c>
      <c r="L1073" s="1040"/>
      <c r="M1073" s="1035"/>
    </row>
    <row r="1074" spans="1:13" s="27" customFormat="1" ht="17.25" customHeight="1">
      <c r="A1074" s="1020" t="s">
        <v>421</v>
      </c>
      <c r="B1074" s="1025" t="s">
        <v>467</v>
      </c>
      <c r="C1074" s="1026">
        <f>VLOOKUP(B1067,'CNKT '!$D$101:$AA$166,14,0)</f>
        <v>0</v>
      </c>
      <c r="D1074" s="622">
        <f>153.6*$B$2</f>
        <v>103028.73599999999</v>
      </c>
      <c r="E1074" s="1023">
        <f t="shared" si="206"/>
        <v>0</v>
      </c>
      <c r="F1074" s="1079"/>
      <c r="G1074" s="1020" t="s">
        <v>421</v>
      </c>
      <c r="H1074" s="1025" t="s">
        <v>467</v>
      </c>
      <c r="I1074" s="1026">
        <f>VLOOKUP(H1067,'CNKT '!$D$101:$AA$166,14,0)</f>
        <v>0</v>
      </c>
      <c r="J1074" s="622">
        <f>153.6*$B$2</f>
        <v>103028.73599999999</v>
      </c>
      <c r="K1074" s="1023">
        <f t="shared" si="207"/>
        <v>0</v>
      </c>
      <c r="L1074" s="1040"/>
      <c r="M1074" s="1035"/>
    </row>
    <row r="1075" spans="1:13" s="27" customFormat="1" ht="17.25" customHeight="1">
      <c r="A1075" s="1020" t="s">
        <v>425</v>
      </c>
      <c r="B1075" s="1025" t="s">
        <v>468</v>
      </c>
      <c r="C1075" s="1026">
        <f>VLOOKUP(B1067,'CNKT '!$D$102:$AA$166,18,0)</f>
        <v>2</v>
      </c>
      <c r="D1075" s="622">
        <v>10000</v>
      </c>
      <c r="E1075" s="1023">
        <f>C1075*D1075</f>
        <v>20000</v>
      </c>
      <c r="F1075" s="1079"/>
      <c r="G1075" s="1020" t="s">
        <v>425</v>
      </c>
      <c r="H1075" s="1025" t="s">
        <v>468</v>
      </c>
      <c r="I1075" s="1026">
        <f>VLOOKUP(H1067,'CNKT '!$D$102:$AA$166,18,0)</f>
        <v>2</v>
      </c>
      <c r="J1075" s="622">
        <v>10000</v>
      </c>
      <c r="K1075" s="1023">
        <f>I1075*J1075</f>
        <v>20000</v>
      </c>
      <c r="L1075" s="1040"/>
      <c r="M1075" s="1035"/>
    </row>
    <row r="1076" spans="1:13" s="27" customFormat="1" ht="17.25" customHeight="1">
      <c r="A1076" s="1020" t="s">
        <v>425</v>
      </c>
      <c r="B1076" s="1025" t="s">
        <v>468</v>
      </c>
      <c r="C1076" s="1026">
        <f>VLOOKUP(B1067,'CNKT '!$D$102:$AA$166,19,0)</f>
        <v>0</v>
      </c>
      <c r="D1076" s="622">
        <v>20000</v>
      </c>
      <c r="E1076" s="1023">
        <f>C1076*D1076</f>
        <v>0</v>
      </c>
      <c r="F1076" s="1079"/>
      <c r="G1076" s="1020" t="s">
        <v>425</v>
      </c>
      <c r="H1076" s="1025" t="s">
        <v>468</v>
      </c>
      <c r="I1076" s="1026">
        <f>VLOOKUP(H1067,'CNKT '!$D$102:$AA$166,19,0)</f>
        <v>0</v>
      </c>
      <c r="J1076" s="622">
        <v>20000</v>
      </c>
      <c r="K1076" s="1023">
        <f>I1076*J1076</f>
        <v>0</v>
      </c>
      <c r="L1076" s="1040"/>
      <c r="M1076" s="1035"/>
    </row>
    <row r="1077" spans="1:13" s="27" customFormat="1" ht="17.25" customHeight="1">
      <c r="A1077" s="1020" t="s">
        <v>780</v>
      </c>
      <c r="B1077" s="1027" t="s">
        <v>781</v>
      </c>
      <c r="C1077" s="1026"/>
      <c r="D1077" s="622"/>
      <c r="E1077" s="1023">
        <f>VLOOKUP(B1067,'CNKT '!$D$102:$AE$166,28,0)</f>
        <v>0</v>
      </c>
      <c r="F1077" s="1079"/>
      <c r="G1077" s="1020" t="s">
        <v>780</v>
      </c>
      <c r="H1077" s="1027" t="s">
        <v>781</v>
      </c>
      <c r="I1077" s="1026"/>
      <c r="J1077" s="622"/>
      <c r="K1077" s="1023">
        <f>VLOOKUP(H1067,'CNKT '!$D$102:$AE$166,28,0)</f>
        <v>0</v>
      </c>
      <c r="L1077" s="1040"/>
      <c r="M1077" s="1035"/>
    </row>
    <row r="1078" spans="1:13" s="27" customFormat="1" ht="17.25" customHeight="1">
      <c r="A1078" s="1028" t="s">
        <v>74</v>
      </c>
      <c r="B1078" s="1029" t="s">
        <v>498</v>
      </c>
      <c r="C1078" s="1030"/>
      <c r="D1078" s="1031"/>
      <c r="E1078" s="1030"/>
      <c r="F1078" s="1079"/>
      <c r="G1078" s="1028" t="s">
        <v>74</v>
      </c>
      <c r="H1078" s="1029" t="s">
        <v>498</v>
      </c>
      <c r="I1078" s="1030"/>
      <c r="J1078" s="1031"/>
      <c r="K1078" s="1030"/>
      <c r="L1078" s="1040"/>
      <c r="M1078" s="1035"/>
    </row>
    <row r="1079" spans="1:13" s="27" customFormat="1" ht="17.25" customHeight="1">
      <c r="A1079" s="1032" t="s">
        <v>75</v>
      </c>
      <c r="B1079" s="1033" t="s">
        <v>499</v>
      </c>
      <c r="C1079" s="1030"/>
      <c r="D1079" s="1030"/>
      <c r="E1079" s="1030"/>
      <c r="F1079" s="1079"/>
      <c r="G1079" s="1032" t="s">
        <v>75</v>
      </c>
      <c r="H1079" s="1033" t="s">
        <v>499</v>
      </c>
      <c r="I1079" s="1030"/>
      <c r="J1079" s="1030"/>
      <c r="K1079" s="1030"/>
      <c r="L1079" s="1040"/>
      <c r="M1079" s="1035"/>
    </row>
    <row r="1080" spans="1:13" s="27" customFormat="1" ht="17.25" customHeight="1">
      <c r="A1080" s="1032" t="s">
        <v>76</v>
      </c>
      <c r="B1080" s="1034" t="s">
        <v>500</v>
      </c>
      <c r="C1080" s="1030"/>
      <c r="D1080" s="1030"/>
      <c r="E1080" s="1023">
        <f>SUM(E1079)</f>
        <v>0</v>
      </c>
      <c r="F1080" s="1084"/>
      <c r="G1080" s="1032" t="s">
        <v>76</v>
      </c>
      <c r="H1080" s="1034" t="s">
        <v>500</v>
      </c>
      <c r="I1080" s="1030"/>
      <c r="J1080" s="1030"/>
      <c r="K1080" s="1023">
        <f>SUM(K1079)</f>
        <v>0</v>
      </c>
      <c r="L1080" s="1040"/>
      <c r="M1080" s="1035"/>
    </row>
    <row r="1081" spans="1:13" s="27" customFormat="1" ht="17.25" customHeight="1">
      <c r="A1081" s="1036" t="s">
        <v>77</v>
      </c>
      <c r="B1081" s="1037" t="s">
        <v>412</v>
      </c>
      <c r="C1081" s="1038"/>
      <c r="D1081" s="1038"/>
      <c r="E1081" s="1038">
        <f>(E1069+E1070+E1071+E1072+E1073+E1074+E1075+E1076+E1077)-E1080</f>
        <v>10405482.27657281</v>
      </c>
      <c r="F1081" s="1084"/>
      <c r="G1081" s="1036" t="s">
        <v>77</v>
      </c>
      <c r="H1081" s="1037" t="s">
        <v>412</v>
      </c>
      <c r="I1081" s="1038"/>
      <c r="J1081" s="1038"/>
      <c r="K1081" s="1038">
        <f>(K1069+K1070+K1071+K1072+K1073+K1074+K1075+K1076+K1077)-K1080</f>
        <v>9325852.6811887491</v>
      </c>
      <c r="L1081" s="1040">
        <f>E1081+K1081</f>
        <v>19731334.95776156</v>
      </c>
      <c r="M1081" s="1035"/>
    </row>
    <row r="1082" spans="1:13" s="27" customFormat="1" ht="238.5" customHeight="1">
      <c r="A1082" s="1082"/>
      <c r="B1082" s="1082"/>
      <c r="C1082" s="1082"/>
      <c r="D1082" s="1082"/>
      <c r="E1082" s="1082"/>
      <c r="F1082" s="1082"/>
      <c r="G1082" s="1082"/>
      <c r="H1082" s="1082"/>
      <c r="I1082" s="1082"/>
      <c r="J1082" s="1082"/>
      <c r="K1082" s="1082"/>
      <c r="L1082" s="1040"/>
      <c r="M1082" s="1035"/>
    </row>
    <row r="1083" spans="1:13" s="27" customFormat="1" ht="17.25" customHeight="1">
      <c r="A1083" s="1083" t="str">
        <f>A1066</f>
        <v>LƯƠNG THÁNG 08/2025</v>
      </c>
      <c r="B1083" s="1082"/>
      <c r="C1083" s="1082"/>
      <c r="D1083" s="1082"/>
      <c r="E1083" s="1078">
        <f>VLOOKUP(B1084,'CNKT '!$D$102:$AD$166,26,0)</f>
        <v>41</v>
      </c>
      <c r="F1083" s="1079"/>
      <c r="G1083" s="1083" t="str">
        <f>A1083</f>
        <v>LƯƠNG THÁNG 08/2025</v>
      </c>
      <c r="H1083" s="1082"/>
      <c r="I1083" s="1082"/>
      <c r="J1083" s="1014"/>
      <c r="K1083" s="1078">
        <f>VLOOKUP(H1084,'CNKT '!$D$102:$AD$166,26,0)</f>
        <v>42</v>
      </c>
      <c r="L1083" s="1040"/>
      <c r="M1083" s="1035"/>
    </row>
    <row r="1084" spans="1:13" s="27" customFormat="1" ht="17.25" customHeight="1">
      <c r="A1084" s="1044" t="s">
        <v>13</v>
      </c>
      <c r="B1084" s="1016" t="str">
        <f>'CNKT '!D142</f>
        <v>T. Môn</v>
      </c>
      <c r="C1084" s="1022"/>
      <c r="D1084" s="1016" t="s">
        <v>376</v>
      </c>
      <c r="E1084" s="1016" t="s">
        <v>16</v>
      </c>
      <c r="F1084" s="1079"/>
      <c r="G1084" s="1044" t="s">
        <v>13</v>
      </c>
      <c r="H1084" s="1016" t="str">
        <f>'CNKT '!D143</f>
        <v>Khăn Hạ</v>
      </c>
      <c r="I1084" s="1022"/>
      <c r="J1084" s="1016" t="s">
        <v>376</v>
      </c>
      <c r="K1084" s="1016" t="s">
        <v>16</v>
      </c>
      <c r="L1084" s="1040"/>
      <c r="M1084" s="1035"/>
    </row>
    <row r="1085" spans="1:13" s="27" customFormat="1" ht="17.25" customHeight="1">
      <c r="A1085" s="1020" t="s">
        <v>377</v>
      </c>
      <c r="B1085" s="1021" t="s">
        <v>493</v>
      </c>
      <c r="C1085" s="1022" t="str">
        <f>VLOOKUP(B1084,'BTH mủ tạp'!$D$98:$AN$160,37,0)</f>
        <v>B</v>
      </c>
      <c r="D1085" s="1023"/>
      <c r="E1085" s="1023"/>
      <c r="F1085" s="1079"/>
      <c r="G1085" s="1020" t="s">
        <v>377</v>
      </c>
      <c r="H1085" s="1021" t="s">
        <v>493</v>
      </c>
      <c r="I1085" s="1022" t="str">
        <f>VLOOKUP(H1084,'BTH mủ tạp'!$D$98:$AN$160,37,0)</f>
        <v>B</v>
      </c>
      <c r="J1085" s="1023"/>
      <c r="K1085" s="1023"/>
      <c r="L1085" s="1040"/>
      <c r="M1085" s="1035"/>
    </row>
    <row r="1086" spans="1:13" s="27" customFormat="1" ht="17.25" customHeight="1">
      <c r="A1086" s="1020" t="s">
        <v>72</v>
      </c>
      <c r="B1086" s="1024" t="s">
        <v>406</v>
      </c>
      <c r="C1086" s="621">
        <f>VLOOKUP(B1084,'CNKT '!$D$101:$AA$166,3,0)</f>
        <v>0</v>
      </c>
      <c r="D1086" s="622">
        <v>25000</v>
      </c>
      <c r="E1086" s="1023">
        <f t="shared" ref="E1086:E1091" si="208">C1086*D1086</f>
        <v>0</v>
      </c>
      <c r="F1086" s="1079"/>
      <c r="G1086" s="1020" t="s">
        <v>72</v>
      </c>
      <c r="H1086" s="1024" t="s">
        <v>406</v>
      </c>
      <c r="I1086" s="621">
        <f>VLOOKUP(H1084,'CNKT '!$D$101:$AA$166,3,0)</f>
        <v>0</v>
      </c>
      <c r="J1086" s="622">
        <v>25000</v>
      </c>
      <c r="K1086" s="1023">
        <f t="shared" ref="K1086:K1091" si="209">I1086*J1086</f>
        <v>0</v>
      </c>
      <c r="L1086" s="1040"/>
      <c r="M1086" s="1035"/>
    </row>
    <row r="1087" spans="1:13" s="27" customFormat="1" ht="17.25" customHeight="1">
      <c r="A1087" s="1020" t="s">
        <v>292</v>
      </c>
      <c r="B1087" s="1025" t="s">
        <v>494</v>
      </c>
      <c r="C1087" s="1026">
        <f>VLOOKUP(B1084,'CNKT '!$D$101:$AA$166,11,0)</f>
        <v>24</v>
      </c>
      <c r="D1087" s="623">
        <f>46.1*$B$2</f>
        <v>30922.036</v>
      </c>
      <c r="E1087" s="1023">
        <f t="shared" si="208"/>
        <v>742128.86400000006</v>
      </c>
      <c r="F1087" s="1079"/>
      <c r="G1087" s="1020" t="s">
        <v>292</v>
      </c>
      <c r="H1087" s="1025" t="s">
        <v>494</v>
      </c>
      <c r="I1087" s="1026">
        <f>VLOOKUP(H1084,'CNKT '!$D$101:$AA$166,11,0)</f>
        <v>22</v>
      </c>
      <c r="J1087" s="623">
        <f>46.1*$B$2</f>
        <v>30922.036</v>
      </c>
      <c r="K1087" s="1023">
        <f t="shared" si="209"/>
        <v>680284.79200000002</v>
      </c>
      <c r="L1087" s="1040"/>
      <c r="M1087" s="1035"/>
    </row>
    <row r="1088" spans="1:13" s="27" customFormat="1" ht="17.25" customHeight="1">
      <c r="A1088" s="1020" t="s">
        <v>379</v>
      </c>
      <c r="B1088" s="1025" t="s">
        <v>495</v>
      </c>
      <c r="C1088" s="1026">
        <f>VLOOKUP(B1084,'CNKT '!$D$101:$AA$166,12,0)</f>
        <v>4</v>
      </c>
      <c r="D1088" s="622">
        <f>76.9*$B$2</f>
        <v>51581.444000000003</v>
      </c>
      <c r="E1088" s="1023">
        <f t="shared" si="208"/>
        <v>206325.77600000001</v>
      </c>
      <c r="F1088" s="1079"/>
      <c r="G1088" s="1020" t="s">
        <v>379</v>
      </c>
      <c r="H1088" s="1025" t="s">
        <v>495</v>
      </c>
      <c r="I1088" s="1026">
        <f>VLOOKUP(H1084,'CNKT '!$D$101:$AA$166,12,0)</f>
        <v>3</v>
      </c>
      <c r="J1088" s="622">
        <f>76.9*$B$2</f>
        <v>51581.444000000003</v>
      </c>
      <c r="K1088" s="1023">
        <f t="shared" si="209"/>
        <v>154744.33199999999</v>
      </c>
      <c r="L1088" s="1040"/>
      <c r="M1088" s="1035"/>
    </row>
    <row r="1089" spans="1:13" s="27" customFormat="1" ht="17.25" customHeight="1">
      <c r="A1089" s="1020" t="s">
        <v>73</v>
      </c>
      <c r="B1089" s="1025" t="s">
        <v>496</v>
      </c>
      <c r="C1089" s="1026">
        <f>VLOOKUP(B1084,'CNKT '!$D$101:$AA$166,8,0)</f>
        <v>1548.1379382511111</v>
      </c>
      <c r="D1089" s="622">
        <f>IF(C1085="A",6.1,IF(C1085="B",5.8,IF(C1085="C",5.5,IF(C1085="C.",5.5,IF(C1085="D",5.2)))))*$B$2</f>
        <v>3890.4079999999999</v>
      </c>
      <c r="E1089" s="1023">
        <f t="shared" si="208"/>
        <v>6022888.2200756287</v>
      </c>
      <c r="F1089" s="1079"/>
      <c r="G1089" s="1020" t="s">
        <v>73</v>
      </c>
      <c r="H1089" s="1025" t="s">
        <v>496</v>
      </c>
      <c r="I1089" s="1026">
        <f>VLOOKUP(H1084,'CNKT '!$D$101:$AA$166,8,0)</f>
        <v>1476.7652755488386</v>
      </c>
      <c r="J1089" s="622">
        <f>IF(I1085="A",6.1,IF(I1085="B",5.8,IF(I1085="C",5.5,IF(I1085="C.",5.5,IF(I1085="D",5.2)))))*$B$2</f>
        <v>3890.4079999999999</v>
      </c>
      <c r="K1089" s="1023">
        <f t="shared" si="209"/>
        <v>5745219.4421174061</v>
      </c>
      <c r="L1089" s="1040"/>
      <c r="M1089" s="1035"/>
    </row>
    <row r="1090" spans="1:13" s="27" customFormat="1" ht="17.25" customHeight="1">
      <c r="A1090" s="1089" t="s">
        <v>464</v>
      </c>
      <c r="B1090" s="1090" t="s">
        <v>497</v>
      </c>
      <c r="C1090" s="1091">
        <f>VLOOKUP(B1084,'CNKT '!$D$99:$AA$166,13,0)</f>
        <v>2</v>
      </c>
      <c r="D1090" s="1092">
        <v>100000</v>
      </c>
      <c r="E1090" s="1093">
        <f t="shared" si="208"/>
        <v>200000</v>
      </c>
      <c r="F1090" s="1079"/>
      <c r="G1090" s="1089" t="s">
        <v>464</v>
      </c>
      <c r="H1090" s="1090" t="s">
        <v>497</v>
      </c>
      <c r="I1090" s="1091">
        <f>VLOOKUP(H1084,'CNKT '!$D$99:$AA$166,13,0)</f>
        <v>2</v>
      </c>
      <c r="J1090" s="1092">
        <v>100000</v>
      </c>
      <c r="K1090" s="1093">
        <f t="shared" si="209"/>
        <v>200000</v>
      </c>
      <c r="L1090" s="1040"/>
      <c r="M1090" s="1035"/>
    </row>
    <row r="1091" spans="1:13" s="27" customFormat="1" ht="17.25" customHeight="1">
      <c r="A1091" s="1020" t="s">
        <v>421</v>
      </c>
      <c r="B1091" s="1025" t="s">
        <v>467</v>
      </c>
      <c r="C1091" s="1026">
        <f>VLOOKUP(B1084,'CNKT '!$D$101:$AA$166,14,0)</f>
        <v>0</v>
      </c>
      <c r="D1091" s="622">
        <f>153.6*$B$2</f>
        <v>103028.73599999999</v>
      </c>
      <c r="E1091" s="1023">
        <f t="shared" si="208"/>
        <v>0</v>
      </c>
      <c r="F1091" s="1079"/>
      <c r="G1091" s="1020" t="s">
        <v>421</v>
      </c>
      <c r="H1091" s="1025" t="s">
        <v>467</v>
      </c>
      <c r="I1091" s="1026">
        <f>VLOOKUP(H1084,'CNKT '!$D$101:$AA$166,14,0)</f>
        <v>0</v>
      </c>
      <c r="J1091" s="622">
        <f>153.6*$B$2</f>
        <v>103028.73599999999</v>
      </c>
      <c r="K1091" s="1023">
        <f t="shared" si="209"/>
        <v>0</v>
      </c>
      <c r="L1091" s="1040"/>
      <c r="M1091" s="1035"/>
    </row>
    <row r="1092" spans="1:13" s="27" customFormat="1" ht="17.25" customHeight="1">
      <c r="A1092" s="1020" t="s">
        <v>425</v>
      </c>
      <c r="B1092" s="1025" t="s">
        <v>468</v>
      </c>
      <c r="C1092" s="1026">
        <f>VLOOKUP(B1084,'CNKT '!$D$102:$AA$166,18,0)</f>
        <v>2</v>
      </c>
      <c r="D1092" s="622">
        <v>10000</v>
      </c>
      <c r="E1092" s="1023">
        <f>C1092*D1092</f>
        <v>20000</v>
      </c>
      <c r="F1092" s="1079"/>
      <c r="G1092" s="1020" t="s">
        <v>425</v>
      </c>
      <c r="H1092" s="1025" t="s">
        <v>468</v>
      </c>
      <c r="I1092" s="1026">
        <f>VLOOKUP(H1084,'CNKT '!$D$102:$AA$166,18,0)</f>
        <v>2</v>
      </c>
      <c r="J1092" s="622">
        <v>10000</v>
      </c>
      <c r="K1092" s="1023">
        <f>I1092*J1092</f>
        <v>20000</v>
      </c>
      <c r="L1092" s="1040"/>
      <c r="M1092" s="1035"/>
    </row>
    <row r="1093" spans="1:13" s="27" customFormat="1" ht="17.25" customHeight="1">
      <c r="A1093" s="1020" t="s">
        <v>425</v>
      </c>
      <c r="B1093" s="1025" t="s">
        <v>468</v>
      </c>
      <c r="C1093" s="1026">
        <f>VLOOKUP(B1084,'CNKT '!$D$102:$AA$166,19,0)</f>
        <v>0</v>
      </c>
      <c r="D1093" s="622">
        <v>20000</v>
      </c>
      <c r="E1093" s="1023">
        <f>C1093*D1093</f>
        <v>0</v>
      </c>
      <c r="F1093" s="1079"/>
      <c r="G1093" s="1020" t="s">
        <v>425</v>
      </c>
      <c r="H1093" s="1025" t="s">
        <v>468</v>
      </c>
      <c r="I1093" s="1026">
        <f>VLOOKUP(H1084,'CNKT '!$D$102:$AA$166,19,0)</f>
        <v>0</v>
      </c>
      <c r="J1093" s="622">
        <v>20000</v>
      </c>
      <c r="K1093" s="1023">
        <f>I1093*J1093</f>
        <v>0</v>
      </c>
      <c r="L1093" s="1040"/>
      <c r="M1093" s="1035"/>
    </row>
    <row r="1094" spans="1:13" s="27" customFormat="1" ht="17.25" customHeight="1">
      <c r="A1094" s="1020" t="s">
        <v>780</v>
      </c>
      <c r="B1094" s="1027" t="s">
        <v>781</v>
      </c>
      <c r="C1094" s="1026"/>
      <c r="D1094" s="622"/>
      <c r="E1094" s="1023">
        <f>VLOOKUP(B1084,'CNKT '!$D$102:$AE$166,28,0)</f>
        <v>0</v>
      </c>
      <c r="F1094" s="1079"/>
      <c r="G1094" s="1020" t="s">
        <v>780</v>
      </c>
      <c r="H1094" s="1027" t="s">
        <v>781</v>
      </c>
      <c r="I1094" s="1026"/>
      <c r="J1094" s="622"/>
      <c r="K1094" s="1023">
        <f>VLOOKUP(H1084,'CNKT '!$D$102:$AE$166,28,0)</f>
        <v>0</v>
      </c>
      <c r="L1094" s="1040"/>
      <c r="M1094" s="1035"/>
    </row>
    <row r="1095" spans="1:13" s="27" customFormat="1" ht="17.25" customHeight="1">
      <c r="A1095" s="1028" t="s">
        <v>74</v>
      </c>
      <c r="B1095" s="1029" t="s">
        <v>498</v>
      </c>
      <c r="C1095" s="1030"/>
      <c r="D1095" s="1031"/>
      <c r="E1095" s="1030"/>
      <c r="F1095" s="1079"/>
      <c r="G1095" s="1028" t="s">
        <v>74</v>
      </c>
      <c r="H1095" s="1029" t="s">
        <v>498</v>
      </c>
      <c r="I1095" s="1030"/>
      <c r="J1095" s="1031"/>
      <c r="K1095" s="1030"/>
      <c r="L1095" s="1040"/>
      <c r="M1095" s="1035"/>
    </row>
    <row r="1096" spans="1:13" s="27" customFormat="1" ht="17.25" customHeight="1">
      <c r="A1096" s="1032" t="s">
        <v>75</v>
      </c>
      <c r="B1096" s="1033" t="s">
        <v>499</v>
      </c>
      <c r="C1096" s="1030"/>
      <c r="D1096" s="1030"/>
      <c r="E1096" s="1030"/>
      <c r="F1096" s="1079"/>
      <c r="G1096" s="1032" t="s">
        <v>75</v>
      </c>
      <c r="H1096" s="1033" t="s">
        <v>499</v>
      </c>
      <c r="I1096" s="1030"/>
      <c r="J1096" s="1030"/>
      <c r="K1096" s="1030"/>
      <c r="L1096" s="1040"/>
      <c r="M1096" s="1035"/>
    </row>
    <row r="1097" spans="1:13" s="27" customFormat="1" ht="17.25" customHeight="1">
      <c r="A1097" s="1032" t="s">
        <v>76</v>
      </c>
      <c r="B1097" s="1034" t="s">
        <v>500</v>
      </c>
      <c r="C1097" s="1030"/>
      <c r="D1097" s="1030"/>
      <c r="E1097" s="1023">
        <f>SUM(E1096)</f>
        <v>0</v>
      </c>
      <c r="F1097" s="1084"/>
      <c r="G1097" s="1032" t="s">
        <v>76</v>
      </c>
      <c r="H1097" s="1034" t="s">
        <v>500</v>
      </c>
      <c r="I1097" s="1030"/>
      <c r="J1097" s="1030"/>
      <c r="K1097" s="1023">
        <f>SUM(K1096)</f>
        <v>0</v>
      </c>
      <c r="L1097" s="1040"/>
      <c r="M1097" s="1035"/>
    </row>
    <row r="1098" spans="1:13" s="27" customFormat="1" ht="17.25" customHeight="1">
      <c r="A1098" s="1036" t="s">
        <v>77</v>
      </c>
      <c r="B1098" s="1037" t="s">
        <v>412</v>
      </c>
      <c r="C1098" s="1038"/>
      <c r="D1098" s="1038"/>
      <c r="E1098" s="1038">
        <f>(E1086+E1087+E1088+E1089+E1090+E1091+E1092+E1093+E1094)-E1097</f>
        <v>7191342.8600756284</v>
      </c>
      <c r="F1098" s="1084"/>
      <c r="G1098" s="1036" t="s">
        <v>77</v>
      </c>
      <c r="H1098" s="1037" t="s">
        <v>412</v>
      </c>
      <c r="I1098" s="1038"/>
      <c r="J1098" s="1038"/>
      <c r="K1098" s="1038">
        <f>(K1086+K1087+K1088+K1089+K1090+K1091+K1092+K1093+K1094)-K1097</f>
        <v>6800248.5661174059</v>
      </c>
      <c r="L1098" s="1040">
        <f>E1098+K1098</f>
        <v>13991591.426193034</v>
      </c>
      <c r="M1098" s="1035"/>
    </row>
    <row r="1099" spans="1:13" s="27" customFormat="1" ht="17.25" customHeight="1">
      <c r="A1099" s="1082"/>
      <c r="B1099" s="1082"/>
      <c r="C1099" s="1082"/>
      <c r="D1099" s="1082"/>
      <c r="E1099" s="1082"/>
      <c r="F1099" s="1082"/>
      <c r="G1099" s="1082"/>
      <c r="H1099" s="1082"/>
      <c r="I1099" s="1082"/>
      <c r="J1099" s="1082"/>
      <c r="K1099" s="1082"/>
      <c r="L1099" s="1040"/>
      <c r="M1099" s="1035"/>
    </row>
    <row r="1100" spans="1:13" s="27" customFormat="1" ht="17.25" customHeight="1">
      <c r="A1100" s="1083" t="str">
        <f>A1083</f>
        <v>LƯƠNG THÁNG 08/2025</v>
      </c>
      <c r="B1100" s="1082"/>
      <c r="C1100" s="1082"/>
      <c r="D1100" s="1082"/>
      <c r="E1100" s="1078">
        <f>VLOOKUP(B1101,'CNKT '!$D$102:$AD$166,26,0)</f>
        <v>43</v>
      </c>
      <c r="F1100" s="1079"/>
      <c r="G1100" s="1083" t="str">
        <f>A1100</f>
        <v>LƯƠNG THÁNG 08/2025</v>
      </c>
      <c r="H1100" s="1082"/>
      <c r="I1100" s="1082"/>
      <c r="J1100" s="1014"/>
      <c r="K1100" s="1078">
        <f>VLOOKUP(H1101,'CNKT '!$D$102:$AD$166,26,0)</f>
        <v>44</v>
      </c>
      <c r="L1100" s="1040"/>
      <c r="M1100" s="1035"/>
    </row>
    <row r="1101" spans="1:13" s="27" customFormat="1" ht="17.25" customHeight="1">
      <c r="A1101" s="1044" t="s">
        <v>13</v>
      </c>
      <c r="B1101" s="1016" t="str">
        <f>'CNKT '!D144</f>
        <v>T. Chăn La .</v>
      </c>
      <c r="C1101" s="1022"/>
      <c r="D1101" s="1016" t="s">
        <v>376</v>
      </c>
      <c r="E1101" s="1016" t="s">
        <v>16</v>
      </c>
      <c r="F1101" s="1079"/>
      <c r="G1101" s="1044" t="s">
        <v>13</v>
      </c>
      <c r="H1101" s="1016" t="str">
        <f>'CNKT '!D145</f>
        <v>T. Nú</v>
      </c>
      <c r="I1101" s="1022"/>
      <c r="J1101" s="1016" t="s">
        <v>376</v>
      </c>
      <c r="K1101" s="1016" t="s">
        <v>16</v>
      </c>
      <c r="L1101" s="1040"/>
      <c r="M1101" s="1035"/>
    </row>
    <row r="1102" spans="1:13" s="27" customFormat="1" ht="17.25" customHeight="1">
      <c r="A1102" s="1020" t="s">
        <v>377</v>
      </c>
      <c r="B1102" s="1021" t="s">
        <v>493</v>
      </c>
      <c r="C1102" s="1022" t="str">
        <f>VLOOKUP(B1101,'BTH mủ tạp'!$D$98:$AN$160,37,0)</f>
        <v>A</v>
      </c>
      <c r="D1102" s="1023"/>
      <c r="E1102" s="1023"/>
      <c r="F1102" s="1079"/>
      <c r="G1102" s="1020" t="s">
        <v>377</v>
      </c>
      <c r="H1102" s="1021" t="s">
        <v>493</v>
      </c>
      <c r="I1102" s="1022" t="str">
        <f>VLOOKUP(H1101,'BTH mủ tạp'!$D$98:$AN$160,37,0)</f>
        <v>B</v>
      </c>
      <c r="J1102" s="1023"/>
      <c r="K1102" s="1023"/>
      <c r="L1102" s="1040"/>
      <c r="M1102" s="1035"/>
    </row>
    <row r="1103" spans="1:13" s="27" customFormat="1" ht="17.25" customHeight="1">
      <c r="A1103" s="1020" t="s">
        <v>72</v>
      </c>
      <c r="B1103" s="1024" t="s">
        <v>406</v>
      </c>
      <c r="C1103" s="621">
        <f>VLOOKUP(B1101,'CNKT '!$D$101:$AA$166,3,0)</f>
        <v>0</v>
      </c>
      <c r="D1103" s="622">
        <v>25000</v>
      </c>
      <c r="E1103" s="1023">
        <f t="shared" ref="E1103:E1108" si="210">C1103*D1103</f>
        <v>0</v>
      </c>
      <c r="F1103" s="1079"/>
      <c r="G1103" s="1020" t="s">
        <v>72</v>
      </c>
      <c r="H1103" s="1024" t="s">
        <v>406</v>
      </c>
      <c r="I1103" s="621">
        <f>VLOOKUP(H1101,'CNKT '!$D$101:$AA$166,3,0)</f>
        <v>0</v>
      </c>
      <c r="J1103" s="622">
        <v>25000</v>
      </c>
      <c r="K1103" s="1023">
        <f t="shared" ref="K1103:K1108" si="211">I1103*J1103</f>
        <v>0</v>
      </c>
      <c r="L1103" s="1040"/>
      <c r="M1103" s="1035"/>
    </row>
    <row r="1104" spans="1:13" s="27" customFormat="1" ht="17.25" customHeight="1">
      <c r="A1104" s="1020" t="s">
        <v>292</v>
      </c>
      <c r="B1104" s="1025" t="s">
        <v>494</v>
      </c>
      <c r="C1104" s="1026">
        <f>VLOOKUP(B1101,'CNKT '!$D$101:$AA$166,11,0)</f>
        <v>24</v>
      </c>
      <c r="D1104" s="623">
        <f>46.1*$B$2</f>
        <v>30922.036</v>
      </c>
      <c r="E1104" s="1023">
        <f t="shared" si="210"/>
        <v>742128.86400000006</v>
      </c>
      <c r="F1104" s="1079"/>
      <c r="G1104" s="1020" t="s">
        <v>292</v>
      </c>
      <c r="H1104" s="1025" t="s">
        <v>494</v>
      </c>
      <c r="I1104" s="1026">
        <f>VLOOKUP(H1101,'CNKT '!$D$101:$AA$166,11,0)</f>
        <v>22</v>
      </c>
      <c r="J1104" s="623">
        <f>46.1*$B$2</f>
        <v>30922.036</v>
      </c>
      <c r="K1104" s="1023">
        <f t="shared" si="211"/>
        <v>680284.79200000002</v>
      </c>
      <c r="L1104" s="1040"/>
      <c r="M1104" s="1035"/>
    </row>
    <row r="1105" spans="1:13" s="27" customFormat="1" ht="17.25" customHeight="1">
      <c r="A1105" s="1020" t="s">
        <v>379</v>
      </c>
      <c r="B1105" s="1025" t="s">
        <v>495</v>
      </c>
      <c r="C1105" s="1026">
        <f>VLOOKUP(B1101,'CNKT '!$D$101:$AA$166,12,0)</f>
        <v>4</v>
      </c>
      <c r="D1105" s="622">
        <f>76.9*$B$2</f>
        <v>51581.444000000003</v>
      </c>
      <c r="E1105" s="1023">
        <f t="shared" si="210"/>
        <v>206325.77600000001</v>
      </c>
      <c r="F1105" s="1079"/>
      <c r="G1105" s="1020" t="s">
        <v>379</v>
      </c>
      <c r="H1105" s="1025" t="s">
        <v>495</v>
      </c>
      <c r="I1105" s="1026">
        <f>VLOOKUP(H1101,'CNKT '!$D$101:$AA$166,12,0)</f>
        <v>3</v>
      </c>
      <c r="J1105" s="622">
        <f>76.9*$B$2</f>
        <v>51581.444000000003</v>
      </c>
      <c r="K1105" s="1023">
        <f t="shared" si="211"/>
        <v>154744.33199999999</v>
      </c>
      <c r="L1105" s="1040"/>
      <c r="M1105" s="1035"/>
    </row>
    <row r="1106" spans="1:13" s="27" customFormat="1" ht="17.25" customHeight="1">
      <c r="A1106" s="1020" t="s">
        <v>73</v>
      </c>
      <c r="B1106" s="1025" t="s">
        <v>496</v>
      </c>
      <c r="C1106" s="1026">
        <f>VLOOKUP(B1101,'CNKT '!$D$101:$AA$166,8,0)</f>
        <v>1583.6079888061799</v>
      </c>
      <c r="D1106" s="622">
        <f>IF(C1102="A",6.1,IF(C1102="B",5.8,IF(C1102="C",5.5,IF(C1102="C.",5.5,IF(C1102="D",5.2)))))*$B$2</f>
        <v>4091.6359999999995</v>
      </c>
      <c r="E1106" s="1023">
        <f t="shared" si="210"/>
        <v>6479547.4568869621</v>
      </c>
      <c r="F1106" s="1079"/>
      <c r="G1106" s="1020" t="s">
        <v>73</v>
      </c>
      <c r="H1106" s="1025" t="s">
        <v>496</v>
      </c>
      <c r="I1106" s="1026">
        <f>VLOOKUP(H1101,'CNKT '!$D$101:$AA$166,8,0)</f>
        <v>1457.7325654948993</v>
      </c>
      <c r="J1106" s="622">
        <f>IF(I1102="A",6.1,IF(I1102="B",5.8,IF(I1102="C",5.5,IF(I1102="C.",5.5,IF(I1102="D",5.2)))))*$B$2</f>
        <v>3890.4079999999999</v>
      </c>
      <c r="K1106" s="1023">
        <f t="shared" si="211"/>
        <v>5671174.4346618801</v>
      </c>
      <c r="L1106" s="1040"/>
      <c r="M1106" s="1035"/>
    </row>
    <row r="1107" spans="1:13" s="27" customFormat="1" ht="17.25" customHeight="1">
      <c r="A1107" s="1089" t="s">
        <v>464</v>
      </c>
      <c r="B1107" s="1090" t="s">
        <v>497</v>
      </c>
      <c r="C1107" s="1091">
        <f>VLOOKUP(B1101,'CNKT '!$D$99:$AA$166,13,0)</f>
        <v>2</v>
      </c>
      <c r="D1107" s="1092">
        <v>100000</v>
      </c>
      <c r="E1107" s="1093">
        <f t="shared" si="210"/>
        <v>200000</v>
      </c>
      <c r="F1107" s="1079"/>
      <c r="G1107" s="1089" t="s">
        <v>464</v>
      </c>
      <c r="H1107" s="1090" t="s">
        <v>497</v>
      </c>
      <c r="I1107" s="1091">
        <f>VLOOKUP(H1101,'CNKT '!$D$99:$AA$166,13,0)</f>
        <v>2</v>
      </c>
      <c r="J1107" s="1092">
        <v>100000</v>
      </c>
      <c r="K1107" s="1093">
        <f t="shared" si="211"/>
        <v>200000</v>
      </c>
      <c r="L1107" s="1040"/>
      <c r="M1107" s="1035"/>
    </row>
    <row r="1108" spans="1:13" s="27" customFormat="1" ht="17.25" customHeight="1">
      <c r="A1108" s="1020" t="s">
        <v>421</v>
      </c>
      <c r="B1108" s="1025" t="s">
        <v>467</v>
      </c>
      <c r="C1108" s="1026">
        <f>VLOOKUP(B1101,'CNKT '!$D$101:$AA$166,14,0)</f>
        <v>0</v>
      </c>
      <c r="D1108" s="622">
        <f>153.6*$B$2</f>
        <v>103028.73599999999</v>
      </c>
      <c r="E1108" s="1023">
        <f t="shared" si="210"/>
        <v>0</v>
      </c>
      <c r="F1108" s="1079"/>
      <c r="G1108" s="1020" t="s">
        <v>421</v>
      </c>
      <c r="H1108" s="1025" t="s">
        <v>467</v>
      </c>
      <c r="I1108" s="1026">
        <f>VLOOKUP(H1101,'CNKT '!$D$101:$AA$166,14,0)</f>
        <v>0</v>
      </c>
      <c r="J1108" s="622">
        <f>153.6*$B$2</f>
        <v>103028.73599999999</v>
      </c>
      <c r="K1108" s="1023">
        <f t="shared" si="211"/>
        <v>0</v>
      </c>
      <c r="L1108" s="1040"/>
      <c r="M1108" s="1035"/>
    </row>
    <row r="1109" spans="1:13" s="27" customFormat="1" ht="17.25" customHeight="1">
      <c r="A1109" s="1020" t="s">
        <v>425</v>
      </c>
      <c r="B1109" s="1025" t="s">
        <v>468</v>
      </c>
      <c r="C1109" s="1026">
        <f>VLOOKUP(B1101,'CNKT '!$D$102:$AA$166,18,0)</f>
        <v>2</v>
      </c>
      <c r="D1109" s="622">
        <v>10000</v>
      </c>
      <c r="E1109" s="1023">
        <f>C1109*D1109</f>
        <v>20000</v>
      </c>
      <c r="F1109" s="1079"/>
      <c r="G1109" s="1020" t="s">
        <v>425</v>
      </c>
      <c r="H1109" s="1025" t="s">
        <v>468</v>
      </c>
      <c r="I1109" s="1026">
        <f>VLOOKUP(H1101,'CNKT '!$D$102:$AA$166,18,0)</f>
        <v>2</v>
      </c>
      <c r="J1109" s="622">
        <v>10000</v>
      </c>
      <c r="K1109" s="1023">
        <f>I1109*J1109</f>
        <v>20000</v>
      </c>
      <c r="L1109" s="1040"/>
      <c r="M1109" s="1035"/>
    </row>
    <row r="1110" spans="1:13" s="27" customFormat="1" ht="17.25" customHeight="1">
      <c r="A1110" s="1020" t="s">
        <v>425</v>
      </c>
      <c r="B1110" s="1025" t="s">
        <v>468</v>
      </c>
      <c r="C1110" s="1026">
        <f>VLOOKUP(B1101,'CNKT '!$D$102:$AA$166,19,0)</f>
        <v>0</v>
      </c>
      <c r="D1110" s="622">
        <v>20000</v>
      </c>
      <c r="E1110" s="1023">
        <f>C1110*D1110</f>
        <v>0</v>
      </c>
      <c r="F1110" s="1079"/>
      <c r="G1110" s="1020" t="s">
        <v>425</v>
      </c>
      <c r="H1110" s="1025" t="s">
        <v>468</v>
      </c>
      <c r="I1110" s="1026">
        <f>VLOOKUP(H1101,'CNKT '!$D$102:$AA$166,19,0)</f>
        <v>0</v>
      </c>
      <c r="J1110" s="622">
        <v>20000</v>
      </c>
      <c r="K1110" s="1023">
        <f>I1110*J1110</f>
        <v>0</v>
      </c>
      <c r="L1110" s="1040"/>
      <c r="M1110" s="1035"/>
    </row>
    <row r="1111" spans="1:13" s="27" customFormat="1" ht="17.25" customHeight="1">
      <c r="A1111" s="1020" t="s">
        <v>780</v>
      </c>
      <c r="B1111" s="1027" t="s">
        <v>781</v>
      </c>
      <c r="C1111" s="1026"/>
      <c r="D1111" s="622"/>
      <c r="E1111" s="1023">
        <f>VLOOKUP(B1101,'CNKT '!$D$102:$AE$166,28,0)</f>
        <v>0</v>
      </c>
      <c r="F1111" s="1079"/>
      <c r="G1111" s="1020" t="s">
        <v>780</v>
      </c>
      <c r="H1111" s="1027" t="s">
        <v>781</v>
      </c>
      <c r="I1111" s="1026"/>
      <c r="J1111" s="622"/>
      <c r="K1111" s="1023">
        <f>VLOOKUP(H1101,'CNKT '!$D$102:$AE$166,28,0)</f>
        <v>0</v>
      </c>
      <c r="L1111" s="1040"/>
      <c r="M1111" s="1035"/>
    </row>
    <row r="1112" spans="1:13" s="27" customFormat="1" ht="17.25" customHeight="1">
      <c r="A1112" s="1028" t="s">
        <v>74</v>
      </c>
      <c r="B1112" s="1029" t="s">
        <v>498</v>
      </c>
      <c r="C1112" s="1030"/>
      <c r="D1112" s="1031"/>
      <c r="E1112" s="1030"/>
      <c r="F1112" s="1079"/>
      <c r="G1112" s="1028" t="s">
        <v>74</v>
      </c>
      <c r="H1112" s="1029" t="s">
        <v>498</v>
      </c>
      <c r="I1112" s="1030"/>
      <c r="J1112" s="1031"/>
      <c r="K1112" s="1030"/>
      <c r="L1112" s="1040"/>
      <c r="M1112" s="1035"/>
    </row>
    <row r="1113" spans="1:13" s="27" customFormat="1" ht="17.25" customHeight="1">
      <c r="A1113" s="1032" t="s">
        <v>75</v>
      </c>
      <c r="B1113" s="1033" t="s">
        <v>499</v>
      </c>
      <c r="C1113" s="1030"/>
      <c r="D1113" s="1030"/>
      <c r="E1113" s="1030"/>
      <c r="F1113" s="1079"/>
      <c r="G1113" s="1032" t="s">
        <v>75</v>
      </c>
      <c r="H1113" s="1033" t="s">
        <v>499</v>
      </c>
      <c r="I1113" s="1030"/>
      <c r="J1113" s="1030"/>
      <c r="K1113" s="1030"/>
      <c r="L1113" s="1040"/>
      <c r="M1113" s="1035"/>
    </row>
    <row r="1114" spans="1:13" s="27" customFormat="1" ht="17.25" customHeight="1">
      <c r="A1114" s="1032" t="s">
        <v>76</v>
      </c>
      <c r="B1114" s="1034" t="s">
        <v>500</v>
      </c>
      <c r="C1114" s="1030"/>
      <c r="D1114" s="1030"/>
      <c r="E1114" s="1023">
        <f>SUM(E1113)</f>
        <v>0</v>
      </c>
      <c r="F1114" s="1084"/>
      <c r="G1114" s="1032" t="s">
        <v>76</v>
      </c>
      <c r="H1114" s="1034" t="s">
        <v>500</v>
      </c>
      <c r="I1114" s="1030"/>
      <c r="J1114" s="1030"/>
      <c r="K1114" s="1023">
        <f>SUM(K1113)</f>
        <v>0</v>
      </c>
      <c r="L1114" s="1040"/>
      <c r="M1114" s="1035"/>
    </row>
    <row r="1115" spans="1:13" s="27" customFormat="1" ht="17.25" customHeight="1">
      <c r="A1115" s="1036" t="s">
        <v>77</v>
      </c>
      <c r="B1115" s="1037" t="s">
        <v>412</v>
      </c>
      <c r="C1115" s="1038"/>
      <c r="D1115" s="1038"/>
      <c r="E1115" s="1038">
        <f>(E1103+E1104+E1105+E1106+E1107+E1108+E1109+E1110+E1111)-E1114</f>
        <v>7648002.0968869627</v>
      </c>
      <c r="F1115" s="1084"/>
      <c r="G1115" s="1036" t="s">
        <v>77</v>
      </c>
      <c r="H1115" s="1037" t="s">
        <v>412</v>
      </c>
      <c r="I1115" s="1038"/>
      <c r="J1115" s="1038"/>
      <c r="K1115" s="1038">
        <f>(K1103+K1104+K1105+K1106+K1107+K1108+K1109+K1110+K1111)-K1114</f>
        <v>6726203.55866188</v>
      </c>
      <c r="L1115" s="1040">
        <f>E1115+K1115</f>
        <v>14374205.655548843</v>
      </c>
      <c r="M1115" s="1035"/>
    </row>
    <row r="1116" spans="1:13" s="27" customFormat="1" ht="17.25" customHeight="1">
      <c r="A1116" s="1082"/>
      <c r="B1116" s="1082"/>
      <c r="C1116" s="1082"/>
      <c r="D1116" s="1082"/>
      <c r="E1116" s="1082"/>
      <c r="F1116" s="1082"/>
      <c r="G1116" s="1082"/>
      <c r="H1116" s="1082"/>
      <c r="I1116" s="1082"/>
      <c r="J1116" s="1082"/>
      <c r="K1116" s="1082"/>
      <c r="L1116" s="1040"/>
      <c r="M1116" s="1035"/>
    </row>
    <row r="1117" spans="1:13" s="27" customFormat="1" ht="17.25" customHeight="1">
      <c r="A1117" s="1083" t="str">
        <f>A1100</f>
        <v>LƯƠNG THÁNG 08/2025</v>
      </c>
      <c r="B1117" s="1082"/>
      <c r="C1117" s="1082"/>
      <c r="D1117" s="1082"/>
      <c r="E1117" s="1078">
        <f>VLOOKUP(B1118,'CNKT '!$D$102:$AD$166,26,0)</f>
        <v>45</v>
      </c>
      <c r="F1117" s="1079"/>
      <c r="G1117" s="1083" t="str">
        <f>A1117</f>
        <v>LƯƠNG THÁNG 08/2025</v>
      </c>
      <c r="H1117" s="1082"/>
      <c r="I1117" s="1082"/>
      <c r="J1117" s="1014"/>
      <c r="K1117" s="1078">
        <f>VLOOKUP(H1118,'CNKT '!$D$102:$AD$166,26,0)</f>
        <v>46</v>
      </c>
      <c r="L1117" s="1040"/>
      <c r="M1117" s="1035"/>
    </row>
    <row r="1118" spans="1:13" s="27" customFormat="1" ht="17.25" customHeight="1">
      <c r="A1118" s="1044" t="s">
        <v>13</v>
      </c>
      <c r="B1118" s="1016" t="str">
        <f>'CNKT '!D146</f>
        <v>T. Xan Nha</v>
      </c>
      <c r="C1118" s="1022"/>
      <c r="D1118" s="1016" t="s">
        <v>376</v>
      </c>
      <c r="E1118" s="1016" t="s">
        <v>16</v>
      </c>
      <c r="F1118" s="1079"/>
      <c r="G1118" s="1044" t="s">
        <v>13</v>
      </c>
      <c r="H1118" s="1016" t="str">
        <f>'CNKT '!D147</f>
        <v>T. A lem</v>
      </c>
      <c r="I1118" s="1022"/>
      <c r="J1118" s="1016" t="s">
        <v>376</v>
      </c>
      <c r="K1118" s="1016" t="s">
        <v>16</v>
      </c>
      <c r="L1118" s="1040"/>
      <c r="M1118" s="1035"/>
    </row>
    <row r="1119" spans="1:13" s="27" customFormat="1" ht="17.25" customHeight="1">
      <c r="A1119" s="1020" t="s">
        <v>377</v>
      </c>
      <c r="B1119" s="1021" t="s">
        <v>493</v>
      </c>
      <c r="C1119" s="1022" t="str">
        <f>VLOOKUP(B1118,'BTH mủ tạp'!$D$98:$AN$160,37,0)</f>
        <v>B</v>
      </c>
      <c r="D1119" s="1023"/>
      <c r="E1119" s="1023"/>
      <c r="F1119" s="1079"/>
      <c r="G1119" s="1020" t="s">
        <v>377</v>
      </c>
      <c r="H1119" s="1021" t="s">
        <v>493</v>
      </c>
      <c r="I1119" s="1022" t="str">
        <f>VLOOKUP(H1118,'BTH mủ tạp'!$D$98:$AN$160,37,0)</f>
        <v>A</v>
      </c>
      <c r="J1119" s="1023"/>
      <c r="K1119" s="1023"/>
      <c r="L1119" s="1040"/>
      <c r="M1119" s="1035"/>
    </row>
    <row r="1120" spans="1:13" s="27" customFormat="1" ht="17.25" customHeight="1">
      <c r="A1120" s="1020" t="s">
        <v>72</v>
      </c>
      <c r="B1120" s="1024" t="s">
        <v>406</v>
      </c>
      <c r="C1120" s="621">
        <f>VLOOKUP(B1118,'CNKT '!$D$101:$AA$166,3,0)</f>
        <v>0</v>
      </c>
      <c r="D1120" s="622">
        <v>25000</v>
      </c>
      <c r="E1120" s="1023">
        <f t="shared" ref="E1120:E1125" si="212">C1120*D1120</f>
        <v>0</v>
      </c>
      <c r="F1120" s="1079"/>
      <c r="G1120" s="1020" t="s">
        <v>72</v>
      </c>
      <c r="H1120" s="1024" t="s">
        <v>406</v>
      </c>
      <c r="I1120" s="621">
        <f>VLOOKUP(H1118,'CNKT '!$D$101:$AA$166,3,0)</f>
        <v>0</v>
      </c>
      <c r="J1120" s="622">
        <v>25000</v>
      </c>
      <c r="K1120" s="1023">
        <f t="shared" ref="K1120:K1125" si="213">I1120*J1120</f>
        <v>0</v>
      </c>
      <c r="L1120" s="1040"/>
      <c r="M1120" s="1035"/>
    </row>
    <row r="1121" spans="1:13" s="27" customFormat="1" ht="17.25" customHeight="1">
      <c r="A1121" s="1020" t="s">
        <v>292</v>
      </c>
      <c r="B1121" s="1025" t="s">
        <v>494</v>
      </c>
      <c r="C1121" s="1026">
        <f>VLOOKUP(B1118,'CNKT '!$D$101:$AA$166,11,0)</f>
        <v>24</v>
      </c>
      <c r="D1121" s="623">
        <f>46.1*$B$2</f>
        <v>30922.036</v>
      </c>
      <c r="E1121" s="1023">
        <f t="shared" si="212"/>
        <v>742128.86400000006</v>
      </c>
      <c r="F1121" s="1079"/>
      <c r="G1121" s="1020" t="s">
        <v>292</v>
      </c>
      <c r="H1121" s="1025" t="s">
        <v>494</v>
      </c>
      <c r="I1121" s="1026">
        <f>VLOOKUP(H1118,'CNKT '!$D$101:$AA$166,11,0)</f>
        <v>24</v>
      </c>
      <c r="J1121" s="623">
        <f>46.1*$B$2</f>
        <v>30922.036</v>
      </c>
      <c r="K1121" s="1023">
        <f t="shared" si="213"/>
        <v>742128.86400000006</v>
      </c>
      <c r="L1121" s="1040"/>
      <c r="M1121" s="1035"/>
    </row>
    <row r="1122" spans="1:13" s="27" customFormat="1" ht="17.25" customHeight="1">
      <c r="A1122" s="1020" t="s">
        <v>379</v>
      </c>
      <c r="B1122" s="1025" t="s">
        <v>495</v>
      </c>
      <c r="C1122" s="1026">
        <f>VLOOKUP(B1118,'CNKT '!$D$101:$AA$166,12,0)</f>
        <v>4</v>
      </c>
      <c r="D1122" s="622">
        <f>76.9*$B$2</f>
        <v>51581.444000000003</v>
      </c>
      <c r="E1122" s="1023">
        <f t="shared" si="212"/>
        <v>206325.77600000001</v>
      </c>
      <c r="F1122" s="1079"/>
      <c r="G1122" s="1020" t="s">
        <v>379</v>
      </c>
      <c r="H1122" s="1025" t="s">
        <v>495</v>
      </c>
      <c r="I1122" s="1026">
        <f>VLOOKUP(H1118,'CNKT '!$D$101:$AA$166,12,0)</f>
        <v>4</v>
      </c>
      <c r="J1122" s="622">
        <f>76.9*$B$2</f>
        <v>51581.444000000003</v>
      </c>
      <c r="K1122" s="1023">
        <f t="shared" si="213"/>
        <v>206325.77600000001</v>
      </c>
      <c r="L1122" s="1040"/>
      <c r="M1122" s="1035"/>
    </row>
    <row r="1123" spans="1:13" s="27" customFormat="1" ht="17.25" customHeight="1">
      <c r="A1123" s="1020" t="s">
        <v>73</v>
      </c>
      <c r="B1123" s="1025" t="s">
        <v>496</v>
      </c>
      <c r="C1123" s="1026">
        <f>VLOOKUP(B1118,'CNKT '!$D$101:$AA$166,8,0)</f>
        <v>1510.9376413275024</v>
      </c>
      <c r="D1123" s="622">
        <f>IF(C1119="A",6.1,IF(C1119="B",5.8,IF(C1119="C",5.5,IF(C1119="C.",5.5,IF(C1119="D",5.2)))))*$B$2</f>
        <v>3890.4079999999999</v>
      </c>
      <c r="E1123" s="1023">
        <f t="shared" si="212"/>
        <v>5878163.8873216463</v>
      </c>
      <c r="F1123" s="1079"/>
      <c r="G1123" s="1020" t="s">
        <v>73</v>
      </c>
      <c r="H1123" s="1025" t="s">
        <v>496</v>
      </c>
      <c r="I1123" s="1026">
        <f>VLOOKUP(H1118,'CNKT '!$D$101:$AA$166,8,0)</f>
        <v>2458.6800896952545</v>
      </c>
      <c r="J1123" s="622">
        <f>IF(I1119="A",6.1,IF(I1119="B",5.8,IF(I1119="C",5.5,IF(I1119="C.",5.5,IF(I1119="D",5.2)))))*$B$2</f>
        <v>4091.6359999999995</v>
      </c>
      <c r="K1123" s="1023">
        <f t="shared" si="213"/>
        <v>10060023.967480332</v>
      </c>
      <c r="L1123" s="1040"/>
      <c r="M1123" s="1035"/>
    </row>
    <row r="1124" spans="1:13" s="27" customFormat="1" ht="17.25" customHeight="1">
      <c r="A1124" s="1089" t="s">
        <v>464</v>
      </c>
      <c r="B1124" s="1090" t="s">
        <v>497</v>
      </c>
      <c r="C1124" s="1091">
        <f>VLOOKUP(B1118,'CNKT '!$D$99:$AA$166,13,0)</f>
        <v>2</v>
      </c>
      <c r="D1124" s="1092">
        <v>100000</v>
      </c>
      <c r="E1124" s="1093">
        <f t="shared" si="212"/>
        <v>200000</v>
      </c>
      <c r="F1124" s="1079"/>
      <c r="G1124" s="1089" t="s">
        <v>464</v>
      </c>
      <c r="H1124" s="1090" t="s">
        <v>497</v>
      </c>
      <c r="I1124" s="1091">
        <f>VLOOKUP(H1118,'CNKT '!$D$99:$AA$166,13,0)</f>
        <v>2</v>
      </c>
      <c r="J1124" s="1092">
        <v>100000</v>
      </c>
      <c r="K1124" s="1093">
        <f t="shared" si="213"/>
        <v>200000</v>
      </c>
      <c r="L1124" s="1040"/>
      <c r="M1124" s="1035"/>
    </row>
    <row r="1125" spans="1:13" s="27" customFormat="1" ht="17.25" customHeight="1">
      <c r="A1125" s="1020" t="s">
        <v>421</v>
      </c>
      <c r="B1125" s="1025" t="s">
        <v>467</v>
      </c>
      <c r="C1125" s="1026">
        <f>VLOOKUP(B1118,'CNKT '!$D$101:$AA$166,14,0)</f>
        <v>0</v>
      </c>
      <c r="D1125" s="622">
        <f>153.6*$B$2</f>
        <v>103028.73599999999</v>
      </c>
      <c r="E1125" s="1023">
        <f t="shared" si="212"/>
        <v>0</v>
      </c>
      <c r="F1125" s="1079"/>
      <c r="G1125" s="1020" t="s">
        <v>421</v>
      </c>
      <c r="H1125" s="1025" t="s">
        <v>467</v>
      </c>
      <c r="I1125" s="1026">
        <f>VLOOKUP(H1118,'CNKT '!$D$101:$AA$166,14,0)</f>
        <v>0</v>
      </c>
      <c r="J1125" s="622">
        <f>153.6*$B$2</f>
        <v>103028.73599999999</v>
      </c>
      <c r="K1125" s="1023">
        <f t="shared" si="213"/>
        <v>0</v>
      </c>
      <c r="L1125" s="1040"/>
      <c r="M1125" s="1035"/>
    </row>
    <row r="1126" spans="1:13" s="27" customFormat="1" ht="17.25" customHeight="1">
      <c r="A1126" s="1020" t="s">
        <v>425</v>
      </c>
      <c r="B1126" s="1025" t="s">
        <v>468</v>
      </c>
      <c r="C1126" s="1026">
        <f>VLOOKUP(B1118,'CNKT '!$D$102:$AA$166,18,0)</f>
        <v>2</v>
      </c>
      <c r="D1126" s="622">
        <v>10000</v>
      </c>
      <c r="E1126" s="1023">
        <f>C1126*D1126</f>
        <v>20000</v>
      </c>
      <c r="F1126" s="1079"/>
      <c r="G1126" s="1020" t="s">
        <v>425</v>
      </c>
      <c r="H1126" s="1025" t="s">
        <v>468</v>
      </c>
      <c r="I1126" s="1026">
        <f>VLOOKUP(H1118,'CNKT '!$D$102:$AA$166,18,0)</f>
        <v>2</v>
      </c>
      <c r="J1126" s="622">
        <v>10000</v>
      </c>
      <c r="K1126" s="1023">
        <f>I1126*J1126</f>
        <v>20000</v>
      </c>
      <c r="L1126" s="1040"/>
      <c r="M1126" s="1035"/>
    </row>
    <row r="1127" spans="1:13" s="27" customFormat="1" ht="17.25" customHeight="1">
      <c r="A1127" s="1020" t="s">
        <v>425</v>
      </c>
      <c r="B1127" s="1025" t="s">
        <v>468</v>
      </c>
      <c r="C1127" s="1026">
        <f>VLOOKUP(B1118,'CNKT '!$D$102:$AA$166,19,0)</f>
        <v>0</v>
      </c>
      <c r="D1127" s="622">
        <v>20000</v>
      </c>
      <c r="E1127" s="1023">
        <f>C1127*D1127</f>
        <v>0</v>
      </c>
      <c r="F1127" s="1079"/>
      <c r="G1127" s="1020" t="s">
        <v>425</v>
      </c>
      <c r="H1127" s="1025" t="s">
        <v>468</v>
      </c>
      <c r="I1127" s="1026">
        <f>VLOOKUP(H1118,'CNKT '!$D$102:$AA$166,19,0)</f>
        <v>0</v>
      </c>
      <c r="J1127" s="622">
        <v>20000</v>
      </c>
      <c r="K1127" s="1023">
        <f>I1127*J1127</f>
        <v>0</v>
      </c>
      <c r="L1127" s="1040"/>
      <c r="M1127" s="1035"/>
    </row>
    <row r="1128" spans="1:13" s="27" customFormat="1" ht="17.25" customHeight="1">
      <c r="A1128" s="1020" t="s">
        <v>780</v>
      </c>
      <c r="B1128" s="1027" t="s">
        <v>781</v>
      </c>
      <c r="C1128" s="1026"/>
      <c r="D1128" s="622"/>
      <c r="E1128" s="1023">
        <f>VLOOKUP(B1118,'CNKT '!$D$102:$AE$166,28,0)</f>
        <v>0</v>
      </c>
      <c r="F1128" s="1079"/>
      <c r="G1128" s="1020" t="s">
        <v>780</v>
      </c>
      <c r="H1128" s="1027" t="s">
        <v>781</v>
      </c>
      <c r="I1128" s="1026"/>
      <c r="J1128" s="622"/>
      <c r="K1128" s="1023">
        <f>VLOOKUP(H1118,'CNKT '!$D$102:$AE$166,28,0)</f>
        <v>0</v>
      </c>
      <c r="L1128" s="1040"/>
      <c r="M1128" s="1035"/>
    </row>
    <row r="1129" spans="1:13" s="27" customFormat="1" ht="17.25" customHeight="1">
      <c r="A1129" s="1028" t="s">
        <v>74</v>
      </c>
      <c r="B1129" s="1029" t="s">
        <v>498</v>
      </c>
      <c r="C1129" s="1030"/>
      <c r="D1129" s="1031"/>
      <c r="E1129" s="1030"/>
      <c r="F1129" s="1079"/>
      <c r="G1129" s="1028" t="s">
        <v>74</v>
      </c>
      <c r="H1129" s="1029" t="s">
        <v>498</v>
      </c>
      <c r="I1129" s="1030"/>
      <c r="J1129" s="1031"/>
      <c r="K1129" s="1030"/>
      <c r="L1129" s="1040"/>
      <c r="M1129" s="1035"/>
    </row>
    <row r="1130" spans="1:13" s="27" customFormat="1" ht="17.25" customHeight="1">
      <c r="A1130" s="1032" t="s">
        <v>75</v>
      </c>
      <c r="B1130" s="1033" t="s">
        <v>499</v>
      </c>
      <c r="C1130" s="1030"/>
      <c r="D1130" s="1030"/>
      <c r="E1130" s="1030"/>
      <c r="F1130" s="1079"/>
      <c r="G1130" s="1032" t="s">
        <v>75</v>
      </c>
      <c r="H1130" s="1033" t="s">
        <v>499</v>
      </c>
      <c r="I1130" s="1030"/>
      <c r="J1130" s="1030"/>
      <c r="K1130" s="1030"/>
      <c r="L1130" s="1040"/>
      <c r="M1130" s="1035"/>
    </row>
    <row r="1131" spans="1:13" s="27" customFormat="1" ht="17.25" customHeight="1">
      <c r="A1131" s="1032" t="s">
        <v>76</v>
      </c>
      <c r="B1131" s="1034" t="s">
        <v>500</v>
      </c>
      <c r="C1131" s="1030"/>
      <c r="D1131" s="1030"/>
      <c r="E1131" s="1023">
        <f>SUM(E1130)</f>
        <v>0</v>
      </c>
      <c r="F1131" s="1084"/>
      <c r="G1131" s="1032" t="s">
        <v>76</v>
      </c>
      <c r="H1131" s="1034" t="s">
        <v>500</v>
      </c>
      <c r="I1131" s="1030"/>
      <c r="J1131" s="1030"/>
      <c r="K1131" s="1023">
        <f>SUM(K1130)</f>
        <v>0</v>
      </c>
      <c r="L1131" s="1040"/>
      <c r="M1131" s="1035"/>
    </row>
    <row r="1132" spans="1:13" s="27" customFormat="1" ht="17.25" customHeight="1">
      <c r="A1132" s="1036" t="s">
        <v>77</v>
      </c>
      <c r="B1132" s="1037" t="s">
        <v>412</v>
      </c>
      <c r="C1132" s="1038"/>
      <c r="D1132" s="1038"/>
      <c r="E1132" s="1038">
        <f>(E1120+E1121+E1122+E1123+E1124+E1125+E1126+E1127+E1128)-E1131</f>
        <v>7046618.527321646</v>
      </c>
      <c r="F1132" s="1084"/>
      <c r="G1132" s="1036" t="s">
        <v>77</v>
      </c>
      <c r="H1132" s="1037" t="s">
        <v>412</v>
      </c>
      <c r="I1132" s="1038"/>
      <c r="J1132" s="1038"/>
      <c r="K1132" s="1038">
        <f>(K1120+K1121+K1122+K1123+K1124+K1125+K1126+K1127+K1128)-K1131</f>
        <v>11228478.607480332</v>
      </c>
      <c r="L1132" s="1040">
        <f>E1132+K1132</f>
        <v>18275097.134801976</v>
      </c>
      <c r="M1132" s="1035"/>
    </row>
    <row r="1133" spans="1:13" s="27" customFormat="1" ht="17.25" customHeight="1">
      <c r="A1133" s="1082"/>
      <c r="B1133" s="1082"/>
      <c r="C1133" s="1082"/>
      <c r="D1133" s="1082"/>
      <c r="E1133" s="1082"/>
      <c r="F1133" s="1082"/>
      <c r="G1133" s="1082"/>
      <c r="H1133" s="1082"/>
      <c r="I1133" s="1082"/>
      <c r="J1133" s="1082"/>
      <c r="K1133" s="1082"/>
      <c r="L1133" s="1040"/>
      <c r="M1133" s="1035"/>
    </row>
    <row r="1134" spans="1:13" s="27" customFormat="1" ht="17.25" customHeight="1">
      <c r="A1134" s="1083" t="str">
        <f>A1117</f>
        <v>LƯƠNG THÁNG 08/2025</v>
      </c>
      <c r="B1134" s="1082"/>
      <c r="C1134" s="1082"/>
      <c r="D1134" s="1082"/>
      <c r="E1134" s="1078">
        <f>VLOOKUP(B1135,'CNKT '!$D$102:$AD$166,26,0)</f>
        <v>47</v>
      </c>
      <c r="F1134" s="1079"/>
      <c r="G1134" s="1083" t="str">
        <f>A1134</f>
        <v>LƯƠNG THÁNG 08/2025</v>
      </c>
      <c r="H1134" s="1082"/>
      <c r="I1134" s="1082"/>
      <c r="J1134" s="1014"/>
      <c r="K1134" s="1078">
        <f>VLOOKUP(H1135,'CNKT '!$D$102:$AD$166,26,0)</f>
        <v>48</v>
      </c>
      <c r="L1134" s="1040"/>
      <c r="M1134" s="1035"/>
    </row>
    <row r="1135" spans="1:13" s="27" customFormat="1" ht="17.25" customHeight="1">
      <c r="A1135" s="1044" t="s">
        <v>13</v>
      </c>
      <c r="B1135" s="1016" t="str">
        <f>'CNKT '!D148</f>
        <v>T. Phan</v>
      </c>
      <c r="C1135" s="1022"/>
      <c r="D1135" s="1016" t="s">
        <v>376</v>
      </c>
      <c r="E1135" s="1016" t="s">
        <v>16</v>
      </c>
      <c r="F1135" s="1079"/>
      <c r="G1135" s="1044" t="s">
        <v>13</v>
      </c>
      <c r="H1135" s="1016" t="str">
        <f>'CNKT '!D149</f>
        <v>T . Cổ</v>
      </c>
      <c r="I1135" s="1022"/>
      <c r="J1135" s="1016" t="s">
        <v>376</v>
      </c>
      <c r="K1135" s="1016" t="s">
        <v>16</v>
      </c>
      <c r="L1135" s="1040"/>
      <c r="M1135" s="1035"/>
    </row>
    <row r="1136" spans="1:13" s="27" customFormat="1" ht="17.25" customHeight="1">
      <c r="A1136" s="1020" t="s">
        <v>377</v>
      </c>
      <c r="B1136" s="1021" t="s">
        <v>493</v>
      </c>
      <c r="C1136" s="1022" t="str">
        <f>VLOOKUP(B1135,'BTH mủ tạp'!$D$98:$AN$160,37,0)</f>
        <v>A</v>
      </c>
      <c r="D1136" s="1023"/>
      <c r="E1136" s="1023"/>
      <c r="F1136" s="1079"/>
      <c r="G1136" s="1020" t="s">
        <v>377</v>
      </c>
      <c r="H1136" s="1021" t="s">
        <v>493</v>
      </c>
      <c r="I1136" s="1022" t="str">
        <f>VLOOKUP(H1135,'BTH mủ tạp'!$D$98:$AN$160,37,0)</f>
        <v>B</v>
      </c>
      <c r="J1136" s="1023"/>
      <c r="K1136" s="1023"/>
      <c r="L1136" s="1040"/>
      <c r="M1136" s="1035"/>
    </row>
    <row r="1137" spans="1:13" s="27" customFormat="1" ht="17.25" customHeight="1">
      <c r="A1137" s="1020" t="s">
        <v>72</v>
      </c>
      <c r="B1137" s="1024" t="s">
        <v>406</v>
      </c>
      <c r="C1137" s="621">
        <f>VLOOKUP(B1135,'CNKT '!$D$101:$AA$166,3,0)</f>
        <v>0</v>
      </c>
      <c r="D1137" s="622">
        <v>25000</v>
      </c>
      <c r="E1137" s="1023">
        <f t="shared" ref="E1137:E1142" si="214">C1137*D1137</f>
        <v>0</v>
      </c>
      <c r="F1137" s="1079"/>
      <c r="G1137" s="1020" t="s">
        <v>72</v>
      </c>
      <c r="H1137" s="1024" t="s">
        <v>406</v>
      </c>
      <c r="I1137" s="621">
        <f>VLOOKUP(H1135,'CNKT '!$D$101:$AA$166,3,0)</f>
        <v>0</v>
      </c>
      <c r="J1137" s="622">
        <v>25000</v>
      </c>
      <c r="K1137" s="1023">
        <f t="shared" ref="K1137:K1142" si="215">I1137*J1137</f>
        <v>0</v>
      </c>
      <c r="L1137" s="1040"/>
      <c r="M1137" s="1035"/>
    </row>
    <row r="1138" spans="1:13" s="27" customFormat="1" ht="17.25" customHeight="1">
      <c r="A1138" s="1020" t="s">
        <v>292</v>
      </c>
      <c r="B1138" s="1025" t="s">
        <v>494</v>
      </c>
      <c r="C1138" s="1026">
        <f>VLOOKUP(B1135,'CNKT '!$D$101:$AA$166,11,0)</f>
        <v>24</v>
      </c>
      <c r="D1138" s="623">
        <f>46.1*$B$2</f>
        <v>30922.036</v>
      </c>
      <c r="E1138" s="1023">
        <f t="shared" si="214"/>
        <v>742128.86400000006</v>
      </c>
      <c r="F1138" s="1079"/>
      <c r="G1138" s="1020" t="s">
        <v>292</v>
      </c>
      <c r="H1138" s="1025" t="s">
        <v>494</v>
      </c>
      <c r="I1138" s="1026">
        <f>VLOOKUP(H1135,'CNKT '!$D$101:$AA$166,11,0)</f>
        <v>23</v>
      </c>
      <c r="J1138" s="623">
        <f>46.1*$B$2</f>
        <v>30922.036</v>
      </c>
      <c r="K1138" s="1023">
        <f t="shared" si="215"/>
        <v>711206.82799999998</v>
      </c>
      <c r="L1138" s="1040"/>
      <c r="M1138" s="1035"/>
    </row>
    <row r="1139" spans="1:13" s="27" customFormat="1" ht="17.25" customHeight="1">
      <c r="A1139" s="1020" t="s">
        <v>379</v>
      </c>
      <c r="B1139" s="1025" t="s">
        <v>495</v>
      </c>
      <c r="C1139" s="1026">
        <f>VLOOKUP(B1135,'CNKT '!$D$101:$AA$166,12,0)</f>
        <v>4</v>
      </c>
      <c r="D1139" s="622">
        <f>76.9*$B$2</f>
        <v>51581.444000000003</v>
      </c>
      <c r="E1139" s="1023">
        <f t="shared" si="214"/>
        <v>206325.77600000001</v>
      </c>
      <c r="F1139" s="1079"/>
      <c r="G1139" s="1020" t="s">
        <v>379</v>
      </c>
      <c r="H1139" s="1025" t="s">
        <v>495</v>
      </c>
      <c r="I1139" s="1026">
        <f>VLOOKUP(H1135,'CNKT '!$D$101:$AA$166,12,0)</f>
        <v>4</v>
      </c>
      <c r="J1139" s="622">
        <f>76.9*$B$2</f>
        <v>51581.444000000003</v>
      </c>
      <c r="K1139" s="1023">
        <f t="shared" si="215"/>
        <v>206325.77600000001</v>
      </c>
      <c r="L1139" s="1040"/>
      <c r="M1139" s="1035"/>
    </row>
    <row r="1140" spans="1:13" s="27" customFormat="1" ht="17.25" customHeight="1">
      <c r="A1140" s="1020" t="s">
        <v>73</v>
      </c>
      <c r="B1140" s="1025" t="s">
        <v>496</v>
      </c>
      <c r="C1140" s="1026">
        <f>VLOOKUP(B1135,'CNKT '!$D$101:$AA$166,8,0)</f>
        <v>1874.2893787208898</v>
      </c>
      <c r="D1140" s="622">
        <f>IF(C1136="A",6.1,IF(C1136="B",5.8,IF(C1136="C",5.5,IF(C1136="C.",5.5,IF(C1136="D",5.2)))))*$B$2</f>
        <v>4091.6359999999995</v>
      </c>
      <c r="E1140" s="1023">
        <f t="shared" si="214"/>
        <v>7668909.896392026</v>
      </c>
      <c r="F1140" s="1079"/>
      <c r="G1140" s="1020" t="s">
        <v>73</v>
      </c>
      <c r="H1140" s="1025" t="s">
        <v>496</v>
      </c>
      <c r="I1140" s="1026">
        <f>VLOOKUP(H1135,'CNKT '!$D$101:$AA$166,8,0)</f>
        <v>2730.76133114816</v>
      </c>
      <c r="J1140" s="622">
        <f>IF(I1136="A",6.1,IF(I1136="B",5.8,IF(I1136="C",5.5,IF(I1136="C.",5.5,IF(I1136="D",5.2)))))*$B$2</f>
        <v>3890.4079999999999</v>
      </c>
      <c r="K1140" s="1023">
        <f t="shared" si="215"/>
        <v>10623775.728789451</v>
      </c>
      <c r="L1140" s="1040"/>
      <c r="M1140" s="1035"/>
    </row>
    <row r="1141" spans="1:13" s="27" customFormat="1" ht="17.25" customHeight="1">
      <c r="A1141" s="1089" t="s">
        <v>464</v>
      </c>
      <c r="B1141" s="1090" t="s">
        <v>497</v>
      </c>
      <c r="C1141" s="1091">
        <f>VLOOKUP(B1135,'CNKT '!$D$99:$AA$166,13,0)</f>
        <v>2</v>
      </c>
      <c r="D1141" s="1092">
        <v>100000</v>
      </c>
      <c r="E1141" s="1093">
        <f t="shared" si="214"/>
        <v>200000</v>
      </c>
      <c r="F1141" s="1079"/>
      <c r="G1141" s="1089" t="s">
        <v>464</v>
      </c>
      <c r="H1141" s="1090" t="s">
        <v>497</v>
      </c>
      <c r="I1141" s="1091">
        <f>VLOOKUP(H1135,'CNKT '!$D$99:$AA$166,13,0)</f>
        <v>2</v>
      </c>
      <c r="J1141" s="1092">
        <v>100000</v>
      </c>
      <c r="K1141" s="1093">
        <f t="shared" si="215"/>
        <v>200000</v>
      </c>
      <c r="L1141" s="1040"/>
      <c r="M1141" s="1035"/>
    </row>
    <row r="1142" spans="1:13" s="27" customFormat="1" ht="17.25" customHeight="1">
      <c r="A1142" s="1020" t="s">
        <v>421</v>
      </c>
      <c r="B1142" s="1025" t="s">
        <v>467</v>
      </c>
      <c r="C1142" s="1026">
        <f>VLOOKUP(B1135,'CNKT '!$D$101:$AA$166,14,0)</f>
        <v>0</v>
      </c>
      <c r="D1142" s="622">
        <f>153.6*$B$2</f>
        <v>103028.73599999999</v>
      </c>
      <c r="E1142" s="1023">
        <f t="shared" si="214"/>
        <v>0</v>
      </c>
      <c r="F1142" s="1079"/>
      <c r="G1142" s="1020" t="s">
        <v>421</v>
      </c>
      <c r="H1142" s="1025" t="s">
        <v>467</v>
      </c>
      <c r="I1142" s="1026">
        <f>VLOOKUP(H1135,'CNKT '!$D$101:$AA$166,14,0)</f>
        <v>0</v>
      </c>
      <c r="J1142" s="622">
        <f>153.6*$B$2</f>
        <v>103028.73599999999</v>
      </c>
      <c r="K1142" s="1023">
        <f t="shared" si="215"/>
        <v>0</v>
      </c>
      <c r="L1142" s="1040"/>
      <c r="M1142" s="1035"/>
    </row>
    <row r="1143" spans="1:13" s="27" customFormat="1" ht="17.25" customHeight="1">
      <c r="A1143" s="1020" t="s">
        <v>425</v>
      </c>
      <c r="B1143" s="1025" t="s">
        <v>468</v>
      </c>
      <c r="C1143" s="1026">
        <f>VLOOKUP(B1135,'CNKT '!$D$102:$AA$166,18,0)</f>
        <v>2</v>
      </c>
      <c r="D1143" s="622">
        <v>10000</v>
      </c>
      <c r="E1143" s="1023">
        <f>C1143*D1143</f>
        <v>20000</v>
      </c>
      <c r="F1143" s="1079"/>
      <c r="G1143" s="1020" t="s">
        <v>425</v>
      </c>
      <c r="H1143" s="1025" t="s">
        <v>468</v>
      </c>
      <c r="I1143" s="1026">
        <f>VLOOKUP(H1135,'CNKT '!$D$102:$AA$166,18,0)</f>
        <v>2</v>
      </c>
      <c r="J1143" s="622">
        <v>10000</v>
      </c>
      <c r="K1143" s="1023">
        <f>I1143*J1143</f>
        <v>20000</v>
      </c>
      <c r="L1143" s="1040"/>
      <c r="M1143" s="1035"/>
    </row>
    <row r="1144" spans="1:13" s="27" customFormat="1" ht="17.25" customHeight="1">
      <c r="A1144" s="1020" t="s">
        <v>425</v>
      </c>
      <c r="B1144" s="1025" t="s">
        <v>468</v>
      </c>
      <c r="C1144" s="1026">
        <f>VLOOKUP(B1135,'CNKT '!$D$102:$AA$166,19,0)</f>
        <v>0</v>
      </c>
      <c r="D1144" s="622">
        <v>20000</v>
      </c>
      <c r="E1144" s="1023">
        <f>C1144*D1144</f>
        <v>0</v>
      </c>
      <c r="F1144" s="1079"/>
      <c r="G1144" s="1020" t="s">
        <v>425</v>
      </c>
      <c r="H1144" s="1025" t="s">
        <v>468</v>
      </c>
      <c r="I1144" s="1026">
        <f>VLOOKUP(H1135,'CNKT '!$D$102:$AA$166,19,0)</f>
        <v>0</v>
      </c>
      <c r="J1144" s="622">
        <v>20000</v>
      </c>
      <c r="K1144" s="1023">
        <f>I1144*J1144</f>
        <v>0</v>
      </c>
      <c r="L1144" s="1040"/>
      <c r="M1144" s="1035"/>
    </row>
    <row r="1145" spans="1:13" s="27" customFormat="1" ht="17.25" customHeight="1">
      <c r="A1145" s="1020" t="s">
        <v>780</v>
      </c>
      <c r="B1145" s="1027" t="s">
        <v>781</v>
      </c>
      <c r="C1145" s="1026"/>
      <c r="D1145" s="622"/>
      <c r="E1145" s="1023">
        <f>VLOOKUP(B1135,'CNKT '!$D$102:$AE$166,28,0)</f>
        <v>0</v>
      </c>
      <c r="F1145" s="1079"/>
      <c r="G1145" s="1020" t="s">
        <v>780</v>
      </c>
      <c r="H1145" s="1027" t="s">
        <v>781</v>
      </c>
      <c r="I1145" s="1026"/>
      <c r="J1145" s="622"/>
      <c r="K1145" s="1023">
        <f>VLOOKUP(H1135,'CNKT '!$D$102:$AE$166,28,0)</f>
        <v>0</v>
      </c>
      <c r="L1145" s="1040"/>
      <c r="M1145" s="1035"/>
    </row>
    <row r="1146" spans="1:13" s="27" customFormat="1" ht="17.25" customHeight="1">
      <c r="A1146" s="1028" t="s">
        <v>74</v>
      </c>
      <c r="B1146" s="1029" t="s">
        <v>498</v>
      </c>
      <c r="C1146" s="1030"/>
      <c r="D1146" s="1031"/>
      <c r="E1146" s="1030"/>
      <c r="F1146" s="1079"/>
      <c r="G1146" s="1028" t="s">
        <v>74</v>
      </c>
      <c r="H1146" s="1029" t="s">
        <v>498</v>
      </c>
      <c r="I1146" s="1030"/>
      <c r="J1146" s="1031"/>
      <c r="K1146" s="1030"/>
      <c r="L1146" s="1040"/>
      <c r="M1146" s="1035"/>
    </row>
    <row r="1147" spans="1:13" s="27" customFormat="1" ht="17.25" customHeight="1">
      <c r="A1147" s="1032" t="s">
        <v>75</v>
      </c>
      <c r="B1147" s="1033" t="s">
        <v>499</v>
      </c>
      <c r="C1147" s="1030"/>
      <c r="D1147" s="1030"/>
      <c r="E1147" s="1030"/>
      <c r="F1147" s="1079"/>
      <c r="G1147" s="1032" t="s">
        <v>75</v>
      </c>
      <c r="H1147" s="1033" t="s">
        <v>499</v>
      </c>
      <c r="I1147" s="1030"/>
      <c r="J1147" s="1030"/>
      <c r="K1147" s="1030"/>
      <c r="L1147" s="1040"/>
      <c r="M1147" s="1035"/>
    </row>
    <row r="1148" spans="1:13" s="27" customFormat="1" ht="17.25" customHeight="1">
      <c r="A1148" s="1032" t="s">
        <v>76</v>
      </c>
      <c r="B1148" s="1034" t="s">
        <v>500</v>
      </c>
      <c r="C1148" s="1030"/>
      <c r="D1148" s="1030"/>
      <c r="E1148" s="1023">
        <f>SUM(E1147)</f>
        <v>0</v>
      </c>
      <c r="F1148" s="1084"/>
      <c r="G1148" s="1032" t="s">
        <v>76</v>
      </c>
      <c r="H1148" s="1034" t="s">
        <v>500</v>
      </c>
      <c r="I1148" s="1030"/>
      <c r="J1148" s="1030"/>
      <c r="K1148" s="1023">
        <f>SUM(K1147)</f>
        <v>0</v>
      </c>
      <c r="L1148" s="1040"/>
      <c r="M1148" s="1035"/>
    </row>
    <row r="1149" spans="1:13" s="27" customFormat="1" ht="17.25" customHeight="1">
      <c r="A1149" s="1036" t="s">
        <v>77</v>
      </c>
      <c r="B1149" s="1037" t="s">
        <v>412</v>
      </c>
      <c r="C1149" s="1038"/>
      <c r="D1149" s="1038"/>
      <c r="E1149" s="1038">
        <f>(E1137+E1138+E1139+E1140+E1141+E1142+E1143+E1144+E1145)-E1148</f>
        <v>8837364.5363920256</v>
      </c>
      <c r="F1149" s="1084"/>
      <c r="G1149" s="1036" t="s">
        <v>77</v>
      </c>
      <c r="H1149" s="1037" t="s">
        <v>412</v>
      </c>
      <c r="I1149" s="1038"/>
      <c r="J1149" s="1038"/>
      <c r="K1149" s="1038">
        <f>(K1137+K1138+K1139+K1140+K1141+K1142+K1143+K1144+K1145)-K1148</f>
        <v>11761308.332789451</v>
      </c>
      <c r="L1149" s="1040">
        <f>E1149+K1149</f>
        <v>20598672.869181477</v>
      </c>
      <c r="M1149" s="1035"/>
    </row>
    <row r="1150" spans="1:13" s="27" customFormat="1" ht="69" customHeight="1">
      <c r="A1150" s="1082"/>
      <c r="B1150" s="1082"/>
      <c r="C1150" s="1082"/>
      <c r="D1150" s="1082"/>
      <c r="E1150" s="1082"/>
      <c r="F1150" s="1082"/>
      <c r="G1150" s="1082"/>
      <c r="H1150" s="1082"/>
      <c r="I1150" s="1082"/>
      <c r="J1150" s="1082"/>
      <c r="K1150" s="1082"/>
      <c r="L1150" s="1040"/>
      <c r="M1150" s="1035"/>
    </row>
    <row r="1151" spans="1:13" s="27" customFormat="1" ht="17.25" customHeight="1">
      <c r="A1151" s="1083" t="str">
        <f>A1134</f>
        <v>LƯƠNG THÁNG 08/2025</v>
      </c>
      <c r="B1151" s="1082"/>
      <c r="C1151" s="1082"/>
      <c r="D1151" s="1082"/>
      <c r="E1151" s="1078">
        <f>VLOOKUP(B1152,'CNKT '!$D$102:$AD$166,26,0)</f>
        <v>49</v>
      </c>
      <c r="F1151" s="1079"/>
      <c r="G1151" s="1083" t="str">
        <f>A1151</f>
        <v>LƯƠNG THÁNG 08/2025</v>
      </c>
      <c r="H1151" s="1082"/>
      <c r="I1151" s="1082"/>
      <c r="J1151" s="1014"/>
      <c r="K1151" s="1078">
        <f>VLOOKUP(H1152,'CNKT '!$D$102:$AD$166,26,0)</f>
        <v>50</v>
      </c>
      <c r="L1151" s="1040"/>
      <c r="M1151" s="1035"/>
    </row>
    <row r="1152" spans="1:13" s="27" customFormat="1" ht="17.25" customHeight="1">
      <c r="A1152" s="1044" t="s">
        <v>13</v>
      </c>
      <c r="B1152" s="1016" t="str">
        <f>'CNKT '!D150</f>
        <v>N. Phim Pha</v>
      </c>
      <c r="C1152" s="1022"/>
      <c r="D1152" s="1016" t="s">
        <v>376</v>
      </c>
      <c r="E1152" s="1016" t="s">
        <v>16</v>
      </c>
      <c r="F1152" s="1079"/>
      <c r="G1152" s="1044" t="s">
        <v>13</v>
      </c>
      <c r="H1152" s="1016" t="str">
        <f>'CNKT '!D151</f>
        <v xml:space="preserve">T. Xeng </v>
      </c>
      <c r="I1152" s="1022"/>
      <c r="J1152" s="1016" t="s">
        <v>376</v>
      </c>
      <c r="K1152" s="1016" t="s">
        <v>16</v>
      </c>
      <c r="L1152" s="1040"/>
      <c r="M1152" s="1035"/>
    </row>
    <row r="1153" spans="1:13" s="27" customFormat="1" ht="17.25" customHeight="1">
      <c r="A1153" s="1020" t="s">
        <v>377</v>
      </c>
      <c r="B1153" s="1021" t="s">
        <v>493</v>
      </c>
      <c r="C1153" s="1022" t="str">
        <f>VLOOKUP(B1152,'BTH mủ tạp'!$D$98:$AN$160,37,0)</f>
        <v>B</v>
      </c>
      <c r="D1153" s="1023"/>
      <c r="E1153" s="1023"/>
      <c r="F1153" s="1079"/>
      <c r="G1153" s="1020" t="s">
        <v>377</v>
      </c>
      <c r="H1153" s="1021" t="s">
        <v>493</v>
      </c>
      <c r="I1153" s="1022" t="str">
        <f>VLOOKUP(H1152,'BTH mủ tạp'!$D$98:$AN$160,37,0)</f>
        <v>B</v>
      </c>
      <c r="J1153" s="1023"/>
      <c r="K1153" s="1023"/>
      <c r="L1153" s="1040"/>
      <c r="M1153" s="1035"/>
    </row>
    <row r="1154" spans="1:13" s="27" customFormat="1" ht="17.25" customHeight="1">
      <c r="A1154" s="1020" t="s">
        <v>72</v>
      </c>
      <c r="B1154" s="1024" t="s">
        <v>406</v>
      </c>
      <c r="C1154" s="621">
        <f>VLOOKUP(B1152,'CNKT '!$D$101:$AA$166,3,0)</f>
        <v>0</v>
      </c>
      <c r="D1154" s="622">
        <v>25000</v>
      </c>
      <c r="E1154" s="1023">
        <f t="shared" ref="E1154:E1159" si="216">C1154*D1154</f>
        <v>0</v>
      </c>
      <c r="F1154" s="1079"/>
      <c r="G1154" s="1020" t="s">
        <v>72</v>
      </c>
      <c r="H1154" s="1024" t="s">
        <v>406</v>
      </c>
      <c r="I1154" s="621">
        <f>VLOOKUP(H1152,'CNKT '!$D$101:$AA$166,3,0)</f>
        <v>0</v>
      </c>
      <c r="J1154" s="622">
        <v>25000</v>
      </c>
      <c r="K1154" s="1023">
        <f t="shared" ref="K1154:K1159" si="217">I1154*J1154</f>
        <v>0</v>
      </c>
      <c r="L1154" s="1040"/>
      <c r="M1154" s="1035"/>
    </row>
    <row r="1155" spans="1:13" s="27" customFormat="1" ht="17.25" customHeight="1">
      <c r="A1155" s="1020" t="s">
        <v>292</v>
      </c>
      <c r="B1155" s="1025" t="s">
        <v>494</v>
      </c>
      <c r="C1155" s="1026">
        <f>VLOOKUP(B1152,'CNKT '!$D$101:$AA$166,11,0)</f>
        <v>21</v>
      </c>
      <c r="D1155" s="623">
        <f>46.1*$B$2</f>
        <v>30922.036</v>
      </c>
      <c r="E1155" s="1023">
        <f t="shared" si="216"/>
        <v>649362.75600000005</v>
      </c>
      <c r="F1155" s="1079"/>
      <c r="G1155" s="1020" t="s">
        <v>292</v>
      </c>
      <c r="H1155" s="1025" t="s">
        <v>494</v>
      </c>
      <c r="I1155" s="1026">
        <f>VLOOKUP(H1152,'CNKT '!$D$101:$AA$166,11,0)</f>
        <v>24</v>
      </c>
      <c r="J1155" s="623">
        <f>46.1*$B$2</f>
        <v>30922.036</v>
      </c>
      <c r="K1155" s="1023">
        <f t="shared" si="217"/>
        <v>742128.86400000006</v>
      </c>
      <c r="L1155" s="1040"/>
      <c r="M1155" s="1035"/>
    </row>
    <row r="1156" spans="1:13" s="27" customFormat="1" ht="17.25" customHeight="1">
      <c r="A1156" s="1020" t="s">
        <v>379</v>
      </c>
      <c r="B1156" s="1025" t="s">
        <v>495</v>
      </c>
      <c r="C1156" s="1026">
        <f>VLOOKUP(B1152,'CNKT '!$D$101:$AA$166,12,0)</f>
        <v>3</v>
      </c>
      <c r="D1156" s="622">
        <f>76.9*$B$2</f>
        <v>51581.444000000003</v>
      </c>
      <c r="E1156" s="1023">
        <f t="shared" si="216"/>
        <v>154744.33199999999</v>
      </c>
      <c r="F1156" s="1079"/>
      <c r="G1156" s="1020" t="s">
        <v>379</v>
      </c>
      <c r="H1156" s="1025" t="s">
        <v>495</v>
      </c>
      <c r="I1156" s="1026">
        <f>VLOOKUP(H1152,'CNKT '!$D$101:$AA$166,12,0)</f>
        <v>4</v>
      </c>
      <c r="J1156" s="622">
        <f>76.9*$B$2</f>
        <v>51581.444000000003</v>
      </c>
      <c r="K1156" s="1023">
        <f t="shared" si="217"/>
        <v>206325.77600000001</v>
      </c>
      <c r="L1156" s="1040"/>
      <c r="M1156" s="1035"/>
    </row>
    <row r="1157" spans="1:13" s="27" customFormat="1" ht="17.25" customHeight="1">
      <c r="A1157" s="1020" t="s">
        <v>73</v>
      </c>
      <c r="B1157" s="1025" t="s">
        <v>496</v>
      </c>
      <c r="C1157" s="1026">
        <f>VLOOKUP(B1152,'CNKT '!$D$101:$AA$166,8,0)</f>
        <v>1697.3716875376811</v>
      </c>
      <c r="D1157" s="622">
        <f>IF(C1153="A",6.1,IF(C1153="B",5.8,IF(C1153="C",5.5,IF(C1153="C.",5.5,IF(C1153="D",5.2)))))*$B$2</f>
        <v>3890.4079999999999</v>
      </c>
      <c r="E1157" s="1023">
        <f t="shared" si="216"/>
        <v>6603468.3921700949</v>
      </c>
      <c r="F1157" s="1079"/>
      <c r="G1157" s="1020" t="s">
        <v>73</v>
      </c>
      <c r="H1157" s="1025" t="s">
        <v>496</v>
      </c>
      <c r="I1157" s="1026">
        <f>VLOOKUP(H1152,'CNKT '!$D$101:$AA$166,8,0)</f>
        <v>1929.224700922033</v>
      </c>
      <c r="J1157" s="622">
        <f>IF(I1153="A",6.1,IF(I1153="B",5.8,IF(I1153="C",5.5,IF(I1153="C.",5.5,IF(I1153="D",5.2)))))*$B$2</f>
        <v>3890.4079999999999</v>
      </c>
      <c r="K1157" s="1023">
        <f t="shared" si="217"/>
        <v>7505471.2102646846</v>
      </c>
      <c r="L1157" s="1040"/>
      <c r="M1157" s="1035"/>
    </row>
    <row r="1158" spans="1:13" s="27" customFormat="1" ht="17.25" customHeight="1">
      <c r="A1158" s="1089" t="s">
        <v>464</v>
      </c>
      <c r="B1158" s="1090" t="s">
        <v>497</v>
      </c>
      <c r="C1158" s="1091">
        <f>VLOOKUP(B1152,'CNKT '!$D$99:$AA$166,13,0)</f>
        <v>2</v>
      </c>
      <c r="D1158" s="1092">
        <v>100000</v>
      </c>
      <c r="E1158" s="1093">
        <f t="shared" si="216"/>
        <v>200000</v>
      </c>
      <c r="F1158" s="1079"/>
      <c r="G1158" s="1089" t="s">
        <v>464</v>
      </c>
      <c r="H1158" s="1090" t="s">
        <v>497</v>
      </c>
      <c r="I1158" s="1091">
        <f>VLOOKUP(H1152,'CNKT '!$D$99:$AA$166,13,0)</f>
        <v>2</v>
      </c>
      <c r="J1158" s="1092">
        <v>100000</v>
      </c>
      <c r="K1158" s="1093">
        <f t="shared" si="217"/>
        <v>200000</v>
      </c>
      <c r="L1158" s="1040"/>
      <c r="M1158" s="1035"/>
    </row>
    <row r="1159" spans="1:13" s="27" customFormat="1" ht="17.25" customHeight="1">
      <c r="A1159" s="1020" t="s">
        <v>421</v>
      </c>
      <c r="B1159" s="1025" t="s">
        <v>467</v>
      </c>
      <c r="C1159" s="1026">
        <f>VLOOKUP(B1152,'CNKT '!$D$101:$AA$166,14,0)</f>
        <v>0</v>
      </c>
      <c r="D1159" s="622">
        <f>153.6*$B$2</f>
        <v>103028.73599999999</v>
      </c>
      <c r="E1159" s="1023">
        <f t="shared" si="216"/>
        <v>0</v>
      </c>
      <c r="F1159" s="1079"/>
      <c r="G1159" s="1020" t="s">
        <v>421</v>
      </c>
      <c r="H1159" s="1025" t="s">
        <v>467</v>
      </c>
      <c r="I1159" s="1026">
        <f>VLOOKUP(H1152,'CNKT '!$D$101:$AA$166,14,0)</f>
        <v>0</v>
      </c>
      <c r="J1159" s="622">
        <f>153.6*$B$2</f>
        <v>103028.73599999999</v>
      </c>
      <c r="K1159" s="1023">
        <f t="shared" si="217"/>
        <v>0</v>
      </c>
      <c r="L1159" s="1040"/>
      <c r="M1159" s="1035"/>
    </row>
    <row r="1160" spans="1:13" s="27" customFormat="1" ht="17.25" customHeight="1">
      <c r="A1160" s="1020" t="s">
        <v>425</v>
      </c>
      <c r="B1160" s="1025" t="s">
        <v>468</v>
      </c>
      <c r="C1160" s="1026">
        <f>VLOOKUP(B1152,'CNKT '!$D$102:$AA$166,18,0)</f>
        <v>2</v>
      </c>
      <c r="D1160" s="622">
        <v>10000</v>
      </c>
      <c r="E1160" s="1023">
        <f>C1160*D1160</f>
        <v>20000</v>
      </c>
      <c r="F1160" s="1079"/>
      <c r="G1160" s="1020" t="s">
        <v>425</v>
      </c>
      <c r="H1160" s="1025" t="s">
        <v>468</v>
      </c>
      <c r="I1160" s="1026">
        <f>VLOOKUP(H1152,'CNKT '!$D$102:$AA$166,18,0)</f>
        <v>2</v>
      </c>
      <c r="J1160" s="622">
        <v>10000</v>
      </c>
      <c r="K1160" s="1023">
        <f>I1160*J1160</f>
        <v>20000</v>
      </c>
      <c r="L1160" s="1040"/>
      <c r="M1160" s="1035"/>
    </row>
    <row r="1161" spans="1:13" s="27" customFormat="1" ht="17.25" customHeight="1">
      <c r="A1161" s="1020" t="s">
        <v>425</v>
      </c>
      <c r="B1161" s="1025" t="s">
        <v>468</v>
      </c>
      <c r="C1161" s="1026">
        <f>VLOOKUP(B1152,'CNKT '!$D$102:$AA$166,19,0)</f>
        <v>0</v>
      </c>
      <c r="D1161" s="622">
        <v>20000</v>
      </c>
      <c r="E1161" s="1023">
        <f>C1161*D1161</f>
        <v>0</v>
      </c>
      <c r="F1161" s="1079"/>
      <c r="G1161" s="1020" t="s">
        <v>425</v>
      </c>
      <c r="H1161" s="1025" t="s">
        <v>468</v>
      </c>
      <c r="I1161" s="1026">
        <f>VLOOKUP(H1152,'CNKT '!$D$102:$AA$166,19,0)</f>
        <v>0</v>
      </c>
      <c r="J1161" s="622">
        <v>20000</v>
      </c>
      <c r="K1161" s="1023">
        <f>I1161*J1161</f>
        <v>0</v>
      </c>
      <c r="L1161" s="1040"/>
      <c r="M1161" s="1035"/>
    </row>
    <row r="1162" spans="1:13" s="27" customFormat="1" ht="17.25" customHeight="1">
      <c r="A1162" s="1020" t="s">
        <v>780</v>
      </c>
      <c r="B1162" s="1027" t="s">
        <v>781</v>
      </c>
      <c r="C1162" s="1026"/>
      <c r="D1162" s="622"/>
      <c r="E1162" s="1023">
        <f>VLOOKUP(B1152,'CNKT '!$D$102:$AE$166,28,0)</f>
        <v>0</v>
      </c>
      <c r="F1162" s="1079"/>
      <c r="G1162" s="1020" t="s">
        <v>780</v>
      </c>
      <c r="H1162" s="1027" t="s">
        <v>781</v>
      </c>
      <c r="I1162" s="1026"/>
      <c r="J1162" s="622"/>
      <c r="K1162" s="1023">
        <f>VLOOKUP(H1152,'CNKT '!$D$102:$AE$166,28,0)</f>
        <v>0</v>
      </c>
      <c r="L1162" s="1040"/>
      <c r="M1162" s="1035"/>
    </row>
    <row r="1163" spans="1:13" s="27" customFormat="1" ht="17.25" customHeight="1">
      <c r="A1163" s="1028" t="s">
        <v>74</v>
      </c>
      <c r="B1163" s="1029" t="s">
        <v>498</v>
      </c>
      <c r="C1163" s="1030"/>
      <c r="D1163" s="1031"/>
      <c r="E1163" s="1030"/>
      <c r="F1163" s="1079"/>
      <c r="G1163" s="1028" t="s">
        <v>74</v>
      </c>
      <c r="H1163" s="1029" t="s">
        <v>498</v>
      </c>
      <c r="I1163" s="1030"/>
      <c r="J1163" s="1031"/>
      <c r="K1163" s="1030"/>
      <c r="L1163" s="1040"/>
      <c r="M1163" s="1035"/>
    </row>
    <row r="1164" spans="1:13" s="27" customFormat="1" ht="17.25" customHeight="1">
      <c r="A1164" s="1032" t="s">
        <v>75</v>
      </c>
      <c r="B1164" s="1033" t="s">
        <v>499</v>
      </c>
      <c r="C1164" s="1030"/>
      <c r="D1164" s="1030"/>
      <c r="E1164" s="1030"/>
      <c r="F1164" s="1079"/>
      <c r="G1164" s="1032" t="s">
        <v>75</v>
      </c>
      <c r="H1164" s="1033" t="s">
        <v>499</v>
      </c>
      <c r="I1164" s="1030"/>
      <c r="J1164" s="1030"/>
      <c r="K1164" s="1030"/>
      <c r="L1164" s="1040"/>
      <c r="M1164" s="1035"/>
    </row>
    <row r="1165" spans="1:13" s="27" customFormat="1" ht="17.25" customHeight="1">
      <c r="A1165" s="1032" t="s">
        <v>76</v>
      </c>
      <c r="B1165" s="1034" t="s">
        <v>500</v>
      </c>
      <c r="C1165" s="1030"/>
      <c r="D1165" s="1030"/>
      <c r="E1165" s="1023">
        <f>SUM(E1164)</f>
        <v>0</v>
      </c>
      <c r="F1165" s="1084"/>
      <c r="G1165" s="1032" t="s">
        <v>76</v>
      </c>
      <c r="H1165" s="1034" t="s">
        <v>500</v>
      </c>
      <c r="I1165" s="1030"/>
      <c r="J1165" s="1030"/>
      <c r="K1165" s="1023">
        <f>SUM(K1164)</f>
        <v>0</v>
      </c>
      <c r="L1165" s="1040"/>
      <c r="M1165" s="1035"/>
    </row>
    <row r="1166" spans="1:13" s="27" customFormat="1" ht="17.25" customHeight="1">
      <c r="A1166" s="1036" t="s">
        <v>77</v>
      </c>
      <c r="B1166" s="1037" t="s">
        <v>412</v>
      </c>
      <c r="C1166" s="1038"/>
      <c r="D1166" s="1038"/>
      <c r="E1166" s="1038">
        <f>(E1154+E1155+E1156+E1157+E1158+E1159+E1160+E1161+E1162)-E1165</f>
        <v>7627575.4801700953</v>
      </c>
      <c r="F1166" s="1084"/>
      <c r="G1166" s="1036" t="s">
        <v>77</v>
      </c>
      <c r="H1166" s="1037" t="s">
        <v>412</v>
      </c>
      <c r="I1166" s="1038"/>
      <c r="J1166" s="1038"/>
      <c r="K1166" s="1038">
        <f>(K1154+K1155+K1156+K1157+K1158+K1159+K1160+K1161+K1162)-K1165</f>
        <v>8673925.8502646852</v>
      </c>
      <c r="L1166" s="1040">
        <f>E1166+K1166</f>
        <v>16301501.330434781</v>
      </c>
      <c r="M1166" s="1035"/>
    </row>
    <row r="1167" spans="1:13" s="27" customFormat="1" ht="17.25" customHeight="1">
      <c r="A1167" s="1082"/>
      <c r="B1167" s="1082"/>
      <c r="C1167" s="1082"/>
      <c r="D1167" s="1082"/>
      <c r="E1167" s="1082"/>
      <c r="F1167" s="1082"/>
      <c r="G1167" s="1082"/>
      <c r="H1167" s="1082"/>
      <c r="I1167" s="1082"/>
      <c r="J1167" s="1082"/>
      <c r="K1167" s="1082"/>
      <c r="L1167" s="1040"/>
      <c r="M1167" s="1035"/>
    </row>
    <row r="1168" spans="1:13" s="27" customFormat="1" ht="17.25" customHeight="1">
      <c r="A1168" s="1083" t="str">
        <f>A1151</f>
        <v>LƯƠNG THÁNG 08/2025</v>
      </c>
      <c r="B1168" s="1082"/>
      <c r="C1168" s="1082"/>
      <c r="D1168" s="1082"/>
      <c r="E1168" s="1078">
        <f>VLOOKUP(B1169,'CNKT '!$D$102:$AD$166,26,0)</f>
        <v>51</v>
      </c>
      <c r="F1168" s="1079"/>
      <c r="G1168" s="1083" t="str">
        <f>A1168</f>
        <v>LƯƠNG THÁNG 08/2025</v>
      </c>
      <c r="H1168" s="1082"/>
      <c r="I1168" s="1082"/>
      <c r="J1168" s="1014"/>
      <c r="K1168" s="1078">
        <f>VLOOKUP(H1169,'CNKT '!$D$102:$AD$166,26,0)</f>
        <v>52</v>
      </c>
      <c r="L1168" s="1040"/>
      <c r="M1168" s="1035"/>
    </row>
    <row r="1169" spans="1:13" s="27" customFormat="1" ht="17.25" customHeight="1">
      <c r="A1169" s="1044" t="s">
        <v>13</v>
      </c>
      <c r="B1169" s="1016" t="str">
        <f>'CNKT '!D152</f>
        <v>T. Vạt</v>
      </c>
      <c r="C1169" s="1022"/>
      <c r="D1169" s="1016" t="s">
        <v>376</v>
      </c>
      <c r="E1169" s="1016" t="s">
        <v>16</v>
      </c>
      <c r="F1169" s="1079"/>
      <c r="G1169" s="1044" t="s">
        <v>13</v>
      </c>
      <c r="H1169" s="1016" t="str">
        <f>'CNKT '!D153</f>
        <v>T. Lay</v>
      </c>
      <c r="I1169" s="1022"/>
      <c r="J1169" s="1016" t="s">
        <v>376</v>
      </c>
      <c r="K1169" s="1016" t="s">
        <v>16</v>
      </c>
      <c r="L1169" s="1040"/>
      <c r="M1169" s="1035"/>
    </row>
    <row r="1170" spans="1:13" s="27" customFormat="1" ht="17.25" customHeight="1">
      <c r="A1170" s="1020" t="s">
        <v>377</v>
      </c>
      <c r="B1170" s="1021" t="s">
        <v>493</v>
      </c>
      <c r="C1170" s="1022" t="str">
        <f>VLOOKUP(B1169,'BTH mủ tạp'!$D$98:$AN$160,37,0)</f>
        <v>B</v>
      </c>
      <c r="D1170" s="1023"/>
      <c r="E1170" s="1023"/>
      <c r="F1170" s="1079"/>
      <c r="G1170" s="1020" t="s">
        <v>377</v>
      </c>
      <c r="H1170" s="1021" t="s">
        <v>493</v>
      </c>
      <c r="I1170" s="1022" t="str">
        <f>VLOOKUP(H1169,'BTH mủ tạp'!$D$98:$AN$160,37,0)</f>
        <v>A</v>
      </c>
      <c r="J1170" s="1023"/>
      <c r="K1170" s="1023"/>
      <c r="L1170" s="1040"/>
      <c r="M1170" s="1035"/>
    </row>
    <row r="1171" spans="1:13" s="27" customFormat="1" ht="17.25" customHeight="1">
      <c r="A1171" s="1020" t="s">
        <v>72</v>
      </c>
      <c r="B1171" s="1024" t="s">
        <v>406</v>
      </c>
      <c r="C1171" s="621">
        <f>VLOOKUP(B1169,'CNKT '!$D$101:$AA$166,3,0)</f>
        <v>0</v>
      </c>
      <c r="D1171" s="622">
        <v>25000</v>
      </c>
      <c r="E1171" s="1023">
        <f t="shared" ref="E1171:E1176" si="218">C1171*D1171</f>
        <v>0</v>
      </c>
      <c r="F1171" s="1079"/>
      <c r="G1171" s="1020" t="s">
        <v>72</v>
      </c>
      <c r="H1171" s="1024" t="s">
        <v>406</v>
      </c>
      <c r="I1171" s="621">
        <f>VLOOKUP(H1169,'CNKT '!$D$101:$AA$166,3,0)</f>
        <v>0</v>
      </c>
      <c r="J1171" s="622">
        <v>25000</v>
      </c>
      <c r="K1171" s="1023">
        <f t="shared" ref="K1171:K1176" si="219">I1171*J1171</f>
        <v>0</v>
      </c>
      <c r="L1171" s="1040"/>
      <c r="M1171" s="1035"/>
    </row>
    <row r="1172" spans="1:13" s="27" customFormat="1" ht="17.25" customHeight="1">
      <c r="A1172" s="1020" t="s">
        <v>292</v>
      </c>
      <c r="B1172" s="1025" t="s">
        <v>494</v>
      </c>
      <c r="C1172" s="1026">
        <f>VLOOKUP(B1169,'CNKT '!$D$101:$AA$166,11,0)</f>
        <v>24</v>
      </c>
      <c r="D1172" s="623">
        <f>46.1*$B$2</f>
        <v>30922.036</v>
      </c>
      <c r="E1172" s="1023">
        <f t="shared" si="218"/>
        <v>742128.86400000006</v>
      </c>
      <c r="F1172" s="1079"/>
      <c r="G1172" s="1020" t="s">
        <v>292</v>
      </c>
      <c r="H1172" s="1025" t="s">
        <v>494</v>
      </c>
      <c r="I1172" s="1026">
        <f>VLOOKUP(H1169,'CNKT '!$D$101:$AA$166,11,0)</f>
        <v>24</v>
      </c>
      <c r="J1172" s="623">
        <f>46.1*$B$2</f>
        <v>30922.036</v>
      </c>
      <c r="K1172" s="1023">
        <f t="shared" si="219"/>
        <v>742128.86400000006</v>
      </c>
      <c r="L1172" s="1040"/>
      <c r="M1172" s="1035"/>
    </row>
    <row r="1173" spans="1:13" s="27" customFormat="1" ht="17.25" customHeight="1">
      <c r="A1173" s="1020" t="s">
        <v>379</v>
      </c>
      <c r="B1173" s="1025" t="s">
        <v>495</v>
      </c>
      <c r="C1173" s="1026">
        <f>VLOOKUP(B1169,'CNKT '!$D$101:$AA$166,12,0)</f>
        <v>4</v>
      </c>
      <c r="D1173" s="622">
        <f>76.9*$B$2</f>
        <v>51581.444000000003</v>
      </c>
      <c r="E1173" s="1023">
        <f t="shared" si="218"/>
        <v>206325.77600000001</v>
      </c>
      <c r="F1173" s="1079"/>
      <c r="G1173" s="1020" t="s">
        <v>379</v>
      </c>
      <c r="H1173" s="1025" t="s">
        <v>495</v>
      </c>
      <c r="I1173" s="1026">
        <f>VLOOKUP(H1169,'CNKT '!$D$101:$AA$166,12,0)</f>
        <v>4</v>
      </c>
      <c r="J1173" s="622">
        <f>76.9*$B$2</f>
        <v>51581.444000000003</v>
      </c>
      <c r="K1173" s="1023">
        <f t="shared" si="219"/>
        <v>206325.77600000001</v>
      </c>
      <c r="L1173" s="1040"/>
      <c r="M1173" s="1035"/>
    </row>
    <row r="1174" spans="1:13" s="27" customFormat="1" ht="17.25" customHeight="1">
      <c r="A1174" s="1020" t="s">
        <v>73</v>
      </c>
      <c r="B1174" s="1025" t="s">
        <v>496</v>
      </c>
      <c r="C1174" s="1026">
        <f>VLOOKUP(B1169,'CNKT '!$D$101:$AA$166,8,0)</f>
        <v>1966.8575594377767</v>
      </c>
      <c r="D1174" s="622">
        <f>IF(C1170="A",6.1,IF(C1170="B",5.8,IF(C1170="C",5.5,IF(C1170="C.",5.5,IF(C1170="D",5.2)))))*$B$2</f>
        <v>3890.4079999999999</v>
      </c>
      <c r="E1174" s="1023">
        <f t="shared" si="218"/>
        <v>7651878.3840972017</v>
      </c>
      <c r="F1174" s="1079"/>
      <c r="G1174" s="1020" t="s">
        <v>73</v>
      </c>
      <c r="H1174" s="1025" t="s">
        <v>496</v>
      </c>
      <c r="I1174" s="1026">
        <f>VLOOKUP(H1169,'CNKT '!$D$101:$AA$166,8,0)</f>
        <v>1767.8792270556835</v>
      </c>
      <c r="J1174" s="622">
        <f>IF(I1170="A",6.1,IF(I1170="B",5.8,IF(I1170="C",5.5,IF(I1170="C.",5.5,IF(I1170="D",5.2)))))*$B$2</f>
        <v>4091.6359999999995</v>
      </c>
      <c r="K1174" s="1023">
        <f t="shared" si="219"/>
        <v>7233518.2890732074</v>
      </c>
      <c r="L1174" s="1040"/>
      <c r="M1174" s="1035"/>
    </row>
    <row r="1175" spans="1:13" s="27" customFormat="1" ht="17.25" customHeight="1">
      <c r="A1175" s="1089" t="s">
        <v>464</v>
      </c>
      <c r="B1175" s="1090" t="s">
        <v>497</v>
      </c>
      <c r="C1175" s="1091">
        <f>VLOOKUP(B1169,'CNKT '!$D$99:$AA$166,13,0)</f>
        <v>2</v>
      </c>
      <c r="D1175" s="1092">
        <v>100000</v>
      </c>
      <c r="E1175" s="1093">
        <f t="shared" si="218"/>
        <v>200000</v>
      </c>
      <c r="F1175" s="1079"/>
      <c r="G1175" s="1089" t="s">
        <v>464</v>
      </c>
      <c r="H1175" s="1090" t="s">
        <v>497</v>
      </c>
      <c r="I1175" s="1091">
        <f>VLOOKUP(H1169,'CNKT '!$D$99:$AA$166,13,0)</f>
        <v>2</v>
      </c>
      <c r="J1175" s="1092">
        <v>100000</v>
      </c>
      <c r="K1175" s="1093">
        <f t="shared" si="219"/>
        <v>200000</v>
      </c>
      <c r="L1175" s="1040"/>
      <c r="M1175" s="1035"/>
    </row>
    <row r="1176" spans="1:13" s="27" customFormat="1" ht="17.25" customHeight="1">
      <c r="A1176" s="1020" t="s">
        <v>421</v>
      </c>
      <c r="B1176" s="1025" t="s">
        <v>467</v>
      </c>
      <c r="C1176" s="1026">
        <f>VLOOKUP(B1169,'CNKT '!$D$101:$AA$166,14,0)</f>
        <v>0</v>
      </c>
      <c r="D1176" s="622">
        <f>153.6*$B$2</f>
        <v>103028.73599999999</v>
      </c>
      <c r="E1176" s="1023">
        <f t="shared" si="218"/>
        <v>0</v>
      </c>
      <c r="F1176" s="1079"/>
      <c r="G1176" s="1020" t="s">
        <v>421</v>
      </c>
      <c r="H1176" s="1025" t="s">
        <v>467</v>
      </c>
      <c r="I1176" s="1026">
        <f>VLOOKUP(H1169,'CNKT '!$D$101:$AA$166,14,0)</f>
        <v>0</v>
      </c>
      <c r="J1176" s="622">
        <f>153.6*$B$2</f>
        <v>103028.73599999999</v>
      </c>
      <c r="K1176" s="1023">
        <f t="shared" si="219"/>
        <v>0</v>
      </c>
      <c r="L1176" s="1040"/>
      <c r="M1176" s="1035"/>
    </row>
    <row r="1177" spans="1:13" s="27" customFormat="1" ht="17.25" customHeight="1">
      <c r="A1177" s="1020" t="s">
        <v>425</v>
      </c>
      <c r="B1177" s="1025" t="s">
        <v>468</v>
      </c>
      <c r="C1177" s="1026">
        <f>VLOOKUP(B1169,'CNKT '!$D$102:$AA$166,18,0)</f>
        <v>2</v>
      </c>
      <c r="D1177" s="622">
        <v>10000</v>
      </c>
      <c r="E1177" s="1023">
        <f>C1177*D1177</f>
        <v>20000</v>
      </c>
      <c r="F1177" s="1079"/>
      <c r="G1177" s="1020" t="s">
        <v>425</v>
      </c>
      <c r="H1177" s="1025" t="s">
        <v>468</v>
      </c>
      <c r="I1177" s="1026">
        <f>VLOOKUP(H1169,'CNKT '!$D$102:$AA$166,18,0)</f>
        <v>2</v>
      </c>
      <c r="J1177" s="622">
        <v>10000</v>
      </c>
      <c r="K1177" s="1023">
        <f>I1177*J1177</f>
        <v>20000</v>
      </c>
      <c r="L1177" s="1040"/>
      <c r="M1177" s="1035"/>
    </row>
    <row r="1178" spans="1:13" s="27" customFormat="1" ht="17.25" customHeight="1">
      <c r="A1178" s="1020" t="s">
        <v>425</v>
      </c>
      <c r="B1178" s="1025" t="s">
        <v>468</v>
      </c>
      <c r="C1178" s="1026">
        <f>VLOOKUP(B1169,'CNKT '!$D$102:$AA$166,19,0)</f>
        <v>0</v>
      </c>
      <c r="D1178" s="622">
        <v>20000</v>
      </c>
      <c r="E1178" s="1023">
        <f>C1178*D1178</f>
        <v>0</v>
      </c>
      <c r="F1178" s="1079"/>
      <c r="G1178" s="1020" t="s">
        <v>425</v>
      </c>
      <c r="H1178" s="1025" t="s">
        <v>468</v>
      </c>
      <c r="I1178" s="1026">
        <f>VLOOKUP(H1169,'CNKT '!$D$102:$AA$166,19,0)</f>
        <v>0</v>
      </c>
      <c r="J1178" s="622">
        <v>20000</v>
      </c>
      <c r="K1178" s="1023">
        <f>I1178*J1178</f>
        <v>0</v>
      </c>
      <c r="L1178" s="1040"/>
      <c r="M1178" s="1035"/>
    </row>
    <row r="1179" spans="1:13" s="27" customFormat="1" ht="17.25" customHeight="1">
      <c r="A1179" s="1020" t="s">
        <v>780</v>
      </c>
      <c r="B1179" s="1027" t="s">
        <v>781</v>
      </c>
      <c r="C1179" s="1026"/>
      <c r="D1179" s="622"/>
      <c r="E1179" s="1023">
        <f>VLOOKUP(B1169,'CNKT '!$D$102:$AE$166,28,0)</f>
        <v>0</v>
      </c>
      <c r="F1179" s="1079"/>
      <c r="G1179" s="1020" t="s">
        <v>780</v>
      </c>
      <c r="H1179" s="1027" t="s">
        <v>781</v>
      </c>
      <c r="I1179" s="1026"/>
      <c r="J1179" s="622"/>
      <c r="K1179" s="1023">
        <f>VLOOKUP(H1169,'CNKT '!$D$102:$AE$166,28,0)</f>
        <v>0</v>
      </c>
      <c r="L1179" s="1040"/>
      <c r="M1179" s="1035"/>
    </row>
    <row r="1180" spans="1:13" s="27" customFormat="1" ht="17.25" customHeight="1">
      <c r="A1180" s="1028" t="s">
        <v>74</v>
      </c>
      <c r="B1180" s="1029" t="s">
        <v>498</v>
      </c>
      <c r="C1180" s="1030"/>
      <c r="D1180" s="1031"/>
      <c r="E1180" s="1030"/>
      <c r="F1180" s="1079"/>
      <c r="G1180" s="1028" t="s">
        <v>74</v>
      </c>
      <c r="H1180" s="1029" t="s">
        <v>498</v>
      </c>
      <c r="I1180" s="1030"/>
      <c r="J1180" s="1031"/>
      <c r="K1180" s="1030"/>
      <c r="L1180" s="1040"/>
      <c r="M1180" s="1035"/>
    </row>
    <row r="1181" spans="1:13" s="27" customFormat="1" ht="17.25" customHeight="1">
      <c r="A1181" s="1032" t="s">
        <v>75</v>
      </c>
      <c r="B1181" s="1033" t="s">
        <v>499</v>
      </c>
      <c r="C1181" s="1030"/>
      <c r="D1181" s="1030"/>
      <c r="E1181" s="1030"/>
      <c r="F1181" s="1079"/>
      <c r="G1181" s="1032" t="s">
        <v>75</v>
      </c>
      <c r="H1181" s="1033" t="s">
        <v>499</v>
      </c>
      <c r="I1181" s="1030"/>
      <c r="J1181" s="1030"/>
      <c r="K1181" s="1030"/>
      <c r="L1181" s="1040"/>
      <c r="M1181" s="1035"/>
    </row>
    <row r="1182" spans="1:13" s="27" customFormat="1" ht="17.25" customHeight="1">
      <c r="A1182" s="1032" t="s">
        <v>76</v>
      </c>
      <c r="B1182" s="1034" t="s">
        <v>500</v>
      </c>
      <c r="C1182" s="1030"/>
      <c r="D1182" s="1030"/>
      <c r="E1182" s="1023">
        <f>SUM(E1181)</f>
        <v>0</v>
      </c>
      <c r="F1182" s="1084"/>
      <c r="G1182" s="1032" t="s">
        <v>76</v>
      </c>
      <c r="H1182" s="1034" t="s">
        <v>500</v>
      </c>
      <c r="I1182" s="1030"/>
      <c r="J1182" s="1030"/>
      <c r="K1182" s="1023">
        <f>SUM(K1181)</f>
        <v>0</v>
      </c>
      <c r="L1182" s="1040"/>
      <c r="M1182" s="1035"/>
    </row>
    <row r="1183" spans="1:13" s="27" customFormat="1" ht="17.25" customHeight="1">
      <c r="A1183" s="1036" t="s">
        <v>77</v>
      </c>
      <c r="B1183" s="1037" t="s">
        <v>412</v>
      </c>
      <c r="C1183" s="1038"/>
      <c r="D1183" s="1038"/>
      <c r="E1183" s="1038">
        <f>(E1171+E1172+E1173+E1174+E1175+E1176+E1177+E1178+E1179)-E1182</f>
        <v>8820333.0240972023</v>
      </c>
      <c r="F1183" s="1084"/>
      <c r="G1183" s="1036" t="s">
        <v>77</v>
      </c>
      <c r="H1183" s="1037" t="s">
        <v>412</v>
      </c>
      <c r="I1183" s="1038"/>
      <c r="J1183" s="1038"/>
      <c r="K1183" s="1038">
        <f>(K1171+K1172+K1173+K1174+K1175+K1176+K1177+K1178+K1179)-K1182</f>
        <v>8401972.9290732071</v>
      </c>
      <c r="L1183" s="1040">
        <f>E1183+K1183</f>
        <v>17222305.953170411</v>
      </c>
      <c r="M1183" s="1035"/>
    </row>
    <row r="1184" spans="1:13" s="27" customFormat="1" ht="17.25" customHeight="1">
      <c r="A1184" s="1082"/>
      <c r="B1184" s="1082"/>
      <c r="C1184" s="1082"/>
      <c r="D1184" s="1082"/>
      <c r="E1184" s="1082"/>
      <c r="F1184" s="1082"/>
      <c r="G1184" s="1082"/>
      <c r="H1184" s="1082"/>
      <c r="I1184" s="1082"/>
      <c r="J1184" s="1082"/>
      <c r="K1184" s="1082"/>
      <c r="L1184" s="1040"/>
      <c r="M1184" s="1035"/>
    </row>
    <row r="1185" spans="1:13" s="27" customFormat="1" ht="17.25" customHeight="1">
      <c r="A1185" s="1083" t="str">
        <f>A1168</f>
        <v>LƯƠNG THÁNG 08/2025</v>
      </c>
      <c r="B1185" s="1082"/>
      <c r="C1185" s="1082"/>
      <c r="D1185" s="1082"/>
      <c r="E1185" s="1078">
        <f>VLOOKUP(B1186,'CNKT '!$D$102:$AD$166,26,0)</f>
        <v>53</v>
      </c>
      <c r="F1185" s="1079"/>
      <c r="G1185" s="1083" t="str">
        <f>A1185</f>
        <v>LƯƠNG THÁNG 08/2025</v>
      </c>
      <c r="H1185" s="1082"/>
      <c r="I1185" s="1082"/>
      <c r="J1185" s="1014"/>
      <c r="K1185" s="1078">
        <f>VLOOKUP(H1186,'CNKT '!$D$102:$AD$166,26,0)</f>
        <v>54</v>
      </c>
      <c r="L1185" s="1040"/>
      <c r="M1185" s="1035"/>
    </row>
    <row r="1186" spans="1:13" s="27" customFormat="1" ht="17.25" customHeight="1">
      <c r="A1186" s="1044" t="s">
        <v>13</v>
      </c>
      <c r="B1186" s="1016" t="str">
        <f>'CNKT '!D154</f>
        <v>N. Nọi</v>
      </c>
      <c r="C1186" s="1022"/>
      <c r="D1186" s="1016" t="s">
        <v>376</v>
      </c>
      <c r="E1186" s="1016" t="s">
        <v>16</v>
      </c>
      <c r="F1186" s="1079"/>
      <c r="G1186" s="1044" t="s">
        <v>13</v>
      </c>
      <c r="H1186" s="1016" t="str">
        <f>'CNKT '!D155</f>
        <v>T Bun Xi</v>
      </c>
      <c r="I1186" s="1022"/>
      <c r="J1186" s="1016" t="s">
        <v>376</v>
      </c>
      <c r="K1186" s="1016" t="s">
        <v>16</v>
      </c>
      <c r="L1186" s="1040"/>
      <c r="M1186" s="1035"/>
    </row>
    <row r="1187" spans="1:13" s="27" customFormat="1" ht="17.25" customHeight="1">
      <c r="A1187" s="1020" t="s">
        <v>377</v>
      </c>
      <c r="B1187" s="1021" t="s">
        <v>493</v>
      </c>
      <c r="C1187" s="1022" t="str">
        <f>VLOOKUP(B1186,'BTH mủ tạp'!$D$98:$AN$160,37,0)</f>
        <v>A</v>
      </c>
      <c r="D1187" s="1023"/>
      <c r="E1187" s="1023"/>
      <c r="F1187" s="1079"/>
      <c r="G1187" s="1020" t="s">
        <v>377</v>
      </c>
      <c r="H1187" s="1021" t="s">
        <v>493</v>
      </c>
      <c r="I1187" s="1022" t="str">
        <f>VLOOKUP(H1186,'BTH mủ tạp'!$D$98:$AN$160,37,0)</f>
        <v>B</v>
      </c>
      <c r="J1187" s="1023"/>
      <c r="K1187" s="1023"/>
      <c r="L1187" s="1040"/>
      <c r="M1187" s="1035"/>
    </row>
    <row r="1188" spans="1:13" s="27" customFormat="1" ht="17.25" customHeight="1">
      <c r="A1188" s="1020" t="s">
        <v>72</v>
      </c>
      <c r="B1188" s="1024" t="s">
        <v>406</v>
      </c>
      <c r="C1188" s="621">
        <f>VLOOKUP(B1186,'CNKT '!$D$101:$AA$166,3,0)</f>
        <v>0</v>
      </c>
      <c r="D1188" s="622">
        <v>25000</v>
      </c>
      <c r="E1188" s="1023">
        <f t="shared" ref="E1188:E1193" si="220">C1188*D1188</f>
        <v>0</v>
      </c>
      <c r="F1188" s="1079"/>
      <c r="G1188" s="1020" t="s">
        <v>72</v>
      </c>
      <c r="H1188" s="1024" t="s">
        <v>406</v>
      </c>
      <c r="I1188" s="621">
        <f>VLOOKUP(H1186,'CNKT '!$D$101:$AA$166,3,0)</f>
        <v>0</v>
      </c>
      <c r="J1188" s="622">
        <v>25000</v>
      </c>
      <c r="K1188" s="1023">
        <f t="shared" ref="K1188:K1193" si="221">I1188*J1188</f>
        <v>0</v>
      </c>
      <c r="L1188" s="1040"/>
      <c r="M1188" s="1035"/>
    </row>
    <row r="1189" spans="1:13" s="27" customFormat="1" ht="17.25" customHeight="1">
      <c r="A1189" s="1020" t="s">
        <v>292</v>
      </c>
      <c r="B1189" s="1025" t="s">
        <v>494</v>
      </c>
      <c r="C1189" s="1026">
        <f>VLOOKUP(B1186,'CNKT '!$D$101:$AA$166,11,0)</f>
        <v>24</v>
      </c>
      <c r="D1189" s="623">
        <f>46.1*$B$2</f>
        <v>30922.036</v>
      </c>
      <c r="E1189" s="1023">
        <f t="shared" si="220"/>
        <v>742128.86400000006</v>
      </c>
      <c r="F1189" s="1079"/>
      <c r="G1189" s="1020" t="s">
        <v>292</v>
      </c>
      <c r="H1189" s="1025" t="s">
        <v>494</v>
      </c>
      <c r="I1189" s="1026">
        <f>VLOOKUP(H1186,'CNKT '!$D$101:$AA$166,11,0)</f>
        <v>23</v>
      </c>
      <c r="J1189" s="623">
        <f>46.1*$B$2</f>
        <v>30922.036</v>
      </c>
      <c r="K1189" s="1023">
        <f t="shared" si="221"/>
        <v>711206.82799999998</v>
      </c>
      <c r="L1189" s="1040"/>
      <c r="M1189" s="1035"/>
    </row>
    <row r="1190" spans="1:13" s="27" customFormat="1" ht="17.25" customHeight="1">
      <c r="A1190" s="1020" t="s">
        <v>379</v>
      </c>
      <c r="B1190" s="1025" t="s">
        <v>495</v>
      </c>
      <c r="C1190" s="1026">
        <f>VLOOKUP(B1186,'CNKT '!$D$101:$AA$166,12,0)</f>
        <v>4</v>
      </c>
      <c r="D1190" s="622">
        <f>76.9*$B$2</f>
        <v>51581.444000000003</v>
      </c>
      <c r="E1190" s="1023">
        <f t="shared" si="220"/>
        <v>206325.77600000001</v>
      </c>
      <c r="F1190" s="1079"/>
      <c r="G1190" s="1020" t="s">
        <v>379</v>
      </c>
      <c r="H1190" s="1025" t="s">
        <v>495</v>
      </c>
      <c r="I1190" s="1026">
        <f>VLOOKUP(H1186,'CNKT '!$D$101:$AA$166,12,0)</f>
        <v>3</v>
      </c>
      <c r="J1190" s="622">
        <f>76.9*$B$2</f>
        <v>51581.444000000003</v>
      </c>
      <c r="K1190" s="1023">
        <f t="shared" si="221"/>
        <v>154744.33199999999</v>
      </c>
      <c r="L1190" s="1040"/>
      <c r="M1190" s="1035"/>
    </row>
    <row r="1191" spans="1:13" s="27" customFormat="1" ht="17.25" customHeight="1">
      <c r="A1191" s="1020" t="s">
        <v>73</v>
      </c>
      <c r="B1191" s="1025" t="s">
        <v>496</v>
      </c>
      <c r="C1191" s="1026">
        <f>VLOOKUP(B1186,'CNKT '!$D$101:$AA$166,8,0)</f>
        <v>1801.6190312422123</v>
      </c>
      <c r="D1191" s="622">
        <f>IF(C1187="A",6.1,IF(C1187="B",5.8,IF(C1187="C",5.5,IF(C1187="C.",5.5,IF(C1187="D",5.2)))))*$B$2</f>
        <v>4091.6359999999995</v>
      </c>
      <c r="E1191" s="1023">
        <f t="shared" si="220"/>
        <v>7371569.2865157593</v>
      </c>
      <c r="F1191" s="1079"/>
      <c r="G1191" s="1020" t="s">
        <v>73</v>
      </c>
      <c r="H1191" s="1025" t="s">
        <v>496</v>
      </c>
      <c r="I1191" s="1026">
        <f>VLOOKUP(H1186,'CNKT '!$D$101:$AA$166,8,0)</f>
        <v>1847.0379984163858</v>
      </c>
      <c r="J1191" s="622">
        <f>IF(I1187="A",6.1,IF(I1187="B",5.8,IF(I1187="C",5.5,IF(I1187="C.",5.5,IF(I1187="D",5.2)))))*$B$2</f>
        <v>3890.4079999999999</v>
      </c>
      <c r="K1191" s="1023">
        <f t="shared" si="221"/>
        <v>7185731.4053430948</v>
      </c>
      <c r="L1191" s="1040"/>
      <c r="M1191" s="1035"/>
    </row>
    <row r="1192" spans="1:13" s="27" customFormat="1" ht="17.25" customHeight="1">
      <c r="A1192" s="1089" t="s">
        <v>464</v>
      </c>
      <c r="B1192" s="1090" t="s">
        <v>497</v>
      </c>
      <c r="C1192" s="1091">
        <f>VLOOKUP(B1186,'CNKT '!$D$99:$AA$166,13,0)</f>
        <v>2</v>
      </c>
      <c r="D1192" s="1092">
        <v>100000</v>
      </c>
      <c r="E1192" s="1093">
        <f t="shared" si="220"/>
        <v>200000</v>
      </c>
      <c r="F1192" s="1079"/>
      <c r="G1192" s="1089" t="s">
        <v>464</v>
      </c>
      <c r="H1192" s="1090" t="s">
        <v>497</v>
      </c>
      <c r="I1192" s="1091">
        <f>VLOOKUP(H1186,'CNKT '!$D$99:$AA$166,13,0)</f>
        <v>2</v>
      </c>
      <c r="J1192" s="1092">
        <v>100000</v>
      </c>
      <c r="K1192" s="1093">
        <f t="shared" si="221"/>
        <v>200000</v>
      </c>
      <c r="L1192" s="1040"/>
      <c r="M1192" s="1035"/>
    </row>
    <row r="1193" spans="1:13" s="27" customFormat="1" ht="17.25" customHeight="1">
      <c r="A1193" s="1020" t="s">
        <v>421</v>
      </c>
      <c r="B1193" s="1025" t="s">
        <v>467</v>
      </c>
      <c r="C1193" s="1026">
        <f>VLOOKUP(B1186,'CNKT '!$D$101:$AA$166,14,0)</f>
        <v>0</v>
      </c>
      <c r="D1193" s="622">
        <f>153.6*$B$2</f>
        <v>103028.73599999999</v>
      </c>
      <c r="E1193" s="1023">
        <f t="shared" si="220"/>
        <v>0</v>
      </c>
      <c r="F1193" s="1079"/>
      <c r="G1193" s="1020" t="s">
        <v>421</v>
      </c>
      <c r="H1193" s="1025" t="s">
        <v>467</v>
      </c>
      <c r="I1193" s="1026">
        <f>VLOOKUP(H1186,'CNKT '!$D$101:$AA$166,14,0)</f>
        <v>0</v>
      </c>
      <c r="J1193" s="622">
        <f>153.6*$B$2</f>
        <v>103028.73599999999</v>
      </c>
      <c r="K1193" s="1023">
        <f t="shared" si="221"/>
        <v>0</v>
      </c>
      <c r="L1193" s="1040"/>
      <c r="M1193" s="1035"/>
    </row>
    <row r="1194" spans="1:13" s="27" customFormat="1" ht="17.25" customHeight="1">
      <c r="A1194" s="1020" t="s">
        <v>425</v>
      </c>
      <c r="B1194" s="1025" t="s">
        <v>468</v>
      </c>
      <c r="C1194" s="1026">
        <f>VLOOKUP(B1186,'CNKT '!$D$102:$AA$166,18,0)</f>
        <v>2</v>
      </c>
      <c r="D1194" s="622">
        <v>10000</v>
      </c>
      <c r="E1194" s="1023">
        <f>C1194*D1194</f>
        <v>20000</v>
      </c>
      <c r="F1194" s="1079"/>
      <c r="G1194" s="1020" t="s">
        <v>425</v>
      </c>
      <c r="H1194" s="1025" t="s">
        <v>468</v>
      </c>
      <c r="I1194" s="1026">
        <f>VLOOKUP(H1186,'CNKT '!$D$102:$AA$166,18,0)</f>
        <v>2</v>
      </c>
      <c r="J1194" s="622">
        <v>10000</v>
      </c>
      <c r="K1194" s="1023">
        <f>I1194*J1194</f>
        <v>20000</v>
      </c>
      <c r="L1194" s="1040"/>
      <c r="M1194" s="1035"/>
    </row>
    <row r="1195" spans="1:13" s="27" customFormat="1" ht="17.25" customHeight="1">
      <c r="A1195" s="1020" t="s">
        <v>425</v>
      </c>
      <c r="B1195" s="1025" t="s">
        <v>468</v>
      </c>
      <c r="C1195" s="1026">
        <f>VLOOKUP(B1186,'CNKT '!$D$102:$AA$166,19,0)</f>
        <v>0</v>
      </c>
      <c r="D1195" s="622">
        <v>20000</v>
      </c>
      <c r="E1195" s="1023">
        <f>C1195*D1195</f>
        <v>0</v>
      </c>
      <c r="F1195" s="1079"/>
      <c r="G1195" s="1020" t="s">
        <v>425</v>
      </c>
      <c r="H1195" s="1025" t="s">
        <v>468</v>
      </c>
      <c r="I1195" s="1026">
        <f>VLOOKUP(H1186,'CNKT '!$D$102:$AA$166,19,0)</f>
        <v>0</v>
      </c>
      <c r="J1195" s="622">
        <v>20000</v>
      </c>
      <c r="K1195" s="1023">
        <f>I1195*J1195</f>
        <v>0</v>
      </c>
      <c r="L1195" s="1040"/>
      <c r="M1195" s="1035"/>
    </row>
    <row r="1196" spans="1:13" s="27" customFormat="1" ht="17.25" customHeight="1">
      <c r="A1196" s="1020" t="s">
        <v>780</v>
      </c>
      <c r="B1196" s="1027" t="s">
        <v>781</v>
      </c>
      <c r="C1196" s="1026"/>
      <c r="D1196" s="622"/>
      <c r="E1196" s="1023">
        <f>VLOOKUP(B1186,'CNKT '!$D$102:$AE$166,28,0)</f>
        <v>0</v>
      </c>
      <c r="F1196" s="1079"/>
      <c r="G1196" s="1020" t="s">
        <v>780</v>
      </c>
      <c r="H1196" s="1027" t="s">
        <v>781</v>
      </c>
      <c r="I1196" s="1026"/>
      <c r="J1196" s="622"/>
      <c r="K1196" s="1023">
        <f>VLOOKUP(H1186,'CNKT '!$D$102:$AE$166,28,0)</f>
        <v>0</v>
      </c>
      <c r="L1196" s="1040"/>
      <c r="M1196" s="1035"/>
    </row>
    <row r="1197" spans="1:13" s="27" customFormat="1" ht="17.25" customHeight="1">
      <c r="A1197" s="1028" t="s">
        <v>74</v>
      </c>
      <c r="B1197" s="1029" t="s">
        <v>498</v>
      </c>
      <c r="C1197" s="1030"/>
      <c r="D1197" s="1031"/>
      <c r="E1197" s="1030"/>
      <c r="F1197" s="1079"/>
      <c r="G1197" s="1028" t="s">
        <v>74</v>
      </c>
      <c r="H1197" s="1029" t="s">
        <v>498</v>
      </c>
      <c r="I1197" s="1030"/>
      <c r="J1197" s="1031"/>
      <c r="K1197" s="1030"/>
      <c r="L1197" s="1040"/>
      <c r="M1197" s="1035"/>
    </row>
    <row r="1198" spans="1:13" s="27" customFormat="1" ht="17.25" customHeight="1">
      <c r="A1198" s="1032" t="s">
        <v>75</v>
      </c>
      <c r="B1198" s="1033" t="s">
        <v>499</v>
      </c>
      <c r="C1198" s="1030"/>
      <c r="D1198" s="1030"/>
      <c r="E1198" s="1030"/>
      <c r="F1198" s="1079"/>
      <c r="G1198" s="1032" t="s">
        <v>75</v>
      </c>
      <c r="H1198" s="1033" t="s">
        <v>499</v>
      </c>
      <c r="I1198" s="1030"/>
      <c r="J1198" s="1030"/>
      <c r="K1198" s="1030"/>
      <c r="L1198" s="1040"/>
      <c r="M1198" s="1035"/>
    </row>
    <row r="1199" spans="1:13" s="27" customFormat="1" ht="17.25" customHeight="1">
      <c r="A1199" s="1032" t="s">
        <v>76</v>
      </c>
      <c r="B1199" s="1034" t="s">
        <v>500</v>
      </c>
      <c r="C1199" s="1030"/>
      <c r="D1199" s="1030"/>
      <c r="E1199" s="1023">
        <f>SUM(E1198)</f>
        <v>0</v>
      </c>
      <c r="F1199" s="1079"/>
      <c r="G1199" s="1032" t="s">
        <v>76</v>
      </c>
      <c r="H1199" s="1034" t="s">
        <v>500</v>
      </c>
      <c r="I1199" s="1030"/>
      <c r="J1199" s="1030"/>
      <c r="K1199" s="1023">
        <f>SUM(K1198)</f>
        <v>0</v>
      </c>
      <c r="L1199" s="1040"/>
      <c r="M1199" s="1035"/>
    </row>
    <row r="1200" spans="1:13" s="27" customFormat="1" ht="17.25" customHeight="1">
      <c r="A1200" s="1036" t="s">
        <v>77</v>
      </c>
      <c r="B1200" s="1037" t="s">
        <v>412</v>
      </c>
      <c r="C1200" s="1038"/>
      <c r="D1200" s="1038"/>
      <c r="E1200" s="1038">
        <f>(E1188+E1189+E1190+E1191+E1192+E1193+E1194+E1195+E1196)-E1199</f>
        <v>8540023.9265157599</v>
      </c>
      <c r="F1200" s="1079"/>
      <c r="G1200" s="1036" t="s">
        <v>77</v>
      </c>
      <c r="H1200" s="1037" t="s">
        <v>412</v>
      </c>
      <c r="I1200" s="1038"/>
      <c r="J1200" s="1038"/>
      <c r="K1200" s="1038">
        <f>(K1188+K1189+K1190+K1191+K1192+K1193+K1194+K1195+K1196)-K1199</f>
        <v>8271682.565343095</v>
      </c>
      <c r="L1200" s="1040">
        <f>E1200+K1200</f>
        <v>16811706.491858855</v>
      </c>
      <c r="M1200" s="1035"/>
    </row>
    <row r="1201" spans="1:13" s="27" customFormat="1" ht="17.25" customHeight="1">
      <c r="A1201" s="1082"/>
      <c r="B1201" s="1082"/>
      <c r="C1201" s="1082"/>
      <c r="D1201" s="1082"/>
      <c r="E1201" s="1082"/>
      <c r="F1201" s="1082"/>
      <c r="G1201" s="1082"/>
      <c r="H1201" s="1082"/>
      <c r="I1201" s="1082"/>
      <c r="J1201" s="1082"/>
      <c r="K1201" s="1082"/>
      <c r="L1201" s="1040"/>
      <c r="M1201" s="1035"/>
    </row>
    <row r="1202" spans="1:13" s="27" customFormat="1" ht="17.25" customHeight="1">
      <c r="A1202" s="1083" t="str">
        <f>A1185</f>
        <v>LƯƠNG THÁNG 08/2025</v>
      </c>
      <c r="B1202" s="1082"/>
      <c r="C1202" s="1082"/>
      <c r="D1202" s="1082"/>
      <c r="E1202" s="1078">
        <f>VLOOKUP(B1203,'CNKT '!$D$102:$AD$166,26,0)</f>
        <v>55</v>
      </c>
      <c r="F1202" s="1079"/>
      <c r="G1202" s="1083" t="str">
        <f>A1202</f>
        <v>LƯƠNG THÁNG 08/2025</v>
      </c>
      <c r="H1202" s="1082"/>
      <c r="I1202" s="1082"/>
      <c r="J1202" s="1014"/>
      <c r="K1202" s="1078">
        <f>VLOOKUP(H1203,'CNKT '!$D$102:$AD$166,26,0)</f>
        <v>56</v>
      </c>
      <c r="L1202" s="1040"/>
      <c r="M1202" s="1035"/>
    </row>
    <row r="1203" spans="1:13" s="27" customFormat="1" ht="17.25" customHeight="1">
      <c r="A1203" s="1044" t="s">
        <v>13</v>
      </c>
      <c r="B1203" s="1016" t="str">
        <f>'CNKT '!D156</f>
        <v>N. Bù</v>
      </c>
      <c r="C1203" s="1022"/>
      <c r="D1203" s="1016" t="s">
        <v>376</v>
      </c>
      <c r="E1203" s="1016" t="s">
        <v>16</v>
      </c>
      <c r="F1203" s="1079"/>
      <c r="G1203" s="1044" t="s">
        <v>13</v>
      </c>
      <c r="H1203" s="1016" t="str">
        <f>'CNKT '!D157</f>
        <v>T. Xơn</v>
      </c>
      <c r="I1203" s="1022"/>
      <c r="J1203" s="1016" t="s">
        <v>376</v>
      </c>
      <c r="K1203" s="1016" t="s">
        <v>16</v>
      </c>
      <c r="L1203" s="1040"/>
      <c r="M1203" s="1035"/>
    </row>
    <row r="1204" spans="1:13" s="27" customFormat="1" ht="17.25" customHeight="1">
      <c r="A1204" s="1020" t="s">
        <v>377</v>
      </c>
      <c r="B1204" s="1021" t="s">
        <v>493</v>
      </c>
      <c r="C1204" s="1022" t="str">
        <f>VLOOKUP(B1203,'BTH mủ tạp'!$D$98:$AN$160,37,0)</f>
        <v>A</v>
      </c>
      <c r="D1204" s="1023"/>
      <c r="E1204" s="1023"/>
      <c r="F1204" s="1079"/>
      <c r="G1204" s="1020" t="s">
        <v>377</v>
      </c>
      <c r="H1204" s="1021" t="s">
        <v>493</v>
      </c>
      <c r="I1204" s="1022" t="str">
        <f>VLOOKUP(H1203,'BTH mủ tạp'!$D$98:$AN$160,37,0)</f>
        <v>A</v>
      </c>
      <c r="J1204" s="1023"/>
      <c r="K1204" s="1023"/>
      <c r="L1204" s="1040"/>
      <c r="M1204" s="1035"/>
    </row>
    <row r="1205" spans="1:13" s="27" customFormat="1" ht="17.25" customHeight="1">
      <c r="A1205" s="1020" t="s">
        <v>72</v>
      </c>
      <c r="B1205" s="1024" t="s">
        <v>406</v>
      </c>
      <c r="C1205" s="621">
        <f>VLOOKUP(B1203,'CNKT '!$D$101:$AA$166,3,0)</f>
        <v>0</v>
      </c>
      <c r="D1205" s="622">
        <v>25000</v>
      </c>
      <c r="E1205" s="1023">
        <f t="shared" ref="E1205:E1210" si="222">C1205*D1205</f>
        <v>0</v>
      </c>
      <c r="F1205" s="1079"/>
      <c r="G1205" s="1020" t="s">
        <v>72</v>
      </c>
      <c r="H1205" s="1024" t="s">
        <v>406</v>
      </c>
      <c r="I1205" s="621">
        <f>VLOOKUP(H1203,'CNKT '!$D$101:$AA$166,3,0)</f>
        <v>0</v>
      </c>
      <c r="J1205" s="622">
        <v>25000</v>
      </c>
      <c r="K1205" s="1023">
        <f t="shared" ref="K1205:K1210" si="223">I1205*J1205</f>
        <v>0</v>
      </c>
      <c r="L1205" s="1040"/>
      <c r="M1205" s="1035"/>
    </row>
    <row r="1206" spans="1:13" s="27" customFormat="1" ht="17.25" customHeight="1">
      <c r="A1206" s="1020" t="s">
        <v>292</v>
      </c>
      <c r="B1206" s="1025" t="s">
        <v>494</v>
      </c>
      <c r="C1206" s="1026">
        <f>VLOOKUP(B1203,'CNKT '!$D$101:$AA$166,11,0)</f>
        <v>23</v>
      </c>
      <c r="D1206" s="623">
        <f>46.1*$B$2</f>
        <v>30922.036</v>
      </c>
      <c r="E1206" s="1023">
        <f t="shared" si="222"/>
        <v>711206.82799999998</v>
      </c>
      <c r="F1206" s="1079"/>
      <c r="G1206" s="1020" t="s">
        <v>292</v>
      </c>
      <c r="H1206" s="1025" t="s">
        <v>494</v>
      </c>
      <c r="I1206" s="1026">
        <f>VLOOKUP(H1203,'CNKT '!$D$101:$AA$166,11,0)</f>
        <v>23</v>
      </c>
      <c r="J1206" s="623">
        <f>46.1*$B$2</f>
        <v>30922.036</v>
      </c>
      <c r="K1206" s="1023">
        <f t="shared" si="223"/>
        <v>711206.82799999998</v>
      </c>
      <c r="L1206" s="1040"/>
      <c r="M1206" s="1035"/>
    </row>
    <row r="1207" spans="1:13" s="27" customFormat="1" ht="17.25" customHeight="1">
      <c r="A1207" s="1020" t="s">
        <v>379</v>
      </c>
      <c r="B1207" s="1025" t="s">
        <v>495</v>
      </c>
      <c r="C1207" s="1026">
        <f>VLOOKUP(B1203,'CNKT '!$D$101:$AA$166,12,0)</f>
        <v>2</v>
      </c>
      <c r="D1207" s="622">
        <f>76.9*$B$2</f>
        <v>51581.444000000003</v>
      </c>
      <c r="E1207" s="1023">
        <f t="shared" si="222"/>
        <v>103162.88800000001</v>
      </c>
      <c r="F1207" s="1079"/>
      <c r="G1207" s="1020" t="s">
        <v>379</v>
      </c>
      <c r="H1207" s="1025" t="s">
        <v>495</v>
      </c>
      <c r="I1207" s="1026">
        <f>VLOOKUP(H1203,'CNKT '!$D$101:$AA$166,12,0)</f>
        <v>3</v>
      </c>
      <c r="J1207" s="622">
        <f>76.9*$B$2</f>
        <v>51581.444000000003</v>
      </c>
      <c r="K1207" s="1023">
        <f t="shared" si="223"/>
        <v>154744.33199999999</v>
      </c>
      <c r="L1207" s="1040"/>
      <c r="M1207" s="1035"/>
    </row>
    <row r="1208" spans="1:13" s="27" customFormat="1" ht="17.25" customHeight="1">
      <c r="A1208" s="1020" t="s">
        <v>73</v>
      </c>
      <c r="B1208" s="1025" t="s">
        <v>496</v>
      </c>
      <c r="C1208" s="1026">
        <f>VLOOKUP(B1203,'CNKT '!$D$101:$AA$166,8,0)</f>
        <v>1643.3014885208079</v>
      </c>
      <c r="D1208" s="622">
        <f>IF(C1204="A",6.1,IF(C1204="B",5.8,IF(C1204="C",5.5,IF(C1204="C.",5.5,IF(C1204="D",5.2)))))*$B$2</f>
        <v>4091.6359999999995</v>
      </c>
      <c r="E1208" s="1023">
        <f t="shared" si="222"/>
        <v>6723791.5292853238</v>
      </c>
      <c r="F1208" s="1079"/>
      <c r="G1208" s="1020" t="s">
        <v>73</v>
      </c>
      <c r="H1208" s="1025" t="s">
        <v>496</v>
      </c>
      <c r="I1208" s="1026">
        <f>VLOOKUP(H1203,'CNKT '!$D$101:$AA$166,8,0)</f>
        <v>1817.1912485590719</v>
      </c>
      <c r="J1208" s="622">
        <f>IF(I1204="A",6.1,IF(I1204="B",5.8,IF(I1204="C",5.5,IF(I1204="C.",5.5,IF(I1204="D",5.2)))))*$B$2</f>
        <v>4091.6359999999995</v>
      </c>
      <c r="K1208" s="1023">
        <f t="shared" si="223"/>
        <v>7435285.1314892462</v>
      </c>
      <c r="L1208" s="1040"/>
      <c r="M1208" s="1035"/>
    </row>
    <row r="1209" spans="1:13" s="27" customFormat="1" ht="17.25" customHeight="1">
      <c r="A1209" s="1089" t="s">
        <v>464</v>
      </c>
      <c r="B1209" s="1090" t="s">
        <v>497</v>
      </c>
      <c r="C1209" s="1091">
        <f>VLOOKUP(B1203,'CNKT '!$D$99:$AA$166,13,0)</f>
        <v>2</v>
      </c>
      <c r="D1209" s="1092">
        <v>100000</v>
      </c>
      <c r="E1209" s="1093">
        <f t="shared" si="222"/>
        <v>200000</v>
      </c>
      <c r="F1209" s="1079"/>
      <c r="G1209" s="1089" t="s">
        <v>464</v>
      </c>
      <c r="H1209" s="1090" t="s">
        <v>497</v>
      </c>
      <c r="I1209" s="1091">
        <f>VLOOKUP(H1203,'CNKT '!$D$99:$AA$166,13,0)</f>
        <v>2</v>
      </c>
      <c r="J1209" s="1092">
        <v>100000</v>
      </c>
      <c r="K1209" s="1093">
        <f t="shared" si="223"/>
        <v>200000</v>
      </c>
      <c r="L1209" s="1040"/>
      <c r="M1209" s="1035"/>
    </row>
    <row r="1210" spans="1:13" s="27" customFormat="1" ht="17.25" customHeight="1">
      <c r="A1210" s="1020" t="s">
        <v>421</v>
      </c>
      <c r="B1210" s="1025" t="s">
        <v>467</v>
      </c>
      <c r="C1210" s="1026">
        <f>VLOOKUP(B1203,'CNKT '!$D$101:$AA$166,14,0)</f>
        <v>0</v>
      </c>
      <c r="D1210" s="622">
        <f>153.6*$B$2</f>
        <v>103028.73599999999</v>
      </c>
      <c r="E1210" s="1023">
        <f t="shared" si="222"/>
        <v>0</v>
      </c>
      <c r="F1210" s="1079"/>
      <c r="G1210" s="1020" t="s">
        <v>421</v>
      </c>
      <c r="H1210" s="1025" t="s">
        <v>467</v>
      </c>
      <c r="I1210" s="1026">
        <f>VLOOKUP(H1203,'CNKT '!$D$101:$AA$166,14,0)</f>
        <v>0</v>
      </c>
      <c r="J1210" s="622">
        <f>153.6*$B$2</f>
        <v>103028.73599999999</v>
      </c>
      <c r="K1210" s="1023">
        <f t="shared" si="223"/>
        <v>0</v>
      </c>
      <c r="L1210" s="1040"/>
      <c r="M1210" s="1035"/>
    </row>
    <row r="1211" spans="1:13" s="27" customFormat="1" ht="17.25" customHeight="1">
      <c r="A1211" s="1020" t="s">
        <v>425</v>
      </c>
      <c r="B1211" s="1025" t="s">
        <v>468</v>
      </c>
      <c r="C1211" s="1026">
        <f>VLOOKUP(B1203,'CNKT '!$D$102:$AA$166,18,0)</f>
        <v>2</v>
      </c>
      <c r="D1211" s="622">
        <v>10000</v>
      </c>
      <c r="E1211" s="1023">
        <f>C1211*D1211</f>
        <v>20000</v>
      </c>
      <c r="F1211" s="1079"/>
      <c r="G1211" s="1020" t="s">
        <v>425</v>
      </c>
      <c r="H1211" s="1025" t="s">
        <v>468</v>
      </c>
      <c r="I1211" s="1026">
        <f>VLOOKUP(H1203,'CNKT '!$D$102:$AA$166,18,0)</f>
        <v>2</v>
      </c>
      <c r="J1211" s="622">
        <v>10000</v>
      </c>
      <c r="K1211" s="1023">
        <f>I1211*J1211</f>
        <v>20000</v>
      </c>
      <c r="L1211" s="1040"/>
      <c r="M1211" s="1035"/>
    </row>
    <row r="1212" spans="1:13" s="27" customFormat="1" ht="17.25" customHeight="1">
      <c r="A1212" s="1020" t="s">
        <v>425</v>
      </c>
      <c r="B1212" s="1025" t="s">
        <v>468</v>
      </c>
      <c r="C1212" s="1026">
        <f>VLOOKUP(B1203,'CNKT '!$D$102:$AA$166,19,0)</f>
        <v>0</v>
      </c>
      <c r="D1212" s="622">
        <v>20000</v>
      </c>
      <c r="E1212" s="1023">
        <f>C1212*D1212</f>
        <v>0</v>
      </c>
      <c r="F1212" s="1079"/>
      <c r="G1212" s="1020" t="s">
        <v>425</v>
      </c>
      <c r="H1212" s="1025" t="s">
        <v>468</v>
      </c>
      <c r="I1212" s="1026">
        <f>VLOOKUP(H1203,'CNKT '!$D$102:$AA$166,19,0)</f>
        <v>0</v>
      </c>
      <c r="J1212" s="622">
        <v>20000</v>
      </c>
      <c r="K1212" s="1023">
        <f>I1212*J1212</f>
        <v>0</v>
      </c>
      <c r="L1212" s="1040"/>
      <c r="M1212" s="1035"/>
    </row>
    <row r="1213" spans="1:13" s="27" customFormat="1" ht="17.25" customHeight="1">
      <c r="A1213" s="1020" t="s">
        <v>780</v>
      </c>
      <c r="B1213" s="1027" t="s">
        <v>781</v>
      </c>
      <c r="C1213" s="1026"/>
      <c r="D1213" s="622"/>
      <c r="E1213" s="1023">
        <f>VLOOKUP(B1203,'CNKT '!$D$102:$AE$166,28,0)</f>
        <v>0</v>
      </c>
      <c r="F1213" s="1079"/>
      <c r="G1213" s="1020" t="s">
        <v>780</v>
      </c>
      <c r="H1213" s="1027" t="s">
        <v>781</v>
      </c>
      <c r="I1213" s="1026"/>
      <c r="J1213" s="622"/>
      <c r="K1213" s="1023">
        <f>VLOOKUP(H1203,'CNKT '!$D$102:$AE$166,28,0)</f>
        <v>0</v>
      </c>
      <c r="L1213" s="1040"/>
      <c r="M1213" s="1035"/>
    </row>
    <row r="1214" spans="1:13" s="27" customFormat="1" ht="17.25" customHeight="1">
      <c r="A1214" s="1028" t="s">
        <v>74</v>
      </c>
      <c r="B1214" s="1029" t="s">
        <v>498</v>
      </c>
      <c r="C1214" s="1030"/>
      <c r="D1214" s="1031"/>
      <c r="E1214" s="1030"/>
      <c r="F1214" s="1079"/>
      <c r="G1214" s="1028" t="s">
        <v>74</v>
      </c>
      <c r="H1214" s="1029" t="s">
        <v>498</v>
      </c>
      <c r="I1214" s="1030"/>
      <c r="J1214" s="1031"/>
      <c r="K1214" s="1030"/>
      <c r="L1214" s="1040"/>
      <c r="M1214" s="1035"/>
    </row>
    <row r="1215" spans="1:13" s="27" customFormat="1" ht="17.25" customHeight="1">
      <c r="A1215" s="1032" t="s">
        <v>75</v>
      </c>
      <c r="B1215" s="1033" t="s">
        <v>499</v>
      </c>
      <c r="C1215" s="1030"/>
      <c r="D1215" s="1030"/>
      <c r="E1215" s="1030"/>
      <c r="F1215" s="1079"/>
      <c r="G1215" s="1032" t="s">
        <v>75</v>
      </c>
      <c r="H1215" s="1033" t="s">
        <v>499</v>
      </c>
      <c r="I1215" s="1030"/>
      <c r="J1215" s="1030"/>
      <c r="K1215" s="1030"/>
      <c r="L1215" s="1040"/>
      <c r="M1215" s="1035"/>
    </row>
    <row r="1216" spans="1:13" s="27" customFormat="1" ht="17.25" customHeight="1">
      <c r="A1216" s="1032" t="s">
        <v>76</v>
      </c>
      <c r="B1216" s="1034" t="s">
        <v>500</v>
      </c>
      <c r="C1216" s="1030"/>
      <c r="D1216" s="1030"/>
      <c r="E1216" s="1023">
        <f>SUM(E1215)</f>
        <v>0</v>
      </c>
      <c r="F1216" s="1079"/>
      <c r="G1216" s="1032" t="s">
        <v>76</v>
      </c>
      <c r="H1216" s="1034" t="s">
        <v>500</v>
      </c>
      <c r="I1216" s="1030"/>
      <c r="J1216" s="1030"/>
      <c r="K1216" s="1023">
        <f>SUM(K1215)</f>
        <v>0</v>
      </c>
      <c r="L1216" s="1040"/>
      <c r="M1216" s="1035"/>
    </row>
    <row r="1217" spans="1:13" s="27" customFormat="1" ht="17.25" customHeight="1">
      <c r="A1217" s="1036" t="s">
        <v>77</v>
      </c>
      <c r="B1217" s="1037" t="s">
        <v>412</v>
      </c>
      <c r="C1217" s="1038"/>
      <c r="D1217" s="1038"/>
      <c r="E1217" s="1038">
        <f>(E1205+E1206+E1207+E1208+E1209+E1210+E1211+E1212+E1213)-E1216</f>
        <v>7758161.2452853238</v>
      </c>
      <c r="F1217" s="1079"/>
      <c r="G1217" s="1036" t="s">
        <v>77</v>
      </c>
      <c r="H1217" s="1037" t="s">
        <v>412</v>
      </c>
      <c r="I1217" s="1038"/>
      <c r="J1217" s="1038"/>
      <c r="K1217" s="1038">
        <f>(K1205+K1206+K1207+K1208+K1209+K1210+K1211+K1212+K1213)-K1216</f>
        <v>8521236.2914892472</v>
      </c>
      <c r="L1217" s="1040">
        <f>E1217+K1217</f>
        <v>16279397.536774572</v>
      </c>
      <c r="M1217" s="1035"/>
    </row>
    <row r="1218" spans="1:13" s="27" customFormat="1" ht="204" customHeight="1">
      <c r="A1218" s="1082"/>
      <c r="B1218" s="1082"/>
      <c r="C1218" s="1082"/>
      <c r="D1218" s="1082"/>
      <c r="E1218" s="1082"/>
      <c r="F1218" s="1082"/>
      <c r="G1218" s="1082"/>
      <c r="H1218" s="1082"/>
      <c r="I1218" s="1082"/>
      <c r="J1218" s="1082"/>
      <c r="K1218" s="1082"/>
      <c r="L1218" s="1040"/>
      <c r="M1218" s="1035"/>
    </row>
    <row r="1219" spans="1:13" s="27" customFormat="1" ht="17.25" customHeight="1">
      <c r="A1219" s="1083" t="str">
        <f>A1202</f>
        <v>LƯƠNG THÁNG 08/2025</v>
      </c>
      <c r="B1219" s="1082"/>
      <c r="C1219" s="1082"/>
      <c r="D1219" s="1082"/>
      <c r="E1219" s="1078">
        <f>VLOOKUP(B1220,'CNKT '!$D$102:$AD$166,26,0)</f>
        <v>57</v>
      </c>
      <c r="F1219" s="1079"/>
      <c r="G1219" s="1083" t="str">
        <f>A1219</f>
        <v>LƯƠNG THÁNG 08/2025</v>
      </c>
      <c r="H1219" s="1082"/>
      <c r="I1219" s="1082"/>
      <c r="J1219" s="1014"/>
      <c r="K1219" s="1078">
        <f>VLOOKUP(H1220,'CNKT '!$D$102:$AD$166,26,0)</f>
        <v>58</v>
      </c>
      <c r="L1219" s="1040"/>
      <c r="M1219" s="1035"/>
    </row>
    <row r="1220" spans="1:13" s="27" customFormat="1" ht="17.25" customHeight="1">
      <c r="A1220" s="1044" t="s">
        <v>13</v>
      </c>
      <c r="B1220" s="1016" t="str">
        <f>'CNKT '!D158</f>
        <v>T. Thi</v>
      </c>
      <c r="C1220" s="1022"/>
      <c r="D1220" s="1016" t="s">
        <v>376</v>
      </c>
      <c r="E1220" s="1016" t="s">
        <v>16</v>
      </c>
      <c r="F1220" s="1079"/>
      <c r="G1220" s="1044" t="s">
        <v>13</v>
      </c>
      <c r="H1220" s="1016" t="str">
        <f>'CNKT '!D159</f>
        <v>On chay</v>
      </c>
      <c r="I1220" s="1022"/>
      <c r="J1220" s="1016" t="s">
        <v>376</v>
      </c>
      <c r="K1220" s="1016" t="s">
        <v>16</v>
      </c>
      <c r="L1220" s="1040"/>
      <c r="M1220" s="1035"/>
    </row>
    <row r="1221" spans="1:13" s="27" customFormat="1" ht="17.25" customHeight="1">
      <c r="A1221" s="1020" t="s">
        <v>377</v>
      </c>
      <c r="B1221" s="1021" t="s">
        <v>493</v>
      </c>
      <c r="C1221" s="1022" t="str">
        <f>VLOOKUP(B1220,'BTH mủ tạp'!$D$98:$AN$160,37,0)</f>
        <v>A</v>
      </c>
      <c r="D1221" s="1023"/>
      <c r="E1221" s="1023"/>
      <c r="F1221" s="1079"/>
      <c r="G1221" s="1020" t="s">
        <v>377</v>
      </c>
      <c r="H1221" s="1021" t="s">
        <v>493</v>
      </c>
      <c r="I1221" s="1022" t="str">
        <f>VLOOKUP(H1220,'BTH mủ tạp'!$D$98:$AN$160,37,0)</f>
        <v>A</v>
      </c>
      <c r="J1221" s="1023"/>
      <c r="K1221" s="1023"/>
      <c r="L1221" s="1040"/>
      <c r="M1221" s="1035"/>
    </row>
    <row r="1222" spans="1:13" s="27" customFormat="1" ht="17.25" customHeight="1">
      <c r="A1222" s="1020" t="s">
        <v>72</v>
      </c>
      <c r="B1222" s="1024" t="s">
        <v>406</v>
      </c>
      <c r="C1222" s="621">
        <f>VLOOKUP(B1220,'CNKT '!$D$101:$AA$166,3,0)</f>
        <v>0</v>
      </c>
      <c r="D1222" s="622">
        <v>25000</v>
      </c>
      <c r="E1222" s="1023">
        <f t="shared" ref="E1222:E1227" si="224">C1222*D1222</f>
        <v>0</v>
      </c>
      <c r="F1222" s="1079"/>
      <c r="G1222" s="1020" t="s">
        <v>72</v>
      </c>
      <c r="H1222" s="1024" t="s">
        <v>406</v>
      </c>
      <c r="I1222" s="621">
        <f>VLOOKUP(H1220,'CNKT '!$D$101:$AA$166,3,0)</f>
        <v>0</v>
      </c>
      <c r="J1222" s="622">
        <v>25000</v>
      </c>
      <c r="K1222" s="1023">
        <f t="shared" ref="K1222:K1227" si="225">I1222*J1222</f>
        <v>0</v>
      </c>
      <c r="L1222" s="1040"/>
      <c r="M1222" s="1035"/>
    </row>
    <row r="1223" spans="1:13" s="27" customFormat="1" ht="17.25" customHeight="1">
      <c r="A1223" s="1020" t="s">
        <v>292</v>
      </c>
      <c r="B1223" s="1025" t="s">
        <v>494</v>
      </c>
      <c r="C1223" s="1026">
        <f>VLOOKUP(B1220,'CNKT '!$D$101:$AA$166,11,0)</f>
        <v>24</v>
      </c>
      <c r="D1223" s="623">
        <f>46.1*$B$2</f>
        <v>30922.036</v>
      </c>
      <c r="E1223" s="1023">
        <f t="shared" si="224"/>
        <v>742128.86400000006</v>
      </c>
      <c r="F1223" s="1079"/>
      <c r="G1223" s="1020" t="s">
        <v>292</v>
      </c>
      <c r="H1223" s="1025" t="s">
        <v>494</v>
      </c>
      <c r="I1223" s="1026">
        <f>VLOOKUP(H1220,'CNKT '!$D$101:$AA$166,11,0)</f>
        <v>24</v>
      </c>
      <c r="J1223" s="623">
        <f>46.1*$B$2</f>
        <v>30922.036</v>
      </c>
      <c r="K1223" s="1023">
        <f t="shared" si="225"/>
        <v>742128.86400000006</v>
      </c>
      <c r="L1223" s="1040"/>
      <c r="M1223" s="1035"/>
    </row>
    <row r="1224" spans="1:13" s="27" customFormat="1" ht="17.25" customHeight="1">
      <c r="A1224" s="1020" t="s">
        <v>379</v>
      </c>
      <c r="B1224" s="1025" t="s">
        <v>495</v>
      </c>
      <c r="C1224" s="1026">
        <f>VLOOKUP(B1220,'CNKT '!$D$101:$AA$166,12,0)</f>
        <v>4</v>
      </c>
      <c r="D1224" s="622">
        <f>76.9*$B$2</f>
        <v>51581.444000000003</v>
      </c>
      <c r="E1224" s="1023">
        <f t="shared" si="224"/>
        <v>206325.77600000001</v>
      </c>
      <c r="F1224" s="1079"/>
      <c r="G1224" s="1020" t="s">
        <v>379</v>
      </c>
      <c r="H1224" s="1025" t="s">
        <v>495</v>
      </c>
      <c r="I1224" s="1026">
        <f>VLOOKUP(H1220,'CNKT '!$D$101:$AA$166,12,0)</f>
        <v>4</v>
      </c>
      <c r="J1224" s="622">
        <f>76.9*$B$2</f>
        <v>51581.444000000003</v>
      </c>
      <c r="K1224" s="1023">
        <f t="shared" si="225"/>
        <v>206325.77600000001</v>
      </c>
      <c r="L1224" s="1040"/>
      <c r="M1224" s="1035"/>
    </row>
    <row r="1225" spans="1:13" s="27" customFormat="1" ht="17.25" customHeight="1">
      <c r="A1225" s="1020" t="s">
        <v>73</v>
      </c>
      <c r="B1225" s="1025" t="s">
        <v>496</v>
      </c>
      <c r="C1225" s="1026">
        <f>VLOOKUP(B1220,'CNKT '!$D$101:$AA$166,8,0)</f>
        <v>2107.4400768816467</v>
      </c>
      <c r="D1225" s="622">
        <f>IF(C1221="A",6.1,IF(C1221="B",5.8,IF(C1221="C",5.5,IF(C1221="C.",5.5,IF(C1221="D",5.2)))))*$B$2</f>
        <v>4091.6359999999995</v>
      </c>
      <c r="E1225" s="1023">
        <f t="shared" si="224"/>
        <v>8622877.6864117123</v>
      </c>
      <c r="F1225" s="1079"/>
      <c r="G1225" s="1020" t="s">
        <v>73</v>
      </c>
      <c r="H1225" s="1025" t="s">
        <v>496</v>
      </c>
      <c r="I1225" s="1026">
        <f>VLOOKUP(H1220,'CNKT '!$D$101:$AA$166,8,0)</f>
        <v>1934.8480016197877</v>
      </c>
      <c r="J1225" s="622">
        <f>IF(I1221="A",6.1,IF(I1221="B",5.8,IF(I1221="C",5.5,IF(I1221="C.",5.5,IF(I1221="D",5.2)))))*$B$2</f>
        <v>4091.6359999999995</v>
      </c>
      <c r="K1225" s="1023">
        <f t="shared" si="225"/>
        <v>7916693.7379555805</v>
      </c>
      <c r="L1225" s="1040"/>
      <c r="M1225" s="1035"/>
    </row>
    <row r="1226" spans="1:13" s="27" customFormat="1" ht="17.25" customHeight="1">
      <c r="A1226" s="1089" t="s">
        <v>464</v>
      </c>
      <c r="B1226" s="1090" t="s">
        <v>497</v>
      </c>
      <c r="C1226" s="1091">
        <f>VLOOKUP(B1220,'CNKT '!$D$99:$AA$166,13,0)</f>
        <v>2</v>
      </c>
      <c r="D1226" s="1092">
        <v>100000</v>
      </c>
      <c r="E1226" s="1093">
        <f t="shared" si="224"/>
        <v>200000</v>
      </c>
      <c r="F1226" s="1079"/>
      <c r="G1226" s="1089" t="s">
        <v>464</v>
      </c>
      <c r="H1226" s="1090" t="s">
        <v>497</v>
      </c>
      <c r="I1226" s="1091">
        <f>VLOOKUP(H1220,'CNKT '!$D$99:$AA$166,13,0)</f>
        <v>2</v>
      </c>
      <c r="J1226" s="1092">
        <v>100000</v>
      </c>
      <c r="K1226" s="1093">
        <f t="shared" si="225"/>
        <v>200000</v>
      </c>
      <c r="L1226" s="1040"/>
      <c r="M1226" s="1035"/>
    </row>
    <row r="1227" spans="1:13" s="27" customFormat="1" ht="17.25" customHeight="1">
      <c r="A1227" s="1020" t="s">
        <v>421</v>
      </c>
      <c r="B1227" s="1025" t="s">
        <v>467</v>
      </c>
      <c r="C1227" s="1026">
        <f>VLOOKUP(B1220,'CNKT '!$D$101:$AA$166,14,0)</f>
        <v>0</v>
      </c>
      <c r="D1227" s="622">
        <f>153.6*$B$2</f>
        <v>103028.73599999999</v>
      </c>
      <c r="E1227" s="1023">
        <f t="shared" si="224"/>
        <v>0</v>
      </c>
      <c r="F1227" s="1079"/>
      <c r="G1227" s="1020" t="s">
        <v>421</v>
      </c>
      <c r="H1227" s="1025" t="s">
        <v>467</v>
      </c>
      <c r="I1227" s="1026">
        <f>VLOOKUP(H1220,'CNKT '!$D$101:$AA$166,14,0)</f>
        <v>0</v>
      </c>
      <c r="J1227" s="622">
        <f>153.6*$B$2</f>
        <v>103028.73599999999</v>
      </c>
      <c r="K1227" s="1023">
        <f t="shared" si="225"/>
        <v>0</v>
      </c>
      <c r="L1227" s="1040"/>
      <c r="M1227" s="1035"/>
    </row>
    <row r="1228" spans="1:13" s="27" customFormat="1" ht="17.25" customHeight="1">
      <c r="A1228" s="1020" t="s">
        <v>425</v>
      </c>
      <c r="B1228" s="1025" t="s">
        <v>468</v>
      </c>
      <c r="C1228" s="1026">
        <f>VLOOKUP(B1220,'CNKT '!$D$102:$AA$166,18,0)</f>
        <v>2</v>
      </c>
      <c r="D1228" s="622">
        <v>10000</v>
      </c>
      <c r="E1228" s="1023">
        <f>C1228*D1228</f>
        <v>20000</v>
      </c>
      <c r="F1228" s="1079"/>
      <c r="G1228" s="1020" t="s">
        <v>425</v>
      </c>
      <c r="H1228" s="1025" t="s">
        <v>468</v>
      </c>
      <c r="I1228" s="1026">
        <f>VLOOKUP(H1220,'CNKT '!$D$102:$AA$166,18,0)</f>
        <v>2</v>
      </c>
      <c r="J1228" s="622">
        <v>10000</v>
      </c>
      <c r="K1228" s="1023">
        <f>I1228*J1228</f>
        <v>20000</v>
      </c>
      <c r="L1228" s="1040"/>
      <c r="M1228" s="1035"/>
    </row>
    <row r="1229" spans="1:13" s="27" customFormat="1" ht="17.25" customHeight="1">
      <c r="A1229" s="1020" t="s">
        <v>425</v>
      </c>
      <c r="B1229" s="1025" t="s">
        <v>468</v>
      </c>
      <c r="C1229" s="1026">
        <f>VLOOKUP(B1220,'CNKT '!$D$102:$AA$166,19,0)</f>
        <v>0</v>
      </c>
      <c r="D1229" s="622">
        <v>20000</v>
      </c>
      <c r="E1229" s="1023">
        <f>C1229*D1229</f>
        <v>0</v>
      </c>
      <c r="F1229" s="1079"/>
      <c r="G1229" s="1020" t="s">
        <v>425</v>
      </c>
      <c r="H1229" s="1025" t="s">
        <v>468</v>
      </c>
      <c r="I1229" s="1026">
        <f>VLOOKUP(H1220,'CNKT '!$D$102:$AA$166,19,0)</f>
        <v>0</v>
      </c>
      <c r="J1229" s="622">
        <v>20000</v>
      </c>
      <c r="K1229" s="1023">
        <f>I1229*J1229</f>
        <v>0</v>
      </c>
      <c r="L1229" s="1040"/>
      <c r="M1229" s="1035"/>
    </row>
    <row r="1230" spans="1:13" s="27" customFormat="1" ht="17.25" customHeight="1">
      <c r="A1230" s="1020" t="s">
        <v>780</v>
      </c>
      <c r="B1230" s="1027" t="s">
        <v>781</v>
      </c>
      <c r="C1230" s="1026"/>
      <c r="D1230" s="622"/>
      <c r="E1230" s="1023">
        <f>VLOOKUP(B1220,'CNKT '!$D$102:$AE$166,28,0)</f>
        <v>0</v>
      </c>
      <c r="F1230" s="1079"/>
      <c r="G1230" s="1020" t="s">
        <v>780</v>
      </c>
      <c r="H1230" s="1027" t="s">
        <v>781</v>
      </c>
      <c r="I1230" s="1026"/>
      <c r="J1230" s="622"/>
      <c r="K1230" s="1023">
        <f>VLOOKUP(H1220,'CNKT '!$D$102:$AE$166,28,0)</f>
        <v>0</v>
      </c>
      <c r="L1230" s="1040"/>
      <c r="M1230" s="1035"/>
    </row>
    <row r="1231" spans="1:13" s="27" customFormat="1" ht="17.25" customHeight="1">
      <c r="A1231" s="1028" t="s">
        <v>74</v>
      </c>
      <c r="B1231" s="1029" t="s">
        <v>498</v>
      </c>
      <c r="C1231" s="1030"/>
      <c r="D1231" s="1031"/>
      <c r="E1231" s="1030"/>
      <c r="F1231" s="1079"/>
      <c r="G1231" s="1028" t="s">
        <v>74</v>
      </c>
      <c r="H1231" s="1029" t="s">
        <v>498</v>
      </c>
      <c r="I1231" s="1030"/>
      <c r="J1231" s="1031"/>
      <c r="K1231" s="1030"/>
      <c r="L1231" s="1040"/>
      <c r="M1231" s="1035"/>
    </row>
    <row r="1232" spans="1:13" s="27" customFormat="1" ht="17.25" customHeight="1">
      <c r="A1232" s="1032" t="s">
        <v>75</v>
      </c>
      <c r="B1232" s="1033" t="s">
        <v>499</v>
      </c>
      <c r="C1232" s="1030"/>
      <c r="D1232" s="1030"/>
      <c r="E1232" s="1030"/>
      <c r="F1232" s="1079"/>
      <c r="G1232" s="1032" t="s">
        <v>75</v>
      </c>
      <c r="H1232" s="1033" t="s">
        <v>499</v>
      </c>
      <c r="I1232" s="1030"/>
      <c r="J1232" s="1030"/>
      <c r="K1232" s="1030"/>
      <c r="L1232" s="1040"/>
      <c r="M1232" s="1035"/>
    </row>
    <row r="1233" spans="1:13" s="27" customFormat="1" ht="17.25" customHeight="1">
      <c r="A1233" s="1032" t="s">
        <v>76</v>
      </c>
      <c r="B1233" s="1034" t="s">
        <v>500</v>
      </c>
      <c r="C1233" s="1030"/>
      <c r="D1233" s="1030"/>
      <c r="E1233" s="1023">
        <f>SUM(E1232)</f>
        <v>0</v>
      </c>
      <c r="F1233" s="1079"/>
      <c r="G1233" s="1032" t="s">
        <v>76</v>
      </c>
      <c r="H1233" s="1034" t="s">
        <v>500</v>
      </c>
      <c r="I1233" s="1030"/>
      <c r="J1233" s="1030"/>
      <c r="K1233" s="1023">
        <f>SUM(K1232)</f>
        <v>0</v>
      </c>
      <c r="L1233" s="1040"/>
      <c r="M1233" s="1035"/>
    </row>
    <row r="1234" spans="1:13" s="27" customFormat="1" ht="17.25" customHeight="1">
      <c r="A1234" s="1036" t="s">
        <v>77</v>
      </c>
      <c r="B1234" s="1037" t="s">
        <v>412</v>
      </c>
      <c r="C1234" s="1038"/>
      <c r="D1234" s="1038"/>
      <c r="E1234" s="1038">
        <f>(E1222+E1223+E1224+E1225+E1226+E1227+E1228+E1229+E1230)-E1233</f>
        <v>9791332.3264117129</v>
      </c>
      <c r="F1234" s="1079"/>
      <c r="G1234" s="1036" t="s">
        <v>77</v>
      </c>
      <c r="H1234" s="1037" t="s">
        <v>412</v>
      </c>
      <c r="I1234" s="1038"/>
      <c r="J1234" s="1038"/>
      <c r="K1234" s="1038">
        <f>(K1222+K1223+K1224+K1225+K1226+K1227+K1228+K1229+K1230)-K1233</f>
        <v>9085148.3779555801</v>
      </c>
      <c r="L1234" s="1040">
        <f>E1234+K1234</f>
        <v>18876480.704367295</v>
      </c>
      <c r="M1234" s="1035"/>
    </row>
    <row r="1235" spans="1:13" s="27" customFormat="1" ht="66.75" customHeight="1">
      <c r="A1235" s="1082"/>
      <c r="B1235" s="1082"/>
      <c r="C1235" s="1082"/>
      <c r="D1235" s="1082"/>
      <c r="E1235" s="1082"/>
      <c r="F1235" s="1082"/>
      <c r="G1235" s="1082"/>
      <c r="H1235" s="1082"/>
      <c r="I1235" s="1082"/>
      <c r="J1235" s="1082"/>
      <c r="K1235" s="1082"/>
      <c r="L1235" s="1040"/>
      <c r="M1235" s="1035"/>
    </row>
    <row r="1236" spans="1:13" s="27" customFormat="1" ht="17.25" customHeight="1">
      <c r="A1236" s="1083" t="str">
        <f>A1219</f>
        <v>LƯƠNG THÁNG 08/2025</v>
      </c>
      <c r="B1236" s="1082"/>
      <c r="C1236" s="1082"/>
      <c r="D1236" s="1082"/>
      <c r="E1236" s="1078">
        <f>VLOOKUP(B1237,'CNKT '!$D$102:$AD$166,26,0)</f>
        <v>59</v>
      </c>
      <c r="F1236" s="1079"/>
      <c r="G1236" s="1083" t="str">
        <f>A1236</f>
        <v>LƯƠNG THÁNG 08/2025</v>
      </c>
      <c r="H1236" s="1082"/>
      <c r="I1236" s="1082"/>
      <c r="J1236" s="1014"/>
      <c r="K1236" s="1078">
        <f>VLOOKUP(H1237,'CNKT '!$D$102:$AD$166,26,0)</f>
        <v>60</v>
      </c>
      <c r="L1236" s="1040"/>
      <c r="M1236" s="1035"/>
    </row>
    <row r="1237" spans="1:13" s="27" customFormat="1" ht="17.25" customHeight="1">
      <c r="A1237" s="1044" t="s">
        <v>13</v>
      </c>
      <c r="B1237" s="1016" t="str">
        <f>'CNKT '!D160</f>
        <v>T. Thong</v>
      </c>
      <c r="C1237" s="1022"/>
      <c r="D1237" s="1016" t="s">
        <v>376</v>
      </c>
      <c r="E1237" s="1016" t="s">
        <v>16</v>
      </c>
      <c r="F1237" s="1079"/>
      <c r="G1237" s="1044" t="s">
        <v>13</v>
      </c>
      <c r="H1237" s="1016" t="str">
        <f>'CNKT '!D161</f>
        <v>T. Khách</v>
      </c>
      <c r="I1237" s="1022"/>
      <c r="J1237" s="1016" t="s">
        <v>376</v>
      </c>
      <c r="K1237" s="1016" t="s">
        <v>16</v>
      </c>
      <c r="L1237" s="1040"/>
      <c r="M1237" s="1035"/>
    </row>
    <row r="1238" spans="1:13" s="27" customFormat="1" ht="17.25" customHeight="1">
      <c r="A1238" s="1020" t="s">
        <v>377</v>
      </c>
      <c r="B1238" s="1021" t="s">
        <v>493</v>
      </c>
      <c r="C1238" s="1022" t="str">
        <f>VLOOKUP(B1237,'BTH mủ tạp'!$D$98:$AN$160,37,0)</f>
        <v>C.</v>
      </c>
      <c r="D1238" s="1023"/>
      <c r="E1238" s="1023"/>
      <c r="F1238" s="1079"/>
      <c r="G1238" s="1020" t="s">
        <v>377</v>
      </c>
      <c r="H1238" s="1021" t="s">
        <v>493</v>
      </c>
      <c r="I1238" s="1022" t="str">
        <f>VLOOKUP(H1237,'BTH mủ tạp'!$D$98:$AN$160,37,0)</f>
        <v>C.</v>
      </c>
      <c r="J1238" s="1023"/>
      <c r="K1238" s="1023"/>
      <c r="L1238" s="1040"/>
      <c r="M1238" s="1035"/>
    </row>
    <row r="1239" spans="1:13" s="27" customFormat="1" ht="17.25" customHeight="1">
      <c r="A1239" s="1020" t="s">
        <v>72</v>
      </c>
      <c r="B1239" s="1024" t="s">
        <v>406</v>
      </c>
      <c r="C1239" s="621">
        <f>VLOOKUP(B1237,'CNKT '!$D$101:$AA$166,3,0)</f>
        <v>0</v>
      </c>
      <c r="D1239" s="622">
        <v>25000</v>
      </c>
      <c r="E1239" s="1023">
        <f t="shared" ref="E1239:E1244" si="226">C1239*D1239</f>
        <v>0</v>
      </c>
      <c r="F1239" s="1079"/>
      <c r="G1239" s="1020" t="s">
        <v>72</v>
      </c>
      <c r="H1239" s="1024" t="s">
        <v>406</v>
      </c>
      <c r="I1239" s="621">
        <f>VLOOKUP(H1237,'CNKT '!$D$101:$AA$166,3,0)</f>
        <v>0</v>
      </c>
      <c r="J1239" s="622">
        <v>25000</v>
      </c>
      <c r="K1239" s="1023">
        <f t="shared" ref="K1239:K1244" si="227">I1239*J1239</f>
        <v>0</v>
      </c>
      <c r="L1239" s="1040"/>
      <c r="M1239" s="1035"/>
    </row>
    <row r="1240" spans="1:13" s="27" customFormat="1" ht="17.25" customHeight="1">
      <c r="A1240" s="1020" t="s">
        <v>292</v>
      </c>
      <c r="B1240" s="1025" t="s">
        <v>494</v>
      </c>
      <c r="C1240" s="1026">
        <f>VLOOKUP(B1237,'CNKT '!$D$101:$AA$166,11,0)</f>
        <v>11</v>
      </c>
      <c r="D1240" s="623">
        <f>46.1*$B$2</f>
        <v>30922.036</v>
      </c>
      <c r="E1240" s="1023">
        <f t="shared" si="226"/>
        <v>340142.39600000001</v>
      </c>
      <c r="F1240" s="1079"/>
      <c r="G1240" s="1020" t="s">
        <v>292</v>
      </c>
      <c r="H1240" s="1025" t="s">
        <v>494</v>
      </c>
      <c r="I1240" s="1026">
        <f>VLOOKUP(H1237,'CNKT '!$D$101:$AA$166,11,0)</f>
        <v>9</v>
      </c>
      <c r="J1240" s="623">
        <f>46.1*$B$2</f>
        <v>30922.036</v>
      </c>
      <c r="K1240" s="1023">
        <f t="shared" si="227"/>
        <v>278298.32400000002</v>
      </c>
      <c r="L1240" s="1040"/>
      <c r="M1240" s="1035"/>
    </row>
    <row r="1241" spans="1:13" s="27" customFormat="1" ht="17.25" customHeight="1">
      <c r="A1241" s="1020" t="s">
        <v>379</v>
      </c>
      <c r="B1241" s="1025" t="s">
        <v>495</v>
      </c>
      <c r="C1241" s="1026">
        <f>VLOOKUP(B1237,'CNKT '!$D$101:$AA$166,12,0)</f>
        <v>3</v>
      </c>
      <c r="D1241" s="622">
        <f>76.9*$B$2</f>
        <v>51581.444000000003</v>
      </c>
      <c r="E1241" s="1023">
        <f t="shared" si="226"/>
        <v>154744.33199999999</v>
      </c>
      <c r="F1241" s="1079"/>
      <c r="G1241" s="1020" t="s">
        <v>379</v>
      </c>
      <c r="H1241" s="1025" t="s">
        <v>495</v>
      </c>
      <c r="I1241" s="1026">
        <f>VLOOKUP(H1237,'CNKT '!$D$101:$AA$166,12,0)</f>
        <v>3</v>
      </c>
      <c r="J1241" s="622">
        <f>76.9*$B$2</f>
        <v>51581.444000000003</v>
      </c>
      <c r="K1241" s="1023">
        <f t="shared" si="227"/>
        <v>154744.33199999999</v>
      </c>
      <c r="L1241" s="1040"/>
      <c r="M1241" s="1035"/>
    </row>
    <row r="1242" spans="1:13" s="27" customFormat="1" ht="17.25" customHeight="1">
      <c r="A1242" s="1020" t="s">
        <v>73</v>
      </c>
      <c r="B1242" s="1025" t="s">
        <v>496</v>
      </c>
      <c r="C1242" s="1026">
        <f>VLOOKUP(B1237,'CNKT '!$D$101:$AA$166,8,0)</f>
        <v>430.39878417431004</v>
      </c>
      <c r="D1242" s="622">
        <f>IF(C1238="A",6.1,IF(C1238="B",5.8,IF(C1238="C",5.5,IF(C1238="C.",5.5,IF(C1238="D",5.2)))))*$B$2</f>
        <v>3689.18</v>
      </c>
      <c r="E1242" s="1023">
        <f t="shared" si="226"/>
        <v>1587818.5866001809</v>
      </c>
      <c r="F1242" s="1079"/>
      <c r="G1242" s="1020" t="s">
        <v>73</v>
      </c>
      <c r="H1242" s="1025" t="s">
        <v>496</v>
      </c>
      <c r="I1242" s="1026">
        <f>VLOOKUP(H1237,'CNKT '!$D$101:$AA$166,8,0)</f>
        <v>263.8625712023408</v>
      </c>
      <c r="J1242" s="622">
        <f>IF(I1238="A",6.1,IF(I1238="B",5.8,IF(I1238="C",5.5,IF(I1238="C.",5.5,IF(I1238="D",5.2)))))*$B$2</f>
        <v>3689.18</v>
      </c>
      <c r="K1242" s="1023">
        <f t="shared" si="227"/>
        <v>973436.52042825159</v>
      </c>
      <c r="L1242" s="1040"/>
      <c r="M1242" s="1035"/>
    </row>
    <row r="1243" spans="1:13" s="27" customFormat="1" ht="17.25" customHeight="1">
      <c r="A1243" s="1089" t="s">
        <v>464</v>
      </c>
      <c r="B1243" s="1090" t="s">
        <v>497</v>
      </c>
      <c r="C1243" s="1091">
        <f>VLOOKUP(B1237,'CNKT '!$D$99:$AA$166,13,0)</f>
        <v>0</v>
      </c>
      <c r="D1243" s="1092">
        <v>100000</v>
      </c>
      <c r="E1243" s="1093">
        <f t="shared" si="226"/>
        <v>0</v>
      </c>
      <c r="F1243" s="1079"/>
      <c r="G1243" s="1089" t="s">
        <v>464</v>
      </c>
      <c r="H1243" s="1090" t="s">
        <v>497</v>
      </c>
      <c r="I1243" s="1091">
        <f>VLOOKUP(H1237,'CNKT '!$D$99:$AA$166,13,0)</f>
        <v>0</v>
      </c>
      <c r="J1243" s="1092">
        <v>100000</v>
      </c>
      <c r="K1243" s="1093">
        <f t="shared" si="227"/>
        <v>0</v>
      </c>
      <c r="L1243" s="1040"/>
      <c r="M1243" s="1035"/>
    </row>
    <row r="1244" spans="1:13" s="27" customFormat="1" ht="17.25" customHeight="1">
      <c r="A1244" s="1020" t="s">
        <v>421</v>
      </c>
      <c r="B1244" s="1025" t="s">
        <v>467</v>
      </c>
      <c r="C1244" s="1026">
        <f>VLOOKUP(B1237,'CNKT '!$D$101:$AA$166,14,0)</f>
        <v>0</v>
      </c>
      <c r="D1244" s="622">
        <f>153.6*$B$2</f>
        <v>103028.73599999999</v>
      </c>
      <c r="E1244" s="1023">
        <f t="shared" si="226"/>
        <v>0</v>
      </c>
      <c r="F1244" s="1079"/>
      <c r="G1244" s="1020" t="s">
        <v>421</v>
      </c>
      <c r="H1244" s="1025" t="s">
        <v>467</v>
      </c>
      <c r="I1244" s="1026">
        <f>VLOOKUP(H1237,'CNKT '!$D$101:$AA$166,14,0)</f>
        <v>0</v>
      </c>
      <c r="J1244" s="622">
        <f>153.6*$B$2</f>
        <v>103028.73599999999</v>
      </c>
      <c r="K1244" s="1023">
        <f t="shared" si="227"/>
        <v>0</v>
      </c>
      <c r="L1244" s="1040"/>
      <c r="M1244" s="1035"/>
    </row>
    <row r="1245" spans="1:13" s="27" customFormat="1" ht="17.25" customHeight="1">
      <c r="A1245" s="1020" t="s">
        <v>425</v>
      </c>
      <c r="B1245" s="1025" t="s">
        <v>468</v>
      </c>
      <c r="C1245" s="1026">
        <f>VLOOKUP(B1237,'CNKT '!$D$102:$AA$166,18,0)</f>
        <v>0</v>
      </c>
      <c r="D1245" s="622">
        <v>10000</v>
      </c>
      <c r="E1245" s="1023">
        <f>C1245*D1245</f>
        <v>0</v>
      </c>
      <c r="F1245" s="1079"/>
      <c r="G1245" s="1020" t="s">
        <v>425</v>
      </c>
      <c r="H1245" s="1025" t="s">
        <v>468</v>
      </c>
      <c r="I1245" s="1026">
        <f>VLOOKUP(H1237,'CNKT '!$D$102:$AA$166,18,0)</f>
        <v>0</v>
      </c>
      <c r="J1245" s="622">
        <v>10000</v>
      </c>
      <c r="K1245" s="1023">
        <f>I1245*J1245</f>
        <v>0</v>
      </c>
      <c r="L1245" s="1040"/>
      <c r="M1245" s="1035"/>
    </row>
    <row r="1246" spans="1:13" s="27" customFormat="1" ht="17.25" customHeight="1">
      <c r="A1246" s="1020" t="s">
        <v>425</v>
      </c>
      <c r="B1246" s="1025" t="s">
        <v>468</v>
      </c>
      <c r="C1246" s="1026">
        <f>VLOOKUP(B1237,'CNKT '!$D$102:$AA$166,19,0)</f>
        <v>0</v>
      </c>
      <c r="D1246" s="622">
        <v>20000</v>
      </c>
      <c r="E1246" s="1023">
        <f>C1246*D1246</f>
        <v>0</v>
      </c>
      <c r="F1246" s="1079"/>
      <c r="G1246" s="1020" t="s">
        <v>425</v>
      </c>
      <c r="H1246" s="1025" t="s">
        <v>468</v>
      </c>
      <c r="I1246" s="1026">
        <f>VLOOKUP(H1237,'CNKT '!$D$102:$AA$166,19,0)</f>
        <v>0</v>
      </c>
      <c r="J1246" s="622">
        <v>20000</v>
      </c>
      <c r="K1246" s="1023">
        <f>I1246*J1246</f>
        <v>0</v>
      </c>
      <c r="L1246" s="1040"/>
      <c r="M1246" s="1035"/>
    </row>
    <row r="1247" spans="1:13" s="27" customFormat="1" ht="17.25" customHeight="1">
      <c r="A1247" s="1020" t="s">
        <v>780</v>
      </c>
      <c r="B1247" s="1027" t="s">
        <v>781</v>
      </c>
      <c r="C1247" s="1026"/>
      <c r="D1247" s="622"/>
      <c r="E1247" s="1023">
        <f>VLOOKUP(B1237,'CNKT '!$D$102:$AE$166,28,0)</f>
        <v>0</v>
      </c>
      <c r="F1247" s="1079"/>
      <c r="G1247" s="1020" t="s">
        <v>780</v>
      </c>
      <c r="H1247" s="1027" t="s">
        <v>781</v>
      </c>
      <c r="I1247" s="1026"/>
      <c r="J1247" s="622"/>
      <c r="K1247" s="1023">
        <f>VLOOKUP(H1237,'CNKT '!$D$102:$AE$166,28,0)</f>
        <v>0</v>
      </c>
      <c r="L1247" s="1040"/>
      <c r="M1247" s="1035"/>
    </row>
    <row r="1248" spans="1:13" s="27" customFormat="1" ht="17.25" customHeight="1">
      <c r="A1248" s="1028" t="s">
        <v>74</v>
      </c>
      <c r="B1248" s="1029" t="s">
        <v>498</v>
      </c>
      <c r="C1248" s="1030"/>
      <c r="D1248" s="1031"/>
      <c r="E1248" s="1030"/>
      <c r="F1248" s="1079"/>
      <c r="G1248" s="1028" t="s">
        <v>74</v>
      </c>
      <c r="H1248" s="1029" t="s">
        <v>498</v>
      </c>
      <c r="I1248" s="1030"/>
      <c r="J1248" s="1031"/>
      <c r="K1248" s="1030"/>
      <c r="L1248" s="1040"/>
      <c r="M1248" s="1035"/>
    </row>
    <row r="1249" spans="1:13" s="27" customFormat="1" ht="17.25" customHeight="1">
      <c r="A1249" s="1032" t="s">
        <v>75</v>
      </c>
      <c r="B1249" s="1033" t="s">
        <v>499</v>
      </c>
      <c r="C1249" s="1030"/>
      <c r="D1249" s="1030"/>
      <c r="E1249" s="1030"/>
      <c r="F1249" s="1079"/>
      <c r="G1249" s="1032" t="s">
        <v>75</v>
      </c>
      <c r="H1249" s="1033" t="s">
        <v>499</v>
      </c>
      <c r="I1249" s="1030"/>
      <c r="J1249" s="1030"/>
      <c r="K1249" s="1030"/>
      <c r="L1249" s="1040"/>
      <c r="M1249" s="1035"/>
    </row>
    <row r="1250" spans="1:13" s="27" customFormat="1" ht="17.25" customHeight="1">
      <c r="A1250" s="1032" t="s">
        <v>76</v>
      </c>
      <c r="B1250" s="1034" t="s">
        <v>500</v>
      </c>
      <c r="C1250" s="1030"/>
      <c r="D1250" s="1030"/>
      <c r="E1250" s="1023">
        <f>SUM(E1249)</f>
        <v>0</v>
      </c>
      <c r="F1250" s="1079"/>
      <c r="G1250" s="1032" t="s">
        <v>76</v>
      </c>
      <c r="H1250" s="1034" t="s">
        <v>500</v>
      </c>
      <c r="I1250" s="1030"/>
      <c r="J1250" s="1030"/>
      <c r="K1250" s="1023">
        <f>SUM(K1249)</f>
        <v>0</v>
      </c>
      <c r="L1250" s="1040"/>
      <c r="M1250" s="1035"/>
    </row>
    <row r="1251" spans="1:13" s="27" customFormat="1" ht="17.25" customHeight="1">
      <c r="A1251" s="1036" t="s">
        <v>77</v>
      </c>
      <c r="B1251" s="1037" t="s">
        <v>412</v>
      </c>
      <c r="C1251" s="1038"/>
      <c r="D1251" s="1038"/>
      <c r="E1251" s="1038">
        <f>(E1239+E1240+E1241+E1242+E1243+E1244+E1245+E1246+E1247)-E1250</f>
        <v>2082705.3146001808</v>
      </c>
      <c r="F1251" s="1079"/>
      <c r="G1251" s="1036" t="s">
        <v>77</v>
      </c>
      <c r="H1251" s="1037" t="s">
        <v>412</v>
      </c>
      <c r="I1251" s="1038"/>
      <c r="J1251" s="1038"/>
      <c r="K1251" s="1038">
        <f>(K1239+K1240+K1241+K1242+K1243+K1244+K1245+K1246+K1247)-K1250</f>
        <v>1406479.1764282517</v>
      </c>
      <c r="L1251" s="1040">
        <f>E1251+K1251</f>
        <v>3489184.4910284327</v>
      </c>
      <c r="M1251" s="1035"/>
    </row>
    <row r="1252" spans="1:13" s="27" customFormat="1" ht="17.25" customHeight="1">
      <c r="A1252" s="1082"/>
      <c r="B1252" s="1082"/>
      <c r="C1252" s="1082"/>
      <c r="D1252" s="1082"/>
      <c r="E1252" s="1082"/>
      <c r="F1252" s="1082"/>
      <c r="G1252" s="1082"/>
      <c r="H1252" s="1082"/>
      <c r="I1252" s="1082"/>
      <c r="J1252" s="1082"/>
      <c r="K1252" s="1082"/>
      <c r="L1252" s="1040"/>
      <c r="M1252" s="1035"/>
    </row>
    <row r="1253" spans="1:13" s="27" customFormat="1" ht="17.25" customHeight="1">
      <c r="A1253" s="1083" t="str">
        <f>A1236</f>
        <v>LƯƠNG THÁNG 08/2025</v>
      </c>
      <c r="B1253" s="1082"/>
      <c r="C1253" s="1082"/>
      <c r="D1253" s="1082"/>
      <c r="E1253" s="1078">
        <f>VLOOKUP(B1254,'CNKT '!$D$102:$AD$166,26,0)</f>
        <v>61</v>
      </c>
      <c r="F1253" s="1079"/>
      <c r="G1253" s="1083" t="str">
        <f>A1253</f>
        <v>LƯƠNG THÁNG 08/2025</v>
      </c>
      <c r="H1253" s="1082"/>
      <c r="I1253" s="1082"/>
      <c r="J1253" s="1014"/>
      <c r="K1253" s="1078">
        <f>VLOOKUP(H1254,'CNKT '!$D$102:$AD$166,26,0)</f>
        <v>62</v>
      </c>
      <c r="L1253" s="1040"/>
      <c r="M1253" s="1035"/>
    </row>
    <row r="1254" spans="1:13" s="27" customFormat="1" ht="17.25" customHeight="1">
      <c r="A1254" s="1044" t="s">
        <v>13</v>
      </c>
      <c r="B1254" s="1016" t="str">
        <f>'CNKT '!D162</f>
        <v>Nang On Xi</v>
      </c>
      <c r="C1254" s="1022"/>
      <c r="D1254" s="1016" t="s">
        <v>376</v>
      </c>
      <c r="E1254" s="1016" t="s">
        <v>16</v>
      </c>
      <c r="F1254" s="1079"/>
      <c r="G1254" s="1044" t="s">
        <v>13</v>
      </c>
      <c r="H1254" s="1016" t="str">
        <f>'CNKT '!D163</f>
        <v>Thảo Túc</v>
      </c>
      <c r="I1254" s="1022"/>
      <c r="J1254" s="1016" t="s">
        <v>376</v>
      </c>
      <c r="K1254" s="1016" t="s">
        <v>16</v>
      </c>
      <c r="L1254" s="1040"/>
      <c r="M1254" s="1035"/>
    </row>
    <row r="1255" spans="1:13" s="27" customFormat="1" ht="17.25" customHeight="1">
      <c r="A1255" s="1020" t="s">
        <v>377</v>
      </c>
      <c r="B1255" s="1021" t="s">
        <v>493</v>
      </c>
      <c r="C1255" s="1022" t="str">
        <f>VLOOKUP(B1254,'BTH mủ tạp'!$D$98:$AN$160,37,0)</f>
        <v>C.</v>
      </c>
      <c r="D1255" s="1023"/>
      <c r="E1255" s="1023"/>
      <c r="F1255" s="1079"/>
      <c r="G1255" s="1020" t="s">
        <v>377</v>
      </c>
      <c r="H1255" s="1021" t="s">
        <v>493</v>
      </c>
      <c r="I1255" s="1022" t="str">
        <f>VLOOKUP(H1254,'BTH mủ tạp'!$D$98:$AN$160,37,0)</f>
        <v>C.</v>
      </c>
      <c r="J1255" s="1023"/>
      <c r="K1255" s="1023"/>
      <c r="L1255" s="1040"/>
      <c r="M1255" s="1035"/>
    </row>
    <row r="1256" spans="1:13" s="27" customFormat="1" ht="17.25" customHeight="1">
      <c r="A1256" s="1020" t="s">
        <v>72</v>
      </c>
      <c r="B1256" s="1024" t="s">
        <v>406</v>
      </c>
      <c r="C1256" s="621">
        <f>VLOOKUP(B1254,'CNKT '!$D$101:$AA$166,3,0)</f>
        <v>0</v>
      </c>
      <c r="D1256" s="622">
        <v>25000</v>
      </c>
      <c r="E1256" s="1023">
        <f t="shared" ref="E1256:E1261" si="228">C1256*D1256</f>
        <v>0</v>
      </c>
      <c r="F1256" s="1079"/>
      <c r="G1256" s="1020" t="s">
        <v>72</v>
      </c>
      <c r="H1256" s="1024" t="s">
        <v>406</v>
      </c>
      <c r="I1256" s="621">
        <f>VLOOKUP(H1254,'CNKT '!$D$101:$AA$166,3,0)</f>
        <v>0</v>
      </c>
      <c r="J1256" s="622">
        <v>25000</v>
      </c>
      <c r="K1256" s="1023">
        <f t="shared" ref="K1256:K1261" si="229">I1256*J1256</f>
        <v>0</v>
      </c>
      <c r="L1256" s="1040"/>
      <c r="M1256" s="1035"/>
    </row>
    <row r="1257" spans="1:13" s="27" customFormat="1" ht="17.25" customHeight="1">
      <c r="A1257" s="1020" t="s">
        <v>292</v>
      </c>
      <c r="B1257" s="1025" t="s">
        <v>494</v>
      </c>
      <c r="C1257" s="1026">
        <f>VLOOKUP(B1254,'CNKT '!$D$101:$AA$166,11,0)</f>
        <v>4</v>
      </c>
      <c r="D1257" s="623">
        <f>46.1*$B$2</f>
        <v>30922.036</v>
      </c>
      <c r="E1257" s="1023">
        <f t="shared" si="228"/>
        <v>123688.144</v>
      </c>
      <c r="F1257" s="1079"/>
      <c r="G1257" s="1020" t="s">
        <v>292</v>
      </c>
      <c r="H1257" s="1025" t="s">
        <v>494</v>
      </c>
      <c r="I1257" s="1026">
        <f>VLOOKUP(H1254,'CNKT '!$D$101:$AA$166,11,0)</f>
        <v>3</v>
      </c>
      <c r="J1257" s="623">
        <f>46.1*$B$2</f>
        <v>30922.036</v>
      </c>
      <c r="K1257" s="1023">
        <f t="shared" si="229"/>
        <v>92766.108000000007</v>
      </c>
      <c r="L1257" s="1040"/>
      <c r="M1257" s="1035"/>
    </row>
    <row r="1258" spans="1:13" s="27" customFormat="1" ht="17.25" customHeight="1">
      <c r="A1258" s="1020" t="s">
        <v>379</v>
      </c>
      <c r="B1258" s="1025" t="s">
        <v>495</v>
      </c>
      <c r="C1258" s="1026">
        <f>VLOOKUP(B1254,'CNKT '!$D$101:$AA$166,12,0)</f>
        <v>3</v>
      </c>
      <c r="D1258" s="622">
        <f>76.9*$B$2</f>
        <v>51581.444000000003</v>
      </c>
      <c r="E1258" s="1023">
        <f t="shared" si="228"/>
        <v>154744.33199999999</v>
      </c>
      <c r="F1258" s="1079"/>
      <c r="G1258" s="1020" t="s">
        <v>379</v>
      </c>
      <c r="H1258" s="1025" t="s">
        <v>495</v>
      </c>
      <c r="I1258" s="1026">
        <f>VLOOKUP(H1254,'CNKT '!$D$101:$AA$166,12,0)</f>
        <v>1</v>
      </c>
      <c r="J1258" s="622">
        <f>76.9*$B$2</f>
        <v>51581.444000000003</v>
      </c>
      <c r="K1258" s="1023">
        <f t="shared" si="229"/>
        <v>51581.444000000003</v>
      </c>
      <c r="L1258" s="1040"/>
      <c r="M1258" s="1035"/>
    </row>
    <row r="1259" spans="1:13" s="27" customFormat="1" ht="17.25" customHeight="1">
      <c r="A1259" s="1020" t="s">
        <v>73</v>
      </c>
      <c r="B1259" s="1025" t="s">
        <v>496</v>
      </c>
      <c r="C1259" s="1026">
        <f>VLOOKUP(B1254,'CNKT '!$D$101:$AA$166,8,0)</f>
        <v>139.28483266746517</v>
      </c>
      <c r="D1259" s="622">
        <f>IF(C1255="A",6.1,IF(C1255="B",5.8,IF(C1255="C",5.5,IF(C1255="C.",5.5,IF(C1255="D",5.2)))))*$B$2</f>
        <v>3689.18</v>
      </c>
      <c r="E1259" s="1023">
        <f t="shared" si="228"/>
        <v>513846.81898015912</v>
      </c>
      <c r="F1259" s="1079"/>
      <c r="G1259" s="1020" t="s">
        <v>73</v>
      </c>
      <c r="H1259" s="1025" t="s">
        <v>496</v>
      </c>
      <c r="I1259" s="1026">
        <f>VLOOKUP(H1254,'CNKT '!$D$101:$AA$166,8,0)</f>
        <v>96.893796638236637</v>
      </c>
      <c r="J1259" s="622">
        <f>IF(I1255="A",6.1,IF(I1255="B",5.8,IF(I1255="C",5.5,IF(I1255="C.",5.5,IF(I1255="D",5.2)))))*$B$2</f>
        <v>3689.18</v>
      </c>
      <c r="K1259" s="1023">
        <f t="shared" si="229"/>
        <v>357458.6566818498</v>
      </c>
      <c r="L1259" s="1040"/>
      <c r="M1259" s="1035"/>
    </row>
    <row r="1260" spans="1:13" s="27" customFormat="1" ht="17.25" customHeight="1">
      <c r="A1260" s="1089" t="s">
        <v>464</v>
      </c>
      <c r="B1260" s="1090" t="s">
        <v>497</v>
      </c>
      <c r="C1260" s="1091">
        <f>VLOOKUP(B1254,'CNKT '!$D$99:$AA$166,13,0)</f>
        <v>0</v>
      </c>
      <c r="D1260" s="1092">
        <v>100000</v>
      </c>
      <c r="E1260" s="1093">
        <f t="shared" si="228"/>
        <v>0</v>
      </c>
      <c r="F1260" s="1079"/>
      <c r="G1260" s="1089" t="s">
        <v>464</v>
      </c>
      <c r="H1260" s="1090" t="s">
        <v>497</v>
      </c>
      <c r="I1260" s="1091">
        <f>VLOOKUP(H1254,'CNKT '!$D$99:$AA$166,13,0)</f>
        <v>0</v>
      </c>
      <c r="J1260" s="1092">
        <v>100000</v>
      </c>
      <c r="K1260" s="1093">
        <f t="shared" si="229"/>
        <v>0</v>
      </c>
      <c r="L1260" s="1040"/>
      <c r="M1260" s="1035"/>
    </row>
    <row r="1261" spans="1:13" s="27" customFormat="1" ht="17.25" customHeight="1">
      <c r="A1261" s="1020" t="s">
        <v>421</v>
      </c>
      <c r="B1261" s="1025" t="s">
        <v>467</v>
      </c>
      <c r="C1261" s="1026">
        <f>VLOOKUP(B1254,'CNKT '!$D$101:$AA$166,14,0)</f>
        <v>0</v>
      </c>
      <c r="D1261" s="622">
        <f>153.6*$B$2</f>
        <v>103028.73599999999</v>
      </c>
      <c r="E1261" s="1023">
        <f t="shared" si="228"/>
        <v>0</v>
      </c>
      <c r="F1261" s="1079"/>
      <c r="G1261" s="1020" t="s">
        <v>421</v>
      </c>
      <c r="H1261" s="1025" t="s">
        <v>467</v>
      </c>
      <c r="I1261" s="1026">
        <f>VLOOKUP(H1254,'CNKT '!$D$101:$AA$166,14,0)</f>
        <v>0</v>
      </c>
      <c r="J1261" s="622">
        <f>153.6*$B$2</f>
        <v>103028.73599999999</v>
      </c>
      <c r="K1261" s="1023">
        <f t="shared" si="229"/>
        <v>0</v>
      </c>
      <c r="L1261" s="1040"/>
      <c r="M1261" s="1035"/>
    </row>
    <row r="1262" spans="1:13" s="27" customFormat="1" ht="17.25" customHeight="1">
      <c r="A1262" s="1020" t="s">
        <v>425</v>
      </c>
      <c r="B1262" s="1025" t="s">
        <v>468</v>
      </c>
      <c r="C1262" s="1026">
        <f>VLOOKUP(B1254,'CNKT '!$D$102:$AA$166,18,0)</f>
        <v>0</v>
      </c>
      <c r="D1262" s="622">
        <v>10000</v>
      </c>
      <c r="E1262" s="1023">
        <f>C1262*D1262</f>
        <v>0</v>
      </c>
      <c r="F1262" s="1079"/>
      <c r="G1262" s="1020" t="s">
        <v>425</v>
      </c>
      <c r="H1262" s="1025" t="s">
        <v>468</v>
      </c>
      <c r="I1262" s="1026">
        <f>VLOOKUP(H1254,'CNKT '!$D$102:$AA$166,18,0)</f>
        <v>0</v>
      </c>
      <c r="J1262" s="622">
        <v>10000</v>
      </c>
      <c r="K1262" s="1023">
        <f>I1262*J1262</f>
        <v>0</v>
      </c>
      <c r="L1262" s="1040"/>
      <c r="M1262" s="1035"/>
    </row>
    <row r="1263" spans="1:13" s="27" customFormat="1" ht="17.25" customHeight="1">
      <c r="A1263" s="1020" t="s">
        <v>425</v>
      </c>
      <c r="B1263" s="1025" t="s">
        <v>468</v>
      </c>
      <c r="C1263" s="1026">
        <f>VLOOKUP(B1254,'CNKT '!$D$102:$AA$166,19,0)</f>
        <v>0</v>
      </c>
      <c r="D1263" s="622">
        <v>20000</v>
      </c>
      <c r="E1263" s="1023">
        <f>C1263*D1263</f>
        <v>0</v>
      </c>
      <c r="F1263" s="1079"/>
      <c r="G1263" s="1020" t="s">
        <v>425</v>
      </c>
      <c r="H1263" s="1025" t="s">
        <v>468</v>
      </c>
      <c r="I1263" s="1026">
        <f>VLOOKUP(H1254,'CNKT '!$D$102:$AA$166,19,0)</f>
        <v>0</v>
      </c>
      <c r="J1263" s="622">
        <v>20000</v>
      </c>
      <c r="K1263" s="1023">
        <f>I1263*J1263</f>
        <v>0</v>
      </c>
      <c r="L1263" s="1040"/>
      <c r="M1263" s="1035"/>
    </row>
    <row r="1264" spans="1:13" s="27" customFormat="1" ht="17.25" customHeight="1">
      <c r="A1264" s="1020" t="s">
        <v>780</v>
      </c>
      <c r="B1264" s="1027" t="s">
        <v>781</v>
      </c>
      <c r="C1264" s="1026"/>
      <c r="D1264" s="622"/>
      <c r="E1264" s="1023">
        <f>VLOOKUP(B1254,'CNKT '!$D$102:$AE$166,28,0)</f>
        <v>0</v>
      </c>
      <c r="F1264" s="1079"/>
      <c r="G1264" s="1020" t="s">
        <v>780</v>
      </c>
      <c r="H1264" s="1027" t="s">
        <v>781</v>
      </c>
      <c r="I1264" s="1026"/>
      <c r="J1264" s="622"/>
      <c r="K1264" s="1023">
        <f>VLOOKUP(H1254,'CNKT '!$D$102:$AE$166,28,0)</f>
        <v>0</v>
      </c>
      <c r="L1264" s="1040"/>
      <c r="M1264" s="1035"/>
    </row>
    <row r="1265" spans="1:14" s="27" customFormat="1" ht="17.25" customHeight="1">
      <c r="A1265" s="1028" t="s">
        <v>74</v>
      </c>
      <c r="B1265" s="1029" t="s">
        <v>498</v>
      </c>
      <c r="C1265" s="1030"/>
      <c r="D1265" s="1031"/>
      <c r="E1265" s="1030"/>
      <c r="F1265" s="1079"/>
      <c r="G1265" s="1028" t="s">
        <v>74</v>
      </c>
      <c r="H1265" s="1029" t="s">
        <v>498</v>
      </c>
      <c r="I1265" s="1030"/>
      <c r="J1265" s="1031"/>
      <c r="K1265" s="1030"/>
      <c r="L1265" s="1040"/>
      <c r="M1265" s="1035"/>
    </row>
    <row r="1266" spans="1:14" s="27" customFormat="1" ht="17.25" customHeight="1">
      <c r="A1266" s="1032" t="s">
        <v>75</v>
      </c>
      <c r="B1266" s="1033" t="s">
        <v>499</v>
      </c>
      <c r="C1266" s="1030"/>
      <c r="D1266" s="1030"/>
      <c r="E1266" s="1030"/>
      <c r="F1266" s="1079"/>
      <c r="G1266" s="1032" t="s">
        <v>75</v>
      </c>
      <c r="H1266" s="1033" t="s">
        <v>499</v>
      </c>
      <c r="I1266" s="1030"/>
      <c r="J1266" s="1030"/>
      <c r="K1266" s="1030"/>
      <c r="L1266" s="1040"/>
      <c r="M1266" s="1035"/>
    </row>
    <row r="1267" spans="1:14" s="27" customFormat="1" ht="17.25" customHeight="1">
      <c r="A1267" s="1032" t="s">
        <v>76</v>
      </c>
      <c r="B1267" s="1034" t="s">
        <v>500</v>
      </c>
      <c r="C1267" s="1030"/>
      <c r="D1267" s="1030"/>
      <c r="E1267" s="1023">
        <f>SUM(E1266)</f>
        <v>0</v>
      </c>
      <c r="F1267" s="1079"/>
      <c r="G1267" s="1032" t="s">
        <v>76</v>
      </c>
      <c r="H1267" s="1034" t="s">
        <v>500</v>
      </c>
      <c r="I1267" s="1030"/>
      <c r="J1267" s="1030"/>
      <c r="K1267" s="1023">
        <f>SUM(K1266)</f>
        <v>0</v>
      </c>
      <c r="L1267" s="1040"/>
      <c r="M1267" s="1035"/>
    </row>
    <row r="1268" spans="1:14" s="27" customFormat="1" ht="17.25" customHeight="1">
      <c r="A1268" s="1036" t="s">
        <v>77</v>
      </c>
      <c r="B1268" s="1037" t="s">
        <v>412</v>
      </c>
      <c r="C1268" s="1038"/>
      <c r="D1268" s="1038"/>
      <c r="E1268" s="1038">
        <f>(E1256+E1257+E1258+E1259+E1260+E1261+E1262+E1263+E1264)-E1267</f>
        <v>792279.29498015915</v>
      </c>
      <c r="F1268" s="1079"/>
      <c r="G1268" s="1036" t="s">
        <v>77</v>
      </c>
      <c r="H1268" s="1037" t="s">
        <v>412</v>
      </c>
      <c r="I1268" s="1038"/>
      <c r="J1268" s="1038"/>
      <c r="K1268" s="1038">
        <f>(K1256+K1257+K1258+K1259+K1260+K1261+K1262+K1263+K1264)-K1267</f>
        <v>501806.20868184982</v>
      </c>
      <c r="L1268" s="1040">
        <f>E1268+K1268</f>
        <v>1294085.503662009</v>
      </c>
      <c r="M1268" s="1035"/>
    </row>
    <row r="1269" spans="1:14" s="27" customFormat="1" ht="17.25" customHeight="1">
      <c r="A1269" s="1082"/>
      <c r="B1269" s="1082"/>
      <c r="C1269" s="1082"/>
      <c r="D1269" s="1082"/>
      <c r="E1269" s="1082"/>
      <c r="F1269" s="1082"/>
      <c r="G1269" s="1082"/>
      <c r="H1269" s="1082"/>
      <c r="I1269" s="1082"/>
      <c r="J1269" s="1082"/>
      <c r="K1269" s="1082"/>
      <c r="L1269" s="1040"/>
      <c r="M1269" s="1035"/>
      <c r="N1269" s="27" t="s">
        <v>794</v>
      </c>
    </row>
    <row r="1270" spans="1:14" s="27" customFormat="1" ht="17.25" customHeight="1">
      <c r="A1270" s="1083" t="str">
        <f>A1253</f>
        <v>LƯƠNG THÁNG 08/2025</v>
      </c>
      <c r="B1270" s="1082"/>
      <c r="C1270" s="1082"/>
      <c r="D1270" s="1082"/>
      <c r="E1270" s="1078">
        <f>VLOOKUP(B1271,'CNKT '!$D$102:$AD$166,26,0)</f>
        <v>0</v>
      </c>
      <c r="F1270" s="1079"/>
      <c r="G1270" s="1083" t="str">
        <f>A1270</f>
        <v>LƯƠNG THÁNG 08/2025</v>
      </c>
      <c r="H1270" s="1082"/>
      <c r="I1270" s="1082"/>
      <c r="J1270" s="1014"/>
      <c r="K1270" s="1078">
        <f>VLOOKUP(H1271,'CNKT '!$D$102:$AD$166,26,0)</f>
        <v>0</v>
      </c>
      <c r="L1270" s="1040"/>
      <c r="M1270" s="1035"/>
    </row>
    <row r="1271" spans="1:14" s="27" customFormat="1" ht="17.25" customHeight="1">
      <c r="A1271" s="1044" t="s">
        <v>13</v>
      </c>
      <c r="B1271" s="1016" t="str">
        <f>'CNKT '!D165</f>
        <v>Mon (3)</v>
      </c>
      <c r="C1271" s="1022"/>
      <c r="D1271" s="1016" t="s">
        <v>376</v>
      </c>
      <c r="E1271" s="1016" t="s">
        <v>16</v>
      </c>
      <c r="F1271" s="1079"/>
      <c r="G1271" s="1044" t="s">
        <v>13</v>
      </c>
      <c r="H1271" s="1016" t="str">
        <f>'CNKT '!D166</f>
        <v>T. Huân</v>
      </c>
      <c r="I1271" s="1022"/>
      <c r="J1271" s="1016" t="s">
        <v>376</v>
      </c>
      <c r="K1271" s="1016" t="s">
        <v>16</v>
      </c>
      <c r="L1271" s="1040"/>
      <c r="M1271" s="1035"/>
      <c r="N1271" s="27" t="s">
        <v>795</v>
      </c>
    </row>
    <row r="1272" spans="1:14" s="27" customFormat="1" ht="17.25" customHeight="1">
      <c r="A1272" s="1020" t="s">
        <v>377</v>
      </c>
      <c r="B1272" s="1021" t="s">
        <v>493</v>
      </c>
      <c r="C1272" s="1022"/>
      <c r="D1272" s="1023"/>
      <c r="E1272" s="1023"/>
      <c r="F1272" s="1079"/>
      <c r="G1272" s="1020" t="s">
        <v>377</v>
      </c>
      <c r="H1272" s="1021" t="s">
        <v>493</v>
      </c>
      <c r="I1272" s="1022"/>
      <c r="J1272" s="1023"/>
      <c r="K1272" s="1023"/>
      <c r="L1272" s="1040"/>
      <c r="M1272" s="1035"/>
    </row>
    <row r="1273" spans="1:14" s="27" customFormat="1" ht="17.25" customHeight="1">
      <c r="A1273" s="1020" t="s">
        <v>72</v>
      </c>
      <c r="B1273" s="1024" t="s">
        <v>406</v>
      </c>
      <c r="C1273" s="621">
        <f>VLOOKUP(B1271,'CNKT '!$D$101:$AA$166,3,0)</f>
        <v>0</v>
      </c>
      <c r="D1273" s="622">
        <v>25000</v>
      </c>
      <c r="E1273" s="1023">
        <f t="shared" ref="E1273:E1278" si="230">C1273*D1273</f>
        <v>0</v>
      </c>
      <c r="F1273" s="1079"/>
      <c r="G1273" s="1020" t="s">
        <v>72</v>
      </c>
      <c r="H1273" s="1024" t="s">
        <v>406</v>
      </c>
      <c r="I1273" s="621">
        <f>VLOOKUP(H1271,'CNKT '!$D$101:$AA$166,3,0)</f>
        <v>0</v>
      </c>
      <c r="J1273" s="622">
        <v>25000</v>
      </c>
      <c r="K1273" s="1023">
        <f t="shared" ref="K1273:K1278" si="231">I1273*J1273</f>
        <v>0</v>
      </c>
      <c r="L1273" s="1040"/>
      <c r="M1273" s="1035"/>
    </row>
    <row r="1274" spans="1:14" s="27" customFormat="1" ht="17.25" customHeight="1">
      <c r="A1274" s="1020" t="s">
        <v>292</v>
      </c>
      <c r="B1274" s="1025" t="s">
        <v>494</v>
      </c>
      <c r="C1274" s="1026">
        <f>VLOOKUP(B1271,'CNKT '!$D$101:$AA$166,11,0)</f>
        <v>0</v>
      </c>
      <c r="D1274" s="623">
        <f>46.1*$B$2</f>
        <v>30922.036</v>
      </c>
      <c r="E1274" s="1023">
        <f t="shared" si="230"/>
        <v>0</v>
      </c>
      <c r="F1274" s="1079"/>
      <c r="G1274" s="1020" t="s">
        <v>292</v>
      </c>
      <c r="H1274" s="1025" t="s">
        <v>494</v>
      </c>
      <c r="I1274" s="1026">
        <f>VLOOKUP(H1271,'CNKT '!$D$101:$AA$166,11,0)</f>
        <v>0</v>
      </c>
      <c r="J1274" s="623">
        <f>46.1*$B$2</f>
        <v>30922.036</v>
      </c>
      <c r="K1274" s="1023">
        <f t="shared" si="231"/>
        <v>0</v>
      </c>
      <c r="L1274" s="1040"/>
      <c r="M1274" s="1035"/>
    </row>
    <row r="1275" spans="1:14" s="27" customFormat="1" ht="17.25" customHeight="1">
      <c r="A1275" s="1020" t="s">
        <v>379</v>
      </c>
      <c r="B1275" s="1025" t="s">
        <v>495</v>
      </c>
      <c r="C1275" s="1026">
        <f>VLOOKUP(B1271,'CNKT '!$D$101:$AA$166,12,0)</f>
        <v>0</v>
      </c>
      <c r="D1275" s="622">
        <f>76.9*$B$2</f>
        <v>51581.444000000003</v>
      </c>
      <c r="E1275" s="1023">
        <f t="shared" si="230"/>
        <v>0</v>
      </c>
      <c r="F1275" s="1079"/>
      <c r="G1275" s="1020" t="s">
        <v>379</v>
      </c>
      <c r="H1275" s="1025" t="s">
        <v>495</v>
      </c>
      <c r="I1275" s="1026">
        <f>VLOOKUP(H1271,'CNKT '!$D$101:$AA$166,12,0)</f>
        <v>0</v>
      </c>
      <c r="J1275" s="622">
        <f>76.9*$B$2</f>
        <v>51581.444000000003</v>
      </c>
      <c r="K1275" s="1023">
        <f t="shared" si="231"/>
        <v>0</v>
      </c>
      <c r="L1275" s="1040"/>
      <c r="M1275" s="1035"/>
    </row>
    <row r="1276" spans="1:14" s="27" customFormat="1" ht="17.25" customHeight="1">
      <c r="A1276" s="1020" t="s">
        <v>73</v>
      </c>
      <c r="B1276" s="1025" t="s">
        <v>496</v>
      </c>
      <c r="C1276" s="1026">
        <f>VLOOKUP(B1271,'CNKT '!$D$101:$AA$166,8,0)</f>
        <v>0</v>
      </c>
      <c r="D1276" s="622">
        <f>IF(C1272="A",6.1,IF(C1272="B",5.8,IF(C1272="C",5.5,IF(C1272="C.",5.5,IF(C1272="D",5.2)))))*$B$2</f>
        <v>0</v>
      </c>
      <c r="E1276" s="1023">
        <f t="shared" si="230"/>
        <v>0</v>
      </c>
      <c r="F1276" s="1079"/>
      <c r="G1276" s="1020" t="s">
        <v>73</v>
      </c>
      <c r="H1276" s="1025" t="s">
        <v>496</v>
      </c>
      <c r="I1276" s="1026">
        <f>VLOOKUP(H1271,'CNKT '!$D$101:$AA$166,8,0)</f>
        <v>0</v>
      </c>
      <c r="J1276" s="622">
        <f>IF(I1272="A",6.1,IF(I1272="B",5.8,IF(I1272="C",5.5,IF(I1272="C.",5.5,IF(I1272="D",5.2)))))*$B$2</f>
        <v>0</v>
      </c>
      <c r="K1276" s="1023">
        <f t="shared" si="231"/>
        <v>0</v>
      </c>
      <c r="L1276" s="1040"/>
      <c r="M1276" s="1035"/>
    </row>
    <row r="1277" spans="1:14" s="27" customFormat="1" ht="17.25" customHeight="1">
      <c r="A1277" s="1089" t="s">
        <v>464</v>
      </c>
      <c r="B1277" s="1090" t="s">
        <v>497</v>
      </c>
      <c r="C1277" s="1091">
        <f>VLOOKUP(B1271,'CNKT '!$D$99:$AA$166,13,0)</f>
        <v>0</v>
      </c>
      <c r="D1277" s="1092">
        <v>100000</v>
      </c>
      <c r="E1277" s="1093">
        <f t="shared" si="230"/>
        <v>0</v>
      </c>
      <c r="F1277" s="1079"/>
      <c r="G1277" s="1089" t="s">
        <v>464</v>
      </c>
      <c r="H1277" s="1090" t="s">
        <v>497</v>
      </c>
      <c r="I1277" s="1091">
        <f>VLOOKUP(H1271,'CNKT '!$D$99:$AA$166,13,0)</f>
        <v>0</v>
      </c>
      <c r="J1277" s="1092">
        <v>100000</v>
      </c>
      <c r="K1277" s="1093">
        <f t="shared" si="231"/>
        <v>0</v>
      </c>
      <c r="L1277" s="1040"/>
      <c r="M1277" s="1035"/>
    </row>
    <row r="1278" spans="1:14" s="27" customFormat="1" ht="17.25" customHeight="1">
      <c r="A1278" s="1020" t="s">
        <v>421</v>
      </c>
      <c r="B1278" s="1025" t="s">
        <v>467</v>
      </c>
      <c r="C1278" s="1026">
        <f>VLOOKUP(B1271,'CNKT '!$D$101:$AA$166,14,0)</f>
        <v>0</v>
      </c>
      <c r="D1278" s="622">
        <f>153.6*$B$2</f>
        <v>103028.73599999999</v>
      </c>
      <c r="E1278" s="1023">
        <f t="shared" si="230"/>
        <v>0</v>
      </c>
      <c r="F1278" s="1079"/>
      <c r="G1278" s="1020" t="s">
        <v>421</v>
      </c>
      <c r="H1278" s="1025" t="s">
        <v>467</v>
      </c>
      <c r="I1278" s="1026">
        <f>VLOOKUP(H1271,'CNKT '!$D$101:$AA$166,14,0)</f>
        <v>0</v>
      </c>
      <c r="J1278" s="622">
        <f>153.6*$B$2</f>
        <v>103028.73599999999</v>
      </c>
      <c r="K1278" s="1023">
        <f t="shared" si="231"/>
        <v>0</v>
      </c>
      <c r="L1278" s="1040"/>
      <c r="M1278" s="1035"/>
    </row>
    <row r="1279" spans="1:14" s="27" customFormat="1" ht="17.25" customHeight="1">
      <c r="A1279" s="1020" t="s">
        <v>425</v>
      </c>
      <c r="B1279" s="1025" t="s">
        <v>468</v>
      </c>
      <c r="C1279" s="1026">
        <f>VLOOKUP(B1271,'CNKT '!$D$102:$AA$166,18,0)</f>
        <v>0</v>
      </c>
      <c r="D1279" s="622">
        <v>10000</v>
      </c>
      <c r="E1279" s="1023">
        <f>C1279*D1279</f>
        <v>0</v>
      </c>
      <c r="F1279" s="1079"/>
      <c r="G1279" s="1020" t="s">
        <v>425</v>
      </c>
      <c r="H1279" s="1025" t="s">
        <v>468</v>
      </c>
      <c r="I1279" s="1026">
        <f>VLOOKUP(H1271,'CNKT '!$D$102:$AA$166,18,0)</f>
        <v>0</v>
      </c>
      <c r="J1279" s="622">
        <v>10000</v>
      </c>
      <c r="K1279" s="1023">
        <f>I1279*J1279</f>
        <v>0</v>
      </c>
      <c r="L1279" s="1040"/>
      <c r="M1279" s="1035"/>
    </row>
    <row r="1280" spans="1:14" s="27" customFormat="1" ht="17.25" customHeight="1">
      <c r="A1280" s="1020" t="s">
        <v>425</v>
      </c>
      <c r="B1280" s="1025" t="s">
        <v>468</v>
      </c>
      <c r="C1280" s="1026">
        <f>VLOOKUP(B1271,'CNKT '!$D$102:$AA$166,19,0)</f>
        <v>0</v>
      </c>
      <c r="D1280" s="622">
        <v>20000</v>
      </c>
      <c r="E1280" s="1023">
        <f>C1280*D1280</f>
        <v>0</v>
      </c>
      <c r="F1280" s="1079"/>
      <c r="G1280" s="1020" t="s">
        <v>425</v>
      </c>
      <c r="H1280" s="1025" t="s">
        <v>468</v>
      </c>
      <c r="I1280" s="1026">
        <f>VLOOKUP(H1271,'CNKT '!$D$102:$AA$166,19,0)</f>
        <v>0</v>
      </c>
      <c r="J1280" s="622">
        <v>20000</v>
      </c>
      <c r="K1280" s="1023">
        <f>I1280*J1280</f>
        <v>0</v>
      </c>
      <c r="L1280" s="1040"/>
      <c r="M1280" s="1035"/>
    </row>
    <row r="1281" spans="1:13" s="27" customFormat="1" ht="17.25" customHeight="1">
      <c r="A1281" s="1020" t="s">
        <v>780</v>
      </c>
      <c r="B1281" s="1027" t="s">
        <v>781</v>
      </c>
      <c r="C1281" s="1026"/>
      <c r="D1281" s="622"/>
      <c r="E1281" s="1023">
        <f>VLOOKUP(B1271,'CNKT '!$D$102:$AE$166,28,0)</f>
        <v>0</v>
      </c>
      <c r="F1281" s="1079"/>
      <c r="G1281" s="1020" t="s">
        <v>780</v>
      </c>
      <c r="H1281" s="1027" t="s">
        <v>781</v>
      </c>
      <c r="I1281" s="1026"/>
      <c r="J1281" s="622"/>
      <c r="K1281" s="1023">
        <f>VLOOKUP(H1271,'CNKT '!$D$102:$AE$166,28,0)</f>
        <v>0</v>
      </c>
      <c r="L1281" s="1040"/>
      <c r="M1281" s="1035"/>
    </row>
    <row r="1282" spans="1:13" s="27" customFormat="1" ht="17.25" customHeight="1">
      <c r="A1282" s="1028" t="s">
        <v>74</v>
      </c>
      <c r="B1282" s="1029" t="s">
        <v>498</v>
      </c>
      <c r="C1282" s="1030"/>
      <c r="D1282" s="1031"/>
      <c r="E1282" s="1030"/>
      <c r="F1282" s="1079"/>
      <c r="G1282" s="1028" t="s">
        <v>74</v>
      </c>
      <c r="H1282" s="1029" t="s">
        <v>498</v>
      </c>
      <c r="I1282" s="1030"/>
      <c r="J1282" s="1031"/>
      <c r="K1282" s="1030"/>
      <c r="L1282" s="1040"/>
      <c r="M1282" s="1035"/>
    </row>
    <row r="1283" spans="1:13" s="27" customFormat="1" ht="17.25" customHeight="1">
      <c r="A1283" s="1032" t="s">
        <v>75</v>
      </c>
      <c r="B1283" s="1033" t="s">
        <v>499</v>
      </c>
      <c r="C1283" s="1030"/>
      <c r="D1283" s="1030"/>
      <c r="E1283" s="1030"/>
      <c r="F1283" s="1079"/>
      <c r="G1283" s="1032" t="s">
        <v>75</v>
      </c>
      <c r="H1283" s="1033" t="s">
        <v>499</v>
      </c>
      <c r="I1283" s="1030"/>
      <c r="J1283" s="1030"/>
      <c r="K1283" s="1030"/>
      <c r="L1283" s="1040"/>
      <c r="M1283" s="1035"/>
    </row>
    <row r="1284" spans="1:13" s="27" customFormat="1" ht="17.25" customHeight="1">
      <c r="A1284" s="1032" t="s">
        <v>76</v>
      </c>
      <c r="B1284" s="1034" t="s">
        <v>500</v>
      </c>
      <c r="C1284" s="1030"/>
      <c r="D1284" s="1030"/>
      <c r="E1284" s="1023">
        <f>SUM(E1283)</f>
        <v>0</v>
      </c>
      <c r="F1284" s="1079"/>
      <c r="G1284" s="1032" t="s">
        <v>76</v>
      </c>
      <c r="H1284" s="1034" t="s">
        <v>500</v>
      </c>
      <c r="I1284" s="1030"/>
      <c r="J1284" s="1030"/>
      <c r="K1284" s="1023">
        <f>SUM(K1283)</f>
        <v>0</v>
      </c>
      <c r="L1284" s="1040"/>
      <c r="M1284" s="1035"/>
    </row>
    <row r="1285" spans="1:13" s="27" customFormat="1" ht="17.25" customHeight="1">
      <c r="A1285" s="1036" t="s">
        <v>77</v>
      </c>
      <c r="B1285" s="1037" t="s">
        <v>412</v>
      </c>
      <c r="C1285" s="1038"/>
      <c r="D1285" s="1038"/>
      <c r="E1285" s="1038">
        <f>(E1273+E1274+E1275+E1276+E1277+E1278+E1279+E1280+E1281)-E1284</f>
        <v>0</v>
      </c>
      <c r="F1285" s="1079"/>
      <c r="G1285" s="1036" t="s">
        <v>77</v>
      </c>
      <c r="H1285" s="1037" t="s">
        <v>412</v>
      </c>
      <c r="I1285" s="1038"/>
      <c r="J1285" s="1038"/>
      <c r="K1285" s="1038">
        <f>(K1273+K1274+K1275+K1276+K1277+K1278+K1279+K1280+K1281)-K1284</f>
        <v>0</v>
      </c>
      <c r="L1285" s="1040">
        <f>K1285+E1285</f>
        <v>0</v>
      </c>
      <c r="M1285" s="1035"/>
    </row>
    <row r="1286" spans="1:13" s="27" customFormat="1" ht="222" customHeight="1">
      <c r="A1286" s="1082"/>
      <c r="B1286" s="1082"/>
      <c r="C1286" s="1082"/>
      <c r="D1286" s="1082"/>
      <c r="E1286" s="1082"/>
      <c r="F1286" s="1082"/>
      <c r="G1286" s="1082"/>
      <c r="H1286" s="1082"/>
      <c r="I1286" s="1082"/>
      <c r="J1286" s="1082"/>
      <c r="K1286" s="1082"/>
      <c r="L1286" s="1040"/>
      <c r="M1286" s="1035"/>
    </row>
    <row r="1287" spans="1:13" s="27" customFormat="1" ht="17.25" customHeight="1">
      <c r="A1287" s="1083" t="str">
        <f>A1270</f>
        <v>LƯƠNG THÁNG 08/2025</v>
      </c>
      <c r="B1287" s="1082"/>
      <c r="C1287" s="1082"/>
      <c r="D1287" s="1082"/>
      <c r="E1287" s="1078">
        <f>VLOOKUP(B1288,'CNKT '!$D$102:$AD$166,26,0)</f>
        <v>63</v>
      </c>
      <c r="F1287" s="1079"/>
      <c r="G1287" s="1083" t="str">
        <f>A1287</f>
        <v>LƯƠNG THÁNG 08/2025</v>
      </c>
      <c r="H1287" s="1082"/>
      <c r="I1287" s="1082"/>
      <c r="J1287" s="1014"/>
      <c r="K1287" s="1079"/>
      <c r="L1287" s="1040"/>
      <c r="M1287" s="1035"/>
    </row>
    <row r="1288" spans="1:13" s="27" customFormat="1" ht="17.25" customHeight="1">
      <c r="A1288" s="1044" t="s">
        <v>13</v>
      </c>
      <c r="B1288" s="1016" t="str">
        <f>'CNKT '!D164</f>
        <v>Mủ Xi Rum 2</v>
      </c>
      <c r="C1288" s="1022"/>
      <c r="D1288" s="1016" t="s">
        <v>376</v>
      </c>
      <c r="E1288" s="1016" t="s">
        <v>16</v>
      </c>
      <c r="F1288" s="1079"/>
      <c r="G1288" s="1044" t="s">
        <v>13</v>
      </c>
      <c r="H1288" s="1016" t="e">
        <f>'CNKT '!#REF!</f>
        <v>#REF!</v>
      </c>
      <c r="I1288" s="1022"/>
      <c r="J1288" s="1016" t="s">
        <v>376</v>
      </c>
      <c r="K1288" s="1016" t="s">
        <v>16</v>
      </c>
      <c r="L1288" s="1040"/>
      <c r="M1288" s="1035"/>
    </row>
    <row r="1289" spans="1:13" s="27" customFormat="1" ht="17.25" customHeight="1">
      <c r="A1289" s="1020" t="s">
        <v>377</v>
      </c>
      <c r="B1289" s="1021" t="s">
        <v>493</v>
      </c>
      <c r="C1289" s="1022" t="s">
        <v>36</v>
      </c>
      <c r="D1289" s="1023"/>
      <c r="E1289" s="1023"/>
      <c r="F1289" s="1079"/>
      <c r="G1289" s="1020" t="s">
        <v>377</v>
      </c>
      <c r="H1289" s="1021" t="s">
        <v>493</v>
      </c>
      <c r="I1289" s="1022"/>
      <c r="J1289" s="1023"/>
      <c r="K1289" s="1023"/>
      <c r="L1289" s="1040"/>
      <c r="M1289" s="1035"/>
    </row>
    <row r="1290" spans="1:13" s="27" customFormat="1" ht="17.25" customHeight="1">
      <c r="A1290" s="1020" t="s">
        <v>72</v>
      </c>
      <c r="B1290" s="1024" t="s">
        <v>406</v>
      </c>
      <c r="C1290" s="621">
        <f>VLOOKUP(B1288,'CNKT '!$D$101:$AA$166,3,0)</f>
        <v>0</v>
      </c>
      <c r="D1290" s="622">
        <v>25000</v>
      </c>
      <c r="E1290" s="1023">
        <f t="shared" ref="E1290:E1295" si="232">C1290*D1290</f>
        <v>0</v>
      </c>
      <c r="F1290" s="1079"/>
      <c r="G1290" s="1020" t="s">
        <v>72</v>
      </c>
      <c r="H1290" s="1024" t="s">
        <v>406</v>
      </c>
      <c r="I1290" s="621" t="e">
        <f>VLOOKUP(H1288,'CNKT '!$D$101:$AA$166,3,0)</f>
        <v>#REF!</v>
      </c>
      <c r="J1290" s="622">
        <v>25000</v>
      </c>
      <c r="K1290" s="1023" t="e">
        <f t="shared" ref="K1290:K1295" si="233">I1290*J1290</f>
        <v>#REF!</v>
      </c>
      <c r="L1290" s="1040"/>
      <c r="M1290" s="1035"/>
    </row>
    <row r="1291" spans="1:13" s="27" customFormat="1" ht="17.25" customHeight="1">
      <c r="A1291" s="1020" t="s">
        <v>292</v>
      </c>
      <c r="B1291" s="1025" t="s">
        <v>494</v>
      </c>
      <c r="C1291" s="1026">
        <f>VLOOKUP(B1288,'CNKT '!$D$101:$AA$166,11,0)</f>
        <v>0</v>
      </c>
      <c r="D1291" s="623">
        <f>46.1*$B$2</f>
        <v>30922.036</v>
      </c>
      <c r="E1291" s="1023">
        <f t="shared" si="232"/>
        <v>0</v>
      </c>
      <c r="F1291" s="1079"/>
      <c r="G1291" s="1020" t="s">
        <v>292</v>
      </c>
      <c r="H1291" s="1025" t="s">
        <v>494</v>
      </c>
      <c r="I1291" s="1026" t="e">
        <f>VLOOKUP(H1288,'CNKT '!$D$101:$AA$166,11,0)</f>
        <v>#REF!</v>
      </c>
      <c r="J1291" s="623">
        <f>46.1*$B$2</f>
        <v>30922.036</v>
      </c>
      <c r="K1291" s="1023" t="e">
        <f t="shared" si="233"/>
        <v>#REF!</v>
      </c>
      <c r="L1291" s="1040"/>
      <c r="M1291" s="1035"/>
    </row>
    <row r="1292" spans="1:13" s="27" customFormat="1" ht="17.25" customHeight="1">
      <c r="A1292" s="1020" t="s">
        <v>379</v>
      </c>
      <c r="B1292" s="1025" t="s">
        <v>495</v>
      </c>
      <c r="C1292" s="1026">
        <f>VLOOKUP(B1288,'CNKT '!$D$101:$AA$166,12,0)</f>
        <v>0</v>
      </c>
      <c r="D1292" s="622">
        <f>76.9*$B$2</f>
        <v>51581.444000000003</v>
      </c>
      <c r="E1292" s="1023">
        <f t="shared" si="232"/>
        <v>0</v>
      </c>
      <c r="F1292" s="1079"/>
      <c r="G1292" s="1020" t="s">
        <v>379</v>
      </c>
      <c r="H1292" s="1025" t="s">
        <v>495</v>
      </c>
      <c r="I1292" s="1026" t="e">
        <f>VLOOKUP(H1288,'CNKT '!$D$101:$AA$166,13,0)</f>
        <v>#REF!</v>
      </c>
      <c r="J1292" s="622">
        <f>76.9*$B$2</f>
        <v>51581.444000000003</v>
      </c>
      <c r="K1292" s="1023" t="e">
        <f t="shared" si="233"/>
        <v>#REF!</v>
      </c>
      <c r="L1292" s="1040"/>
      <c r="M1292" s="1035"/>
    </row>
    <row r="1293" spans="1:13" s="27" customFormat="1" ht="17.25" customHeight="1">
      <c r="A1293" s="1020" t="s">
        <v>73</v>
      </c>
      <c r="B1293" s="1025" t="s">
        <v>496</v>
      </c>
      <c r="C1293" s="1026">
        <f>VLOOKUP(B1288,'CNKT '!$D$101:$AA$166,8,0)</f>
        <v>310.00999999999993</v>
      </c>
      <c r="D1293" s="622">
        <f>IF(C1289="A",6.1,IF(C1289="B",5.8,IF(C1289="C",5.5,IF(C1289="C.",5.5,IF(C1289="D",5.2)))))*$B$2</f>
        <v>4091.6359999999995</v>
      </c>
      <c r="E1293" s="1023">
        <f t="shared" si="232"/>
        <v>1268448.0763599996</v>
      </c>
      <c r="F1293" s="1079"/>
      <c r="G1293" s="1020" t="s">
        <v>73</v>
      </c>
      <c r="H1293" s="1025" t="s">
        <v>496</v>
      </c>
      <c r="I1293" s="1026" t="e">
        <f>VLOOKUP(H1288,'CNKT '!$D$101:$AA$166,8,0)</f>
        <v>#REF!</v>
      </c>
      <c r="J1293" s="622">
        <f>IF(I1289="A",6.1,IF(I1289="B",5.8,IF(I1289="C",5.5,IF(I1289="C.",5.5,IF(I1289="D",5.2)))))*$B$2</f>
        <v>0</v>
      </c>
      <c r="K1293" s="1023" t="e">
        <f t="shared" si="233"/>
        <v>#REF!</v>
      </c>
      <c r="L1293" s="1040"/>
      <c r="M1293" s="1035"/>
    </row>
    <row r="1294" spans="1:13" s="27" customFormat="1" ht="17.25" customHeight="1">
      <c r="A1294" s="1020" t="s">
        <v>464</v>
      </c>
      <c r="B1294" s="1025" t="s">
        <v>497</v>
      </c>
      <c r="C1294" s="1026">
        <f>VLOOKUP(B1288,'CNKT '!$D$99:$AA$166,13,0)</f>
        <v>0</v>
      </c>
      <c r="D1294" s="623">
        <f>92.2*$B$2</f>
        <v>61844.072</v>
      </c>
      <c r="E1294" s="1023">
        <f t="shared" si="232"/>
        <v>0</v>
      </c>
      <c r="F1294" s="1079"/>
      <c r="G1294" s="1020" t="s">
        <v>464</v>
      </c>
      <c r="H1294" s="1025" t="s">
        <v>497</v>
      </c>
      <c r="I1294" s="1026" t="e">
        <f>VLOOKUP(H1288,'CNKT '!$D$99:$AA$166,12,0)</f>
        <v>#REF!</v>
      </c>
      <c r="J1294" s="623">
        <f>92.2*$B$2</f>
        <v>61844.072</v>
      </c>
      <c r="K1294" s="1023" t="e">
        <f t="shared" si="233"/>
        <v>#REF!</v>
      </c>
      <c r="L1294" s="1040"/>
      <c r="M1294" s="1035"/>
    </row>
    <row r="1295" spans="1:13" s="27" customFormat="1" ht="17.25" customHeight="1">
      <c r="A1295" s="1020" t="s">
        <v>421</v>
      </c>
      <c r="B1295" s="1025" t="s">
        <v>467</v>
      </c>
      <c r="C1295" s="1026">
        <f>VLOOKUP(B1288,'CNKT '!$D$101:$AA$166,14,0)</f>
        <v>0</v>
      </c>
      <c r="D1295" s="622">
        <f>153.6*$B$2</f>
        <v>103028.73599999999</v>
      </c>
      <c r="E1295" s="1023">
        <f t="shared" si="232"/>
        <v>0</v>
      </c>
      <c r="F1295" s="1079"/>
      <c r="G1295" s="1020" t="s">
        <v>421</v>
      </c>
      <c r="H1295" s="1025" t="s">
        <v>467</v>
      </c>
      <c r="I1295" s="1026" t="e">
        <f>VLOOKUP(H1288,'CNKT '!$D$101:$AA$166,14,0)</f>
        <v>#REF!</v>
      </c>
      <c r="J1295" s="622">
        <f>153.6*$B$2</f>
        <v>103028.73599999999</v>
      </c>
      <c r="K1295" s="1023" t="e">
        <f t="shared" si="233"/>
        <v>#REF!</v>
      </c>
      <c r="L1295" s="1040"/>
      <c r="M1295" s="1035"/>
    </row>
    <row r="1296" spans="1:13" s="27" customFormat="1" ht="17.25" customHeight="1">
      <c r="A1296" s="1020" t="s">
        <v>425</v>
      </c>
      <c r="B1296" s="1025" t="s">
        <v>468</v>
      </c>
      <c r="C1296" s="1026">
        <f>VLOOKUP(B1288,'CNKT '!$D$102:$AA$166,18,0)</f>
        <v>0</v>
      </c>
      <c r="D1296" s="622">
        <v>10000</v>
      </c>
      <c r="E1296" s="1023">
        <f>C1296*D1296</f>
        <v>0</v>
      </c>
      <c r="F1296" s="1079"/>
      <c r="G1296" s="1020" t="s">
        <v>425</v>
      </c>
      <c r="H1296" s="1025" t="s">
        <v>468</v>
      </c>
      <c r="I1296" s="1026"/>
      <c r="J1296" s="622"/>
      <c r="K1296" s="1023"/>
      <c r="L1296" s="1040"/>
      <c r="M1296" s="1035"/>
    </row>
    <row r="1297" spans="1:16" s="27" customFormat="1" ht="17.25" customHeight="1">
      <c r="A1297" s="1020" t="s">
        <v>425</v>
      </c>
      <c r="B1297" s="1025" t="s">
        <v>468</v>
      </c>
      <c r="C1297" s="1026">
        <f>VLOOKUP(B1288,'CNKT '!$D$102:$AA$166,19,0)</f>
        <v>0</v>
      </c>
      <c r="D1297" s="622">
        <v>20000</v>
      </c>
      <c r="E1297" s="1023">
        <f>C1297*D1297</f>
        <v>0</v>
      </c>
      <c r="F1297" s="1079"/>
      <c r="G1297" s="1020" t="s">
        <v>425</v>
      </c>
      <c r="H1297" s="1025" t="s">
        <v>468</v>
      </c>
      <c r="I1297" s="1026" t="e">
        <f>VLOOKUP(H1288,'CNKT '!$D$101:$AA$166,16,0)</f>
        <v>#REF!</v>
      </c>
      <c r="J1297" s="622">
        <v>25000</v>
      </c>
      <c r="K1297" s="1023" t="e">
        <f>I1297*J1297</f>
        <v>#REF!</v>
      </c>
      <c r="L1297" s="1040"/>
      <c r="M1297" s="1035"/>
    </row>
    <row r="1298" spans="1:16" s="27" customFormat="1" ht="17.25" customHeight="1">
      <c r="A1298" s="1020" t="s">
        <v>482</v>
      </c>
      <c r="B1298" s="1025" t="s">
        <v>483</v>
      </c>
      <c r="C1298" s="1026"/>
      <c r="D1298" s="622"/>
      <c r="E1298" s="1023"/>
      <c r="F1298" s="1079"/>
      <c r="G1298" s="1020" t="s">
        <v>482</v>
      </c>
      <c r="H1298" s="1025" t="s">
        <v>483</v>
      </c>
      <c r="I1298" s="1026"/>
      <c r="J1298" s="622"/>
      <c r="K1298" s="1023"/>
      <c r="L1298" s="1040"/>
      <c r="M1298" s="1035"/>
    </row>
    <row r="1299" spans="1:16" s="27" customFormat="1" ht="17.25" customHeight="1">
      <c r="A1299" s="1028" t="s">
        <v>74</v>
      </c>
      <c r="B1299" s="1029" t="s">
        <v>498</v>
      </c>
      <c r="C1299" s="1030"/>
      <c r="D1299" s="1031"/>
      <c r="E1299" s="1030"/>
      <c r="F1299" s="1079"/>
      <c r="G1299" s="1028" t="s">
        <v>74</v>
      </c>
      <c r="H1299" s="1029" t="s">
        <v>498</v>
      </c>
      <c r="I1299" s="1030"/>
      <c r="J1299" s="1031"/>
      <c r="K1299" s="1030"/>
      <c r="L1299" s="1040"/>
      <c r="M1299" s="627"/>
      <c r="N1299" s="627"/>
    </row>
    <row r="1300" spans="1:16" s="27" customFormat="1" ht="17.25" customHeight="1">
      <c r="A1300" s="1032" t="s">
        <v>75</v>
      </c>
      <c r="B1300" s="1033" t="s">
        <v>499</v>
      </c>
      <c r="C1300" s="1030"/>
      <c r="D1300" s="1030"/>
      <c r="E1300" s="1030"/>
      <c r="F1300" s="1079"/>
      <c r="G1300" s="1032" t="s">
        <v>75</v>
      </c>
      <c r="H1300" s="1033" t="s">
        <v>499</v>
      </c>
      <c r="I1300" s="1030"/>
      <c r="J1300" s="1030"/>
      <c r="K1300" s="1030"/>
      <c r="L1300" s="1040"/>
      <c r="M1300" s="627"/>
      <c r="N1300" s="627"/>
    </row>
    <row r="1301" spans="1:16" s="27" customFormat="1" ht="17.25" customHeight="1">
      <c r="A1301" s="1032" t="s">
        <v>76</v>
      </c>
      <c r="B1301" s="1034" t="s">
        <v>500</v>
      </c>
      <c r="C1301" s="1030"/>
      <c r="D1301" s="1030"/>
      <c r="E1301" s="1023">
        <f>SUM(E1300)</f>
        <v>0</v>
      </c>
      <c r="F1301" s="1079"/>
      <c r="G1301" s="1032" t="s">
        <v>76</v>
      </c>
      <c r="H1301" s="1034" t="s">
        <v>500</v>
      </c>
      <c r="I1301" s="1030"/>
      <c r="J1301" s="1030"/>
      <c r="K1301" s="1023">
        <f>SUM(K1300)</f>
        <v>0</v>
      </c>
      <c r="L1301" s="1040"/>
      <c r="M1301" s="627"/>
      <c r="N1301" s="627"/>
    </row>
    <row r="1302" spans="1:16" s="27" customFormat="1" ht="17.25" customHeight="1">
      <c r="A1302" s="1036" t="s">
        <v>77</v>
      </c>
      <c r="B1302" s="1037" t="s">
        <v>412</v>
      </c>
      <c r="C1302" s="1038"/>
      <c r="D1302" s="1038"/>
      <c r="E1302" s="1038">
        <f>(E1290+E1291+E1292+E1293+E1294+E1295+E1296+E1297+E1298)-E1301</f>
        <v>1268448.0763599996</v>
      </c>
      <c r="F1302" s="1079"/>
      <c r="G1302" s="1036" t="s">
        <v>77</v>
      </c>
      <c r="H1302" s="1037" t="s">
        <v>412</v>
      </c>
      <c r="I1302" s="1084"/>
      <c r="J1302" s="1084"/>
      <c r="K1302" s="1084" t="e">
        <f>(K1290+K1291+K1292+K1293)-K1301</f>
        <v>#REF!</v>
      </c>
      <c r="L1302" s="1040">
        <f>E1302</f>
        <v>1268448.0763599996</v>
      </c>
      <c r="M1302" s="627">
        <f>SUM(L743:L1302)</f>
        <v>503919042.43801349</v>
      </c>
      <c r="N1302" s="627">
        <f>'Trạm 2'!Z83</f>
        <v>509932961</v>
      </c>
      <c r="P1302" s="1075"/>
    </row>
    <row r="1303" spans="1:16" s="27" customFormat="1" ht="17.25" customHeight="1">
      <c r="A1303" s="1082"/>
      <c r="B1303" s="1082"/>
      <c r="C1303" s="1082"/>
      <c r="D1303" s="1082"/>
      <c r="E1303" s="1082"/>
      <c r="F1303" s="1082"/>
      <c r="G1303" s="1082"/>
      <c r="H1303" s="1082"/>
      <c r="I1303" s="1082"/>
      <c r="J1303" s="1082"/>
      <c r="K1303" s="1082"/>
      <c r="L1303" s="1040"/>
      <c r="M1303" s="627"/>
      <c r="N1303" s="627"/>
    </row>
    <row r="1304" spans="1:16" ht="21" customHeight="1">
      <c r="L1304" s="1085">
        <f>SUM(L5:L1302)</f>
        <v>1077240302.5210862</v>
      </c>
      <c r="M1304" s="1086">
        <f>M1302+M738</f>
        <v>1077240302.5210862</v>
      </c>
      <c r="N1304" s="1087">
        <f>'CNKT '!AA168</f>
        <v>1112209762</v>
      </c>
      <c r="P1304" s="1088"/>
    </row>
    <row r="1305" spans="1:16" ht="21" customHeight="1">
      <c r="L1305" s="500"/>
      <c r="M1305" s="1086"/>
      <c r="N1305" s="1086"/>
    </row>
    <row r="1306" spans="1:16" ht="21" customHeight="1">
      <c r="L1306" s="500"/>
    </row>
    <row r="1307" spans="1:16" ht="21" customHeight="1">
      <c r="L1307" s="500"/>
    </row>
    <row r="1308" spans="1:16" ht="21" customHeight="1">
      <c r="L1308" s="1094">
        <v>661430555</v>
      </c>
    </row>
    <row r="1309" spans="1:16" ht="21" customHeight="1">
      <c r="L1309" s="1094">
        <v>551265790</v>
      </c>
    </row>
    <row r="1310" spans="1:16" ht="21" customHeight="1">
      <c r="L1310" s="1095">
        <f>SUM(L1305:L1308)+L1309</f>
        <v>1212696345</v>
      </c>
      <c r="M1310" s="500"/>
    </row>
    <row r="1312" spans="1:16" ht="21" customHeight="1">
      <c r="L1312" s="122"/>
      <c r="M1312" s="1086"/>
    </row>
    <row r="1313" spans="12:12" ht="21" customHeight="1">
      <c r="L1313" s="500">
        <f>L1304-L1310</f>
        <v>-135456042.47891378</v>
      </c>
    </row>
  </sheetData>
  <mergeCells count="89">
    <mergeCell ref="G21:J21"/>
    <mergeCell ref="G38:J38"/>
    <mergeCell ref="G106:J106"/>
    <mergeCell ref="G123:J123"/>
    <mergeCell ref="G140:J140"/>
    <mergeCell ref="G55:J55"/>
    <mergeCell ref="G72:J72"/>
    <mergeCell ref="G89:J89"/>
    <mergeCell ref="G4:J4"/>
    <mergeCell ref="A226:D226"/>
    <mergeCell ref="A243:D243"/>
    <mergeCell ref="A260:D260"/>
    <mergeCell ref="A277:D277"/>
    <mergeCell ref="A4:D4"/>
    <mergeCell ref="A21:D21"/>
    <mergeCell ref="A38:D38"/>
    <mergeCell ref="A55:D55"/>
    <mergeCell ref="A72:D72"/>
    <mergeCell ref="A89:D89"/>
    <mergeCell ref="A106:D106"/>
    <mergeCell ref="A123:D123"/>
    <mergeCell ref="A140:D140"/>
    <mergeCell ref="G226:J226"/>
    <mergeCell ref="G243:J243"/>
    <mergeCell ref="A738:J738"/>
    <mergeCell ref="A739:E739"/>
    <mergeCell ref="G739:J739"/>
    <mergeCell ref="A721:D721"/>
    <mergeCell ref="G721:J721"/>
    <mergeCell ref="A672:D672"/>
    <mergeCell ref="G672:J672"/>
    <mergeCell ref="G689:J689"/>
    <mergeCell ref="A689:D689"/>
    <mergeCell ref="A706:D706"/>
    <mergeCell ref="G706:K706"/>
    <mergeCell ref="A620:D620"/>
    <mergeCell ref="G638:J638"/>
    <mergeCell ref="G655:J655"/>
    <mergeCell ref="A638:D638"/>
    <mergeCell ref="A655:D655"/>
    <mergeCell ref="A535:D535"/>
    <mergeCell ref="A552:D552"/>
    <mergeCell ref="A569:D569"/>
    <mergeCell ref="A586:D586"/>
    <mergeCell ref="A603:D603"/>
    <mergeCell ref="G586:J586"/>
    <mergeCell ref="G603:J603"/>
    <mergeCell ref="G620:J620"/>
    <mergeCell ref="G535:J535"/>
    <mergeCell ref="G552:J552"/>
    <mergeCell ref="G569:J569"/>
    <mergeCell ref="G519:J519"/>
    <mergeCell ref="G449:J449"/>
    <mergeCell ref="G467:J467"/>
    <mergeCell ref="G485:J485"/>
    <mergeCell ref="A449:D449"/>
    <mergeCell ref="A467:D467"/>
    <mergeCell ref="A485:D485"/>
    <mergeCell ref="A502:D502"/>
    <mergeCell ref="A519:D519"/>
    <mergeCell ref="G191:J191"/>
    <mergeCell ref="A157:D157"/>
    <mergeCell ref="A174:D174"/>
    <mergeCell ref="A191:D191"/>
    <mergeCell ref="G502:J502"/>
    <mergeCell ref="A294:D294"/>
    <mergeCell ref="A311:D311"/>
    <mergeCell ref="A329:D329"/>
    <mergeCell ref="G157:J157"/>
    <mergeCell ref="G174:J174"/>
    <mergeCell ref="A208:D208"/>
    <mergeCell ref="G311:J311"/>
    <mergeCell ref="G329:J329"/>
    <mergeCell ref="G347:J347"/>
    <mergeCell ref="G260:J260"/>
    <mergeCell ref="G277:J277"/>
    <mergeCell ref="A416:D416"/>
    <mergeCell ref="A433:D433"/>
    <mergeCell ref="G208:J208"/>
    <mergeCell ref="G416:J416"/>
    <mergeCell ref="G433:J433"/>
    <mergeCell ref="G364:J364"/>
    <mergeCell ref="G381:J381"/>
    <mergeCell ref="G399:J399"/>
    <mergeCell ref="G294:J294"/>
    <mergeCell ref="A347:D347"/>
    <mergeCell ref="A364:D364"/>
    <mergeCell ref="A381:D381"/>
    <mergeCell ref="A399:D399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58" orientation="portrait" r:id="rId1"/>
  <headerFooter scaleWithDoc="0" alignWithMargins="0">
    <oddHeader xml:space="preserve">&amp;L                            </oddHeader>
    <oddFooter>Page &amp;P</oddFooter>
  </headerFooter>
  <colBreaks count="1" manualBreakCount="1">
    <brk id="11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4"/>
  <sheetViews>
    <sheetView topLeftCell="A7" workbookViewId="0">
      <selection activeCell="H21" sqref="H21"/>
    </sheetView>
  </sheetViews>
  <sheetFormatPr defaultColWidth="9.140625" defaultRowHeight="16.5"/>
  <cols>
    <col min="1" max="1" width="6" style="525" customWidth="1"/>
    <col min="2" max="2" width="7" style="525" hidden="1" customWidth="1"/>
    <col min="3" max="3" width="5.7109375" style="525" hidden="1" customWidth="1"/>
    <col min="4" max="4" width="27.42578125" style="525" customWidth="1"/>
    <col min="5" max="5" width="18.42578125" style="525" customWidth="1"/>
    <col min="6" max="6" width="23.85546875" style="525" customWidth="1"/>
    <col min="7" max="7" width="23" style="525" customWidth="1"/>
    <col min="8" max="8" width="30.5703125" style="525" customWidth="1"/>
    <col min="9" max="9" width="10.28515625" style="525" customWidth="1"/>
    <col min="10" max="10" width="7.42578125" style="525" customWidth="1"/>
    <col min="11" max="11" width="10" style="525" bestFit="1" customWidth="1"/>
    <col min="12" max="12" width="17.85546875" style="525" customWidth="1"/>
    <col min="13" max="13" width="15.7109375" style="525" bestFit="1" customWidth="1"/>
    <col min="14" max="16384" width="9.140625" style="525"/>
  </cols>
  <sheetData>
    <row r="1" spans="1:13">
      <c r="A1" s="1620" t="s">
        <v>449</v>
      </c>
      <c r="B1" s="1620"/>
      <c r="C1" s="1620"/>
      <c r="D1" s="1620"/>
      <c r="E1" s="1620"/>
      <c r="F1" s="1620"/>
      <c r="G1" s="1620"/>
      <c r="H1" s="1620"/>
    </row>
    <row r="2" spans="1:13">
      <c r="A2" s="1620" t="s">
        <v>450</v>
      </c>
      <c r="B2" s="1620"/>
      <c r="C2" s="1620"/>
      <c r="D2" s="1620"/>
      <c r="E2" s="1620"/>
      <c r="F2" s="1620"/>
      <c r="G2" s="1620"/>
      <c r="H2" s="1620"/>
    </row>
    <row r="3" spans="1:13">
      <c r="A3" s="1621" t="s">
        <v>451</v>
      </c>
      <c r="B3" s="1620"/>
      <c r="C3" s="1620"/>
      <c r="D3" s="1620"/>
      <c r="E3" s="1620"/>
      <c r="F3" s="1620"/>
      <c r="G3" s="1620"/>
      <c r="H3" s="1620"/>
    </row>
    <row r="4" spans="1:13">
      <c r="A4" s="1620" t="s">
        <v>550</v>
      </c>
      <c r="B4" s="1620"/>
      <c r="C4" s="1620"/>
      <c r="D4" s="1620"/>
      <c r="E4" s="1620"/>
      <c r="F4" s="1620"/>
      <c r="G4" s="526"/>
      <c r="H4" s="526"/>
    </row>
    <row r="5" spans="1:13">
      <c r="A5" s="1620" t="s">
        <v>537</v>
      </c>
      <c r="B5" s="1620"/>
      <c r="C5" s="1620"/>
      <c r="D5" s="1620"/>
      <c r="E5" s="1620"/>
      <c r="F5" s="1620"/>
      <c r="G5" s="526"/>
      <c r="H5" s="526"/>
    </row>
    <row r="6" spans="1:13">
      <c r="A6" s="1620"/>
      <c r="B6" s="1620"/>
      <c r="C6" s="1620"/>
      <c r="D6" s="1620"/>
      <c r="E6" s="1620"/>
      <c r="F6" s="1620"/>
      <c r="G6" s="1620"/>
      <c r="H6" s="1620"/>
    </row>
    <row r="7" spans="1:13" ht="20.25">
      <c r="A7" s="1622" t="s">
        <v>801</v>
      </c>
      <c r="B7" s="1622"/>
      <c r="C7" s="1622"/>
      <c r="D7" s="1622"/>
      <c r="E7" s="1622"/>
      <c r="F7" s="1622"/>
      <c r="G7" s="1622"/>
      <c r="H7" s="1622"/>
      <c r="I7" s="527"/>
    </row>
    <row r="8" spans="1:13">
      <c r="I8" s="528"/>
      <c r="J8" s="528">
        <v>31</v>
      </c>
    </row>
    <row r="9" spans="1:13" ht="31.5" customHeight="1">
      <c r="A9" s="529" t="s">
        <v>4</v>
      </c>
      <c r="B9" s="530" t="s">
        <v>132</v>
      </c>
      <c r="C9" s="1623" t="s">
        <v>452</v>
      </c>
      <c r="D9" s="1624"/>
      <c r="E9" s="530" t="s">
        <v>453</v>
      </c>
      <c r="F9" s="530" t="s">
        <v>454</v>
      </c>
      <c r="G9" s="530" t="s">
        <v>455</v>
      </c>
      <c r="H9" s="531" t="s">
        <v>440</v>
      </c>
      <c r="I9" s="532"/>
    </row>
    <row r="10" spans="1:13" s="541" customFormat="1" ht="18" customHeight="1">
      <c r="A10" s="533">
        <v>1</v>
      </c>
      <c r="B10" s="534" t="s">
        <v>459</v>
      </c>
      <c r="C10" s="535"/>
      <c r="D10" s="535" t="e">
        <f>'lương gián tiếp'!#REF!</f>
        <v>#REF!</v>
      </c>
      <c r="E10" s="535" t="s">
        <v>552</v>
      </c>
      <c r="F10" s="536" t="e">
        <f>'lương gián tiếp'!#REF!</f>
        <v>#REF!</v>
      </c>
      <c r="G10" s="536" t="e">
        <f>'lương gián tiếp'!#REF!</f>
        <v>#REF!</v>
      </c>
      <c r="H10" s="537"/>
      <c r="I10" s="538"/>
      <c r="J10" s="539" t="s">
        <v>458</v>
      </c>
      <c r="K10" s="540" t="s">
        <v>460</v>
      </c>
      <c r="L10" s="539"/>
      <c r="M10" s="540"/>
    </row>
    <row r="11" spans="1:13" s="541" customFormat="1" ht="18" customHeight="1">
      <c r="A11" s="533">
        <v>2</v>
      </c>
      <c r="B11" s="534"/>
      <c r="C11" s="535" t="s">
        <v>456</v>
      </c>
      <c r="D11" s="535" t="e">
        <f>'lương gián tiếp'!#REF!</f>
        <v>#REF!</v>
      </c>
      <c r="E11" s="535" t="s">
        <v>552</v>
      </c>
      <c r="F11" s="536" t="e">
        <f>'lương gián tiếp'!#REF!</f>
        <v>#REF!</v>
      </c>
      <c r="G11" s="536" t="e">
        <f>'lương gián tiếp'!#REF!</f>
        <v>#REF!</v>
      </c>
      <c r="H11" s="537"/>
      <c r="I11" s="538"/>
      <c r="J11" s="539" t="s">
        <v>457</v>
      </c>
      <c r="K11" s="540"/>
      <c r="L11" s="539"/>
      <c r="M11" s="540"/>
    </row>
    <row r="12" spans="1:13" s="541" customFormat="1" ht="18" customHeight="1">
      <c r="A12" s="533">
        <v>3</v>
      </c>
      <c r="B12" s="534"/>
      <c r="C12" s="535" t="s">
        <v>456</v>
      </c>
      <c r="D12" s="535" t="str">
        <f>'lương gián tiếp'!B15</f>
        <v xml:space="preserve">Thảo Mét </v>
      </c>
      <c r="E12" s="535" t="s">
        <v>802</v>
      </c>
      <c r="F12" s="536">
        <f>'lương gián tiếp'!H13</f>
        <v>2600000</v>
      </c>
      <c r="G12" s="536">
        <f>'lương gián tiếp'!I15</f>
        <v>65000</v>
      </c>
      <c r="H12" s="537"/>
      <c r="I12" s="538"/>
      <c r="J12" s="539" t="s">
        <v>457</v>
      </c>
      <c r="K12" s="540"/>
      <c r="L12" s="539"/>
      <c r="M12" s="540"/>
    </row>
    <row r="13" spans="1:13" s="541" customFormat="1" ht="18" customHeight="1">
      <c r="A13" s="533">
        <v>4</v>
      </c>
      <c r="B13" s="534" t="s">
        <v>459</v>
      </c>
      <c r="C13" s="535"/>
      <c r="D13" s="535" t="str">
        <f>'lương gián tiếp'!B20</f>
        <v>N. Nhung  ( VP)</v>
      </c>
      <c r="E13" s="535" t="s">
        <v>160</v>
      </c>
      <c r="F13" s="536">
        <f>'lương gián tiếp'!H20</f>
        <v>2000000.0000000002</v>
      </c>
      <c r="G13" s="536">
        <f>'lương gián tiếp'!I20</f>
        <v>35000.000000000015</v>
      </c>
      <c r="H13" s="537"/>
      <c r="I13" s="538"/>
      <c r="J13" s="539" t="s">
        <v>458</v>
      </c>
      <c r="K13" s="540" t="s">
        <v>460</v>
      </c>
      <c r="L13" s="539"/>
      <c r="M13" s="540"/>
    </row>
    <row r="14" spans="1:13" s="541" customFormat="1" ht="21.75" customHeight="1">
      <c r="A14" s="1625" t="s">
        <v>461</v>
      </c>
      <c r="B14" s="1625"/>
      <c r="C14" s="1625"/>
      <c r="D14" s="1625"/>
      <c r="E14" s="1625"/>
      <c r="F14" s="542" t="e">
        <f>SUM(F10:F13)</f>
        <v>#REF!</v>
      </c>
      <c r="G14" s="542" t="e">
        <f>SUM(G10:G13)</f>
        <v>#REF!</v>
      </c>
      <c r="H14" s="529"/>
      <c r="I14" s="543" t="e">
        <f>+#REF!/25</f>
        <v>#REF!</v>
      </c>
      <c r="J14" s="544"/>
      <c r="K14" s="540">
        <f>14*1200</f>
        <v>16800</v>
      </c>
      <c r="L14" s="545">
        <f>1700/31*26</f>
        <v>1425.8064516129032</v>
      </c>
      <c r="M14" s="540"/>
    </row>
    <row r="15" spans="1:13" s="526" customFormat="1" ht="23.25" customHeight="1">
      <c r="A15" s="1626" t="s">
        <v>849</v>
      </c>
      <c r="B15" s="1627"/>
      <c r="C15" s="1627"/>
      <c r="D15" s="1627"/>
      <c r="E15" s="1627"/>
      <c r="F15" s="1627"/>
      <c r="G15" s="1627"/>
      <c r="H15" s="1628"/>
      <c r="I15" s="546"/>
      <c r="J15" s="547"/>
      <c r="L15" s="548" t="e">
        <f>+L14/25+#REF!</f>
        <v>#REF!</v>
      </c>
    </row>
    <row r="16" spans="1:13" s="526" customFormat="1" ht="9" customHeight="1">
      <c r="E16" s="527"/>
      <c r="F16" s="527"/>
      <c r="G16" s="527"/>
      <c r="H16" s="527"/>
      <c r="I16" s="526">
        <f>900*14</f>
        <v>12600</v>
      </c>
      <c r="J16" s="547"/>
    </row>
    <row r="17" spans="1:11" ht="18" customHeight="1">
      <c r="A17" s="546"/>
      <c r="B17" s="546"/>
      <c r="D17" s="549"/>
      <c r="F17" s="1619" t="s">
        <v>820</v>
      </c>
      <c r="G17" s="1619"/>
      <c r="H17" s="1619"/>
      <c r="I17" s="550"/>
      <c r="J17" s="551"/>
      <c r="K17" s="552" t="e">
        <f>+F14*20</f>
        <v>#REF!</v>
      </c>
    </row>
    <row r="18" spans="1:11" s="526" customFormat="1" ht="23.25" customHeight="1">
      <c r="A18" s="1538" t="s">
        <v>762</v>
      </c>
      <c r="B18" s="1538"/>
      <c r="C18" s="1538"/>
      <c r="D18" s="1538"/>
      <c r="E18" s="1538"/>
      <c r="F18" s="1538"/>
      <c r="G18" s="1538"/>
      <c r="H18" s="1538"/>
      <c r="I18" s="527"/>
    </row>
    <row r="21" spans="1:11" ht="57.75" customHeight="1"/>
    <row r="23" spans="1:11" s="526" customFormat="1">
      <c r="A23" s="1620"/>
      <c r="B23" s="1620"/>
      <c r="C23" s="1620"/>
      <c r="D23" s="1620"/>
      <c r="E23" s="1620"/>
      <c r="F23" s="1620"/>
    </row>
    <row r="24" spans="1:11">
      <c r="I24" s="527"/>
    </row>
  </sheetData>
  <mergeCells count="14">
    <mergeCell ref="F17:H17"/>
    <mergeCell ref="A23:D23"/>
    <mergeCell ref="E23:F23"/>
    <mergeCell ref="A1:H1"/>
    <mergeCell ref="A2:H2"/>
    <mergeCell ref="A3:H3"/>
    <mergeCell ref="A5:F5"/>
    <mergeCell ref="A6:H6"/>
    <mergeCell ref="A7:H7"/>
    <mergeCell ref="C9:D9"/>
    <mergeCell ref="A14:E14"/>
    <mergeCell ref="A15:H15"/>
    <mergeCell ref="A4:F4"/>
    <mergeCell ref="A18:H18"/>
  </mergeCells>
  <printOptions horizontalCentered="1"/>
  <pageMargins left="0.38" right="0.46" top="0.38" bottom="0.25" header="0.3" footer="0.2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126"/>
  <sheetViews>
    <sheetView topLeftCell="A19" workbookViewId="0">
      <selection activeCell="F35" sqref="F35"/>
    </sheetView>
  </sheetViews>
  <sheetFormatPr defaultColWidth="9.140625" defaultRowHeight="15"/>
  <cols>
    <col min="1" max="1" width="4.85546875" style="1" customWidth="1"/>
    <col min="2" max="2" width="20.5703125" style="1" customWidth="1"/>
    <col min="3" max="3" width="12.7109375" style="1" customWidth="1"/>
    <col min="4" max="4" width="15.85546875" style="1" customWidth="1"/>
    <col min="5" max="5" width="12" style="1" bestFit="1" customWidth="1"/>
    <col min="6" max="6" width="10.7109375" style="1" bestFit="1" customWidth="1"/>
    <col min="7" max="7" width="12.5703125" style="1" customWidth="1"/>
    <col min="8" max="8" width="10.28515625" style="1" customWidth="1"/>
    <col min="9" max="9" width="9.140625" style="1"/>
    <col min="10" max="10" width="12.7109375" style="1" customWidth="1"/>
    <col min="11" max="16384" width="9.140625" style="1"/>
  </cols>
  <sheetData>
    <row r="1" spans="1:23" ht="16.5">
      <c r="A1" s="1534" t="s">
        <v>51</v>
      </c>
      <c r="B1" s="1534"/>
      <c r="C1" s="1534"/>
      <c r="D1" s="1534"/>
      <c r="E1" s="1534"/>
      <c r="F1" s="1534"/>
      <c r="G1" s="1534"/>
      <c r="H1" s="1534"/>
    </row>
    <row r="2" spans="1:23" ht="16.5">
      <c r="A2" s="1534" t="s">
        <v>38</v>
      </c>
      <c r="B2" s="1534"/>
      <c r="C2" s="1534"/>
      <c r="D2" s="1534"/>
      <c r="E2" s="1534"/>
      <c r="F2" s="1534"/>
      <c r="G2" s="1534"/>
      <c r="H2" s="1534"/>
    </row>
    <row r="3" spans="1:23" ht="16.5">
      <c r="A3" s="1539" t="s">
        <v>277</v>
      </c>
      <c r="B3" s="1534"/>
      <c r="C3" s="1534"/>
      <c r="D3" s="1534"/>
      <c r="E3" s="1534"/>
      <c r="F3" s="1534"/>
      <c r="G3" s="1534"/>
      <c r="H3" s="1534"/>
    </row>
    <row r="4" spans="1:23" ht="16.5">
      <c r="A4" s="768"/>
      <c r="B4" s="768"/>
      <c r="C4" s="768"/>
      <c r="D4" s="768"/>
      <c r="E4" s="768"/>
      <c r="F4" s="768"/>
      <c r="G4" s="768"/>
      <c r="H4" s="768"/>
    </row>
    <row r="5" spans="1:23" ht="16.5">
      <c r="A5" s="1540" t="s">
        <v>550</v>
      </c>
      <c r="B5" s="1540"/>
      <c r="C5" s="1540"/>
      <c r="D5" s="1540"/>
      <c r="E5" s="1540"/>
      <c r="F5" s="229"/>
      <c r="G5" s="229"/>
      <c r="H5" s="229"/>
    </row>
    <row r="6" spans="1:23" ht="16.5">
      <c r="A6" s="1540" t="s">
        <v>540</v>
      </c>
      <c r="B6" s="1540"/>
      <c r="C6" s="1540"/>
      <c r="D6" s="1540"/>
      <c r="E6" s="1540"/>
      <c r="F6" s="283"/>
      <c r="G6" s="283"/>
      <c r="H6" s="283"/>
    </row>
    <row r="7" spans="1:23" ht="7.5" customHeight="1">
      <c r="A7" s="1636"/>
      <c r="B7" s="1636"/>
      <c r="C7" s="1636"/>
      <c r="D7" s="1636"/>
      <c r="E7" s="1636"/>
      <c r="F7" s="1636"/>
      <c r="G7" s="1636"/>
      <c r="H7" s="1636"/>
    </row>
    <row r="8" spans="1:23" ht="44.25" customHeight="1">
      <c r="A8" s="1637" t="s">
        <v>124</v>
      </c>
      <c r="B8" s="1637"/>
      <c r="C8" s="1637"/>
      <c r="D8" s="1637"/>
      <c r="E8" s="1637"/>
      <c r="F8" s="1637"/>
      <c r="G8" s="1637"/>
      <c r="H8" s="1637"/>
      <c r="I8" s="32"/>
      <c r="J8" s="32"/>
      <c r="K8" s="32"/>
    </row>
    <row r="9" spans="1:23" ht="21.75" customHeight="1">
      <c r="A9" s="1634" t="s">
        <v>4</v>
      </c>
      <c r="B9" s="1634" t="s">
        <v>102</v>
      </c>
      <c r="C9" s="1634" t="s">
        <v>80</v>
      </c>
      <c r="D9" s="1634" t="s">
        <v>71</v>
      </c>
      <c r="E9" s="1635" t="s">
        <v>828</v>
      </c>
      <c r="F9" s="1635"/>
      <c r="G9" s="1629" t="s">
        <v>69</v>
      </c>
      <c r="H9" s="1629" t="s">
        <v>70</v>
      </c>
      <c r="I9" s="32"/>
      <c r="J9" s="32"/>
      <c r="K9" s="32"/>
    </row>
    <row r="10" spans="1:23" ht="40.5" customHeight="1">
      <c r="A10" s="1634"/>
      <c r="B10" s="1634"/>
      <c r="C10" s="1634"/>
      <c r="D10" s="1634"/>
      <c r="E10" s="33" t="s">
        <v>81</v>
      </c>
      <c r="F10" s="504" t="s">
        <v>87</v>
      </c>
      <c r="G10" s="1629"/>
      <c r="H10" s="1629"/>
    </row>
    <row r="11" spans="1:23" ht="27" customHeight="1">
      <c r="A11" s="286">
        <v>1</v>
      </c>
      <c r="B11" s="287" t="s">
        <v>135</v>
      </c>
      <c r="C11" s="288" t="s">
        <v>84</v>
      </c>
      <c r="D11" s="289" t="s">
        <v>125</v>
      </c>
      <c r="E11" s="290"/>
      <c r="F11" s="291">
        <v>1000000</v>
      </c>
      <c r="G11" s="292"/>
      <c r="H11" s="293"/>
      <c r="I11" s="563" t="s">
        <v>470</v>
      </c>
      <c r="J11" s="563" t="s">
        <v>471</v>
      </c>
    </row>
    <row r="12" spans="1:23" s="16" customFormat="1" ht="27" customHeight="1">
      <c r="A12" s="286">
        <v>2</v>
      </c>
      <c r="B12" s="287" t="s">
        <v>105</v>
      </c>
      <c r="C12" s="288" t="s">
        <v>64</v>
      </c>
      <c r="D12" s="289" t="s">
        <v>82</v>
      </c>
      <c r="E12" s="290">
        <v>11</v>
      </c>
      <c r="F12" s="291">
        <v>500000</v>
      </c>
      <c r="G12" s="292"/>
      <c r="H12" s="293"/>
      <c r="I12" s="561" t="s">
        <v>472</v>
      </c>
      <c r="J12" s="562">
        <v>500000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1:23" ht="27" customHeight="1">
      <c r="A13" s="286">
        <v>3</v>
      </c>
      <c r="B13" s="287" t="s">
        <v>104</v>
      </c>
      <c r="C13" s="288" t="s">
        <v>68</v>
      </c>
      <c r="D13" s="289" t="s">
        <v>82</v>
      </c>
      <c r="E13" s="290">
        <v>6</v>
      </c>
      <c r="F13" s="291">
        <v>500000</v>
      </c>
      <c r="G13" s="292"/>
      <c r="H13" s="293"/>
      <c r="I13" s="561" t="s">
        <v>473</v>
      </c>
      <c r="J13" s="562">
        <v>600000</v>
      </c>
    </row>
    <row r="14" spans="1:23" ht="27" customHeight="1">
      <c r="A14" s="286">
        <v>4</v>
      </c>
      <c r="B14" s="287" t="s">
        <v>106</v>
      </c>
      <c r="C14" s="288" t="s">
        <v>83</v>
      </c>
      <c r="D14" s="289" t="s">
        <v>82</v>
      </c>
      <c r="E14" s="290">
        <v>4</v>
      </c>
      <c r="F14" s="291">
        <v>500000</v>
      </c>
      <c r="G14" s="292"/>
      <c r="H14" s="293"/>
      <c r="I14" s="561" t="s">
        <v>474</v>
      </c>
      <c r="J14" s="562">
        <v>700000</v>
      </c>
    </row>
    <row r="15" spans="1:23" ht="27" customHeight="1">
      <c r="A15" s="286">
        <v>5</v>
      </c>
      <c r="B15" s="287" t="s">
        <v>103</v>
      </c>
      <c r="C15" s="294" t="s">
        <v>84</v>
      </c>
      <c r="D15" s="295" t="s">
        <v>82</v>
      </c>
      <c r="E15" s="296">
        <v>14</v>
      </c>
      <c r="F15" s="291">
        <v>500000</v>
      </c>
      <c r="G15" s="297"/>
      <c r="H15" s="293"/>
    </row>
    <row r="16" spans="1:23" ht="27" customHeight="1">
      <c r="A16" s="286">
        <v>6</v>
      </c>
      <c r="B16" s="287" t="s">
        <v>85</v>
      </c>
      <c r="C16" s="288" t="s">
        <v>78</v>
      </c>
      <c r="D16" s="289" t="s">
        <v>82</v>
      </c>
      <c r="E16" s="290">
        <v>33</v>
      </c>
      <c r="F16" s="564">
        <v>600000</v>
      </c>
      <c r="G16" s="292"/>
      <c r="H16" s="293"/>
    </row>
    <row r="17" spans="1:8" ht="27" customHeight="1">
      <c r="A17" s="286">
        <v>7</v>
      </c>
      <c r="B17" s="287" t="s">
        <v>107</v>
      </c>
      <c r="C17" s="288" t="s">
        <v>79</v>
      </c>
      <c r="D17" s="289" t="s">
        <v>82</v>
      </c>
      <c r="E17" s="290">
        <v>16</v>
      </c>
      <c r="F17" s="291">
        <v>500000</v>
      </c>
      <c r="G17" s="292"/>
      <c r="H17" s="293"/>
    </row>
    <row r="18" spans="1:8" ht="27" customHeight="1">
      <c r="A18" s="286">
        <v>8</v>
      </c>
      <c r="B18" s="287" t="s">
        <v>113</v>
      </c>
      <c r="C18" s="288" t="s">
        <v>111</v>
      </c>
      <c r="D18" s="289" t="s">
        <v>82</v>
      </c>
      <c r="E18" s="290">
        <v>35</v>
      </c>
      <c r="F18" s="564">
        <v>600000</v>
      </c>
      <c r="G18" s="292"/>
      <c r="H18" s="293"/>
    </row>
    <row r="19" spans="1:8" ht="27" customHeight="1">
      <c r="A19" s="286">
        <v>9</v>
      </c>
      <c r="B19" s="287" t="s">
        <v>150</v>
      </c>
      <c r="C19" s="288" t="s">
        <v>112</v>
      </c>
      <c r="D19" s="289" t="s">
        <v>82</v>
      </c>
      <c r="E19" s="290">
        <v>16</v>
      </c>
      <c r="F19" s="291">
        <v>500000</v>
      </c>
      <c r="G19" s="292"/>
      <c r="H19" s="293"/>
    </row>
    <row r="20" spans="1:8" ht="27" customHeight="1">
      <c r="A20" s="286">
        <v>10</v>
      </c>
      <c r="B20" s="287" t="s">
        <v>335</v>
      </c>
      <c r="C20" s="287" t="s">
        <v>479</v>
      </c>
      <c r="D20" s="289" t="s">
        <v>82</v>
      </c>
      <c r="E20" s="290">
        <v>110</v>
      </c>
      <c r="F20" s="564">
        <v>700000</v>
      </c>
      <c r="G20" s="292"/>
      <c r="H20" s="293"/>
    </row>
    <row r="21" spans="1:8" ht="27" customHeight="1">
      <c r="A21" s="1630" t="s">
        <v>55</v>
      </c>
      <c r="B21" s="1630"/>
      <c r="C21" s="1630"/>
      <c r="D21" s="1630"/>
      <c r="E21" s="397">
        <f>SUM(E12:E20)</f>
        <v>245</v>
      </c>
      <c r="F21" s="397">
        <f>SUM(F11:F20)</f>
        <v>5900000</v>
      </c>
      <c r="G21" s="40"/>
      <c r="H21" s="39"/>
    </row>
    <row r="22" spans="1:8" ht="19.5" customHeight="1">
      <c r="A22" s="1631" t="s">
        <v>855</v>
      </c>
      <c r="B22" s="1632"/>
      <c r="C22" s="1632"/>
      <c r="D22" s="1632"/>
      <c r="E22" s="1632"/>
      <c r="F22" s="1632"/>
      <c r="G22" s="1632"/>
      <c r="H22" s="1633"/>
    </row>
    <row r="23" spans="1:8">
      <c r="C23" s="1639" t="s">
        <v>827</v>
      </c>
      <c r="D23" s="1639"/>
      <c r="E23" s="1639"/>
      <c r="F23" s="1639"/>
      <c r="G23" s="1639"/>
      <c r="H23" s="1639"/>
    </row>
    <row r="24" spans="1:8" ht="8.25" customHeight="1"/>
    <row r="25" spans="1:8">
      <c r="A25" s="1640" t="s">
        <v>560</v>
      </c>
      <c r="B25" s="1640"/>
      <c r="C25" s="1640"/>
      <c r="D25" s="1640"/>
      <c r="E25" s="1640"/>
      <c r="F25" s="1640"/>
      <c r="G25" s="1640"/>
      <c r="H25" s="1640"/>
    </row>
    <row r="26" spans="1:8">
      <c r="A26" s="782"/>
      <c r="B26" s="782"/>
      <c r="C26" s="782"/>
      <c r="D26" s="782"/>
      <c r="E26" s="782"/>
      <c r="F26" s="782"/>
      <c r="G26" s="783"/>
      <c r="H26" s="783"/>
    </row>
    <row r="27" spans="1:8">
      <c r="A27" s="782"/>
      <c r="B27" s="782"/>
      <c r="C27" s="782"/>
      <c r="D27" s="782"/>
      <c r="E27" s="782"/>
      <c r="F27" s="782"/>
      <c r="G27" s="783"/>
      <c r="H27" s="783"/>
    </row>
    <row r="28" spans="1:8">
      <c r="A28" s="782"/>
      <c r="B28" s="782"/>
      <c r="C28" s="782"/>
      <c r="D28" s="782"/>
      <c r="E28" s="782"/>
      <c r="F28" s="782"/>
      <c r="G28" s="783"/>
      <c r="H28" s="783"/>
    </row>
    <row r="29" spans="1:8">
      <c r="A29" s="782"/>
      <c r="B29" s="782"/>
      <c r="C29" s="782"/>
      <c r="D29" s="782"/>
      <c r="E29" s="782"/>
      <c r="F29" s="782"/>
      <c r="G29" s="783"/>
      <c r="H29" s="783"/>
    </row>
    <row r="30" spans="1:8">
      <c r="A30" s="782"/>
      <c r="B30" s="782"/>
      <c r="C30" s="782"/>
      <c r="D30" s="782"/>
      <c r="E30" s="782"/>
      <c r="F30" s="782"/>
      <c r="G30" s="783"/>
      <c r="H30" s="783"/>
    </row>
    <row r="31" spans="1:8">
      <c r="A31" s="782"/>
      <c r="B31" s="782"/>
      <c r="C31" s="782"/>
      <c r="D31" s="782"/>
      <c r="E31" s="782"/>
      <c r="F31" s="782"/>
      <c r="G31" s="783"/>
      <c r="H31" s="783"/>
    </row>
    <row r="32" spans="1:8" ht="8.25" customHeight="1">
      <c r="A32" s="1641"/>
      <c r="B32" s="1641"/>
      <c r="C32" s="782"/>
      <c r="D32" s="782"/>
      <c r="E32" s="782"/>
      <c r="F32" s="782"/>
      <c r="G32" s="783"/>
      <c r="H32" s="783"/>
    </row>
    <row r="33" spans="1:8" ht="19.5" customHeight="1">
      <c r="A33" s="1642" t="s">
        <v>561</v>
      </c>
      <c r="B33" s="1642"/>
      <c r="C33" s="1642"/>
      <c r="D33" s="1642"/>
      <c r="E33" s="1642"/>
      <c r="F33" s="1642"/>
      <c r="G33" s="1642"/>
      <c r="H33" s="1642"/>
    </row>
    <row r="34" spans="1:8">
      <c r="B34" s="10"/>
      <c r="C34" s="10"/>
      <c r="D34" s="10"/>
      <c r="E34" s="10"/>
      <c r="F34" s="10"/>
      <c r="G34" s="10"/>
      <c r="H34" s="10"/>
    </row>
    <row r="55" spans="1:8">
      <c r="A55" s="1638" t="s">
        <v>100</v>
      </c>
      <c r="B55" s="1638"/>
      <c r="C55" s="1638"/>
      <c r="D55" s="1638"/>
      <c r="E55" s="1638"/>
      <c r="F55" s="1638"/>
      <c r="G55" s="1" t="s">
        <v>101</v>
      </c>
    </row>
    <row r="57" spans="1:8" ht="15.75">
      <c r="G57" s="36" t="s">
        <v>97</v>
      </c>
      <c r="H57" s="38" t="s">
        <v>91</v>
      </c>
    </row>
    <row r="58" spans="1:8">
      <c r="G58" s="19"/>
      <c r="H58" s="19"/>
    </row>
    <row r="59" spans="1:8">
      <c r="G59" s="19"/>
      <c r="H59" s="19"/>
    </row>
    <row r="60" spans="1:8">
      <c r="G60" s="19"/>
      <c r="H60" s="19"/>
    </row>
    <row r="61" spans="1:8">
      <c r="G61" s="19"/>
      <c r="H61" s="19"/>
    </row>
    <row r="62" spans="1:8" ht="15.75">
      <c r="G62" s="36" t="s">
        <v>98</v>
      </c>
      <c r="H62" s="38" t="s">
        <v>63</v>
      </c>
    </row>
    <row r="63" spans="1:8">
      <c r="G63" s="19"/>
      <c r="H63" s="19"/>
    </row>
    <row r="64" spans="1:8">
      <c r="G64" s="19"/>
      <c r="H64" s="19"/>
    </row>
    <row r="65" spans="7:8">
      <c r="G65" s="19"/>
      <c r="H65" s="19"/>
    </row>
    <row r="66" spans="7:8">
      <c r="G66" s="19"/>
      <c r="H66" s="19"/>
    </row>
    <row r="67" spans="7:8">
      <c r="G67" s="19"/>
      <c r="H67" s="19"/>
    </row>
    <row r="68" spans="7:8">
      <c r="G68" s="19"/>
      <c r="H68" s="19"/>
    </row>
    <row r="69" spans="7:8">
      <c r="G69" s="19"/>
      <c r="H69" s="19"/>
    </row>
    <row r="70" spans="7:8">
      <c r="G70" s="19"/>
      <c r="H70" s="19"/>
    </row>
    <row r="71" spans="7:8">
      <c r="G71" s="19"/>
      <c r="H71" s="19"/>
    </row>
    <row r="72" spans="7:8">
      <c r="G72" s="19"/>
      <c r="H72" s="19"/>
    </row>
    <row r="73" spans="7:8">
      <c r="G73" s="19"/>
      <c r="H73" s="19"/>
    </row>
    <row r="74" spans="7:8">
      <c r="G74" s="19"/>
      <c r="H74" s="19"/>
    </row>
    <row r="75" spans="7:8">
      <c r="G75" s="19"/>
      <c r="H75" s="19"/>
    </row>
    <row r="76" spans="7:8">
      <c r="G76" s="19"/>
      <c r="H76" s="19"/>
    </row>
    <row r="77" spans="7:8">
      <c r="G77" s="19"/>
      <c r="H77" s="19"/>
    </row>
    <row r="78" spans="7:8">
      <c r="G78" s="19"/>
      <c r="H78" s="19"/>
    </row>
    <row r="79" spans="7:8">
      <c r="G79" s="19"/>
      <c r="H79" s="19"/>
    </row>
    <row r="80" spans="7:8">
      <c r="G80" s="19"/>
      <c r="H80" s="19"/>
    </row>
    <row r="81" spans="7:8">
      <c r="G81" s="19"/>
      <c r="H81" s="19"/>
    </row>
    <row r="82" spans="7:8">
      <c r="G82" s="19"/>
      <c r="H82" s="19"/>
    </row>
    <row r="83" spans="7:8">
      <c r="G83" s="19"/>
      <c r="H83" s="19"/>
    </row>
    <row r="84" spans="7:8">
      <c r="G84" s="19"/>
      <c r="H84" s="19"/>
    </row>
    <row r="85" spans="7:8">
      <c r="G85" s="19"/>
      <c r="H85" s="19"/>
    </row>
    <row r="86" spans="7:8">
      <c r="G86" s="19"/>
      <c r="H86" s="19"/>
    </row>
    <row r="87" spans="7:8">
      <c r="G87" s="19"/>
      <c r="H87" s="19"/>
    </row>
    <row r="88" spans="7:8">
      <c r="G88" s="19"/>
      <c r="H88" s="19"/>
    </row>
    <row r="89" spans="7:8">
      <c r="G89" s="19"/>
      <c r="H89" s="19"/>
    </row>
    <row r="90" spans="7:8">
      <c r="G90" s="19"/>
      <c r="H90" s="19"/>
    </row>
    <row r="91" spans="7:8">
      <c r="G91" s="19"/>
      <c r="H91" s="19"/>
    </row>
    <row r="92" spans="7:8">
      <c r="G92" s="19"/>
      <c r="H92" s="19"/>
    </row>
    <row r="93" spans="7:8">
      <c r="G93" s="19"/>
      <c r="H93" s="19"/>
    </row>
    <row r="94" spans="7:8">
      <c r="G94" s="19"/>
      <c r="H94" s="19"/>
    </row>
    <row r="95" spans="7:8">
      <c r="G95" s="19"/>
      <c r="H95" s="19"/>
    </row>
    <row r="96" spans="7:8">
      <c r="G96" s="19"/>
      <c r="H96" s="19"/>
    </row>
    <row r="97" spans="7:8">
      <c r="G97" s="19"/>
      <c r="H97" s="19"/>
    </row>
    <row r="98" spans="7:8">
      <c r="G98" s="19"/>
      <c r="H98" s="19"/>
    </row>
    <row r="99" spans="7:8">
      <c r="G99" s="19"/>
      <c r="H99" s="19"/>
    </row>
    <row r="100" spans="7:8">
      <c r="G100" s="19"/>
      <c r="H100" s="19"/>
    </row>
    <row r="101" spans="7:8">
      <c r="G101" s="19"/>
      <c r="H101" s="19"/>
    </row>
    <row r="102" spans="7:8">
      <c r="G102" s="19"/>
      <c r="H102" s="19"/>
    </row>
    <row r="103" spans="7:8">
      <c r="G103" s="19"/>
      <c r="H103" s="19"/>
    </row>
    <row r="104" spans="7:8">
      <c r="G104" s="19"/>
      <c r="H104" s="19"/>
    </row>
    <row r="105" spans="7:8">
      <c r="G105" s="19"/>
      <c r="H105" s="19"/>
    </row>
    <row r="106" spans="7:8">
      <c r="G106" s="19"/>
      <c r="H106" s="19"/>
    </row>
    <row r="107" spans="7:8">
      <c r="G107" s="19"/>
      <c r="H107" s="19"/>
    </row>
    <row r="108" spans="7:8">
      <c r="G108" s="19"/>
      <c r="H108" s="19"/>
    </row>
    <row r="109" spans="7:8">
      <c r="G109" s="19"/>
      <c r="H109" s="19"/>
    </row>
    <row r="110" spans="7:8">
      <c r="G110" s="19"/>
      <c r="H110" s="19"/>
    </row>
    <row r="111" spans="7:8">
      <c r="G111" s="19"/>
      <c r="H111" s="19"/>
    </row>
    <row r="112" spans="7:8">
      <c r="G112" s="19"/>
      <c r="H112" s="19"/>
    </row>
    <row r="113" spans="7:8">
      <c r="G113" s="19"/>
      <c r="H113" s="19"/>
    </row>
    <row r="114" spans="7:8">
      <c r="G114" s="19"/>
      <c r="H114" s="19"/>
    </row>
    <row r="115" spans="7:8">
      <c r="G115" s="19"/>
      <c r="H115" s="19"/>
    </row>
    <row r="116" spans="7:8">
      <c r="G116" s="19"/>
      <c r="H116" s="19"/>
    </row>
    <row r="117" spans="7:8" ht="15.75">
      <c r="G117" s="36" t="s">
        <v>96</v>
      </c>
      <c r="H117" s="37" t="s">
        <v>93</v>
      </c>
    </row>
    <row r="118" spans="7:8" ht="15.75">
      <c r="G118" s="36" t="s">
        <v>99</v>
      </c>
      <c r="H118" s="37" t="s">
        <v>90</v>
      </c>
    </row>
    <row r="119" spans="7:8" ht="31.5">
      <c r="G119" s="34">
        <v>382</v>
      </c>
      <c r="H119" s="35" t="s">
        <v>92</v>
      </c>
    </row>
    <row r="120" spans="7:8">
      <c r="G120" s="19"/>
      <c r="H120" s="19"/>
    </row>
    <row r="121" spans="7:8">
      <c r="G121" s="19"/>
      <c r="H121" s="19"/>
    </row>
    <row r="122" spans="7:8">
      <c r="G122" s="19"/>
      <c r="H122" s="19"/>
    </row>
    <row r="123" spans="7:8">
      <c r="G123" s="19"/>
      <c r="H123" s="19"/>
    </row>
    <row r="124" spans="7:8">
      <c r="G124" s="19"/>
      <c r="H124" s="19"/>
    </row>
    <row r="125" spans="7:8" ht="31.5">
      <c r="G125" s="34">
        <v>411</v>
      </c>
      <c r="H125" s="35" t="s">
        <v>94</v>
      </c>
    </row>
    <row r="126" spans="7:8">
      <c r="G126" s="19"/>
      <c r="H126" s="19"/>
    </row>
  </sheetData>
  <mergeCells count="21">
    <mergeCell ref="A55:F55"/>
    <mergeCell ref="C23:H23"/>
    <mergeCell ref="A25:H25"/>
    <mergeCell ref="A32:B32"/>
    <mergeCell ref="A33:H33"/>
    <mergeCell ref="A1:H1"/>
    <mergeCell ref="A2:H2"/>
    <mergeCell ref="A3:H3"/>
    <mergeCell ref="A7:H7"/>
    <mergeCell ref="A8:H8"/>
    <mergeCell ref="A5:E5"/>
    <mergeCell ref="A6:E6"/>
    <mergeCell ref="G9:G10"/>
    <mergeCell ref="H9:H10"/>
    <mergeCell ref="A21:D21"/>
    <mergeCell ref="A22:H22"/>
    <mergeCell ref="A9:A10"/>
    <mergeCell ref="B9:B10"/>
    <mergeCell ref="C9:C10"/>
    <mergeCell ref="D9:D10"/>
    <mergeCell ref="E9:F9"/>
  </mergeCells>
  <pageMargins left="0.24" right="0.2" top="0.2" bottom="0.2" header="0.2" footer="0.2"/>
  <pageSetup paperSize="9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Y25"/>
  <sheetViews>
    <sheetView workbookViewId="0">
      <selection activeCell="A23" sqref="A23:AN23"/>
    </sheetView>
  </sheetViews>
  <sheetFormatPr defaultColWidth="9.140625" defaultRowHeight="15"/>
  <cols>
    <col min="1" max="1" width="4.7109375" style="1" customWidth="1"/>
    <col min="2" max="2" width="20.85546875" style="1" customWidth="1"/>
    <col min="3" max="3" width="27" style="1" customWidth="1"/>
    <col min="4" max="4" width="23" style="1" customWidth="1"/>
    <col min="5" max="5" width="19" style="1" customWidth="1"/>
    <col min="6" max="6" width="29.42578125" style="1" customWidth="1"/>
    <col min="7" max="7" width="8.42578125" style="1" customWidth="1"/>
    <col min="8" max="8" width="12.85546875" style="1" customWidth="1"/>
    <col min="9" max="9" width="13.42578125" style="1" customWidth="1"/>
    <col min="10" max="11" width="7.85546875" style="1" customWidth="1"/>
    <col min="12" max="12" width="7.28515625" style="1" customWidth="1"/>
    <col min="13" max="13" width="7.42578125" style="1" customWidth="1"/>
    <col min="14" max="14" width="6.28515625" style="1" customWidth="1"/>
    <col min="15" max="15" width="5.7109375" style="1" customWidth="1"/>
    <col min="16" max="16" width="6" style="1" customWidth="1"/>
    <col min="17" max="17" width="4.85546875" style="1" customWidth="1"/>
    <col min="18" max="18" width="6" style="1" customWidth="1"/>
    <col min="19" max="19" width="6.5703125" style="1" customWidth="1"/>
    <col min="20" max="20" width="8.140625" style="1" customWidth="1"/>
    <col min="21" max="21" width="6" style="1" customWidth="1"/>
    <col min="22" max="22" width="8.140625" style="1" customWidth="1"/>
    <col min="23" max="23" width="15" style="1" bestFit="1" customWidth="1"/>
    <col min="24" max="24" width="17.85546875" style="1" bestFit="1" customWidth="1"/>
    <col min="25" max="25" width="12.85546875" style="1" bestFit="1" customWidth="1"/>
    <col min="26" max="16384" width="9.140625" style="1"/>
  </cols>
  <sheetData>
    <row r="2" spans="1:25" ht="16.5">
      <c r="A2" s="1534" t="s">
        <v>51</v>
      </c>
      <c r="B2" s="1534"/>
      <c r="C2" s="1534"/>
      <c r="D2" s="1534"/>
      <c r="E2" s="1534"/>
      <c r="F2" s="1534"/>
      <c r="G2" s="14"/>
      <c r="H2" s="14"/>
      <c r="I2" s="14"/>
      <c r="J2" s="11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5" ht="16.5">
      <c r="A3" s="1643" t="s">
        <v>38</v>
      </c>
      <c r="B3" s="1643"/>
      <c r="C3" s="1643"/>
      <c r="D3" s="1643"/>
      <c r="E3" s="1643"/>
      <c r="F3" s="1643"/>
      <c r="G3" s="15"/>
      <c r="H3" s="15"/>
      <c r="I3" s="15"/>
      <c r="J3" s="9"/>
      <c r="K3" s="6"/>
      <c r="M3" s="9"/>
      <c r="N3" s="9"/>
      <c r="O3" s="9"/>
      <c r="P3" s="9"/>
      <c r="Q3" s="9"/>
      <c r="R3" s="9"/>
      <c r="S3" s="9"/>
      <c r="T3" s="9"/>
      <c r="U3" s="9"/>
      <c r="V3" s="7"/>
    </row>
    <row r="4" spans="1:25" ht="16.5">
      <c r="A4" s="1539" t="s">
        <v>277</v>
      </c>
      <c r="B4" s="1534"/>
      <c r="C4" s="1534"/>
      <c r="D4" s="1534"/>
      <c r="E4" s="1534"/>
      <c r="F4" s="1534"/>
      <c r="G4" s="15"/>
      <c r="H4" s="15"/>
      <c r="I4" s="15"/>
      <c r="J4" s="9"/>
      <c r="K4" s="6"/>
      <c r="M4" s="9"/>
      <c r="N4" s="9"/>
      <c r="O4" s="9"/>
      <c r="P4" s="9"/>
      <c r="Q4" s="9"/>
      <c r="R4" s="9"/>
      <c r="S4" s="9"/>
      <c r="T4" s="9"/>
      <c r="U4" s="9"/>
      <c r="V4" s="7"/>
    </row>
    <row r="5" spans="1:25" ht="3.75" customHeight="1">
      <c r="A5" s="512"/>
      <c r="B5" s="512"/>
      <c r="C5" s="512"/>
      <c r="D5" s="512"/>
      <c r="E5" s="512"/>
      <c r="F5" s="512"/>
      <c r="G5" s="15"/>
      <c r="H5" s="15"/>
      <c r="I5" s="15"/>
      <c r="J5" s="9"/>
      <c r="K5" s="6"/>
      <c r="M5" s="9"/>
      <c r="N5" s="9"/>
      <c r="O5" s="9"/>
      <c r="P5" s="9"/>
      <c r="Q5" s="9"/>
      <c r="R5" s="9"/>
      <c r="S5" s="9"/>
      <c r="T5" s="9"/>
      <c r="U5" s="9"/>
      <c r="V5" s="7"/>
    </row>
    <row r="6" spans="1:25" ht="6" customHeight="1">
      <c r="E6" s="82"/>
      <c r="F6" s="82"/>
      <c r="G6" s="18"/>
      <c r="H6" s="18"/>
      <c r="I6" s="18"/>
      <c r="J6" s="278"/>
      <c r="K6" s="20"/>
      <c r="L6" s="21"/>
      <c r="M6" s="8"/>
      <c r="N6" s="8"/>
      <c r="O6" s="8"/>
      <c r="P6" s="8"/>
      <c r="Q6" s="8"/>
      <c r="R6" s="8"/>
      <c r="S6" s="8"/>
      <c r="T6" s="8"/>
      <c r="U6" s="8"/>
      <c r="V6" s="7"/>
      <c r="W6" s="22">
        <f>1372+388</f>
        <v>1760</v>
      </c>
      <c r="X6" s="1">
        <f>W6*30000</f>
        <v>52800000</v>
      </c>
      <c r="Y6" s="1" t="e">
        <f>X6+#REF!+#REF!</f>
        <v>#REF!</v>
      </c>
    </row>
    <row r="7" spans="1:25" ht="15.75">
      <c r="A7" s="3" t="s">
        <v>550</v>
      </c>
      <c r="B7" s="3"/>
      <c r="C7" s="3"/>
      <c r="D7" s="4"/>
      <c r="E7" s="82"/>
      <c r="F7" s="82"/>
      <c r="G7" s="18"/>
      <c r="H7" s="18"/>
      <c r="I7" s="18"/>
      <c r="J7" s="278"/>
      <c r="K7" s="20"/>
      <c r="L7" s="21"/>
      <c r="M7" s="8"/>
      <c r="N7" s="8"/>
      <c r="O7" s="8"/>
      <c r="P7" s="8"/>
      <c r="Q7" s="8"/>
      <c r="R7" s="8"/>
      <c r="S7" s="8"/>
      <c r="T7" s="8"/>
      <c r="U7" s="8"/>
      <c r="V7" s="7"/>
      <c r="W7" s="22"/>
    </row>
    <row r="8" spans="1:25" ht="15.75">
      <c r="A8" s="1456" t="s">
        <v>60</v>
      </c>
      <c r="B8" s="1456"/>
      <c r="C8" s="1456"/>
      <c r="D8" s="82"/>
      <c r="E8" s="82"/>
      <c r="F8" s="82"/>
      <c r="G8" s="18"/>
      <c r="H8" s="18"/>
      <c r="I8" s="18"/>
      <c r="J8" s="278"/>
      <c r="K8" s="20"/>
      <c r="L8" s="21"/>
      <c r="M8" s="8"/>
      <c r="N8" s="8"/>
      <c r="O8" s="8"/>
      <c r="P8" s="8"/>
      <c r="Q8" s="8"/>
      <c r="R8" s="8"/>
      <c r="S8" s="8"/>
      <c r="T8" s="8"/>
      <c r="U8" s="8"/>
      <c r="V8" s="7"/>
      <c r="W8" s="22"/>
    </row>
    <row r="9" spans="1:25" ht="15.75">
      <c r="A9" s="419"/>
      <c r="B9" s="419"/>
      <c r="C9" s="419"/>
      <c r="D9" s="82"/>
      <c r="E9" s="82"/>
      <c r="F9" s="82"/>
      <c r="G9" s="18"/>
      <c r="H9" s="18"/>
      <c r="I9" s="18"/>
      <c r="J9" s="278"/>
      <c r="K9" s="20"/>
      <c r="L9" s="21"/>
      <c r="M9" s="8"/>
      <c r="N9" s="8"/>
      <c r="O9" s="8"/>
      <c r="P9" s="8"/>
      <c r="Q9" s="8"/>
      <c r="R9" s="8"/>
      <c r="S9" s="8"/>
      <c r="T9" s="8"/>
      <c r="U9" s="8"/>
      <c r="V9" s="7"/>
      <c r="W9" s="22"/>
    </row>
    <row r="10" spans="1:25" ht="34.5" customHeight="1">
      <c r="A10" s="1644" t="s">
        <v>740</v>
      </c>
      <c r="B10" s="1349"/>
      <c r="C10" s="1349"/>
      <c r="D10" s="1349"/>
      <c r="E10" s="1349"/>
      <c r="F10" s="1349"/>
      <c r="G10" s="29"/>
      <c r="H10" s="29"/>
      <c r="I10" s="29"/>
      <c r="J10" s="29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</row>
    <row r="11" spans="1:25" ht="12" customHeight="1">
      <c r="A11" s="26"/>
      <c r="B11" s="27"/>
      <c r="C11" s="26"/>
      <c r="D11" s="26"/>
      <c r="E11" s="27"/>
      <c r="F11" s="27"/>
      <c r="G11" s="23"/>
      <c r="H11" s="24"/>
      <c r="I11" s="25"/>
    </row>
    <row r="12" spans="1:25" ht="15" customHeight="1">
      <c r="A12" s="1645" t="s">
        <v>4</v>
      </c>
      <c r="B12" s="1645" t="s">
        <v>47</v>
      </c>
      <c r="C12" s="1645" t="s">
        <v>6</v>
      </c>
      <c r="D12" s="1645" t="s">
        <v>16</v>
      </c>
      <c r="E12" s="1645" t="s">
        <v>8</v>
      </c>
      <c r="F12" s="1645" t="s">
        <v>62</v>
      </c>
      <c r="G12" s="281"/>
      <c r="H12" s="109"/>
      <c r="I12" s="110"/>
    </row>
    <row r="13" spans="1:25" ht="23.25" customHeight="1">
      <c r="A13" s="1645"/>
      <c r="B13" s="1645"/>
      <c r="C13" s="1645"/>
      <c r="D13" s="1645"/>
      <c r="E13" s="1645"/>
      <c r="F13" s="1645"/>
      <c r="G13" s="111"/>
      <c r="H13" s="109"/>
      <c r="I13" s="110"/>
    </row>
    <row r="14" spans="1:25" ht="39" customHeight="1">
      <c r="A14" s="107">
        <v>1</v>
      </c>
      <c r="B14" s="243" t="s">
        <v>296</v>
      </c>
      <c r="C14" s="284" t="s">
        <v>340</v>
      </c>
      <c r="D14" s="237">
        <v>500000</v>
      </c>
      <c r="E14" s="107"/>
      <c r="F14" s="107"/>
      <c r="G14" s="111"/>
      <c r="H14" s="228" t="e">
        <f>C14/10</f>
        <v>#VALUE!</v>
      </c>
      <c r="I14" s="113" t="e">
        <f>H14*25000</f>
        <v>#VALUE!</v>
      </c>
    </row>
    <row r="15" spans="1:25" ht="23.25" customHeight="1">
      <c r="A15" s="1645" t="s">
        <v>148</v>
      </c>
      <c r="B15" s="1645"/>
      <c r="C15" s="230"/>
      <c r="D15" s="285">
        <f>SUM(D14:D14)</f>
        <v>500000</v>
      </c>
      <c r="E15" s="510"/>
      <c r="F15" s="107"/>
      <c r="G15" s="111"/>
      <c r="H15" s="112"/>
      <c r="I15" s="113"/>
    </row>
    <row r="16" spans="1:25" ht="20.25" customHeight="1">
      <c r="A16" s="1646" t="s">
        <v>203</v>
      </c>
      <c r="B16" s="1632"/>
      <c r="C16" s="1632"/>
      <c r="D16" s="1632"/>
      <c r="E16" s="1632"/>
      <c r="F16" s="1633"/>
    </row>
    <row r="17" spans="1:6" ht="18" customHeight="1">
      <c r="D17" s="1647" t="s">
        <v>741</v>
      </c>
      <c r="E17" s="1647"/>
      <c r="F17" s="1647"/>
    </row>
    <row r="18" spans="1:6" ht="21" customHeight="1">
      <c r="A18" s="114"/>
      <c r="B18" s="511" t="s">
        <v>151</v>
      </c>
      <c r="C18" s="511" t="s">
        <v>152</v>
      </c>
      <c r="D18" s="1648" t="s">
        <v>392</v>
      </c>
      <c r="E18" s="1648"/>
      <c r="F18" s="511" t="s">
        <v>385</v>
      </c>
    </row>
    <row r="24" spans="1:6">
      <c r="D24" s="1563" t="s">
        <v>224</v>
      </c>
      <c r="E24" s="1563"/>
      <c r="F24" s="502" t="s">
        <v>40</v>
      </c>
    </row>
    <row r="25" spans="1:6">
      <c r="C25" s="1" t="s">
        <v>153</v>
      </c>
    </row>
  </sheetData>
  <mergeCells count="16">
    <mergeCell ref="D24:E24"/>
    <mergeCell ref="A2:F2"/>
    <mergeCell ref="A3:F3"/>
    <mergeCell ref="A4:F4"/>
    <mergeCell ref="A8:C8"/>
    <mergeCell ref="A10:F10"/>
    <mergeCell ref="A12:A13"/>
    <mergeCell ref="B12:B13"/>
    <mergeCell ref="C12:C13"/>
    <mergeCell ref="D12:D13"/>
    <mergeCell ref="E12:E13"/>
    <mergeCell ref="F12:F13"/>
    <mergeCell ref="A15:B15"/>
    <mergeCell ref="A16:F16"/>
    <mergeCell ref="D17:F17"/>
    <mergeCell ref="D18:E18"/>
  </mergeCells>
  <printOptions horizontalCentered="1"/>
  <pageMargins left="0.7" right="0.7" top="0.56000000000000005" bottom="0.75" header="0.3" footer="0.3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00B0F0"/>
  </sheetPr>
  <dimension ref="A3:AA27"/>
  <sheetViews>
    <sheetView topLeftCell="A7" zoomScale="85" zoomScaleNormal="85" workbookViewId="0">
      <selection activeCell="F21" sqref="F21"/>
    </sheetView>
  </sheetViews>
  <sheetFormatPr defaultColWidth="9.140625" defaultRowHeight="15"/>
  <cols>
    <col min="1" max="1" width="8.5703125" style="1" customWidth="1"/>
    <col min="2" max="2" width="27.5703125" style="1" customWidth="1"/>
    <col min="3" max="3" width="18.28515625" style="1" customWidth="1"/>
    <col min="4" max="4" width="16.85546875" style="1" customWidth="1"/>
    <col min="5" max="5" width="23" style="1" customWidth="1"/>
    <col min="6" max="6" width="17.85546875" style="1" customWidth="1"/>
    <col min="7" max="7" width="25.140625" style="1" customWidth="1"/>
    <col min="8" max="8" width="26.42578125" style="1" customWidth="1"/>
    <col min="9" max="9" width="8.42578125" style="1" customWidth="1"/>
    <col min="10" max="10" width="12.85546875" style="1" customWidth="1"/>
    <col min="11" max="11" width="13.42578125" style="1" customWidth="1"/>
    <col min="12" max="13" width="7.85546875" style="1" customWidth="1"/>
    <col min="14" max="14" width="7.28515625" style="1" customWidth="1"/>
    <col min="15" max="15" width="7.42578125" style="1" customWidth="1"/>
    <col min="16" max="16" width="6.28515625" style="1" customWidth="1"/>
    <col min="17" max="17" width="5.7109375" style="1" customWidth="1"/>
    <col min="18" max="18" width="6" style="1" customWidth="1"/>
    <col min="19" max="19" width="4.85546875" style="1" customWidth="1"/>
    <col min="20" max="20" width="6" style="1" customWidth="1"/>
    <col min="21" max="21" width="6.5703125" style="1" customWidth="1"/>
    <col min="22" max="22" width="8.140625" style="1" customWidth="1"/>
    <col min="23" max="23" width="6" style="1" customWidth="1"/>
    <col min="24" max="24" width="8.140625" style="1" customWidth="1"/>
    <col min="25" max="25" width="15" style="1" bestFit="1" customWidth="1"/>
    <col min="26" max="26" width="17.85546875" style="1" bestFit="1" customWidth="1"/>
    <col min="27" max="27" width="12.85546875" style="1" bestFit="1" customWidth="1"/>
    <col min="28" max="16384" width="9.140625" style="1"/>
  </cols>
  <sheetData>
    <row r="3" spans="1:27" ht="16.5">
      <c r="A3" s="1654" t="s">
        <v>51</v>
      </c>
      <c r="B3" s="1654"/>
      <c r="C3" s="1654"/>
      <c r="D3" s="1654"/>
      <c r="E3" s="1654"/>
      <c r="F3" s="1654"/>
      <c r="G3" s="1654"/>
      <c r="H3" s="1654"/>
      <c r="I3" s="14"/>
      <c r="J3" s="14"/>
      <c r="K3" s="14"/>
      <c r="L3" s="11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7" ht="16.5">
      <c r="A4" s="1654" t="s">
        <v>38</v>
      </c>
      <c r="B4" s="1654"/>
      <c r="C4" s="1654"/>
      <c r="D4" s="1654"/>
      <c r="E4" s="1654"/>
      <c r="F4" s="1654"/>
      <c r="G4" s="1654"/>
      <c r="H4" s="1654"/>
      <c r="I4" s="15"/>
      <c r="J4" s="15"/>
      <c r="K4" s="15"/>
      <c r="L4" s="9"/>
      <c r="M4" s="6"/>
      <c r="O4" s="9"/>
      <c r="P4" s="9"/>
      <c r="Q4" s="9"/>
      <c r="R4" s="9"/>
      <c r="S4" s="9"/>
      <c r="T4" s="9"/>
      <c r="U4" s="9"/>
      <c r="V4" s="9"/>
      <c r="W4" s="9"/>
      <c r="X4" s="7"/>
    </row>
    <row r="5" spans="1:27" ht="16.5">
      <c r="A5" s="1655" t="s">
        <v>381</v>
      </c>
      <c r="B5" s="1654"/>
      <c r="C5" s="1654"/>
      <c r="D5" s="1654"/>
      <c r="E5" s="1654"/>
      <c r="F5" s="1654"/>
      <c r="G5" s="1654"/>
      <c r="H5" s="1654"/>
      <c r="I5" s="15"/>
      <c r="J5" s="15"/>
      <c r="K5" s="15"/>
      <c r="L5" s="9"/>
      <c r="M5" s="6"/>
      <c r="O5" s="9"/>
      <c r="P5" s="9"/>
      <c r="Q5" s="9"/>
      <c r="R5" s="9"/>
      <c r="S5" s="9"/>
      <c r="T5" s="9"/>
      <c r="U5" s="9"/>
      <c r="V5" s="9"/>
      <c r="W5" s="9"/>
      <c r="X5" s="7"/>
    </row>
    <row r="6" spans="1:27" ht="9.75" customHeight="1">
      <c r="G6" s="82"/>
      <c r="H6" s="82"/>
      <c r="I6" s="18"/>
      <c r="J6" s="18"/>
      <c r="K6" s="18"/>
      <c r="L6" s="278"/>
      <c r="M6" s="20"/>
      <c r="N6" s="21"/>
      <c r="O6" s="8"/>
      <c r="P6" s="8"/>
      <c r="Q6" s="8"/>
      <c r="R6" s="8"/>
      <c r="S6" s="8"/>
      <c r="T6" s="8"/>
      <c r="U6" s="8"/>
      <c r="V6" s="8"/>
      <c r="W6" s="8"/>
      <c r="X6" s="7"/>
      <c r="Y6" s="22">
        <f>1372+388</f>
        <v>1760</v>
      </c>
      <c r="Z6" s="1">
        <f>Y6*30000</f>
        <v>52800000</v>
      </c>
      <c r="AA6" s="1" t="e">
        <f>Z6+#REF!+#REF!</f>
        <v>#REF!</v>
      </c>
    </row>
    <row r="7" spans="1:27" ht="16.5">
      <c r="A7" s="1535" t="s">
        <v>550</v>
      </c>
      <c r="B7" s="1535"/>
      <c r="C7" s="1535"/>
      <c r="D7" s="1535"/>
      <c r="E7" s="1535"/>
      <c r="F7" s="4"/>
      <c r="G7" s="82"/>
      <c r="H7" s="82"/>
      <c r="I7" s="18"/>
      <c r="J7" s="18"/>
      <c r="K7" s="18"/>
      <c r="L7" s="278"/>
      <c r="M7" s="20"/>
      <c r="N7" s="21"/>
      <c r="O7" s="8"/>
      <c r="P7" s="8"/>
      <c r="Q7" s="8"/>
      <c r="R7" s="8"/>
      <c r="S7" s="8"/>
      <c r="T7" s="8"/>
      <c r="U7" s="8"/>
      <c r="V7" s="8"/>
      <c r="W7" s="8"/>
      <c r="X7" s="7"/>
      <c r="Y7" s="22"/>
    </row>
    <row r="8" spans="1:27" ht="16.5">
      <c r="A8" s="1540" t="s">
        <v>537</v>
      </c>
      <c r="B8" s="1540"/>
      <c r="C8" s="1540"/>
      <c r="D8" s="1540"/>
      <c r="E8" s="1540"/>
      <c r="F8" s="82"/>
      <c r="G8" s="82"/>
      <c r="H8" s="82"/>
      <c r="I8" s="18"/>
      <c r="J8" s="18"/>
      <c r="K8" s="18"/>
      <c r="L8" s="278"/>
      <c r="M8" s="20"/>
      <c r="N8" s="21"/>
      <c r="O8" s="8"/>
      <c r="P8" s="8"/>
      <c r="Q8" s="8"/>
      <c r="R8" s="8"/>
      <c r="S8" s="8"/>
      <c r="T8" s="8"/>
      <c r="U8" s="8"/>
      <c r="V8" s="8"/>
      <c r="W8" s="8"/>
      <c r="X8" s="7"/>
      <c r="Y8" s="22"/>
    </row>
    <row r="9" spans="1:27" ht="15.75">
      <c r="A9" s="419"/>
      <c r="B9" s="419"/>
      <c r="C9" s="419"/>
      <c r="D9" s="419"/>
      <c r="E9" s="448"/>
      <c r="F9" s="82"/>
      <c r="G9" s="82"/>
      <c r="H9" s="82"/>
      <c r="I9" s="18"/>
      <c r="J9" s="18"/>
      <c r="K9" s="18"/>
      <c r="L9" s="278"/>
      <c r="M9" s="20"/>
      <c r="N9" s="21"/>
      <c r="O9" s="8"/>
      <c r="P9" s="8"/>
      <c r="Q9" s="8"/>
      <c r="R9" s="8"/>
      <c r="S9" s="8"/>
      <c r="T9" s="8"/>
      <c r="U9" s="8"/>
      <c r="V9" s="8"/>
      <c r="W9" s="8"/>
      <c r="X9" s="7"/>
      <c r="Y9" s="22"/>
    </row>
    <row r="10" spans="1:27" ht="32.25" customHeight="1">
      <c r="A10" s="1536" t="s">
        <v>830</v>
      </c>
      <c r="B10" s="1650"/>
      <c r="C10" s="1650"/>
      <c r="D10" s="1650"/>
      <c r="E10" s="1650"/>
      <c r="F10" s="1650"/>
      <c r="G10" s="1650"/>
      <c r="H10" s="1650"/>
      <c r="I10" s="29"/>
      <c r="J10" s="29"/>
      <c r="K10" s="29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</row>
    <row r="11" spans="1:27" ht="12" customHeight="1">
      <c r="A11" s="449"/>
      <c r="B11" s="450"/>
      <c r="C11" s="450"/>
      <c r="D11" s="449"/>
      <c r="E11" s="449"/>
      <c r="F11" s="449"/>
      <c r="G11" s="450"/>
      <c r="H11" s="450"/>
      <c r="I11" s="23"/>
      <c r="J11" s="24"/>
      <c r="K11" s="25"/>
    </row>
    <row r="12" spans="1:27" ht="21" customHeight="1">
      <c r="A12" s="1651" t="s">
        <v>4</v>
      </c>
      <c r="B12" s="1651" t="s">
        <v>61</v>
      </c>
      <c r="C12" s="1651" t="s">
        <v>6</v>
      </c>
      <c r="D12" s="1651" t="s">
        <v>31</v>
      </c>
      <c r="E12" s="1651" t="s">
        <v>382</v>
      </c>
      <c r="F12" s="1651" t="s">
        <v>490</v>
      </c>
      <c r="G12" s="1651" t="s">
        <v>8</v>
      </c>
      <c r="H12" s="1651" t="s">
        <v>62</v>
      </c>
      <c r="I12" s="281"/>
      <c r="J12" s="109"/>
      <c r="K12" s="110"/>
    </row>
    <row r="13" spans="1:27" ht="27.75" customHeight="1">
      <c r="A13" s="1652"/>
      <c r="B13" s="1652"/>
      <c r="C13" s="1652"/>
      <c r="D13" s="1652"/>
      <c r="E13" s="1652"/>
      <c r="F13" s="1652"/>
      <c r="G13" s="1652"/>
      <c r="H13" s="1652"/>
      <c r="I13" s="111"/>
      <c r="J13" s="109"/>
      <c r="K13" s="110"/>
    </row>
    <row r="14" spans="1:27" ht="32.25" customHeight="1">
      <c r="A14" s="233">
        <v>1</v>
      </c>
      <c r="B14" s="416" t="str">
        <f>'PC xăng xe T4'!C13</f>
        <v>Lê Minh Trí</v>
      </c>
      <c r="C14" s="416" t="str">
        <f>'PC xăng xe T4'!D13</f>
        <v>Bảo vệ (T1)</v>
      </c>
      <c r="D14" s="452">
        <f>'PC xăng xe T4'!AJ13</f>
        <v>30</v>
      </c>
      <c r="E14" s="234">
        <v>20000</v>
      </c>
      <c r="F14" s="451">
        <f t="shared" ref="F14:F15" si="0">D14*E14</f>
        <v>600000</v>
      </c>
      <c r="G14" s="233"/>
      <c r="H14" s="233"/>
      <c r="I14" s="111"/>
      <c r="J14" s="112"/>
      <c r="K14" s="113"/>
    </row>
    <row r="15" spans="1:27" ht="32.25" customHeight="1">
      <c r="A15" s="233">
        <v>2</v>
      </c>
      <c r="B15" s="416" t="str">
        <f>'PC xăng xe T4'!C14</f>
        <v>Nguyễn Văn Cương</v>
      </c>
      <c r="C15" s="416" t="str">
        <f>'PC xăng xe T4'!D14</f>
        <v>Bảo vệ (T2)</v>
      </c>
      <c r="D15" s="452">
        <f>'PC xăng xe T4'!AJ14</f>
        <v>30</v>
      </c>
      <c r="E15" s="234">
        <v>20000</v>
      </c>
      <c r="F15" s="451">
        <f t="shared" si="0"/>
        <v>600000</v>
      </c>
      <c r="G15" s="233"/>
      <c r="H15" s="233"/>
      <c r="I15" s="111"/>
      <c r="J15" s="112"/>
      <c r="K15" s="113"/>
    </row>
    <row r="16" spans="1:27" ht="32.25" customHeight="1">
      <c r="A16" s="1547" t="s">
        <v>148</v>
      </c>
      <c r="B16" s="1547"/>
      <c r="C16" s="447"/>
      <c r="D16" s="282">
        <f>SUM(D14:D15)</f>
        <v>60</v>
      </c>
      <c r="E16" s="282"/>
      <c r="F16" s="282">
        <f>SUM(F14:F15)</f>
        <v>1200000</v>
      </c>
      <c r="G16" s="447"/>
      <c r="H16" s="233"/>
      <c r="I16" s="111"/>
      <c r="J16" s="112">
        <f>F16/25000</f>
        <v>48</v>
      </c>
      <c r="K16" s="113">
        <f>F16/25000</f>
        <v>48</v>
      </c>
    </row>
    <row r="17" spans="1:8" ht="27.75" customHeight="1">
      <c r="A17" s="1546" t="s">
        <v>850</v>
      </c>
      <c r="B17" s="1653"/>
      <c r="C17" s="1653"/>
      <c r="D17" s="1653"/>
      <c r="E17" s="1653"/>
      <c r="F17" s="1653"/>
      <c r="G17" s="1653"/>
      <c r="H17" s="1653"/>
    </row>
    <row r="18" spans="1:8" ht="17.25">
      <c r="A18" s="120"/>
      <c r="B18" s="120"/>
      <c r="C18" s="120"/>
      <c r="D18" s="120"/>
      <c r="E18" s="120"/>
      <c r="F18" s="1610" t="s">
        <v>829</v>
      </c>
      <c r="G18" s="1610"/>
      <c r="H18" s="1610"/>
    </row>
    <row r="19" spans="1:8" ht="24.6" customHeight="1">
      <c r="A19" s="1649" t="s">
        <v>770</v>
      </c>
      <c r="B19" s="1649"/>
      <c r="C19" s="1649"/>
      <c r="D19" s="1649"/>
      <c r="E19" s="1649"/>
      <c r="F19" s="1649"/>
      <c r="G19" s="1649"/>
      <c r="H19" s="1649"/>
    </row>
    <row r="20" spans="1:8" ht="16.5">
      <c r="A20" s="120"/>
      <c r="B20" s="120"/>
      <c r="C20" s="120"/>
      <c r="D20" s="120"/>
      <c r="E20" s="120"/>
      <c r="F20" s="120"/>
      <c r="G20" s="120"/>
      <c r="H20" s="120"/>
    </row>
    <row r="26" spans="1:8" ht="16.5">
      <c r="B26" s="10"/>
      <c r="C26" s="10"/>
      <c r="D26" s="10"/>
      <c r="E26" s="42"/>
      <c r="F26" s="42"/>
      <c r="G26" s="235"/>
      <c r="H26" s="235"/>
    </row>
    <row r="27" spans="1:8">
      <c r="D27" s="1" t="s">
        <v>153</v>
      </c>
    </row>
  </sheetData>
  <mergeCells count="18">
    <mergeCell ref="A3:H3"/>
    <mergeCell ref="A4:H4"/>
    <mergeCell ref="A5:H5"/>
    <mergeCell ref="A7:E7"/>
    <mergeCell ref="A8:E8"/>
    <mergeCell ref="F18:H18"/>
    <mergeCell ref="A19:H19"/>
    <mergeCell ref="A10:H10"/>
    <mergeCell ref="C12:C13"/>
    <mergeCell ref="E12:E13"/>
    <mergeCell ref="F12:F13"/>
    <mergeCell ref="A16:B16"/>
    <mergeCell ref="A17:H17"/>
    <mergeCell ref="A12:A13"/>
    <mergeCell ref="B12:B13"/>
    <mergeCell ref="D12:D13"/>
    <mergeCell ref="G12:G13"/>
    <mergeCell ref="H12:H13"/>
  </mergeCells>
  <printOptions horizontalCentered="1"/>
  <pageMargins left="0.27559055118110198" right="0.196850393700787" top="0.196850393700787" bottom="0.23622047244094499" header="0.196850393700787" footer="0.196850393700787"/>
  <pageSetup paperSize="9" scale="85" fitToHeight="0" orientation="landscape" r:id="rId1"/>
  <headerFooter>
    <oddFooter>&amp;R&amp;P</oddFooter>
  </headerFooter>
  <colBreaks count="1" manualBreakCount="1">
    <brk id="10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B0F0"/>
  </sheetPr>
  <dimension ref="A2:AP36"/>
  <sheetViews>
    <sheetView topLeftCell="A7" zoomScale="85" zoomScaleNormal="85" workbookViewId="0">
      <selection activeCell="AD27" sqref="AD27"/>
    </sheetView>
  </sheetViews>
  <sheetFormatPr defaultColWidth="5.28515625" defaultRowHeight="8.25"/>
  <cols>
    <col min="1" max="1" width="3.5703125" style="712" customWidth="1"/>
    <col min="2" max="2" width="0.140625" style="712" hidden="1" customWidth="1"/>
    <col min="3" max="3" width="21.140625" style="712" customWidth="1"/>
    <col min="4" max="4" width="14.42578125" style="712" customWidth="1"/>
    <col min="5" max="33" width="4.140625" style="712" customWidth="1"/>
    <col min="34" max="34" width="4.42578125" style="712" customWidth="1"/>
    <col min="35" max="35" width="4.140625" style="712" hidden="1" customWidth="1"/>
    <col min="36" max="36" width="8.28515625" style="712" customWidth="1"/>
    <col min="37" max="37" width="5.28515625" style="712" customWidth="1"/>
    <col min="38" max="38" width="7.5703125" style="713" customWidth="1"/>
    <col min="39" max="16384" width="5.28515625" style="712"/>
  </cols>
  <sheetData>
    <row r="2" spans="1:42" ht="20.25" customHeight="1">
      <c r="A2" s="1351" t="s">
        <v>51</v>
      </c>
      <c r="B2" s="1351"/>
      <c r="C2" s="1351"/>
      <c r="D2" s="1351"/>
      <c r="E2" s="1351"/>
      <c r="F2" s="1351"/>
      <c r="G2" s="1351"/>
      <c r="H2" s="1351"/>
      <c r="I2" s="1351"/>
      <c r="J2" s="1351"/>
      <c r="K2" s="1351"/>
      <c r="L2" s="1351"/>
      <c r="M2" s="1351"/>
      <c r="N2" s="1351"/>
      <c r="O2" s="1351"/>
      <c r="P2" s="1351"/>
      <c r="Q2" s="1351"/>
      <c r="R2" s="1351"/>
      <c r="S2" s="1351"/>
      <c r="T2" s="1351"/>
      <c r="U2" s="1351"/>
      <c r="V2" s="1351"/>
      <c r="W2" s="1351"/>
      <c r="X2" s="1351"/>
      <c r="Y2" s="1351"/>
      <c r="Z2" s="1351"/>
      <c r="AA2" s="1351"/>
      <c r="AB2" s="1351"/>
      <c r="AC2" s="1351"/>
      <c r="AD2" s="1351"/>
      <c r="AE2" s="1351"/>
      <c r="AF2" s="1351"/>
      <c r="AG2" s="1351"/>
      <c r="AH2" s="1351"/>
      <c r="AI2" s="1351"/>
      <c r="AJ2" s="1351"/>
    </row>
    <row r="3" spans="1:42" ht="20.25" customHeight="1">
      <c r="A3" s="1351" t="s">
        <v>52</v>
      </c>
      <c r="B3" s="1351"/>
      <c r="C3" s="1351"/>
      <c r="D3" s="1351"/>
      <c r="E3" s="1351"/>
      <c r="F3" s="1351"/>
      <c r="G3" s="1351"/>
      <c r="H3" s="1351"/>
      <c r="I3" s="1351"/>
      <c r="J3" s="1351"/>
      <c r="K3" s="1351"/>
      <c r="L3" s="1351"/>
      <c r="M3" s="1351"/>
      <c r="N3" s="1351"/>
      <c r="O3" s="1351"/>
      <c r="P3" s="1351"/>
      <c r="Q3" s="1351"/>
      <c r="R3" s="1351"/>
      <c r="S3" s="1351"/>
      <c r="T3" s="1351"/>
      <c r="U3" s="1351"/>
      <c r="V3" s="1351"/>
      <c r="W3" s="1351"/>
      <c r="X3" s="1351"/>
      <c r="Y3" s="1351"/>
      <c r="Z3" s="1351"/>
      <c r="AA3" s="1351"/>
      <c r="AB3" s="1351"/>
      <c r="AC3" s="1351"/>
      <c r="AD3" s="1351"/>
      <c r="AE3" s="1351"/>
      <c r="AF3" s="1351"/>
      <c r="AG3" s="1351"/>
      <c r="AH3" s="1351"/>
      <c r="AI3" s="1351"/>
      <c r="AJ3" s="1351"/>
    </row>
    <row r="4" spans="1:42" ht="20.25" customHeight="1">
      <c r="A4" s="1352" t="s">
        <v>277</v>
      </c>
      <c r="B4" s="1351"/>
      <c r="C4" s="1351"/>
      <c r="D4" s="1351"/>
      <c r="E4" s="1351"/>
      <c r="F4" s="1351"/>
      <c r="G4" s="1351"/>
      <c r="H4" s="1351"/>
      <c r="I4" s="1351"/>
      <c r="J4" s="1351"/>
      <c r="K4" s="1351"/>
      <c r="L4" s="1351"/>
      <c r="M4" s="1351"/>
      <c r="N4" s="1351"/>
      <c r="O4" s="1351"/>
      <c r="P4" s="1351"/>
      <c r="Q4" s="1351"/>
      <c r="R4" s="1351"/>
      <c r="S4" s="1351"/>
      <c r="T4" s="1351"/>
      <c r="U4" s="1351"/>
      <c r="V4" s="1351"/>
      <c r="W4" s="1351"/>
      <c r="X4" s="1351"/>
      <c r="Y4" s="1351"/>
      <c r="Z4" s="1351"/>
      <c r="AA4" s="1351"/>
      <c r="AB4" s="1351"/>
      <c r="AC4" s="1351"/>
      <c r="AD4" s="1351"/>
      <c r="AE4" s="1351"/>
      <c r="AF4" s="1351"/>
      <c r="AG4" s="1351"/>
      <c r="AH4" s="1351"/>
      <c r="AI4" s="1351"/>
      <c r="AJ4" s="1351"/>
    </row>
    <row r="5" spans="1:42" ht="20.25" customHeight="1">
      <c r="A5" s="760"/>
      <c r="B5" s="760"/>
      <c r="C5" s="760"/>
      <c r="D5" s="760"/>
      <c r="E5" s="760"/>
      <c r="F5" s="760"/>
      <c r="G5" s="760"/>
      <c r="H5" s="760"/>
      <c r="I5" s="760"/>
      <c r="J5" s="760"/>
      <c r="K5" s="760"/>
      <c r="L5" s="760"/>
      <c r="M5" s="760"/>
      <c r="N5" s="760"/>
      <c r="O5" s="760"/>
      <c r="P5" s="760"/>
      <c r="Q5" s="760"/>
      <c r="R5" s="760"/>
      <c r="S5" s="760"/>
      <c r="T5" s="760"/>
      <c r="U5" s="760"/>
      <c r="V5" s="760"/>
      <c r="W5" s="760"/>
      <c r="X5" s="760"/>
      <c r="Y5" s="760"/>
      <c r="Z5" s="760"/>
      <c r="AA5" s="760"/>
      <c r="AB5" s="760"/>
      <c r="AC5" s="760"/>
      <c r="AD5" s="760"/>
      <c r="AE5" s="760"/>
      <c r="AF5" s="760"/>
      <c r="AG5" s="760"/>
      <c r="AH5" s="760"/>
      <c r="AI5" s="760"/>
      <c r="AJ5" s="760"/>
    </row>
    <row r="6" spans="1:42" ht="20.25" customHeight="1">
      <c r="A6" s="1666" t="s">
        <v>550</v>
      </c>
      <c r="B6" s="1666"/>
      <c r="C6" s="1666"/>
      <c r="D6" s="1666"/>
      <c r="E6" s="1666"/>
      <c r="F6" s="1666"/>
      <c r="G6" s="1666"/>
      <c r="H6" s="1666"/>
      <c r="I6" s="1666"/>
      <c r="J6" s="1666"/>
      <c r="K6" s="1666"/>
      <c r="L6" s="1666"/>
      <c r="M6" s="280"/>
      <c r="N6" s="280"/>
      <c r="O6" s="280"/>
      <c r="P6" s="760"/>
      <c r="Q6" s="760"/>
      <c r="R6" s="760"/>
      <c r="S6" s="760"/>
      <c r="T6" s="760"/>
      <c r="U6" s="760"/>
      <c r="V6" s="760"/>
      <c r="W6" s="760"/>
      <c r="X6" s="760"/>
      <c r="Y6" s="760"/>
      <c r="Z6" s="760"/>
      <c r="AA6" s="760"/>
      <c r="AB6" s="760"/>
      <c r="AC6" s="760"/>
      <c r="AD6" s="760"/>
      <c r="AE6" s="760"/>
      <c r="AF6" s="760"/>
      <c r="AG6" s="760"/>
      <c r="AH6" s="760"/>
      <c r="AI6" s="760"/>
      <c r="AJ6" s="760"/>
    </row>
    <row r="7" spans="1:42" ht="20.25" customHeight="1">
      <c r="A7" s="1667" t="s">
        <v>537</v>
      </c>
      <c r="B7" s="1667"/>
      <c r="C7" s="1667"/>
      <c r="D7" s="1667"/>
      <c r="E7" s="1667"/>
      <c r="F7" s="1667"/>
      <c r="G7" s="1667"/>
      <c r="H7" s="1667"/>
      <c r="I7" s="1667"/>
      <c r="J7" s="1667"/>
      <c r="K7" s="1667"/>
      <c r="L7" s="1667"/>
      <c r="M7" s="280"/>
      <c r="N7" s="280"/>
      <c r="O7" s="280"/>
      <c r="P7" s="760"/>
      <c r="Q7" s="760"/>
      <c r="R7" s="760"/>
      <c r="S7" s="760"/>
      <c r="T7" s="760"/>
      <c r="U7" s="760"/>
      <c r="V7" s="760"/>
      <c r="W7" s="760"/>
      <c r="X7" s="760"/>
      <c r="Y7" s="760"/>
      <c r="Z7" s="760"/>
      <c r="AA7" s="760"/>
      <c r="AB7" s="760"/>
      <c r="AC7" s="760"/>
      <c r="AD7" s="760"/>
      <c r="AE7" s="760"/>
      <c r="AF7" s="760"/>
      <c r="AG7" s="760"/>
      <c r="AH7" s="760"/>
      <c r="AI7" s="760"/>
      <c r="AJ7" s="760"/>
    </row>
    <row r="8" spans="1:42" ht="20.25" customHeight="1">
      <c r="A8" s="716"/>
      <c r="B8" s="716"/>
      <c r="C8" s="716"/>
      <c r="D8" s="716"/>
      <c r="E8" s="716"/>
      <c r="F8" s="716"/>
      <c r="G8" s="716"/>
      <c r="H8" s="716"/>
      <c r="I8" s="716"/>
      <c r="J8" s="716"/>
      <c r="K8" s="716"/>
      <c r="L8" s="716"/>
      <c r="M8" s="715"/>
      <c r="N8" s="715"/>
      <c r="O8" s="715"/>
      <c r="P8" s="714"/>
      <c r="Q8" s="714"/>
      <c r="R8" s="714"/>
      <c r="S8" s="714"/>
      <c r="T8" s="714"/>
      <c r="U8" s="714"/>
      <c r="V8" s="714"/>
      <c r="W8" s="714"/>
      <c r="X8" s="714"/>
      <c r="Y8" s="714"/>
      <c r="Z8" s="714"/>
      <c r="AA8" s="714"/>
      <c r="AB8" s="714"/>
      <c r="AC8" s="714"/>
      <c r="AD8" s="714"/>
      <c r="AE8" s="714"/>
      <c r="AF8" s="714"/>
      <c r="AG8" s="714"/>
      <c r="AH8" s="714"/>
      <c r="AI8" s="714"/>
      <c r="AJ8" s="714"/>
    </row>
    <row r="9" spans="1:42" ht="21.75">
      <c r="A9" s="1668" t="s">
        <v>831</v>
      </c>
      <c r="B9" s="1668"/>
      <c r="C9" s="1668"/>
      <c r="D9" s="1668"/>
      <c r="E9" s="1668"/>
      <c r="F9" s="1668"/>
      <c r="G9" s="1668"/>
      <c r="H9" s="1668"/>
      <c r="I9" s="1668"/>
      <c r="J9" s="1668"/>
      <c r="K9" s="1668"/>
      <c r="L9" s="1668"/>
      <c r="M9" s="1668"/>
      <c r="N9" s="1668"/>
      <c r="O9" s="1668"/>
      <c r="P9" s="1668"/>
      <c r="Q9" s="1668"/>
      <c r="R9" s="1668"/>
      <c r="S9" s="1668"/>
      <c r="T9" s="1668"/>
      <c r="U9" s="1668"/>
      <c r="V9" s="1668"/>
      <c r="W9" s="1668"/>
      <c r="X9" s="1668"/>
      <c r="Y9" s="1668"/>
      <c r="Z9" s="1668"/>
      <c r="AA9" s="1668"/>
      <c r="AB9" s="1668"/>
      <c r="AC9" s="1668"/>
      <c r="AD9" s="1668"/>
      <c r="AE9" s="1668"/>
      <c r="AF9" s="1668"/>
      <c r="AG9" s="1668"/>
      <c r="AH9" s="1668"/>
      <c r="AI9" s="1668"/>
      <c r="AJ9" s="1668"/>
    </row>
    <row r="10" spans="1:42" ht="16.5">
      <c r="A10" s="717"/>
      <c r="B10" s="717"/>
      <c r="C10" s="717"/>
      <c r="D10" s="717"/>
      <c r="E10" s="717"/>
      <c r="F10" s="717"/>
      <c r="G10" s="717"/>
      <c r="H10" s="717"/>
      <c r="I10" s="717"/>
      <c r="J10" s="717"/>
      <c r="K10" s="717"/>
      <c r="L10" s="717"/>
      <c r="M10" s="717"/>
      <c r="N10" s="717"/>
      <c r="O10" s="717"/>
      <c r="P10" s="717"/>
      <c r="Q10" s="717"/>
      <c r="R10" s="717"/>
      <c r="S10" s="717"/>
      <c r="T10" s="717"/>
      <c r="U10" s="717"/>
      <c r="V10" s="717"/>
      <c r="W10" s="717"/>
      <c r="X10" s="717"/>
      <c r="Y10" s="717"/>
      <c r="Z10" s="717"/>
      <c r="AA10" s="717"/>
      <c r="AB10" s="717"/>
      <c r="AC10" s="717"/>
      <c r="AD10" s="717"/>
      <c r="AE10" s="717"/>
      <c r="AF10" s="717"/>
      <c r="AG10" s="717"/>
      <c r="AH10" s="717"/>
      <c r="AI10" s="717"/>
      <c r="AJ10" s="717"/>
    </row>
    <row r="11" spans="1:42" ht="15" customHeight="1">
      <c r="A11" s="1669" t="s">
        <v>53</v>
      </c>
      <c r="B11" s="1669" t="s">
        <v>380</v>
      </c>
      <c r="C11" s="1669" t="s">
        <v>54</v>
      </c>
      <c r="D11" s="1656" t="s">
        <v>6</v>
      </c>
      <c r="E11" s="1656">
        <v>1</v>
      </c>
      <c r="F11" s="1659">
        <v>2</v>
      </c>
      <c r="G11" s="1656">
        <v>3</v>
      </c>
      <c r="H11" s="1659">
        <v>4</v>
      </c>
      <c r="I11" s="1656">
        <v>5</v>
      </c>
      <c r="J11" s="1659">
        <v>6</v>
      </c>
      <c r="K11" s="1656">
        <v>7</v>
      </c>
      <c r="L11" s="1659">
        <v>8</v>
      </c>
      <c r="M11" s="1656">
        <v>9</v>
      </c>
      <c r="N11" s="1659">
        <v>10</v>
      </c>
      <c r="O11" s="1656">
        <v>11</v>
      </c>
      <c r="P11" s="1659">
        <v>12</v>
      </c>
      <c r="Q11" s="1656">
        <v>13</v>
      </c>
      <c r="R11" s="1659">
        <v>14</v>
      </c>
      <c r="S11" s="1656">
        <v>15</v>
      </c>
      <c r="T11" s="1659">
        <v>16</v>
      </c>
      <c r="U11" s="1656">
        <v>17</v>
      </c>
      <c r="V11" s="1659">
        <v>18</v>
      </c>
      <c r="W11" s="1656">
        <v>19</v>
      </c>
      <c r="X11" s="1659">
        <v>20</v>
      </c>
      <c r="Y11" s="1656">
        <v>21</v>
      </c>
      <c r="Z11" s="1659">
        <v>22</v>
      </c>
      <c r="AA11" s="1656">
        <v>23</v>
      </c>
      <c r="AB11" s="1659">
        <v>24</v>
      </c>
      <c r="AC11" s="1656">
        <v>25</v>
      </c>
      <c r="AD11" s="1659">
        <v>26</v>
      </c>
      <c r="AE11" s="1656">
        <v>27</v>
      </c>
      <c r="AF11" s="1659">
        <v>28</v>
      </c>
      <c r="AG11" s="1656">
        <v>29</v>
      </c>
      <c r="AH11" s="1659">
        <v>30</v>
      </c>
      <c r="AI11" s="1656">
        <v>31</v>
      </c>
      <c r="AJ11" s="1670" t="s">
        <v>31</v>
      </c>
    </row>
    <row r="12" spans="1:42" ht="23.25" customHeight="1">
      <c r="A12" s="1669"/>
      <c r="B12" s="1669"/>
      <c r="C12" s="1669"/>
      <c r="D12" s="1657"/>
      <c r="E12" s="1658"/>
      <c r="F12" s="1658"/>
      <c r="G12" s="1658"/>
      <c r="H12" s="1658"/>
      <c r="I12" s="1658"/>
      <c r="J12" s="1658"/>
      <c r="K12" s="1658"/>
      <c r="L12" s="1658"/>
      <c r="M12" s="1658"/>
      <c r="N12" s="1658"/>
      <c r="O12" s="1658"/>
      <c r="P12" s="1658"/>
      <c r="Q12" s="1658"/>
      <c r="R12" s="1658"/>
      <c r="S12" s="1658"/>
      <c r="T12" s="1658"/>
      <c r="U12" s="1658"/>
      <c r="V12" s="1658"/>
      <c r="W12" s="1658"/>
      <c r="X12" s="1658"/>
      <c r="Y12" s="1658"/>
      <c r="Z12" s="1658"/>
      <c r="AA12" s="1658"/>
      <c r="AB12" s="1658"/>
      <c r="AC12" s="1658"/>
      <c r="AD12" s="1658"/>
      <c r="AE12" s="1658"/>
      <c r="AF12" s="1658"/>
      <c r="AG12" s="1658"/>
      <c r="AH12" s="1658"/>
      <c r="AI12" s="1657"/>
      <c r="AJ12" s="1670"/>
    </row>
    <row r="13" spans="1:42" ht="40.15" customHeight="1">
      <c r="A13" s="924">
        <v>1</v>
      </c>
      <c r="B13" s="923"/>
      <c r="C13" s="925" t="s">
        <v>305</v>
      </c>
      <c r="D13" s="926" t="s">
        <v>562</v>
      </c>
      <c r="E13" s="927" t="s">
        <v>50</v>
      </c>
      <c r="F13" s="927" t="s">
        <v>50</v>
      </c>
      <c r="G13" s="927" t="s">
        <v>50</v>
      </c>
      <c r="H13" s="927" t="s">
        <v>50</v>
      </c>
      <c r="I13" s="927" t="s">
        <v>50</v>
      </c>
      <c r="J13" s="927" t="s">
        <v>50</v>
      </c>
      <c r="K13" s="927" t="s">
        <v>50</v>
      </c>
      <c r="L13" s="927" t="s">
        <v>50</v>
      </c>
      <c r="M13" s="927" t="s">
        <v>50</v>
      </c>
      <c r="N13" s="927" t="s">
        <v>50</v>
      </c>
      <c r="O13" s="927" t="s">
        <v>50</v>
      </c>
      <c r="P13" s="927" t="s">
        <v>50</v>
      </c>
      <c r="Q13" s="927" t="s">
        <v>50</v>
      </c>
      <c r="R13" s="927" t="s">
        <v>50</v>
      </c>
      <c r="S13" s="927" t="s">
        <v>50</v>
      </c>
      <c r="T13" s="927" t="s">
        <v>50</v>
      </c>
      <c r="U13" s="927" t="s">
        <v>50</v>
      </c>
      <c r="V13" s="927" t="s">
        <v>50</v>
      </c>
      <c r="W13" s="927" t="s">
        <v>50</v>
      </c>
      <c r="X13" s="927" t="s">
        <v>50</v>
      </c>
      <c r="Y13" s="927" t="s">
        <v>50</v>
      </c>
      <c r="Z13" s="927" t="s">
        <v>50</v>
      </c>
      <c r="AA13" s="927" t="s">
        <v>50</v>
      </c>
      <c r="AB13" s="927" t="s">
        <v>50</v>
      </c>
      <c r="AC13" s="927" t="s">
        <v>50</v>
      </c>
      <c r="AD13" s="927" t="s">
        <v>50</v>
      </c>
      <c r="AE13" s="927" t="s">
        <v>50</v>
      </c>
      <c r="AF13" s="927" t="s">
        <v>50</v>
      </c>
      <c r="AG13" s="927" t="s">
        <v>50</v>
      </c>
      <c r="AH13" s="927" t="s">
        <v>50</v>
      </c>
      <c r="AI13" s="927"/>
      <c r="AJ13" s="928">
        <f t="shared" ref="AJ13:AJ14" si="0">COUNTIF(E13:AI13,"x")+ COUNTIF(E13:AI13,"p")+COUNTIF(E13:AI13,"pt")+COUNTIF(E13:AI13,"T")+COUNTIF(E13:AI13,"VN")</f>
        <v>30</v>
      </c>
    </row>
    <row r="14" spans="1:42" ht="37.15" customHeight="1">
      <c r="A14" s="924">
        <v>2</v>
      </c>
      <c r="B14" s="923"/>
      <c r="C14" s="925" t="s">
        <v>304</v>
      </c>
      <c r="D14" s="926" t="s">
        <v>786</v>
      </c>
      <c r="E14" s="927" t="s">
        <v>50</v>
      </c>
      <c r="F14" s="927" t="s">
        <v>50</v>
      </c>
      <c r="G14" s="927" t="s">
        <v>50</v>
      </c>
      <c r="H14" s="927" t="s">
        <v>50</v>
      </c>
      <c r="I14" s="927" t="s">
        <v>50</v>
      </c>
      <c r="J14" s="927" t="s">
        <v>50</v>
      </c>
      <c r="K14" s="927" t="s">
        <v>50</v>
      </c>
      <c r="L14" s="927" t="s">
        <v>50</v>
      </c>
      <c r="M14" s="927" t="s">
        <v>50</v>
      </c>
      <c r="N14" s="927" t="s">
        <v>50</v>
      </c>
      <c r="O14" s="927" t="s">
        <v>50</v>
      </c>
      <c r="P14" s="927" t="s">
        <v>50</v>
      </c>
      <c r="Q14" s="927" t="s">
        <v>50</v>
      </c>
      <c r="R14" s="927" t="s">
        <v>50</v>
      </c>
      <c r="S14" s="927" t="s">
        <v>50</v>
      </c>
      <c r="T14" s="927" t="s">
        <v>50</v>
      </c>
      <c r="U14" s="927" t="s">
        <v>50</v>
      </c>
      <c r="V14" s="927" t="s">
        <v>50</v>
      </c>
      <c r="W14" s="927" t="s">
        <v>50</v>
      </c>
      <c r="X14" s="927" t="s">
        <v>50</v>
      </c>
      <c r="Y14" s="927" t="s">
        <v>50</v>
      </c>
      <c r="Z14" s="927" t="s">
        <v>50</v>
      </c>
      <c r="AA14" s="927" t="s">
        <v>50</v>
      </c>
      <c r="AB14" s="927" t="s">
        <v>50</v>
      </c>
      <c r="AC14" s="927" t="s">
        <v>50</v>
      </c>
      <c r="AD14" s="927" t="s">
        <v>50</v>
      </c>
      <c r="AE14" s="927" t="s">
        <v>50</v>
      </c>
      <c r="AF14" s="927" t="s">
        <v>50</v>
      </c>
      <c r="AG14" s="927" t="s">
        <v>50</v>
      </c>
      <c r="AH14" s="927" t="s">
        <v>50</v>
      </c>
      <c r="AI14" s="927"/>
      <c r="AJ14" s="928">
        <f t="shared" si="0"/>
        <v>30</v>
      </c>
    </row>
    <row r="15" spans="1:42" ht="30.75" customHeight="1">
      <c r="A15" s="1660" t="s">
        <v>55</v>
      </c>
      <c r="B15" s="1661"/>
      <c r="C15" s="1661"/>
      <c r="D15" s="1662"/>
      <c r="E15" s="929">
        <f t="shared" ref="E15:AI15" si="1">SUM(COUNTIF(E13:E14,"x"))</f>
        <v>2</v>
      </c>
      <c r="F15" s="929">
        <f t="shared" si="1"/>
        <v>2</v>
      </c>
      <c r="G15" s="929">
        <f t="shared" si="1"/>
        <v>2</v>
      </c>
      <c r="H15" s="929">
        <f t="shared" si="1"/>
        <v>2</v>
      </c>
      <c r="I15" s="929">
        <f t="shared" si="1"/>
        <v>2</v>
      </c>
      <c r="J15" s="929">
        <f t="shared" si="1"/>
        <v>2</v>
      </c>
      <c r="K15" s="929">
        <f t="shared" si="1"/>
        <v>2</v>
      </c>
      <c r="L15" s="929">
        <f t="shared" si="1"/>
        <v>2</v>
      </c>
      <c r="M15" s="929">
        <f t="shared" si="1"/>
        <v>2</v>
      </c>
      <c r="N15" s="929">
        <f t="shared" si="1"/>
        <v>2</v>
      </c>
      <c r="O15" s="929">
        <f t="shared" si="1"/>
        <v>2</v>
      </c>
      <c r="P15" s="929">
        <f t="shared" si="1"/>
        <v>2</v>
      </c>
      <c r="Q15" s="929">
        <f t="shared" si="1"/>
        <v>2</v>
      </c>
      <c r="R15" s="929">
        <f t="shared" si="1"/>
        <v>2</v>
      </c>
      <c r="S15" s="929">
        <f t="shared" si="1"/>
        <v>2</v>
      </c>
      <c r="T15" s="929">
        <f t="shared" si="1"/>
        <v>2</v>
      </c>
      <c r="U15" s="929">
        <f t="shared" si="1"/>
        <v>2</v>
      </c>
      <c r="V15" s="929">
        <f t="shared" si="1"/>
        <v>2</v>
      </c>
      <c r="W15" s="929">
        <f t="shared" si="1"/>
        <v>2</v>
      </c>
      <c r="X15" s="929">
        <f t="shared" si="1"/>
        <v>2</v>
      </c>
      <c r="Y15" s="929">
        <f t="shared" si="1"/>
        <v>2</v>
      </c>
      <c r="Z15" s="929">
        <f t="shared" si="1"/>
        <v>2</v>
      </c>
      <c r="AA15" s="929">
        <f t="shared" si="1"/>
        <v>2</v>
      </c>
      <c r="AB15" s="929">
        <f t="shared" si="1"/>
        <v>2</v>
      </c>
      <c r="AC15" s="929">
        <f t="shared" si="1"/>
        <v>2</v>
      </c>
      <c r="AD15" s="929">
        <f t="shared" si="1"/>
        <v>2</v>
      </c>
      <c r="AE15" s="929">
        <f t="shared" si="1"/>
        <v>2</v>
      </c>
      <c r="AF15" s="929">
        <f t="shared" si="1"/>
        <v>2</v>
      </c>
      <c r="AG15" s="929">
        <f t="shared" si="1"/>
        <v>2</v>
      </c>
      <c r="AH15" s="929">
        <f t="shared" si="1"/>
        <v>2</v>
      </c>
      <c r="AI15" s="929">
        <f t="shared" si="1"/>
        <v>0</v>
      </c>
      <c r="AJ15" s="930">
        <f>SUM(AJ13:AJ14)</f>
        <v>60</v>
      </c>
      <c r="AK15" s="1663">
        <f>AJ15*20000</f>
        <v>1200000</v>
      </c>
      <c r="AL15" s="1663"/>
      <c r="AN15" s="712">
        <v>1658</v>
      </c>
      <c r="AO15" s="712">
        <v>320</v>
      </c>
      <c r="AP15" s="712">
        <v>1978</v>
      </c>
    </row>
    <row r="16" spans="1:42" ht="10.15" customHeight="1">
      <c r="A16" s="931"/>
      <c r="B16" s="931"/>
      <c r="C16" s="931"/>
      <c r="D16" s="931"/>
      <c r="E16" s="932"/>
      <c r="F16" s="932"/>
      <c r="G16" s="932"/>
      <c r="H16" s="932"/>
      <c r="I16" s="932"/>
      <c r="J16" s="932"/>
      <c r="K16" s="932"/>
      <c r="L16" s="932"/>
      <c r="M16" s="932"/>
      <c r="N16" s="932"/>
      <c r="O16" s="932"/>
      <c r="P16" s="932"/>
      <c r="Q16" s="932"/>
      <c r="R16" s="932"/>
      <c r="S16" s="932"/>
      <c r="T16" s="932"/>
      <c r="U16" s="932"/>
      <c r="V16" s="932"/>
      <c r="W16" s="932"/>
      <c r="X16" s="933"/>
      <c r="Y16" s="933"/>
      <c r="Z16" s="933"/>
      <c r="AA16" s="933"/>
      <c r="AB16" s="933"/>
      <c r="AC16" s="933"/>
      <c r="AD16" s="933"/>
      <c r="AE16" s="933"/>
      <c r="AF16" s="933"/>
      <c r="AG16" s="933"/>
      <c r="AH16" s="933"/>
      <c r="AI16" s="933"/>
      <c r="AJ16" s="934"/>
      <c r="AK16" s="914"/>
      <c r="AL16" s="914"/>
    </row>
    <row r="17" spans="1:42" ht="23.45" customHeight="1">
      <c r="A17" s="148"/>
      <c r="B17" s="702"/>
      <c r="C17" s="702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345" t="s">
        <v>809</v>
      </c>
      <c r="Y17" s="1345"/>
      <c r="Z17" s="1345"/>
      <c r="AA17" s="1345"/>
      <c r="AB17" s="1345"/>
      <c r="AC17" s="1345"/>
      <c r="AD17" s="1345"/>
      <c r="AE17" s="1345"/>
      <c r="AF17" s="1345"/>
      <c r="AG17" s="1345"/>
      <c r="AH17" s="1345"/>
      <c r="AI17" s="1345"/>
      <c r="AJ17" s="1345"/>
      <c r="AL17" s="713" t="e">
        <f>#REF!+#REF!</f>
        <v>#REF!</v>
      </c>
      <c r="AN17" s="712">
        <v>1565</v>
      </c>
      <c r="AO17" s="712">
        <v>302</v>
      </c>
      <c r="AP17" s="712">
        <v>1867</v>
      </c>
    </row>
    <row r="18" spans="1:42" ht="26.45" customHeight="1">
      <c r="A18" s="1649" t="s">
        <v>774</v>
      </c>
      <c r="B18" s="1649"/>
      <c r="C18" s="1649"/>
      <c r="D18" s="1649"/>
      <c r="E18" s="1649"/>
      <c r="F18" s="1649"/>
      <c r="G18" s="1649"/>
      <c r="H18" s="1649"/>
      <c r="I18" s="1649"/>
      <c r="J18" s="1649"/>
      <c r="K18" s="1649"/>
      <c r="L18" s="1649"/>
      <c r="M18" s="1649"/>
      <c r="N18" s="1649"/>
      <c r="O18" s="1649"/>
      <c r="P18" s="1649"/>
      <c r="Q18" s="1649"/>
      <c r="R18" s="1649"/>
      <c r="S18" s="1649"/>
      <c r="T18" s="1649"/>
      <c r="U18" s="1649"/>
      <c r="V18" s="1649"/>
      <c r="W18" s="1649"/>
      <c r="X18" s="1649"/>
      <c r="Y18" s="1649"/>
      <c r="Z18" s="1649"/>
      <c r="AA18" s="1649"/>
      <c r="AB18" s="1649"/>
      <c r="AC18" s="1649"/>
      <c r="AD18" s="1649"/>
      <c r="AE18" s="1649"/>
      <c r="AF18" s="1649"/>
      <c r="AG18" s="1649"/>
      <c r="AH18" s="1649"/>
      <c r="AI18" s="1649"/>
      <c r="AJ18" s="1649"/>
      <c r="AN18" s="712">
        <v>1153</v>
      </c>
      <c r="AO18" s="712">
        <v>223</v>
      </c>
      <c r="AP18" s="712">
        <v>1376</v>
      </c>
    </row>
    <row r="19" spans="1:42" ht="16.5">
      <c r="A19" s="148"/>
      <c r="B19" s="702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N19" s="712">
        <v>1096</v>
      </c>
      <c r="AO19" s="712">
        <v>210</v>
      </c>
      <c r="AP19" s="712">
        <v>1306</v>
      </c>
    </row>
    <row r="20" spans="1:42" ht="16.5">
      <c r="B20" s="525"/>
      <c r="D20" s="525"/>
      <c r="E20" s="525"/>
      <c r="F20" s="525"/>
      <c r="G20" s="525"/>
      <c r="H20" s="525"/>
      <c r="I20" s="718"/>
      <c r="J20" s="718"/>
      <c r="K20" s="718"/>
      <c r="L20" s="525"/>
      <c r="M20" s="718"/>
      <c r="N20" s="718"/>
      <c r="O20" s="718"/>
      <c r="P20" s="525"/>
      <c r="Q20" s="718"/>
      <c r="R20" s="525"/>
      <c r="S20" s="525"/>
      <c r="T20" s="719"/>
      <c r="U20" s="525"/>
      <c r="V20" s="525"/>
      <c r="W20" s="525"/>
      <c r="X20" s="525"/>
      <c r="Y20" s="525"/>
      <c r="Z20" s="525"/>
      <c r="AA20" s="525"/>
      <c r="AB20" s="525"/>
      <c r="AC20" s="525"/>
      <c r="AD20" s="525"/>
      <c r="AE20" s="525"/>
      <c r="AF20" s="525"/>
      <c r="AG20" s="525"/>
      <c r="AH20" s="525"/>
      <c r="AI20" s="525"/>
      <c r="AJ20" s="719"/>
      <c r="AN20" s="712">
        <f>SUM(AN15:AN19)</f>
        <v>5472</v>
      </c>
      <c r="AO20" s="712">
        <f>SUM(AO15:AO19)</f>
        <v>1055</v>
      </c>
      <c r="AP20" s="712">
        <f>SUM(AP15:AP19)</f>
        <v>6527</v>
      </c>
    </row>
    <row r="21" spans="1:42" ht="15.75" customHeight="1">
      <c r="B21" s="525"/>
      <c r="C21" s="525"/>
      <c r="D21" s="525"/>
      <c r="E21" s="525"/>
      <c r="F21" s="525"/>
      <c r="G21" s="525"/>
      <c r="H21" s="525"/>
      <c r="I21" s="718"/>
      <c r="J21" s="718"/>
      <c r="K21" s="525"/>
      <c r="L21" s="525"/>
      <c r="M21" s="718"/>
      <c r="N21" s="718"/>
      <c r="O21" s="525"/>
      <c r="P21" s="525"/>
      <c r="Q21" s="718"/>
      <c r="R21" s="525"/>
      <c r="S21" s="525"/>
      <c r="T21" s="719"/>
      <c r="U21" s="525"/>
      <c r="V21" s="525"/>
      <c r="W21" s="525"/>
      <c r="X21" s="525"/>
      <c r="Y21" s="525"/>
      <c r="Z21" s="525"/>
      <c r="AA21" s="525"/>
      <c r="AB21" s="525"/>
      <c r="AC21" s="525"/>
      <c r="AD21" s="525"/>
      <c r="AE21" s="525"/>
      <c r="AF21" s="525"/>
      <c r="AG21" s="525"/>
      <c r="AH21" s="525"/>
      <c r="AI21" s="525"/>
      <c r="AJ21" s="525"/>
    </row>
    <row r="22" spans="1:42" ht="16.5">
      <c r="B22" s="525"/>
      <c r="C22" s="525"/>
      <c r="D22" s="525"/>
      <c r="E22" s="525"/>
      <c r="F22" s="525"/>
      <c r="G22" s="525"/>
      <c r="H22" s="525"/>
      <c r="I22" s="718"/>
      <c r="J22" s="718"/>
      <c r="K22" s="718"/>
      <c r="L22" s="525"/>
      <c r="M22" s="525"/>
      <c r="N22" s="525"/>
      <c r="O22" s="525"/>
      <c r="P22" s="525"/>
      <c r="Q22" s="718"/>
      <c r="R22" s="525"/>
      <c r="S22" s="525"/>
      <c r="T22" s="719"/>
      <c r="U22" s="525"/>
      <c r="V22" s="525"/>
      <c r="W22" s="525"/>
      <c r="X22" s="525"/>
      <c r="Y22" s="525"/>
      <c r="Z22" s="525"/>
      <c r="AA22" s="525"/>
      <c r="AB22" s="525"/>
      <c r="AC22" s="525"/>
      <c r="AD22" s="525"/>
      <c r="AE22" s="525"/>
      <c r="AF22" s="525"/>
      <c r="AG22" s="525"/>
      <c r="AH22" s="525"/>
      <c r="AI22" s="525"/>
      <c r="AJ22" s="525"/>
    </row>
    <row r="23" spans="1:42" ht="16.5">
      <c r="B23" s="525"/>
      <c r="C23" s="525"/>
      <c r="D23" s="1665"/>
      <c r="E23" s="1665"/>
      <c r="F23" s="1665"/>
      <c r="G23" s="1665"/>
      <c r="H23" s="1665"/>
      <c r="I23" s="718"/>
      <c r="J23" s="718"/>
      <c r="K23" s="718"/>
      <c r="L23" s="525"/>
      <c r="M23" s="525"/>
      <c r="N23" s="525"/>
      <c r="O23" s="525"/>
      <c r="P23" s="525"/>
      <c r="Q23" s="525"/>
      <c r="R23" s="525"/>
      <c r="S23" s="525"/>
      <c r="T23" s="719"/>
      <c r="U23" s="525"/>
      <c r="V23" s="525"/>
      <c r="W23" s="525"/>
      <c r="X23" s="525"/>
      <c r="Y23" s="525"/>
      <c r="Z23" s="525"/>
      <c r="AA23" s="525"/>
      <c r="AB23" s="525"/>
      <c r="AC23" s="525"/>
      <c r="AD23" s="525"/>
      <c r="AE23" s="525"/>
      <c r="AF23" s="525"/>
      <c r="AG23" s="525"/>
      <c r="AH23" s="525"/>
      <c r="AI23" s="525"/>
    </row>
    <row r="24" spans="1:42">
      <c r="I24" s="720"/>
      <c r="J24" s="720"/>
      <c r="K24" s="720"/>
      <c r="L24" s="713"/>
      <c r="M24" s="713"/>
      <c r="N24" s="713"/>
      <c r="O24" s="713"/>
      <c r="P24" s="713"/>
      <c r="T24" s="721"/>
      <c r="AL24" s="712"/>
    </row>
    <row r="28" spans="1:42" ht="16.5">
      <c r="A28" s="1664"/>
      <c r="B28" s="1664"/>
      <c r="C28" s="1664"/>
    </row>
    <row r="29" spans="1:42" ht="16.5">
      <c r="A29" s="722"/>
      <c r="B29" s="546"/>
      <c r="C29" s="1664"/>
      <c r="D29" s="1664"/>
      <c r="E29" s="1664"/>
      <c r="F29" s="1664"/>
      <c r="G29" s="1664"/>
      <c r="H29" s="1664"/>
    </row>
    <row r="30" spans="1:42" ht="16.5">
      <c r="A30" s="722"/>
      <c r="B30" s="546"/>
      <c r="C30" s="1664"/>
      <c r="D30" s="1664"/>
      <c r="E30" s="1664"/>
      <c r="F30" s="1664"/>
      <c r="G30" s="1664"/>
      <c r="H30" s="1664"/>
    </row>
    <row r="31" spans="1:42" ht="16.5">
      <c r="A31" s="722"/>
      <c r="B31" s="546"/>
      <c r="C31" s="1664"/>
      <c r="D31" s="1664"/>
      <c r="E31" s="1664"/>
      <c r="F31" s="1664"/>
      <c r="G31" s="1664"/>
      <c r="H31" s="1664"/>
    </row>
    <row r="32" spans="1:42" ht="16.5">
      <c r="A32" s="722"/>
      <c r="B32" s="546"/>
      <c r="C32" s="1664"/>
      <c r="D32" s="1664"/>
      <c r="E32" s="1664"/>
      <c r="F32" s="1664"/>
      <c r="G32" s="1664"/>
      <c r="H32" s="1664"/>
    </row>
    <row r="33" spans="1:38" ht="16.5">
      <c r="A33" s="723"/>
      <c r="B33" s="525"/>
      <c r="C33" s="1664"/>
      <c r="D33" s="1664"/>
      <c r="E33" s="1664"/>
      <c r="F33" s="1664"/>
      <c r="G33" s="1664"/>
      <c r="H33" s="1664"/>
      <c r="AL33" s="712"/>
    </row>
    <row r="34" spans="1:38" ht="16.5">
      <c r="A34" s="723"/>
      <c r="B34" s="525"/>
      <c r="C34" s="1664"/>
      <c r="D34" s="1664"/>
      <c r="E34" s="1664"/>
      <c r="F34" s="1664"/>
      <c r="G34" s="1664"/>
      <c r="H34" s="1664"/>
      <c r="AL34" s="712"/>
    </row>
    <row r="35" spans="1:38" ht="16.5">
      <c r="A35" s="723"/>
      <c r="B35" s="525"/>
      <c r="C35" s="1664"/>
      <c r="D35" s="1664"/>
      <c r="E35" s="1664"/>
      <c r="F35" s="1664"/>
      <c r="G35" s="1664"/>
      <c r="H35" s="1664"/>
      <c r="AL35" s="712"/>
    </row>
    <row r="36" spans="1:38" ht="16.5">
      <c r="A36" s="723"/>
      <c r="B36" s="525"/>
      <c r="C36" s="1664"/>
      <c r="D36" s="1664"/>
      <c r="E36" s="1664"/>
      <c r="F36" s="1664"/>
      <c r="G36" s="1664"/>
      <c r="H36" s="1664"/>
      <c r="AL36" s="712"/>
    </row>
  </sheetData>
  <mergeCells count="56">
    <mergeCell ref="A9:AJ9"/>
    <mergeCell ref="A11:A12"/>
    <mergeCell ref="B11:B12"/>
    <mergeCell ref="C11:C12"/>
    <mergeCell ref="D11:D12"/>
    <mergeCell ref="AJ11:AJ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A2:AJ2"/>
    <mergeCell ref="A3:AJ3"/>
    <mergeCell ref="A4:AJ4"/>
    <mergeCell ref="A6:L6"/>
    <mergeCell ref="A7:L7"/>
    <mergeCell ref="A15:D15"/>
    <mergeCell ref="AK15:AL15"/>
    <mergeCell ref="C34:H34"/>
    <mergeCell ref="C35:H35"/>
    <mergeCell ref="C36:H36"/>
    <mergeCell ref="D23:H23"/>
    <mergeCell ref="A28:C28"/>
    <mergeCell ref="C29:H29"/>
    <mergeCell ref="C30:H30"/>
    <mergeCell ref="C31:H31"/>
    <mergeCell ref="C32:H32"/>
    <mergeCell ref="C33:H33"/>
    <mergeCell ref="X17:AJ17"/>
    <mergeCell ref="A18:AJ18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AI11:AI12"/>
    <mergeCell ref="Y11:Y12"/>
    <mergeCell ref="Z11:Z12"/>
    <mergeCell ref="AA11:AA12"/>
    <mergeCell ref="AB11:AB12"/>
    <mergeCell ref="AH11:AH12"/>
    <mergeCell ref="AC11:AC12"/>
    <mergeCell ref="AD11:AD12"/>
    <mergeCell ref="AE11:AE12"/>
    <mergeCell ref="AF11:AF12"/>
    <mergeCell ref="AG11:AG12"/>
  </mergeCells>
  <printOptions horizontalCentered="1"/>
  <pageMargins left="0.27559055118110198" right="0.196850393700787" top="0.39" bottom="0.51" header="0.33" footer="0.4"/>
  <pageSetup paperSize="9" scale="77" fitToHeight="0" orientation="landscape" r:id="rId1"/>
  <headerFooter>
    <oddFooter>&amp;R&amp;P</oddFooter>
  </headerFooter>
  <colBreaks count="1" manualBreakCount="1">
    <brk id="36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FFC000"/>
  </sheetPr>
  <dimension ref="A2:AA1429"/>
  <sheetViews>
    <sheetView topLeftCell="A7" zoomScale="62" zoomScaleNormal="62" workbookViewId="0">
      <selection activeCell="A29" sqref="A29:O29"/>
    </sheetView>
  </sheetViews>
  <sheetFormatPr defaultColWidth="9.140625" defaultRowHeight="12.75" customHeight="1"/>
  <cols>
    <col min="1" max="1" width="4" customWidth="1"/>
    <col min="2" max="2" width="25.7109375" customWidth="1"/>
    <col min="3" max="3" width="16" customWidth="1"/>
    <col min="4" max="4" width="2.85546875" customWidth="1"/>
    <col min="5" max="5" width="4.85546875" customWidth="1"/>
    <col min="6" max="6" width="25.5703125" customWidth="1"/>
    <col min="7" max="7" width="16" customWidth="1"/>
    <col min="8" max="8" width="1" customWidth="1"/>
    <col min="9" max="9" width="5.28515625" customWidth="1"/>
    <col min="10" max="10" width="25.5703125" customWidth="1"/>
    <col min="11" max="11" width="14.85546875" customWidth="1"/>
    <col min="12" max="12" width="3.140625" customWidth="1"/>
    <col min="13" max="13" width="4" customWidth="1"/>
    <col min="14" max="14" width="25.85546875" customWidth="1"/>
    <col min="15" max="15" width="14.85546875" customWidth="1"/>
    <col min="16" max="16" width="20.7109375" customWidth="1"/>
    <col min="17" max="17" width="31" customWidth="1"/>
    <col min="18" max="18" width="14.28515625" customWidth="1"/>
    <col min="19" max="19" width="19" customWidth="1"/>
    <col min="20" max="20" width="17.85546875" customWidth="1"/>
    <col min="21" max="21" width="21.140625" customWidth="1"/>
    <col min="22" max="22" width="13.140625" customWidth="1"/>
    <col min="23" max="23" width="15.28515625" customWidth="1"/>
    <col min="24" max="24" width="13" customWidth="1"/>
    <col min="26" max="26" width="13.5703125" customWidth="1"/>
    <col min="27" max="27" width="15.5703125" customWidth="1"/>
  </cols>
  <sheetData>
    <row r="2" spans="1:24" ht="15.75">
      <c r="A2" s="1674" t="s">
        <v>224</v>
      </c>
      <c r="B2" s="1674"/>
      <c r="C2" s="1674"/>
      <c r="D2" s="1674"/>
      <c r="E2" s="1674" t="s">
        <v>342</v>
      </c>
      <c r="F2" s="1674"/>
      <c r="G2" s="1674"/>
      <c r="H2" s="345"/>
      <c r="I2" s="1674" t="s">
        <v>40</v>
      </c>
      <c r="J2" s="1674"/>
      <c r="K2" s="1674"/>
      <c r="L2" s="1674"/>
      <c r="M2" s="346"/>
      <c r="N2" s="1674" t="s">
        <v>41</v>
      </c>
      <c r="O2" s="1674"/>
    </row>
    <row r="3" spans="1:24" ht="15.75">
      <c r="A3" s="693">
        <v>1</v>
      </c>
      <c r="B3" s="346" t="s">
        <v>140</v>
      </c>
      <c r="C3" s="138">
        <v>900</v>
      </c>
      <c r="D3" s="1674"/>
      <c r="E3" s="693">
        <v>1</v>
      </c>
      <c r="F3" s="346" t="s">
        <v>140</v>
      </c>
      <c r="G3" s="138">
        <v>1095.56</v>
      </c>
      <c r="H3" s="346"/>
      <c r="I3" s="693">
        <v>1</v>
      </c>
      <c r="J3" s="346" t="s">
        <v>140</v>
      </c>
      <c r="K3" s="138">
        <v>768.15</v>
      </c>
      <c r="L3" s="1674"/>
      <c r="M3" s="346">
        <v>1</v>
      </c>
      <c r="N3" s="346" t="s">
        <v>140</v>
      </c>
      <c r="O3" s="138">
        <v>610</v>
      </c>
      <c r="P3" s="377">
        <f>C3+G3+K3+O3</f>
        <v>3373.71</v>
      </c>
      <c r="Q3" s="406">
        <f>C3+G3+K3+O3</f>
        <v>3373.71</v>
      </c>
      <c r="R3" s="347"/>
      <c r="S3" s="347"/>
      <c r="T3" s="347"/>
      <c r="U3" s="347"/>
      <c r="V3" s="347"/>
      <c r="W3" s="347"/>
      <c r="X3" s="347"/>
    </row>
    <row r="4" spans="1:24" ht="15.75">
      <c r="A4" s="693">
        <v>2</v>
      </c>
      <c r="B4" s="346" t="s">
        <v>293</v>
      </c>
      <c r="C4" s="348"/>
      <c r="D4" s="1674"/>
      <c r="E4" s="693">
        <v>2</v>
      </c>
      <c r="F4" s="346" t="s">
        <v>293</v>
      </c>
      <c r="G4" s="348"/>
      <c r="H4" s="346"/>
      <c r="I4" s="693">
        <v>2</v>
      </c>
      <c r="J4" s="346" t="s">
        <v>293</v>
      </c>
      <c r="K4" s="348"/>
      <c r="L4" s="1674"/>
      <c r="M4" s="346">
        <v>2</v>
      </c>
      <c r="N4" s="346" t="s">
        <v>293</v>
      </c>
      <c r="O4" s="348"/>
      <c r="P4" s="377">
        <f t="shared" ref="P4:P67" si="0">C4+G4+K4+O4</f>
        <v>0</v>
      </c>
      <c r="Q4" s="133"/>
      <c r="R4" s="409"/>
      <c r="S4" s="409"/>
      <c r="T4" s="135"/>
      <c r="U4" s="240"/>
      <c r="V4" s="133"/>
      <c r="W4" s="134"/>
      <c r="X4" s="133"/>
    </row>
    <row r="5" spans="1:24" ht="15.75">
      <c r="A5" s="693">
        <v>3</v>
      </c>
      <c r="B5" s="346" t="s">
        <v>142</v>
      </c>
      <c r="C5" s="349"/>
      <c r="D5" s="1674"/>
      <c r="E5" s="693">
        <v>3</v>
      </c>
      <c r="F5" s="346" t="s">
        <v>142</v>
      </c>
      <c r="G5" s="349"/>
      <c r="H5" s="346"/>
      <c r="I5" s="693">
        <v>3</v>
      </c>
      <c r="J5" s="346" t="s">
        <v>142</v>
      </c>
      <c r="K5" s="349"/>
      <c r="L5" s="1674"/>
      <c r="M5" s="346">
        <v>3</v>
      </c>
      <c r="N5" s="346" t="s">
        <v>147</v>
      </c>
      <c r="O5" s="349"/>
      <c r="P5" s="377">
        <f t="shared" si="0"/>
        <v>0</v>
      </c>
      <c r="Q5" s="133"/>
      <c r="R5" s="409"/>
      <c r="S5" s="409"/>
      <c r="T5" s="135"/>
      <c r="U5" s="137"/>
      <c r="V5" s="133"/>
      <c r="W5" s="134"/>
      <c r="X5" s="133"/>
    </row>
    <row r="6" spans="1:24" ht="15.75">
      <c r="A6" s="693">
        <v>4</v>
      </c>
      <c r="B6" s="345" t="s">
        <v>14</v>
      </c>
      <c r="C6" s="311">
        <f>SUM(C3:C5)</f>
        <v>900</v>
      </c>
      <c r="D6" s="1674"/>
      <c r="E6" s="693">
        <v>4</v>
      </c>
      <c r="F6" s="345" t="s">
        <v>14</v>
      </c>
      <c r="G6" s="311">
        <f>SUM(G3:G5)</f>
        <v>1095.56</v>
      </c>
      <c r="H6" s="346"/>
      <c r="I6" s="693">
        <v>4</v>
      </c>
      <c r="J6" s="345" t="s">
        <v>14</v>
      </c>
      <c r="K6" s="311">
        <f>SUM(K3:K5)</f>
        <v>768.15</v>
      </c>
      <c r="L6" s="1674"/>
      <c r="M6" s="346">
        <v>4</v>
      </c>
      <c r="N6" s="345" t="s">
        <v>14</v>
      </c>
      <c r="O6" s="311">
        <f>SUM(O3:O5)</f>
        <v>610</v>
      </c>
      <c r="P6" s="377">
        <f t="shared" si="0"/>
        <v>3373.71</v>
      </c>
      <c r="Q6" s="133"/>
      <c r="R6" s="409"/>
      <c r="S6" s="409"/>
      <c r="T6" s="135"/>
      <c r="U6" s="137"/>
      <c r="V6" s="133"/>
      <c r="W6" s="134"/>
      <c r="X6" s="133"/>
    </row>
    <row r="7" spans="1:24" ht="15.75">
      <c r="A7" s="1674" t="s">
        <v>131</v>
      </c>
      <c r="B7" s="1674"/>
      <c r="C7" s="1674"/>
      <c r="D7" s="1674"/>
      <c r="E7" s="1674" t="s">
        <v>131</v>
      </c>
      <c r="F7" s="1674"/>
      <c r="G7" s="1674"/>
      <c r="H7" s="691"/>
      <c r="I7" s="1674" t="s">
        <v>131</v>
      </c>
      <c r="J7" s="1674"/>
      <c r="K7" s="1674"/>
      <c r="L7" s="1674"/>
      <c r="M7" s="1674" t="s">
        <v>131</v>
      </c>
      <c r="N7" s="1674"/>
      <c r="O7" s="1674"/>
      <c r="P7" s="377">
        <f t="shared" si="0"/>
        <v>0</v>
      </c>
      <c r="Q7" s="133"/>
      <c r="R7" s="409"/>
      <c r="S7" s="410"/>
      <c r="T7" s="135"/>
      <c r="U7" s="137"/>
      <c r="V7" s="133"/>
      <c r="W7" s="134"/>
      <c r="X7" s="133"/>
    </row>
    <row r="8" spans="1:24" ht="15.75">
      <c r="A8" s="693">
        <v>6</v>
      </c>
      <c r="B8" s="346" t="s">
        <v>141</v>
      </c>
      <c r="C8" s="138"/>
      <c r="D8" s="1674"/>
      <c r="E8" s="693">
        <v>6</v>
      </c>
      <c r="F8" s="346" t="s">
        <v>141</v>
      </c>
      <c r="G8" s="138"/>
      <c r="H8" s="346"/>
      <c r="I8" s="693">
        <v>6</v>
      </c>
      <c r="J8" s="346" t="s">
        <v>141</v>
      </c>
      <c r="K8" s="138"/>
      <c r="L8" s="1674"/>
      <c r="M8" s="346">
        <v>6</v>
      </c>
      <c r="N8" s="346" t="s">
        <v>141</v>
      </c>
      <c r="O8" s="138"/>
      <c r="P8" s="377">
        <f t="shared" si="0"/>
        <v>0</v>
      </c>
      <c r="Q8" s="133"/>
      <c r="R8" s="409"/>
      <c r="S8" s="409"/>
      <c r="T8" s="135"/>
      <c r="U8" s="137"/>
      <c r="V8" s="133"/>
      <c r="W8" s="134"/>
      <c r="X8" s="133"/>
    </row>
    <row r="9" spans="1:24" ht="15.75">
      <c r="A9" s="693">
        <v>7</v>
      </c>
      <c r="B9" s="403" t="s">
        <v>341</v>
      </c>
      <c r="C9" s="350">
        <v>140.79</v>
      </c>
      <c r="D9" s="1674"/>
      <c r="E9" s="693">
        <v>7</v>
      </c>
      <c r="F9" s="403" t="s">
        <v>341</v>
      </c>
      <c r="G9" s="138">
        <v>171.83</v>
      </c>
      <c r="H9" s="346"/>
      <c r="I9" s="693">
        <v>7</v>
      </c>
      <c r="J9" s="403" t="s">
        <v>341</v>
      </c>
      <c r="K9" s="350">
        <v>102.04</v>
      </c>
      <c r="L9" s="1674"/>
      <c r="M9" s="346">
        <v>7</v>
      </c>
      <c r="N9" s="403" t="s">
        <v>341</v>
      </c>
      <c r="O9" s="350">
        <v>80.61</v>
      </c>
      <c r="P9" s="377">
        <f>C9+G9+K9+O9</f>
        <v>495.27000000000004</v>
      </c>
      <c r="Q9" s="133"/>
      <c r="R9" s="409">
        <f>C9+G9+O9+K9</f>
        <v>495.27000000000004</v>
      </c>
      <c r="S9" s="409"/>
      <c r="T9" s="135"/>
      <c r="U9" s="137"/>
      <c r="V9" s="133"/>
      <c r="W9" s="134"/>
      <c r="X9" s="133"/>
    </row>
    <row r="10" spans="1:24" ht="15.75">
      <c r="A10" s="693"/>
      <c r="B10" s="346" t="s">
        <v>253</v>
      </c>
      <c r="C10" s="350"/>
      <c r="D10" s="1674"/>
      <c r="E10" s="693"/>
      <c r="F10" s="346" t="s">
        <v>254</v>
      </c>
      <c r="G10" s="350"/>
      <c r="H10" s="346"/>
      <c r="I10" s="693"/>
      <c r="J10" s="346" t="s">
        <v>254</v>
      </c>
      <c r="K10" s="350"/>
      <c r="L10" s="1674"/>
      <c r="M10" s="346"/>
      <c r="N10" s="346" t="s">
        <v>254</v>
      </c>
      <c r="O10" s="350"/>
      <c r="P10" s="377">
        <f t="shared" si="0"/>
        <v>0</v>
      </c>
      <c r="Q10" s="403"/>
      <c r="R10" s="409"/>
      <c r="S10" s="409"/>
      <c r="T10" s="135"/>
      <c r="U10" s="137"/>
      <c r="V10" s="133"/>
      <c r="W10" s="134"/>
      <c r="X10" s="133"/>
    </row>
    <row r="11" spans="1:24" ht="15.75">
      <c r="A11" s="693">
        <v>8</v>
      </c>
      <c r="B11" s="346" t="s">
        <v>143</v>
      </c>
      <c r="C11" s="174"/>
      <c r="D11" s="1674"/>
      <c r="E11" s="693">
        <v>8</v>
      </c>
      <c r="F11" s="346" t="s">
        <v>143</v>
      </c>
      <c r="G11" s="351"/>
      <c r="H11" s="346"/>
      <c r="I11" s="693">
        <v>8</v>
      </c>
      <c r="J11" s="346" t="s">
        <v>143</v>
      </c>
      <c r="K11" s="174"/>
      <c r="L11" s="1674"/>
      <c r="M11" s="346">
        <v>8</v>
      </c>
      <c r="N11" s="346" t="s">
        <v>143</v>
      </c>
      <c r="O11" s="138"/>
      <c r="P11" s="377">
        <f t="shared" si="0"/>
        <v>0</v>
      </c>
      <c r="Q11" s="133"/>
      <c r="R11" s="409"/>
      <c r="S11" s="409"/>
      <c r="T11" s="135"/>
      <c r="U11" s="137"/>
      <c r="V11" s="133"/>
      <c r="W11" s="134"/>
      <c r="X11" s="133"/>
    </row>
    <row r="12" spans="1:24" ht="15.75">
      <c r="A12" s="693">
        <v>9</v>
      </c>
      <c r="B12" s="346" t="s">
        <v>144</v>
      </c>
      <c r="C12" s="138"/>
      <c r="D12" s="1674"/>
      <c r="E12" s="693">
        <v>9</v>
      </c>
      <c r="F12" s="346" t="s">
        <v>144</v>
      </c>
      <c r="G12" s="138"/>
      <c r="H12" s="346"/>
      <c r="I12" s="693">
        <v>9</v>
      </c>
      <c r="J12" s="346" t="s">
        <v>144</v>
      </c>
      <c r="K12" s="138"/>
      <c r="L12" s="1674"/>
      <c r="M12" s="346">
        <v>9</v>
      </c>
      <c r="N12" s="346" t="s">
        <v>144</v>
      </c>
      <c r="O12" s="138"/>
      <c r="P12" s="377">
        <f t="shared" si="0"/>
        <v>0</v>
      </c>
      <c r="Q12" s="133"/>
      <c r="R12" s="409"/>
      <c r="S12" s="409"/>
      <c r="T12" s="135"/>
      <c r="U12" s="137"/>
      <c r="V12" s="133"/>
      <c r="W12" s="134"/>
      <c r="X12" s="133"/>
    </row>
    <row r="13" spans="1:24" ht="15.75">
      <c r="A13" s="693">
        <v>10</v>
      </c>
      <c r="B13" s="346" t="s">
        <v>14</v>
      </c>
      <c r="C13" s="405">
        <f>SUM(C8:C12)</f>
        <v>140.79</v>
      </c>
      <c r="D13" s="1674"/>
      <c r="E13" s="693">
        <v>10</v>
      </c>
      <c r="F13" s="346" t="s">
        <v>14</v>
      </c>
      <c r="G13" s="405">
        <f>SUM(G8:G12)</f>
        <v>171.83</v>
      </c>
      <c r="H13" s="346"/>
      <c r="I13" s="693">
        <v>10</v>
      </c>
      <c r="J13" s="346" t="s">
        <v>14</v>
      </c>
      <c r="K13" s="405">
        <f>SUM(K8:K12)</f>
        <v>102.04</v>
      </c>
      <c r="L13" s="1674"/>
      <c r="M13" s="346">
        <v>10</v>
      </c>
      <c r="N13" s="346" t="s">
        <v>14</v>
      </c>
      <c r="O13" s="405">
        <f>SUM(O8:O12)</f>
        <v>80.61</v>
      </c>
      <c r="P13" s="377">
        <f t="shared" si="0"/>
        <v>495.27000000000004</v>
      </c>
      <c r="Q13" s="133"/>
      <c r="R13" s="409"/>
      <c r="S13" s="409"/>
      <c r="T13" s="135"/>
      <c r="U13" s="137"/>
      <c r="V13" s="133"/>
      <c r="W13" s="134"/>
      <c r="X13" s="133"/>
    </row>
    <row r="14" spans="1:24" ht="15.75">
      <c r="A14" s="693">
        <v>11</v>
      </c>
      <c r="B14" s="346" t="s">
        <v>145</v>
      </c>
      <c r="C14" s="695">
        <f>C6-C13</f>
        <v>759.21</v>
      </c>
      <c r="D14" s="1674"/>
      <c r="E14" s="693">
        <v>11</v>
      </c>
      <c r="F14" s="346" t="s">
        <v>145</v>
      </c>
      <c r="G14" s="695">
        <f>G6-G13</f>
        <v>923.7299999999999</v>
      </c>
      <c r="H14" s="346"/>
      <c r="I14" s="693">
        <v>11</v>
      </c>
      <c r="J14" s="346" t="s">
        <v>145</v>
      </c>
      <c r="K14" s="695">
        <f>K6-K13</f>
        <v>666.11</v>
      </c>
      <c r="L14" s="1674"/>
      <c r="M14" s="346">
        <v>11</v>
      </c>
      <c r="N14" s="346" t="s">
        <v>145</v>
      </c>
      <c r="O14" s="695">
        <f>O6-O13</f>
        <v>529.39</v>
      </c>
      <c r="P14" s="377">
        <f t="shared" si="0"/>
        <v>2878.44</v>
      </c>
      <c r="Q14" s="133"/>
      <c r="R14" s="409"/>
      <c r="S14" s="409"/>
      <c r="T14" s="135"/>
      <c r="U14" s="137"/>
      <c r="V14" s="133"/>
      <c r="W14" s="134"/>
      <c r="X14" s="133"/>
    </row>
    <row r="15" spans="1:24" ht="18" customHeight="1">
      <c r="A15" s="693"/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693"/>
      <c r="O15" s="693"/>
      <c r="P15" s="377">
        <f t="shared" si="0"/>
        <v>0</v>
      </c>
      <c r="Q15" s="133"/>
      <c r="R15" s="409"/>
      <c r="S15" s="409"/>
      <c r="T15" s="135"/>
      <c r="U15" s="137"/>
      <c r="V15" s="133"/>
      <c r="W15" s="134"/>
      <c r="X15" s="133"/>
    </row>
    <row r="16" spans="1:24" ht="15.75">
      <c r="A16" s="1673" t="s">
        <v>42</v>
      </c>
      <c r="B16" s="1673"/>
      <c r="C16" s="1673"/>
      <c r="D16" s="1674"/>
      <c r="E16" s="1674" t="s">
        <v>280</v>
      </c>
      <c r="F16" s="1674"/>
      <c r="G16" s="1674"/>
      <c r="H16" s="1674"/>
      <c r="I16" s="1673" t="s">
        <v>186</v>
      </c>
      <c r="J16" s="1673"/>
      <c r="K16" s="1673"/>
      <c r="L16" s="1674"/>
      <c r="M16" s="1673" t="s">
        <v>256</v>
      </c>
      <c r="N16" s="1673"/>
      <c r="O16" s="1673"/>
      <c r="P16" s="377">
        <f t="shared" si="0"/>
        <v>0</v>
      </c>
      <c r="Q16" s="133"/>
      <c r="R16" s="409"/>
      <c r="S16" s="409"/>
      <c r="T16" s="135"/>
      <c r="U16" s="137"/>
      <c r="V16" s="133"/>
      <c r="W16" s="134"/>
      <c r="X16" s="133"/>
    </row>
    <row r="17" spans="1:27" ht="15.75">
      <c r="A17" s="346">
        <v>1</v>
      </c>
      <c r="B17" s="346" t="s">
        <v>140</v>
      </c>
      <c r="C17" s="138">
        <v>681.73</v>
      </c>
      <c r="D17" s="1674"/>
      <c r="E17" s="693">
        <v>1</v>
      </c>
      <c r="F17" s="346" t="s">
        <v>140</v>
      </c>
      <c r="G17" s="138">
        <v>460</v>
      </c>
      <c r="H17" s="1674"/>
      <c r="I17" s="693">
        <v>1</v>
      </c>
      <c r="J17" s="346" t="s">
        <v>140</v>
      </c>
      <c r="K17" s="138">
        <v>705.19</v>
      </c>
      <c r="L17" s="1674"/>
      <c r="M17" s="346">
        <v>1</v>
      </c>
      <c r="N17" s="346" t="s">
        <v>140</v>
      </c>
      <c r="O17" s="138">
        <v>360</v>
      </c>
      <c r="P17" s="377">
        <f t="shared" si="0"/>
        <v>2206.92</v>
      </c>
      <c r="Q17" s="406">
        <f>C17+G17+K17+O17</f>
        <v>2206.92</v>
      </c>
      <c r="R17" s="409"/>
      <c r="S17" s="409"/>
      <c r="T17" s="136"/>
      <c r="U17" s="137"/>
      <c r="V17" s="133"/>
      <c r="W17" s="134"/>
      <c r="X17" s="133"/>
    </row>
    <row r="18" spans="1:27" ht="15.75">
      <c r="A18" s="346">
        <v>2</v>
      </c>
      <c r="B18" s="346" t="s">
        <v>293</v>
      </c>
      <c r="C18" s="348"/>
      <c r="D18" s="1674"/>
      <c r="E18" s="693">
        <v>2</v>
      </c>
      <c r="F18" s="346" t="s">
        <v>293</v>
      </c>
      <c r="G18" s="348"/>
      <c r="H18" s="1674"/>
      <c r="I18" s="693">
        <v>2</v>
      </c>
      <c r="J18" s="346" t="s">
        <v>293</v>
      </c>
      <c r="K18" s="348"/>
      <c r="L18" s="1674"/>
      <c r="M18" s="346">
        <v>2</v>
      </c>
      <c r="N18" s="346" t="s">
        <v>293</v>
      </c>
      <c r="O18" s="348"/>
      <c r="P18" s="377">
        <f t="shared" si="0"/>
        <v>0</v>
      </c>
      <c r="Q18" s="139"/>
      <c r="R18" s="409"/>
      <c r="S18" s="409"/>
      <c r="T18" s="145"/>
      <c r="U18" s="136"/>
      <c r="V18" s="137"/>
      <c r="W18" s="134"/>
      <c r="X18" s="145"/>
    </row>
    <row r="19" spans="1:27" ht="15.75">
      <c r="A19" s="346">
        <v>3</v>
      </c>
      <c r="B19" s="346" t="s">
        <v>255</v>
      </c>
      <c r="C19" s="349"/>
      <c r="D19" s="1674"/>
      <c r="E19" s="693">
        <v>3</v>
      </c>
      <c r="F19" s="346" t="s">
        <v>142</v>
      </c>
      <c r="G19" s="349"/>
      <c r="H19" s="1674"/>
      <c r="I19" s="693">
        <v>3</v>
      </c>
      <c r="J19" s="346" t="s">
        <v>255</v>
      </c>
      <c r="K19" s="349"/>
      <c r="L19" s="1674"/>
      <c r="M19" s="346">
        <v>3</v>
      </c>
      <c r="N19" s="346" t="s">
        <v>142</v>
      </c>
      <c r="O19" s="349"/>
      <c r="P19" s="377">
        <f t="shared" si="0"/>
        <v>0</v>
      </c>
      <c r="Q19" s="139"/>
      <c r="R19" s="409"/>
      <c r="S19" s="409"/>
      <c r="T19" s="135"/>
      <c r="U19" s="137"/>
      <c r="V19" s="133"/>
      <c r="W19" s="134"/>
      <c r="X19" s="133"/>
    </row>
    <row r="20" spans="1:27" ht="15.75">
      <c r="A20" s="346">
        <v>4</v>
      </c>
      <c r="B20" s="345" t="s">
        <v>14</v>
      </c>
      <c r="C20" s="311">
        <f>SUM(C17:C19)</f>
        <v>681.73</v>
      </c>
      <c r="D20" s="1674"/>
      <c r="E20" s="693">
        <v>4</v>
      </c>
      <c r="F20" s="345" t="s">
        <v>14</v>
      </c>
      <c r="G20" s="311">
        <f>SUM(G17:G19)</f>
        <v>460</v>
      </c>
      <c r="H20" s="1674"/>
      <c r="I20" s="693">
        <v>4</v>
      </c>
      <c r="J20" s="345" t="s">
        <v>14</v>
      </c>
      <c r="K20" s="311">
        <f>SUM(K17:K19)</f>
        <v>705.19</v>
      </c>
      <c r="L20" s="1674"/>
      <c r="M20" s="346">
        <v>4</v>
      </c>
      <c r="N20" s="345" t="s">
        <v>14</v>
      </c>
      <c r="O20" s="311">
        <f>SUM(O17:O19)</f>
        <v>360</v>
      </c>
      <c r="P20" s="377">
        <f t="shared" si="0"/>
        <v>2206.92</v>
      </c>
      <c r="Q20" s="133"/>
      <c r="R20" s="409"/>
      <c r="S20" s="409"/>
      <c r="T20" s="135"/>
      <c r="U20" s="137"/>
      <c r="V20" s="133"/>
      <c r="W20" s="134"/>
      <c r="X20" s="133"/>
    </row>
    <row r="21" spans="1:27" ht="15.75">
      <c r="A21" s="1674" t="s">
        <v>131</v>
      </c>
      <c r="B21" s="1674"/>
      <c r="C21" s="1674"/>
      <c r="D21" s="1674"/>
      <c r="E21" s="1674" t="s">
        <v>131</v>
      </c>
      <c r="F21" s="1674"/>
      <c r="G21" s="1674"/>
      <c r="H21" s="1674"/>
      <c r="I21" s="1674" t="s">
        <v>131</v>
      </c>
      <c r="J21" s="1674"/>
      <c r="K21" s="1674"/>
      <c r="L21" s="1674"/>
      <c r="M21" s="1674" t="s">
        <v>131</v>
      </c>
      <c r="N21" s="1674"/>
      <c r="O21" s="1674"/>
      <c r="P21" s="377">
        <f t="shared" si="0"/>
        <v>0</v>
      </c>
      <c r="Q21" s="133"/>
      <c r="R21" s="409"/>
      <c r="S21" s="409"/>
      <c r="T21" s="135"/>
      <c r="U21" s="137"/>
      <c r="V21" s="133"/>
      <c r="W21" s="134"/>
      <c r="X21" s="133"/>
    </row>
    <row r="22" spans="1:27" ht="15.75">
      <c r="A22" s="693">
        <v>6</v>
      </c>
      <c r="B22" s="346" t="s">
        <v>141</v>
      </c>
      <c r="C22" s="138"/>
      <c r="D22" s="1674"/>
      <c r="E22" s="693">
        <v>6</v>
      </c>
      <c r="F22" s="346" t="s">
        <v>141</v>
      </c>
      <c r="G22" s="138"/>
      <c r="H22" s="1674"/>
      <c r="I22" s="693">
        <v>6</v>
      </c>
      <c r="J22" s="346" t="s">
        <v>141</v>
      </c>
      <c r="K22" s="174"/>
      <c r="L22" s="1674"/>
      <c r="M22" s="693">
        <v>6</v>
      </c>
      <c r="N22" s="346" t="s">
        <v>141</v>
      </c>
      <c r="O22" s="138"/>
      <c r="P22" s="377">
        <f t="shared" si="0"/>
        <v>0</v>
      </c>
      <c r="Q22" s="139"/>
      <c r="R22" s="409"/>
      <c r="S22" s="409"/>
      <c r="T22" s="136"/>
      <c r="U22" s="137"/>
      <c r="V22" s="133"/>
      <c r="W22" s="134"/>
      <c r="X22" s="133"/>
    </row>
    <row r="23" spans="1:27" ht="15.75">
      <c r="A23" s="693">
        <v>7</v>
      </c>
      <c r="B23" s="403" t="s">
        <v>341</v>
      </c>
      <c r="C23" s="350">
        <v>85.04</v>
      </c>
      <c r="D23" s="1674"/>
      <c r="E23" s="693">
        <v>7</v>
      </c>
      <c r="F23" s="403" t="s">
        <v>341</v>
      </c>
      <c r="G23" s="350">
        <v>54.34</v>
      </c>
      <c r="H23" s="1674"/>
      <c r="I23" s="693">
        <v>7</v>
      </c>
      <c r="J23" s="403" t="s">
        <v>341</v>
      </c>
      <c r="K23" s="352">
        <v>85.89</v>
      </c>
      <c r="L23" s="1674"/>
      <c r="M23" s="693">
        <v>7</v>
      </c>
      <c r="N23" s="403" t="s">
        <v>341</v>
      </c>
      <c r="O23" s="138">
        <v>25.1</v>
      </c>
      <c r="P23" s="377">
        <f t="shared" si="0"/>
        <v>250.36999999999998</v>
      </c>
      <c r="Q23" s="133"/>
      <c r="R23" s="409">
        <f>C23+G23+O23+K23</f>
        <v>250.37</v>
      </c>
      <c r="S23" s="409"/>
      <c r="T23" s="145"/>
      <c r="U23" s="136"/>
      <c r="V23" s="136"/>
      <c r="W23" s="134"/>
      <c r="X23" s="136"/>
    </row>
    <row r="24" spans="1:27" ht="15.75">
      <c r="A24" s="693"/>
      <c r="B24" s="346" t="s">
        <v>254</v>
      </c>
      <c r="C24" s="350"/>
      <c r="D24" s="1674"/>
      <c r="E24" s="693"/>
      <c r="F24" s="346" t="s">
        <v>254</v>
      </c>
      <c r="G24" s="350"/>
      <c r="H24" s="1674"/>
      <c r="I24" s="693"/>
      <c r="J24" s="346" t="s">
        <v>254</v>
      </c>
      <c r="K24" s="350"/>
      <c r="L24" s="1674"/>
      <c r="M24" s="693"/>
      <c r="N24" s="346" t="s">
        <v>254</v>
      </c>
      <c r="O24" s="138"/>
      <c r="P24" s="377">
        <f t="shared" si="0"/>
        <v>0</v>
      </c>
      <c r="Q24" s="133"/>
      <c r="R24" s="409"/>
      <c r="S24" s="409"/>
      <c r="T24" s="145"/>
      <c r="U24" s="136"/>
      <c r="V24" s="136"/>
      <c r="W24" s="134"/>
      <c r="X24" s="136"/>
    </row>
    <row r="25" spans="1:27" ht="15.75">
      <c r="A25" s="693">
        <v>8</v>
      </c>
      <c r="B25" s="346" t="s">
        <v>143</v>
      </c>
      <c r="C25" s="138"/>
      <c r="D25" s="1674"/>
      <c r="E25" s="693">
        <v>8</v>
      </c>
      <c r="F25" s="346" t="s">
        <v>143</v>
      </c>
      <c r="G25" s="174"/>
      <c r="H25" s="1674"/>
      <c r="I25" s="693">
        <v>8</v>
      </c>
      <c r="J25" s="346" t="s">
        <v>143</v>
      </c>
      <c r="K25" s="351"/>
      <c r="L25" s="1674"/>
      <c r="M25" s="693">
        <v>8</v>
      </c>
      <c r="N25" s="346" t="s">
        <v>143</v>
      </c>
      <c r="O25" s="174"/>
      <c r="P25" s="377">
        <f t="shared" si="0"/>
        <v>0</v>
      </c>
      <c r="Q25" s="140"/>
      <c r="R25" s="409"/>
      <c r="S25" s="409"/>
      <c r="T25" s="136"/>
      <c r="U25" s="136"/>
      <c r="V25" s="136"/>
      <c r="W25" s="134"/>
      <c r="X25" s="136"/>
    </row>
    <row r="26" spans="1:27" ht="15.75">
      <c r="A26" s="693">
        <v>9</v>
      </c>
      <c r="B26" s="346" t="s">
        <v>144</v>
      </c>
      <c r="C26" s="138"/>
      <c r="D26" s="1674"/>
      <c r="E26" s="693">
        <v>9</v>
      </c>
      <c r="F26" s="346" t="s">
        <v>144</v>
      </c>
      <c r="G26" s="138"/>
      <c r="H26" s="1674"/>
      <c r="I26" s="693">
        <v>9</v>
      </c>
      <c r="J26" s="346" t="s">
        <v>144</v>
      </c>
      <c r="K26" s="138"/>
      <c r="L26" s="1674"/>
      <c r="M26" s="693">
        <v>9</v>
      </c>
      <c r="N26" s="346" t="s">
        <v>144</v>
      </c>
      <c r="O26" s="174"/>
      <c r="P26" s="377">
        <f t="shared" si="0"/>
        <v>0</v>
      </c>
      <c r="Q26" s="141"/>
      <c r="R26" s="409"/>
      <c r="S26" s="409"/>
      <c r="T26" s="136"/>
      <c r="U26" s="136"/>
      <c r="V26" s="136"/>
      <c r="W26" s="134"/>
      <c r="X26" s="136"/>
    </row>
    <row r="27" spans="1:27" ht="15.75">
      <c r="A27" s="693">
        <v>10</v>
      </c>
      <c r="B27" s="346" t="s">
        <v>14</v>
      </c>
      <c r="C27" s="405">
        <f>SUM(C22:C26)</f>
        <v>85.04</v>
      </c>
      <c r="D27" s="1674"/>
      <c r="E27" s="693">
        <v>10</v>
      </c>
      <c r="F27" s="346" t="s">
        <v>14</v>
      </c>
      <c r="G27" s="405">
        <f>SUM(G22:G26)</f>
        <v>54.34</v>
      </c>
      <c r="H27" s="1674"/>
      <c r="I27" s="693">
        <v>10</v>
      </c>
      <c r="J27" s="346" t="s">
        <v>14</v>
      </c>
      <c r="K27" s="405">
        <f>SUM(K22:K26)</f>
        <v>85.89</v>
      </c>
      <c r="L27" s="1674"/>
      <c r="M27" s="693">
        <v>10</v>
      </c>
      <c r="N27" s="346" t="s">
        <v>14</v>
      </c>
      <c r="O27" s="405">
        <f>SUM(O22:O26)</f>
        <v>25.1</v>
      </c>
      <c r="P27" s="377">
        <f t="shared" si="0"/>
        <v>250.36999999999998</v>
      </c>
      <c r="Q27" s="133"/>
      <c r="R27" s="409"/>
      <c r="S27" s="409"/>
      <c r="T27" s="136"/>
      <c r="U27" s="136"/>
      <c r="V27" s="136"/>
      <c r="W27" s="136"/>
      <c r="X27" s="136"/>
    </row>
    <row r="28" spans="1:27" ht="15.75">
      <c r="A28" s="693">
        <v>11</v>
      </c>
      <c r="B28" s="346" t="s">
        <v>145</v>
      </c>
      <c r="C28" s="695">
        <f>C20-C27</f>
        <v>596.69000000000005</v>
      </c>
      <c r="D28" s="1674"/>
      <c r="E28" s="693">
        <v>11</v>
      </c>
      <c r="F28" s="346" t="s">
        <v>145</v>
      </c>
      <c r="G28" s="695">
        <f>G20-G27</f>
        <v>405.65999999999997</v>
      </c>
      <c r="H28" s="1674"/>
      <c r="I28" s="693">
        <v>11</v>
      </c>
      <c r="J28" s="346" t="s">
        <v>145</v>
      </c>
      <c r="K28" s="695">
        <f>K20-K27</f>
        <v>619.30000000000007</v>
      </c>
      <c r="L28" s="1674"/>
      <c r="M28" s="693">
        <v>11</v>
      </c>
      <c r="N28" s="346" t="s">
        <v>145</v>
      </c>
      <c r="O28" s="695">
        <f>O20-O27</f>
        <v>334.9</v>
      </c>
      <c r="P28" s="377">
        <f t="shared" si="0"/>
        <v>1956.5500000000002</v>
      </c>
      <c r="Q28" s="378"/>
      <c r="R28" s="353"/>
      <c r="S28" s="353"/>
      <c r="T28" s="353"/>
      <c r="U28" s="353"/>
      <c r="V28" s="354"/>
      <c r="W28" s="355"/>
      <c r="X28" s="355"/>
    </row>
    <row r="29" spans="1:27" ht="143.25" customHeight="1">
      <c r="A29" s="1676"/>
      <c r="B29" s="1676"/>
      <c r="C29" s="1676"/>
      <c r="D29" s="1676"/>
      <c r="E29" s="1676"/>
      <c r="F29" s="1676"/>
      <c r="G29" s="1676"/>
      <c r="H29" s="1676"/>
      <c r="I29" s="1676"/>
      <c r="J29" s="1676"/>
      <c r="K29" s="1676"/>
      <c r="L29" s="1676"/>
      <c r="M29" s="1676"/>
      <c r="N29" s="1676"/>
      <c r="O29" s="1676"/>
      <c r="P29" s="377">
        <f t="shared" si="0"/>
        <v>0</v>
      </c>
      <c r="Q29" s="379"/>
      <c r="R29" s="411"/>
      <c r="S29" s="412"/>
      <c r="T29" s="83"/>
      <c r="U29" s="83"/>
      <c r="V29" s="83"/>
      <c r="W29" s="83"/>
      <c r="X29" s="356"/>
    </row>
    <row r="30" spans="1:27" ht="15.75">
      <c r="A30" s="1673" t="s">
        <v>120</v>
      </c>
      <c r="B30" s="1673"/>
      <c r="C30" s="1673"/>
      <c r="D30" s="1674"/>
      <c r="E30" s="1672" t="s">
        <v>123</v>
      </c>
      <c r="F30" s="1672"/>
      <c r="G30" s="1672"/>
      <c r="H30" s="1674"/>
      <c r="I30" s="1673" t="s">
        <v>294</v>
      </c>
      <c r="J30" s="1673"/>
      <c r="K30" s="1673"/>
      <c r="L30" s="1674"/>
      <c r="M30" s="1673"/>
      <c r="N30" s="1673"/>
      <c r="O30" s="1673"/>
      <c r="P30" s="377"/>
      <c r="Q30" s="357"/>
      <c r="R30" s="413"/>
      <c r="S30" s="413"/>
    </row>
    <row r="31" spans="1:27" ht="15.75">
      <c r="A31" s="358">
        <v>1</v>
      </c>
      <c r="B31" s="359" t="s">
        <v>140</v>
      </c>
      <c r="C31" s="138">
        <v>702.4</v>
      </c>
      <c r="D31" s="1674"/>
      <c r="E31" s="352">
        <v>1</v>
      </c>
      <c r="F31" s="352" t="s">
        <v>140</v>
      </c>
      <c r="G31" s="138">
        <v>556.94000000000005</v>
      </c>
      <c r="H31" s="1674"/>
      <c r="I31" s="346">
        <v>1</v>
      </c>
      <c r="J31" s="346" t="s">
        <v>140</v>
      </c>
      <c r="K31" s="138">
        <v>507.95</v>
      </c>
      <c r="L31" s="1674"/>
      <c r="M31" s="346"/>
      <c r="N31" s="346"/>
      <c r="O31" s="138"/>
      <c r="P31" s="377"/>
      <c r="Q31" s="406">
        <f>C31+G31+K31+O31</f>
        <v>1767.2900000000002</v>
      </c>
      <c r="R31" s="413"/>
      <c r="S31" s="413"/>
      <c r="V31" s="356"/>
      <c r="X31" s="356"/>
      <c r="Z31" s="83"/>
    </row>
    <row r="32" spans="1:27" ht="15.75">
      <c r="A32" s="358">
        <v>2</v>
      </c>
      <c r="B32" s="346" t="s">
        <v>293</v>
      </c>
      <c r="C32" s="348"/>
      <c r="D32" s="1674"/>
      <c r="E32" s="352">
        <v>2</v>
      </c>
      <c r="F32" s="346" t="s">
        <v>293</v>
      </c>
      <c r="G32" s="348"/>
      <c r="H32" s="1674"/>
      <c r="I32" s="346">
        <v>2</v>
      </c>
      <c r="J32" s="346" t="s">
        <v>293</v>
      </c>
      <c r="K32" s="348"/>
      <c r="L32" s="1674"/>
      <c r="M32" s="346"/>
      <c r="N32" s="346"/>
      <c r="O32" s="348"/>
      <c r="P32" s="377"/>
      <c r="R32" s="413"/>
      <c r="S32" s="413"/>
      <c r="U32" s="356"/>
      <c r="Z32" s="83"/>
      <c r="AA32" s="360"/>
    </row>
    <row r="33" spans="1:26" ht="15.75">
      <c r="A33" s="358">
        <v>3</v>
      </c>
      <c r="B33" s="346" t="s">
        <v>255</v>
      </c>
      <c r="C33" s="349"/>
      <c r="D33" s="1674"/>
      <c r="E33" s="352">
        <v>3</v>
      </c>
      <c r="F33" s="352" t="s">
        <v>146</v>
      </c>
      <c r="G33" s="352"/>
      <c r="H33" s="1674"/>
      <c r="I33" s="346">
        <v>3</v>
      </c>
      <c r="J33" s="346" t="s">
        <v>142</v>
      </c>
      <c r="K33" s="349"/>
      <c r="L33" s="1674"/>
      <c r="M33" s="346"/>
      <c r="N33" s="346"/>
      <c r="O33" s="349"/>
      <c r="P33" s="377"/>
      <c r="R33" s="413"/>
      <c r="S33" s="413"/>
      <c r="Z33" s="83"/>
    </row>
    <row r="34" spans="1:26" ht="15.75">
      <c r="A34" s="358">
        <v>4</v>
      </c>
      <c r="B34" s="361" t="s">
        <v>14</v>
      </c>
      <c r="C34" s="415">
        <f>SUM(C31:C33)</f>
        <v>702.4</v>
      </c>
      <c r="D34" s="1674"/>
      <c r="E34" s="352">
        <v>4</v>
      </c>
      <c r="F34" s="362" t="s">
        <v>14</v>
      </c>
      <c r="G34" s="363">
        <f>SUM(G31:G33)</f>
        <v>556.94000000000005</v>
      </c>
      <c r="H34" s="1674"/>
      <c r="I34" s="346">
        <v>4</v>
      </c>
      <c r="J34" s="345" t="s">
        <v>14</v>
      </c>
      <c r="K34" s="311">
        <f>SUM(K31:K33)</f>
        <v>507.95</v>
      </c>
      <c r="L34" s="1674"/>
      <c r="M34" s="346"/>
      <c r="N34" s="345"/>
      <c r="O34" s="311"/>
      <c r="P34" s="377"/>
      <c r="R34" s="413"/>
      <c r="S34" s="413"/>
      <c r="T34" s="357"/>
      <c r="V34" s="1678"/>
      <c r="W34" s="1678"/>
      <c r="Z34" s="83"/>
    </row>
    <row r="35" spans="1:26" ht="15.75">
      <c r="A35" s="1677" t="s">
        <v>131</v>
      </c>
      <c r="B35" s="1677"/>
      <c r="C35" s="1677"/>
      <c r="D35" s="1674"/>
      <c r="E35" s="1672" t="s">
        <v>131</v>
      </c>
      <c r="F35" s="1672"/>
      <c r="G35" s="1672"/>
      <c r="H35" s="1674"/>
      <c r="I35" s="1674" t="s">
        <v>131</v>
      </c>
      <c r="J35" s="1674"/>
      <c r="K35" s="1674"/>
      <c r="L35" s="1674"/>
      <c r="M35" s="1674"/>
      <c r="N35" s="1674"/>
      <c r="O35" s="1674"/>
      <c r="P35" s="377"/>
      <c r="R35" s="413"/>
      <c r="S35" s="413"/>
      <c r="T35" s="357"/>
      <c r="Z35" s="83"/>
    </row>
    <row r="36" spans="1:26" ht="15.75">
      <c r="A36" s="358">
        <v>6</v>
      </c>
      <c r="B36" s="359" t="s">
        <v>141</v>
      </c>
      <c r="C36" s="138"/>
      <c r="D36" s="1674"/>
      <c r="E36" s="693">
        <v>6</v>
      </c>
      <c r="F36" s="352" t="s">
        <v>141</v>
      </c>
      <c r="G36" s="138"/>
      <c r="H36" s="1674"/>
      <c r="I36" s="693">
        <v>6</v>
      </c>
      <c r="J36" s="346" t="s">
        <v>141</v>
      </c>
      <c r="K36" s="138"/>
      <c r="L36" s="1674"/>
      <c r="M36" s="693"/>
      <c r="N36" s="346"/>
      <c r="O36" s="138"/>
      <c r="P36" s="377"/>
      <c r="R36" s="413"/>
      <c r="S36" s="413"/>
      <c r="V36" s="1679"/>
      <c r="W36" s="1680"/>
      <c r="Z36" s="83"/>
    </row>
    <row r="37" spans="1:26" ht="15.75">
      <c r="A37" s="358">
        <v>7</v>
      </c>
      <c r="B37" s="403" t="s">
        <v>341</v>
      </c>
      <c r="C37" s="138">
        <v>87.06</v>
      </c>
      <c r="D37" s="1674"/>
      <c r="E37" s="693">
        <v>7</v>
      </c>
      <c r="F37" s="403" t="s">
        <v>341</v>
      </c>
      <c r="G37" s="138">
        <v>71.41</v>
      </c>
      <c r="H37" s="1674"/>
      <c r="I37" s="693">
        <v>7</v>
      </c>
      <c r="J37" s="403" t="s">
        <v>341</v>
      </c>
      <c r="K37" s="138">
        <v>62.33</v>
      </c>
      <c r="L37" s="1674"/>
      <c r="M37" s="693"/>
      <c r="N37" s="403"/>
      <c r="O37" s="138"/>
      <c r="P37" s="377"/>
      <c r="R37" s="409">
        <f>C37+G37+O37+K37</f>
        <v>220.8</v>
      </c>
      <c r="S37" s="413"/>
      <c r="Z37" s="83"/>
    </row>
    <row r="38" spans="1:26" ht="15.75">
      <c r="A38" s="358"/>
      <c r="B38" s="346" t="s">
        <v>254</v>
      </c>
      <c r="C38" s="350"/>
      <c r="D38" s="1674"/>
      <c r="E38" s="693"/>
      <c r="F38" s="346" t="s">
        <v>254</v>
      </c>
      <c r="G38" s="350"/>
      <c r="H38" s="1674"/>
      <c r="I38" s="693"/>
      <c r="J38" s="346" t="s">
        <v>254</v>
      </c>
      <c r="K38" s="350"/>
      <c r="L38" s="1674"/>
      <c r="M38" s="693"/>
      <c r="N38" s="346"/>
      <c r="O38" s="350"/>
      <c r="P38" s="377"/>
      <c r="R38" s="413"/>
      <c r="S38" s="413"/>
      <c r="Z38" s="83"/>
    </row>
    <row r="39" spans="1:26" ht="15.75">
      <c r="A39" s="358">
        <v>8</v>
      </c>
      <c r="B39" s="359" t="s">
        <v>143</v>
      </c>
      <c r="C39" s="174"/>
      <c r="D39" s="1674"/>
      <c r="E39" s="693">
        <v>8</v>
      </c>
      <c r="F39" s="352" t="s">
        <v>143</v>
      </c>
      <c r="G39" s="366"/>
      <c r="H39" s="1674"/>
      <c r="I39" s="693">
        <v>8</v>
      </c>
      <c r="J39" s="346" t="s">
        <v>143</v>
      </c>
      <c r="K39" s="174"/>
      <c r="L39" s="1674"/>
      <c r="M39" s="693"/>
      <c r="N39" s="346"/>
      <c r="O39" s="174"/>
      <c r="P39" s="377"/>
      <c r="R39" s="413"/>
      <c r="S39" s="413"/>
      <c r="U39" s="498"/>
      <c r="Z39" s="367"/>
    </row>
    <row r="40" spans="1:26" ht="15.75">
      <c r="A40" s="358">
        <v>9</v>
      </c>
      <c r="B40" s="359" t="s">
        <v>144</v>
      </c>
      <c r="C40" s="138"/>
      <c r="D40" s="1674"/>
      <c r="E40" s="693">
        <v>9</v>
      </c>
      <c r="F40" s="352" t="s">
        <v>144</v>
      </c>
      <c r="G40" s="352"/>
      <c r="H40" s="1674"/>
      <c r="I40" s="693">
        <v>9</v>
      </c>
      <c r="J40" s="346" t="s">
        <v>144</v>
      </c>
      <c r="K40" s="138"/>
      <c r="L40" s="1674"/>
      <c r="M40" s="693"/>
      <c r="N40" s="346"/>
      <c r="O40" s="138"/>
      <c r="P40" s="377"/>
      <c r="R40" s="413"/>
      <c r="S40" s="413"/>
      <c r="U40" s="498">
        <v>2600000</v>
      </c>
      <c r="V40" s="1681"/>
      <c r="W40" s="1681"/>
      <c r="Z40" s="83"/>
    </row>
    <row r="41" spans="1:26" ht="15.75">
      <c r="A41" s="358">
        <v>10</v>
      </c>
      <c r="B41" s="359" t="s">
        <v>14</v>
      </c>
      <c r="C41" s="405">
        <f>SUM(C36:C40)</f>
        <v>87.06</v>
      </c>
      <c r="D41" s="1674"/>
      <c r="E41" s="693">
        <v>10</v>
      </c>
      <c r="F41" s="368" t="s">
        <v>14</v>
      </c>
      <c r="G41" s="405">
        <f>SUM(G36:G40)</f>
        <v>71.41</v>
      </c>
      <c r="H41" s="1674"/>
      <c r="I41" s="693">
        <v>10</v>
      </c>
      <c r="J41" s="346" t="s">
        <v>14</v>
      </c>
      <c r="K41" s="405">
        <f>SUM(K36:K40)</f>
        <v>62.33</v>
      </c>
      <c r="L41" s="1674"/>
      <c r="M41" s="693"/>
      <c r="N41" s="346"/>
      <c r="O41" s="405"/>
      <c r="P41" s="377"/>
      <c r="R41" s="413"/>
      <c r="S41" s="413"/>
      <c r="U41" s="498">
        <v>2206000</v>
      </c>
      <c r="Z41" s="83"/>
    </row>
    <row r="42" spans="1:26" ht="15.75">
      <c r="A42" s="358">
        <v>11</v>
      </c>
      <c r="B42" s="359" t="s">
        <v>145</v>
      </c>
      <c r="C42" s="698">
        <f>C34-C41</f>
        <v>615.33999999999992</v>
      </c>
      <c r="D42" s="1674"/>
      <c r="E42" s="693">
        <v>11</v>
      </c>
      <c r="F42" s="352" t="s">
        <v>145</v>
      </c>
      <c r="G42" s="696">
        <f>G34-G41</f>
        <v>485.53000000000009</v>
      </c>
      <c r="H42" s="1674"/>
      <c r="I42" s="693">
        <v>11</v>
      </c>
      <c r="J42" s="346" t="s">
        <v>145</v>
      </c>
      <c r="K42" s="697">
        <f>K34-K41</f>
        <v>445.62</v>
      </c>
      <c r="L42" s="1674"/>
      <c r="M42" s="693"/>
      <c r="N42" s="346"/>
      <c r="O42" s="518"/>
      <c r="P42" s="377"/>
      <c r="Q42" s="83"/>
      <c r="R42" s="413"/>
      <c r="S42" s="413"/>
      <c r="U42" s="498">
        <f>SUM(U40:U41)</f>
        <v>4806000</v>
      </c>
      <c r="Z42" s="83"/>
    </row>
    <row r="43" spans="1:26" ht="33" customHeight="1">
      <c r="A43" s="352"/>
      <c r="B43" s="352"/>
      <c r="C43" s="352"/>
      <c r="D43" s="352"/>
      <c r="E43" s="352"/>
      <c r="F43" s="352"/>
      <c r="G43" s="352"/>
      <c r="H43" s="352"/>
      <c r="I43" s="352"/>
      <c r="J43" s="352"/>
      <c r="K43" s="352"/>
      <c r="L43" s="352"/>
      <c r="M43" s="352"/>
      <c r="N43" s="352"/>
      <c r="O43" s="352"/>
      <c r="P43" s="377"/>
      <c r="R43" s="413"/>
      <c r="S43" s="413"/>
      <c r="U43" s="499"/>
      <c r="Z43" s="83"/>
    </row>
    <row r="44" spans="1:26" ht="26.25" customHeight="1">
      <c r="A44" s="1671" t="s">
        <v>303</v>
      </c>
      <c r="B44" s="1671"/>
      <c r="C44" s="1671"/>
      <c r="D44" s="690"/>
      <c r="E44" s="1671" t="s">
        <v>306</v>
      </c>
      <c r="F44" s="1671"/>
      <c r="G44" s="1671"/>
      <c r="H44" s="690"/>
      <c r="I44" s="1671" t="s">
        <v>328</v>
      </c>
      <c r="J44" s="1671"/>
      <c r="K44" s="1671"/>
      <c r="L44" s="376"/>
      <c r="M44" s="1671" t="s">
        <v>296</v>
      </c>
      <c r="N44" s="1671"/>
      <c r="O44" s="1671"/>
      <c r="P44" s="377">
        <f t="shared" si="0"/>
        <v>0</v>
      </c>
      <c r="R44" s="413"/>
      <c r="S44" s="413"/>
      <c r="T44" s="371"/>
    </row>
    <row r="45" spans="1:26" ht="15.75">
      <c r="A45" s="352">
        <v>1</v>
      </c>
      <c r="B45" s="352" t="s">
        <v>140</v>
      </c>
      <c r="C45" s="138">
        <v>642.22</v>
      </c>
      <c r="D45" s="352"/>
      <c r="E45" s="352">
        <v>1</v>
      </c>
      <c r="F45" s="352" t="s">
        <v>140</v>
      </c>
      <c r="G45" s="138">
        <v>579.26</v>
      </c>
      <c r="H45" s="352"/>
      <c r="I45" s="352">
        <v>1</v>
      </c>
      <c r="J45" s="352" t="s">
        <v>140</v>
      </c>
      <c r="K45" s="138">
        <v>520</v>
      </c>
      <c r="L45" s="404"/>
      <c r="M45" s="352">
        <v>1</v>
      </c>
      <c r="N45" s="352" t="s">
        <v>140</v>
      </c>
      <c r="O45" s="138">
        <v>541.48</v>
      </c>
      <c r="P45" s="377">
        <f t="shared" si="0"/>
        <v>2282.96</v>
      </c>
      <c r="Q45" s="406">
        <f>C45+G45+K45+O45</f>
        <v>2282.96</v>
      </c>
      <c r="R45" s="413"/>
      <c r="S45" s="413"/>
    </row>
    <row r="46" spans="1:26" ht="15.75">
      <c r="A46" s="352">
        <v>2</v>
      </c>
      <c r="B46" s="346" t="s">
        <v>293</v>
      </c>
      <c r="C46" s="348"/>
      <c r="D46" s="352"/>
      <c r="E46" s="352">
        <v>2</v>
      </c>
      <c r="F46" s="346" t="s">
        <v>293</v>
      </c>
      <c r="G46" s="348"/>
      <c r="H46" s="352"/>
      <c r="I46" s="352">
        <v>2</v>
      </c>
      <c r="J46" s="346" t="s">
        <v>293</v>
      </c>
      <c r="K46" s="348"/>
      <c r="L46" s="352"/>
      <c r="M46" s="352">
        <v>2</v>
      </c>
      <c r="N46" s="346" t="s">
        <v>293</v>
      </c>
      <c r="O46" s="348"/>
      <c r="P46" s="377">
        <f t="shared" si="0"/>
        <v>0</v>
      </c>
      <c r="R46" s="413"/>
      <c r="S46" s="413"/>
      <c r="T46" s="365"/>
    </row>
    <row r="47" spans="1:26" ht="15">
      <c r="A47" s="352">
        <v>3</v>
      </c>
      <c r="B47" s="352" t="s">
        <v>146</v>
      </c>
      <c r="C47" s="352"/>
      <c r="D47" s="352"/>
      <c r="E47" s="352">
        <v>3</v>
      </c>
      <c r="F47" s="352" t="s">
        <v>146</v>
      </c>
      <c r="G47" s="352"/>
      <c r="H47" s="352"/>
      <c r="I47" s="352">
        <v>3</v>
      </c>
      <c r="J47" s="352" t="s">
        <v>146</v>
      </c>
      <c r="K47" s="352"/>
      <c r="L47" s="352"/>
      <c r="M47" s="352">
        <v>3</v>
      </c>
      <c r="N47" s="352" t="s">
        <v>146</v>
      </c>
      <c r="O47" s="352"/>
      <c r="P47" s="377">
        <f t="shared" si="0"/>
        <v>0</v>
      </c>
      <c r="R47" s="413"/>
      <c r="S47" s="413"/>
    </row>
    <row r="48" spans="1:26" ht="15.75">
      <c r="A48" s="352">
        <v>4</v>
      </c>
      <c r="B48" s="362" t="s">
        <v>14</v>
      </c>
      <c r="C48" s="363">
        <f>SUM(C45:C47)</f>
        <v>642.22</v>
      </c>
      <c r="D48" s="352"/>
      <c r="E48" s="352">
        <v>4</v>
      </c>
      <c r="F48" s="362" t="s">
        <v>14</v>
      </c>
      <c r="G48" s="363">
        <f>SUM(G45:G47)</f>
        <v>579.26</v>
      </c>
      <c r="H48" s="352"/>
      <c r="I48" s="352">
        <v>4</v>
      </c>
      <c r="J48" s="362" t="s">
        <v>14</v>
      </c>
      <c r="K48" s="363">
        <f>SUM(K45:K47)</f>
        <v>520</v>
      </c>
      <c r="L48" s="363"/>
      <c r="M48" s="352">
        <v>4</v>
      </c>
      <c r="N48" s="362" t="s">
        <v>14</v>
      </c>
      <c r="O48" s="363">
        <f>SUM(O45:O47)</f>
        <v>541.48</v>
      </c>
      <c r="P48" s="377">
        <f t="shared" si="0"/>
        <v>2282.96</v>
      </c>
      <c r="R48" s="413"/>
      <c r="S48" s="413"/>
    </row>
    <row r="49" spans="1:26" ht="15.75">
      <c r="A49" s="1672" t="s">
        <v>131</v>
      </c>
      <c r="B49" s="1672"/>
      <c r="C49" s="1672"/>
      <c r="D49" s="690"/>
      <c r="E49" s="1672" t="s">
        <v>131</v>
      </c>
      <c r="F49" s="1672"/>
      <c r="G49" s="1672"/>
      <c r="H49" s="690"/>
      <c r="I49" s="1672" t="s">
        <v>131</v>
      </c>
      <c r="J49" s="1672"/>
      <c r="K49" s="1672"/>
      <c r="L49" s="375"/>
      <c r="M49" s="1672" t="s">
        <v>131</v>
      </c>
      <c r="N49" s="1672"/>
      <c r="O49" s="1672"/>
      <c r="P49" s="377">
        <f t="shared" si="0"/>
        <v>0</v>
      </c>
      <c r="R49" s="413"/>
      <c r="S49" s="413"/>
    </row>
    <row r="50" spans="1:26" ht="15.75">
      <c r="A50" s="693">
        <v>6</v>
      </c>
      <c r="B50" s="352" t="s">
        <v>141</v>
      </c>
      <c r="C50" s="364"/>
      <c r="D50" s="352"/>
      <c r="E50" s="693">
        <v>6</v>
      </c>
      <c r="F50" s="352" t="s">
        <v>141</v>
      </c>
      <c r="G50" s="138"/>
      <c r="H50" s="352"/>
      <c r="I50" s="693">
        <v>6</v>
      </c>
      <c r="J50" s="352" t="s">
        <v>141</v>
      </c>
      <c r="K50" s="138"/>
      <c r="L50" s="138"/>
      <c r="M50" s="693">
        <v>6</v>
      </c>
      <c r="N50" s="352" t="s">
        <v>141</v>
      </c>
      <c r="O50" s="138"/>
      <c r="P50" s="377">
        <f t="shared" si="0"/>
        <v>0</v>
      </c>
      <c r="R50" s="413"/>
      <c r="S50" s="413"/>
    </row>
    <row r="51" spans="1:26" ht="15.75">
      <c r="A51" s="693">
        <v>7</v>
      </c>
      <c r="B51" s="403" t="s">
        <v>341</v>
      </c>
      <c r="C51" s="138">
        <v>80.239999999999995</v>
      </c>
      <c r="D51" s="352"/>
      <c r="E51" s="693">
        <v>7</v>
      </c>
      <c r="F51" s="403" t="s">
        <v>341</v>
      </c>
      <c r="G51" s="138">
        <v>68.010000000000005</v>
      </c>
      <c r="H51" s="352"/>
      <c r="I51" s="693">
        <v>7</v>
      </c>
      <c r="J51" s="403" t="s">
        <v>341</v>
      </c>
      <c r="K51" s="138">
        <v>65.430000000000007</v>
      </c>
      <c r="L51" s="351"/>
      <c r="M51" s="693">
        <v>7</v>
      </c>
      <c r="N51" s="403" t="s">
        <v>341</v>
      </c>
      <c r="O51" s="138">
        <v>65.510000000000005</v>
      </c>
      <c r="P51" s="377">
        <f t="shared" si="0"/>
        <v>279.19</v>
      </c>
      <c r="R51" s="409">
        <f>C51+G51+O51+K51</f>
        <v>279.19</v>
      </c>
      <c r="S51" s="413"/>
    </row>
    <row r="52" spans="1:26" ht="15.75">
      <c r="A52" s="693"/>
      <c r="B52" s="346" t="s">
        <v>254</v>
      </c>
      <c r="C52" s="350"/>
      <c r="D52" s="352"/>
      <c r="E52" s="693"/>
      <c r="F52" s="346" t="s">
        <v>254</v>
      </c>
      <c r="G52" s="350"/>
      <c r="H52" s="352"/>
      <c r="I52" s="693"/>
      <c r="J52" s="346" t="s">
        <v>254</v>
      </c>
      <c r="K52" s="350"/>
      <c r="L52" s="350"/>
      <c r="M52" s="693"/>
      <c r="N52" s="346" t="s">
        <v>254</v>
      </c>
      <c r="O52" s="350"/>
      <c r="P52" s="377">
        <f t="shared" si="0"/>
        <v>0</v>
      </c>
      <c r="R52" s="413"/>
      <c r="S52" s="413"/>
    </row>
    <row r="53" spans="1:26" ht="15.75">
      <c r="A53" s="693">
        <v>8</v>
      </c>
      <c r="B53" s="352" t="s">
        <v>143</v>
      </c>
      <c r="C53" s="352"/>
      <c r="D53" s="352"/>
      <c r="E53" s="693">
        <v>8</v>
      </c>
      <c r="F53" s="352" t="s">
        <v>143</v>
      </c>
      <c r="G53" s="366"/>
      <c r="H53" s="352"/>
      <c r="I53" s="693">
        <v>8</v>
      </c>
      <c r="J53" s="352" t="s">
        <v>143</v>
      </c>
      <c r="K53" s="366"/>
      <c r="L53" s="366"/>
      <c r="M53" s="693">
        <v>8</v>
      </c>
      <c r="N53" s="352" t="s">
        <v>143</v>
      </c>
      <c r="O53" s="366"/>
      <c r="P53" s="377">
        <f t="shared" si="0"/>
        <v>0</v>
      </c>
      <c r="R53" s="413"/>
      <c r="S53" s="413"/>
    </row>
    <row r="54" spans="1:26" ht="15.75">
      <c r="A54" s="693">
        <v>9</v>
      </c>
      <c r="B54" s="352" t="s">
        <v>144</v>
      </c>
      <c r="C54" s="352"/>
      <c r="D54" s="352"/>
      <c r="E54" s="693">
        <v>9</v>
      </c>
      <c r="F54" s="352" t="s">
        <v>144</v>
      </c>
      <c r="G54" s="352"/>
      <c r="H54" s="352"/>
      <c r="I54" s="693">
        <v>9</v>
      </c>
      <c r="J54" s="352" t="s">
        <v>144</v>
      </c>
      <c r="K54" s="352"/>
      <c r="L54" s="352"/>
      <c r="M54" s="693">
        <v>9</v>
      </c>
      <c r="N54" s="352" t="s">
        <v>144</v>
      </c>
      <c r="O54" s="352"/>
      <c r="P54" s="377">
        <f t="shared" si="0"/>
        <v>0</v>
      </c>
      <c r="R54" s="413"/>
      <c r="S54" s="413"/>
    </row>
    <row r="55" spans="1:26" ht="15.75">
      <c r="A55" s="693">
        <v>10</v>
      </c>
      <c r="B55" s="368" t="s">
        <v>14</v>
      </c>
      <c r="C55" s="405">
        <f>SUM(C50:C54)</f>
        <v>80.239999999999995</v>
      </c>
      <c r="D55" s="352"/>
      <c r="E55" s="693">
        <v>10</v>
      </c>
      <c r="F55" s="368" t="s">
        <v>14</v>
      </c>
      <c r="G55" s="405">
        <f>SUM(G50:G54)</f>
        <v>68.010000000000005</v>
      </c>
      <c r="H55" s="352"/>
      <c r="I55" s="693">
        <v>10</v>
      </c>
      <c r="J55" s="368" t="s">
        <v>14</v>
      </c>
      <c r="K55" s="405">
        <f>SUM(K50:K54)</f>
        <v>65.430000000000007</v>
      </c>
      <c r="L55" s="369"/>
      <c r="M55" s="693">
        <v>10</v>
      </c>
      <c r="N55" s="368" t="s">
        <v>14</v>
      </c>
      <c r="O55" s="405">
        <f>SUM(O50:O54)</f>
        <v>65.510000000000005</v>
      </c>
      <c r="P55" s="377">
        <f t="shared" si="0"/>
        <v>279.19</v>
      </c>
      <c r="R55" s="413"/>
      <c r="S55" s="413"/>
    </row>
    <row r="56" spans="1:26" ht="15.75">
      <c r="A56" s="693">
        <v>11</v>
      </c>
      <c r="B56" s="352" t="s">
        <v>145</v>
      </c>
      <c r="C56" s="699">
        <f>C48-C55</f>
        <v>561.98</v>
      </c>
      <c r="D56" s="352"/>
      <c r="E56" s="693">
        <v>11</v>
      </c>
      <c r="F56" s="352" t="s">
        <v>145</v>
      </c>
      <c r="G56" s="696">
        <f>G48-G55</f>
        <v>511.25</v>
      </c>
      <c r="H56" s="352"/>
      <c r="I56" s="693">
        <v>11</v>
      </c>
      <c r="J56" s="352" t="s">
        <v>145</v>
      </c>
      <c r="K56" s="696">
        <f>K48-K55</f>
        <v>454.57</v>
      </c>
      <c r="L56" s="370"/>
      <c r="M56" s="693">
        <v>11</v>
      </c>
      <c r="N56" s="352" t="s">
        <v>145</v>
      </c>
      <c r="O56" s="696">
        <f>O48-O55</f>
        <v>475.97</v>
      </c>
      <c r="P56" s="377">
        <f t="shared" si="0"/>
        <v>2003.77</v>
      </c>
      <c r="R56" s="413"/>
      <c r="S56" s="413"/>
    </row>
    <row r="57" spans="1:26" ht="126.75" customHeight="1">
      <c r="A57" s="1675"/>
      <c r="B57" s="1675"/>
      <c r="C57" s="1675"/>
      <c r="D57" s="692"/>
      <c r="E57" s="1675"/>
      <c r="F57" s="1675"/>
      <c r="G57" s="1675"/>
      <c r="H57" s="692"/>
      <c r="L57" s="692"/>
      <c r="M57" s="1675"/>
      <c r="N57" s="1675"/>
      <c r="O57" s="1675"/>
      <c r="P57" s="377">
        <f t="shared" si="0"/>
        <v>0</v>
      </c>
      <c r="R57" s="413"/>
      <c r="S57" s="413"/>
    </row>
    <row r="58" spans="1:26" ht="15.75">
      <c r="A58" s="1671" t="s">
        <v>305</v>
      </c>
      <c r="B58" s="1671"/>
      <c r="C58" s="1671"/>
      <c r="E58" s="1671" t="s">
        <v>295</v>
      </c>
      <c r="F58" s="1671"/>
      <c r="G58" s="1671"/>
      <c r="I58" s="1671" t="s">
        <v>304</v>
      </c>
      <c r="J58" s="1671"/>
      <c r="K58" s="1671"/>
      <c r="M58" s="1671" t="s">
        <v>297</v>
      </c>
      <c r="N58" s="1671"/>
      <c r="O58" s="1671"/>
      <c r="P58" s="377">
        <f t="shared" si="0"/>
        <v>0</v>
      </c>
    </row>
    <row r="59" spans="1:26" ht="15.75">
      <c r="A59" s="352">
        <v>1</v>
      </c>
      <c r="B59" s="352" t="s">
        <v>140</v>
      </c>
      <c r="C59" s="138">
        <v>566.66999999999996</v>
      </c>
      <c r="E59" s="352">
        <v>1</v>
      </c>
      <c r="F59" s="352" t="s">
        <v>140</v>
      </c>
      <c r="G59" s="138">
        <v>566.66999999999996</v>
      </c>
      <c r="I59" s="352">
        <v>1</v>
      </c>
      <c r="J59" s="352" t="s">
        <v>140</v>
      </c>
      <c r="K59" s="138">
        <v>566.66999999999996</v>
      </c>
      <c r="M59" s="352">
        <v>1</v>
      </c>
      <c r="N59" s="352" t="s">
        <v>140</v>
      </c>
      <c r="O59" s="138">
        <v>566.66999999999996</v>
      </c>
      <c r="P59" s="377">
        <f>C59+G59+K59+O59</f>
        <v>2266.6799999999998</v>
      </c>
      <c r="Q59" s="406">
        <f>C59+G59+K59+O59</f>
        <v>2266.6799999999998</v>
      </c>
    </row>
    <row r="60" spans="1:26" ht="15.75">
      <c r="A60" s="352">
        <v>2</v>
      </c>
      <c r="B60" s="346" t="s">
        <v>293</v>
      </c>
      <c r="C60" s="348"/>
      <c r="E60" s="352">
        <v>2</v>
      </c>
      <c r="F60" s="346" t="s">
        <v>293</v>
      </c>
      <c r="G60" s="348"/>
      <c r="I60" s="352">
        <v>2</v>
      </c>
      <c r="J60" s="346" t="s">
        <v>293</v>
      </c>
      <c r="K60" s="348"/>
      <c r="M60" s="352">
        <v>2</v>
      </c>
      <c r="N60" s="346" t="s">
        <v>293</v>
      </c>
      <c r="O60" s="348"/>
      <c r="P60" s="377">
        <f t="shared" si="0"/>
        <v>0</v>
      </c>
    </row>
    <row r="61" spans="1:26" ht="15">
      <c r="A61" s="352">
        <v>3</v>
      </c>
      <c r="B61" s="352" t="s">
        <v>146</v>
      </c>
      <c r="C61" s="352"/>
      <c r="E61" s="352">
        <v>3</v>
      </c>
      <c r="F61" s="352" t="s">
        <v>146</v>
      </c>
      <c r="G61" s="352"/>
      <c r="I61" s="352">
        <v>3</v>
      </c>
      <c r="J61" s="352" t="s">
        <v>146</v>
      </c>
      <c r="K61" s="352"/>
      <c r="M61" s="352">
        <v>3</v>
      </c>
      <c r="N61" s="352" t="s">
        <v>146</v>
      </c>
      <c r="O61" s="352"/>
      <c r="P61" s="377">
        <f t="shared" si="0"/>
        <v>0</v>
      </c>
    </row>
    <row r="62" spans="1:26" ht="15.75">
      <c r="A62" s="352">
        <v>4</v>
      </c>
      <c r="B62" s="362" t="s">
        <v>14</v>
      </c>
      <c r="C62" s="363">
        <f>SUM(C59:C61)</f>
        <v>566.66999999999996</v>
      </c>
      <c r="D62" s="372"/>
      <c r="E62" s="352">
        <v>4</v>
      </c>
      <c r="F62" s="362" t="s">
        <v>14</v>
      </c>
      <c r="G62" s="363">
        <f>SUM(G59:G61)</f>
        <v>566.66999999999996</v>
      </c>
      <c r="H62" s="372"/>
      <c r="I62" s="352">
        <v>4</v>
      </c>
      <c r="J62" s="362" t="s">
        <v>14</v>
      </c>
      <c r="K62" s="363">
        <f>SUM(K59:K61)</f>
        <v>566.66999999999996</v>
      </c>
      <c r="L62" s="372"/>
      <c r="M62" s="352">
        <v>4</v>
      </c>
      <c r="N62" s="362" t="s">
        <v>14</v>
      </c>
      <c r="O62" s="363">
        <f>SUM(O59:O61)</f>
        <v>566.66999999999996</v>
      </c>
      <c r="P62" s="377">
        <f t="shared" si="0"/>
        <v>2266.6799999999998</v>
      </c>
    </row>
    <row r="63" spans="1:26" ht="16.5" customHeight="1">
      <c r="A63" s="1672" t="s">
        <v>131</v>
      </c>
      <c r="B63" s="1672"/>
      <c r="C63" s="1672"/>
      <c r="E63" s="1672" t="s">
        <v>131</v>
      </c>
      <c r="F63" s="1672"/>
      <c r="G63" s="1672"/>
      <c r="I63" s="1672" t="s">
        <v>131</v>
      </c>
      <c r="J63" s="1672"/>
      <c r="K63" s="1672"/>
      <c r="M63" s="1672" t="s">
        <v>131</v>
      </c>
      <c r="N63" s="1672"/>
      <c r="O63" s="1672"/>
      <c r="P63" s="377">
        <f t="shared" si="0"/>
        <v>0</v>
      </c>
      <c r="Q63" s="373"/>
      <c r="R63" s="118"/>
      <c r="S63" s="118"/>
      <c r="T63" s="118"/>
      <c r="U63" s="118"/>
      <c r="V63" s="118"/>
      <c r="W63" s="118"/>
      <c r="X63" s="118"/>
      <c r="Y63" s="118"/>
      <c r="Z63" s="374"/>
    </row>
    <row r="64" spans="1:26" ht="16.5" customHeight="1">
      <c r="A64" s="693">
        <v>6</v>
      </c>
      <c r="B64" s="352" t="s">
        <v>141</v>
      </c>
      <c r="C64" s="364"/>
      <c r="E64" s="693">
        <v>6</v>
      </c>
      <c r="F64" s="352" t="s">
        <v>141</v>
      </c>
      <c r="G64" s="364"/>
      <c r="I64" s="693">
        <v>6</v>
      </c>
      <c r="J64" s="352" t="s">
        <v>141</v>
      </c>
      <c r="K64" s="364"/>
      <c r="M64" s="693">
        <v>6</v>
      </c>
      <c r="N64" s="352" t="s">
        <v>141</v>
      </c>
      <c r="O64" s="364"/>
      <c r="P64" s="377">
        <f t="shared" si="0"/>
        <v>0</v>
      </c>
      <c r="Q64" s="373"/>
      <c r="R64" s="118"/>
      <c r="S64" s="118"/>
      <c r="T64" s="118"/>
      <c r="U64" s="118"/>
      <c r="V64" s="118"/>
      <c r="W64" s="118"/>
      <c r="X64" s="118"/>
      <c r="Y64" s="118"/>
      <c r="Z64" s="374"/>
    </row>
    <row r="65" spans="1:26" ht="16.5" customHeight="1">
      <c r="A65" s="693">
        <v>7</v>
      </c>
      <c r="B65" s="403" t="s">
        <v>341</v>
      </c>
      <c r="C65" s="694">
        <v>65.989999999999995</v>
      </c>
      <c r="E65" s="693">
        <v>7</v>
      </c>
      <c r="F65" s="403" t="s">
        <v>341</v>
      </c>
      <c r="G65" s="694">
        <v>47.67</v>
      </c>
      <c r="I65" s="693">
        <v>7</v>
      </c>
      <c r="J65" s="403" t="s">
        <v>341</v>
      </c>
      <c r="K65" s="694">
        <v>65.989999999999995</v>
      </c>
      <c r="M65" s="693">
        <v>7</v>
      </c>
      <c r="N65" s="403" t="s">
        <v>341</v>
      </c>
      <c r="O65" s="694">
        <v>65.989999999999995</v>
      </c>
      <c r="P65" s="377">
        <f t="shared" si="0"/>
        <v>245.64</v>
      </c>
      <c r="Q65" s="373"/>
      <c r="R65" s="135">
        <f>C65+G65+O65+K65</f>
        <v>245.64</v>
      </c>
      <c r="S65" s="118"/>
      <c r="T65" s="118"/>
      <c r="U65" s="118"/>
      <c r="V65" s="118"/>
      <c r="W65" s="118"/>
      <c r="X65" s="118"/>
      <c r="Y65" s="118"/>
      <c r="Z65" s="374"/>
    </row>
    <row r="66" spans="1:26" ht="16.5" customHeight="1">
      <c r="A66" s="693"/>
      <c r="B66" s="346" t="s">
        <v>254</v>
      </c>
      <c r="C66" s="350"/>
      <c r="E66" s="693"/>
      <c r="F66" s="346" t="s">
        <v>254</v>
      </c>
      <c r="G66" s="350"/>
      <c r="I66" s="693"/>
      <c r="J66" s="346" t="s">
        <v>254</v>
      </c>
      <c r="K66" s="350"/>
      <c r="M66" s="693"/>
      <c r="N66" s="346" t="s">
        <v>254</v>
      </c>
      <c r="O66" s="350"/>
      <c r="P66" s="377">
        <f t="shared" si="0"/>
        <v>0</v>
      </c>
      <c r="Q66" s="373"/>
      <c r="R66" s="118"/>
      <c r="S66" s="118"/>
      <c r="T66" s="118"/>
      <c r="U66" s="118"/>
      <c r="V66" s="118"/>
      <c r="W66" s="118"/>
      <c r="X66" s="118"/>
      <c r="Y66" s="118"/>
      <c r="Z66" s="374"/>
    </row>
    <row r="67" spans="1:26" ht="16.5" customHeight="1">
      <c r="A67" s="693">
        <v>8</v>
      </c>
      <c r="B67" s="352" t="s">
        <v>143</v>
      </c>
      <c r="C67" s="352"/>
      <c r="E67" s="693">
        <v>8</v>
      </c>
      <c r="F67" s="352" t="s">
        <v>143</v>
      </c>
      <c r="G67" s="352">
        <v>500</v>
      </c>
      <c r="I67" s="693">
        <v>8</v>
      </c>
      <c r="J67" s="352" t="s">
        <v>143</v>
      </c>
      <c r="K67" s="352"/>
      <c r="M67" s="693">
        <v>8</v>
      </c>
      <c r="N67" s="352" t="s">
        <v>143</v>
      </c>
      <c r="O67" s="352"/>
      <c r="P67" s="377">
        <f t="shared" si="0"/>
        <v>500</v>
      </c>
      <c r="Q67" s="373"/>
      <c r="R67" s="118"/>
      <c r="S67" s="118"/>
      <c r="T67" s="118"/>
      <c r="U67" s="118"/>
      <c r="V67" s="118"/>
      <c r="W67" s="118"/>
      <c r="X67" s="118"/>
      <c r="Y67" s="118"/>
      <c r="Z67" s="374"/>
    </row>
    <row r="68" spans="1:26" ht="16.5" customHeight="1">
      <c r="A68" s="693">
        <v>9</v>
      </c>
      <c r="B68" s="352" t="s">
        <v>144</v>
      </c>
      <c r="C68" s="352"/>
      <c r="E68" s="693">
        <v>9</v>
      </c>
      <c r="F68" s="352" t="s">
        <v>144</v>
      </c>
      <c r="G68" s="352"/>
      <c r="I68" s="693">
        <v>9</v>
      </c>
      <c r="J68" s="352" t="s">
        <v>144</v>
      </c>
      <c r="K68" s="352"/>
      <c r="M68" s="693">
        <v>9</v>
      </c>
      <c r="N68" s="352" t="s">
        <v>144</v>
      </c>
      <c r="O68" s="352"/>
      <c r="P68" s="377">
        <f t="shared" ref="P68" si="1">C68+G68+K68+O68</f>
        <v>0</v>
      </c>
      <c r="Q68" s="373"/>
      <c r="R68" s="118"/>
      <c r="S68" s="118"/>
      <c r="T68" s="118"/>
      <c r="U68" s="118"/>
      <c r="V68" s="118"/>
      <c r="W68" s="118"/>
      <c r="X68" s="118"/>
      <c r="Y68" s="118"/>
      <c r="Z68" s="374"/>
    </row>
    <row r="69" spans="1:26" ht="16.5" customHeight="1">
      <c r="A69" s="693">
        <v>10</v>
      </c>
      <c r="B69" s="368" t="s">
        <v>14</v>
      </c>
      <c r="C69" s="405">
        <f>SUM(C64:C68)</f>
        <v>65.989999999999995</v>
      </c>
      <c r="E69" s="693">
        <v>10</v>
      </c>
      <c r="F69" s="368" t="s">
        <v>14</v>
      </c>
      <c r="G69" s="405">
        <f>SUM(G64:G68)</f>
        <v>547.66999999999996</v>
      </c>
      <c r="I69" s="693">
        <v>10</v>
      </c>
      <c r="J69" s="368" t="s">
        <v>14</v>
      </c>
      <c r="K69" s="405">
        <f>SUM(K64:K68)</f>
        <v>65.989999999999995</v>
      </c>
      <c r="M69" s="693">
        <v>10</v>
      </c>
      <c r="N69" s="368" t="s">
        <v>14</v>
      </c>
      <c r="O69" s="405">
        <f>SUM(O64:O68)</f>
        <v>65.989999999999995</v>
      </c>
      <c r="P69" s="377">
        <f>C69+G69+K69+O69</f>
        <v>745.64</v>
      </c>
      <c r="Q69" s="373"/>
      <c r="R69" s="118"/>
      <c r="S69" s="118"/>
      <c r="T69" s="118"/>
      <c r="U69" s="118"/>
      <c r="V69" s="118"/>
      <c r="W69" s="118"/>
      <c r="X69" s="118"/>
      <c r="Y69" s="118"/>
      <c r="Z69" s="374"/>
    </row>
    <row r="70" spans="1:26" ht="16.5" customHeight="1">
      <c r="A70" s="693">
        <v>11</v>
      </c>
      <c r="B70" s="352" t="s">
        <v>145</v>
      </c>
      <c r="C70" s="696">
        <f>C62-C69</f>
        <v>500.67999999999995</v>
      </c>
      <c r="E70" s="693">
        <v>11</v>
      </c>
      <c r="F70" s="352" t="s">
        <v>145</v>
      </c>
      <c r="G70" s="696">
        <f>G62-G69</f>
        <v>19</v>
      </c>
      <c r="I70" s="693">
        <v>11</v>
      </c>
      <c r="J70" s="352" t="s">
        <v>145</v>
      </c>
      <c r="K70" s="696">
        <f>K62-K69</f>
        <v>500.67999999999995</v>
      </c>
      <c r="M70" s="693">
        <v>11</v>
      </c>
      <c r="N70" s="352" t="s">
        <v>145</v>
      </c>
      <c r="O70" s="696">
        <f>O62-O69</f>
        <v>500.67999999999995</v>
      </c>
      <c r="P70" s="377">
        <f>C70+G70+K70+O70</f>
        <v>1521.04</v>
      </c>
      <c r="Q70" s="373"/>
      <c r="R70" s="118"/>
      <c r="S70" s="118"/>
      <c r="T70" s="118"/>
      <c r="U70" s="118"/>
      <c r="V70" s="118"/>
      <c r="W70" s="118"/>
      <c r="X70" s="118"/>
      <c r="Y70" s="118"/>
      <c r="Z70" s="374"/>
    </row>
    <row r="71" spans="1:26" ht="26.25" customHeight="1">
      <c r="Q71" s="373"/>
      <c r="R71" s="118"/>
      <c r="S71" s="118"/>
      <c r="T71" s="118"/>
      <c r="U71" s="118"/>
      <c r="V71" s="118"/>
      <c r="W71" s="118"/>
      <c r="X71" s="118"/>
      <c r="Y71" s="118"/>
      <c r="Z71" s="374"/>
    </row>
    <row r="72" spans="1:26" ht="18.75" customHeight="1">
      <c r="A72" s="1671" t="s">
        <v>484</v>
      </c>
      <c r="B72" s="1671"/>
      <c r="C72" s="1671"/>
      <c r="E72" s="1671" t="s">
        <v>279</v>
      </c>
      <c r="F72" s="1671"/>
      <c r="G72" s="1671"/>
      <c r="I72" s="1671" t="s">
        <v>413</v>
      </c>
      <c r="J72" s="1671"/>
      <c r="K72" s="1671"/>
      <c r="Q72" s="373"/>
      <c r="R72" s="118"/>
      <c r="S72" s="118"/>
      <c r="T72" s="118"/>
      <c r="U72" s="118"/>
      <c r="V72" s="118"/>
      <c r="W72" s="118"/>
      <c r="X72" s="118"/>
      <c r="Y72" s="118"/>
      <c r="Z72" s="374"/>
    </row>
    <row r="73" spans="1:26" ht="18.75" customHeight="1">
      <c r="A73" s="352">
        <v>1</v>
      </c>
      <c r="B73" s="352" t="s">
        <v>140</v>
      </c>
      <c r="C73" s="138">
        <v>642.22</v>
      </c>
      <c r="E73" s="352">
        <v>1</v>
      </c>
      <c r="F73" s="352" t="s">
        <v>140</v>
      </c>
      <c r="G73" s="138">
        <v>500</v>
      </c>
      <c r="I73" s="352">
        <v>1</v>
      </c>
      <c r="J73" s="352" t="s">
        <v>140</v>
      </c>
      <c r="K73" s="138">
        <v>705.19</v>
      </c>
      <c r="P73" s="377"/>
      <c r="Q73" s="406">
        <f>C73+G73+K73+O73</f>
        <v>1847.41</v>
      </c>
      <c r="R73" s="118"/>
      <c r="S73" s="118"/>
      <c r="T73" s="118"/>
      <c r="U73" s="118"/>
      <c r="V73" s="118"/>
      <c r="W73" s="118"/>
      <c r="X73" s="118"/>
      <c r="Y73" s="118"/>
      <c r="Z73" s="374"/>
    </row>
    <row r="74" spans="1:26" ht="18.75" customHeight="1">
      <c r="A74" s="352">
        <v>2</v>
      </c>
      <c r="B74" s="346" t="s">
        <v>293</v>
      </c>
      <c r="C74" s="348"/>
      <c r="E74" s="352">
        <v>2</v>
      </c>
      <c r="F74" s="346" t="s">
        <v>293</v>
      </c>
      <c r="G74" s="348"/>
      <c r="I74" s="352">
        <v>2</v>
      </c>
      <c r="J74" s="346" t="s">
        <v>293</v>
      </c>
      <c r="K74" s="348"/>
      <c r="Q74" s="373"/>
      <c r="R74" s="118"/>
      <c r="S74" s="118"/>
      <c r="T74" s="118"/>
      <c r="U74" s="118"/>
      <c r="V74" s="118"/>
      <c r="W74" s="118"/>
      <c r="X74" s="118"/>
      <c r="Y74" s="118"/>
      <c r="Z74" s="374"/>
    </row>
    <row r="75" spans="1:26" ht="18.75" customHeight="1">
      <c r="A75" s="352">
        <v>3</v>
      </c>
      <c r="B75" s="352" t="s">
        <v>146</v>
      </c>
      <c r="C75" s="352"/>
      <c r="E75" s="352">
        <v>3</v>
      </c>
      <c r="F75" s="352" t="s">
        <v>146</v>
      </c>
      <c r="G75" s="352"/>
      <c r="I75" s="352">
        <v>3</v>
      </c>
      <c r="J75" s="352" t="s">
        <v>146</v>
      </c>
      <c r="K75" s="352"/>
      <c r="Q75" s="373"/>
      <c r="R75" s="118"/>
      <c r="S75" s="118"/>
      <c r="T75" s="118"/>
      <c r="U75" s="118"/>
      <c r="V75" s="118"/>
      <c r="W75" s="118"/>
      <c r="X75" s="118"/>
      <c r="Y75" s="118"/>
      <c r="Z75" s="374"/>
    </row>
    <row r="76" spans="1:26" ht="18.75" customHeight="1">
      <c r="A76" s="352">
        <v>4</v>
      </c>
      <c r="B76" s="362" t="s">
        <v>14</v>
      </c>
      <c r="C76" s="363">
        <f>SUM(C73:C75)</f>
        <v>642.22</v>
      </c>
      <c r="E76" s="352">
        <v>4</v>
      </c>
      <c r="F76" s="362" t="s">
        <v>14</v>
      </c>
      <c r="G76" s="363">
        <f>SUM(G73:G75)</f>
        <v>500</v>
      </c>
      <c r="I76" s="352">
        <v>4</v>
      </c>
      <c r="J76" s="362" t="s">
        <v>14</v>
      </c>
      <c r="K76" s="363">
        <f>SUM(K73:K75)</f>
        <v>705.19</v>
      </c>
      <c r="Q76" s="373"/>
      <c r="R76" s="118"/>
      <c r="S76" s="118"/>
      <c r="T76" s="118"/>
      <c r="U76" s="118"/>
      <c r="V76" s="118"/>
      <c r="W76" s="118"/>
      <c r="X76" s="118"/>
      <c r="Y76" s="118"/>
      <c r="Z76" s="374"/>
    </row>
    <row r="77" spans="1:26" ht="18.75" customHeight="1">
      <c r="A77" s="1672" t="s">
        <v>131</v>
      </c>
      <c r="B77" s="1672"/>
      <c r="C77" s="1672"/>
      <c r="E77" s="1672" t="s">
        <v>131</v>
      </c>
      <c r="F77" s="1672"/>
      <c r="G77" s="1672"/>
      <c r="I77" s="1672" t="s">
        <v>131</v>
      </c>
      <c r="J77" s="1672"/>
      <c r="K77" s="1672"/>
      <c r="Q77" s="373"/>
      <c r="R77" s="118"/>
      <c r="S77" s="118"/>
      <c r="T77" s="118"/>
      <c r="U77" s="118"/>
      <c r="V77" s="118"/>
      <c r="W77" s="118"/>
      <c r="X77" s="118"/>
      <c r="Y77" s="118"/>
      <c r="Z77" s="374"/>
    </row>
    <row r="78" spans="1:26" ht="18.75" customHeight="1">
      <c r="A78" s="693">
        <v>6</v>
      </c>
      <c r="B78" s="352" t="s">
        <v>141</v>
      </c>
      <c r="C78" s="364"/>
      <c r="E78" s="693">
        <v>6</v>
      </c>
      <c r="F78" s="352" t="s">
        <v>141</v>
      </c>
      <c r="G78" s="364"/>
      <c r="I78" s="693">
        <v>6</v>
      </c>
      <c r="J78" s="352" t="s">
        <v>141</v>
      </c>
      <c r="K78" s="364"/>
      <c r="Q78" s="373"/>
      <c r="R78" s="118"/>
      <c r="S78" s="118"/>
      <c r="T78" s="118"/>
      <c r="U78" s="118"/>
      <c r="V78" s="118"/>
      <c r="W78" s="118"/>
      <c r="X78" s="118"/>
      <c r="Y78" s="118"/>
      <c r="Z78" s="374"/>
    </row>
    <row r="79" spans="1:26" ht="18.75" customHeight="1">
      <c r="A79" s="693">
        <v>7</v>
      </c>
      <c r="B79" s="403" t="s">
        <v>341</v>
      </c>
      <c r="C79" s="694">
        <v>74.239999999999995</v>
      </c>
      <c r="E79" s="693">
        <v>7</v>
      </c>
      <c r="F79" s="403" t="s">
        <v>341</v>
      </c>
      <c r="G79" s="694">
        <v>67.78</v>
      </c>
      <c r="I79" s="693">
        <v>7</v>
      </c>
      <c r="J79" s="403" t="s">
        <v>341</v>
      </c>
      <c r="K79" s="694">
        <v>63.84</v>
      </c>
      <c r="Q79" s="373"/>
      <c r="R79" s="135">
        <f>C79+G79+O79+K79</f>
        <v>205.85999999999999</v>
      </c>
      <c r="S79" s="118"/>
      <c r="T79" s="118"/>
      <c r="U79" s="118"/>
      <c r="V79" s="118"/>
      <c r="W79" s="118"/>
      <c r="X79" s="118"/>
      <c r="Y79" s="118"/>
      <c r="Z79" s="374"/>
    </row>
    <row r="80" spans="1:26" ht="18.75" customHeight="1">
      <c r="A80" s="693"/>
      <c r="B80" s="346" t="s">
        <v>254</v>
      </c>
      <c r="C80" s="350"/>
      <c r="E80" s="693"/>
      <c r="F80" s="346" t="s">
        <v>254</v>
      </c>
      <c r="G80" s="350"/>
      <c r="I80" s="693"/>
      <c r="J80" s="346" t="s">
        <v>254</v>
      </c>
      <c r="K80" s="350"/>
      <c r="Q80" s="373"/>
      <c r="R80" s="118"/>
      <c r="S80" s="118"/>
      <c r="T80" s="118"/>
      <c r="U80" s="118"/>
      <c r="V80" s="118"/>
      <c r="W80" s="118"/>
      <c r="X80" s="118"/>
      <c r="Y80" s="118"/>
      <c r="Z80" s="374"/>
    </row>
    <row r="81" spans="1:24" ht="18.75" customHeight="1">
      <c r="A81" s="693">
        <v>8</v>
      </c>
      <c r="B81" s="352" t="s">
        <v>143</v>
      </c>
      <c r="C81" s="352"/>
      <c r="E81" s="693">
        <v>8</v>
      </c>
      <c r="F81" s="352" t="s">
        <v>143</v>
      </c>
      <c r="G81" s="352"/>
      <c r="I81" s="693">
        <v>8</v>
      </c>
      <c r="J81" s="352" t="s">
        <v>143</v>
      </c>
      <c r="K81" s="352"/>
      <c r="R81" s="360"/>
      <c r="S81" s="360"/>
      <c r="T81" s="360"/>
      <c r="U81" s="360"/>
      <c r="V81" s="360"/>
      <c r="W81" s="360"/>
      <c r="X81" s="360"/>
    </row>
    <row r="82" spans="1:24" ht="18.75" customHeight="1">
      <c r="A82" s="693">
        <v>9</v>
      </c>
      <c r="B82" s="352" t="s">
        <v>144</v>
      </c>
      <c r="C82" s="352"/>
      <c r="E82" s="693">
        <v>9</v>
      </c>
      <c r="F82" s="352" t="s">
        <v>144</v>
      </c>
      <c r="G82" s="352"/>
      <c r="I82" s="693">
        <v>9</v>
      </c>
      <c r="J82" s="352" t="s">
        <v>144</v>
      </c>
      <c r="K82" s="352"/>
      <c r="Q82" s="408">
        <f>Q3+Q17+Q31+Q45+Q59+Q73</f>
        <v>13744.970000000001</v>
      </c>
      <c r="R82" s="414">
        <f>R9+R23+R37+R51+R65+R79</f>
        <v>1697.1299999999999</v>
      </c>
      <c r="S82" s="379">
        <f>Q82-R82</f>
        <v>12047.840000000002</v>
      </c>
      <c r="W82" s="118"/>
      <c r="X82" s="360"/>
    </row>
    <row r="83" spans="1:24" ht="18.75" customHeight="1">
      <c r="A83" s="693">
        <v>10</v>
      </c>
      <c r="B83" s="368" t="s">
        <v>14</v>
      </c>
      <c r="C83" s="405">
        <f>SUM(C78:C82)</f>
        <v>74.239999999999995</v>
      </c>
      <c r="E83" s="693">
        <v>10</v>
      </c>
      <c r="F83" s="368" t="s">
        <v>14</v>
      </c>
      <c r="G83" s="405">
        <f>SUM(G78:G82)</f>
        <v>67.78</v>
      </c>
      <c r="I83" s="693">
        <v>10</v>
      </c>
      <c r="J83" s="368" t="s">
        <v>14</v>
      </c>
      <c r="K83" s="405">
        <f>SUM(K78:K82)</f>
        <v>63.84</v>
      </c>
      <c r="X83" s="360"/>
    </row>
    <row r="84" spans="1:24" ht="18.75" customHeight="1">
      <c r="A84" s="693">
        <v>11</v>
      </c>
      <c r="B84" s="352" t="s">
        <v>145</v>
      </c>
      <c r="C84" s="696">
        <f>C76-C83</f>
        <v>567.98</v>
      </c>
      <c r="E84" s="693">
        <v>11</v>
      </c>
      <c r="F84" s="352" t="s">
        <v>145</v>
      </c>
      <c r="G84" s="696">
        <f>G76-G83</f>
        <v>432.22</v>
      </c>
      <c r="I84" s="693">
        <v>11</v>
      </c>
      <c r="J84" s="352" t="s">
        <v>145</v>
      </c>
      <c r="K84" s="696">
        <f>K76-K83</f>
        <v>641.35</v>
      </c>
      <c r="S84" s="379"/>
      <c r="T84" s="577"/>
    </row>
    <row r="85" spans="1:24" ht="15">
      <c r="Q85" s="407">
        <f>Q82-11525.95</f>
        <v>2219.0200000000004</v>
      </c>
    </row>
    <row r="86" spans="1:24" ht="15"/>
    <row r="87" spans="1:24" ht="15"/>
    <row r="88" spans="1:24" ht="15"/>
    <row r="89" spans="1:24" ht="15"/>
    <row r="90" spans="1:24" ht="15"/>
    <row r="91" spans="1:24" ht="15"/>
    <row r="92" spans="1:24" ht="15"/>
    <row r="93" spans="1:24" ht="15"/>
    <row r="94" spans="1:24" ht="15"/>
    <row r="95" spans="1:24" ht="15"/>
    <row r="96" spans="1:24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  <row r="659" ht="15"/>
    <row r="660" ht="15"/>
    <row r="661" ht="15"/>
    <row r="662" ht="15"/>
    <row r="663" ht="15"/>
    <row r="664" ht="15"/>
    <row r="665" ht="15"/>
    <row r="666" ht="15"/>
    <row r="667" ht="15"/>
    <row r="668" ht="15"/>
    <row r="669" ht="15"/>
    <row r="670" ht="15"/>
    <row r="671" ht="15"/>
    <row r="672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  <row r="701" ht="15"/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  <row r="743" ht="15"/>
    <row r="744" ht="15"/>
    <row r="745" ht="15"/>
    <row r="746" ht="15"/>
    <row r="747" ht="15"/>
    <row r="748" ht="15"/>
    <row r="749" ht="15"/>
    <row r="750" ht="15"/>
    <row r="751" ht="15"/>
    <row r="752" ht="15"/>
    <row r="753" ht="15"/>
    <row r="754" ht="15"/>
    <row r="755" ht="15"/>
    <row r="756" ht="15"/>
    <row r="757" ht="15"/>
    <row r="758" ht="15"/>
    <row r="759" ht="15"/>
    <row r="760" ht="15"/>
    <row r="761" ht="15"/>
    <row r="762" ht="15"/>
    <row r="763" ht="15"/>
    <row r="764" ht="15"/>
    <row r="765" ht="15"/>
    <row r="766" ht="15"/>
    <row r="767" ht="15"/>
    <row r="768" ht="15"/>
    <row r="769" ht="15"/>
    <row r="770" ht="15"/>
    <row r="771" ht="15"/>
    <row r="772" ht="15"/>
    <row r="773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  <row r="790" ht="15"/>
    <row r="791" ht="15"/>
    <row r="792" ht="15"/>
    <row r="793" ht="15"/>
    <row r="794" ht="15"/>
    <row r="795" ht="15"/>
    <row r="796" ht="15"/>
    <row r="797" ht="15"/>
    <row r="798" ht="15"/>
    <row r="799" ht="15"/>
    <row r="800" ht="15"/>
    <row r="801" ht="15"/>
    <row r="802" ht="15"/>
    <row r="803" ht="15"/>
    <row r="804" ht="15"/>
    <row r="805" ht="15"/>
    <row r="806" ht="15"/>
    <row r="807" ht="15"/>
    <row r="808" ht="15"/>
    <row r="809" ht="15"/>
    <row r="810" ht="15"/>
    <row r="811" ht="15"/>
    <row r="812" ht="15"/>
    <row r="813" ht="15"/>
    <row r="814" ht="15"/>
    <row r="815" ht="15"/>
    <row r="816" ht="15"/>
    <row r="817" ht="15"/>
    <row r="818" ht="15"/>
    <row r="819" ht="15"/>
    <row r="820" ht="15"/>
    <row r="821" ht="15"/>
    <row r="822" ht="15"/>
    <row r="823" ht="15"/>
    <row r="824" ht="15"/>
    <row r="825" ht="15"/>
    <row r="826" ht="15"/>
    <row r="827" ht="15"/>
    <row r="828" ht="15"/>
    <row r="829" ht="15"/>
    <row r="830" ht="15"/>
    <row r="831" ht="15"/>
    <row r="832" ht="15"/>
    <row r="833" ht="15"/>
    <row r="834" ht="15"/>
    <row r="835" ht="15"/>
    <row r="836" ht="15"/>
    <row r="837" ht="15"/>
    <row r="838" ht="15"/>
    <row r="839" ht="15"/>
    <row r="840" ht="15"/>
    <row r="841" ht="15"/>
    <row r="842" ht="15"/>
    <row r="843" ht="15"/>
    <row r="844" ht="15"/>
    <row r="845" ht="15"/>
    <row r="846" ht="15"/>
    <row r="847" ht="15"/>
    <row r="848" ht="15"/>
    <row r="849" ht="15"/>
    <row r="850" ht="15"/>
    <row r="851" ht="15"/>
    <row r="852" ht="15"/>
    <row r="853" ht="15"/>
    <row r="854" ht="15"/>
    <row r="855" ht="15"/>
    <row r="856" ht="15"/>
    <row r="857" ht="15"/>
    <row r="858" ht="15"/>
    <row r="859" ht="15"/>
    <row r="860" ht="15"/>
    <row r="861" ht="15"/>
    <row r="862" ht="15"/>
    <row r="863" ht="15"/>
    <row r="864" ht="15"/>
    <row r="865" ht="15"/>
    <row r="866" ht="15"/>
    <row r="867" ht="15"/>
    <row r="868" ht="15"/>
    <row r="869" ht="15"/>
    <row r="870" ht="15"/>
    <row r="871" ht="15"/>
    <row r="872" ht="15"/>
    <row r="873" ht="15"/>
    <row r="874" ht="15"/>
    <row r="875" ht="15"/>
    <row r="876" ht="15"/>
    <row r="877" ht="15"/>
    <row r="878" ht="15"/>
    <row r="879" ht="15"/>
    <row r="880" ht="15"/>
    <row r="881" ht="15"/>
    <row r="882" ht="15"/>
    <row r="883" ht="15"/>
    <row r="884" ht="15"/>
    <row r="885" ht="15"/>
    <row r="886" ht="15"/>
    <row r="887" ht="15"/>
    <row r="888" ht="15"/>
    <row r="889" ht="15"/>
    <row r="890" ht="15"/>
    <row r="891" ht="15"/>
    <row r="892" ht="15"/>
    <row r="893" ht="15"/>
    <row r="894" ht="15"/>
    <row r="895" ht="15"/>
    <row r="896" ht="15"/>
    <row r="897" ht="15"/>
    <row r="898" ht="15"/>
    <row r="899" ht="15"/>
    <row r="900" ht="15"/>
    <row r="901" ht="15"/>
    <row r="902" ht="15"/>
    <row r="903" ht="15"/>
    <row r="904" ht="15"/>
    <row r="905" ht="15"/>
    <row r="906" ht="15"/>
    <row r="907" ht="15"/>
    <row r="908" ht="15"/>
    <row r="909" ht="15"/>
    <row r="910" ht="15"/>
    <row r="911" ht="15"/>
    <row r="912" ht="15"/>
    <row r="913" ht="15"/>
    <row r="914" ht="15"/>
    <row r="915" ht="15"/>
    <row r="916" ht="15"/>
    <row r="917" ht="15"/>
    <row r="918" ht="15"/>
    <row r="919" ht="15"/>
    <row r="920" ht="15"/>
    <row r="921" ht="15"/>
    <row r="922" ht="15"/>
    <row r="923" ht="15"/>
    <row r="924" ht="15"/>
    <row r="925" ht="15"/>
    <row r="926" ht="15"/>
    <row r="927" ht="15"/>
    <row r="928" ht="15"/>
    <row r="929" ht="15"/>
    <row r="930" ht="15"/>
    <row r="931" ht="15"/>
    <row r="932" ht="15"/>
    <row r="933" ht="15"/>
    <row r="934" ht="15"/>
    <row r="935" ht="15"/>
    <row r="936" ht="15"/>
    <row r="937" ht="15"/>
    <row r="938" ht="15"/>
    <row r="939" ht="15"/>
    <row r="940" ht="15"/>
    <row r="941" ht="15"/>
    <row r="942" ht="15"/>
    <row r="943" ht="15"/>
    <row r="944" ht="15"/>
    <row r="945" ht="15"/>
    <row r="946" ht="15"/>
    <row r="947" ht="15"/>
    <row r="948" ht="15"/>
    <row r="949" ht="15"/>
    <row r="950" ht="15"/>
    <row r="951" ht="15"/>
    <row r="952" ht="15"/>
    <row r="953" ht="15"/>
    <row r="954" ht="15"/>
    <row r="955" ht="15"/>
    <row r="956" ht="15"/>
    <row r="957" ht="15"/>
    <row r="958" ht="15"/>
    <row r="959" ht="15"/>
    <row r="960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3" ht="15"/>
    <row r="974" ht="15"/>
    <row r="975" ht="15"/>
    <row r="976" ht="15"/>
    <row r="977" ht="15"/>
    <row r="978" ht="15"/>
    <row r="979" ht="15"/>
    <row r="980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  <row r="1001" ht="15"/>
    <row r="1002" ht="15"/>
    <row r="1003" ht="15"/>
    <row r="1004" ht="15"/>
    <row r="1005" ht="15"/>
    <row r="1006" ht="15"/>
    <row r="1007" ht="15"/>
    <row r="1008" ht="15"/>
    <row r="1009" ht="15"/>
    <row r="1010" ht="15"/>
    <row r="1011" ht="15"/>
    <row r="1012" ht="15"/>
    <row r="1013" ht="15"/>
    <row r="1014" ht="15"/>
    <row r="1015" ht="15"/>
    <row r="1016" ht="15"/>
    <row r="1017" ht="15"/>
    <row r="1018" ht="15"/>
    <row r="1019" ht="15"/>
    <row r="1020" ht="15"/>
    <row r="1021" ht="15"/>
    <row r="1022" ht="15"/>
    <row r="1023" ht="15"/>
    <row r="1024" ht="15"/>
    <row r="1025" ht="15"/>
    <row r="1026" ht="15"/>
    <row r="1027" ht="15"/>
    <row r="1028" ht="15"/>
    <row r="1029" ht="15"/>
    <row r="1030" ht="15"/>
    <row r="1031" ht="15"/>
    <row r="1032" ht="15"/>
    <row r="1033" ht="15"/>
    <row r="1034" ht="15"/>
    <row r="1035" ht="15"/>
    <row r="1036" ht="15"/>
    <row r="1037" ht="15"/>
    <row r="1038" ht="15"/>
    <row r="1039" ht="15"/>
    <row r="1040" ht="15"/>
    <row r="1041" ht="15"/>
    <row r="1042" ht="15"/>
    <row r="1043" ht="15"/>
    <row r="1044" ht="15"/>
    <row r="1045" ht="15"/>
    <row r="1046" ht="15"/>
    <row r="1047" ht="15"/>
    <row r="1048" ht="15"/>
    <row r="1049" ht="15"/>
    <row r="1050" ht="15"/>
    <row r="1051" ht="15"/>
    <row r="1052" ht="15"/>
    <row r="1053" ht="15"/>
    <row r="1054" ht="15"/>
    <row r="1055" ht="15"/>
    <row r="1056" ht="15"/>
    <row r="1057" ht="15"/>
    <row r="1058" ht="15"/>
    <row r="1059" ht="15"/>
    <row r="1060" ht="15"/>
    <row r="1061" ht="15"/>
    <row r="1062" ht="15"/>
    <row r="1063" ht="15"/>
    <row r="1064" ht="15"/>
    <row r="1065" ht="15"/>
    <row r="1066" ht="15"/>
    <row r="1067" ht="15"/>
    <row r="1068" ht="15"/>
    <row r="1069" ht="15"/>
    <row r="1070" ht="15"/>
    <row r="1071" ht="15"/>
    <row r="1072" ht="15"/>
    <row r="1073" ht="15"/>
    <row r="1074" ht="15"/>
    <row r="1075" ht="15"/>
    <row r="1076" ht="15"/>
    <row r="1077" ht="15"/>
    <row r="1078" ht="15"/>
    <row r="1079" ht="15"/>
    <row r="1080" ht="15"/>
    <row r="1081" ht="15"/>
    <row r="1082" ht="15"/>
    <row r="1083" ht="15"/>
    <row r="1084" ht="15"/>
    <row r="1085" ht="15"/>
    <row r="1086" ht="15"/>
    <row r="1087" ht="15"/>
    <row r="1088" ht="15"/>
    <row r="1089" ht="15"/>
    <row r="1090" ht="15"/>
    <row r="1091" ht="15"/>
    <row r="1092" ht="15"/>
    <row r="1093" ht="15"/>
    <row r="1094" ht="15"/>
    <row r="1095" ht="15"/>
    <row r="1096" ht="15"/>
    <row r="1097" ht="15"/>
    <row r="1098" ht="15"/>
    <row r="1099" ht="15"/>
    <row r="1100" ht="15"/>
    <row r="1101" ht="15"/>
    <row r="1102" ht="15"/>
    <row r="1103" ht="15"/>
    <row r="1104" ht="15"/>
    <row r="1105" ht="15"/>
    <row r="1106" ht="15"/>
    <row r="1107" ht="15"/>
    <row r="1108" ht="15"/>
    <row r="1109" ht="15"/>
    <row r="1110" ht="15"/>
    <row r="1111" ht="15"/>
    <row r="1112" ht="15"/>
    <row r="1113" ht="15"/>
    <row r="1114" ht="15"/>
    <row r="1115" ht="15"/>
    <row r="1116" ht="15"/>
    <row r="1117" ht="15"/>
    <row r="1118" ht="15"/>
    <row r="1119" ht="15"/>
    <row r="1120" ht="15"/>
    <row r="1121" ht="15"/>
    <row r="1122" ht="15"/>
    <row r="1123" ht="15"/>
    <row r="1124" ht="15"/>
    <row r="1125" ht="15"/>
    <row r="1126" ht="15"/>
    <row r="1127" ht="15"/>
    <row r="1128" ht="15"/>
    <row r="1129" ht="15"/>
    <row r="1130" ht="15"/>
    <row r="1131" ht="15"/>
    <row r="1132" ht="15"/>
    <row r="1133" ht="15"/>
    <row r="1134" ht="15"/>
    <row r="1135" ht="15"/>
    <row r="1136" ht="15"/>
    <row r="1137" ht="15"/>
    <row r="1138" ht="15"/>
    <row r="1139" ht="15"/>
    <row r="1140" ht="15"/>
    <row r="1141" ht="15"/>
    <row r="1142" ht="15"/>
    <row r="1143" ht="15"/>
    <row r="1144" ht="15"/>
    <row r="1145" ht="15"/>
    <row r="1146" ht="15"/>
    <row r="1147" ht="15"/>
    <row r="1148" ht="15"/>
    <row r="1149" ht="15"/>
    <row r="1150" ht="15"/>
    <row r="1151" ht="15"/>
    <row r="1152" ht="15"/>
    <row r="1153" ht="15"/>
    <row r="1154" ht="15"/>
    <row r="1155" ht="15"/>
    <row r="1156" ht="15"/>
    <row r="1157" ht="15"/>
    <row r="1158" ht="15"/>
    <row r="1159" ht="15"/>
    <row r="1160" ht="15"/>
    <row r="1161" ht="15"/>
    <row r="1162" ht="15"/>
    <row r="1163" ht="15"/>
    <row r="1164" ht="15"/>
    <row r="1165" ht="15"/>
    <row r="1166" ht="15"/>
    <row r="1167" ht="15"/>
    <row r="1168" ht="15"/>
    <row r="1169" ht="15"/>
    <row r="1170" ht="15"/>
    <row r="1171" ht="15"/>
    <row r="1172" ht="15"/>
    <row r="1173" ht="15"/>
    <row r="1174" ht="15"/>
    <row r="1175" ht="15"/>
    <row r="1176" ht="15"/>
    <row r="1177" ht="15"/>
    <row r="1178" ht="15"/>
    <row r="1179" ht="15"/>
    <row r="1180" ht="15"/>
    <row r="1181" ht="15"/>
    <row r="1182" ht="15"/>
    <row r="1183" ht="15"/>
    <row r="1184" ht="15"/>
    <row r="1185" ht="15"/>
    <row r="1186" ht="15"/>
    <row r="1187" ht="15"/>
    <row r="1188" ht="15"/>
    <row r="1189" ht="15"/>
    <row r="1190" ht="15"/>
    <row r="1191" ht="15"/>
    <row r="1192" ht="15"/>
    <row r="1193" ht="15"/>
    <row r="1194" ht="15"/>
    <row r="1195" ht="15"/>
    <row r="1196" ht="15"/>
    <row r="1197" ht="15"/>
    <row r="1198" ht="15"/>
    <row r="1199" ht="15"/>
    <row r="1200" ht="15"/>
    <row r="1201" ht="15"/>
    <row r="1202" ht="15"/>
    <row r="1203" ht="15"/>
    <row r="1204" ht="15"/>
    <row r="1205" ht="15"/>
    <row r="1206" ht="15"/>
    <row r="1207" ht="15"/>
    <row r="1208" ht="15"/>
    <row r="1209" ht="15"/>
    <row r="1210" ht="15"/>
    <row r="1211" ht="15"/>
    <row r="1212" ht="15"/>
    <row r="1213" ht="15"/>
    <row r="1214" ht="15"/>
    <row r="1215" ht="15"/>
    <row r="1216" ht="15"/>
    <row r="1217" ht="15"/>
    <row r="1218" ht="15"/>
    <row r="1219" ht="15"/>
    <row r="1220" ht="15"/>
    <row r="1221" ht="15"/>
    <row r="1222" ht="15"/>
    <row r="1223" ht="15"/>
    <row r="1224" ht="15"/>
    <row r="1225" ht="15"/>
    <row r="1226" ht="15"/>
    <row r="1227" ht="15"/>
    <row r="1228" ht="15"/>
    <row r="1229" ht="15"/>
    <row r="1230" ht="15"/>
    <row r="1231" ht="15"/>
    <row r="1232" ht="15"/>
    <row r="1233" ht="15"/>
    <row r="1234" ht="15"/>
    <row r="1235" ht="15"/>
    <row r="1236" ht="15"/>
    <row r="1237" ht="15"/>
    <row r="1238" ht="15"/>
    <row r="1239" ht="15"/>
    <row r="1240" ht="15"/>
    <row r="1241" ht="15"/>
    <row r="1242" ht="15"/>
    <row r="1243" ht="15"/>
    <row r="1244" ht="15"/>
    <row r="1245" ht="15"/>
    <row r="1246" ht="15"/>
    <row r="1247" ht="15"/>
    <row r="1248" ht="15"/>
    <row r="1249" ht="15"/>
    <row r="1250" ht="15"/>
    <row r="1251" ht="15"/>
    <row r="1252" ht="15"/>
    <row r="1253" ht="15"/>
    <row r="1254" ht="15"/>
    <row r="1255" ht="15"/>
    <row r="1256" ht="15"/>
    <row r="1257" ht="15"/>
    <row r="1258" ht="15"/>
    <row r="1259" ht="15"/>
    <row r="1260" ht="15"/>
    <row r="1261" ht="15"/>
    <row r="1262" ht="15"/>
    <row r="1263" ht="15"/>
    <row r="1264" ht="15"/>
    <row r="1265" ht="15"/>
    <row r="1266" ht="15"/>
    <row r="1267" ht="15"/>
    <row r="1268" ht="15"/>
    <row r="1269" ht="15"/>
    <row r="1270" ht="15"/>
    <row r="1271" ht="15"/>
    <row r="1272" ht="15"/>
    <row r="1273" ht="15"/>
    <row r="1274" ht="15"/>
    <row r="1275" ht="15"/>
    <row r="1276" ht="15"/>
    <row r="1277" ht="15"/>
    <row r="1278" ht="15"/>
    <row r="1279" ht="15"/>
    <row r="1280" ht="15"/>
    <row r="1281" ht="15"/>
    <row r="1282" ht="15"/>
    <row r="1283" ht="15"/>
    <row r="1284" ht="15"/>
    <row r="1285" ht="15"/>
    <row r="1286" ht="15"/>
    <row r="1287" ht="15"/>
    <row r="1288" ht="15"/>
    <row r="1289" ht="15"/>
    <row r="1290" ht="15"/>
    <row r="1291" ht="15"/>
    <row r="1292" ht="15"/>
    <row r="1293" ht="15"/>
    <row r="1294" ht="15"/>
    <row r="1295" ht="15"/>
    <row r="1296" ht="15"/>
    <row r="1297" ht="15"/>
    <row r="1298" ht="15"/>
    <row r="1299" ht="15"/>
    <row r="1300" ht="15"/>
    <row r="1301" ht="15"/>
    <row r="1302" ht="15"/>
    <row r="1303" ht="15"/>
    <row r="1304" ht="15"/>
    <row r="1305" ht="15"/>
    <row r="1306" ht="15"/>
    <row r="1307" ht="15"/>
    <row r="1308" ht="15"/>
    <row r="1309" ht="15"/>
    <row r="1310" ht="15"/>
    <row r="1311" ht="15"/>
    <row r="1312" ht="15"/>
    <row r="1313" ht="15"/>
    <row r="1314" ht="15"/>
    <row r="1315" ht="15"/>
    <row r="1316" ht="15"/>
    <row r="1317" ht="15"/>
    <row r="1318" ht="15"/>
    <row r="1319" ht="15"/>
    <row r="1320" ht="15"/>
    <row r="1321" ht="15"/>
    <row r="1322" ht="15"/>
    <row r="1323" ht="15"/>
    <row r="1324" ht="15"/>
    <row r="1325" ht="15"/>
    <row r="1326" ht="15"/>
    <row r="1327" ht="15"/>
    <row r="1328" ht="15"/>
    <row r="1329" ht="15"/>
    <row r="1330" ht="15"/>
    <row r="1331" ht="15"/>
    <row r="1332" ht="15"/>
    <row r="1333" ht="15"/>
    <row r="1334" ht="15"/>
    <row r="1335" ht="15"/>
    <row r="1336" ht="15"/>
    <row r="1337" ht="15"/>
    <row r="1338" ht="15"/>
    <row r="1339" ht="15"/>
    <row r="1340" ht="15"/>
    <row r="1341" ht="15"/>
    <row r="1342" ht="15"/>
    <row r="1343" ht="15"/>
    <row r="1344" ht="15"/>
    <row r="1345" ht="15"/>
    <row r="1346" ht="15"/>
    <row r="1347" ht="15"/>
    <row r="1348" ht="15"/>
    <row r="1349" ht="15"/>
    <row r="1350" ht="15"/>
    <row r="1351" ht="15"/>
    <row r="1352" ht="15"/>
    <row r="1353" ht="15"/>
    <row r="1354" ht="15"/>
    <row r="1355" ht="15"/>
    <row r="1356" ht="15"/>
    <row r="1357" ht="15"/>
    <row r="1358" ht="15"/>
    <row r="1359" ht="15"/>
    <row r="1360" ht="15"/>
    <row r="1361" ht="15"/>
    <row r="1362" ht="15"/>
    <row r="1363" ht="15"/>
    <row r="1364" ht="15"/>
    <row r="1365" ht="15"/>
    <row r="1366" ht="15"/>
    <row r="1367" ht="15"/>
    <row r="1368" ht="15"/>
    <row r="1369" ht="15"/>
    <row r="1370" ht="15"/>
    <row r="1371" ht="15"/>
    <row r="1372" ht="15"/>
    <row r="1373" ht="15"/>
    <row r="1374" ht="15"/>
    <row r="1375" ht="15"/>
    <row r="1376" ht="15"/>
    <row r="1377" ht="15"/>
    <row r="1378" ht="15"/>
    <row r="1379" ht="15"/>
    <row r="1380" ht="15"/>
    <row r="1381" ht="15"/>
    <row r="1382" ht="15"/>
    <row r="1383" ht="15"/>
    <row r="1384" ht="15"/>
    <row r="1385" ht="15"/>
    <row r="1386" ht="15"/>
    <row r="1387" ht="15"/>
    <row r="1388" ht="15"/>
    <row r="1389" ht="15"/>
    <row r="1390" ht="15"/>
    <row r="1391" ht="15"/>
    <row r="1392" ht="15"/>
    <row r="1393" ht="15"/>
    <row r="1394" ht="15"/>
    <row r="1395" ht="15"/>
    <row r="1396" ht="15"/>
    <row r="1397" ht="15"/>
    <row r="1398" ht="15"/>
    <row r="1399" ht="15"/>
    <row r="1400" ht="15"/>
    <row r="1401" ht="15"/>
    <row r="1402" ht="15"/>
    <row r="1403" ht="15"/>
    <row r="1404" ht="15"/>
    <row r="1405" ht="15"/>
    <row r="1406" ht="15"/>
    <row r="1407" ht="15"/>
    <row r="1408" ht="15"/>
    <row r="1409" ht="15"/>
    <row r="1410" ht="15"/>
    <row r="1411" ht="15"/>
    <row r="1412" ht="15"/>
    <row r="1413" ht="15"/>
    <row r="1414" ht="15"/>
    <row r="1415" ht="15"/>
    <row r="1416" ht="15"/>
    <row r="1417" ht="15"/>
    <row r="1418" ht="15"/>
    <row r="1419" ht="15"/>
    <row r="1420" ht="15"/>
    <row r="1421" ht="15"/>
    <row r="1422" ht="15"/>
    <row r="1423" ht="15"/>
    <row r="1424" ht="15"/>
    <row r="1425" ht="15"/>
    <row r="1426" ht="15"/>
    <row r="1427" ht="15"/>
    <row r="1428" ht="15"/>
    <row r="1429" ht="15"/>
  </sheetData>
  <mergeCells count="61">
    <mergeCell ref="M63:O63"/>
    <mergeCell ref="A58:C58"/>
    <mergeCell ref="A63:C63"/>
    <mergeCell ref="E58:G58"/>
    <mergeCell ref="E63:G63"/>
    <mergeCell ref="V34:W34"/>
    <mergeCell ref="V36:W36"/>
    <mergeCell ref="V40:W40"/>
    <mergeCell ref="I35:K35"/>
    <mergeCell ref="I58:K58"/>
    <mergeCell ref="M57:O57"/>
    <mergeCell ref="M49:O49"/>
    <mergeCell ref="I49:K49"/>
    <mergeCell ref="M58:O58"/>
    <mergeCell ref="A29:O29"/>
    <mergeCell ref="A35:C35"/>
    <mergeCell ref="E35:G35"/>
    <mergeCell ref="A16:C16"/>
    <mergeCell ref="E16:G16"/>
    <mergeCell ref="H16:H28"/>
    <mergeCell ref="M16:O16"/>
    <mergeCell ref="L16:L28"/>
    <mergeCell ref="I21:K21"/>
    <mergeCell ref="E21:G21"/>
    <mergeCell ref="A21:C21"/>
    <mergeCell ref="I16:K16"/>
    <mergeCell ref="M21:O21"/>
    <mergeCell ref="D16:D28"/>
    <mergeCell ref="M35:O35"/>
    <mergeCell ref="E30:G30"/>
    <mergeCell ref="M7:O7"/>
    <mergeCell ref="A2:C2"/>
    <mergeCell ref="D2:D14"/>
    <mergeCell ref="E2:G2"/>
    <mergeCell ref="I2:K2"/>
    <mergeCell ref="L2:L14"/>
    <mergeCell ref="N2:O2"/>
    <mergeCell ref="I7:K7"/>
    <mergeCell ref="A7:C7"/>
    <mergeCell ref="E7:G7"/>
    <mergeCell ref="M30:O30"/>
    <mergeCell ref="L30:L42"/>
    <mergeCell ref="M44:O44"/>
    <mergeCell ref="I44:K44"/>
    <mergeCell ref="A49:C49"/>
    <mergeCell ref="A44:C44"/>
    <mergeCell ref="D30:D42"/>
    <mergeCell ref="A30:C30"/>
    <mergeCell ref="E44:G44"/>
    <mergeCell ref="E49:G49"/>
    <mergeCell ref="E72:G72"/>
    <mergeCell ref="E77:G77"/>
    <mergeCell ref="A72:C72"/>
    <mergeCell ref="A77:C77"/>
    <mergeCell ref="I30:K30"/>
    <mergeCell ref="H30:H42"/>
    <mergeCell ref="A57:C57"/>
    <mergeCell ref="E57:G57"/>
    <mergeCell ref="I63:K63"/>
    <mergeCell ref="I72:K72"/>
    <mergeCell ref="I77:K77"/>
  </mergeCells>
  <phoneticPr fontId="25" type="noConversion"/>
  <printOptions horizontalCentered="1"/>
  <pageMargins left="0.38" right="0.41" top="0.19685039370078741" bottom="0.19685039370078741" header="0.19685039370078741" footer="0.19685039370078741"/>
  <pageSetup paperSize="9" orientation="portrait" r:id="rId1"/>
  <headerFooter scaleWithDoc="0" alignWithMargins="0">
    <oddHeader xml:space="preserve">&amp;L                            </oddHeader>
    <oddFooter>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2:I34"/>
  <sheetViews>
    <sheetView topLeftCell="A11" workbookViewId="0">
      <selection activeCell="D22" sqref="D22"/>
    </sheetView>
  </sheetViews>
  <sheetFormatPr defaultColWidth="9.140625" defaultRowHeight="15.75"/>
  <cols>
    <col min="1" max="1" width="5.85546875" style="4" customWidth="1"/>
    <col min="2" max="2" width="35.140625" style="4" customWidth="1"/>
    <col min="3" max="3" width="9.7109375" style="23" customWidth="1"/>
    <col min="4" max="4" width="22.28515625" style="129" customWidth="1"/>
    <col min="5" max="5" width="28.7109375" style="214" customWidth="1"/>
    <col min="6" max="6" width="11.7109375" style="4" bestFit="1" customWidth="1"/>
    <col min="7" max="7" width="29.140625" style="4" bestFit="1" customWidth="1"/>
    <col min="8" max="8" width="21.28515625" style="4" bestFit="1" customWidth="1"/>
    <col min="9" max="9" width="15.5703125" style="4" bestFit="1" customWidth="1"/>
    <col min="10" max="10" width="11.85546875" style="4" customWidth="1"/>
    <col min="11" max="16384" width="9.140625" style="4"/>
  </cols>
  <sheetData>
    <row r="2" spans="1:9">
      <c r="A2" s="1456" t="s">
        <v>51</v>
      </c>
      <c r="B2" s="1456"/>
      <c r="C2" s="1456"/>
      <c r="D2" s="1456"/>
      <c r="E2" s="1456"/>
    </row>
    <row r="3" spans="1:9">
      <c r="A3" s="1456" t="s">
        <v>0</v>
      </c>
      <c r="B3" s="1456"/>
      <c r="C3" s="1456"/>
      <c r="D3" s="1456"/>
      <c r="E3" s="1456"/>
    </row>
    <row r="4" spans="1:9">
      <c r="A4" s="1593" t="s">
        <v>278</v>
      </c>
      <c r="B4" s="1456"/>
      <c r="C4" s="1456"/>
      <c r="D4" s="1456"/>
      <c r="E4" s="1456"/>
    </row>
    <row r="5" spans="1:9" ht="13.5" customHeight="1">
      <c r="D5" s="204"/>
      <c r="E5" s="25"/>
    </row>
    <row r="6" spans="1:9" ht="18" customHeight="1">
      <c r="A6" s="1578" t="s">
        <v>550</v>
      </c>
      <c r="B6" s="1578"/>
      <c r="C6" s="1578"/>
      <c r="D6" s="1578"/>
      <c r="E6" s="25"/>
    </row>
    <row r="7" spans="1:9" ht="15" customHeight="1">
      <c r="A7" s="1456" t="s">
        <v>540</v>
      </c>
      <c r="B7" s="1456"/>
      <c r="C7" s="1456"/>
      <c r="D7" s="1456"/>
      <c r="E7" s="25"/>
    </row>
    <row r="8" spans="1:9" ht="15" customHeight="1">
      <c r="A8" s="419"/>
      <c r="B8" s="419"/>
      <c r="C8" s="419"/>
      <c r="D8" s="204"/>
      <c r="E8" s="25"/>
    </row>
    <row r="9" spans="1:9" s="3" customFormat="1" ht="20.25" customHeight="1">
      <c r="A9" s="1580" t="s">
        <v>771</v>
      </c>
      <c r="B9" s="1580"/>
      <c r="C9" s="1580"/>
      <c r="D9" s="1580"/>
      <c r="E9" s="1580"/>
    </row>
    <row r="10" spans="1:9" ht="15.75" customHeight="1">
      <c r="A10" s="1595" t="s">
        <v>768</v>
      </c>
      <c r="B10" s="1596"/>
      <c r="C10" s="1596"/>
      <c r="D10" s="1596"/>
      <c r="E10" s="1596"/>
    </row>
    <row r="11" spans="1:9" ht="15.75" customHeight="1">
      <c r="A11" s="334"/>
      <c r="B11" s="334"/>
      <c r="D11" s="204"/>
      <c r="E11" s="25"/>
      <c r="F11" s="4" t="e">
        <f>#REF!</f>
        <v>#REF!</v>
      </c>
    </row>
    <row r="12" spans="1:9" s="176" customFormat="1" ht="53.25" customHeight="1">
      <c r="A12" s="335" t="s">
        <v>4</v>
      </c>
      <c r="B12" s="335" t="s">
        <v>164</v>
      </c>
      <c r="C12" s="175" t="s">
        <v>7</v>
      </c>
      <c r="D12" s="205" t="s">
        <v>168</v>
      </c>
      <c r="E12" s="211" t="s">
        <v>62</v>
      </c>
    </row>
    <row r="13" spans="1:9" s="3" customFormat="1" ht="18.75" customHeight="1">
      <c r="A13" s="1684" t="s">
        <v>176</v>
      </c>
      <c r="B13" s="1685"/>
      <c r="C13" s="200"/>
      <c r="D13" s="207"/>
      <c r="E13" s="212"/>
    </row>
    <row r="14" spans="1:9" s="3" customFormat="1" ht="18.75" customHeight="1">
      <c r="A14" s="177">
        <v>1</v>
      </c>
      <c r="B14" s="194" t="s">
        <v>177</v>
      </c>
      <c r="C14" s="199" t="s">
        <v>108</v>
      </c>
      <c r="D14" s="206">
        <f>'tiền TB '!F21</f>
        <v>5900000</v>
      </c>
      <c r="E14" s="213"/>
      <c r="G14" s="4"/>
      <c r="H14" s="310">
        <v>4500000</v>
      </c>
    </row>
    <row r="15" spans="1:9" s="3" customFormat="1" ht="18.75" customHeight="1">
      <c r="A15" s="177">
        <v>2</v>
      </c>
      <c r="B15" s="194" t="s">
        <v>182</v>
      </c>
      <c r="C15" s="199" t="s">
        <v>108</v>
      </c>
      <c r="D15" s="206">
        <v>5000000</v>
      </c>
      <c r="E15" s="213"/>
      <c r="G15" s="4"/>
      <c r="H15" s="310">
        <v>5000000</v>
      </c>
      <c r="I15" s="3">
        <v>870</v>
      </c>
    </row>
    <row r="16" spans="1:9" s="3" customFormat="1" ht="18.75" hidden="1" customHeight="1">
      <c r="A16" s="177">
        <v>3</v>
      </c>
      <c r="B16" s="194" t="s">
        <v>184</v>
      </c>
      <c r="C16" s="199" t="s">
        <v>108</v>
      </c>
      <c r="D16" s="658"/>
      <c r="E16" s="213"/>
      <c r="G16" s="308" t="e">
        <f>D20-#REF!</f>
        <v>#REF!</v>
      </c>
      <c r="H16" s="310">
        <v>4356250</v>
      </c>
      <c r="I16" s="3">
        <v>600</v>
      </c>
    </row>
    <row r="17" spans="1:9" s="3" customFormat="1" ht="18.75" customHeight="1">
      <c r="A17" s="177">
        <v>3</v>
      </c>
      <c r="B17" s="194" t="s">
        <v>180</v>
      </c>
      <c r="C17" s="199" t="s">
        <v>108</v>
      </c>
      <c r="D17" s="206">
        <f>'TT CVK'!F16</f>
        <v>1050000</v>
      </c>
      <c r="E17" s="213"/>
      <c r="G17" s="4"/>
      <c r="H17" s="310">
        <v>1573120</v>
      </c>
      <c r="I17" s="3">
        <v>4560</v>
      </c>
    </row>
    <row r="18" spans="1:9" s="3" customFormat="1" ht="18.75" hidden="1" customHeight="1">
      <c r="A18" s="177">
        <v>5</v>
      </c>
      <c r="B18" s="194" t="s">
        <v>185</v>
      </c>
      <c r="C18" s="199" t="s">
        <v>108</v>
      </c>
      <c r="D18" s="206"/>
      <c r="E18" s="213"/>
      <c r="G18" s="129">
        <v>1700000</v>
      </c>
      <c r="H18" s="310">
        <v>500000</v>
      </c>
    </row>
    <row r="19" spans="1:9" s="3" customFormat="1" ht="18.75" customHeight="1">
      <c r="A19" s="177">
        <v>4</v>
      </c>
      <c r="B19" s="194" t="s">
        <v>480</v>
      </c>
      <c r="C19" s="199" t="s">
        <v>108</v>
      </c>
      <c r="D19" s="912">
        <f>'Thanh toán XX'!F16</f>
        <v>1200000</v>
      </c>
      <c r="E19" s="213"/>
      <c r="F19" s="911">
        <f>D19/25000</f>
        <v>48</v>
      </c>
      <c r="G19" s="159" t="e">
        <f>#REF!</f>
        <v>#REF!</v>
      </c>
      <c r="H19" s="310">
        <v>6940000</v>
      </c>
    </row>
    <row r="20" spans="1:9" ht="22.5" customHeight="1">
      <c r="A20" s="1645" t="s">
        <v>178</v>
      </c>
      <c r="B20" s="1645"/>
      <c r="C20" s="284"/>
      <c r="D20" s="729">
        <f>SUM(D14:D19)</f>
        <v>13150000</v>
      </c>
      <c r="E20" s="212"/>
      <c r="G20" s="178" t="e">
        <f>#REF!</f>
        <v>#REF!</v>
      </c>
      <c r="H20" s="129">
        <f>SUM(H14:H19)</f>
        <v>22869370</v>
      </c>
      <c r="I20" s="159"/>
    </row>
    <row r="21" spans="1:9" ht="23.25" customHeight="1">
      <c r="A21" s="1599" t="s">
        <v>754</v>
      </c>
      <c r="B21" s="1600"/>
      <c r="C21" s="1600"/>
      <c r="D21" s="1600"/>
      <c r="E21" s="1601"/>
      <c r="G21" s="159">
        <v>5960000</v>
      </c>
      <c r="H21" s="309"/>
    </row>
    <row r="22" spans="1:9" ht="12" customHeight="1">
      <c r="A22" s="575"/>
      <c r="B22" s="575"/>
      <c r="C22" s="576"/>
      <c r="D22" s="576"/>
      <c r="E22" s="576"/>
      <c r="G22" s="159"/>
      <c r="H22" s="309"/>
    </row>
    <row r="23" spans="1:9" s="158" customFormat="1" ht="18.75">
      <c r="A23" s="179"/>
      <c r="B23" s="179"/>
      <c r="C23" s="1683" t="s">
        <v>772</v>
      </c>
      <c r="D23" s="1683"/>
      <c r="E23" s="1683"/>
      <c r="G23" s="190" t="e">
        <f>D20+#REF!</f>
        <v>#REF!</v>
      </c>
      <c r="H23" s="180"/>
      <c r="I23" s="181"/>
    </row>
    <row r="24" spans="1:9" s="158" customFormat="1" ht="10.5" customHeight="1">
      <c r="A24" s="191"/>
      <c r="B24" s="191"/>
      <c r="C24" s="202"/>
      <c r="D24" s="1602"/>
      <c r="E24" s="1602"/>
      <c r="G24" s="398">
        <v>5940000</v>
      </c>
      <c r="H24" s="182"/>
    </row>
    <row r="25" spans="1:9" s="183" customFormat="1" ht="18.75">
      <c r="A25" s="1682"/>
      <c r="B25" s="1682"/>
      <c r="C25" s="1682"/>
      <c r="D25" s="1682"/>
      <c r="E25" s="1682"/>
      <c r="G25" s="195" t="e">
        <f>SUM(G18:G21)</f>
        <v>#REF!</v>
      </c>
      <c r="H25" s="184"/>
    </row>
    <row r="26" spans="1:9" s="158" customFormat="1" ht="18.75">
      <c r="A26" s="1640" t="s">
        <v>560</v>
      </c>
      <c r="B26" s="1640"/>
      <c r="C26" s="1640"/>
      <c r="D26" s="1640"/>
      <c r="E26" s="1640"/>
      <c r="F26" s="875"/>
      <c r="G26" s="875"/>
      <c r="H26" s="875"/>
    </row>
    <row r="27" spans="1:9" s="158" customFormat="1" ht="18.75">
      <c r="A27" s="782"/>
      <c r="B27" s="782"/>
      <c r="C27" s="782"/>
      <c r="D27" s="782"/>
      <c r="E27" s="782"/>
      <c r="F27" s="782"/>
      <c r="G27" s="783"/>
      <c r="H27" s="783"/>
    </row>
    <row r="28" spans="1:9" s="158" customFormat="1" ht="18.75">
      <c r="A28" s="782"/>
      <c r="B28" s="782"/>
      <c r="C28" s="782"/>
      <c r="D28" s="782"/>
      <c r="E28" s="782"/>
      <c r="F28" s="782"/>
      <c r="G28" s="783"/>
      <c r="H28" s="783"/>
    </row>
    <row r="29" spans="1:9" s="158" customFormat="1" ht="18.75">
      <c r="A29" s="782"/>
      <c r="B29" s="782"/>
      <c r="C29" s="782"/>
      <c r="D29" s="782"/>
      <c r="E29" s="782"/>
      <c r="F29" s="782"/>
      <c r="G29" s="783"/>
      <c r="H29" s="783"/>
    </row>
    <row r="30" spans="1:9" s="158" customFormat="1" ht="18.75">
      <c r="A30" s="782"/>
      <c r="B30" s="782"/>
      <c r="C30" s="782"/>
      <c r="D30" s="782"/>
      <c r="E30" s="782"/>
      <c r="F30" s="782"/>
      <c r="G30" s="783"/>
      <c r="H30" s="783"/>
    </row>
    <row r="31" spans="1:9">
      <c r="A31" s="782"/>
      <c r="B31" s="782"/>
      <c r="C31" s="782"/>
      <c r="D31" s="782"/>
      <c r="E31" s="782"/>
      <c r="F31" s="782"/>
      <c r="G31" s="783"/>
      <c r="H31" s="783"/>
    </row>
    <row r="32" spans="1:9">
      <c r="A32" s="782"/>
      <c r="B32" s="782"/>
      <c r="C32" s="782"/>
      <c r="D32" s="782"/>
      <c r="E32" s="782"/>
      <c r="F32" s="782"/>
      <c r="G32" s="783"/>
      <c r="H32" s="783"/>
    </row>
    <row r="33" spans="1:8">
      <c r="A33" s="1641"/>
      <c r="B33" s="1641"/>
      <c r="C33" s="782"/>
      <c r="D33" s="782"/>
      <c r="E33" s="782"/>
      <c r="F33" s="782"/>
      <c r="G33" s="783"/>
      <c r="H33" s="783"/>
    </row>
    <row r="34" spans="1:8">
      <c r="A34" s="1642" t="s">
        <v>561</v>
      </c>
      <c r="B34" s="1642"/>
      <c r="C34" s="1642"/>
      <c r="D34" s="1642"/>
      <c r="E34" s="1642"/>
      <c r="F34" s="876"/>
      <c r="G34" s="876"/>
      <c r="H34" s="876"/>
    </row>
  </sheetData>
  <mergeCells count="16">
    <mergeCell ref="A13:B13"/>
    <mergeCell ref="A9:E9"/>
    <mergeCell ref="A10:E10"/>
    <mergeCell ref="A2:E2"/>
    <mergeCell ref="A3:E3"/>
    <mergeCell ref="A4:E4"/>
    <mergeCell ref="A6:D6"/>
    <mergeCell ref="A7:D7"/>
    <mergeCell ref="A33:B33"/>
    <mergeCell ref="A26:E26"/>
    <mergeCell ref="A34:E34"/>
    <mergeCell ref="A20:B20"/>
    <mergeCell ref="D24:E24"/>
    <mergeCell ref="A21:E21"/>
    <mergeCell ref="A25:E25"/>
    <mergeCell ref="C23:E23"/>
  </mergeCells>
  <printOptions horizontalCentered="1"/>
  <pageMargins left="0.196850393700787" right="0" top="0.196850393700787" bottom="0.196850393700787" header="0.2" footer="0.31496062992126"/>
  <pageSetup paperSize="9" fitToHeight="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K38"/>
  <sheetViews>
    <sheetView topLeftCell="A7" workbookViewId="0">
      <selection activeCell="AL15" sqref="AL15"/>
    </sheetView>
  </sheetViews>
  <sheetFormatPr defaultColWidth="9.140625" defaultRowHeight="15"/>
  <cols>
    <col min="1" max="1" width="3.7109375" style="45" bestFit="1" customWidth="1"/>
    <col min="2" max="2" width="16.85546875" style="45" customWidth="1"/>
    <col min="3" max="3" width="12" style="45" customWidth="1"/>
    <col min="4" max="7" width="3" style="45" customWidth="1"/>
    <col min="8" max="8" width="3" style="55" customWidth="1"/>
    <col min="9" max="10" width="3" style="45" customWidth="1"/>
    <col min="11" max="11" width="3.5703125" style="45" customWidth="1"/>
    <col min="12" max="31" width="3" style="45" customWidth="1"/>
    <col min="32" max="32" width="3.5703125" style="45" customWidth="1"/>
    <col min="33" max="33" width="3.42578125" style="45" customWidth="1"/>
    <col min="34" max="34" width="3.5703125" style="45" hidden="1" customWidth="1"/>
    <col min="35" max="35" width="7.28515625" style="45" customWidth="1"/>
    <col min="36" max="36" width="10.7109375" style="45" customWidth="1"/>
    <col min="37" max="37" width="9.140625" style="45"/>
    <col min="38" max="38" width="14.85546875" style="45" bestFit="1" customWidth="1"/>
    <col min="39" max="43" width="9.140625" style="45"/>
    <col min="44" max="44" width="15.85546875" style="45" customWidth="1"/>
    <col min="45" max="16384" width="9.140625" style="45"/>
  </cols>
  <sheetData>
    <row r="1" spans="1:37" ht="15" customHeight="1">
      <c r="A1" s="1687" t="s">
        <v>51</v>
      </c>
      <c r="B1" s="1687"/>
      <c r="C1" s="1687"/>
      <c r="D1" s="1687"/>
      <c r="E1" s="1687"/>
      <c r="F1" s="1687"/>
      <c r="G1" s="1687"/>
      <c r="H1" s="1687"/>
      <c r="I1" s="1687"/>
      <c r="J1" s="1687"/>
      <c r="K1" s="1687"/>
      <c r="L1" s="1687"/>
      <c r="M1" s="1687"/>
      <c r="N1" s="1687"/>
      <c r="O1" s="1687"/>
      <c r="P1" s="1687"/>
      <c r="Q1" s="1687"/>
      <c r="R1" s="1687"/>
      <c r="S1" s="1687"/>
      <c r="T1" s="1687"/>
      <c r="U1" s="1687"/>
      <c r="V1" s="1687"/>
      <c r="W1" s="1687"/>
      <c r="X1" s="1687"/>
      <c r="Y1" s="1687"/>
      <c r="Z1" s="1687"/>
      <c r="AA1" s="1687"/>
      <c r="AB1" s="1687"/>
      <c r="AC1" s="1687"/>
      <c r="AD1" s="1687"/>
      <c r="AE1" s="1687"/>
      <c r="AF1" s="1687"/>
      <c r="AG1" s="1687"/>
      <c r="AH1" s="1687"/>
      <c r="AI1" s="1687"/>
      <c r="AJ1" s="1687"/>
    </row>
    <row r="2" spans="1:37" ht="15" customHeight="1">
      <c r="A2" s="1687" t="s">
        <v>45</v>
      </c>
      <c r="B2" s="1687"/>
      <c r="C2" s="1687"/>
      <c r="D2" s="1687"/>
      <c r="E2" s="1687"/>
      <c r="F2" s="1687"/>
      <c r="G2" s="1687"/>
      <c r="H2" s="1687"/>
      <c r="I2" s="1687"/>
      <c r="J2" s="1687"/>
      <c r="K2" s="1687"/>
      <c r="L2" s="1687"/>
      <c r="M2" s="1687"/>
      <c r="N2" s="1687"/>
      <c r="O2" s="1687"/>
      <c r="P2" s="1687"/>
      <c r="Q2" s="1687"/>
      <c r="R2" s="1687"/>
      <c r="S2" s="1687"/>
      <c r="T2" s="1687"/>
      <c r="U2" s="1687"/>
      <c r="V2" s="1687"/>
      <c r="W2" s="1687"/>
      <c r="X2" s="1687"/>
      <c r="Y2" s="1687"/>
      <c r="Z2" s="1687"/>
      <c r="AA2" s="1687"/>
      <c r="AB2" s="1687"/>
      <c r="AC2" s="1687"/>
      <c r="AD2" s="1687"/>
      <c r="AE2" s="1687"/>
      <c r="AF2" s="1687"/>
      <c r="AG2" s="1687"/>
      <c r="AH2" s="1687"/>
      <c r="AI2" s="1687"/>
      <c r="AJ2" s="1687"/>
    </row>
    <row r="3" spans="1:37" ht="17.25" customHeight="1">
      <c r="A3" s="1688" t="s">
        <v>277</v>
      </c>
      <c r="B3" s="1688"/>
      <c r="C3" s="1688"/>
      <c r="D3" s="1688"/>
      <c r="E3" s="1688"/>
      <c r="F3" s="1688"/>
      <c r="G3" s="1688"/>
      <c r="H3" s="1688"/>
      <c r="I3" s="1688"/>
      <c r="J3" s="1688"/>
      <c r="K3" s="1688"/>
      <c r="L3" s="1688"/>
      <c r="M3" s="1688"/>
      <c r="N3" s="1688"/>
      <c r="O3" s="1688"/>
      <c r="P3" s="1688"/>
      <c r="Q3" s="1688"/>
      <c r="R3" s="1688"/>
      <c r="S3" s="1688"/>
      <c r="T3" s="1688"/>
      <c r="U3" s="1688"/>
      <c r="V3" s="1688"/>
      <c r="W3" s="1688"/>
      <c r="X3" s="1688"/>
      <c r="Y3" s="1688"/>
      <c r="Z3" s="1688"/>
      <c r="AA3" s="1688"/>
      <c r="AB3" s="1688"/>
      <c r="AC3" s="1688"/>
      <c r="AD3" s="1688"/>
      <c r="AE3" s="1688"/>
      <c r="AF3" s="1688"/>
      <c r="AG3" s="1688"/>
      <c r="AH3" s="1688"/>
      <c r="AI3" s="1688"/>
      <c r="AJ3" s="1688"/>
    </row>
    <row r="4" spans="1:37" ht="9" customHeigh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</row>
    <row r="5" spans="1:37" ht="23.25" customHeight="1">
      <c r="A5" s="1535" t="s">
        <v>550</v>
      </c>
      <c r="B5" s="1535"/>
      <c r="C5" s="1535"/>
      <c r="D5" s="1535"/>
      <c r="E5" s="1535"/>
      <c r="F5" s="1535"/>
      <c r="G5" s="1535"/>
      <c r="H5" s="1535"/>
      <c r="I5" s="1535"/>
      <c r="J5" s="1535"/>
      <c r="K5" s="1535"/>
      <c r="L5" s="1535"/>
      <c r="M5" s="1535"/>
      <c r="N5" s="1535"/>
      <c r="O5" s="1535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</row>
    <row r="6" spans="1:37" ht="18" customHeight="1">
      <c r="A6" s="1347" t="s">
        <v>540</v>
      </c>
      <c r="B6" s="1347"/>
      <c r="C6" s="1347"/>
      <c r="D6" s="1347"/>
      <c r="E6" s="1347"/>
      <c r="F6" s="1347"/>
      <c r="G6" s="1347"/>
      <c r="H6" s="1347"/>
      <c r="I6" s="1347"/>
      <c r="J6" s="1347"/>
      <c r="K6" s="1347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</row>
    <row r="7" spans="1:37" ht="12" customHeight="1">
      <c r="A7" s="279"/>
      <c r="B7" s="279"/>
      <c r="C7" s="279"/>
      <c r="D7" s="279"/>
      <c r="E7" s="279"/>
      <c r="F7" s="279"/>
      <c r="G7" s="279"/>
      <c r="H7" s="279"/>
      <c r="I7" s="279"/>
      <c r="J7" s="279"/>
      <c r="K7" s="279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</row>
    <row r="8" spans="1:37" ht="23.25" customHeight="1">
      <c r="A8" s="1686" t="s">
        <v>833</v>
      </c>
      <c r="B8" s="1686"/>
      <c r="C8" s="1686"/>
      <c r="D8" s="1686"/>
      <c r="E8" s="1686"/>
      <c r="F8" s="1686"/>
      <c r="G8" s="1686"/>
      <c r="H8" s="1686"/>
      <c r="I8" s="1686"/>
      <c r="J8" s="1686"/>
      <c r="K8" s="1686"/>
      <c r="L8" s="1686"/>
      <c r="M8" s="1686"/>
      <c r="N8" s="1686"/>
      <c r="O8" s="1686"/>
      <c r="P8" s="1686"/>
      <c r="Q8" s="1686"/>
      <c r="R8" s="1686"/>
      <c r="S8" s="1686"/>
      <c r="T8" s="1686"/>
      <c r="U8" s="1686"/>
      <c r="V8" s="1686"/>
      <c r="W8" s="1686"/>
      <c r="X8" s="1686"/>
      <c r="Y8" s="1686"/>
      <c r="Z8" s="1686"/>
      <c r="AA8" s="1686"/>
      <c r="AB8" s="1686"/>
      <c r="AC8" s="1686"/>
      <c r="AD8" s="1686"/>
      <c r="AE8" s="1686"/>
      <c r="AF8" s="1686"/>
      <c r="AG8" s="1686"/>
      <c r="AH8" s="1686"/>
      <c r="AI8" s="1686"/>
      <c r="AJ8" s="1686"/>
    </row>
    <row r="9" spans="1:37" ht="18" customHeight="1">
      <c r="A9" s="1690" t="s">
        <v>832</v>
      </c>
      <c r="B9" s="1690"/>
      <c r="C9" s="1690"/>
      <c r="D9" s="1690"/>
      <c r="E9" s="1690"/>
      <c r="F9" s="1690"/>
      <c r="G9" s="1690"/>
      <c r="H9" s="1690"/>
      <c r="I9" s="1690"/>
      <c r="J9" s="1690"/>
      <c r="K9" s="1690"/>
      <c r="L9" s="1690"/>
      <c r="M9" s="1690"/>
      <c r="N9" s="1690"/>
      <c r="O9" s="1690"/>
      <c r="P9" s="1690"/>
      <c r="Q9" s="1690"/>
      <c r="R9" s="1690"/>
      <c r="S9" s="1690"/>
      <c r="T9" s="1690"/>
      <c r="U9" s="1690"/>
      <c r="V9" s="1690"/>
      <c r="W9" s="1690"/>
      <c r="X9" s="1690"/>
      <c r="Y9" s="1690"/>
      <c r="Z9" s="1690"/>
      <c r="AA9" s="1690"/>
      <c r="AB9" s="1690"/>
      <c r="AC9" s="1690"/>
      <c r="AD9" s="1690"/>
      <c r="AE9" s="1690"/>
      <c r="AF9" s="1690"/>
      <c r="AG9" s="1690"/>
      <c r="AH9" s="1690"/>
      <c r="AI9" s="1690"/>
      <c r="AJ9" s="1690"/>
    </row>
    <row r="10" spans="1:37" ht="15" customHeight="1">
      <c r="A10" s="1692" t="s">
        <v>46</v>
      </c>
      <c r="B10" s="1692" t="s">
        <v>47</v>
      </c>
      <c r="C10" s="1692" t="s">
        <v>48</v>
      </c>
      <c r="D10" s="1693" t="s">
        <v>49</v>
      </c>
      <c r="E10" s="1693"/>
      <c r="F10" s="1693"/>
      <c r="G10" s="1693"/>
      <c r="H10" s="1693"/>
      <c r="I10" s="1693"/>
      <c r="J10" s="1693"/>
      <c r="K10" s="1693"/>
      <c r="L10" s="1693"/>
      <c r="M10" s="1693"/>
      <c r="N10" s="1693"/>
      <c r="O10" s="1693"/>
      <c r="P10" s="1693"/>
      <c r="Q10" s="1693"/>
      <c r="R10" s="1693"/>
      <c r="S10" s="1693"/>
      <c r="T10" s="1693"/>
      <c r="U10" s="1693"/>
      <c r="V10" s="1693"/>
      <c r="W10" s="1693"/>
      <c r="X10" s="1693"/>
      <c r="Y10" s="1693"/>
      <c r="Z10" s="1693"/>
      <c r="AA10" s="1693"/>
      <c r="AB10" s="1693"/>
      <c r="AC10" s="1693"/>
      <c r="AD10" s="1693"/>
      <c r="AE10" s="1693"/>
      <c r="AF10" s="1693"/>
      <c r="AG10" s="1693"/>
      <c r="AH10" s="765"/>
      <c r="AI10" s="1454" t="s">
        <v>33</v>
      </c>
      <c r="AJ10" s="1454" t="s">
        <v>336</v>
      </c>
      <c r="AK10" s="401">
        <v>27</v>
      </c>
    </row>
    <row r="11" spans="1:37" ht="15" customHeight="1">
      <c r="A11" s="1692"/>
      <c r="B11" s="1692"/>
      <c r="C11" s="1692"/>
      <c r="D11" s="765">
        <v>1</v>
      </c>
      <c r="E11" s="765">
        <v>2</v>
      </c>
      <c r="F11" s="765">
        <v>3</v>
      </c>
      <c r="G11" s="765">
        <v>4</v>
      </c>
      <c r="H11" s="765">
        <v>5</v>
      </c>
      <c r="I11" s="765">
        <v>6</v>
      </c>
      <c r="J11" s="765">
        <v>7</v>
      </c>
      <c r="K11" s="765">
        <v>8</v>
      </c>
      <c r="L11" s="765">
        <v>9</v>
      </c>
      <c r="M11" s="765">
        <v>10</v>
      </c>
      <c r="N11" s="765">
        <v>11</v>
      </c>
      <c r="O11" s="765">
        <v>12</v>
      </c>
      <c r="P11" s="765">
        <v>13</v>
      </c>
      <c r="Q11" s="765">
        <v>14</v>
      </c>
      <c r="R11" s="765">
        <v>15</v>
      </c>
      <c r="S11" s="765">
        <v>16</v>
      </c>
      <c r="T11" s="765">
        <v>17</v>
      </c>
      <c r="U11" s="765">
        <v>18</v>
      </c>
      <c r="V11" s="765">
        <v>19</v>
      </c>
      <c r="W11" s="765">
        <v>20</v>
      </c>
      <c r="X11" s="765">
        <v>21</v>
      </c>
      <c r="Y11" s="765">
        <v>22</v>
      </c>
      <c r="Z11" s="765">
        <v>23</v>
      </c>
      <c r="AA11" s="765">
        <v>24</v>
      </c>
      <c r="AB11" s="765">
        <v>25</v>
      </c>
      <c r="AC11" s="765">
        <v>26</v>
      </c>
      <c r="AD11" s="765">
        <v>27</v>
      </c>
      <c r="AE11" s="765">
        <v>28</v>
      </c>
      <c r="AF11" s="765">
        <v>29</v>
      </c>
      <c r="AG11" s="765">
        <v>30</v>
      </c>
      <c r="AH11" s="765">
        <v>31</v>
      </c>
      <c r="AI11" s="1454"/>
      <c r="AJ11" s="1454"/>
    </row>
    <row r="12" spans="1:37" ht="23.25" customHeight="1">
      <c r="A12" s="97">
        <v>1</v>
      </c>
      <c r="B12" s="89" t="s">
        <v>2</v>
      </c>
      <c r="C12" s="89" t="s">
        <v>545</v>
      </c>
      <c r="D12" s="197" t="s">
        <v>50</v>
      </c>
      <c r="E12" s="197" t="s">
        <v>50</v>
      </c>
      <c r="F12" s="197" t="s">
        <v>50</v>
      </c>
      <c r="G12" s="197" t="s">
        <v>50</v>
      </c>
      <c r="H12" s="197" t="s">
        <v>50</v>
      </c>
      <c r="I12" s="197" t="s">
        <v>50</v>
      </c>
      <c r="J12" s="197" t="s">
        <v>50</v>
      </c>
      <c r="K12" s="197" t="s">
        <v>50</v>
      </c>
      <c r="L12" s="197" t="s">
        <v>50</v>
      </c>
      <c r="M12" s="197" t="s">
        <v>50</v>
      </c>
      <c r="N12" s="197" t="s">
        <v>50</v>
      </c>
      <c r="O12" s="197" t="s">
        <v>50</v>
      </c>
      <c r="P12" s="197" t="s">
        <v>50</v>
      </c>
      <c r="Q12" s="197" t="s">
        <v>50</v>
      </c>
      <c r="R12" s="197" t="s">
        <v>50</v>
      </c>
      <c r="S12" s="197" t="s">
        <v>50</v>
      </c>
      <c r="T12" s="197" t="s">
        <v>50</v>
      </c>
      <c r="U12" s="197" t="s">
        <v>50</v>
      </c>
      <c r="V12" s="197" t="s">
        <v>50</v>
      </c>
      <c r="W12" s="197" t="s">
        <v>50</v>
      </c>
      <c r="X12" s="197" t="s">
        <v>50</v>
      </c>
      <c r="Y12" s="197" t="s">
        <v>50</v>
      </c>
      <c r="Z12" s="197" t="s">
        <v>50</v>
      </c>
      <c r="AA12" s="197" t="s">
        <v>50</v>
      </c>
      <c r="AB12" s="197" t="s">
        <v>50</v>
      </c>
      <c r="AC12" s="197" t="s">
        <v>50</v>
      </c>
      <c r="AD12" s="197" t="s">
        <v>50</v>
      </c>
      <c r="AE12" s="197" t="s">
        <v>50</v>
      </c>
      <c r="AF12" s="197" t="s">
        <v>50</v>
      </c>
      <c r="AG12" s="197" t="s">
        <v>50</v>
      </c>
      <c r="AH12" s="197"/>
      <c r="AI12" s="198">
        <f>COUNTIF(D12:AH12,"x")+ COUNTIF(D12:AH12,"p")+COUNTIF(D12:AH12,"mn")+COUNTIF(D12:AH12,"T")+COUNTIF(D12:AH12,"VN")</f>
        <v>30</v>
      </c>
      <c r="AJ12" s="198"/>
    </row>
    <row r="13" spans="1:37" ht="23.25" customHeight="1">
      <c r="A13" s="97">
        <v>2</v>
      </c>
      <c r="B13" s="89" t="s">
        <v>156</v>
      </c>
      <c r="C13" s="89" t="s">
        <v>545</v>
      </c>
      <c r="D13" s="197" t="s">
        <v>50</v>
      </c>
      <c r="E13" s="197" t="s">
        <v>50</v>
      </c>
      <c r="F13" s="197" t="s">
        <v>50</v>
      </c>
      <c r="G13" s="197" t="s">
        <v>50</v>
      </c>
      <c r="H13" s="197" t="s">
        <v>50</v>
      </c>
      <c r="I13" s="197" t="s">
        <v>50</v>
      </c>
      <c r="J13" s="197" t="s">
        <v>50</v>
      </c>
      <c r="K13" s="197" t="s">
        <v>50</v>
      </c>
      <c r="L13" s="197" t="s">
        <v>50</v>
      </c>
      <c r="M13" s="197" t="s">
        <v>50</v>
      </c>
      <c r="N13" s="197" t="s">
        <v>50</v>
      </c>
      <c r="O13" s="197" t="s">
        <v>50</v>
      </c>
      <c r="P13" s="197" t="s">
        <v>50</v>
      </c>
      <c r="Q13" s="197" t="s">
        <v>50</v>
      </c>
      <c r="R13" s="197" t="s">
        <v>50</v>
      </c>
      <c r="S13" s="197" t="s">
        <v>50</v>
      </c>
      <c r="T13" s="197" t="s">
        <v>50</v>
      </c>
      <c r="U13" s="197" t="s">
        <v>50</v>
      </c>
      <c r="V13" s="197" t="s">
        <v>50</v>
      </c>
      <c r="W13" s="197" t="s">
        <v>50</v>
      </c>
      <c r="X13" s="197" t="s">
        <v>50</v>
      </c>
      <c r="Y13" s="197" t="s">
        <v>50</v>
      </c>
      <c r="Z13" s="197" t="s">
        <v>50</v>
      </c>
      <c r="AA13" s="197" t="s">
        <v>50</v>
      </c>
      <c r="AB13" s="197" t="s">
        <v>50</v>
      </c>
      <c r="AC13" s="197" t="s">
        <v>50</v>
      </c>
      <c r="AD13" s="197" t="s">
        <v>50</v>
      </c>
      <c r="AE13" s="197" t="s">
        <v>50</v>
      </c>
      <c r="AF13" s="197" t="s">
        <v>50</v>
      </c>
      <c r="AG13" s="197" t="s">
        <v>50</v>
      </c>
      <c r="AH13" s="197"/>
      <c r="AI13" s="198">
        <f>COUNTIF(D13:AH13,"x")+ COUNTIF(D13:AH13,"p")+COUNTIF(D13:AH13,"mn")+COUNTIF(D13:AH13,"T")+COUNTIF(D13:AH13,"VN")</f>
        <v>30</v>
      </c>
      <c r="AJ13" s="198"/>
    </row>
    <row r="14" spans="1:37" ht="23.25" customHeight="1">
      <c r="A14" s="97">
        <v>3</v>
      </c>
      <c r="B14" s="218" t="s">
        <v>799</v>
      </c>
      <c r="C14" s="91" t="s">
        <v>736</v>
      </c>
      <c r="D14" s="399" t="s">
        <v>50</v>
      </c>
      <c r="E14" s="399" t="s">
        <v>50</v>
      </c>
      <c r="F14" s="399" t="s">
        <v>50</v>
      </c>
      <c r="G14" s="399" t="s">
        <v>50</v>
      </c>
      <c r="H14" s="399" t="s">
        <v>50</v>
      </c>
      <c r="I14" s="399" t="s">
        <v>50</v>
      </c>
      <c r="J14" s="399" t="s">
        <v>50</v>
      </c>
      <c r="K14" s="399" t="s">
        <v>50</v>
      </c>
      <c r="L14" s="399" t="s">
        <v>50</v>
      </c>
      <c r="M14" s="399" t="s">
        <v>50</v>
      </c>
      <c r="N14" s="399" t="s">
        <v>50</v>
      </c>
      <c r="O14" s="399" t="s">
        <v>50</v>
      </c>
      <c r="P14" s="399" t="s">
        <v>50</v>
      </c>
      <c r="Q14" s="399" t="s">
        <v>50</v>
      </c>
      <c r="R14" s="399" t="s">
        <v>50</v>
      </c>
      <c r="S14" s="399" t="s">
        <v>50</v>
      </c>
      <c r="T14" s="399" t="s">
        <v>50</v>
      </c>
      <c r="U14" s="399" t="s">
        <v>50</v>
      </c>
      <c r="V14" s="399" t="s">
        <v>50</v>
      </c>
      <c r="W14" s="399" t="s">
        <v>50</v>
      </c>
      <c r="X14" s="399" t="s">
        <v>50</v>
      </c>
      <c r="Y14" s="399" t="s">
        <v>50</v>
      </c>
      <c r="Z14" s="399" t="s">
        <v>50</v>
      </c>
      <c r="AA14" s="399" t="s">
        <v>50</v>
      </c>
      <c r="AB14" s="399" t="s">
        <v>50</v>
      </c>
      <c r="AC14" s="399" t="s">
        <v>50</v>
      </c>
      <c r="AD14" s="399" t="s">
        <v>50</v>
      </c>
      <c r="AE14" s="399" t="s">
        <v>50</v>
      </c>
      <c r="AF14" s="399" t="s">
        <v>50</v>
      </c>
      <c r="AG14" s="399" t="s">
        <v>50</v>
      </c>
      <c r="AH14" s="399"/>
      <c r="AI14" s="198">
        <f>COUNTIF(D14:AH14,"x")+ COUNTIF(D14:AH14,"p")+COUNTIF(D14:AH14,"mn")+COUNTIF(D14:AH14,"T")+COUNTIF(D14:AH14,"VN")</f>
        <v>30</v>
      </c>
      <c r="AJ14" s="198"/>
    </row>
    <row r="15" spans="1:37" ht="23.25" customHeight="1">
      <c r="A15" s="97">
        <v>4</v>
      </c>
      <c r="B15" s="91" t="s">
        <v>163</v>
      </c>
      <c r="C15" s="91" t="s">
        <v>737</v>
      </c>
      <c r="D15" s="399" t="s">
        <v>50</v>
      </c>
      <c r="E15" s="399" t="s">
        <v>50</v>
      </c>
      <c r="F15" s="399" t="s">
        <v>50</v>
      </c>
      <c r="G15" s="399" t="s">
        <v>50</v>
      </c>
      <c r="H15" s="399" t="s">
        <v>50</v>
      </c>
      <c r="I15" s="399" t="s">
        <v>50</v>
      </c>
      <c r="J15" s="399" t="s">
        <v>50</v>
      </c>
      <c r="K15" s="399" t="s">
        <v>50</v>
      </c>
      <c r="L15" s="399" t="s">
        <v>50</v>
      </c>
      <c r="M15" s="399" t="s">
        <v>50</v>
      </c>
      <c r="N15" s="399" t="s">
        <v>50</v>
      </c>
      <c r="O15" s="399" t="s">
        <v>50</v>
      </c>
      <c r="P15" s="399" t="s">
        <v>50</v>
      </c>
      <c r="Q15" s="399" t="s">
        <v>50</v>
      </c>
      <c r="R15" s="399" t="s">
        <v>50</v>
      </c>
      <c r="S15" s="399" t="s">
        <v>50</v>
      </c>
      <c r="T15" s="399" t="s">
        <v>50</v>
      </c>
      <c r="U15" s="399" t="s">
        <v>50</v>
      </c>
      <c r="V15" s="399" t="s">
        <v>50</v>
      </c>
      <c r="W15" s="399" t="s">
        <v>50</v>
      </c>
      <c r="X15" s="399" t="s">
        <v>50</v>
      </c>
      <c r="Y15" s="399" t="s">
        <v>50</v>
      </c>
      <c r="Z15" s="399" t="s">
        <v>50</v>
      </c>
      <c r="AA15" s="399" t="s">
        <v>50</v>
      </c>
      <c r="AB15" s="399" t="s">
        <v>50</v>
      </c>
      <c r="AC15" s="399" t="s">
        <v>50</v>
      </c>
      <c r="AD15" s="399" t="s">
        <v>50</v>
      </c>
      <c r="AE15" s="399" t="s">
        <v>50</v>
      </c>
      <c r="AF15" s="399" t="s">
        <v>50</v>
      </c>
      <c r="AG15" s="399" t="s">
        <v>50</v>
      </c>
      <c r="AH15" s="399"/>
      <c r="AI15" s="198">
        <f>COUNTIF(D15:AH15,"x")+ COUNTIF(D15:AH15,"p")+COUNTIF(D15:AH15,"mn")+COUNTIF(D15:AH15,"T")+COUNTIF(D15:AH15,"VN")</f>
        <v>30</v>
      </c>
      <c r="AJ15" s="198"/>
    </row>
    <row r="16" spans="1:37" ht="23.25" customHeight="1">
      <c r="A16" s="97">
        <v>5</v>
      </c>
      <c r="B16" s="91" t="s">
        <v>547</v>
      </c>
      <c r="C16" s="91" t="s">
        <v>738</v>
      </c>
      <c r="D16" s="399" t="s">
        <v>50</v>
      </c>
      <c r="E16" s="399" t="s">
        <v>50</v>
      </c>
      <c r="F16" s="399" t="s">
        <v>50</v>
      </c>
      <c r="G16" s="399" t="s">
        <v>50</v>
      </c>
      <c r="H16" s="399" t="s">
        <v>50</v>
      </c>
      <c r="I16" s="399" t="s">
        <v>50</v>
      </c>
      <c r="J16" s="399" t="s">
        <v>50</v>
      </c>
      <c r="K16" s="399" t="s">
        <v>50</v>
      </c>
      <c r="L16" s="399" t="s">
        <v>50</v>
      </c>
      <c r="M16" s="399" t="s">
        <v>50</v>
      </c>
      <c r="N16" s="399" t="s">
        <v>50</v>
      </c>
      <c r="O16" s="399" t="s">
        <v>50</v>
      </c>
      <c r="P16" s="399" t="s">
        <v>50</v>
      </c>
      <c r="Q16" s="399" t="s">
        <v>50</v>
      </c>
      <c r="R16" s="399" t="s">
        <v>50</v>
      </c>
      <c r="S16" s="399" t="s">
        <v>50</v>
      </c>
      <c r="T16" s="399" t="s">
        <v>50</v>
      </c>
      <c r="U16" s="399" t="s">
        <v>50</v>
      </c>
      <c r="V16" s="399" t="s">
        <v>50</v>
      </c>
      <c r="W16" s="399" t="s">
        <v>50</v>
      </c>
      <c r="X16" s="399" t="s">
        <v>50</v>
      </c>
      <c r="Y16" s="399" t="s">
        <v>50</v>
      </c>
      <c r="Z16" s="399" t="s">
        <v>50</v>
      </c>
      <c r="AA16" s="399" t="s">
        <v>50</v>
      </c>
      <c r="AB16" s="399" t="s">
        <v>50</v>
      </c>
      <c r="AC16" s="399" t="s">
        <v>50</v>
      </c>
      <c r="AD16" s="399" t="s">
        <v>50</v>
      </c>
      <c r="AE16" s="399" t="s">
        <v>50</v>
      </c>
      <c r="AF16" s="399" t="s">
        <v>50</v>
      </c>
      <c r="AG16" s="399" t="s">
        <v>50</v>
      </c>
      <c r="AH16" s="399"/>
      <c r="AI16" s="198">
        <f t="shared" ref="AI16" si="0">COUNTIF(D16:AH16,"x")+ COUNTIF(D16:AH16,"p")+COUNTIF(D16:AH16,"mn")+COUNTIF(D16:AH16,"T")+COUNTIF(D16:AH16,"VN")</f>
        <v>30</v>
      </c>
      <c r="AJ16" s="198"/>
    </row>
    <row r="17" spans="1:36" ht="23.25" customHeight="1">
      <c r="A17" s="97">
        <v>6</v>
      </c>
      <c r="B17" s="91" t="s">
        <v>369</v>
      </c>
      <c r="C17" s="91" t="s">
        <v>161</v>
      </c>
      <c r="D17" s="399" t="s">
        <v>50</v>
      </c>
      <c r="E17" s="399" t="s">
        <v>50</v>
      </c>
      <c r="F17" s="399" t="s">
        <v>50</v>
      </c>
      <c r="G17" s="399" t="s">
        <v>50</v>
      </c>
      <c r="H17" s="399" t="s">
        <v>50</v>
      </c>
      <c r="I17" s="399" t="s">
        <v>50</v>
      </c>
      <c r="J17" s="399" t="s">
        <v>50</v>
      </c>
      <c r="K17" s="399" t="s">
        <v>50</v>
      </c>
      <c r="L17" s="399" t="s">
        <v>50</v>
      </c>
      <c r="M17" s="399" t="s">
        <v>50</v>
      </c>
      <c r="N17" s="399" t="s">
        <v>50</v>
      </c>
      <c r="O17" s="399" t="s">
        <v>50</v>
      </c>
      <c r="P17" s="399" t="s">
        <v>50</v>
      </c>
      <c r="Q17" s="399" t="s">
        <v>50</v>
      </c>
      <c r="R17" s="399" t="s">
        <v>50</v>
      </c>
      <c r="S17" s="399" t="s">
        <v>50</v>
      </c>
      <c r="T17" s="399" t="s">
        <v>50</v>
      </c>
      <c r="U17" s="399" t="s">
        <v>50</v>
      </c>
      <c r="V17" s="399" t="s">
        <v>50</v>
      </c>
      <c r="W17" s="399" t="s">
        <v>50</v>
      </c>
      <c r="X17" s="399" t="s">
        <v>50</v>
      </c>
      <c r="Y17" s="399" t="s">
        <v>50</v>
      </c>
      <c r="Z17" s="399" t="s">
        <v>50</v>
      </c>
      <c r="AA17" s="399" t="s">
        <v>50</v>
      </c>
      <c r="AB17" s="399" t="s">
        <v>50</v>
      </c>
      <c r="AC17" s="399" t="s">
        <v>50</v>
      </c>
      <c r="AD17" s="399" t="s">
        <v>50</v>
      </c>
      <c r="AE17" s="399" t="s">
        <v>50</v>
      </c>
      <c r="AF17" s="399" t="s">
        <v>50</v>
      </c>
      <c r="AG17" s="399" t="s">
        <v>50</v>
      </c>
      <c r="AH17" s="399"/>
      <c r="AI17" s="198">
        <f>COUNTIF(D17:AH17,"x")+ COUNTIF(D17:AH17,"p")+COUNTIF(D17:AH17,"mn")+COUNTIF(D17:AH17,"T")+COUNTIF(D17:AH17,"VN")</f>
        <v>30</v>
      </c>
      <c r="AJ17" s="198"/>
    </row>
    <row r="18" spans="1:36" ht="23.25" customHeight="1">
      <c r="A18" s="1694" t="s">
        <v>148</v>
      </c>
      <c r="B18" s="1694"/>
      <c r="C18" s="1694"/>
      <c r="D18" s="634">
        <f>COUNTIF(D12:D17,"x")</f>
        <v>6</v>
      </c>
      <c r="E18" s="634">
        <f t="shared" ref="E18:AH18" si="1">COUNTIF(E12:E17,"x")</f>
        <v>6</v>
      </c>
      <c r="F18" s="634">
        <f t="shared" si="1"/>
        <v>6</v>
      </c>
      <c r="G18" s="634">
        <f t="shared" si="1"/>
        <v>6</v>
      </c>
      <c r="H18" s="634">
        <f t="shared" si="1"/>
        <v>6</v>
      </c>
      <c r="I18" s="634">
        <f t="shared" si="1"/>
        <v>6</v>
      </c>
      <c r="J18" s="634">
        <f t="shared" si="1"/>
        <v>6</v>
      </c>
      <c r="K18" s="634">
        <f t="shared" si="1"/>
        <v>6</v>
      </c>
      <c r="L18" s="634">
        <f t="shared" si="1"/>
        <v>6</v>
      </c>
      <c r="M18" s="634">
        <f t="shared" si="1"/>
        <v>6</v>
      </c>
      <c r="N18" s="634">
        <f t="shared" si="1"/>
        <v>6</v>
      </c>
      <c r="O18" s="634">
        <f t="shared" si="1"/>
        <v>6</v>
      </c>
      <c r="P18" s="634">
        <f t="shared" si="1"/>
        <v>6</v>
      </c>
      <c r="Q18" s="634">
        <f t="shared" si="1"/>
        <v>6</v>
      </c>
      <c r="R18" s="634">
        <f t="shared" si="1"/>
        <v>6</v>
      </c>
      <c r="S18" s="634">
        <f t="shared" si="1"/>
        <v>6</v>
      </c>
      <c r="T18" s="634">
        <f t="shared" si="1"/>
        <v>6</v>
      </c>
      <c r="U18" s="634">
        <f t="shared" si="1"/>
        <v>6</v>
      </c>
      <c r="V18" s="634">
        <f t="shared" si="1"/>
        <v>6</v>
      </c>
      <c r="W18" s="634">
        <f t="shared" si="1"/>
        <v>6</v>
      </c>
      <c r="X18" s="634">
        <f t="shared" si="1"/>
        <v>6</v>
      </c>
      <c r="Y18" s="634">
        <f t="shared" si="1"/>
        <v>6</v>
      </c>
      <c r="Z18" s="634">
        <f t="shared" si="1"/>
        <v>6</v>
      </c>
      <c r="AA18" s="634">
        <f t="shared" si="1"/>
        <v>6</v>
      </c>
      <c r="AB18" s="634">
        <f t="shared" si="1"/>
        <v>6</v>
      </c>
      <c r="AC18" s="634">
        <f t="shared" si="1"/>
        <v>6</v>
      </c>
      <c r="AD18" s="634">
        <f t="shared" si="1"/>
        <v>6</v>
      </c>
      <c r="AE18" s="634">
        <f t="shared" si="1"/>
        <v>6</v>
      </c>
      <c r="AF18" s="634">
        <f t="shared" si="1"/>
        <v>6</v>
      </c>
      <c r="AG18" s="634">
        <f t="shared" si="1"/>
        <v>6</v>
      </c>
      <c r="AH18" s="634">
        <f t="shared" si="1"/>
        <v>0</v>
      </c>
      <c r="AI18" s="634">
        <f>SUM(AI12:AI17)</f>
        <v>180</v>
      </c>
      <c r="AJ18" s="198"/>
    </row>
    <row r="19" spans="1:36" ht="15.75" customHeight="1"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1691" t="s">
        <v>784</v>
      </c>
      <c r="U19" s="1691"/>
      <c r="V19" s="1691"/>
      <c r="W19" s="1691"/>
      <c r="X19" s="1691"/>
      <c r="Y19" s="1691"/>
      <c r="Z19" s="1691"/>
      <c r="AA19" s="1691"/>
      <c r="AB19" s="1691"/>
      <c r="AC19" s="1691"/>
      <c r="AD19" s="1691"/>
      <c r="AE19" s="1691"/>
      <c r="AF19" s="1691"/>
      <c r="AG19" s="1691"/>
      <c r="AH19" s="1691"/>
      <c r="AI19" s="1691"/>
      <c r="AJ19" s="1691"/>
    </row>
    <row r="20" spans="1:36" ht="15.75" customHeight="1">
      <c r="B20" s="56" t="s">
        <v>398</v>
      </c>
      <c r="C20" s="1689" t="s">
        <v>399</v>
      </c>
      <c r="D20" s="1689"/>
      <c r="E20" s="1689"/>
      <c r="F20" s="1689"/>
      <c r="G20" s="1689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771"/>
      <c r="U20" s="771"/>
      <c r="V20" s="771"/>
      <c r="W20" s="771"/>
      <c r="X20" s="771"/>
      <c r="Y20" s="771"/>
      <c r="Z20" s="771"/>
      <c r="AA20" s="771"/>
      <c r="AB20" s="771"/>
      <c r="AC20" s="771"/>
      <c r="AD20" s="771"/>
      <c r="AE20" s="771"/>
      <c r="AF20" s="771"/>
      <c r="AG20" s="771"/>
      <c r="AH20" s="771"/>
      <c r="AI20" s="771"/>
      <c r="AJ20" s="771"/>
    </row>
    <row r="21" spans="1:36" ht="13.5" customHeight="1">
      <c r="B21" s="56"/>
      <c r="C21" s="1689" t="s">
        <v>469</v>
      </c>
      <c r="D21" s="1689"/>
      <c r="E21" s="1689"/>
      <c r="F21" s="1689"/>
      <c r="G21" s="1689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771"/>
      <c r="U21" s="771"/>
      <c r="V21" s="771"/>
      <c r="W21" s="771"/>
      <c r="X21" s="771"/>
      <c r="Y21" s="771"/>
      <c r="Z21" s="771"/>
      <c r="AA21" s="771"/>
      <c r="AB21" s="771"/>
      <c r="AC21" s="771"/>
      <c r="AD21" s="771"/>
      <c r="AE21" s="771"/>
      <c r="AF21" s="771"/>
      <c r="AG21" s="771"/>
      <c r="AH21" s="771"/>
      <c r="AI21" s="771"/>
      <c r="AJ21" s="771"/>
    </row>
    <row r="22" spans="1:36" ht="17.25" customHeight="1">
      <c r="A22" s="1649" t="s">
        <v>548</v>
      </c>
      <c r="B22" s="1649"/>
      <c r="C22" s="1649"/>
      <c r="D22" s="1649"/>
      <c r="E22" s="1649"/>
      <c r="F22" s="1649"/>
      <c r="G22" s="1649"/>
      <c r="H22" s="1649"/>
      <c r="I22" s="1649"/>
      <c r="J22" s="1649"/>
      <c r="K22" s="1649"/>
      <c r="L22" s="1649"/>
      <c r="M22" s="1649"/>
      <c r="N22" s="1649"/>
      <c r="O22" s="1649"/>
      <c r="P22" s="1649"/>
      <c r="Q22" s="1649"/>
      <c r="R22" s="1649"/>
      <c r="S22" s="1649"/>
      <c r="T22" s="1649"/>
      <c r="U22" s="1649"/>
      <c r="V22" s="1649"/>
      <c r="W22" s="1649"/>
      <c r="X22" s="1649"/>
      <c r="Y22" s="1649"/>
      <c r="Z22" s="1649"/>
      <c r="AA22" s="1649"/>
      <c r="AB22" s="1649"/>
      <c r="AC22" s="1649"/>
      <c r="AD22" s="1649"/>
      <c r="AE22" s="1649"/>
      <c r="AF22" s="1649"/>
      <c r="AG22" s="1649"/>
      <c r="AH22" s="1649"/>
      <c r="AI22" s="1649"/>
      <c r="AJ22" s="1649"/>
    </row>
    <row r="23" spans="1:36" ht="15" customHeight="1">
      <c r="A23" s="43"/>
      <c r="B23" s="41"/>
      <c r="C23" s="770"/>
      <c r="D23" s="43"/>
      <c r="E23" s="43"/>
      <c r="F23" s="43"/>
      <c r="G23" s="43"/>
      <c r="H23" s="43"/>
      <c r="I23" s="46"/>
      <c r="J23" s="46"/>
      <c r="K23" s="46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</row>
    <row r="24" spans="1:36" ht="13.5" customHeight="1">
      <c r="A24" s="43"/>
      <c r="B24" s="236"/>
      <c r="C24" s="770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54"/>
      <c r="O24" s="54"/>
      <c r="P24" s="54"/>
      <c r="Q24" s="46"/>
      <c r="R24" s="46"/>
      <c r="S24" s="46"/>
      <c r="T24" s="46"/>
      <c r="U24" s="46"/>
      <c r="V24" s="46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46"/>
      <c r="AJ24" s="46"/>
    </row>
    <row r="25" spans="1:36" ht="13.5" customHeight="1">
      <c r="A25" s="43"/>
      <c r="B25" s="236"/>
      <c r="C25" s="770"/>
      <c r="D25" s="43"/>
      <c r="E25" s="43"/>
      <c r="F25" s="43"/>
      <c r="G25" s="43"/>
      <c r="H25" s="43"/>
      <c r="I25" s="46"/>
      <c r="J25" s="46"/>
      <c r="K25" s="46"/>
      <c r="L25" s="43"/>
      <c r="M25" s="43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</row>
    <row r="26" spans="1:36" ht="13.5" customHeight="1">
      <c r="A26" s="43"/>
      <c r="B26" s="236"/>
      <c r="C26" s="770"/>
      <c r="D26" s="43"/>
      <c r="E26" s="43"/>
      <c r="F26" s="43"/>
      <c r="G26" s="43"/>
      <c r="H26" s="43"/>
      <c r="I26" s="43"/>
      <c r="J26" s="43"/>
      <c r="K26" s="46"/>
      <c r="L26" s="43"/>
      <c r="M26" s="43"/>
      <c r="N26" s="54"/>
      <c r="O26" s="54"/>
      <c r="P26" s="54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</row>
    <row r="27" spans="1:36" ht="12" customHeight="1">
      <c r="A27" s="43"/>
      <c r="B27" s="236"/>
      <c r="C27" s="43"/>
      <c r="D27" s="43"/>
      <c r="E27" s="43"/>
      <c r="F27" s="43"/>
      <c r="G27" s="43"/>
      <c r="H27" s="43"/>
      <c r="I27" s="43"/>
      <c r="J27" s="43"/>
      <c r="K27" s="46"/>
      <c r="L27" s="43"/>
      <c r="M27" s="43"/>
      <c r="N27" s="54"/>
      <c r="O27" s="54"/>
      <c r="P27" s="54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</row>
    <row r="28" spans="1:36" ht="15.75" customHeight="1">
      <c r="A28" s="43"/>
      <c r="B28" s="777"/>
      <c r="C28" s="777"/>
      <c r="D28" s="777"/>
      <c r="E28" s="777"/>
      <c r="F28" s="777"/>
      <c r="G28" s="777"/>
      <c r="H28" s="777"/>
      <c r="I28" s="777"/>
      <c r="J28" s="777"/>
      <c r="L28" s="43"/>
      <c r="N28" s="46"/>
      <c r="O28" s="46"/>
      <c r="P28" s="46"/>
      <c r="Q28" s="46"/>
      <c r="R28" s="46"/>
      <c r="S28" s="46"/>
      <c r="T28" s="46"/>
      <c r="U28" s="46"/>
      <c r="V28" s="46"/>
      <c r="W28" s="54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</row>
    <row r="29" spans="1:36" ht="13.5" customHeight="1">
      <c r="A29" s="43"/>
      <c r="H29" s="45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</row>
    <row r="30" spans="1:36" ht="13.5" customHeight="1">
      <c r="A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</row>
    <row r="31" spans="1:36" ht="16.5">
      <c r="A31" s="51"/>
      <c r="B31" s="43"/>
      <c r="C31" s="52"/>
      <c r="D31" s="52"/>
      <c r="E31" s="43"/>
      <c r="F31" s="43"/>
      <c r="G31" s="43"/>
      <c r="H31" s="43"/>
      <c r="I31" s="53"/>
      <c r="J31" s="53"/>
      <c r="K31" s="43"/>
    </row>
    <row r="32" spans="1:36" ht="15.75">
      <c r="A32" s="43"/>
      <c r="B32" s="41"/>
      <c r="C32" s="770"/>
      <c r="D32" s="43"/>
      <c r="E32" s="43"/>
      <c r="F32" s="43"/>
      <c r="G32" s="43"/>
      <c r="H32" s="43"/>
      <c r="I32" s="46"/>
      <c r="J32" s="46"/>
      <c r="K32" s="46"/>
    </row>
    <row r="33" spans="1:11">
      <c r="A33" s="43"/>
      <c r="B33" s="236"/>
      <c r="C33" s="770"/>
      <c r="D33" s="43"/>
      <c r="E33" s="43"/>
      <c r="F33" s="43"/>
      <c r="G33" s="43"/>
      <c r="H33" s="43"/>
      <c r="I33" s="43"/>
      <c r="J33" s="43"/>
      <c r="K33" s="43"/>
    </row>
    <row r="34" spans="1:11" ht="15.75">
      <c r="A34" s="43"/>
      <c r="B34" s="236"/>
      <c r="C34" s="770"/>
      <c r="D34" s="43"/>
      <c r="E34" s="43"/>
      <c r="F34" s="43"/>
      <c r="G34" s="43"/>
      <c r="H34" s="43"/>
      <c r="I34" s="46"/>
      <c r="J34" s="46"/>
      <c r="K34" s="46"/>
    </row>
    <row r="35" spans="1:11" ht="15.75">
      <c r="A35" s="43"/>
      <c r="B35" s="236"/>
      <c r="C35" s="770"/>
      <c r="D35" s="43"/>
      <c r="E35" s="43"/>
      <c r="F35" s="43"/>
      <c r="G35" s="43"/>
      <c r="H35" s="43"/>
      <c r="I35" s="43"/>
      <c r="J35" s="43"/>
      <c r="K35" s="46"/>
    </row>
    <row r="36" spans="1:11" ht="15.75">
      <c r="A36" s="43"/>
      <c r="B36" s="236"/>
      <c r="C36" s="43"/>
      <c r="D36" s="43"/>
      <c r="E36" s="43"/>
      <c r="F36" s="43"/>
      <c r="G36" s="43"/>
      <c r="H36" s="43"/>
      <c r="I36" s="43"/>
      <c r="J36" s="43"/>
      <c r="K36" s="46"/>
    </row>
    <row r="37" spans="1:11">
      <c r="A37" s="43"/>
      <c r="B37" s="236"/>
      <c r="C37" s="43"/>
      <c r="D37" s="43"/>
      <c r="E37" s="43"/>
      <c r="F37" s="43"/>
      <c r="G37" s="43"/>
      <c r="H37" s="43"/>
      <c r="I37" s="43"/>
      <c r="J37" s="43"/>
    </row>
    <row r="38" spans="1:11">
      <c r="A38" s="43"/>
      <c r="H38" s="45"/>
    </row>
  </sheetData>
  <mergeCells count="18">
    <mergeCell ref="C20:G20"/>
    <mergeCell ref="C21:G21"/>
    <mergeCell ref="A22:AJ22"/>
    <mergeCell ref="A9:AJ9"/>
    <mergeCell ref="T19:AJ19"/>
    <mergeCell ref="AJ10:AJ11"/>
    <mergeCell ref="A10:A11"/>
    <mergeCell ref="B10:B11"/>
    <mergeCell ref="C10:C11"/>
    <mergeCell ref="D10:AG10"/>
    <mergeCell ref="AI10:AI11"/>
    <mergeCell ref="A18:C18"/>
    <mergeCell ref="A8:AJ8"/>
    <mergeCell ref="A1:AJ1"/>
    <mergeCell ref="A2:AJ2"/>
    <mergeCell ref="A3:AJ3"/>
    <mergeCell ref="A5:O5"/>
    <mergeCell ref="A6:K6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6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36"/>
  <sheetViews>
    <sheetView topLeftCell="A4" workbookViewId="0">
      <selection activeCell="AM16" sqref="AM16"/>
    </sheetView>
  </sheetViews>
  <sheetFormatPr defaultColWidth="9.140625" defaultRowHeight="15"/>
  <cols>
    <col min="1" max="1" width="3" style="45" customWidth="1"/>
    <col min="2" max="2" width="16.85546875" style="45" customWidth="1"/>
    <col min="3" max="3" width="10" style="45" customWidth="1"/>
    <col min="4" max="7" width="3" style="45" customWidth="1"/>
    <col min="8" max="8" width="3" style="55" customWidth="1"/>
    <col min="9" max="9" width="2.7109375" style="45" customWidth="1"/>
    <col min="10" max="31" width="3" style="45" customWidth="1"/>
    <col min="32" max="32" width="3.5703125" style="45" customWidth="1"/>
    <col min="33" max="33" width="3.42578125" style="45" customWidth="1"/>
    <col min="34" max="34" width="3.42578125" style="45" hidden="1" customWidth="1"/>
    <col min="35" max="35" width="5" style="45" customWidth="1"/>
    <col min="36" max="36" width="7.140625" style="45" customWidth="1"/>
    <col min="37" max="37" width="9.140625" style="45"/>
    <col min="38" max="38" width="14.85546875" style="45" bestFit="1" customWidth="1"/>
    <col min="39" max="43" width="9.140625" style="45"/>
    <col min="44" max="44" width="15.85546875" style="45" customWidth="1"/>
    <col min="45" max="16384" width="9.140625" style="45"/>
  </cols>
  <sheetData>
    <row r="1" spans="1:37" ht="15" customHeight="1">
      <c r="A1" s="1687" t="s">
        <v>51</v>
      </c>
      <c r="B1" s="1687"/>
      <c r="C1" s="1687"/>
      <c r="D1" s="1687"/>
      <c r="E1" s="1687"/>
      <c r="F1" s="1687"/>
      <c r="G1" s="1687"/>
      <c r="H1" s="1687"/>
      <c r="I1" s="1687"/>
      <c r="J1" s="1687"/>
      <c r="K1" s="1687"/>
      <c r="L1" s="1687"/>
      <c r="M1" s="1687"/>
      <c r="N1" s="1687"/>
      <c r="O1" s="1687"/>
      <c r="P1" s="1687"/>
      <c r="Q1" s="1687"/>
      <c r="R1" s="1687"/>
      <c r="S1" s="1687"/>
      <c r="T1" s="1687"/>
      <c r="U1" s="1687"/>
      <c r="V1" s="1687"/>
      <c r="W1" s="1687"/>
      <c r="X1" s="1687"/>
      <c r="Y1" s="1687"/>
      <c r="Z1" s="1687"/>
      <c r="AA1" s="1687"/>
      <c r="AB1" s="1687"/>
      <c r="AC1" s="1687"/>
      <c r="AD1" s="1687"/>
      <c r="AE1" s="1687"/>
      <c r="AF1" s="1687"/>
      <c r="AG1" s="1687"/>
      <c r="AH1" s="1687"/>
      <c r="AI1" s="1687"/>
      <c r="AJ1" s="769"/>
    </row>
    <row r="2" spans="1:37" ht="15" customHeight="1">
      <c r="A2" s="1687" t="s">
        <v>45</v>
      </c>
      <c r="B2" s="1687"/>
      <c r="C2" s="1687"/>
      <c r="D2" s="1687"/>
      <c r="E2" s="1687"/>
      <c r="F2" s="1687"/>
      <c r="G2" s="1687"/>
      <c r="H2" s="1687"/>
      <c r="I2" s="1687"/>
      <c r="J2" s="1687"/>
      <c r="K2" s="1687"/>
      <c r="L2" s="1687"/>
      <c r="M2" s="1687"/>
      <c r="N2" s="1687"/>
      <c r="O2" s="1687"/>
      <c r="P2" s="1687"/>
      <c r="Q2" s="1687"/>
      <c r="R2" s="1687"/>
      <c r="S2" s="1687"/>
      <c r="T2" s="1687"/>
      <c r="U2" s="1687"/>
      <c r="V2" s="1687"/>
      <c r="W2" s="1687"/>
      <c r="X2" s="1687"/>
      <c r="Y2" s="1687"/>
      <c r="Z2" s="1687"/>
      <c r="AA2" s="1687"/>
      <c r="AB2" s="1687"/>
      <c r="AC2" s="1687"/>
      <c r="AD2" s="1687"/>
      <c r="AE2" s="1687"/>
      <c r="AF2" s="1687"/>
      <c r="AG2" s="1687"/>
      <c r="AH2" s="1687"/>
      <c r="AI2" s="1687"/>
      <c r="AJ2" s="769"/>
    </row>
    <row r="3" spans="1:37" ht="17.25" customHeight="1">
      <c r="A3" s="1688" t="s">
        <v>277</v>
      </c>
      <c r="B3" s="1347"/>
      <c r="C3" s="1347"/>
      <c r="D3" s="1347"/>
      <c r="E3" s="1347"/>
      <c r="F3" s="1347"/>
      <c r="G3" s="1347"/>
      <c r="H3" s="1347"/>
      <c r="I3" s="1347"/>
      <c r="J3" s="1347"/>
      <c r="K3" s="1347"/>
      <c r="L3" s="1347"/>
      <c r="M3" s="1347"/>
      <c r="N3" s="1347"/>
      <c r="O3" s="1347"/>
      <c r="P3" s="1347"/>
      <c r="Q3" s="1347"/>
      <c r="R3" s="1347"/>
      <c r="S3" s="1347"/>
      <c r="T3" s="1347"/>
      <c r="U3" s="1347"/>
      <c r="V3" s="1347"/>
      <c r="W3" s="1347"/>
      <c r="X3" s="1347"/>
      <c r="Y3" s="1347"/>
      <c r="Z3" s="1347"/>
      <c r="AA3" s="1347"/>
      <c r="AB3" s="1347"/>
      <c r="AC3" s="1347"/>
      <c r="AD3" s="1347"/>
      <c r="AE3" s="1347"/>
      <c r="AF3" s="1347"/>
      <c r="AG3" s="1347"/>
      <c r="AH3" s="1347"/>
      <c r="AI3" s="1347"/>
      <c r="AJ3" s="917"/>
    </row>
    <row r="4" spans="1:37" ht="9" customHeigh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</row>
    <row r="5" spans="1:37" ht="23.25" customHeight="1">
      <c r="A5" s="1699" t="s">
        <v>550</v>
      </c>
      <c r="B5" s="1699"/>
      <c r="C5" s="1699"/>
      <c r="D5" s="1699"/>
      <c r="E5" s="1699"/>
      <c r="F5" s="1699"/>
      <c r="G5" s="1699"/>
      <c r="H5" s="1699"/>
      <c r="I5" s="1699"/>
      <c r="J5" s="1699"/>
      <c r="K5" s="1699"/>
      <c r="L5" s="1699"/>
      <c r="M5" s="1699"/>
      <c r="N5" s="1699"/>
      <c r="O5" s="1699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</row>
    <row r="6" spans="1:37" ht="18" customHeight="1">
      <c r="A6" s="1699" t="s">
        <v>540</v>
      </c>
      <c r="B6" s="1699"/>
      <c r="C6" s="1699"/>
      <c r="D6" s="1699"/>
      <c r="E6" s="1699"/>
      <c r="F6" s="1699"/>
      <c r="G6" s="1699"/>
      <c r="H6" s="1699"/>
      <c r="I6" s="1699"/>
      <c r="J6" s="1699"/>
      <c r="K6" s="1699"/>
      <c r="L6" s="54"/>
      <c r="M6" s="54"/>
      <c r="N6" s="54"/>
      <c r="O6" s="54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</row>
    <row r="7" spans="1:37" ht="12" customHeight="1">
      <c r="A7" s="279"/>
      <c r="B7" s="279"/>
      <c r="C7" s="279"/>
      <c r="D7" s="279"/>
      <c r="E7" s="279"/>
      <c r="F7" s="279"/>
      <c r="G7" s="279"/>
      <c r="H7" s="279"/>
      <c r="I7" s="279"/>
      <c r="J7" s="279"/>
      <c r="K7" s="279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</row>
    <row r="8" spans="1:37" ht="23.25" customHeight="1">
      <c r="A8" s="1698" t="s">
        <v>758</v>
      </c>
      <c r="B8" s="1698"/>
      <c r="C8" s="1698"/>
      <c r="D8" s="1698"/>
      <c r="E8" s="1698"/>
      <c r="F8" s="1698"/>
      <c r="G8" s="1698"/>
      <c r="H8" s="1698"/>
      <c r="I8" s="1698"/>
      <c r="J8" s="1698"/>
      <c r="K8" s="1698"/>
      <c r="L8" s="1698"/>
      <c r="M8" s="1698"/>
      <c r="N8" s="1698"/>
      <c r="O8" s="1698"/>
      <c r="P8" s="1698"/>
      <c r="Q8" s="1698"/>
      <c r="R8" s="1698"/>
      <c r="S8" s="1698"/>
      <c r="T8" s="1698"/>
      <c r="U8" s="1698"/>
      <c r="V8" s="1698"/>
      <c r="W8" s="1698"/>
      <c r="X8" s="1698"/>
      <c r="Y8" s="1698"/>
      <c r="Z8" s="1698"/>
      <c r="AA8" s="1698"/>
      <c r="AB8" s="1698"/>
      <c r="AC8" s="1698"/>
      <c r="AD8" s="1698"/>
      <c r="AE8" s="1698"/>
      <c r="AF8" s="1698"/>
      <c r="AG8" s="1698"/>
      <c r="AH8" s="1698"/>
      <c r="AI8" s="1698"/>
      <c r="AJ8" s="918"/>
    </row>
    <row r="9" spans="1:37" ht="18" customHeight="1">
      <c r="A9" s="1347" t="s">
        <v>796</v>
      </c>
      <c r="B9" s="1347"/>
      <c r="C9" s="1347"/>
      <c r="D9" s="1347"/>
      <c r="E9" s="1347"/>
      <c r="F9" s="1347"/>
      <c r="G9" s="1347"/>
      <c r="H9" s="1347"/>
      <c r="I9" s="1347"/>
      <c r="J9" s="1347"/>
      <c r="K9" s="1347"/>
      <c r="L9" s="1347"/>
      <c r="M9" s="1347"/>
      <c r="N9" s="1347"/>
      <c r="O9" s="1347"/>
      <c r="P9" s="1347"/>
      <c r="Q9" s="1347"/>
      <c r="R9" s="1347"/>
      <c r="S9" s="1347"/>
      <c r="T9" s="1347"/>
      <c r="U9" s="1347"/>
      <c r="V9" s="1347"/>
      <c r="W9" s="1347"/>
      <c r="X9" s="1347"/>
      <c r="Y9" s="1347"/>
      <c r="Z9" s="1347"/>
      <c r="AA9" s="1347"/>
      <c r="AB9" s="1347"/>
      <c r="AC9" s="1347"/>
      <c r="AD9" s="1347"/>
      <c r="AE9" s="1347"/>
      <c r="AF9" s="1347"/>
      <c r="AG9" s="1347"/>
      <c r="AH9" s="1347"/>
      <c r="AI9" s="1347"/>
      <c r="AJ9" s="921"/>
    </row>
    <row r="10" spans="1:37" ht="15" customHeight="1">
      <c r="A10" s="1692" t="s">
        <v>46</v>
      </c>
      <c r="B10" s="1692" t="s">
        <v>47</v>
      </c>
      <c r="C10" s="1692" t="s">
        <v>48</v>
      </c>
      <c r="D10" s="1693" t="s">
        <v>49</v>
      </c>
      <c r="E10" s="1693"/>
      <c r="F10" s="1693"/>
      <c r="G10" s="1693"/>
      <c r="H10" s="1693"/>
      <c r="I10" s="1693"/>
      <c r="J10" s="1693"/>
      <c r="K10" s="1693"/>
      <c r="L10" s="1693"/>
      <c r="M10" s="1693"/>
      <c r="N10" s="1693"/>
      <c r="O10" s="1693"/>
      <c r="P10" s="1693"/>
      <c r="Q10" s="1693"/>
      <c r="R10" s="1693"/>
      <c r="S10" s="1693"/>
      <c r="T10" s="1693"/>
      <c r="U10" s="1693"/>
      <c r="V10" s="1693"/>
      <c r="W10" s="1693"/>
      <c r="X10" s="1693"/>
      <c r="Y10" s="1693"/>
      <c r="Z10" s="1693"/>
      <c r="AA10" s="1693"/>
      <c r="AB10" s="1693"/>
      <c r="AC10" s="1693"/>
      <c r="AD10" s="1693"/>
      <c r="AE10" s="1693"/>
      <c r="AF10" s="1693"/>
      <c r="AG10" s="1693"/>
      <c r="AH10" s="765"/>
      <c r="AI10" s="1454" t="s">
        <v>33</v>
      </c>
      <c r="AJ10" s="1454" t="s">
        <v>336</v>
      </c>
      <c r="AK10" s="401"/>
    </row>
    <row r="11" spans="1:37" ht="36.75" customHeight="1">
      <c r="A11" s="1692"/>
      <c r="B11" s="1692"/>
      <c r="C11" s="1692"/>
      <c r="D11" s="1096">
        <v>1</v>
      </c>
      <c r="E11" s="1096">
        <v>2</v>
      </c>
      <c r="F11" s="1096">
        <v>3</v>
      </c>
      <c r="G11" s="1096">
        <v>4</v>
      </c>
      <c r="H11" s="1096">
        <v>5</v>
      </c>
      <c r="I11" s="1096">
        <v>6</v>
      </c>
      <c r="J11" s="1097">
        <v>7</v>
      </c>
      <c r="K11" s="1096">
        <v>8</v>
      </c>
      <c r="L11" s="1096">
        <v>9</v>
      </c>
      <c r="M11" s="1096">
        <v>10</v>
      </c>
      <c r="N11" s="1096">
        <v>11</v>
      </c>
      <c r="O11" s="1096">
        <v>12</v>
      </c>
      <c r="P11" s="1096">
        <v>13</v>
      </c>
      <c r="Q11" s="1097">
        <v>14</v>
      </c>
      <c r="R11" s="1096">
        <v>15</v>
      </c>
      <c r="S11" s="1096">
        <v>16</v>
      </c>
      <c r="T11" s="1096">
        <v>17</v>
      </c>
      <c r="U11" s="1096">
        <v>18</v>
      </c>
      <c r="V11" s="1096">
        <v>19</v>
      </c>
      <c r="W11" s="1096">
        <v>20</v>
      </c>
      <c r="X11" s="1097">
        <v>21</v>
      </c>
      <c r="Y11" s="1096">
        <v>22</v>
      </c>
      <c r="Z11" s="1096">
        <v>23</v>
      </c>
      <c r="AA11" s="1096">
        <v>24</v>
      </c>
      <c r="AB11" s="1096">
        <v>25</v>
      </c>
      <c r="AC11" s="1096">
        <v>26</v>
      </c>
      <c r="AD11" s="1096">
        <v>27</v>
      </c>
      <c r="AE11" s="1097">
        <v>28</v>
      </c>
      <c r="AF11" s="1096">
        <v>29</v>
      </c>
      <c r="AG11" s="1096">
        <v>30</v>
      </c>
      <c r="AH11" s="1096">
        <v>31</v>
      </c>
      <c r="AI11" s="1454"/>
      <c r="AJ11" s="1454"/>
    </row>
    <row r="12" spans="1:37" ht="19.149999999999999" customHeight="1">
      <c r="A12" s="197">
        <v>1</v>
      </c>
      <c r="B12" s="91" t="s">
        <v>342</v>
      </c>
      <c r="C12" s="91" t="s">
        <v>187</v>
      </c>
      <c r="D12" s="197" t="s">
        <v>50</v>
      </c>
      <c r="E12" s="197" t="s">
        <v>50</v>
      </c>
      <c r="F12" s="197" t="s">
        <v>50</v>
      </c>
      <c r="G12" s="197" t="s">
        <v>50</v>
      </c>
      <c r="H12" s="197" t="s">
        <v>50</v>
      </c>
      <c r="I12" s="197" t="s">
        <v>50</v>
      </c>
      <c r="J12" s="197" t="s">
        <v>110</v>
      </c>
      <c r="K12" s="197" t="s">
        <v>50</v>
      </c>
      <c r="L12" s="197" t="s">
        <v>50</v>
      </c>
      <c r="M12" s="197" t="s">
        <v>50</v>
      </c>
      <c r="N12" s="197" t="s">
        <v>50</v>
      </c>
      <c r="O12" s="197" t="s">
        <v>50</v>
      </c>
      <c r="P12" s="197" t="s">
        <v>50</v>
      </c>
      <c r="Q12" s="197" t="s">
        <v>110</v>
      </c>
      <c r="R12" s="197" t="s">
        <v>50</v>
      </c>
      <c r="S12" s="197" t="s">
        <v>50</v>
      </c>
      <c r="T12" s="197" t="s">
        <v>50</v>
      </c>
      <c r="U12" s="197" t="s">
        <v>50</v>
      </c>
      <c r="V12" s="197" t="s">
        <v>50</v>
      </c>
      <c r="W12" s="197" t="s">
        <v>50</v>
      </c>
      <c r="X12" s="197" t="s">
        <v>110</v>
      </c>
      <c r="Y12" s="197" t="s">
        <v>50</v>
      </c>
      <c r="Z12" s="197" t="s">
        <v>50</v>
      </c>
      <c r="AA12" s="197" t="s">
        <v>50</v>
      </c>
      <c r="AB12" s="197" t="s">
        <v>50</v>
      </c>
      <c r="AC12" s="197" t="s">
        <v>50</v>
      </c>
      <c r="AD12" s="197" t="s">
        <v>50</v>
      </c>
      <c r="AE12" s="197" t="s">
        <v>110</v>
      </c>
      <c r="AF12" s="197" t="s">
        <v>50</v>
      </c>
      <c r="AG12" s="197" t="s">
        <v>50</v>
      </c>
      <c r="AH12" s="197"/>
      <c r="AI12" s="198">
        <f t="shared" ref="AI12:AI17" si="0">COUNTIF(D12:AH12,"x")+ COUNTIF(D12:AH12,"p")+COUNTIF(D12:AH12,"pt")+COUNTIF(D12:AH12,"T")+COUNTIF(D12:AH12,"VN")</f>
        <v>26</v>
      </c>
      <c r="AJ12" s="198"/>
    </row>
    <row r="13" spans="1:37" ht="18.75" customHeight="1">
      <c r="A13" s="197">
        <v>2</v>
      </c>
      <c r="B13" s="89" t="s">
        <v>40</v>
      </c>
      <c r="C13" s="89" t="s">
        <v>563</v>
      </c>
      <c r="D13" s="197" t="s">
        <v>50</v>
      </c>
      <c r="E13" s="197" t="s">
        <v>50</v>
      </c>
      <c r="F13" s="197" t="s">
        <v>50</v>
      </c>
      <c r="G13" s="197" t="s">
        <v>50</v>
      </c>
      <c r="H13" s="197" t="s">
        <v>50</v>
      </c>
      <c r="I13" s="197" t="s">
        <v>50</v>
      </c>
      <c r="J13" s="197" t="s">
        <v>110</v>
      </c>
      <c r="K13" s="197" t="s">
        <v>50</v>
      </c>
      <c r="L13" s="197" t="s">
        <v>50</v>
      </c>
      <c r="M13" s="197" t="s">
        <v>50</v>
      </c>
      <c r="N13" s="197" t="s">
        <v>50</v>
      </c>
      <c r="O13" s="197" t="s">
        <v>50</v>
      </c>
      <c r="P13" s="197" t="s">
        <v>50</v>
      </c>
      <c r="Q13" s="197" t="s">
        <v>110</v>
      </c>
      <c r="R13" s="197" t="s">
        <v>50</v>
      </c>
      <c r="S13" s="197" t="s">
        <v>50</v>
      </c>
      <c r="T13" s="197" t="s">
        <v>50</v>
      </c>
      <c r="U13" s="197" t="s">
        <v>50</v>
      </c>
      <c r="V13" s="197" t="s">
        <v>50</v>
      </c>
      <c r="W13" s="197" t="s">
        <v>50</v>
      </c>
      <c r="X13" s="197" t="s">
        <v>110</v>
      </c>
      <c r="Y13" s="197" t="s">
        <v>50</v>
      </c>
      <c r="Z13" s="197" t="s">
        <v>50</v>
      </c>
      <c r="AA13" s="197" t="s">
        <v>50</v>
      </c>
      <c r="AB13" s="197" t="s">
        <v>50</v>
      </c>
      <c r="AC13" s="197" t="s">
        <v>50</v>
      </c>
      <c r="AD13" s="197" t="s">
        <v>50</v>
      </c>
      <c r="AE13" s="197" t="s">
        <v>110</v>
      </c>
      <c r="AF13" s="197" t="s">
        <v>50</v>
      </c>
      <c r="AG13" s="197" t="s">
        <v>50</v>
      </c>
      <c r="AH13" s="197"/>
      <c r="AI13" s="198">
        <f t="shared" si="0"/>
        <v>26</v>
      </c>
      <c r="AJ13" s="198"/>
    </row>
    <row r="14" spans="1:37" ht="17.45" customHeight="1">
      <c r="A14" s="197">
        <v>3</v>
      </c>
      <c r="B14" s="89" t="s">
        <v>306</v>
      </c>
      <c r="C14" s="89" t="s">
        <v>742</v>
      </c>
      <c r="D14" s="197" t="s">
        <v>50</v>
      </c>
      <c r="E14" s="197" t="s">
        <v>50</v>
      </c>
      <c r="F14" s="197" t="s">
        <v>50</v>
      </c>
      <c r="G14" s="197" t="s">
        <v>50</v>
      </c>
      <c r="H14" s="197" t="s">
        <v>50</v>
      </c>
      <c r="I14" s="197" t="s">
        <v>50</v>
      </c>
      <c r="J14" s="197" t="s">
        <v>110</v>
      </c>
      <c r="K14" s="197" t="s">
        <v>50</v>
      </c>
      <c r="L14" s="197" t="s">
        <v>50</v>
      </c>
      <c r="M14" s="197" t="s">
        <v>50</v>
      </c>
      <c r="N14" s="197" t="s">
        <v>50</v>
      </c>
      <c r="O14" s="197" t="s">
        <v>50</v>
      </c>
      <c r="P14" s="197" t="s">
        <v>50</v>
      </c>
      <c r="Q14" s="197" t="s">
        <v>110</v>
      </c>
      <c r="R14" s="197" t="s">
        <v>50</v>
      </c>
      <c r="S14" s="197" t="s">
        <v>50</v>
      </c>
      <c r="T14" s="197" t="s">
        <v>50</v>
      </c>
      <c r="U14" s="197" t="s">
        <v>50</v>
      </c>
      <c r="V14" s="197" t="s">
        <v>50</v>
      </c>
      <c r="W14" s="197" t="s">
        <v>50</v>
      </c>
      <c r="X14" s="197" t="s">
        <v>110</v>
      </c>
      <c r="Y14" s="197" t="s">
        <v>50</v>
      </c>
      <c r="Z14" s="197" t="s">
        <v>50</v>
      </c>
      <c r="AA14" s="197" t="s">
        <v>50</v>
      </c>
      <c r="AB14" s="197" t="s">
        <v>50</v>
      </c>
      <c r="AC14" s="197" t="s">
        <v>50</v>
      </c>
      <c r="AD14" s="197" t="s">
        <v>50</v>
      </c>
      <c r="AE14" s="197" t="s">
        <v>110</v>
      </c>
      <c r="AF14" s="197" t="s">
        <v>50</v>
      </c>
      <c r="AG14" s="197" t="s">
        <v>50</v>
      </c>
      <c r="AH14" s="197"/>
      <c r="AI14" s="198">
        <f t="shared" si="0"/>
        <v>26</v>
      </c>
      <c r="AJ14" s="198"/>
    </row>
    <row r="15" spans="1:37" ht="17.45" customHeight="1">
      <c r="A15" s="197">
        <v>4</v>
      </c>
      <c r="B15" s="89" t="s">
        <v>564</v>
      </c>
      <c r="C15" s="89" t="s">
        <v>565</v>
      </c>
      <c r="D15" s="197" t="s">
        <v>50</v>
      </c>
      <c r="E15" s="197" t="s">
        <v>50</v>
      </c>
      <c r="F15" s="197" t="s">
        <v>50</v>
      </c>
      <c r="G15" s="197" t="s">
        <v>50</v>
      </c>
      <c r="H15" s="197" t="s">
        <v>50</v>
      </c>
      <c r="I15" s="197" t="s">
        <v>50</v>
      </c>
      <c r="J15" s="197" t="s">
        <v>110</v>
      </c>
      <c r="K15" s="197" t="s">
        <v>50</v>
      </c>
      <c r="L15" s="197" t="s">
        <v>50</v>
      </c>
      <c r="M15" s="197" t="s">
        <v>50</v>
      </c>
      <c r="N15" s="197" t="s">
        <v>50</v>
      </c>
      <c r="O15" s="197" t="s">
        <v>50</v>
      </c>
      <c r="P15" s="197" t="s">
        <v>50</v>
      </c>
      <c r="Q15" s="197" t="s">
        <v>110</v>
      </c>
      <c r="R15" s="197" t="s">
        <v>50</v>
      </c>
      <c r="S15" s="197" t="s">
        <v>50</v>
      </c>
      <c r="T15" s="197" t="s">
        <v>50</v>
      </c>
      <c r="U15" s="197" t="s">
        <v>50</v>
      </c>
      <c r="V15" s="197" t="s">
        <v>50</v>
      </c>
      <c r="W15" s="197" t="s">
        <v>50</v>
      </c>
      <c r="X15" s="197" t="s">
        <v>110</v>
      </c>
      <c r="Y15" s="197" t="s">
        <v>50</v>
      </c>
      <c r="Z15" s="197" t="s">
        <v>50</v>
      </c>
      <c r="AA15" s="197" t="s">
        <v>50</v>
      </c>
      <c r="AB15" s="197" t="s">
        <v>50</v>
      </c>
      <c r="AC15" s="197" t="s">
        <v>50</v>
      </c>
      <c r="AD15" s="197" t="s">
        <v>50</v>
      </c>
      <c r="AE15" s="197" t="s">
        <v>110</v>
      </c>
      <c r="AF15" s="197" t="s">
        <v>50</v>
      </c>
      <c r="AG15" s="197" t="s">
        <v>50</v>
      </c>
      <c r="AH15" s="197"/>
      <c r="AI15" s="198">
        <f t="shared" ref="AI15" si="1">COUNTIF(D15:AH15,"x")+ COUNTIF(D15:AH15,"p")+COUNTIF(D15:AH15,"pt")+COUNTIF(D15:AH15,"T")+COUNTIF(D15:AH15,"VN")</f>
        <v>26</v>
      </c>
      <c r="AJ15" s="198"/>
    </row>
    <row r="16" spans="1:37" ht="23.25" customHeight="1">
      <c r="A16" s="197">
        <v>5</v>
      </c>
      <c r="B16" s="89" t="s">
        <v>305</v>
      </c>
      <c r="C16" s="91" t="s">
        <v>562</v>
      </c>
      <c r="D16" s="197" t="s">
        <v>50</v>
      </c>
      <c r="E16" s="197" t="s">
        <v>50</v>
      </c>
      <c r="F16" s="197" t="s">
        <v>50</v>
      </c>
      <c r="G16" s="197" t="s">
        <v>50</v>
      </c>
      <c r="H16" s="197" t="s">
        <v>50</v>
      </c>
      <c r="I16" s="197" t="s">
        <v>50</v>
      </c>
      <c r="J16" s="197" t="s">
        <v>110</v>
      </c>
      <c r="K16" s="197" t="s">
        <v>50</v>
      </c>
      <c r="L16" s="197" t="s">
        <v>50</v>
      </c>
      <c r="M16" s="197" t="s">
        <v>50</v>
      </c>
      <c r="N16" s="197" t="s">
        <v>50</v>
      </c>
      <c r="O16" s="197" t="s">
        <v>50</v>
      </c>
      <c r="P16" s="197" t="s">
        <v>50</v>
      </c>
      <c r="Q16" s="197" t="s">
        <v>110</v>
      </c>
      <c r="R16" s="197" t="s">
        <v>50</v>
      </c>
      <c r="S16" s="197" t="s">
        <v>50</v>
      </c>
      <c r="T16" s="197" t="s">
        <v>50</v>
      </c>
      <c r="U16" s="197" t="s">
        <v>50</v>
      </c>
      <c r="V16" s="197" t="s">
        <v>50</v>
      </c>
      <c r="W16" s="197" t="s">
        <v>50</v>
      </c>
      <c r="X16" s="197" t="s">
        <v>110</v>
      </c>
      <c r="Y16" s="197" t="s">
        <v>50</v>
      </c>
      <c r="Z16" s="197" t="s">
        <v>50</v>
      </c>
      <c r="AA16" s="197" t="s">
        <v>50</v>
      </c>
      <c r="AB16" s="197" t="s">
        <v>50</v>
      </c>
      <c r="AC16" s="197" t="s">
        <v>50</v>
      </c>
      <c r="AD16" s="197" t="s">
        <v>50</v>
      </c>
      <c r="AE16" s="197" t="s">
        <v>110</v>
      </c>
      <c r="AF16" s="197" t="s">
        <v>50</v>
      </c>
      <c r="AG16" s="197" t="s">
        <v>50</v>
      </c>
      <c r="AH16" s="197"/>
      <c r="AI16" s="198">
        <f t="shared" si="0"/>
        <v>26</v>
      </c>
      <c r="AJ16" s="198"/>
    </row>
    <row r="17" spans="1:38" ht="23.25" customHeight="1">
      <c r="A17" s="197">
        <v>6</v>
      </c>
      <c r="B17" s="89" t="s">
        <v>304</v>
      </c>
      <c r="C17" s="91" t="s">
        <v>786</v>
      </c>
      <c r="D17" s="197" t="s">
        <v>50</v>
      </c>
      <c r="E17" s="197" t="s">
        <v>50</v>
      </c>
      <c r="F17" s="197" t="s">
        <v>50</v>
      </c>
      <c r="G17" s="197" t="s">
        <v>501</v>
      </c>
      <c r="H17" s="197" t="s">
        <v>501</v>
      </c>
      <c r="I17" s="197" t="s">
        <v>501</v>
      </c>
      <c r="J17" s="197" t="s">
        <v>110</v>
      </c>
      <c r="K17" s="197" t="s">
        <v>501</v>
      </c>
      <c r="L17" s="197" t="s">
        <v>501</v>
      </c>
      <c r="M17" s="197" t="s">
        <v>501</v>
      </c>
      <c r="N17" s="197" t="s">
        <v>501</v>
      </c>
      <c r="O17" s="197" t="s">
        <v>50</v>
      </c>
      <c r="P17" s="197" t="s">
        <v>50</v>
      </c>
      <c r="Q17" s="197" t="s">
        <v>110</v>
      </c>
      <c r="R17" s="197" t="s">
        <v>50</v>
      </c>
      <c r="S17" s="197" t="s">
        <v>50</v>
      </c>
      <c r="T17" s="197" t="s">
        <v>50</v>
      </c>
      <c r="U17" s="197" t="s">
        <v>50</v>
      </c>
      <c r="V17" s="197" t="s">
        <v>50</v>
      </c>
      <c r="W17" s="197" t="s">
        <v>50</v>
      </c>
      <c r="X17" s="197" t="s">
        <v>110</v>
      </c>
      <c r="Y17" s="197" t="s">
        <v>50</v>
      </c>
      <c r="Z17" s="197" t="s">
        <v>50</v>
      </c>
      <c r="AA17" s="197" t="s">
        <v>50</v>
      </c>
      <c r="AB17" s="197" t="s">
        <v>50</v>
      </c>
      <c r="AC17" s="197" t="s">
        <v>50</v>
      </c>
      <c r="AD17" s="197" t="s">
        <v>50</v>
      </c>
      <c r="AE17" s="197" t="s">
        <v>110</v>
      </c>
      <c r="AF17" s="197" t="s">
        <v>50</v>
      </c>
      <c r="AG17" s="197" t="s">
        <v>50</v>
      </c>
      <c r="AH17" s="197"/>
      <c r="AI17" s="198">
        <f t="shared" si="0"/>
        <v>26</v>
      </c>
      <c r="AJ17" s="198"/>
    </row>
    <row r="18" spans="1:38" ht="23.25" customHeight="1">
      <c r="A18" s="197">
        <v>7</v>
      </c>
      <c r="B18" s="89" t="s">
        <v>123</v>
      </c>
      <c r="C18" s="89" t="s">
        <v>216</v>
      </c>
      <c r="D18" s="197" t="s">
        <v>50</v>
      </c>
      <c r="E18" s="197" t="s">
        <v>50</v>
      </c>
      <c r="F18" s="197" t="s">
        <v>50</v>
      </c>
      <c r="G18" s="197" t="s">
        <v>501</v>
      </c>
      <c r="H18" s="197" t="s">
        <v>501</v>
      </c>
      <c r="I18" s="197" t="s">
        <v>501</v>
      </c>
      <c r="J18" s="197" t="s">
        <v>110</v>
      </c>
      <c r="K18" s="197" t="s">
        <v>501</v>
      </c>
      <c r="L18" s="197" t="s">
        <v>501</v>
      </c>
      <c r="M18" s="197" t="s">
        <v>501</v>
      </c>
      <c r="N18" s="197" t="s">
        <v>501</v>
      </c>
      <c r="O18" s="197" t="s">
        <v>50</v>
      </c>
      <c r="P18" s="197" t="s">
        <v>50</v>
      </c>
      <c r="Q18" s="197" t="s">
        <v>110</v>
      </c>
      <c r="R18" s="197" t="s">
        <v>50</v>
      </c>
      <c r="S18" s="197" t="s">
        <v>50</v>
      </c>
      <c r="T18" s="197" t="s">
        <v>50</v>
      </c>
      <c r="U18" s="197" t="s">
        <v>50</v>
      </c>
      <c r="V18" s="197" t="s">
        <v>50</v>
      </c>
      <c r="W18" s="197" t="s">
        <v>50</v>
      </c>
      <c r="X18" s="197" t="s">
        <v>110</v>
      </c>
      <c r="Y18" s="197" t="s">
        <v>50</v>
      </c>
      <c r="Z18" s="197" t="s">
        <v>50</v>
      </c>
      <c r="AA18" s="197" t="s">
        <v>50</v>
      </c>
      <c r="AB18" s="197" t="s">
        <v>50</v>
      </c>
      <c r="AC18" s="197" t="s">
        <v>50</v>
      </c>
      <c r="AD18" s="197" t="s">
        <v>50</v>
      </c>
      <c r="AE18" s="197" t="s">
        <v>110</v>
      </c>
      <c r="AF18" s="197" t="s">
        <v>50</v>
      </c>
      <c r="AG18" s="197" t="s">
        <v>50</v>
      </c>
      <c r="AH18" s="197"/>
      <c r="AI18" s="198">
        <f>COUNTIF(D18:AH18,"x")+ COUNTIF(D18:AH18,"p")+COUNTIF(D18:AH18,"pt")+COUNTIF(D18:AH18,"T")+COUNTIF(D18:AH18,"VN")</f>
        <v>26</v>
      </c>
      <c r="AJ18" s="198"/>
      <c r="AL18" s="922"/>
    </row>
    <row r="19" spans="1:38" ht="23.25" customHeight="1">
      <c r="A19" s="197">
        <v>8</v>
      </c>
      <c r="B19" s="89" t="s">
        <v>42</v>
      </c>
      <c r="C19" s="89" t="s">
        <v>216</v>
      </c>
      <c r="D19" s="197" t="s">
        <v>50</v>
      </c>
      <c r="E19" s="197" t="s">
        <v>50</v>
      </c>
      <c r="F19" s="197" t="s">
        <v>50</v>
      </c>
      <c r="G19" s="197" t="s">
        <v>50</v>
      </c>
      <c r="H19" s="197" t="s">
        <v>50</v>
      </c>
      <c r="I19" s="197" t="s">
        <v>50</v>
      </c>
      <c r="J19" s="197" t="s">
        <v>110</v>
      </c>
      <c r="K19" s="197" t="s">
        <v>50</v>
      </c>
      <c r="L19" s="197" t="s">
        <v>50</v>
      </c>
      <c r="M19" s="197" t="s">
        <v>50</v>
      </c>
      <c r="N19" s="197" t="s">
        <v>50</v>
      </c>
      <c r="O19" s="197" t="s">
        <v>50</v>
      </c>
      <c r="P19" s="197" t="s">
        <v>50</v>
      </c>
      <c r="Q19" s="197" t="s">
        <v>110</v>
      </c>
      <c r="R19" s="197" t="s">
        <v>50</v>
      </c>
      <c r="S19" s="197" t="s">
        <v>501</v>
      </c>
      <c r="T19" s="197" t="s">
        <v>501</v>
      </c>
      <c r="U19" s="197" t="s">
        <v>501</v>
      </c>
      <c r="V19" s="197" t="s">
        <v>501</v>
      </c>
      <c r="W19" s="197" t="s">
        <v>501</v>
      </c>
      <c r="X19" s="197" t="s">
        <v>110</v>
      </c>
      <c r="Y19" s="197" t="s">
        <v>501</v>
      </c>
      <c r="Z19" s="197" t="s">
        <v>501</v>
      </c>
      <c r="AA19" s="197"/>
      <c r="AB19" s="197" t="s">
        <v>50</v>
      </c>
      <c r="AC19" s="197" t="s">
        <v>50</v>
      </c>
      <c r="AD19" s="197" t="s">
        <v>50</v>
      </c>
      <c r="AE19" s="197" t="s">
        <v>110</v>
      </c>
      <c r="AF19" s="197" t="s">
        <v>50</v>
      </c>
      <c r="AG19" s="197" t="s">
        <v>50</v>
      </c>
      <c r="AH19" s="197"/>
      <c r="AI19" s="198">
        <f>COUNTIF(D19:AH19,"x")+ COUNTIF(D19:AH19,"p")+COUNTIF(D19:AH19,"pt")+COUNTIF(D19:AH19,"T")+COUNTIF(D19:AH19,"VN")</f>
        <v>25</v>
      </c>
      <c r="AJ19" s="198"/>
      <c r="AL19" s="922"/>
    </row>
    <row r="20" spans="1:38" ht="16.5" customHeight="1">
      <c r="A20" s="1340" t="s">
        <v>148</v>
      </c>
      <c r="B20" s="1340"/>
      <c r="C20" s="1340"/>
      <c r="D20" s="634">
        <f>COUNTIF(D12:D19,"x")+ COUNTIF(D12:D19,"p")+COUNTIF(D12:D19,"pt")+COUNTIF(D12:D19,"T")+COUNTIF(D12:E19,"VN")</f>
        <v>8</v>
      </c>
      <c r="E20" s="634">
        <f t="shared" ref="E20:AG20" si="2">COUNTIF(E12:E19,"x")+ COUNTIF(E12:E19,"p")+COUNTIF(E12:E19,"pt")+COUNTIF(E12:E19,"T")+COUNTIF(E12:F19,"VN")</f>
        <v>8</v>
      </c>
      <c r="F20" s="634">
        <f t="shared" si="2"/>
        <v>8</v>
      </c>
      <c r="G20" s="634">
        <f t="shared" si="2"/>
        <v>8</v>
      </c>
      <c r="H20" s="634">
        <f t="shared" si="2"/>
        <v>8</v>
      </c>
      <c r="I20" s="634">
        <f t="shared" si="2"/>
        <v>8</v>
      </c>
      <c r="J20" s="634"/>
      <c r="K20" s="634">
        <f t="shared" si="2"/>
        <v>8</v>
      </c>
      <c r="L20" s="634">
        <f t="shared" si="2"/>
        <v>8</v>
      </c>
      <c r="M20" s="634">
        <f t="shared" si="2"/>
        <v>8</v>
      </c>
      <c r="N20" s="634">
        <f t="shared" si="2"/>
        <v>8</v>
      </c>
      <c r="O20" s="634">
        <f t="shared" si="2"/>
        <v>8</v>
      </c>
      <c r="P20" s="634">
        <f t="shared" si="2"/>
        <v>8</v>
      </c>
      <c r="Q20" s="634"/>
      <c r="R20" s="634">
        <f t="shared" si="2"/>
        <v>8</v>
      </c>
      <c r="S20" s="634">
        <f t="shared" si="2"/>
        <v>8</v>
      </c>
      <c r="T20" s="634">
        <f t="shared" si="2"/>
        <v>8</v>
      </c>
      <c r="U20" s="634">
        <f t="shared" si="2"/>
        <v>8</v>
      </c>
      <c r="V20" s="634">
        <f t="shared" si="2"/>
        <v>8</v>
      </c>
      <c r="W20" s="634">
        <f t="shared" si="2"/>
        <v>8</v>
      </c>
      <c r="X20" s="634"/>
      <c r="Y20" s="634">
        <f t="shared" si="2"/>
        <v>8</v>
      </c>
      <c r="Z20" s="634">
        <f t="shared" si="2"/>
        <v>8</v>
      </c>
      <c r="AA20" s="634">
        <f t="shared" si="2"/>
        <v>7</v>
      </c>
      <c r="AB20" s="634">
        <f t="shared" si="2"/>
        <v>8</v>
      </c>
      <c r="AC20" s="634">
        <f t="shared" si="2"/>
        <v>8</v>
      </c>
      <c r="AD20" s="634">
        <f t="shared" si="2"/>
        <v>8</v>
      </c>
      <c r="AE20" s="634"/>
      <c r="AF20" s="634">
        <f t="shared" si="2"/>
        <v>8</v>
      </c>
      <c r="AG20" s="634">
        <f t="shared" si="2"/>
        <v>8</v>
      </c>
      <c r="AH20" s="634"/>
      <c r="AI20" s="634">
        <f>SUM(AI12:AI19)</f>
        <v>207</v>
      </c>
      <c r="AJ20" s="198"/>
    </row>
    <row r="21" spans="1:38" ht="15.75" customHeight="1"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1691" t="s">
        <v>798</v>
      </c>
      <c r="U21" s="1691"/>
      <c r="V21" s="1691"/>
      <c r="W21" s="1691"/>
      <c r="X21" s="1691"/>
      <c r="Y21" s="1691"/>
      <c r="Z21" s="1691"/>
      <c r="AA21" s="1691"/>
      <c r="AB21" s="1691"/>
      <c r="AC21" s="1691"/>
      <c r="AD21" s="1691"/>
      <c r="AE21" s="1691"/>
      <c r="AF21" s="1691"/>
      <c r="AG21" s="1691"/>
      <c r="AH21" s="1691"/>
      <c r="AI21" s="1691"/>
      <c r="AJ21" s="771"/>
    </row>
    <row r="22" spans="1:38" ht="17.25" customHeight="1">
      <c r="A22" s="1695" t="s">
        <v>797</v>
      </c>
      <c r="B22" s="1695"/>
      <c r="C22" s="1695"/>
      <c r="D22" s="1695"/>
      <c r="E22" s="1695"/>
      <c r="F22" s="1695"/>
      <c r="G22" s="1695"/>
      <c r="H22" s="1695"/>
      <c r="I22" s="1695"/>
      <c r="J22" s="1695"/>
      <c r="K22" s="1695"/>
      <c r="L22" s="1695"/>
      <c r="M22" s="1695"/>
      <c r="N22" s="1695"/>
      <c r="O22" s="1695"/>
      <c r="P22" s="1695"/>
      <c r="Q22" s="1695"/>
      <c r="R22" s="1695"/>
      <c r="S22" s="1695"/>
      <c r="T22" s="1695"/>
      <c r="U22" s="1695"/>
      <c r="V22" s="1695"/>
      <c r="W22" s="1695"/>
      <c r="X22" s="1695"/>
      <c r="Y22" s="1695"/>
      <c r="Z22" s="1695"/>
      <c r="AA22" s="1695"/>
      <c r="AB22" s="1695"/>
      <c r="AC22" s="1695"/>
      <c r="AD22" s="1695"/>
      <c r="AE22" s="1695"/>
      <c r="AF22" s="1695"/>
      <c r="AG22" s="1695"/>
      <c r="AH22" s="1695"/>
      <c r="AI22" s="1695"/>
      <c r="AJ22" s="1695"/>
    </row>
    <row r="23" spans="1:38" ht="15" customHeight="1">
      <c r="A23" s="43"/>
      <c r="B23" s="41"/>
      <c r="C23" s="770"/>
      <c r="D23" s="43"/>
      <c r="E23" s="43"/>
      <c r="F23" s="43"/>
      <c r="G23" s="43"/>
      <c r="H23" s="43"/>
      <c r="I23" s="46"/>
      <c r="J23" s="46"/>
      <c r="K23" s="46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</row>
    <row r="24" spans="1:38" ht="13.5" customHeight="1">
      <c r="A24" s="43"/>
      <c r="B24" s="236"/>
      <c r="C24" s="770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54"/>
      <c r="O24" s="54"/>
      <c r="P24" s="54"/>
      <c r="Q24" s="46"/>
      <c r="R24" s="46"/>
      <c r="S24" s="46"/>
      <c r="T24" s="46"/>
      <c r="U24" s="46"/>
      <c r="V24" s="46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46"/>
      <c r="AJ24" s="46"/>
    </row>
    <row r="25" spans="1:38" ht="13.5" customHeight="1">
      <c r="A25" s="43"/>
      <c r="B25" s="236"/>
      <c r="C25" s="770"/>
      <c r="D25" s="43"/>
      <c r="E25" s="43"/>
      <c r="F25" s="43"/>
      <c r="G25" s="43"/>
      <c r="H25" s="43"/>
      <c r="I25" s="46"/>
      <c r="J25" s="46"/>
      <c r="K25" s="46"/>
      <c r="L25" s="43"/>
      <c r="M25" s="43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</row>
    <row r="26" spans="1:38" ht="13.5" customHeight="1">
      <c r="A26" s="43"/>
      <c r="B26" s="236"/>
      <c r="C26" s="770"/>
      <c r="D26" s="43"/>
      <c r="E26" s="43"/>
      <c r="F26" s="43"/>
      <c r="G26" s="43"/>
      <c r="H26" s="43"/>
      <c r="I26" s="43"/>
      <c r="J26" s="43"/>
      <c r="K26" s="46"/>
      <c r="L26" s="43"/>
      <c r="M26" s="43"/>
      <c r="N26" s="54"/>
      <c r="O26" s="54"/>
      <c r="P26" s="54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</row>
    <row r="27" spans="1:38" ht="12" customHeight="1">
      <c r="A27" s="43"/>
      <c r="B27" s="236"/>
      <c r="C27" s="43"/>
      <c r="D27" s="43"/>
      <c r="E27" s="43"/>
      <c r="F27" s="43"/>
      <c r="G27" s="43"/>
      <c r="H27" s="43"/>
      <c r="I27" s="43"/>
      <c r="J27" s="43"/>
      <c r="K27" s="46"/>
      <c r="L27" s="43"/>
      <c r="M27" s="43"/>
      <c r="N27" s="54"/>
      <c r="O27" s="54"/>
      <c r="P27" s="54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</row>
    <row r="28" spans="1:38" ht="15.75" customHeight="1">
      <c r="A28" s="43"/>
      <c r="B28" s="236"/>
      <c r="C28" s="43"/>
      <c r="D28" s="43"/>
      <c r="E28" s="43"/>
      <c r="F28" s="43"/>
      <c r="G28" s="43"/>
      <c r="H28" s="43"/>
      <c r="I28" s="43"/>
      <c r="J28" s="43"/>
      <c r="L28" s="43"/>
      <c r="M28" s="777"/>
      <c r="N28" s="777"/>
      <c r="O28" s="777"/>
      <c r="P28" s="777"/>
      <c r="Q28" s="777"/>
      <c r="R28" s="777"/>
      <c r="S28" s="777"/>
      <c r="T28" s="777"/>
      <c r="U28" s="777"/>
      <c r="V28" s="777"/>
      <c r="W28" s="54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920"/>
    </row>
    <row r="29" spans="1:38" ht="13.5" customHeight="1">
      <c r="A29" s="43"/>
      <c r="H29" s="45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</row>
    <row r="30" spans="1:38" ht="13.5" customHeight="1">
      <c r="A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</row>
    <row r="31" spans="1:38" ht="15.75" customHeight="1">
      <c r="A31" s="43"/>
      <c r="B31" s="41" t="s">
        <v>400</v>
      </c>
      <c r="C31" s="1696" t="s">
        <v>403</v>
      </c>
      <c r="D31" s="1696"/>
      <c r="E31" s="1696"/>
      <c r="F31" s="1696"/>
      <c r="G31" s="1696"/>
      <c r="H31" s="1696"/>
      <c r="I31" s="1696"/>
      <c r="J31" s="1696"/>
      <c r="K31" s="1696"/>
      <c r="L31" s="1696"/>
    </row>
    <row r="32" spans="1:38">
      <c r="A32" s="43"/>
      <c r="B32" s="236"/>
      <c r="C32" s="1697" t="s">
        <v>404</v>
      </c>
      <c r="D32" s="1697"/>
      <c r="E32" s="1697"/>
      <c r="F32" s="1697"/>
      <c r="G32" s="1697"/>
      <c r="H32" s="1697"/>
      <c r="I32" s="1697"/>
      <c r="J32" s="1697"/>
      <c r="K32" s="1697"/>
      <c r="L32" s="1697"/>
    </row>
    <row r="33" spans="3:12">
      <c r="C33" s="1696" t="s">
        <v>402</v>
      </c>
      <c r="D33" s="1696"/>
      <c r="E33" s="1696"/>
      <c r="F33" s="1696"/>
      <c r="G33" s="1696"/>
      <c r="H33" s="1696"/>
      <c r="I33" s="1696"/>
      <c r="J33" s="1696"/>
      <c r="K33" s="1696"/>
      <c r="L33" s="1696"/>
    </row>
    <row r="34" spans="3:12">
      <c r="C34" s="1696" t="s">
        <v>489</v>
      </c>
      <c r="D34" s="1696"/>
      <c r="E34" s="1696"/>
      <c r="F34" s="1696"/>
      <c r="G34" s="1696"/>
      <c r="H34" s="1696"/>
      <c r="I34" s="1696"/>
      <c r="J34" s="1696"/>
      <c r="K34" s="1696"/>
      <c r="L34" s="1696"/>
    </row>
    <row r="35" spans="3:12">
      <c r="C35" s="45" t="s">
        <v>488</v>
      </c>
    </row>
    <row r="36" spans="3:12">
      <c r="C36" s="45" t="s">
        <v>502</v>
      </c>
    </row>
  </sheetData>
  <mergeCells count="20">
    <mergeCell ref="A8:AI8"/>
    <mergeCell ref="A1:AI1"/>
    <mergeCell ref="A2:AI2"/>
    <mergeCell ref="A3:AI3"/>
    <mergeCell ref="A5:O5"/>
    <mergeCell ref="A6:K6"/>
    <mergeCell ref="AJ10:AJ11"/>
    <mergeCell ref="A20:C20"/>
    <mergeCell ref="T21:AI21"/>
    <mergeCell ref="A9:AI9"/>
    <mergeCell ref="A10:A11"/>
    <mergeCell ref="B10:B11"/>
    <mergeCell ref="C10:C11"/>
    <mergeCell ref="D10:AG10"/>
    <mergeCell ref="AI10:AI11"/>
    <mergeCell ref="A22:AJ22"/>
    <mergeCell ref="C31:L31"/>
    <mergeCell ref="C32:L32"/>
    <mergeCell ref="C33:L33"/>
    <mergeCell ref="C34:L34"/>
  </mergeCells>
  <pageMargins left="0.7" right="0.7" top="0.54" bottom="0.75" header="0.3" footer="0.3"/>
  <pageSetup paperSize="9" scale="98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37"/>
  <sheetViews>
    <sheetView topLeftCell="A73" workbookViewId="0">
      <selection activeCell="A23" sqref="A23:AN23"/>
    </sheetView>
  </sheetViews>
  <sheetFormatPr defaultRowHeight="15"/>
  <cols>
    <col min="1" max="1" width="4.42578125" customWidth="1"/>
    <col min="2" max="2" width="27" bestFit="1" customWidth="1"/>
    <col min="3" max="3" width="22.7109375" bestFit="1" customWidth="1"/>
    <col min="4" max="4" width="18.85546875" style="819" customWidth="1"/>
    <col min="5" max="5" width="20.5703125" customWidth="1"/>
    <col min="6" max="6" width="19.28515625" customWidth="1"/>
    <col min="7" max="7" width="15.42578125" customWidth="1"/>
    <col min="8" max="8" width="18" customWidth="1"/>
    <col min="9" max="9" width="10.28515625" customWidth="1"/>
    <col min="10" max="10" width="20.5703125" customWidth="1"/>
  </cols>
  <sheetData>
    <row r="1" spans="1:13" s="788" customFormat="1" ht="16.5">
      <c r="A1" s="784" t="s">
        <v>4</v>
      </c>
      <c r="B1" s="785" t="s">
        <v>567</v>
      </c>
      <c r="C1" s="785" t="s">
        <v>568</v>
      </c>
      <c r="D1" s="447" t="s">
        <v>569</v>
      </c>
      <c r="E1" s="785" t="s">
        <v>570</v>
      </c>
      <c r="F1" s="785" t="s">
        <v>571</v>
      </c>
      <c r="G1" s="447" t="s">
        <v>572</v>
      </c>
      <c r="H1" s="772" t="s">
        <v>573</v>
      </c>
      <c r="I1" s="786" t="s">
        <v>380</v>
      </c>
      <c r="J1" s="785" t="s">
        <v>574</v>
      </c>
      <c r="K1" s="787"/>
      <c r="L1" s="785"/>
      <c r="M1" s="785"/>
    </row>
    <row r="2" spans="1:13" s="795" customFormat="1" ht="16.5">
      <c r="A2" s="789"/>
      <c r="B2" s="1700" t="s">
        <v>538</v>
      </c>
      <c r="C2" s="1700"/>
      <c r="D2" s="1700"/>
      <c r="E2" s="790"/>
      <c r="F2" s="790"/>
      <c r="G2" s="791"/>
      <c r="H2" s="792"/>
      <c r="I2" s="793"/>
      <c r="J2" s="790"/>
      <c r="K2" s="794"/>
      <c r="L2" s="794"/>
      <c r="M2" s="794"/>
    </row>
    <row r="3" spans="1:13">
      <c r="A3" s="796">
        <v>1</v>
      </c>
      <c r="B3" s="797" t="s">
        <v>307</v>
      </c>
      <c r="C3" s="797"/>
      <c r="D3" s="798">
        <v>2003</v>
      </c>
      <c r="E3" s="799"/>
      <c r="F3" s="799" t="s">
        <v>575</v>
      </c>
      <c r="G3" s="797"/>
      <c r="H3" s="797" t="s">
        <v>576</v>
      </c>
      <c r="I3" s="123" t="s">
        <v>577</v>
      </c>
      <c r="J3" s="800"/>
    </row>
    <row r="4" spans="1:13">
      <c r="A4" s="796">
        <v>2</v>
      </c>
      <c r="B4" s="797" t="s">
        <v>383</v>
      </c>
      <c r="C4" s="797"/>
      <c r="D4" s="798">
        <v>1992</v>
      </c>
      <c r="E4" s="799"/>
      <c r="F4" s="799" t="s">
        <v>575</v>
      </c>
      <c r="G4" s="797"/>
      <c r="H4" s="797" t="s">
        <v>578</v>
      </c>
      <c r="I4" s="123" t="s">
        <v>579</v>
      </c>
      <c r="J4" s="800"/>
    </row>
    <row r="5" spans="1:13">
      <c r="A5" s="796">
        <v>3</v>
      </c>
      <c r="B5" s="797" t="s">
        <v>201</v>
      </c>
      <c r="C5" s="797"/>
      <c r="D5" s="798">
        <v>2002</v>
      </c>
      <c r="E5" s="799"/>
      <c r="F5" s="799" t="s">
        <v>575</v>
      </c>
      <c r="G5" s="797"/>
      <c r="H5" s="797" t="s">
        <v>580</v>
      </c>
      <c r="I5" s="123" t="s">
        <v>581</v>
      </c>
      <c r="J5" s="800"/>
    </row>
    <row r="6" spans="1:13">
      <c r="A6" s="796">
        <v>4</v>
      </c>
      <c r="B6" s="797" t="s">
        <v>512</v>
      </c>
      <c r="C6" s="797"/>
      <c r="D6" s="798">
        <v>1990</v>
      </c>
      <c r="E6" s="799"/>
      <c r="F6" s="799" t="s">
        <v>575</v>
      </c>
      <c r="G6" s="797"/>
      <c r="H6" s="797" t="s">
        <v>582</v>
      </c>
      <c r="I6" s="123" t="s">
        <v>583</v>
      </c>
      <c r="J6" s="800"/>
    </row>
    <row r="7" spans="1:13">
      <c r="A7" s="796">
        <v>5</v>
      </c>
      <c r="B7" s="797" t="s">
        <v>225</v>
      </c>
      <c r="C7" s="797"/>
      <c r="D7" s="801">
        <v>2000</v>
      </c>
      <c r="E7" s="799"/>
      <c r="F7" s="799" t="s">
        <v>584</v>
      </c>
      <c r="G7" s="797"/>
      <c r="H7" s="797" t="s">
        <v>576</v>
      </c>
      <c r="I7" s="123" t="s">
        <v>585</v>
      </c>
      <c r="J7" s="800"/>
    </row>
    <row r="8" spans="1:13">
      <c r="A8" s="796">
        <v>6</v>
      </c>
      <c r="B8" s="797" t="s">
        <v>513</v>
      </c>
      <c r="C8" s="797"/>
      <c r="D8" s="801">
        <v>2004</v>
      </c>
      <c r="E8" s="799"/>
      <c r="F8" s="799" t="s">
        <v>584</v>
      </c>
      <c r="G8" s="797"/>
      <c r="H8" s="797" t="s">
        <v>582</v>
      </c>
      <c r="I8" s="123" t="s">
        <v>586</v>
      </c>
      <c r="J8" s="800"/>
    </row>
    <row r="9" spans="1:13">
      <c r="A9" s="796">
        <v>7</v>
      </c>
      <c r="B9" s="797" t="s">
        <v>514</v>
      </c>
      <c r="C9" s="797"/>
      <c r="D9" s="801">
        <v>2003</v>
      </c>
      <c r="E9" s="799"/>
      <c r="F9" s="799" t="s">
        <v>575</v>
      </c>
      <c r="G9" s="797"/>
      <c r="H9" s="797" t="s">
        <v>576</v>
      </c>
      <c r="I9" s="123" t="s">
        <v>587</v>
      </c>
      <c r="J9" s="800"/>
    </row>
    <row r="10" spans="1:13">
      <c r="A10" s="796">
        <v>8</v>
      </c>
      <c r="B10" s="797" t="s">
        <v>308</v>
      </c>
      <c r="C10" s="797"/>
      <c r="D10" s="801">
        <v>1980</v>
      </c>
      <c r="E10" s="799"/>
      <c r="F10" s="799" t="s">
        <v>575</v>
      </c>
      <c r="G10" s="797"/>
      <c r="H10" s="797" t="s">
        <v>576</v>
      </c>
      <c r="I10" s="123" t="s">
        <v>588</v>
      </c>
      <c r="J10" s="800"/>
    </row>
    <row r="11" spans="1:13">
      <c r="A11" s="796">
        <v>9</v>
      </c>
      <c r="B11" s="797" t="s">
        <v>227</v>
      </c>
      <c r="C11" s="797"/>
      <c r="D11" s="801">
        <v>1984</v>
      </c>
      <c r="E11" s="799"/>
      <c r="F11" s="799" t="s">
        <v>575</v>
      </c>
      <c r="G11" s="797"/>
      <c r="H11" s="797" t="s">
        <v>576</v>
      </c>
      <c r="I11" s="123" t="s">
        <v>589</v>
      </c>
      <c r="J11" s="800"/>
    </row>
    <row r="12" spans="1:13">
      <c r="A12" s="796">
        <v>10</v>
      </c>
      <c r="B12" s="797" t="s">
        <v>226</v>
      </c>
      <c r="C12" s="797"/>
      <c r="D12" s="801">
        <v>1991</v>
      </c>
      <c r="E12" s="799"/>
      <c r="F12" s="799" t="s">
        <v>584</v>
      </c>
      <c r="G12" s="797"/>
      <c r="H12" s="797" t="s">
        <v>576</v>
      </c>
      <c r="I12" s="123" t="s">
        <v>590</v>
      </c>
      <c r="J12" s="800"/>
    </row>
    <row r="13" spans="1:13">
      <c r="A13" s="796">
        <v>11</v>
      </c>
      <c r="B13" s="797" t="s">
        <v>228</v>
      </c>
      <c r="C13" s="797"/>
      <c r="D13" s="801">
        <v>1996</v>
      </c>
      <c r="E13" s="799"/>
      <c r="F13" s="799" t="s">
        <v>575</v>
      </c>
      <c r="G13" s="797"/>
      <c r="H13" s="797" t="s">
        <v>576</v>
      </c>
      <c r="I13" s="123" t="s">
        <v>591</v>
      </c>
      <c r="J13" s="800"/>
    </row>
    <row r="14" spans="1:13">
      <c r="A14" s="796">
        <v>12</v>
      </c>
      <c r="B14" s="797" t="s">
        <v>235</v>
      </c>
      <c r="C14" s="797"/>
      <c r="D14" s="801">
        <v>1981</v>
      </c>
      <c r="E14" s="799"/>
      <c r="F14" s="799" t="s">
        <v>584</v>
      </c>
      <c r="G14" s="797"/>
      <c r="H14" s="797" t="s">
        <v>582</v>
      </c>
      <c r="I14" s="123" t="s">
        <v>592</v>
      </c>
      <c r="J14" s="800"/>
    </row>
    <row r="15" spans="1:13">
      <c r="A15" s="796">
        <v>13</v>
      </c>
      <c r="B15" s="797" t="s">
        <v>217</v>
      </c>
      <c r="C15" s="796"/>
      <c r="D15" s="802">
        <v>1999</v>
      </c>
      <c r="E15" s="799"/>
      <c r="F15" s="799" t="s">
        <v>575</v>
      </c>
      <c r="G15" s="803"/>
      <c r="H15" s="803" t="s">
        <v>64</v>
      </c>
      <c r="I15" s="123" t="s">
        <v>593</v>
      </c>
      <c r="J15" s="800"/>
    </row>
    <row r="16" spans="1:13" ht="15.75">
      <c r="A16" s="796">
        <v>14</v>
      </c>
      <c r="B16" s="804" t="s">
        <v>206</v>
      </c>
      <c r="C16" s="796"/>
      <c r="D16" s="805">
        <v>1978</v>
      </c>
      <c r="E16" s="806"/>
      <c r="F16" s="799" t="s">
        <v>575</v>
      </c>
      <c r="G16" s="804"/>
      <c r="H16" s="796" t="s">
        <v>576</v>
      </c>
      <c r="I16" s="123" t="s">
        <v>594</v>
      </c>
      <c r="J16" s="807"/>
    </row>
    <row r="17" spans="1:10" ht="15.75">
      <c r="A17" s="796">
        <v>15</v>
      </c>
      <c r="B17" s="803" t="s">
        <v>515</v>
      </c>
      <c r="C17" s="796"/>
      <c r="D17" s="805">
        <v>1995</v>
      </c>
      <c r="E17" s="808"/>
      <c r="F17" s="799" t="s">
        <v>584</v>
      </c>
      <c r="G17" s="803"/>
      <c r="H17" s="796" t="s">
        <v>582</v>
      </c>
      <c r="I17" s="123" t="s">
        <v>595</v>
      </c>
      <c r="J17" s="809"/>
    </row>
    <row r="18" spans="1:10" ht="15.75">
      <c r="A18" s="796">
        <v>16</v>
      </c>
      <c r="B18" s="803" t="s">
        <v>207</v>
      </c>
      <c r="C18" s="796"/>
      <c r="D18" s="805">
        <v>1976</v>
      </c>
      <c r="E18" s="808"/>
      <c r="F18" s="799" t="s">
        <v>575</v>
      </c>
      <c r="G18" s="803"/>
      <c r="H18" s="796" t="s">
        <v>576</v>
      </c>
      <c r="I18" s="123" t="s">
        <v>596</v>
      </c>
      <c r="J18" s="809"/>
    </row>
    <row r="19" spans="1:10" ht="15.75">
      <c r="A19" s="796">
        <v>17</v>
      </c>
      <c r="B19" s="803" t="s">
        <v>208</v>
      </c>
      <c r="C19" s="796"/>
      <c r="D19" s="805">
        <v>1999</v>
      </c>
      <c r="E19" s="808"/>
      <c r="F19" s="799" t="s">
        <v>575</v>
      </c>
      <c r="G19" s="803"/>
      <c r="H19" s="796" t="s">
        <v>576</v>
      </c>
      <c r="I19" s="123" t="s">
        <v>597</v>
      </c>
      <c r="J19" s="809"/>
    </row>
    <row r="20" spans="1:10" ht="15.75">
      <c r="A20" s="796">
        <v>18</v>
      </c>
      <c r="B20" s="803" t="s">
        <v>188</v>
      </c>
      <c r="C20" s="796"/>
      <c r="D20" s="805">
        <v>1977</v>
      </c>
      <c r="E20" s="808"/>
      <c r="F20" s="799" t="s">
        <v>575</v>
      </c>
      <c r="G20" s="803"/>
      <c r="H20" s="796" t="s">
        <v>576</v>
      </c>
      <c r="I20" s="123" t="s">
        <v>598</v>
      </c>
      <c r="J20" s="809"/>
    </row>
    <row r="21" spans="1:10" ht="15.75">
      <c r="A21" s="796">
        <v>19</v>
      </c>
      <c r="B21" s="803" t="s">
        <v>222</v>
      </c>
      <c r="C21" s="796"/>
      <c r="D21" s="805">
        <v>1975</v>
      </c>
      <c r="E21" s="808"/>
      <c r="F21" s="799" t="s">
        <v>584</v>
      </c>
      <c r="G21" s="803"/>
      <c r="H21" s="796" t="s">
        <v>576</v>
      </c>
      <c r="I21" s="123" t="s">
        <v>599</v>
      </c>
      <c r="J21" s="809"/>
    </row>
    <row r="22" spans="1:10" ht="15.75">
      <c r="A22" s="796">
        <v>20</v>
      </c>
      <c r="B22" s="803" t="s">
        <v>229</v>
      </c>
      <c r="C22" s="796"/>
      <c r="D22" s="808">
        <v>2003</v>
      </c>
      <c r="E22" s="808"/>
      <c r="F22" s="799" t="s">
        <v>584</v>
      </c>
      <c r="G22" s="803"/>
      <c r="H22" s="796" t="s">
        <v>600</v>
      </c>
      <c r="I22" s="123" t="s">
        <v>601</v>
      </c>
      <c r="J22" s="809"/>
    </row>
    <row r="23" spans="1:10" ht="15.75">
      <c r="A23" s="796">
        <v>21</v>
      </c>
      <c r="B23" s="803" t="s">
        <v>205</v>
      </c>
      <c r="C23" s="796"/>
      <c r="D23" s="808">
        <v>1999</v>
      </c>
      <c r="E23" s="808"/>
      <c r="F23" s="799" t="s">
        <v>584</v>
      </c>
      <c r="G23" s="803"/>
      <c r="H23" s="796" t="s">
        <v>576</v>
      </c>
      <c r="I23" s="123" t="s">
        <v>602</v>
      </c>
      <c r="J23" s="809"/>
    </row>
    <row r="24" spans="1:10" ht="15.75">
      <c r="A24" s="796">
        <v>22</v>
      </c>
      <c r="B24" s="803" t="s">
        <v>516</v>
      </c>
      <c r="C24" s="796"/>
      <c r="D24" s="810">
        <v>1999</v>
      </c>
      <c r="E24" s="808"/>
      <c r="F24" s="811" t="s">
        <v>584</v>
      </c>
      <c r="G24" s="803"/>
      <c r="H24" s="796" t="s">
        <v>603</v>
      </c>
      <c r="I24" s="123" t="s">
        <v>604</v>
      </c>
      <c r="J24" s="809"/>
    </row>
    <row r="25" spans="1:10" ht="15.75">
      <c r="A25" s="796">
        <v>23</v>
      </c>
      <c r="B25" s="803" t="s">
        <v>230</v>
      </c>
      <c r="C25" s="796"/>
      <c r="D25" s="808">
        <v>1994</v>
      </c>
      <c r="E25" s="808"/>
      <c r="F25" s="799" t="s">
        <v>575</v>
      </c>
      <c r="G25" s="803"/>
      <c r="H25" s="796" t="s">
        <v>576</v>
      </c>
      <c r="I25" s="123" t="s">
        <v>605</v>
      </c>
      <c r="J25" s="809"/>
    </row>
    <row r="26" spans="1:10" ht="15.75">
      <c r="A26" s="796">
        <v>24</v>
      </c>
      <c r="B26" s="803" t="s">
        <v>231</v>
      </c>
      <c r="C26" s="796"/>
      <c r="D26" s="808">
        <v>1980</v>
      </c>
      <c r="E26" s="808"/>
      <c r="F26" s="799" t="s">
        <v>584</v>
      </c>
      <c r="G26" s="803"/>
      <c r="H26" s="796" t="s">
        <v>603</v>
      </c>
      <c r="I26" s="123" t="s">
        <v>606</v>
      </c>
      <c r="J26" s="809"/>
    </row>
    <row r="27" spans="1:10" ht="15.75">
      <c r="A27" s="796">
        <v>25</v>
      </c>
      <c r="B27" s="803" t="s">
        <v>309</v>
      </c>
      <c r="C27" s="796"/>
      <c r="D27" s="808">
        <v>1999</v>
      </c>
      <c r="E27" s="808"/>
      <c r="F27" s="799" t="s">
        <v>584</v>
      </c>
      <c r="G27" s="803"/>
      <c r="H27" s="796" t="s">
        <v>600</v>
      </c>
      <c r="I27" s="123" t="s">
        <v>607</v>
      </c>
      <c r="J27" s="809"/>
    </row>
    <row r="28" spans="1:10" ht="15.75">
      <c r="A28" s="796">
        <v>26</v>
      </c>
      <c r="B28" s="803" t="s">
        <v>181</v>
      </c>
      <c r="C28" s="796"/>
      <c r="D28" s="808">
        <v>1995</v>
      </c>
      <c r="E28" s="808"/>
      <c r="F28" s="799" t="s">
        <v>584</v>
      </c>
      <c r="G28" s="803"/>
      <c r="H28" s="796" t="s">
        <v>576</v>
      </c>
      <c r="I28" s="123" t="s">
        <v>608</v>
      </c>
      <c r="J28" s="809"/>
    </row>
    <row r="29" spans="1:10" ht="15.75">
      <c r="A29" s="796">
        <v>27</v>
      </c>
      <c r="B29" s="803" t="s">
        <v>179</v>
      </c>
      <c r="C29" s="796"/>
      <c r="D29" s="808">
        <v>1992</v>
      </c>
      <c r="E29" s="808"/>
      <c r="F29" s="799" t="s">
        <v>575</v>
      </c>
      <c r="G29" s="803"/>
      <c r="H29" s="796" t="s">
        <v>576</v>
      </c>
      <c r="I29" s="123" t="s">
        <v>609</v>
      </c>
      <c r="J29" s="809"/>
    </row>
    <row r="30" spans="1:10" ht="15.75">
      <c r="A30" s="796">
        <v>28</v>
      </c>
      <c r="B30" s="803" t="s">
        <v>159</v>
      </c>
      <c r="C30" s="796"/>
      <c r="D30" s="808">
        <v>1996</v>
      </c>
      <c r="E30" s="808"/>
      <c r="F30" s="799" t="s">
        <v>584</v>
      </c>
      <c r="G30" s="803"/>
      <c r="H30" s="796" t="s">
        <v>610</v>
      </c>
      <c r="I30" s="123" t="s">
        <v>611</v>
      </c>
      <c r="J30" s="809"/>
    </row>
    <row r="31" spans="1:10" ht="15.75">
      <c r="A31" s="796">
        <v>29</v>
      </c>
      <c r="B31" s="803" t="s">
        <v>158</v>
      </c>
      <c r="C31" s="796"/>
      <c r="D31" s="808">
        <v>1986</v>
      </c>
      <c r="E31" s="808"/>
      <c r="F31" s="799" t="s">
        <v>575</v>
      </c>
      <c r="G31" s="803"/>
      <c r="H31" s="796" t="s">
        <v>610</v>
      </c>
      <c r="I31" s="123" t="s">
        <v>612</v>
      </c>
      <c r="J31" s="809"/>
    </row>
    <row r="32" spans="1:10" ht="15.75">
      <c r="A32" s="796">
        <v>30</v>
      </c>
      <c r="B32" s="803" t="s">
        <v>218</v>
      </c>
      <c r="C32" s="796"/>
      <c r="D32" s="808">
        <v>2000</v>
      </c>
      <c r="E32" s="808"/>
      <c r="F32" s="799" t="s">
        <v>575</v>
      </c>
      <c r="G32" s="803"/>
      <c r="H32" s="796" t="s">
        <v>576</v>
      </c>
      <c r="I32" s="123" t="s">
        <v>613</v>
      </c>
      <c r="J32" s="809"/>
    </row>
    <row r="33" spans="1:10" ht="15.75">
      <c r="A33" s="796">
        <v>31</v>
      </c>
      <c r="B33" s="803" t="s">
        <v>209</v>
      </c>
      <c r="C33" s="796"/>
      <c r="D33" s="808">
        <v>1992</v>
      </c>
      <c r="E33" s="808"/>
      <c r="F33" s="799" t="s">
        <v>575</v>
      </c>
      <c r="G33" s="803"/>
      <c r="H33" s="796" t="s">
        <v>600</v>
      </c>
      <c r="I33" s="123" t="s">
        <v>614</v>
      </c>
      <c r="J33" s="809"/>
    </row>
    <row r="34" spans="1:10" ht="15.75">
      <c r="A34" s="796">
        <v>32</v>
      </c>
      <c r="B34" s="803" t="s">
        <v>210</v>
      </c>
      <c r="C34" s="796"/>
      <c r="D34" s="808">
        <v>1978</v>
      </c>
      <c r="E34" s="808"/>
      <c r="F34" s="799" t="s">
        <v>575</v>
      </c>
      <c r="G34" s="803"/>
      <c r="H34" s="796" t="s">
        <v>576</v>
      </c>
      <c r="I34" s="123" t="s">
        <v>615</v>
      </c>
      <c r="J34" s="809"/>
    </row>
    <row r="35" spans="1:10" ht="15.75">
      <c r="A35" s="796">
        <v>33</v>
      </c>
      <c r="B35" s="803" t="s">
        <v>189</v>
      </c>
      <c r="C35" s="796"/>
      <c r="D35" s="808">
        <v>2003</v>
      </c>
      <c r="E35" s="808"/>
      <c r="F35" s="799" t="s">
        <v>575</v>
      </c>
      <c r="G35" s="803"/>
      <c r="H35" s="796" t="s">
        <v>576</v>
      </c>
      <c r="I35" s="123" t="s">
        <v>616</v>
      </c>
      <c r="J35" s="809"/>
    </row>
    <row r="36" spans="1:10" ht="15.75">
      <c r="A36" s="796">
        <v>34</v>
      </c>
      <c r="B36" s="803" t="s">
        <v>232</v>
      </c>
      <c r="C36" s="796"/>
      <c r="D36" s="808">
        <v>1981</v>
      </c>
      <c r="E36" s="808"/>
      <c r="F36" s="799" t="s">
        <v>575</v>
      </c>
      <c r="G36" s="803"/>
      <c r="H36" s="796" t="s">
        <v>576</v>
      </c>
      <c r="I36" s="123" t="s">
        <v>617</v>
      </c>
      <c r="J36" s="809"/>
    </row>
    <row r="37" spans="1:10" ht="15.75">
      <c r="A37" s="796">
        <v>35</v>
      </c>
      <c r="B37" s="803" t="s">
        <v>190</v>
      </c>
      <c r="C37" s="796"/>
      <c r="D37" s="808">
        <v>1995</v>
      </c>
      <c r="E37" s="808"/>
      <c r="F37" s="799" t="s">
        <v>584</v>
      </c>
      <c r="G37" s="803"/>
      <c r="H37" s="796" t="s">
        <v>576</v>
      </c>
      <c r="I37" s="123" t="s">
        <v>618</v>
      </c>
      <c r="J37" s="809"/>
    </row>
    <row r="38" spans="1:10" ht="15.75">
      <c r="A38" s="796">
        <v>36</v>
      </c>
      <c r="B38" s="803" t="s">
        <v>191</v>
      </c>
      <c r="C38" s="796"/>
      <c r="D38" s="808">
        <v>1986</v>
      </c>
      <c r="E38" s="808"/>
      <c r="F38" s="799" t="s">
        <v>575</v>
      </c>
      <c r="G38" s="803"/>
      <c r="H38" s="796" t="s">
        <v>576</v>
      </c>
      <c r="I38" s="123" t="s">
        <v>619</v>
      </c>
      <c r="J38" s="809"/>
    </row>
    <row r="39" spans="1:10" ht="15.75">
      <c r="A39" s="796">
        <v>37</v>
      </c>
      <c r="B39" s="803" t="s">
        <v>536</v>
      </c>
      <c r="C39" s="796"/>
      <c r="D39" s="808">
        <v>2000</v>
      </c>
      <c r="E39" s="808"/>
      <c r="F39" s="799" t="s">
        <v>575</v>
      </c>
      <c r="G39" s="803"/>
      <c r="H39" s="796" t="s">
        <v>576</v>
      </c>
      <c r="I39" s="123" t="s">
        <v>620</v>
      </c>
      <c r="J39" s="809"/>
    </row>
    <row r="40" spans="1:10" ht="15.75">
      <c r="A40" s="796">
        <v>38</v>
      </c>
      <c r="B40" s="803" t="s">
        <v>233</v>
      </c>
      <c r="C40" s="796"/>
      <c r="D40" s="808">
        <v>1988</v>
      </c>
      <c r="E40" s="808"/>
      <c r="F40" s="799" t="s">
        <v>584</v>
      </c>
      <c r="G40" s="803"/>
      <c r="H40" s="796" t="s">
        <v>576</v>
      </c>
      <c r="I40" s="123" t="s">
        <v>621</v>
      </c>
      <c r="J40" s="809"/>
    </row>
    <row r="41" spans="1:10" ht="15.75">
      <c r="A41" s="796">
        <v>39</v>
      </c>
      <c r="B41" s="803" t="s">
        <v>211</v>
      </c>
      <c r="C41" s="796"/>
      <c r="D41" s="808">
        <v>1994</v>
      </c>
      <c r="E41" s="808"/>
      <c r="F41" s="799" t="s">
        <v>584</v>
      </c>
      <c r="G41" s="803"/>
      <c r="H41" s="796" t="s">
        <v>600</v>
      </c>
      <c r="I41" s="123" t="s">
        <v>622</v>
      </c>
      <c r="J41" s="809"/>
    </row>
    <row r="42" spans="1:10" ht="15.75">
      <c r="A42" s="796">
        <v>40</v>
      </c>
      <c r="B42" s="803" t="s">
        <v>219</v>
      </c>
      <c r="C42" s="796"/>
      <c r="D42" s="808">
        <v>1987</v>
      </c>
      <c r="E42" s="808"/>
      <c r="F42" s="799" t="s">
        <v>575</v>
      </c>
      <c r="G42" s="803"/>
      <c r="H42" s="796" t="s">
        <v>576</v>
      </c>
      <c r="I42" s="123" t="s">
        <v>623</v>
      </c>
      <c r="J42" s="809"/>
    </row>
    <row r="43" spans="1:10" ht="15.75">
      <c r="A43" s="796">
        <v>41</v>
      </c>
      <c r="B43" s="803" t="s">
        <v>446</v>
      </c>
      <c r="C43" s="796"/>
      <c r="D43" s="808">
        <v>1994</v>
      </c>
      <c r="E43" s="808"/>
      <c r="F43" s="799" t="s">
        <v>575</v>
      </c>
      <c r="G43" s="803"/>
      <c r="H43" s="796" t="s">
        <v>576</v>
      </c>
      <c r="I43" s="123" t="s">
        <v>624</v>
      </c>
      <c r="J43" s="809"/>
    </row>
    <row r="44" spans="1:10" ht="15.75">
      <c r="A44" s="796">
        <v>42</v>
      </c>
      <c r="B44" s="803" t="s">
        <v>202</v>
      </c>
      <c r="C44" s="796"/>
      <c r="D44" s="808">
        <v>1990</v>
      </c>
      <c r="E44" s="808"/>
      <c r="F44" s="799" t="s">
        <v>575</v>
      </c>
      <c r="G44" s="803"/>
      <c r="H44" s="796" t="s">
        <v>600</v>
      </c>
      <c r="I44" s="123" t="s">
        <v>625</v>
      </c>
      <c r="J44" s="809"/>
    </row>
    <row r="45" spans="1:10" ht="15.75">
      <c r="A45" s="796">
        <v>43</v>
      </c>
      <c r="B45" s="803" t="s">
        <v>517</v>
      </c>
      <c r="C45" s="796"/>
      <c r="D45" s="808">
        <v>1997</v>
      </c>
      <c r="E45" s="808"/>
      <c r="F45" s="799" t="s">
        <v>575</v>
      </c>
      <c r="G45" s="803"/>
      <c r="H45" s="796" t="s">
        <v>600</v>
      </c>
      <c r="I45" s="123" t="s">
        <v>626</v>
      </c>
      <c r="J45" s="809"/>
    </row>
    <row r="46" spans="1:10" ht="15.75">
      <c r="A46" s="796">
        <v>44</v>
      </c>
      <c r="B46" s="803" t="s">
        <v>241</v>
      </c>
      <c r="C46" s="796"/>
      <c r="D46" s="808">
        <v>2004</v>
      </c>
      <c r="E46" s="808"/>
      <c r="F46" s="799" t="s">
        <v>575</v>
      </c>
      <c r="G46" s="803"/>
      <c r="H46" s="796" t="s">
        <v>576</v>
      </c>
      <c r="I46" s="123" t="s">
        <v>627</v>
      </c>
      <c r="J46" s="809"/>
    </row>
    <row r="47" spans="1:10" ht="15.75">
      <c r="A47" s="796">
        <v>45</v>
      </c>
      <c r="B47" s="803" t="s">
        <v>212</v>
      </c>
      <c r="C47" s="796"/>
      <c r="D47" s="808">
        <v>2005</v>
      </c>
      <c r="E47" s="808"/>
      <c r="F47" s="799" t="s">
        <v>575</v>
      </c>
      <c r="G47" s="803"/>
      <c r="H47" s="796" t="s">
        <v>576</v>
      </c>
      <c r="I47" s="123" t="s">
        <v>628</v>
      </c>
      <c r="J47" s="809"/>
    </row>
    <row r="48" spans="1:10" ht="15.75">
      <c r="A48" s="796">
        <v>46</v>
      </c>
      <c r="B48" s="803" t="s">
        <v>311</v>
      </c>
      <c r="C48" s="796"/>
      <c r="D48" s="808">
        <v>2002</v>
      </c>
      <c r="E48" s="808"/>
      <c r="F48" s="799" t="s">
        <v>575</v>
      </c>
      <c r="G48" s="803"/>
      <c r="H48" s="796" t="s">
        <v>576</v>
      </c>
      <c r="I48" s="123" t="s">
        <v>629</v>
      </c>
      <c r="J48" s="809"/>
    </row>
    <row r="49" spans="1:10" ht="15.75">
      <c r="A49" s="796">
        <v>47</v>
      </c>
      <c r="B49" s="803" t="s">
        <v>518</v>
      </c>
      <c r="C49" s="796"/>
      <c r="D49" s="808">
        <v>2003</v>
      </c>
      <c r="E49" s="808"/>
      <c r="F49" s="799" t="s">
        <v>584</v>
      </c>
      <c r="G49" s="803"/>
      <c r="H49" s="796" t="s">
        <v>576</v>
      </c>
      <c r="I49" s="123" t="s">
        <v>630</v>
      </c>
      <c r="J49" s="809"/>
    </row>
    <row r="50" spans="1:10" ht="15.75">
      <c r="A50" s="796">
        <v>48</v>
      </c>
      <c r="B50" s="803" t="s">
        <v>138</v>
      </c>
      <c r="C50" s="796"/>
      <c r="D50" s="808">
        <v>1994</v>
      </c>
      <c r="E50" s="808"/>
      <c r="F50" s="799" t="s">
        <v>575</v>
      </c>
      <c r="G50" s="803"/>
      <c r="H50" s="796" t="s">
        <v>576</v>
      </c>
      <c r="I50" s="123" t="s">
        <v>631</v>
      </c>
      <c r="J50" s="809"/>
    </row>
    <row r="51" spans="1:10" ht="15.75">
      <c r="A51" s="796">
        <v>49</v>
      </c>
      <c r="B51" s="803" t="s">
        <v>310</v>
      </c>
      <c r="C51" s="796"/>
      <c r="D51" s="808">
        <v>1992</v>
      </c>
      <c r="E51" s="808"/>
      <c r="F51" s="799" t="s">
        <v>584</v>
      </c>
      <c r="G51" s="803"/>
      <c r="H51" s="796" t="s">
        <v>578</v>
      </c>
      <c r="I51" s="123" t="s">
        <v>632</v>
      </c>
      <c r="J51" s="809"/>
    </row>
    <row r="52" spans="1:10" ht="15.75">
      <c r="A52" s="796">
        <v>50</v>
      </c>
      <c r="B52" s="803" t="s">
        <v>519</v>
      </c>
      <c r="C52" s="796"/>
      <c r="D52" s="808">
        <v>1988</v>
      </c>
      <c r="E52" s="808"/>
      <c r="F52" s="799" t="s">
        <v>584</v>
      </c>
      <c r="G52" s="803"/>
      <c r="H52" s="796" t="s">
        <v>576</v>
      </c>
      <c r="I52" s="123" t="s">
        <v>633</v>
      </c>
      <c r="J52" s="809"/>
    </row>
    <row r="53" spans="1:10" ht="15.75">
      <c r="A53" s="796">
        <v>51</v>
      </c>
      <c r="B53" s="803" t="s">
        <v>204</v>
      </c>
      <c r="C53" s="796"/>
      <c r="D53" s="808">
        <v>2000</v>
      </c>
      <c r="E53" s="808"/>
      <c r="F53" s="799" t="s">
        <v>575</v>
      </c>
      <c r="G53" s="803"/>
      <c r="H53" s="796" t="s">
        <v>576</v>
      </c>
      <c r="I53" s="123" t="s">
        <v>634</v>
      </c>
      <c r="J53" s="809"/>
    </row>
    <row r="54" spans="1:10" ht="15.75">
      <c r="A54" s="796">
        <v>52</v>
      </c>
      <c r="B54" s="803" t="s">
        <v>312</v>
      </c>
      <c r="C54" s="796"/>
      <c r="D54" s="808">
        <v>2004</v>
      </c>
      <c r="E54" s="808"/>
      <c r="F54" s="799" t="s">
        <v>584</v>
      </c>
      <c r="G54" s="803"/>
      <c r="H54" s="796" t="s">
        <v>576</v>
      </c>
      <c r="I54" s="123" t="s">
        <v>635</v>
      </c>
      <c r="J54" s="809"/>
    </row>
    <row r="55" spans="1:10" ht="15.75">
      <c r="A55" s="796">
        <v>53</v>
      </c>
      <c r="B55" s="803" t="s">
        <v>139</v>
      </c>
      <c r="C55" s="796"/>
      <c r="D55" s="808">
        <v>1980</v>
      </c>
      <c r="E55" s="808"/>
      <c r="F55" s="799" t="s">
        <v>575</v>
      </c>
      <c r="G55" s="803"/>
      <c r="H55" s="796" t="s">
        <v>576</v>
      </c>
      <c r="I55" s="123" t="s">
        <v>636</v>
      </c>
      <c r="J55" s="809"/>
    </row>
    <row r="56" spans="1:10" ht="15.75">
      <c r="A56" s="796">
        <v>54</v>
      </c>
      <c r="B56" s="803" t="s">
        <v>520</v>
      </c>
      <c r="C56" s="796"/>
      <c r="D56" s="808">
        <v>2004</v>
      </c>
      <c r="E56" s="808"/>
      <c r="F56" s="799" t="s">
        <v>575</v>
      </c>
      <c r="G56" s="803"/>
      <c r="H56" s="796" t="s">
        <v>64</v>
      </c>
      <c r="I56" s="123" t="s">
        <v>637</v>
      </c>
      <c r="J56" s="809"/>
    </row>
    <row r="57" spans="1:10" ht="15.75">
      <c r="A57" s="796">
        <v>55</v>
      </c>
      <c r="B57" s="803" t="s">
        <v>337</v>
      </c>
      <c r="C57" s="796"/>
      <c r="D57" s="808">
        <v>2005</v>
      </c>
      <c r="E57" s="808"/>
      <c r="F57" s="799" t="s">
        <v>584</v>
      </c>
      <c r="G57" s="803"/>
      <c r="H57" s="796" t="s">
        <v>576</v>
      </c>
      <c r="I57" s="123" t="s">
        <v>638</v>
      </c>
      <c r="J57" s="809"/>
    </row>
    <row r="58" spans="1:10" ht="15.75">
      <c r="A58" s="796">
        <v>56</v>
      </c>
      <c r="B58" s="803" t="s">
        <v>313</v>
      </c>
      <c r="C58" s="796"/>
      <c r="D58" s="808">
        <v>2004</v>
      </c>
      <c r="E58" s="808"/>
      <c r="F58" s="799" t="s">
        <v>575</v>
      </c>
      <c r="G58" s="803"/>
      <c r="H58" s="796" t="s">
        <v>582</v>
      </c>
      <c r="I58" s="123" t="s">
        <v>639</v>
      </c>
      <c r="J58" s="809"/>
    </row>
    <row r="59" spans="1:10" ht="15.75">
      <c r="A59" s="796">
        <v>57</v>
      </c>
      <c r="B59" s="803" t="s">
        <v>314</v>
      </c>
      <c r="C59" s="796"/>
      <c r="D59" s="808">
        <v>1988</v>
      </c>
      <c r="E59" s="808"/>
      <c r="F59" s="799" t="s">
        <v>575</v>
      </c>
      <c r="G59" s="803"/>
      <c r="H59" s="796" t="s">
        <v>582</v>
      </c>
      <c r="I59" s="123" t="s">
        <v>640</v>
      </c>
      <c r="J59" s="809"/>
    </row>
    <row r="60" spans="1:10" ht="15.75">
      <c r="A60" s="796">
        <v>58</v>
      </c>
      <c r="B60" s="803" t="s">
        <v>478</v>
      </c>
      <c r="C60" s="796"/>
      <c r="D60" s="808">
        <v>1996</v>
      </c>
      <c r="E60" s="808"/>
      <c r="F60" s="799" t="s">
        <v>584</v>
      </c>
      <c r="G60" s="803"/>
      <c r="H60" s="796" t="s">
        <v>582</v>
      </c>
      <c r="I60" s="123" t="s">
        <v>641</v>
      </c>
      <c r="J60" s="809"/>
    </row>
    <row r="61" spans="1:10" ht="15.75">
      <c r="A61" s="796">
        <v>59</v>
      </c>
      <c r="B61" s="803" t="s">
        <v>221</v>
      </c>
      <c r="C61" s="796"/>
      <c r="D61" s="808">
        <v>1993</v>
      </c>
      <c r="E61" s="808"/>
      <c r="F61" s="799" t="s">
        <v>575</v>
      </c>
      <c r="G61" s="803"/>
      <c r="H61" s="796" t="s">
        <v>576</v>
      </c>
      <c r="I61" s="123" t="s">
        <v>642</v>
      </c>
      <c r="J61" s="809"/>
    </row>
    <row r="62" spans="1:10" ht="15.75">
      <c r="A62" s="796">
        <v>60</v>
      </c>
      <c r="B62" s="803" t="s">
        <v>521</v>
      </c>
      <c r="C62" s="796"/>
      <c r="D62" s="808">
        <v>1999</v>
      </c>
      <c r="E62" s="808"/>
      <c r="F62" s="799" t="s">
        <v>575</v>
      </c>
      <c r="G62" s="803"/>
      <c r="H62" s="796" t="s">
        <v>610</v>
      </c>
      <c r="I62" s="123" t="s">
        <v>643</v>
      </c>
      <c r="J62" s="809"/>
    </row>
    <row r="63" spans="1:10" ht="15.75">
      <c r="A63" s="796">
        <v>61</v>
      </c>
      <c r="B63" s="803" t="s">
        <v>242</v>
      </c>
      <c r="C63" s="796"/>
      <c r="D63" s="808">
        <v>1985</v>
      </c>
      <c r="E63" s="808"/>
      <c r="F63" s="799" t="s">
        <v>584</v>
      </c>
      <c r="G63" s="803"/>
      <c r="H63" s="796" t="s">
        <v>576</v>
      </c>
      <c r="I63" s="123" t="s">
        <v>644</v>
      </c>
      <c r="J63" s="809"/>
    </row>
    <row r="64" spans="1:10" ht="15.75">
      <c r="A64" s="796">
        <v>62</v>
      </c>
      <c r="B64" s="803" t="s">
        <v>522</v>
      </c>
      <c r="C64" s="796"/>
      <c r="D64" s="808">
        <v>1995</v>
      </c>
      <c r="E64" s="808"/>
      <c r="F64" s="799" t="s">
        <v>584</v>
      </c>
      <c r="G64" s="803"/>
      <c r="H64" s="796" t="s">
        <v>582</v>
      </c>
      <c r="I64" s="123" t="s">
        <v>645</v>
      </c>
      <c r="J64" s="809"/>
    </row>
    <row r="65" spans="1:10" ht="15.75">
      <c r="A65" s="796">
        <v>63</v>
      </c>
      <c r="B65" s="803" t="s">
        <v>315</v>
      </c>
      <c r="C65" s="796"/>
      <c r="D65" s="808">
        <v>2004</v>
      </c>
      <c r="E65" s="808"/>
      <c r="F65" s="799" t="s">
        <v>575</v>
      </c>
      <c r="G65" s="803"/>
      <c r="H65" s="796" t="s">
        <v>578</v>
      </c>
      <c r="I65" s="123" t="s">
        <v>646</v>
      </c>
      <c r="J65" s="809"/>
    </row>
    <row r="66" spans="1:10" ht="15.75">
      <c r="A66" s="796">
        <v>64</v>
      </c>
      <c r="B66" s="803" t="s">
        <v>316</v>
      </c>
      <c r="C66" s="796"/>
      <c r="D66" s="808">
        <v>1993</v>
      </c>
      <c r="E66" s="808"/>
      <c r="F66" s="799" t="s">
        <v>584</v>
      </c>
      <c r="G66" s="803"/>
      <c r="H66" s="796" t="s">
        <v>578</v>
      </c>
      <c r="I66" s="123" t="s">
        <v>647</v>
      </c>
      <c r="J66" s="809"/>
    </row>
    <row r="67" spans="1:10" ht="15.75">
      <c r="A67" s="796">
        <v>65</v>
      </c>
      <c r="B67" s="803" t="s">
        <v>384</v>
      </c>
      <c r="C67" s="796"/>
      <c r="D67" s="808">
        <v>2002</v>
      </c>
      <c r="E67" s="808"/>
      <c r="F67" s="799" t="s">
        <v>575</v>
      </c>
      <c r="G67" s="803"/>
      <c r="H67" s="796" t="s">
        <v>582</v>
      </c>
      <c r="I67" s="123" t="s">
        <v>648</v>
      </c>
      <c r="J67" s="809"/>
    </row>
    <row r="68" spans="1:10" ht="15.75">
      <c r="A68" s="796">
        <v>66</v>
      </c>
      <c r="B68" s="803" t="s">
        <v>417</v>
      </c>
      <c r="C68" s="796"/>
      <c r="D68" s="808">
        <v>1989</v>
      </c>
      <c r="E68" s="808"/>
      <c r="F68" s="799" t="s">
        <v>575</v>
      </c>
      <c r="G68" s="803"/>
      <c r="H68" s="796" t="s">
        <v>578</v>
      </c>
      <c r="I68" s="123" t="s">
        <v>649</v>
      </c>
      <c r="J68" s="809"/>
    </row>
    <row r="69" spans="1:10" ht="15.75">
      <c r="A69" s="796">
        <v>67</v>
      </c>
      <c r="B69" s="803" t="s">
        <v>200</v>
      </c>
      <c r="C69" s="796"/>
      <c r="D69" s="808">
        <v>1996</v>
      </c>
      <c r="E69" s="808"/>
      <c r="F69" s="799" t="s">
        <v>575</v>
      </c>
      <c r="G69" s="803"/>
      <c r="H69" s="796" t="s">
        <v>582</v>
      </c>
      <c r="I69" s="123" t="s">
        <v>650</v>
      </c>
      <c r="J69" s="809"/>
    </row>
    <row r="70" spans="1:10" ht="15.75">
      <c r="A70" s="796">
        <v>68</v>
      </c>
      <c r="B70" s="803" t="s">
        <v>298</v>
      </c>
      <c r="C70" s="796"/>
      <c r="D70" s="808">
        <v>2005</v>
      </c>
      <c r="E70" s="808"/>
      <c r="F70" s="799" t="s">
        <v>575</v>
      </c>
      <c r="G70" s="803"/>
      <c r="H70" s="796" t="s">
        <v>578</v>
      </c>
      <c r="I70" s="123" t="s">
        <v>651</v>
      </c>
      <c r="J70" s="809"/>
    </row>
    <row r="71" spans="1:10" ht="15.75">
      <c r="A71" s="796">
        <v>69</v>
      </c>
      <c r="B71" s="803" t="s">
        <v>329</v>
      </c>
      <c r="C71" s="796"/>
      <c r="D71" s="808">
        <v>1988</v>
      </c>
      <c r="E71" s="808"/>
      <c r="F71" s="799" t="s">
        <v>575</v>
      </c>
      <c r="G71" s="803"/>
      <c r="H71" s="796" t="s">
        <v>578</v>
      </c>
      <c r="I71" s="123" t="s">
        <v>652</v>
      </c>
      <c r="J71" s="809"/>
    </row>
    <row r="72" spans="1:10" ht="15.75">
      <c r="A72" s="796">
        <v>70</v>
      </c>
      <c r="B72" s="803" t="s">
        <v>317</v>
      </c>
      <c r="C72" s="796"/>
      <c r="D72" s="808">
        <v>1990</v>
      </c>
      <c r="E72" s="808"/>
      <c r="F72" s="799" t="s">
        <v>584</v>
      </c>
      <c r="G72" s="803"/>
      <c r="H72" s="796" t="s">
        <v>582</v>
      </c>
      <c r="I72" s="123" t="s">
        <v>653</v>
      </c>
      <c r="J72" s="809"/>
    </row>
    <row r="73" spans="1:10" ht="15.75">
      <c r="A73" s="796">
        <v>71</v>
      </c>
      <c r="B73" s="803" t="s">
        <v>220</v>
      </c>
      <c r="C73" s="796"/>
      <c r="D73" s="808">
        <v>1995</v>
      </c>
      <c r="E73" s="808"/>
      <c r="F73" s="799" t="s">
        <v>584</v>
      </c>
      <c r="G73" s="803"/>
      <c r="H73" s="796" t="s">
        <v>582</v>
      </c>
      <c r="I73" s="123" t="s">
        <v>654</v>
      </c>
      <c r="J73" s="809"/>
    </row>
    <row r="74" spans="1:10" ht="15.75">
      <c r="A74" s="796">
        <v>72</v>
      </c>
      <c r="B74" s="803" t="s">
        <v>259</v>
      </c>
      <c r="C74" s="796"/>
      <c r="D74" s="808">
        <v>1990</v>
      </c>
      <c r="E74" s="808"/>
      <c r="F74" s="799" t="s">
        <v>575</v>
      </c>
      <c r="G74" s="803"/>
      <c r="H74" s="796" t="s">
        <v>655</v>
      </c>
      <c r="I74" s="123" t="s">
        <v>656</v>
      </c>
      <c r="J74" s="809"/>
    </row>
    <row r="75" spans="1:10" ht="15.75">
      <c r="A75" s="796">
        <v>73</v>
      </c>
      <c r="B75" s="803" t="s">
        <v>523</v>
      </c>
      <c r="C75" s="796"/>
      <c r="D75" s="808">
        <v>1995</v>
      </c>
      <c r="E75" s="808"/>
      <c r="F75" s="799" t="s">
        <v>575</v>
      </c>
      <c r="G75" s="803"/>
      <c r="H75" s="796" t="s">
        <v>655</v>
      </c>
      <c r="I75" s="123" t="s">
        <v>657</v>
      </c>
      <c r="J75" s="809"/>
    </row>
    <row r="76" spans="1:10" s="816" customFormat="1" ht="15.75">
      <c r="A76" s="796">
        <v>74</v>
      </c>
      <c r="B76" s="1701" t="s">
        <v>539</v>
      </c>
      <c r="C76" s="1701"/>
      <c r="D76" s="1701"/>
      <c r="E76" s="812"/>
      <c r="F76" s="813"/>
      <c r="G76" s="814"/>
      <c r="H76" s="813"/>
      <c r="I76" s="813"/>
      <c r="J76" s="815"/>
    </row>
    <row r="77" spans="1:10" ht="15.75">
      <c r="A77" s="796">
        <v>75</v>
      </c>
      <c r="B77" s="115" t="s">
        <v>524</v>
      </c>
      <c r="C77" s="796"/>
      <c r="D77" s="808">
        <v>2000</v>
      </c>
      <c r="E77" s="808"/>
      <c r="F77" s="808" t="s">
        <v>575</v>
      </c>
      <c r="G77" s="803"/>
      <c r="H77" s="796" t="s">
        <v>658</v>
      </c>
      <c r="I77" s="123" t="s">
        <v>659</v>
      </c>
      <c r="J77" s="809"/>
    </row>
    <row r="78" spans="1:10" ht="15.75">
      <c r="A78" s="796">
        <v>76</v>
      </c>
      <c r="B78" s="115" t="s">
        <v>235</v>
      </c>
      <c r="C78" s="796"/>
      <c r="D78" s="808">
        <v>2000</v>
      </c>
      <c r="E78" s="808"/>
      <c r="F78" s="808" t="s">
        <v>584</v>
      </c>
      <c r="G78" s="803"/>
      <c r="H78" s="796" t="s">
        <v>68</v>
      </c>
      <c r="I78" s="123" t="s">
        <v>592</v>
      </c>
      <c r="J78" s="809"/>
    </row>
    <row r="79" spans="1:10" ht="15.75">
      <c r="A79" s="796">
        <v>77</v>
      </c>
      <c r="B79" s="394" t="s">
        <v>157</v>
      </c>
      <c r="C79" s="796"/>
      <c r="D79" s="808">
        <v>1996</v>
      </c>
      <c r="E79" s="808"/>
      <c r="F79" s="808" t="s">
        <v>575</v>
      </c>
      <c r="G79" s="803"/>
      <c r="H79" s="796" t="s">
        <v>660</v>
      </c>
      <c r="I79" s="123" t="s">
        <v>661</v>
      </c>
      <c r="J79" s="809"/>
    </row>
    <row r="80" spans="1:10" ht="15.75">
      <c r="A80" s="796">
        <v>78</v>
      </c>
      <c r="B80" s="395" t="s">
        <v>236</v>
      </c>
      <c r="C80" s="796"/>
      <c r="D80" s="808">
        <v>2001</v>
      </c>
      <c r="E80" s="808"/>
      <c r="F80" s="808" t="s">
        <v>584</v>
      </c>
      <c r="G80" s="803"/>
      <c r="H80" s="796" t="s">
        <v>660</v>
      </c>
      <c r="I80" s="123" t="s">
        <v>662</v>
      </c>
      <c r="J80" s="809"/>
    </row>
    <row r="81" spans="1:10" ht="15.75">
      <c r="A81" s="796">
        <v>79</v>
      </c>
      <c r="B81" s="115" t="s">
        <v>193</v>
      </c>
      <c r="C81" s="796"/>
      <c r="D81" s="808">
        <v>1994</v>
      </c>
      <c r="E81" s="808"/>
      <c r="F81" s="808" t="s">
        <v>575</v>
      </c>
      <c r="G81" s="803"/>
      <c r="H81" s="796" t="s">
        <v>660</v>
      </c>
      <c r="I81" s="123" t="s">
        <v>663</v>
      </c>
      <c r="J81" s="809"/>
    </row>
    <row r="82" spans="1:10" ht="15.75">
      <c r="A82" s="796">
        <v>80</v>
      </c>
      <c r="B82" s="115" t="s">
        <v>330</v>
      </c>
      <c r="C82" s="796"/>
      <c r="D82" s="808">
        <v>2005</v>
      </c>
      <c r="E82" s="808"/>
      <c r="F82" s="808" t="s">
        <v>575</v>
      </c>
      <c r="G82" s="803"/>
      <c r="H82" s="796" t="s">
        <v>658</v>
      </c>
      <c r="I82" s="123" t="s">
        <v>664</v>
      </c>
      <c r="J82" s="809"/>
    </row>
    <row r="83" spans="1:10" ht="15.75">
      <c r="A83" s="796">
        <v>81</v>
      </c>
      <c r="B83" s="115" t="s">
        <v>194</v>
      </c>
      <c r="C83" s="796"/>
      <c r="D83" s="808">
        <v>1989</v>
      </c>
      <c r="E83" s="808"/>
      <c r="F83" s="808" t="s">
        <v>575</v>
      </c>
      <c r="G83" s="803"/>
      <c r="H83" s="796" t="s">
        <v>658</v>
      </c>
      <c r="I83" s="123" t="s">
        <v>665</v>
      </c>
      <c r="J83" s="809"/>
    </row>
    <row r="84" spans="1:10" ht="16.5">
      <c r="A84" s="796">
        <v>82</v>
      </c>
      <c r="B84" s="115" t="s">
        <v>525</v>
      </c>
      <c r="C84" s="796"/>
      <c r="D84" s="808">
        <v>2001</v>
      </c>
      <c r="E84" s="808"/>
      <c r="F84" s="808" t="s">
        <v>575</v>
      </c>
      <c r="G84" s="803"/>
      <c r="H84" s="796" t="s">
        <v>658</v>
      </c>
      <c r="I84" s="817" t="s">
        <v>666</v>
      </c>
      <c r="J84" s="809"/>
    </row>
    <row r="85" spans="1:10" ht="15.75">
      <c r="A85" s="796">
        <v>83</v>
      </c>
      <c r="B85" s="115" t="s">
        <v>331</v>
      </c>
      <c r="C85" s="796"/>
      <c r="D85" s="808">
        <v>1999</v>
      </c>
      <c r="E85" s="808"/>
      <c r="F85" s="808" t="s">
        <v>584</v>
      </c>
      <c r="G85" s="803"/>
      <c r="H85" s="796" t="s">
        <v>667</v>
      </c>
      <c r="I85" s="123" t="s">
        <v>668</v>
      </c>
      <c r="J85" s="809"/>
    </row>
    <row r="86" spans="1:10" ht="15.75">
      <c r="A86" s="796">
        <v>84</v>
      </c>
      <c r="B86" s="115" t="s">
        <v>213</v>
      </c>
      <c r="C86" s="796"/>
      <c r="D86" s="808">
        <v>1998</v>
      </c>
      <c r="E86" s="808"/>
      <c r="F86" s="808" t="s">
        <v>584</v>
      </c>
      <c r="G86" s="803"/>
      <c r="H86" s="796" t="s">
        <v>660</v>
      </c>
      <c r="I86" s="123" t="s">
        <v>669</v>
      </c>
      <c r="J86" s="809"/>
    </row>
    <row r="87" spans="1:10" ht="15.75">
      <c r="A87" s="796">
        <v>85</v>
      </c>
      <c r="B87" s="115" t="s">
        <v>195</v>
      </c>
      <c r="C87" s="796"/>
      <c r="D87" s="808">
        <v>1999</v>
      </c>
      <c r="E87" s="808"/>
      <c r="F87" s="808" t="s">
        <v>584</v>
      </c>
      <c r="G87" s="803"/>
      <c r="H87" s="796" t="s">
        <v>660</v>
      </c>
      <c r="I87" s="123" t="s">
        <v>670</v>
      </c>
      <c r="J87" s="809"/>
    </row>
    <row r="88" spans="1:10" ht="15.75">
      <c r="A88" s="796">
        <v>86</v>
      </c>
      <c r="B88" s="115" t="s">
        <v>196</v>
      </c>
      <c r="C88" s="796"/>
      <c r="D88" s="808">
        <v>1992</v>
      </c>
      <c r="E88" s="808"/>
      <c r="F88" s="808" t="s">
        <v>584</v>
      </c>
      <c r="G88" s="803"/>
      <c r="H88" s="796" t="s">
        <v>658</v>
      </c>
      <c r="I88" s="123" t="s">
        <v>671</v>
      </c>
      <c r="J88" s="809"/>
    </row>
    <row r="89" spans="1:10" ht="15.75">
      <c r="A89" s="796">
        <v>87</v>
      </c>
      <c r="B89" s="115" t="s">
        <v>526</v>
      </c>
      <c r="C89" s="796"/>
      <c r="D89" s="808">
        <v>2005</v>
      </c>
      <c r="E89" s="808"/>
      <c r="F89" s="808" t="s">
        <v>575</v>
      </c>
      <c r="G89" s="803"/>
      <c r="H89" s="796" t="s">
        <v>658</v>
      </c>
      <c r="I89" s="123" t="s">
        <v>672</v>
      </c>
      <c r="J89" s="809"/>
    </row>
    <row r="90" spans="1:10" ht="15.75">
      <c r="A90" s="796">
        <v>88</v>
      </c>
      <c r="B90" s="123" t="s">
        <v>237</v>
      </c>
      <c r="C90" s="796"/>
      <c r="D90" s="808">
        <v>1982</v>
      </c>
      <c r="E90" s="808"/>
      <c r="F90" s="808" t="s">
        <v>575</v>
      </c>
      <c r="G90" s="803"/>
      <c r="H90" s="796" t="s">
        <v>667</v>
      </c>
      <c r="I90" s="123" t="s">
        <v>673</v>
      </c>
      <c r="J90" s="809"/>
    </row>
    <row r="91" spans="1:10" ht="15.75">
      <c r="A91" s="796">
        <v>89</v>
      </c>
      <c r="B91" s="115" t="s">
        <v>197</v>
      </c>
      <c r="C91" s="796"/>
      <c r="D91" s="808">
        <v>1992</v>
      </c>
      <c r="E91" s="808"/>
      <c r="F91" s="808" t="s">
        <v>575</v>
      </c>
      <c r="G91" s="803"/>
      <c r="H91" s="796" t="s">
        <v>660</v>
      </c>
      <c r="I91" s="123" t="s">
        <v>674</v>
      </c>
      <c r="J91" s="809"/>
    </row>
    <row r="92" spans="1:10" ht="15.75">
      <c r="A92" s="796">
        <v>90</v>
      </c>
      <c r="B92" s="115" t="s">
        <v>311</v>
      </c>
      <c r="C92" s="796"/>
      <c r="D92" s="808">
        <v>2004</v>
      </c>
      <c r="E92" s="808"/>
      <c r="F92" s="808" t="s">
        <v>575</v>
      </c>
      <c r="G92" s="803"/>
      <c r="H92" s="796" t="s">
        <v>658</v>
      </c>
      <c r="I92" s="123" t="s">
        <v>629</v>
      </c>
      <c r="J92" s="809"/>
    </row>
    <row r="93" spans="1:10" ht="15.75">
      <c r="A93" s="796">
        <v>91</v>
      </c>
      <c r="B93" s="115" t="s">
        <v>332</v>
      </c>
      <c r="C93" s="796"/>
      <c r="D93" s="808">
        <v>1983</v>
      </c>
      <c r="E93" s="808"/>
      <c r="F93" s="808" t="s">
        <v>575</v>
      </c>
      <c r="G93" s="803"/>
      <c r="H93" s="796" t="s">
        <v>667</v>
      </c>
      <c r="I93" s="123" t="s">
        <v>675</v>
      </c>
      <c r="J93" s="809"/>
    </row>
    <row r="94" spans="1:10" ht="15.75">
      <c r="A94" s="796">
        <v>92</v>
      </c>
      <c r="B94" s="115" t="s">
        <v>262</v>
      </c>
      <c r="C94" s="796"/>
      <c r="D94" s="808">
        <v>1983</v>
      </c>
      <c r="E94" s="808"/>
      <c r="F94" s="808" t="s">
        <v>575</v>
      </c>
      <c r="G94" s="803"/>
      <c r="H94" s="796" t="s">
        <v>667</v>
      </c>
      <c r="I94" s="123" t="s">
        <v>676</v>
      </c>
      <c r="J94" s="809"/>
    </row>
    <row r="95" spans="1:10" ht="15.75">
      <c r="A95" s="796">
        <v>93</v>
      </c>
      <c r="B95" s="115" t="s">
        <v>234</v>
      </c>
      <c r="C95" s="796"/>
      <c r="D95" s="808">
        <v>2001</v>
      </c>
      <c r="E95" s="808"/>
      <c r="F95" s="808" t="s">
        <v>575</v>
      </c>
      <c r="G95" s="803"/>
      <c r="H95" s="796" t="s">
        <v>667</v>
      </c>
      <c r="I95" s="123" t="s">
        <v>677</v>
      </c>
      <c r="J95" s="809"/>
    </row>
    <row r="96" spans="1:10" ht="15.75">
      <c r="A96" s="796">
        <v>94</v>
      </c>
      <c r="B96" s="115" t="s">
        <v>251</v>
      </c>
      <c r="C96" s="796"/>
      <c r="D96" s="808">
        <v>1990</v>
      </c>
      <c r="E96" s="808"/>
      <c r="F96" s="808" t="s">
        <v>575</v>
      </c>
      <c r="G96" s="803"/>
      <c r="H96" s="796" t="s">
        <v>667</v>
      </c>
      <c r="I96" s="123" t="s">
        <v>678</v>
      </c>
      <c r="J96" s="809"/>
    </row>
    <row r="97" spans="1:10">
      <c r="A97" s="796">
        <v>95</v>
      </c>
      <c r="B97" s="115" t="s">
        <v>214</v>
      </c>
      <c r="C97" s="796"/>
      <c r="D97" s="808">
        <v>2005</v>
      </c>
      <c r="E97" s="808"/>
      <c r="F97" s="808" t="s">
        <v>584</v>
      </c>
      <c r="G97" s="803"/>
      <c r="H97" s="796" t="s">
        <v>667</v>
      </c>
      <c r="I97" s="123" t="s">
        <v>679</v>
      </c>
      <c r="J97" s="808"/>
    </row>
    <row r="98" spans="1:10">
      <c r="A98" s="796">
        <v>96</v>
      </c>
      <c r="B98" s="115" t="s">
        <v>257</v>
      </c>
      <c r="C98" s="796"/>
      <c r="D98" s="808">
        <v>1999</v>
      </c>
      <c r="E98" s="808"/>
      <c r="F98" s="808" t="s">
        <v>584</v>
      </c>
      <c r="G98" s="803"/>
      <c r="H98" s="796" t="s">
        <v>658</v>
      </c>
      <c r="I98" s="123" t="s">
        <v>680</v>
      </c>
      <c r="J98" s="808"/>
    </row>
    <row r="99" spans="1:10">
      <c r="A99" s="796">
        <v>97</v>
      </c>
      <c r="B99" s="115" t="s">
        <v>238</v>
      </c>
      <c r="C99" s="796"/>
      <c r="D99" s="808">
        <v>1993</v>
      </c>
      <c r="E99" s="808"/>
      <c r="F99" s="808" t="s">
        <v>584</v>
      </c>
      <c r="G99" s="803"/>
      <c r="H99" s="796" t="s">
        <v>68</v>
      </c>
      <c r="I99" s="123" t="s">
        <v>681</v>
      </c>
      <c r="J99" s="808"/>
    </row>
    <row r="100" spans="1:10">
      <c r="A100" s="796">
        <v>98</v>
      </c>
      <c r="B100" s="396" t="s">
        <v>239</v>
      </c>
      <c r="C100" s="796"/>
      <c r="D100" s="808">
        <v>1995</v>
      </c>
      <c r="E100" s="808"/>
      <c r="F100" s="808" t="s">
        <v>584</v>
      </c>
      <c r="G100" s="803"/>
      <c r="H100" s="796" t="s">
        <v>68</v>
      </c>
      <c r="I100" s="123" t="s">
        <v>682</v>
      </c>
      <c r="J100" s="808"/>
    </row>
    <row r="101" spans="1:10">
      <c r="A101" s="796">
        <v>99</v>
      </c>
      <c r="B101" s="396" t="s">
        <v>527</v>
      </c>
      <c r="C101" s="796"/>
      <c r="D101" s="808">
        <v>1991</v>
      </c>
      <c r="E101" s="808"/>
      <c r="F101" s="808" t="s">
        <v>584</v>
      </c>
      <c r="G101" s="803"/>
      <c r="H101" s="796" t="s">
        <v>667</v>
      </c>
      <c r="I101" s="123" t="s">
        <v>683</v>
      </c>
      <c r="J101" s="808"/>
    </row>
    <row r="102" spans="1:10">
      <c r="A102" s="796">
        <v>100</v>
      </c>
      <c r="B102" s="396" t="s">
        <v>282</v>
      </c>
      <c r="C102" s="796"/>
      <c r="D102" s="808">
        <v>1988</v>
      </c>
      <c r="E102" s="808"/>
      <c r="F102" s="808" t="s">
        <v>584</v>
      </c>
      <c r="G102" s="796"/>
      <c r="H102" s="796" t="s">
        <v>667</v>
      </c>
      <c r="I102" s="123" t="s">
        <v>684</v>
      </c>
      <c r="J102" s="808"/>
    </row>
    <row r="103" spans="1:10">
      <c r="A103" s="796">
        <v>101</v>
      </c>
      <c r="B103" s="396" t="s">
        <v>263</v>
      </c>
      <c r="C103" s="796"/>
      <c r="D103" s="808">
        <v>2006</v>
      </c>
      <c r="E103" s="808"/>
      <c r="F103" s="808" t="s">
        <v>584</v>
      </c>
      <c r="G103" s="796"/>
      <c r="H103" s="796" t="s">
        <v>667</v>
      </c>
      <c r="I103" s="123" t="s">
        <v>685</v>
      </c>
      <c r="J103" s="808"/>
    </row>
    <row r="104" spans="1:10">
      <c r="A104" s="796">
        <v>102</v>
      </c>
      <c r="B104" s="396" t="s">
        <v>528</v>
      </c>
      <c r="C104" s="796"/>
      <c r="D104" s="808">
        <v>1985</v>
      </c>
      <c r="E104" s="808"/>
      <c r="F104" s="808" t="s">
        <v>584</v>
      </c>
      <c r="G104" s="796"/>
      <c r="H104" s="796" t="s">
        <v>667</v>
      </c>
      <c r="I104" s="818" t="s">
        <v>686</v>
      </c>
      <c r="J104" s="808"/>
    </row>
    <row r="105" spans="1:10">
      <c r="A105" s="796">
        <v>103</v>
      </c>
      <c r="B105" s="394" t="s">
        <v>319</v>
      </c>
      <c r="C105" s="796"/>
      <c r="D105" s="808">
        <v>1995</v>
      </c>
      <c r="E105" s="808"/>
      <c r="F105" s="808" t="s">
        <v>575</v>
      </c>
      <c r="G105" s="796"/>
      <c r="H105" s="796" t="s">
        <v>68</v>
      </c>
      <c r="I105" s="123" t="s">
        <v>687</v>
      </c>
      <c r="J105" s="808"/>
    </row>
    <row r="106" spans="1:10">
      <c r="A106" s="796">
        <v>104</v>
      </c>
      <c r="B106" s="396" t="s">
        <v>240</v>
      </c>
      <c r="C106" s="796"/>
      <c r="D106" s="808">
        <v>1986</v>
      </c>
      <c r="E106" s="808"/>
      <c r="F106" s="808" t="s">
        <v>584</v>
      </c>
      <c r="G106" s="796"/>
      <c r="H106" s="796" t="s">
        <v>667</v>
      </c>
      <c r="I106" s="123" t="s">
        <v>688</v>
      </c>
      <c r="J106" s="808"/>
    </row>
    <row r="107" spans="1:10">
      <c r="A107" s="796">
        <v>105</v>
      </c>
      <c r="B107" s="396" t="s">
        <v>320</v>
      </c>
      <c r="C107" s="796"/>
      <c r="D107" s="808">
        <v>1982</v>
      </c>
      <c r="E107" s="808"/>
      <c r="F107" s="808" t="s">
        <v>575</v>
      </c>
      <c r="G107" s="796"/>
      <c r="H107" s="796" t="s">
        <v>667</v>
      </c>
      <c r="I107" s="123" t="s">
        <v>689</v>
      </c>
      <c r="J107" s="808"/>
    </row>
    <row r="108" spans="1:10">
      <c r="A108" s="796">
        <v>106</v>
      </c>
      <c r="B108" s="396" t="s">
        <v>246</v>
      </c>
      <c r="C108" s="796"/>
      <c r="D108" s="808">
        <v>2000</v>
      </c>
      <c r="E108" s="796"/>
      <c r="F108" s="808" t="s">
        <v>584</v>
      </c>
      <c r="G108" s="796"/>
      <c r="H108" s="796" t="s">
        <v>667</v>
      </c>
      <c r="I108" s="123" t="s">
        <v>690</v>
      </c>
      <c r="J108" s="808"/>
    </row>
    <row r="109" spans="1:10">
      <c r="A109" s="796">
        <v>107</v>
      </c>
      <c r="B109" s="396" t="s">
        <v>258</v>
      </c>
      <c r="C109" s="796"/>
      <c r="D109" s="808">
        <v>2003</v>
      </c>
      <c r="E109" s="796"/>
      <c r="F109" s="808" t="s">
        <v>575</v>
      </c>
      <c r="G109" s="796"/>
      <c r="H109" s="796" t="s">
        <v>68</v>
      </c>
      <c r="I109" s="123" t="s">
        <v>691</v>
      </c>
      <c r="J109" s="796"/>
    </row>
    <row r="110" spans="1:10">
      <c r="A110" s="796">
        <v>108</v>
      </c>
      <c r="B110" s="396" t="s">
        <v>321</v>
      </c>
      <c r="C110" s="796"/>
      <c r="D110" s="808">
        <v>1998</v>
      </c>
      <c r="E110" s="796"/>
      <c r="F110" s="808" t="s">
        <v>575</v>
      </c>
      <c r="G110" s="796"/>
      <c r="H110" s="796" t="s">
        <v>658</v>
      </c>
      <c r="I110" s="123" t="s">
        <v>692</v>
      </c>
      <c r="J110" s="796"/>
    </row>
    <row r="111" spans="1:10">
      <c r="A111" s="796">
        <v>109</v>
      </c>
      <c r="B111" s="396" t="s">
        <v>529</v>
      </c>
      <c r="C111" s="796"/>
      <c r="D111" s="808">
        <v>1975</v>
      </c>
      <c r="E111" s="796"/>
      <c r="F111" s="808" t="s">
        <v>575</v>
      </c>
      <c r="G111" s="796"/>
      <c r="H111" s="796" t="s">
        <v>658</v>
      </c>
      <c r="I111" s="123" t="s">
        <v>693</v>
      </c>
      <c r="J111" s="796"/>
    </row>
    <row r="112" spans="1:10">
      <c r="A112" s="796">
        <v>110</v>
      </c>
      <c r="B112" s="396" t="s">
        <v>322</v>
      </c>
      <c r="C112" s="796"/>
      <c r="D112" s="808">
        <v>1999</v>
      </c>
      <c r="E112" s="796"/>
      <c r="F112" s="808" t="s">
        <v>584</v>
      </c>
      <c r="G112" s="796"/>
      <c r="H112" s="796" t="s">
        <v>667</v>
      </c>
      <c r="I112" s="123" t="s">
        <v>694</v>
      </c>
      <c r="J112" s="796"/>
    </row>
    <row r="113" spans="1:10">
      <c r="A113" s="796">
        <v>111</v>
      </c>
      <c r="B113" s="396" t="s">
        <v>247</v>
      </c>
      <c r="C113" s="796"/>
      <c r="D113" s="808">
        <v>1999</v>
      </c>
      <c r="E113" s="796"/>
      <c r="F113" s="808" t="s">
        <v>575</v>
      </c>
      <c r="G113" s="796"/>
      <c r="H113" s="796" t="s">
        <v>658</v>
      </c>
      <c r="I113" s="123" t="s">
        <v>695</v>
      </c>
      <c r="J113" s="796"/>
    </row>
    <row r="114" spans="1:10">
      <c r="A114" s="796">
        <v>112</v>
      </c>
      <c r="B114" s="396" t="s">
        <v>318</v>
      </c>
      <c r="C114" s="796"/>
      <c r="D114" s="808">
        <v>1998</v>
      </c>
      <c r="E114" s="796"/>
      <c r="F114" s="808" t="s">
        <v>584</v>
      </c>
      <c r="G114" s="796"/>
      <c r="H114" s="796" t="s">
        <v>658</v>
      </c>
      <c r="I114" s="123" t="s">
        <v>696</v>
      </c>
      <c r="J114" s="796"/>
    </row>
    <row r="115" spans="1:10">
      <c r="A115" s="796">
        <v>113</v>
      </c>
      <c r="B115" s="396" t="s">
        <v>248</v>
      </c>
      <c r="C115" s="796"/>
      <c r="D115" s="808">
        <v>1989</v>
      </c>
      <c r="E115" s="796"/>
      <c r="F115" s="808" t="s">
        <v>575</v>
      </c>
      <c r="G115" s="796"/>
      <c r="H115" s="796" t="s">
        <v>667</v>
      </c>
      <c r="I115" s="123" t="s">
        <v>697</v>
      </c>
      <c r="J115" s="796"/>
    </row>
    <row r="116" spans="1:10">
      <c r="A116" s="796">
        <v>114</v>
      </c>
      <c r="B116" s="394" t="s">
        <v>192</v>
      </c>
      <c r="C116" s="796"/>
      <c r="D116" s="808">
        <v>1979</v>
      </c>
      <c r="E116" s="796"/>
      <c r="F116" s="808" t="s">
        <v>584</v>
      </c>
      <c r="G116" s="796"/>
      <c r="H116" s="796" t="s">
        <v>667</v>
      </c>
      <c r="I116" s="123" t="s">
        <v>698</v>
      </c>
      <c r="J116" s="796"/>
    </row>
    <row r="117" spans="1:10">
      <c r="A117" s="796">
        <v>115</v>
      </c>
      <c r="B117" s="123" t="s">
        <v>530</v>
      </c>
      <c r="C117" s="796"/>
      <c r="D117" s="808">
        <v>2006</v>
      </c>
      <c r="E117" s="796"/>
      <c r="F117" s="808" t="s">
        <v>575</v>
      </c>
      <c r="G117" s="796"/>
      <c r="H117" s="796" t="s">
        <v>667</v>
      </c>
      <c r="I117" s="123" t="s">
        <v>699</v>
      </c>
      <c r="J117" s="796"/>
    </row>
    <row r="118" spans="1:10">
      <c r="A118" s="796">
        <v>116</v>
      </c>
      <c r="B118" s="396" t="s">
        <v>95</v>
      </c>
      <c r="C118" s="796"/>
      <c r="D118" s="808">
        <v>1982</v>
      </c>
      <c r="E118" s="796"/>
      <c r="F118" s="808" t="s">
        <v>575</v>
      </c>
      <c r="G118" s="796"/>
      <c r="H118" s="796" t="s">
        <v>68</v>
      </c>
      <c r="I118" s="123" t="s">
        <v>700</v>
      </c>
      <c r="J118" s="796"/>
    </row>
    <row r="119" spans="1:10">
      <c r="A119" s="796">
        <v>117</v>
      </c>
      <c r="B119" s="396" t="s">
        <v>327</v>
      </c>
      <c r="C119" s="796"/>
      <c r="D119" s="808">
        <v>2006</v>
      </c>
      <c r="E119" s="796"/>
      <c r="F119" s="808" t="s">
        <v>575</v>
      </c>
      <c r="G119" s="796"/>
      <c r="H119" s="796" t="s">
        <v>658</v>
      </c>
      <c r="I119" s="123" t="s">
        <v>701</v>
      </c>
      <c r="J119" s="796"/>
    </row>
    <row r="120" spans="1:10">
      <c r="A120" s="796">
        <v>118</v>
      </c>
      <c r="B120" s="396" t="s">
        <v>198</v>
      </c>
      <c r="C120" s="796"/>
      <c r="D120" s="808">
        <v>2001</v>
      </c>
      <c r="E120" s="796"/>
      <c r="F120" s="808" t="s">
        <v>575</v>
      </c>
      <c r="G120" s="796"/>
      <c r="H120" s="796" t="s">
        <v>68</v>
      </c>
      <c r="I120" s="123" t="s">
        <v>702</v>
      </c>
      <c r="J120" s="796"/>
    </row>
    <row r="121" spans="1:10">
      <c r="A121" s="796">
        <v>119</v>
      </c>
      <c r="B121" s="396" t="s">
        <v>323</v>
      </c>
      <c r="C121" s="796"/>
      <c r="D121" s="808">
        <v>2006</v>
      </c>
      <c r="E121" s="796"/>
      <c r="F121" s="808" t="s">
        <v>575</v>
      </c>
      <c r="G121" s="796"/>
      <c r="H121" s="796" t="s">
        <v>658</v>
      </c>
      <c r="I121" s="123" t="s">
        <v>703</v>
      </c>
      <c r="J121" s="796"/>
    </row>
    <row r="122" spans="1:10">
      <c r="A122" s="796">
        <v>120</v>
      </c>
      <c r="B122" s="396" t="s">
        <v>249</v>
      </c>
      <c r="C122" s="796"/>
      <c r="D122" s="808">
        <v>1990</v>
      </c>
      <c r="E122" s="796"/>
      <c r="F122" s="808" t="s">
        <v>575</v>
      </c>
      <c r="G122" s="796"/>
      <c r="H122" s="796" t="s">
        <v>658</v>
      </c>
      <c r="I122" s="123" t="s">
        <v>704</v>
      </c>
      <c r="J122" s="796"/>
    </row>
    <row r="123" spans="1:10">
      <c r="A123" s="796">
        <v>121</v>
      </c>
      <c r="B123" s="396" t="s">
        <v>531</v>
      </c>
      <c r="C123" s="796"/>
      <c r="D123" s="808">
        <v>1981</v>
      </c>
      <c r="E123" s="796"/>
      <c r="F123" s="808" t="s">
        <v>575</v>
      </c>
      <c r="G123" s="796"/>
      <c r="H123" s="796" t="s">
        <v>667</v>
      </c>
      <c r="I123" s="123" t="s">
        <v>705</v>
      </c>
      <c r="J123" s="796"/>
    </row>
    <row r="124" spans="1:10">
      <c r="A124" s="796">
        <v>122</v>
      </c>
      <c r="B124" s="396" t="s">
        <v>199</v>
      </c>
      <c r="C124" s="796"/>
      <c r="D124" s="808">
        <v>1998</v>
      </c>
      <c r="E124" s="796"/>
      <c r="F124" s="808" t="s">
        <v>575</v>
      </c>
      <c r="G124" s="796"/>
      <c r="H124" s="796" t="s">
        <v>68</v>
      </c>
      <c r="I124" s="123" t="s">
        <v>706</v>
      </c>
      <c r="J124" s="796"/>
    </row>
    <row r="125" spans="1:10">
      <c r="A125" s="796">
        <v>123</v>
      </c>
      <c r="B125" s="396" t="s">
        <v>250</v>
      </c>
      <c r="C125" s="796"/>
      <c r="D125" s="808">
        <v>1992</v>
      </c>
      <c r="E125" s="796"/>
      <c r="F125" s="808" t="s">
        <v>584</v>
      </c>
      <c r="G125" s="796"/>
      <c r="H125" s="796" t="s">
        <v>658</v>
      </c>
      <c r="I125" s="123" t="s">
        <v>707</v>
      </c>
      <c r="J125" s="796"/>
    </row>
    <row r="126" spans="1:10">
      <c r="A126" s="796">
        <v>124</v>
      </c>
      <c r="B126" s="396" t="s">
        <v>324</v>
      </c>
      <c r="C126" s="796"/>
      <c r="D126" s="808">
        <v>2005</v>
      </c>
      <c r="E126" s="796"/>
      <c r="F126" s="808" t="s">
        <v>575</v>
      </c>
      <c r="G126" s="796"/>
      <c r="H126" s="796" t="s">
        <v>658</v>
      </c>
      <c r="I126" s="123" t="s">
        <v>708</v>
      </c>
      <c r="J126" s="796"/>
    </row>
    <row r="127" spans="1:10">
      <c r="A127" s="796">
        <v>125</v>
      </c>
      <c r="B127" s="396" t="s">
        <v>325</v>
      </c>
      <c r="C127" s="796"/>
      <c r="D127" s="808">
        <v>2001</v>
      </c>
      <c r="E127" s="796"/>
      <c r="F127" s="808" t="s">
        <v>575</v>
      </c>
      <c r="G127" s="796"/>
      <c r="H127" s="796" t="s">
        <v>658</v>
      </c>
      <c r="I127" s="123" t="s">
        <v>709</v>
      </c>
      <c r="J127" s="796"/>
    </row>
    <row r="128" spans="1:10">
      <c r="A128" s="796">
        <v>126</v>
      </c>
      <c r="B128" s="396" t="s">
        <v>326</v>
      </c>
      <c r="C128" s="796"/>
      <c r="D128" s="808">
        <v>2001</v>
      </c>
      <c r="E128" s="796"/>
      <c r="F128" s="808" t="s">
        <v>575</v>
      </c>
      <c r="G128" s="796"/>
      <c r="H128" s="796" t="s">
        <v>658</v>
      </c>
      <c r="I128" s="123" t="s">
        <v>710</v>
      </c>
      <c r="J128" s="796"/>
    </row>
    <row r="129" spans="1:10">
      <c r="A129" s="796">
        <v>127</v>
      </c>
      <c r="B129" s="396" t="s">
        <v>532</v>
      </c>
      <c r="C129" s="796"/>
      <c r="D129" s="808">
        <v>2002</v>
      </c>
      <c r="E129" s="796"/>
      <c r="F129" s="808" t="s">
        <v>584</v>
      </c>
      <c r="G129" s="796"/>
      <c r="H129" s="796" t="s">
        <v>658</v>
      </c>
      <c r="I129" s="123" t="s">
        <v>711</v>
      </c>
      <c r="J129" s="796"/>
    </row>
    <row r="130" spans="1:10">
      <c r="A130" s="796">
        <v>128</v>
      </c>
      <c r="B130" s="396" t="s">
        <v>333</v>
      </c>
      <c r="C130" s="796"/>
      <c r="D130" s="808">
        <v>2001</v>
      </c>
      <c r="E130" s="796"/>
      <c r="F130" s="808" t="s">
        <v>575</v>
      </c>
      <c r="G130" s="796"/>
      <c r="H130" s="796" t="s">
        <v>658</v>
      </c>
      <c r="I130" s="123" t="s">
        <v>712</v>
      </c>
      <c r="J130" s="796"/>
    </row>
    <row r="131" spans="1:10">
      <c r="A131" s="796">
        <v>129</v>
      </c>
      <c r="B131" s="396" t="s">
        <v>533</v>
      </c>
      <c r="C131" s="796"/>
      <c r="D131" s="808">
        <v>1982</v>
      </c>
      <c r="E131" s="796"/>
      <c r="F131" s="808" t="s">
        <v>584</v>
      </c>
      <c r="G131" s="796"/>
      <c r="H131" s="796" t="s">
        <v>658</v>
      </c>
      <c r="I131" s="123" t="s">
        <v>713</v>
      </c>
      <c r="J131" s="796"/>
    </row>
    <row r="132" spans="1:10">
      <c r="A132" s="796">
        <v>130</v>
      </c>
      <c r="B132" s="396" t="s">
        <v>260</v>
      </c>
      <c r="C132" s="796"/>
      <c r="D132" s="808">
        <v>1997</v>
      </c>
      <c r="E132" s="796"/>
      <c r="F132" s="808" t="s">
        <v>575</v>
      </c>
      <c r="G132" s="796"/>
      <c r="H132" s="796" t="s">
        <v>658</v>
      </c>
      <c r="I132" s="123" t="s">
        <v>714</v>
      </c>
      <c r="J132" s="796"/>
    </row>
    <row r="133" spans="1:10">
      <c r="A133" s="796">
        <v>131</v>
      </c>
      <c r="B133" s="396" t="s">
        <v>534</v>
      </c>
      <c r="C133" s="796"/>
      <c r="D133" s="808">
        <v>1997</v>
      </c>
      <c r="E133" s="796"/>
      <c r="F133" s="808" t="s">
        <v>575</v>
      </c>
      <c r="G133" s="796"/>
      <c r="H133" s="796" t="s">
        <v>658</v>
      </c>
      <c r="I133" s="123" t="s">
        <v>715</v>
      </c>
      <c r="J133" s="796"/>
    </row>
    <row r="134" spans="1:10">
      <c r="A134" s="796">
        <v>132</v>
      </c>
      <c r="B134" s="396" t="s">
        <v>535</v>
      </c>
      <c r="C134" s="796"/>
      <c r="D134" s="808">
        <v>2000</v>
      </c>
      <c r="E134" s="796"/>
      <c r="F134" s="808" t="s">
        <v>575</v>
      </c>
      <c r="G134" s="796"/>
      <c r="H134" s="796" t="s">
        <v>658</v>
      </c>
      <c r="I134" s="123" t="s">
        <v>716</v>
      </c>
      <c r="J134" s="796"/>
    </row>
    <row r="135" spans="1:10">
      <c r="A135" s="796">
        <v>133</v>
      </c>
    </row>
    <row r="136" spans="1:10">
      <c r="A136" s="796">
        <v>134</v>
      </c>
    </row>
    <row r="137" spans="1:10">
      <c r="A137" s="796">
        <v>135</v>
      </c>
    </row>
  </sheetData>
  <mergeCells count="2">
    <mergeCell ref="B2:D2"/>
    <mergeCell ref="B76:D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16</vt:i4>
      </vt:variant>
    </vt:vector>
  </HeadingPairs>
  <TitlesOfParts>
    <vt:vector size="40" baseType="lpstr">
      <vt:lpstr>Chấm công KT</vt:lpstr>
      <vt:lpstr>BTH mủ tạp</vt:lpstr>
      <vt:lpstr>BTH mủ Sỉum</vt:lpstr>
      <vt:lpstr>TONGHOPCONGDOI</vt:lpstr>
      <vt:lpstr>Trạm 1</vt:lpstr>
      <vt:lpstr>Trạm 2</vt:lpstr>
      <vt:lpstr>CNKT </vt:lpstr>
      <vt:lpstr>lương gián tiếp</vt:lpstr>
      <vt:lpstr>LƯƠNG CN TRỰC TIẾP </vt:lpstr>
      <vt:lpstr>LƯƠNG CN TRỰC TIẾP  (2)</vt:lpstr>
      <vt:lpstr>Tỉ lệ hoàn thành </vt:lpstr>
      <vt:lpstr>Phân toán  </vt:lpstr>
      <vt:lpstr>TT CVK</vt:lpstr>
      <vt:lpstr>PLcon (2)</vt:lpstr>
      <vt:lpstr>DSN Thuê</vt:lpstr>
      <vt:lpstr>tiền TB </vt:lpstr>
      <vt:lpstr>Hổ trợ vi gô </vt:lpstr>
      <vt:lpstr>Thanh toán XX</vt:lpstr>
      <vt:lpstr>PC xăng xe T4</vt:lpstr>
      <vt:lpstr>PLcon NT</vt:lpstr>
      <vt:lpstr>Phân Toán CVK</vt:lpstr>
      <vt:lpstr>Bảng ĐP - BV  </vt:lpstr>
      <vt:lpstr>Bảng CC - NV</vt:lpstr>
      <vt:lpstr>Mã số nhân viên</vt:lpstr>
      <vt:lpstr>'BTH mủ tạp'!Print_Area</vt:lpstr>
      <vt:lpstr>'CNKT '!Print_Area</vt:lpstr>
      <vt:lpstr>TONGHOPCONGDOI!Print_Area</vt:lpstr>
      <vt:lpstr>'BTH mủ tạp'!Print_Titles</vt:lpstr>
      <vt:lpstr>'CNKT '!Print_Titles</vt:lpstr>
      <vt:lpstr>'Chấm công KT'!Print_Titles</vt:lpstr>
      <vt:lpstr>'LƯƠNG CN TRỰC TIẾP '!Print_Titles</vt:lpstr>
      <vt:lpstr>'LƯƠNG CN TRỰC TIẾP  (2)'!Print_Titles</vt:lpstr>
      <vt:lpstr>'PC xăng xe T4'!Print_Titles</vt:lpstr>
      <vt:lpstr>'Phân toán  '!Print_Titles</vt:lpstr>
      <vt:lpstr>'Phân Toán CVK'!Print_Titles</vt:lpstr>
      <vt:lpstr>'tiền TB '!Print_Titles</vt:lpstr>
      <vt:lpstr>TONGHOPCONGDOI!Print_Titles</vt:lpstr>
      <vt:lpstr>'Thanh toán XX'!Print_Titles</vt:lpstr>
      <vt:lpstr>'Trạm 1'!Print_Titles</vt:lpstr>
      <vt:lpstr>'Trạm 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2025-10-01T07:16:51Z</cp:lastPrinted>
  <dcterms:created xsi:type="dcterms:W3CDTF">2016-08-22T04:16:23Z</dcterms:created>
  <dcterms:modified xsi:type="dcterms:W3CDTF">2026-01-30T02:45:34Z</dcterms:modified>
</cp:coreProperties>
</file>