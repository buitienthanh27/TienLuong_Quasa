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cf874bc9f30852/Máy tính/"/>
    </mc:Choice>
  </mc:AlternateContent>
  <xr:revisionPtr revIDLastSave="0" documentId="8_{04CE980B-55DF-4AEB-B33B-4E036767CAF5}" xr6:coauthVersionLast="47" xr6:coauthVersionMax="47" xr10:uidLastSave="{00000000-0000-0000-0000-000000000000}"/>
  <bookViews>
    <workbookView xWindow="-110" yWindow="-110" windowWidth="19420" windowHeight="10560" xr2:uid="{6ECA8EC9-C73A-40A9-BC6C-0A919DCE347A}"/>
  </bookViews>
  <sheets>
    <sheet name="BCSX T9" sheetId="1" r:id="rId1"/>
  </sheets>
  <definedNames>
    <definedName name="_Fill" hidden="1">#REF!</definedName>
    <definedName name="a">#REF!</definedName>
    <definedName name="aa" hidden="1">#REF!</definedName>
    <definedName name="aaa" hidden="1">#REF!</definedName>
    <definedName name="aí6">#REF!</definedName>
    <definedName name="gggg" hidden="1">#REF!</definedName>
    <definedName name="ggggg" hidden="1">#REF!</definedName>
    <definedName name="h">#REF!</definedName>
    <definedName name="hung" hidden="1">#REF!</definedName>
    <definedName name="kh" hidden="1">#REF!</definedName>
    <definedName name="ng">#REF!</definedName>
    <definedName name="_xlnm.Print_Titles" localSheetId="0">'BCSX T9'!$8:$9</definedName>
    <definedName name="t" hidden="1">#REF!</definedName>
    <definedName name="vuong" hidden="1">#REF!</definedName>
    <definedName name="vuong1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6" i="1" l="1"/>
  <c r="M65" i="1"/>
  <c r="M61" i="1"/>
  <c r="M60" i="1" s="1"/>
  <c r="K61" i="1"/>
  <c r="D61" i="1"/>
  <c r="M59" i="1"/>
  <c r="D59" i="1"/>
  <c r="M58" i="1"/>
  <c r="M57" i="1" s="1"/>
  <c r="D58" i="1"/>
  <c r="D56" i="1"/>
  <c r="M56" i="1" s="1"/>
  <c r="M51" i="1"/>
  <c r="K51" i="1"/>
  <c r="F50" i="1"/>
  <c r="K50" i="1" s="1"/>
  <c r="M50" i="1" s="1"/>
  <c r="D50" i="1"/>
  <c r="K49" i="1"/>
  <c r="M49" i="1" s="1"/>
  <c r="D49" i="1"/>
  <c r="M48" i="1"/>
  <c r="D48" i="1"/>
  <c r="D46" i="1"/>
  <c r="M46" i="1" s="1"/>
  <c r="K45" i="1"/>
  <c r="M45" i="1" s="1"/>
  <c r="D45" i="1"/>
  <c r="H44" i="1"/>
  <c r="F44" i="1"/>
  <c r="K43" i="1"/>
  <c r="M43" i="1" s="1"/>
  <c r="J43" i="1"/>
  <c r="H43" i="1"/>
  <c r="F43" i="1"/>
  <c r="D43" i="1"/>
  <c r="P43" i="1" s="1"/>
  <c r="Q42" i="1"/>
  <c r="K41" i="1"/>
  <c r="M41" i="1" s="1"/>
  <c r="D41" i="1"/>
  <c r="D40" i="1"/>
  <c r="M40" i="1" s="1"/>
  <c r="M39" i="1" s="1"/>
  <c r="M38" i="1"/>
  <c r="D38" i="1"/>
  <c r="D37" i="1"/>
  <c r="M37" i="1" s="1"/>
  <c r="M36" i="1" s="1"/>
  <c r="D35" i="1"/>
  <c r="M35" i="1" s="1"/>
  <c r="K34" i="1"/>
  <c r="M34" i="1" s="1"/>
  <c r="J34" i="1"/>
  <c r="H34" i="1"/>
  <c r="F34" i="1"/>
  <c r="D34" i="1"/>
  <c r="D33" i="1"/>
  <c r="M33" i="1" s="1"/>
  <c r="M31" i="1"/>
  <c r="D31" i="1"/>
  <c r="K30" i="1"/>
  <c r="M30" i="1" s="1"/>
  <c r="D30" i="1"/>
  <c r="K28" i="1"/>
  <c r="M28" i="1" s="1"/>
  <c r="D28" i="1"/>
  <c r="M27" i="1"/>
  <c r="D27" i="1"/>
  <c r="D25" i="1"/>
  <c r="M25" i="1" s="1"/>
  <c r="M24" i="1" s="1"/>
  <c r="R14" i="1"/>
  <c r="R13" i="1"/>
  <c r="R12" i="1"/>
  <c r="M32" i="1" l="1"/>
  <c r="M26" i="1"/>
  <c r="M47" i="1"/>
  <c r="M23" i="1" l="1"/>
</calcChain>
</file>

<file path=xl/sharedStrings.xml><?xml version="1.0" encoding="utf-8"?>
<sst xmlns="http://schemas.openxmlformats.org/spreadsheetml/2006/main" count="209" uniqueCount="150">
  <si>
    <t>CỘNG HÒA DÂN CHỦ NHÂN DÂN LÀO</t>
  </si>
  <si>
    <t>Hòa bình - Độc lập - Dân chủ - Thống nhất - Thịnh vượng</t>
  </si>
  <si>
    <t>-----oOo-----</t>
  </si>
  <si>
    <t>CÔNG TY TNHH MTV QUASA - GERUCO LÀO</t>
  </si>
  <si>
    <t>ĐỘI SẢN XUẤT SỐ 02</t>
  </si>
  <si>
    <t>BÁO CÁO SẢN XUẤT THÁNG 09 NĂM 2025</t>
  </si>
  <si>
    <t>Stt</t>
  </si>
  <si>
    <t>Tên công việc</t>
  </si>
  <si>
    <t>Đvt</t>
  </si>
  <si>
    <t>Định
mức</t>
  </si>
  <si>
    <t>Địa điểm, khối lượng thực hiện</t>
  </si>
  <si>
    <t>Tổng
Khối lượng</t>
  </si>
  <si>
    <t>Số
lần</t>
  </si>
  <si>
    <t>Tổng công</t>
  </si>
  <si>
    <t>Ghi chú</t>
  </si>
  <si>
    <t>Lô</t>
  </si>
  <si>
    <t>KL</t>
  </si>
  <si>
    <t>25.000 kíp</t>
  </si>
  <si>
    <t>A</t>
  </si>
  <si>
    <t>VƯỜN CÂY KINH DOANH</t>
  </si>
  <si>
    <t>I</t>
  </si>
  <si>
    <t>SẢN LƯỢNG</t>
  </si>
  <si>
    <t>kg</t>
  </si>
  <si>
    <t>Mủ tạp (quy khô)</t>
  </si>
  <si>
    <t>tấn</t>
  </si>
  <si>
    <t>Bôi thuốc KT</t>
  </si>
  <si>
    <t>II</t>
  </si>
  <si>
    <t>PHỤ CẤP CẠO MỦ</t>
  </si>
  <si>
    <t xml:space="preserve"> </t>
  </si>
  <si>
    <t>Phun cỏ</t>
  </si>
  <si>
    <t>Phụ cấp ngày chủ nhật</t>
  </si>
  <si>
    <t>công</t>
  </si>
  <si>
    <t>Phát chồi</t>
  </si>
  <si>
    <t>Phụ cấp ngày công đi cạo</t>
  </si>
  <si>
    <t>Phụ cấp cây non</t>
  </si>
  <si>
    <t>Phụ cấp vùng xa khó khăn</t>
  </si>
  <si>
    <t>Phụ cấp bốc mủ</t>
  </si>
  <si>
    <t>Phụ cấp cạo 2 lát</t>
  </si>
  <si>
    <t>Phụ cấp cạo 2 lát chủ nhật</t>
  </si>
  <si>
    <t>Phụ cấp cạo gia tăng ngày thường</t>
  </si>
  <si>
    <t>Phụ cấp cạo gia tăng ngày chủ nhật</t>
  </si>
  <si>
    <t>thắng</t>
  </si>
  <si>
    <t>III</t>
  </si>
  <si>
    <t>CHĂM SÓC</t>
  </si>
  <si>
    <t>Vườn cây KD năm 1 (2025)</t>
  </si>
  <si>
    <t>1.1</t>
  </si>
  <si>
    <t>Bôi thuốc kích thích ( Đợt 5)</t>
  </si>
  <si>
    <t>Phần</t>
  </si>
  <si>
    <t>Vườn cây KD năm 4 (2022)</t>
  </si>
  <si>
    <t xml:space="preserve">  </t>
  </si>
  <si>
    <t>`</t>
  </si>
  <si>
    <t>2.1</t>
  </si>
  <si>
    <t>2.2</t>
  </si>
  <si>
    <t>Phát chồi đại trà ( Trạm 2)</t>
  </si>
  <si>
    <t>ha</t>
  </si>
  <si>
    <t>16Y</t>
  </si>
  <si>
    <t>16J</t>
  </si>
  <si>
    <t>16X</t>
  </si>
  <si>
    <t>16T</t>
  </si>
  <si>
    <t>2.3</t>
  </si>
  <si>
    <t>16E</t>
  </si>
  <si>
    <t>14A</t>
  </si>
  <si>
    <t>14B</t>
  </si>
  <si>
    <t>2.5</t>
  </si>
  <si>
    <t>Bôi thuốc kích thích ( Đợt 6)</t>
  </si>
  <si>
    <t>Vườn cây KD năm 6 (2020)</t>
  </si>
  <si>
    <t>3.1</t>
  </si>
  <si>
    <t>3.2</t>
  </si>
  <si>
    <t>Phun cỏ bao lô ( Trạm 2)</t>
  </si>
  <si>
    <t>Lô7</t>
  </si>
  <si>
    <t>Lô5</t>
  </si>
  <si>
    <t>Lô6</t>
  </si>
  <si>
    <t>3.3</t>
  </si>
  <si>
    <t>Vườn cây KD năm 7 (2019)</t>
  </si>
  <si>
    <t>4.1</t>
  </si>
  <si>
    <t>4.2</t>
  </si>
  <si>
    <t>Vườn cây KD năm 9 (2017)</t>
  </si>
  <si>
    <t>5.1</t>
  </si>
  <si>
    <t>5.2</t>
  </si>
  <si>
    <t>Phát chồi đại trà (Trạm 1)</t>
  </si>
  <si>
    <t>D4</t>
  </si>
  <si>
    <t>D5</t>
  </si>
  <si>
    <t>F7</t>
  </si>
  <si>
    <t>E7</t>
  </si>
  <si>
    <t>5.3</t>
  </si>
  <si>
    <t>Phun cỏ đại trà  50% (Trạm 1)</t>
  </si>
  <si>
    <t>G11</t>
  </si>
  <si>
    <t>F13</t>
  </si>
  <si>
    <t>E12</t>
  </si>
  <si>
    <t>F12</t>
  </si>
  <si>
    <t>E13</t>
  </si>
  <si>
    <t>5.4</t>
  </si>
  <si>
    <t>Phun cỏ bao lô ( Trạm 1)</t>
  </si>
  <si>
    <t>C11</t>
  </si>
  <si>
    <t>5.6</t>
  </si>
  <si>
    <t>phần</t>
  </si>
  <si>
    <t>Vườn cây KD năm 10 (2016)</t>
  </si>
  <si>
    <t>6.1</t>
  </si>
  <si>
    <t>6.2</t>
  </si>
  <si>
    <t>B10</t>
  </si>
  <si>
    <t>B11</t>
  </si>
  <si>
    <t>A10</t>
  </si>
  <si>
    <t>6.3</t>
  </si>
  <si>
    <t>Phun cỏ đại trà 100% ( Trạm 1)</t>
  </si>
  <si>
    <t>D9</t>
  </si>
  <si>
    <t>6.4</t>
  </si>
  <si>
    <t>A9</t>
  </si>
  <si>
    <t>E11</t>
  </si>
  <si>
    <t>B9</t>
  </si>
  <si>
    <t>C9</t>
  </si>
  <si>
    <t>C10</t>
  </si>
  <si>
    <t>D10</t>
  </si>
  <si>
    <t>D11</t>
  </si>
  <si>
    <t>E9</t>
  </si>
  <si>
    <t>E10</t>
  </si>
  <si>
    <t>6.6</t>
  </si>
  <si>
    <t>Vườn cây KD năm 12 (2014)</t>
  </si>
  <si>
    <t>7.1</t>
  </si>
  <si>
    <t>7.3</t>
  </si>
  <si>
    <t>B</t>
  </si>
  <si>
    <t>Vườn cây KTCB</t>
  </si>
  <si>
    <t xml:space="preserve">Phát chồi đại trà </t>
  </si>
  <si>
    <t>J9</t>
  </si>
  <si>
    <t>C</t>
  </si>
  <si>
    <t>BẢO VỆ VƯỜN CÂY</t>
  </si>
  <si>
    <t>Bảo vệ lào chính thức</t>
  </si>
  <si>
    <t>D</t>
  </si>
  <si>
    <t>CÔNG VIỆC KHÁC</t>
  </si>
  <si>
    <t>Bốc vật tư kho công ty về Đội và đi 2 trạm+ Vệ sinh 2 kho đội</t>
  </si>
  <si>
    <t>Vô đất bỏ bao làm đường lô J8, D10, E9</t>
  </si>
  <si>
    <t>bao</t>
  </si>
  <si>
    <t>Làm cầu lô G9</t>
  </si>
  <si>
    <t>Phát cỏ vườn điều</t>
  </si>
  <si>
    <t>Bỏ đất vô bao làm đường lô 16E</t>
  </si>
  <si>
    <t>Đắp đất hai thành để bỏ bao đất lô 16E - Trạm 2</t>
  </si>
  <si>
    <t>TỔNG CÔNG SẢN PHẨM = A+B+C+D</t>
  </si>
  <si>
    <t>Huyện Phìn, ngày 27 tháng 09 năm 2025</t>
  </si>
  <si>
    <t>P. PHÒNG PHỤ TRÁCH</t>
  </si>
  <si>
    <t>ĐỘI TRƯỞNG</t>
  </si>
  <si>
    <t>TỔNG HỢP - THỐNG KÊ</t>
  </si>
  <si>
    <t xml:space="preserve">      Trương Văn Hoài</t>
  </si>
  <si>
    <t>Bùi Phước Tùng Lâm</t>
  </si>
  <si>
    <t>Trần Thị Lan Anh</t>
  </si>
  <si>
    <t xml:space="preserve">Đoàn nghiệm thu </t>
  </si>
  <si>
    <t xml:space="preserve">TỔNG GIÁM ĐỐC        </t>
  </si>
  <si>
    <t>PHÒNG TC-KT</t>
  </si>
  <si>
    <t xml:space="preserve">   PHÒNG TC-HC</t>
  </si>
  <si>
    <t xml:space="preserve">  PHÒNG KH-XDCB</t>
  </si>
  <si>
    <t xml:space="preserve"> PHÒNG KT-NN</t>
  </si>
  <si>
    <t>TỔNG GIÁM ĐỐC                   PHÒNG TC - KT              PHÒNG TC - HC                PHÒNG KH - XDCB               PHÒNG QLKT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</si>
</sst>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-* #,##0.00\ _₫_-;\-* #,##0.00\ _₫_-;_-* &quot;-&quot;??\ _₫_-;_-@_-"/>
    <numFmt numFmtId="166" formatCode="_-* #,##0\ _₫_-;\-* #,##0\ _₫_-;_-* &quot;-&quot;??\ _₫_-;_-@_-"/>
    <numFmt numFmtId="167" formatCode="_(* #,##0_);_(* \(#,##0\);_(* &quot;-&quot;??_);_(@_)"/>
    <numFmt numFmtId="168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sz val="8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8"/>
      <name val="Times New Roman"/>
      <family val="1"/>
    </font>
    <font>
      <sz val="11"/>
      <color theme="1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2" fillId="0" borderId="0"/>
    <xf numFmtId="0" fontId="8" fillId="0" borderId="0"/>
  </cellStyleXfs>
  <cellXfs count="1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3" fontId="3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1" applyNumberFormat="1" applyFont="1" applyFill="1" applyBorder="1" applyAlignment="1">
      <alignment horizontal="center" vertical="center"/>
    </xf>
    <xf numFmtId="4" fontId="8" fillId="0" borderId="1" xfId="2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8" fillId="0" borderId="1" xfId="3" applyBorder="1" applyAlignment="1">
      <alignment horizontal="center" vertical="center"/>
    </xf>
    <xf numFmtId="0" fontId="8" fillId="0" borderId="1" xfId="3" applyBorder="1" applyAlignment="1">
      <alignment vertical="center"/>
    </xf>
    <xf numFmtId="4" fontId="8" fillId="0" borderId="1" xfId="3" applyNumberFormat="1" applyBorder="1" applyAlignment="1">
      <alignment horizontal="center" vertical="center"/>
    </xf>
    <xf numFmtId="164" fontId="8" fillId="0" borderId="1" xfId="3" applyNumberFormat="1" applyBorder="1" applyAlignment="1">
      <alignment horizontal="center" vertical="center"/>
    </xf>
    <xf numFmtId="4" fontId="8" fillId="0" borderId="1" xfId="3" applyNumberFormat="1" applyBorder="1" applyAlignment="1">
      <alignment horizontal="right" vertical="center"/>
    </xf>
    <xf numFmtId="0" fontId="13" fillId="0" borderId="1" xfId="3" applyFont="1" applyBorder="1" applyAlignment="1">
      <alignment horizontal="left" vertical="center"/>
    </xf>
    <xf numFmtId="0" fontId="3" fillId="5" borderId="0" xfId="3" applyFont="1" applyFill="1" applyAlignment="1">
      <alignment horizontal="center" vertical="center"/>
    </xf>
    <xf numFmtId="3" fontId="3" fillId="5" borderId="0" xfId="3" applyNumberFormat="1" applyFont="1" applyFill="1" applyAlignment="1">
      <alignment horizontal="center" vertical="center"/>
    </xf>
    <xf numFmtId="0" fontId="3" fillId="6" borderId="0" xfId="3" applyFont="1" applyFill="1" applyAlignment="1">
      <alignment horizontal="center" vertical="center"/>
    </xf>
    <xf numFmtId="3" fontId="3" fillId="6" borderId="0" xfId="3" applyNumberFormat="1" applyFont="1" applyFill="1" applyAlignment="1">
      <alignment horizontal="center" vertical="center"/>
    </xf>
    <xf numFmtId="4" fontId="10" fillId="0" borderId="1" xfId="0" applyNumberFormat="1" applyFont="1" applyBorder="1" applyAlignment="1">
      <alignment horizontal="right" vertical="center"/>
    </xf>
    <xf numFmtId="0" fontId="3" fillId="4" borderId="0" xfId="3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3" fontId="8" fillId="0" borderId="1" xfId="3" applyNumberFormat="1" applyBorder="1" applyAlignment="1">
      <alignment horizontal="center" vertical="center"/>
    </xf>
    <xf numFmtId="3" fontId="8" fillId="0" borderId="1" xfId="3" applyNumberFormat="1" applyBorder="1" applyAlignment="1">
      <alignment horizontal="right" vertical="center"/>
    </xf>
    <xf numFmtId="4" fontId="3" fillId="4" borderId="0" xfId="3" applyNumberFormat="1" applyFont="1" applyFill="1" applyAlignment="1">
      <alignment horizontal="center" vertical="center"/>
    </xf>
    <xf numFmtId="4" fontId="3" fillId="5" borderId="0" xfId="3" applyNumberFormat="1" applyFont="1" applyFill="1" applyAlignment="1">
      <alignment horizontal="center" vertical="center"/>
    </xf>
    <xf numFmtId="4" fontId="9" fillId="4" borderId="0" xfId="0" applyNumberFormat="1" applyFont="1" applyFill="1" applyAlignment="1">
      <alignment horizontal="center" vertical="center"/>
    </xf>
    <xf numFmtId="4" fontId="3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165" fontId="8" fillId="0" borderId="1" xfId="1" applyFont="1" applyFill="1" applyBorder="1" applyAlignment="1">
      <alignment horizontal="center" vertical="center" shrinkToFit="1"/>
    </xf>
    <xf numFmtId="3" fontId="8" fillId="0" borderId="1" xfId="1" applyNumberFormat="1" applyFont="1" applyFill="1" applyBorder="1" applyAlignment="1">
      <alignment horizontal="center"/>
    </xf>
    <xf numFmtId="4" fontId="2" fillId="0" borderId="1" xfId="3" applyNumberFormat="1" applyFont="1" applyBorder="1" applyAlignment="1">
      <alignment horizontal="right" vertical="center"/>
    </xf>
    <xf numFmtId="0" fontId="2" fillId="4" borderId="0" xfId="0" applyFont="1" applyFill="1" applyAlignment="1">
      <alignment vertical="center"/>
    </xf>
    <xf numFmtId="166" fontId="2" fillId="4" borderId="0" xfId="1" applyNumberFormat="1" applyFont="1" applyFill="1" applyAlignment="1">
      <alignment vertic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6" fontId="3" fillId="4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3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3" fontId="8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165" fontId="16" fillId="2" borderId="0" xfId="1" applyFont="1" applyFill="1" applyBorder="1" applyAlignment="1">
      <alignment horizontal="center" vertical="center"/>
    </xf>
    <xf numFmtId="165" fontId="16" fillId="2" borderId="0" xfId="1" applyFont="1" applyFill="1" applyBorder="1" applyAlignment="1">
      <alignment vertical="center"/>
    </xf>
    <xf numFmtId="167" fontId="16" fillId="2" borderId="0" xfId="1" applyNumberFormat="1" applyFont="1" applyFill="1" applyBorder="1" applyAlignment="1">
      <alignment vertical="center"/>
    </xf>
    <xf numFmtId="168" fontId="16" fillId="2" borderId="0" xfId="1" applyNumberFormat="1" applyFont="1" applyFill="1" applyBorder="1" applyAlignment="1">
      <alignment vertical="center"/>
    </xf>
    <xf numFmtId="168" fontId="16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 vertical="center"/>
    </xf>
    <xf numFmtId="168" fontId="16" fillId="2" borderId="0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165" fontId="16" fillId="2" borderId="0" xfId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5" fillId="2" borderId="0" xfId="0" applyFont="1" applyFill="1" applyAlignment="1">
      <alignment horizontal="center"/>
    </xf>
    <xf numFmtId="168" fontId="16" fillId="2" borderId="0" xfId="1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16" xfId="3" xr:uid="{CFF93146-B183-4479-A80E-09176DD1731D}"/>
    <cellStyle name="Normal 3" xfId="2" xr:uid="{8230791B-1BDA-4C35-9695-EE6C5162A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334227</xdr:colOff>
      <xdr:row>81</xdr:row>
      <xdr:rowOff>215347</xdr:rowOff>
    </xdr:from>
    <xdr:to>
      <xdr:col>6</xdr:col>
      <xdr:colOff>309379</xdr:colOff>
      <xdr:row>81</xdr:row>
      <xdr:rowOff>215347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28E1CA9-9C39-405F-914B-58C0B0D8FA04}"/>
            </a:ext>
          </a:extLst>
        </xdr:cNvPr>
        <xdr:cNvCxnSpPr/>
      </xdr:nvCxnSpPr>
      <xdr:spPr>
        <a:xfrm>
          <a:off x="4391877" y="25069247"/>
          <a:ext cx="11562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1182301</xdr:colOff>
      <xdr:row>5</xdr:row>
      <xdr:rowOff>7796</xdr:rowOff>
    </xdr:from>
    <xdr:to>
      <xdr:col>1</xdr:col>
      <xdr:colOff>2129118</xdr:colOff>
      <xdr:row>5</xdr:row>
      <xdr:rowOff>7796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81AFD25-49C6-44CF-B101-69E3128A7E64}"/>
            </a:ext>
          </a:extLst>
        </xdr:cNvPr>
        <xdr:cNvCxnSpPr/>
      </xdr:nvCxnSpPr>
      <xdr:spPr>
        <a:xfrm>
          <a:off x="1518851" y="1182546"/>
          <a:ext cx="94681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F765-32B8-48EC-BC77-1A7FCA992397}">
  <sheetPr>
    <tabColor rgb="FFFF0000"/>
  </sheetPr>
  <dimension ref="A1:HW84"/>
  <sheetViews>
    <sheetView tabSelected="1" topLeftCell="A53" zoomScaleNormal="100" workbookViewId="0">
      <selection activeCell="M66" sqref="M66:M71"/>
    </sheetView>
  </sheetViews>
  <sheetFormatPr defaultRowHeight="14" x14ac:dyDescent="0.3"/>
  <cols>
    <col min="1" max="1" width="4.81640625" style="92" customWidth="1"/>
    <col min="2" max="2" width="36.36328125" style="2" customWidth="1"/>
    <col min="3" max="3" width="8.453125" style="92" customWidth="1"/>
    <col min="4" max="4" width="8.453125" style="2" customWidth="1"/>
    <col min="5" max="5" width="8.453125" style="92" customWidth="1"/>
    <col min="6" max="6" width="8.453125" style="2" customWidth="1"/>
    <col min="7" max="7" width="8.453125" style="92" customWidth="1"/>
    <col min="8" max="8" width="8.453125" style="2" customWidth="1"/>
    <col min="9" max="9" width="8.453125" style="92" customWidth="1"/>
    <col min="10" max="11" width="8.453125" style="2" customWidth="1"/>
    <col min="12" max="12" width="5.26953125" style="2" customWidth="1"/>
    <col min="13" max="13" width="10.54296875" style="2" customWidth="1"/>
    <col min="14" max="14" width="8.81640625" style="18" customWidth="1"/>
    <col min="15" max="15" width="8.7265625" style="2"/>
    <col min="16" max="16" width="18.7265625" style="2" bestFit="1" customWidth="1"/>
    <col min="17" max="17" width="18.54296875" style="2" customWidth="1"/>
    <col min="18" max="210" width="8.7265625" style="2"/>
    <col min="211" max="211" width="4.81640625" style="2" bestFit="1" customWidth="1"/>
    <col min="212" max="212" width="35.26953125" style="2" customWidth="1"/>
    <col min="213" max="213" width="5.7265625" style="2" customWidth="1"/>
    <col min="214" max="214" width="7.26953125" style="2" customWidth="1"/>
    <col min="215" max="215" width="8.1796875" style="2" customWidth="1"/>
    <col min="216" max="216" width="7.26953125" style="2" customWidth="1"/>
    <col min="217" max="217" width="8.1796875" style="2" bestFit="1" customWidth="1"/>
    <col min="218" max="218" width="7.26953125" style="2" customWidth="1"/>
    <col min="219" max="219" width="7.81640625" style="2" bestFit="1" customWidth="1"/>
    <col min="220" max="220" width="6.26953125" style="2" customWidth="1"/>
    <col min="221" max="221" width="11.7265625" style="2" customWidth="1"/>
    <col min="222" max="222" width="5" style="2" customWidth="1"/>
    <col min="223" max="223" width="10.26953125" style="2" customWidth="1"/>
    <col min="224" max="224" width="9.1796875" style="2" customWidth="1"/>
    <col min="225" max="225" width="8.7265625" style="2"/>
    <col min="226" max="226" width="12.90625" style="2" bestFit="1" customWidth="1"/>
    <col min="227" max="227" width="8.7265625" style="2"/>
    <col min="228" max="228" width="9.26953125" style="2" bestFit="1" customWidth="1"/>
    <col min="229" max="466" width="8.7265625" style="2"/>
    <col min="467" max="467" width="4.81640625" style="2" bestFit="1" customWidth="1"/>
    <col min="468" max="468" width="35.26953125" style="2" customWidth="1"/>
    <col min="469" max="469" width="5.7265625" style="2" customWidth="1"/>
    <col min="470" max="470" width="7.26953125" style="2" customWidth="1"/>
    <col min="471" max="471" width="8.1796875" style="2" customWidth="1"/>
    <col min="472" max="472" width="7.26953125" style="2" customWidth="1"/>
    <col min="473" max="473" width="8.1796875" style="2" bestFit="1" customWidth="1"/>
    <col min="474" max="474" width="7.26953125" style="2" customWidth="1"/>
    <col min="475" max="475" width="7.81640625" style="2" bestFit="1" customWidth="1"/>
    <col min="476" max="476" width="6.26953125" style="2" customWidth="1"/>
    <col min="477" max="477" width="11.7265625" style="2" customWidth="1"/>
    <col min="478" max="478" width="5" style="2" customWidth="1"/>
    <col min="479" max="479" width="10.26953125" style="2" customWidth="1"/>
    <col min="480" max="480" width="9.1796875" style="2" customWidth="1"/>
    <col min="481" max="481" width="8.7265625" style="2"/>
    <col min="482" max="482" width="12.90625" style="2" bestFit="1" customWidth="1"/>
    <col min="483" max="483" width="8.7265625" style="2"/>
    <col min="484" max="484" width="9.26953125" style="2" bestFit="1" customWidth="1"/>
    <col min="485" max="722" width="8.7265625" style="2"/>
    <col min="723" max="723" width="4.81640625" style="2" bestFit="1" customWidth="1"/>
    <col min="724" max="724" width="35.26953125" style="2" customWidth="1"/>
    <col min="725" max="725" width="5.7265625" style="2" customWidth="1"/>
    <col min="726" max="726" width="7.26953125" style="2" customWidth="1"/>
    <col min="727" max="727" width="8.1796875" style="2" customWidth="1"/>
    <col min="728" max="728" width="7.26953125" style="2" customWidth="1"/>
    <col min="729" max="729" width="8.1796875" style="2" bestFit="1" customWidth="1"/>
    <col min="730" max="730" width="7.26953125" style="2" customWidth="1"/>
    <col min="731" max="731" width="7.81640625" style="2" bestFit="1" customWidth="1"/>
    <col min="732" max="732" width="6.26953125" style="2" customWidth="1"/>
    <col min="733" max="733" width="11.7265625" style="2" customWidth="1"/>
    <col min="734" max="734" width="5" style="2" customWidth="1"/>
    <col min="735" max="735" width="10.26953125" style="2" customWidth="1"/>
    <col min="736" max="736" width="9.1796875" style="2" customWidth="1"/>
    <col min="737" max="737" width="8.7265625" style="2"/>
    <col min="738" max="738" width="12.90625" style="2" bestFit="1" customWidth="1"/>
    <col min="739" max="739" width="8.7265625" style="2"/>
    <col min="740" max="740" width="9.26953125" style="2" bestFit="1" customWidth="1"/>
    <col min="741" max="978" width="8.7265625" style="2"/>
    <col min="979" max="979" width="4.81640625" style="2" bestFit="1" customWidth="1"/>
    <col min="980" max="980" width="35.26953125" style="2" customWidth="1"/>
    <col min="981" max="981" width="5.7265625" style="2" customWidth="1"/>
    <col min="982" max="982" width="7.26953125" style="2" customWidth="1"/>
    <col min="983" max="983" width="8.1796875" style="2" customWidth="1"/>
    <col min="984" max="984" width="7.26953125" style="2" customWidth="1"/>
    <col min="985" max="985" width="8.1796875" style="2" bestFit="1" customWidth="1"/>
    <col min="986" max="986" width="7.26953125" style="2" customWidth="1"/>
    <col min="987" max="987" width="7.81640625" style="2" bestFit="1" customWidth="1"/>
    <col min="988" max="988" width="6.26953125" style="2" customWidth="1"/>
    <col min="989" max="989" width="11.7265625" style="2" customWidth="1"/>
    <col min="990" max="990" width="5" style="2" customWidth="1"/>
    <col min="991" max="991" width="10.26953125" style="2" customWidth="1"/>
    <col min="992" max="992" width="9.1796875" style="2" customWidth="1"/>
    <col min="993" max="993" width="8.7265625" style="2"/>
    <col min="994" max="994" width="12.90625" style="2" bestFit="1" customWidth="1"/>
    <col min="995" max="995" width="8.7265625" style="2"/>
    <col min="996" max="996" width="9.26953125" style="2" bestFit="1" customWidth="1"/>
    <col min="997" max="1234" width="8.7265625" style="2"/>
    <col min="1235" max="1235" width="4.81640625" style="2" bestFit="1" customWidth="1"/>
    <col min="1236" max="1236" width="35.26953125" style="2" customWidth="1"/>
    <col min="1237" max="1237" width="5.7265625" style="2" customWidth="1"/>
    <col min="1238" max="1238" width="7.26953125" style="2" customWidth="1"/>
    <col min="1239" max="1239" width="8.1796875" style="2" customWidth="1"/>
    <col min="1240" max="1240" width="7.26953125" style="2" customWidth="1"/>
    <col min="1241" max="1241" width="8.1796875" style="2" bestFit="1" customWidth="1"/>
    <col min="1242" max="1242" width="7.26953125" style="2" customWidth="1"/>
    <col min="1243" max="1243" width="7.81640625" style="2" bestFit="1" customWidth="1"/>
    <col min="1244" max="1244" width="6.26953125" style="2" customWidth="1"/>
    <col min="1245" max="1245" width="11.7265625" style="2" customWidth="1"/>
    <col min="1246" max="1246" width="5" style="2" customWidth="1"/>
    <col min="1247" max="1247" width="10.26953125" style="2" customWidth="1"/>
    <col min="1248" max="1248" width="9.1796875" style="2" customWidth="1"/>
    <col min="1249" max="1249" width="8.7265625" style="2"/>
    <col min="1250" max="1250" width="12.90625" style="2" bestFit="1" customWidth="1"/>
    <col min="1251" max="1251" width="8.7265625" style="2"/>
    <col min="1252" max="1252" width="9.26953125" style="2" bestFit="1" customWidth="1"/>
    <col min="1253" max="1490" width="8.7265625" style="2"/>
    <col min="1491" max="1491" width="4.81640625" style="2" bestFit="1" customWidth="1"/>
    <col min="1492" max="1492" width="35.26953125" style="2" customWidth="1"/>
    <col min="1493" max="1493" width="5.7265625" style="2" customWidth="1"/>
    <col min="1494" max="1494" width="7.26953125" style="2" customWidth="1"/>
    <col min="1495" max="1495" width="8.1796875" style="2" customWidth="1"/>
    <col min="1496" max="1496" width="7.26953125" style="2" customWidth="1"/>
    <col min="1497" max="1497" width="8.1796875" style="2" bestFit="1" customWidth="1"/>
    <col min="1498" max="1498" width="7.26953125" style="2" customWidth="1"/>
    <col min="1499" max="1499" width="7.81640625" style="2" bestFit="1" customWidth="1"/>
    <col min="1500" max="1500" width="6.26953125" style="2" customWidth="1"/>
    <col min="1501" max="1501" width="11.7265625" style="2" customWidth="1"/>
    <col min="1502" max="1502" width="5" style="2" customWidth="1"/>
    <col min="1503" max="1503" width="10.26953125" style="2" customWidth="1"/>
    <col min="1504" max="1504" width="9.1796875" style="2" customWidth="1"/>
    <col min="1505" max="1505" width="8.7265625" style="2"/>
    <col min="1506" max="1506" width="12.90625" style="2" bestFit="1" customWidth="1"/>
    <col min="1507" max="1507" width="8.7265625" style="2"/>
    <col min="1508" max="1508" width="9.26953125" style="2" bestFit="1" customWidth="1"/>
    <col min="1509" max="1746" width="8.7265625" style="2"/>
    <col min="1747" max="1747" width="4.81640625" style="2" bestFit="1" customWidth="1"/>
    <col min="1748" max="1748" width="35.26953125" style="2" customWidth="1"/>
    <col min="1749" max="1749" width="5.7265625" style="2" customWidth="1"/>
    <col min="1750" max="1750" width="7.26953125" style="2" customWidth="1"/>
    <col min="1751" max="1751" width="8.1796875" style="2" customWidth="1"/>
    <col min="1752" max="1752" width="7.26953125" style="2" customWidth="1"/>
    <col min="1753" max="1753" width="8.1796875" style="2" bestFit="1" customWidth="1"/>
    <col min="1754" max="1754" width="7.26953125" style="2" customWidth="1"/>
    <col min="1755" max="1755" width="7.81640625" style="2" bestFit="1" customWidth="1"/>
    <col min="1756" max="1756" width="6.26953125" style="2" customWidth="1"/>
    <col min="1757" max="1757" width="11.7265625" style="2" customWidth="1"/>
    <col min="1758" max="1758" width="5" style="2" customWidth="1"/>
    <col min="1759" max="1759" width="10.26953125" style="2" customWidth="1"/>
    <col min="1760" max="1760" width="9.1796875" style="2" customWidth="1"/>
    <col min="1761" max="1761" width="8.7265625" style="2"/>
    <col min="1762" max="1762" width="12.90625" style="2" bestFit="1" customWidth="1"/>
    <col min="1763" max="1763" width="8.7265625" style="2"/>
    <col min="1764" max="1764" width="9.26953125" style="2" bestFit="1" customWidth="1"/>
    <col min="1765" max="2002" width="8.7265625" style="2"/>
    <col min="2003" max="2003" width="4.81640625" style="2" bestFit="1" customWidth="1"/>
    <col min="2004" max="2004" width="35.26953125" style="2" customWidth="1"/>
    <col min="2005" max="2005" width="5.7265625" style="2" customWidth="1"/>
    <col min="2006" max="2006" width="7.26953125" style="2" customWidth="1"/>
    <col min="2007" max="2007" width="8.1796875" style="2" customWidth="1"/>
    <col min="2008" max="2008" width="7.26953125" style="2" customWidth="1"/>
    <col min="2009" max="2009" width="8.1796875" style="2" bestFit="1" customWidth="1"/>
    <col min="2010" max="2010" width="7.26953125" style="2" customWidth="1"/>
    <col min="2011" max="2011" width="7.81640625" style="2" bestFit="1" customWidth="1"/>
    <col min="2012" max="2012" width="6.26953125" style="2" customWidth="1"/>
    <col min="2013" max="2013" width="11.7265625" style="2" customWidth="1"/>
    <col min="2014" max="2014" width="5" style="2" customWidth="1"/>
    <col min="2015" max="2015" width="10.26953125" style="2" customWidth="1"/>
    <col min="2016" max="2016" width="9.1796875" style="2" customWidth="1"/>
    <col min="2017" max="2017" width="8.7265625" style="2"/>
    <col min="2018" max="2018" width="12.90625" style="2" bestFit="1" customWidth="1"/>
    <col min="2019" max="2019" width="8.7265625" style="2"/>
    <col min="2020" max="2020" width="9.26953125" style="2" bestFit="1" customWidth="1"/>
    <col min="2021" max="2258" width="8.7265625" style="2"/>
    <col min="2259" max="2259" width="4.81640625" style="2" bestFit="1" customWidth="1"/>
    <col min="2260" max="2260" width="35.26953125" style="2" customWidth="1"/>
    <col min="2261" max="2261" width="5.7265625" style="2" customWidth="1"/>
    <col min="2262" max="2262" width="7.26953125" style="2" customWidth="1"/>
    <col min="2263" max="2263" width="8.1796875" style="2" customWidth="1"/>
    <col min="2264" max="2264" width="7.26953125" style="2" customWidth="1"/>
    <col min="2265" max="2265" width="8.1796875" style="2" bestFit="1" customWidth="1"/>
    <col min="2266" max="2266" width="7.26953125" style="2" customWidth="1"/>
    <col min="2267" max="2267" width="7.81640625" style="2" bestFit="1" customWidth="1"/>
    <col min="2268" max="2268" width="6.26953125" style="2" customWidth="1"/>
    <col min="2269" max="2269" width="11.7265625" style="2" customWidth="1"/>
    <col min="2270" max="2270" width="5" style="2" customWidth="1"/>
    <col min="2271" max="2271" width="10.26953125" style="2" customWidth="1"/>
    <col min="2272" max="2272" width="9.1796875" style="2" customWidth="1"/>
    <col min="2273" max="2273" width="8.7265625" style="2"/>
    <col min="2274" max="2274" width="12.90625" style="2" bestFit="1" customWidth="1"/>
    <col min="2275" max="2275" width="8.7265625" style="2"/>
    <col min="2276" max="2276" width="9.26953125" style="2" bestFit="1" customWidth="1"/>
    <col min="2277" max="2514" width="8.7265625" style="2"/>
    <col min="2515" max="2515" width="4.81640625" style="2" bestFit="1" customWidth="1"/>
    <col min="2516" max="2516" width="35.26953125" style="2" customWidth="1"/>
    <col min="2517" max="2517" width="5.7265625" style="2" customWidth="1"/>
    <col min="2518" max="2518" width="7.26953125" style="2" customWidth="1"/>
    <col min="2519" max="2519" width="8.1796875" style="2" customWidth="1"/>
    <col min="2520" max="2520" width="7.26953125" style="2" customWidth="1"/>
    <col min="2521" max="2521" width="8.1796875" style="2" bestFit="1" customWidth="1"/>
    <col min="2522" max="2522" width="7.26953125" style="2" customWidth="1"/>
    <col min="2523" max="2523" width="7.81640625" style="2" bestFit="1" customWidth="1"/>
    <col min="2524" max="2524" width="6.26953125" style="2" customWidth="1"/>
    <col min="2525" max="2525" width="11.7265625" style="2" customWidth="1"/>
    <col min="2526" max="2526" width="5" style="2" customWidth="1"/>
    <col min="2527" max="2527" width="10.26953125" style="2" customWidth="1"/>
    <col min="2528" max="2528" width="9.1796875" style="2" customWidth="1"/>
    <col min="2529" max="2529" width="8.7265625" style="2"/>
    <col min="2530" max="2530" width="12.90625" style="2" bestFit="1" customWidth="1"/>
    <col min="2531" max="2531" width="8.7265625" style="2"/>
    <col min="2532" max="2532" width="9.26953125" style="2" bestFit="1" customWidth="1"/>
    <col min="2533" max="2770" width="8.7265625" style="2"/>
    <col min="2771" max="2771" width="4.81640625" style="2" bestFit="1" customWidth="1"/>
    <col min="2772" max="2772" width="35.26953125" style="2" customWidth="1"/>
    <col min="2773" max="2773" width="5.7265625" style="2" customWidth="1"/>
    <col min="2774" max="2774" width="7.26953125" style="2" customWidth="1"/>
    <col min="2775" max="2775" width="8.1796875" style="2" customWidth="1"/>
    <col min="2776" max="2776" width="7.26953125" style="2" customWidth="1"/>
    <col min="2777" max="2777" width="8.1796875" style="2" bestFit="1" customWidth="1"/>
    <col min="2778" max="2778" width="7.26953125" style="2" customWidth="1"/>
    <col min="2779" max="2779" width="7.81640625" style="2" bestFit="1" customWidth="1"/>
    <col min="2780" max="2780" width="6.26953125" style="2" customWidth="1"/>
    <col min="2781" max="2781" width="11.7265625" style="2" customWidth="1"/>
    <col min="2782" max="2782" width="5" style="2" customWidth="1"/>
    <col min="2783" max="2783" width="10.26953125" style="2" customWidth="1"/>
    <col min="2784" max="2784" width="9.1796875" style="2" customWidth="1"/>
    <col min="2785" max="2785" width="8.7265625" style="2"/>
    <col min="2786" max="2786" width="12.90625" style="2" bestFit="1" customWidth="1"/>
    <col min="2787" max="2787" width="8.7265625" style="2"/>
    <col min="2788" max="2788" width="9.26953125" style="2" bestFit="1" customWidth="1"/>
    <col min="2789" max="3026" width="8.7265625" style="2"/>
    <col min="3027" max="3027" width="4.81640625" style="2" bestFit="1" customWidth="1"/>
    <col min="3028" max="3028" width="35.26953125" style="2" customWidth="1"/>
    <col min="3029" max="3029" width="5.7265625" style="2" customWidth="1"/>
    <col min="3030" max="3030" width="7.26953125" style="2" customWidth="1"/>
    <col min="3031" max="3031" width="8.1796875" style="2" customWidth="1"/>
    <col min="3032" max="3032" width="7.26953125" style="2" customWidth="1"/>
    <col min="3033" max="3033" width="8.1796875" style="2" bestFit="1" customWidth="1"/>
    <col min="3034" max="3034" width="7.26953125" style="2" customWidth="1"/>
    <col min="3035" max="3035" width="7.81640625" style="2" bestFit="1" customWidth="1"/>
    <col min="3036" max="3036" width="6.26953125" style="2" customWidth="1"/>
    <col min="3037" max="3037" width="11.7265625" style="2" customWidth="1"/>
    <col min="3038" max="3038" width="5" style="2" customWidth="1"/>
    <col min="3039" max="3039" width="10.26953125" style="2" customWidth="1"/>
    <col min="3040" max="3040" width="9.1796875" style="2" customWidth="1"/>
    <col min="3041" max="3041" width="8.7265625" style="2"/>
    <col min="3042" max="3042" width="12.90625" style="2" bestFit="1" customWidth="1"/>
    <col min="3043" max="3043" width="8.7265625" style="2"/>
    <col min="3044" max="3044" width="9.26953125" style="2" bestFit="1" customWidth="1"/>
    <col min="3045" max="3282" width="8.7265625" style="2"/>
    <col min="3283" max="3283" width="4.81640625" style="2" bestFit="1" customWidth="1"/>
    <col min="3284" max="3284" width="35.26953125" style="2" customWidth="1"/>
    <col min="3285" max="3285" width="5.7265625" style="2" customWidth="1"/>
    <col min="3286" max="3286" width="7.26953125" style="2" customWidth="1"/>
    <col min="3287" max="3287" width="8.1796875" style="2" customWidth="1"/>
    <col min="3288" max="3288" width="7.26953125" style="2" customWidth="1"/>
    <col min="3289" max="3289" width="8.1796875" style="2" bestFit="1" customWidth="1"/>
    <col min="3290" max="3290" width="7.26953125" style="2" customWidth="1"/>
    <col min="3291" max="3291" width="7.81640625" style="2" bestFit="1" customWidth="1"/>
    <col min="3292" max="3292" width="6.26953125" style="2" customWidth="1"/>
    <col min="3293" max="3293" width="11.7265625" style="2" customWidth="1"/>
    <col min="3294" max="3294" width="5" style="2" customWidth="1"/>
    <col min="3295" max="3295" width="10.26953125" style="2" customWidth="1"/>
    <col min="3296" max="3296" width="9.1796875" style="2" customWidth="1"/>
    <col min="3297" max="3297" width="8.7265625" style="2"/>
    <col min="3298" max="3298" width="12.90625" style="2" bestFit="1" customWidth="1"/>
    <col min="3299" max="3299" width="8.7265625" style="2"/>
    <col min="3300" max="3300" width="9.26953125" style="2" bestFit="1" customWidth="1"/>
    <col min="3301" max="3538" width="8.7265625" style="2"/>
    <col min="3539" max="3539" width="4.81640625" style="2" bestFit="1" customWidth="1"/>
    <col min="3540" max="3540" width="35.26953125" style="2" customWidth="1"/>
    <col min="3541" max="3541" width="5.7265625" style="2" customWidth="1"/>
    <col min="3542" max="3542" width="7.26953125" style="2" customWidth="1"/>
    <col min="3543" max="3543" width="8.1796875" style="2" customWidth="1"/>
    <col min="3544" max="3544" width="7.26953125" style="2" customWidth="1"/>
    <col min="3545" max="3545" width="8.1796875" style="2" bestFit="1" customWidth="1"/>
    <col min="3546" max="3546" width="7.26953125" style="2" customWidth="1"/>
    <col min="3547" max="3547" width="7.81640625" style="2" bestFit="1" customWidth="1"/>
    <col min="3548" max="3548" width="6.26953125" style="2" customWidth="1"/>
    <col min="3549" max="3549" width="11.7265625" style="2" customWidth="1"/>
    <col min="3550" max="3550" width="5" style="2" customWidth="1"/>
    <col min="3551" max="3551" width="10.26953125" style="2" customWidth="1"/>
    <col min="3552" max="3552" width="9.1796875" style="2" customWidth="1"/>
    <col min="3553" max="3553" width="8.7265625" style="2"/>
    <col min="3554" max="3554" width="12.90625" style="2" bestFit="1" customWidth="1"/>
    <col min="3555" max="3555" width="8.7265625" style="2"/>
    <col min="3556" max="3556" width="9.26953125" style="2" bestFit="1" customWidth="1"/>
    <col min="3557" max="3794" width="8.7265625" style="2"/>
    <col min="3795" max="3795" width="4.81640625" style="2" bestFit="1" customWidth="1"/>
    <col min="3796" max="3796" width="35.26953125" style="2" customWidth="1"/>
    <col min="3797" max="3797" width="5.7265625" style="2" customWidth="1"/>
    <col min="3798" max="3798" width="7.26953125" style="2" customWidth="1"/>
    <col min="3799" max="3799" width="8.1796875" style="2" customWidth="1"/>
    <col min="3800" max="3800" width="7.26953125" style="2" customWidth="1"/>
    <col min="3801" max="3801" width="8.1796875" style="2" bestFit="1" customWidth="1"/>
    <col min="3802" max="3802" width="7.26953125" style="2" customWidth="1"/>
    <col min="3803" max="3803" width="7.81640625" style="2" bestFit="1" customWidth="1"/>
    <col min="3804" max="3804" width="6.26953125" style="2" customWidth="1"/>
    <col min="3805" max="3805" width="11.7265625" style="2" customWidth="1"/>
    <col min="3806" max="3806" width="5" style="2" customWidth="1"/>
    <col min="3807" max="3807" width="10.26953125" style="2" customWidth="1"/>
    <col min="3808" max="3808" width="9.1796875" style="2" customWidth="1"/>
    <col min="3809" max="3809" width="8.7265625" style="2"/>
    <col min="3810" max="3810" width="12.90625" style="2" bestFit="1" customWidth="1"/>
    <col min="3811" max="3811" width="8.7265625" style="2"/>
    <col min="3812" max="3812" width="9.26953125" style="2" bestFit="1" customWidth="1"/>
    <col min="3813" max="4050" width="8.7265625" style="2"/>
    <col min="4051" max="4051" width="4.81640625" style="2" bestFit="1" customWidth="1"/>
    <col min="4052" max="4052" width="35.26953125" style="2" customWidth="1"/>
    <col min="4053" max="4053" width="5.7265625" style="2" customWidth="1"/>
    <col min="4054" max="4054" width="7.26953125" style="2" customWidth="1"/>
    <col min="4055" max="4055" width="8.1796875" style="2" customWidth="1"/>
    <col min="4056" max="4056" width="7.26953125" style="2" customWidth="1"/>
    <col min="4057" max="4057" width="8.1796875" style="2" bestFit="1" customWidth="1"/>
    <col min="4058" max="4058" width="7.26953125" style="2" customWidth="1"/>
    <col min="4059" max="4059" width="7.81640625" style="2" bestFit="1" customWidth="1"/>
    <col min="4060" max="4060" width="6.26953125" style="2" customWidth="1"/>
    <col min="4061" max="4061" width="11.7265625" style="2" customWidth="1"/>
    <col min="4062" max="4062" width="5" style="2" customWidth="1"/>
    <col min="4063" max="4063" width="10.26953125" style="2" customWidth="1"/>
    <col min="4064" max="4064" width="9.1796875" style="2" customWidth="1"/>
    <col min="4065" max="4065" width="8.7265625" style="2"/>
    <col min="4066" max="4066" width="12.90625" style="2" bestFit="1" customWidth="1"/>
    <col min="4067" max="4067" width="8.7265625" style="2"/>
    <col min="4068" max="4068" width="9.26953125" style="2" bestFit="1" customWidth="1"/>
    <col min="4069" max="4306" width="8.7265625" style="2"/>
    <col min="4307" max="4307" width="4.81640625" style="2" bestFit="1" customWidth="1"/>
    <col min="4308" max="4308" width="35.26953125" style="2" customWidth="1"/>
    <col min="4309" max="4309" width="5.7265625" style="2" customWidth="1"/>
    <col min="4310" max="4310" width="7.26953125" style="2" customWidth="1"/>
    <col min="4311" max="4311" width="8.1796875" style="2" customWidth="1"/>
    <col min="4312" max="4312" width="7.26953125" style="2" customWidth="1"/>
    <col min="4313" max="4313" width="8.1796875" style="2" bestFit="1" customWidth="1"/>
    <col min="4314" max="4314" width="7.26953125" style="2" customWidth="1"/>
    <col min="4315" max="4315" width="7.81640625" style="2" bestFit="1" customWidth="1"/>
    <col min="4316" max="4316" width="6.26953125" style="2" customWidth="1"/>
    <col min="4317" max="4317" width="11.7265625" style="2" customWidth="1"/>
    <col min="4318" max="4318" width="5" style="2" customWidth="1"/>
    <col min="4319" max="4319" width="10.26953125" style="2" customWidth="1"/>
    <col min="4320" max="4320" width="9.1796875" style="2" customWidth="1"/>
    <col min="4321" max="4321" width="8.7265625" style="2"/>
    <col min="4322" max="4322" width="12.90625" style="2" bestFit="1" customWidth="1"/>
    <col min="4323" max="4323" width="8.7265625" style="2"/>
    <col min="4324" max="4324" width="9.26953125" style="2" bestFit="1" customWidth="1"/>
    <col min="4325" max="4562" width="8.7265625" style="2"/>
    <col min="4563" max="4563" width="4.81640625" style="2" bestFit="1" customWidth="1"/>
    <col min="4564" max="4564" width="35.26953125" style="2" customWidth="1"/>
    <col min="4565" max="4565" width="5.7265625" style="2" customWidth="1"/>
    <col min="4566" max="4566" width="7.26953125" style="2" customWidth="1"/>
    <col min="4567" max="4567" width="8.1796875" style="2" customWidth="1"/>
    <col min="4568" max="4568" width="7.26953125" style="2" customWidth="1"/>
    <col min="4569" max="4569" width="8.1796875" style="2" bestFit="1" customWidth="1"/>
    <col min="4570" max="4570" width="7.26953125" style="2" customWidth="1"/>
    <col min="4571" max="4571" width="7.81640625" style="2" bestFit="1" customWidth="1"/>
    <col min="4572" max="4572" width="6.26953125" style="2" customWidth="1"/>
    <col min="4573" max="4573" width="11.7265625" style="2" customWidth="1"/>
    <col min="4574" max="4574" width="5" style="2" customWidth="1"/>
    <col min="4575" max="4575" width="10.26953125" style="2" customWidth="1"/>
    <col min="4576" max="4576" width="9.1796875" style="2" customWidth="1"/>
    <col min="4577" max="4577" width="8.7265625" style="2"/>
    <col min="4578" max="4578" width="12.90625" style="2" bestFit="1" customWidth="1"/>
    <col min="4579" max="4579" width="8.7265625" style="2"/>
    <col min="4580" max="4580" width="9.26953125" style="2" bestFit="1" customWidth="1"/>
    <col min="4581" max="4818" width="8.7265625" style="2"/>
    <col min="4819" max="4819" width="4.81640625" style="2" bestFit="1" customWidth="1"/>
    <col min="4820" max="4820" width="35.26953125" style="2" customWidth="1"/>
    <col min="4821" max="4821" width="5.7265625" style="2" customWidth="1"/>
    <col min="4822" max="4822" width="7.26953125" style="2" customWidth="1"/>
    <col min="4823" max="4823" width="8.1796875" style="2" customWidth="1"/>
    <col min="4824" max="4824" width="7.26953125" style="2" customWidth="1"/>
    <col min="4825" max="4825" width="8.1796875" style="2" bestFit="1" customWidth="1"/>
    <col min="4826" max="4826" width="7.26953125" style="2" customWidth="1"/>
    <col min="4827" max="4827" width="7.81640625" style="2" bestFit="1" customWidth="1"/>
    <col min="4828" max="4828" width="6.26953125" style="2" customWidth="1"/>
    <col min="4829" max="4829" width="11.7265625" style="2" customWidth="1"/>
    <col min="4830" max="4830" width="5" style="2" customWidth="1"/>
    <col min="4831" max="4831" width="10.26953125" style="2" customWidth="1"/>
    <col min="4832" max="4832" width="9.1796875" style="2" customWidth="1"/>
    <col min="4833" max="4833" width="8.7265625" style="2"/>
    <col min="4834" max="4834" width="12.90625" style="2" bestFit="1" customWidth="1"/>
    <col min="4835" max="4835" width="8.7265625" style="2"/>
    <col min="4836" max="4836" width="9.26953125" style="2" bestFit="1" customWidth="1"/>
    <col min="4837" max="5074" width="8.7265625" style="2"/>
    <col min="5075" max="5075" width="4.81640625" style="2" bestFit="1" customWidth="1"/>
    <col min="5076" max="5076" width="35.26953125" style="2" customWidth="1"/>
    <col min="5077" max="5077" width="5.7265625" style="2" customWidth="1"/>
    <col min="5078" max="5078" width="7.26953125" style="2" customWidth="1"/>
    <col min="5079" max="5079" width="8.1796875" style="2" customWidth="1"/>
    <col min="5080" max="5080" width="7.26953125" style="2" customWidth="1"/>
    <col min="5081" max="5081" width="8.1796875" style="2" bestFit="1" customWidth="1"/>
    <col min="5082" max="5082" width="7.26953125" style="2" customWidth="1"/>
    <col min="5083" max="5083" width="7.81640625" style="2" bestFit="1" customWidth="1"/>
    <col min="5084" max="5084" width="6.26953125" style="2" customWidth="1"/>
    <col min="5085" max="5085" width="11.7265625" style="2" customWidth="1"/>
    <col min="5086" max="5086" width="5" style="2" customWidth="1"/>
    <col min="5087" max="5087" width="10.26953125" style="2" customWidth="1"/>
    <col min="5088" max="5088" width="9.1796875" style="2" customWidth="1"/>
    <col min="5089" max="5089" width="8.7265625" style="2"/>
    <col min="5090" max="5090" width="12.90625" style="2" bestFit="1" customWidth="1"/>
    <col min="5091" max="5091" width="8.7265625" style="2"/>
    <col min="5092" max="5092" width="9.26953125" style="2" bestFit="1" customWidth="1"/>
    <col min="5093" max="5330" width="8.7265625" style="2"/>
    <col min="5331" max="5331" width="4.81640625" style="2" bestFit="1" customWidth="1"/>
    <col min="5332" max="5332" width="35.26953125" style="2" customWidth="1"/>
    <col min="5333" max="5333" width="5.7265625" style="2" customWidth="1"/>
    <col min="5334" max="5334" width="7.26953125" style="2" customWidth="1"/>
    <col min="5335" max="5335" width="8.1796875" style="2" customWidth="1"/>
    <col min="5336" max="5336" width="7.26953125" style="2" customWidth="1"/>
    <col min="5337" max="5337" width="8.1796875" style="2" bestFit="1" customWidth="1"/>
    <col min="5338" max="5338" width="7.26953125" style="2" customWidth="1"/>
    <col min="5339" max="5339" width="7.81640625" style="2" bestFit="1" customWidth="1"/>
    <col min="5340" max="5340" width="6.26953125" style="2" customWidth="1"/>
    <col min="5341" max="5341" width="11.7265625" style="2" customWidth="1"/>
    <col min="5342" max="5342" width="5" style="2" customWidth="1"/>
    <col min="5343" max="5343" width="10.26953125" style="2" customWidth="1"/>
    <col min="5344" max="5344" width="9.1796875" style="2" customWidth="1"/>
    <col min="5345" max="5345" width="8.7265625" style="2"/>
    <col min="5346" max="5346" width="12.90625" style="2" bestFit="1" customWidth="1"/>
    <col min="5347" max="5347" width="8.7265625" style="2"/>
    <col min="5348" max="5348" width="9.26953125" style="2" bestFit="1" customWidth="1"/>
    <col min="5349" max="5586" width="8.7265625" style="2"/>
    <col min="5587" max="5587" width="4.81640625" style="2" bestFit="1" customWidth="1"/>
    <col min="5588" max="5588" width="35.26953125" style="2" customWidth="1"/>
    <col min="5589" max="5589" width="5.7265625" style="2" customWidth="1"/>
    <col min="5590" max="5590" width="7.26953125" style="2" customWidth="1"/>
    <col min="5591" max="5591" width="8.1796875" style="2" customWidth="1"/>
    <col min="5592" max="5592" width="7.26953125" style="2" customWidth="1"/>
    <col min="5593" max="5593" width="8.1796875" style="2" bestFit="1" customWidth="1"/>
    <col min="5594" max="5594" width="7.26953125" style="2" customWidth="1"/>
    <col min="5595" max="5595" width="7.81640625" style="2" bestFit="1" customWidth="1"/>
    <col min="5596" max="5596" width="6.26953125" style="2" customWidth="1"/>
    <col min="5597" max="5597" width="11.7265625" style="2" customWidth="1"/>
    <col min="5598" max="5598" width="5" style="2" customWidth="1"/>
    <col min="5599" max="5599" width="10.26953125" style="2" customWidth="1"/>
    <col min="5600" max="5600" width="9.1796875" style="2" customWidth="1"/>
    <col min="5601" max="5601" width="8.7265625" style="2"/>
    <col min="5602" max="5602" width="12.90625" style="2" bestFit="1" customWidth="1"/>
    <col min="5603" max="5603" width="8.7265625" style="2"/>
    <col min="5604" max="5604" width="9.26953125" style="2" bestFit="1" customWidth="1"/>
    <col min="5605" max="5842" width="8.7265625" style="2"/>
    <col min="5843" max="5843" width="4.81640625" style="2" bestFit="1" customWidth="1"/>
    <col min="5844" max="5844" width="35.26953125" style="2" customWidth="1"/>
    <col min="5845" max="5845" width="5.7265625" style="2" customWidth="1"/>
    <col min="5846" max="5846" width="7.26953125" style="2" customWidth="1"/>
    <col min="5847" max="5847" width="8.1796875" style="2" customWidth="1"/>
    <col min="5848" max="5848" width="7.26953125" style="2" customWidth="1"/>
    <col min="5849" max="5849" width="8.1796875" style="2" bestFit="1" customWidth="1"/>
    <col min="5850" max="5850" width="7.26953125" style="2" customWidth="1"/>
    <col min="5851" max="5851" width="7.81640625" style="2" bestFit="1" customWidth="1"/>
    <col min="5852" max="5852" width="6.26953125" style="2" customWidth="1"/>
    <col min="5853" max="5853" width="11.7265625" style="2" customWidth="1"/>
    <col min="5854" max="5854" width="5" style="2" customWidth="1"/>
    <col min="5855" max="5855" width="10.26953125" style="2" customWidth="1"/>
    <col min="5856" max="5856" width="9.1796875" style="2" customWidth="1"/>
    <col min="5857" max="5857" width="8.7265625" style="2"/>
    <col min="5858" max="5858" width="12.90625" style="2" bestFit="1" customWidth="1"/>
    <col min="5859" max="5859" width="8.7265625" style="2"/>
    <col min="5860" max="5860" width="9.26953125" style="2" bestFit="1" customWidth="1"/>
    <col min="5861" max="6098" width="8.7265625" style="2"/>
    <col min="6099" max="6099" width="4.81640625" style="2" bestFit="1" customWidth="1"/>
    <col min="6100" max="6100" width="35.26953125" style="2" customWidth="1"/>
    <col min="6101" max="6101" width="5.7265625" style="2" customWidth="1"/>
    <col min="6102" max="6102" width="7.26953125" style="2" customWidth="1"/>
    <col min="6103" max="6103" width="8.1796875" style="2" customWidth="1"/>
    <col min="6104" max="6104" width="7.26953125" style="2" customWidth="1"/>
    <col min="6105" max="6105" width="8.1796875" style="2" bestFit="1" customWidth="1"/>
    <col min="6106" max="6106" width="7.26953125" style="2" customWidth="1"/>
    <col min="6107" max="6107" width="7.81640625" style="2" bestFit="1" customWidth="1"/>
    <col min="6108" max="6108" width="6.26953125" style="2" customWidth="1"/>
    <col min="6109" max="6109" width="11.7265625" style="2" customWidth="1"/>
    <col min="6110" max="6110" width="5" style="2" customWidth="1"/>
    <col min="6111" max="6111" width="10.26953125" style="2" customWidth="1"/>
    <col min="6112" max="6112" width="9.1796875" style="2" customWidth="1"/>
    <col min="6113" max="6113" width="8.7265625" style="2"/>
    <col min="6114" max="6114" width="12.90625" style="2" bestFit="1" customWidth="1"/>
    <col min="6115" max="6115" width="8.7265625" style="2"/>
    <col min="6116" max="6116" width="9.26953125" style="2" bestFit="1" customWidth="1"/>
    <col min="6117" max="6354" width="8.7265625" style="2"/>
    <col min="6355" max="6355" width="4.81640625" style="2" bestFit="1" customWidth="1"/>
    <col min="6356" max="6356" width="35.26953125" style="2" customWidth="1"/>
    <col min="6357" max="6357" width="5.7265625" style="2" customWidth="1"/>
    <col min="6358" max="6358" width="7.26953125" style="2" customWidth="1"/>
    <col min="6359" max="6359" width="8.1796875" style="2" customWidth="1"/>
    <col min="6360" max="6360" width="7.26953125" style="2" customWidth="1"/>
    <col min="6361" max="6361" width="8.1796875" style="2" bestFit="1" customWidth="1"/>
    <col min="6362" max="6362" width="7.26953125" style="2" customWidth="1"/>
    <col min="6363" max="6363" width="7.81640625" style="2" bestFit="1" customWidth="1"/>
    <col min="6364" max="6364" width="6.26953125" style="2" customWidth="1"/>
    <col min="6365" max="6365" width="11.7265625" style="2" customWidth="1"/>
    <col min="6366" max="6366" width="5" style="2" customWidth="1"/>
    <col min="6367" max="6367" width="10.26953125" style="2" customWidth="1"/>
    <col min="6368" max="6368" width="9.1796875" style="2" customWidth="1"/>
    <col min="6369" max="6369" width="8.7265625" style="2"/>
    <col min="6370" max="6370" width="12.90625" style="2" bestFit="1" customWidth="1"/>
    <col min="6371" max="6371" width="8.7265625" style="2"/>
    <col min="6372" max="6372" width="9.26953125" style="2" bestFit="1" customWidth="1"/>
    <col min="6373" max="6610" width="8.7265625" style="2"/>
    <col min="6611" max="6611" width="4.81640625" style="2" bestFit="1" customWidth="1"/>
    <col min="6612" max="6612" width="35.26953125" style="2" customWidth="1"/>
    <col min="6613" max="6613" width="5.7265625" style="2" customWidth="1"/>
    <col min="6614" max="6614" width="7.26953125" style="2" customWidth="1"/>
    <col min="6615" max="6615" width="8.1796875" style="2" customWidth="1"/>
    <col min="6616" max="6616" width="7.26953125" style="2" customWidth="1"/>
    <col min="6617" max="6617" width="8.1796875" style="2" bestFit="1" customWidth="1"/>
    <col min="6618" max="6618" width="7.26953125" style="2" customWidth="1"/>
    <col min="6619" max="6619" width="7.81640625" style="2" bestFit="1" customWidth="1"/>
    <col min="6620" max="6620" width="6.26953125" style="2" customWidth="1"/>
    <col min="6621" max="6621" width="11.7265625" style="2" customWidth="1"/>
    <col min="6622" max="6622" width="5" style="2" customWidth="1"/>
    <col min="6623" max="6623" width="10.26953125" style="2" customWidth="1"/>
    <col min="6624" max="6624" width="9.1796875" style="2" customWidth="1"/>
    <col min="6625" max="6625" width="8.7265625" style="2"/>
    <col min="6626" max="6626" width="12.90625" style="2" bestFit="1" customWidth="1"/>
    <col min="6627" max="6627" width="8.7265625" style="2"/>
    <col min="6628" max="6628" width="9.26953125" style="2" bestFit="1" customWidth="1"/>
    <col min="6629" max="6866" width="8.7265625" style="2"/>
    <col min="6867" max="6867" width="4.81640625" style="2" bestFit="1" customWidth="1"/>
    <col min="6868" max="6868" width="35.26953125" style="2" customWidth="1"/>
    <col min="6869" max="6869" width="5.7265625" style="2" customWidth="1"/>
    <col min="6870" max="6870" width="7.26953125" style="2" customWidth="1"/>
    <col min="6871" max="6871" width="8.1796875" style="2" customWidth="1"/>
    <col min="6872" max="6872" width="7.26953125" style="2" customWidth="1"/>
    <col min="6873" max="6873" width="8.1796875" style="2" bestFit="1" customWidth="1"/>
    <col min="6874" max="6874" width="7.26953125" style="2" customWidth="1"/>
    <col min="6875" max="6875" width="7.81640625" style="2" bestFit="1" customWidth="1"/>
    <col min="6876" max="6876" width="6.26953125" style="2" customWidth="1"/>
    <col min="6877" max="6877" width="11.7265625" style="2" customWidth="1"/>
    <col min="6878" max="6878" width="5" style="2" customWidth="1"/>
    <col min="6879" max="6879" width="10.26953125" style="2" customWidth="1"/>
    <col min="6880" max="6880" width="9.1796875" style="2" customWidth="1"/>
    <col min="6881" max="6881" width="8.7265625" style="2"/>
    <col min="6882" max="6882" width="12.90625" style="2" bestFit="1" customWidth="1"/>
    <col min="6883" max="6883" width="8.7265625" style="2"/>
    <col min="6884" max="6884" width="9.26953125" style="2" bestFit="1" customWidth="1"/>
    <col min="6885" max="7122" width="8.7265625" style="2"/>
    <col min="7123" max="7123" width="4.81640625" style="2" bestFit="1" customWidth="1"/>
    <col min="7124" max="7124" width="35.26953125" style="2" customWidth="1"/>
    <col min="7125" max="7125" width="5.7265625" style="2" customWidth="1"/>
    <col min="7126" max="7126" width="7.26953125" style="2" customWidth="1"/>
    <col min="7127" max="7127" width="8.1796875" style="2" customWidth="1"/>
    <col min="7128" max="7128" width="7.26953125" style="2" customWidth="1"/>
    <col min="7129" max="7129" width="8.1796875" style="2" bestFit="1" customWidth="1"/>
    <col min="7130" max="7130" width="7.26953125" style="2" customWidth="1"/>
    <col min="7131" max="7131" width="7.81640625" style="2" bestFit="1" customWidth="1"/>
    <col min="7132" max="7132" width="6.26953125" style="2" customWidth="1"/>
    <col min="7133" max="7133" width="11.7265625" style="2" customWidth="1"/>
    <col min="7134" max="7134" width="5" style="2" customWidth="1"/>
    <col min="7135" max="7135" width="10.26953125" style="2" customWidth="1"/>
    <col min="7136" max="7136" width="9.1796875" style="2" customWidth="1"/>
    <col min="7137" max="7137" width="8.7265625" style="2"/>
    <col min="7138" max="7138" width="12.90625" style="2" bestFit="1" customWidth="1"/>
    <col min="7139" max="7139" width="8.7265625" style="2"/>
    <col min="7140" max="7140" width="9.26953125" style="2" bestFit="1" customWidth="1"/>
    <col min="7141" max="7378" width="8.7265625" style="2"/>
    <col min="7379" max="7379" width="4.81640625" style="2" bestFit="1" customWidth="1"/>
    <col min="7380" max="7380" width="35.26953125" style="2" customWidth="1"/>
    <col min="7381" max="7381" width="5.7265625" style="2" customWidth="1"/>
    <col min="7382" max="7382" width="7.26953125" style="2" customWidth="1"/>
    <col min="7383" max="7383" width="8.1796875" style="2" customWidth="1"/>
    <col min="7384" max="7384" width="7.26953125" style="2" customWidth="1"/>
    <col min="7385" max="7385" width="8.1796875" style="2" bestFit="1" customWidth="1"/>
    <col min="7386" max="7386" width="7.26953125" style="2" customWidth="1"/>
    <col min="7387" max="7387" width="7.81640625" style="2" bestFit="1" customWidth="1"/>
    <col min="7388" max="7388" width="6.26953125" style="2" customWidth="1"/>
    <col min="7389" max="7389" width="11.7265625" style="2" customWidth="1"/>
    <col min="7390" max="7390" width="5" style="2" customWidth="1"/>
    <col min="7391" max="7391" width="10.26953125" style="2" customWidth="1"/>
    <col min="7392" max="7392" width="9.1796875" style="2" customWidth="1"/>
    <col min="7393" max="7393" width="8.7265625" style="2"/>
    <col min="7394" max="7394" width="12.90625" style="2" bestFit="1" customWidth="1"/>
    <col min="7395" max="7395" width="8.7265625" style="2"/>
    <col min="7396" max="7396" width="9.26953125" style="2" bestFit="1" customWidth="1"/>
    <col min="7397" max="7634" width="8.7265625" style="2"/>
    <col min="7635" max="7635" width="4.81640625" style="2" bestFit="1" customWidth="1"/>
    <col min="7636" max="7636" width="35.26953125" style="2" customWidth="1"/>
    <col min="7637" max="7637" width="5.7265625" style="2" customWidth="1"/>
    <col min="7638" max="7638" width="7.26953125" style="2" customWidth="1"/>
    <col min="7639" max="7639" width="8.1796875" style="2" customWidth="1"/>
    <col min="7640" max="7640" width="7.26953125" style="2" customWidth="1"/>
    <col min="7641" max="7641" width="8.1796875" style="2" bestFit="1" customWidth="1"/>
    <col min="7642" max="7642" width="7.26953125" style="2" customWidth="1"/>
    <col min="7643" max="7643" width="7.81640625" style="2" bestFit="1" customWidth="1"/>
    <col min="7644" max="7644" width="6.26953125" style="2" customWidth="1"/>
    <col min="7645" max="7645" width="11.7265625" style="2" customWidth="1"/>
    <col min="7646" max="7646" width="5" style="2" customWidth="1"/>
    <col min="7647" max="7647" width="10.26953125" style="2" customWidth="1"/>
    <col min="7648" max="7648" width="9.1796875" style="2" customWidth="1"/>
    <col min="7649" max="7649" width="8.7265625" style="2"/>
    <col min="7650" max="7650" width="12.90625" style="2" bestFit="1" customWidth="1"/>
    <col min="7651" max="7651" width="8.7265625" style="2"/>
    <col min="7652" max="7652" width="9.26953125" style="2" bestFit="1" customWidth="1"/>
    <col min="7653" max="7890" width="8.7265625" style="2"/>
    <col min="7891" max="7891" width="4.81640625" style="2" bestFit="1" customWidth="1"/>
    <col min="7892" max="7892" width="35.26953125" style="2" customWidth="1"/>
    <col min="7893" max="7893" width="5.7265625" style="2" customWidth="1"/>
    <col min="7894" max="7894" width="7.26953125" style="2" customWidth="1"/>
    <col min="7895" max="7895" width="8.1796875" style="2" customWidth="1"/>
    <col min="7896" max="7896" width="7.26953125" style="2" customWidth="1"/>
    <col min="7897" max="7897" width="8.1796875" style="2" bestFit="1" customWidth="1"/>
    <col min="7898" max="7898" width="7.26953125" style="2" customWidth="1"/>
    <col min="7899" max="7899" width="7.81640625" style="2" bestFit="1" customWidth="1"/>
    <col min="7900" max="7900" width="6.26953125" style="2" customWidth="1"/>
    <col min="7901" max="7901" width="11.7265625" style="2" customWidth="1"/>
    <col min="7902" max="7902" width="5" style="2" customWidth="1"/>
    <col min="7903" max="7903" width="10.26953125" style="2" customWidth="1"/>
    <col min="7904" max="7904" width="9.1796875" style="2" customWidth="1"/>
    <col min="7905" max="7905" width="8.7265625" style="2"/>
    <col min="7906" max="7906" width="12.90625" style="2" bestFit="1" customWidth="1"/>
    <col min="7907" max="7907" width="8.7265625" style="2"/>
    <col min="7908" max="7908" width="9.26953125" style="2" bestFit="1" customWidth="1"/>
    <col min="7909" max="8146" width="8.7265625" style="2"/>
    <col min="8147" max="8147" width="4.81640625" style="2" bestFit="1" customWidth="1"/>
    <col min="8148" max="8148" width="35.26953125" style="2" customWidth="1"/>
    <col min="8149" max="8149" width="5.7265625" style="2" customWidth="1"/>
    <col min="8150" max="8150" width="7.26953125" style="2" customWidth="1"/>
    <col min="8151" max="8151" width="8.1796875" style="2" customWidth="1"/>
    <col min="8152" max="8152" width="7.26953125" style="2" customWidth="1"/>
    <col min="8153" max="8153" width="8.1796875" style="2" bestFit="1" customWidth="1"/>
    <col min="8154" max="8154" width="7.26953125" style="2" customWidth="1"/>
    <col min="8155" max="8155" width="7.81640625" style="2" bestFit="1" customWidth="1"/>
    <col min="8156" max="8156" width="6.26953125" style="2" customWidth="1"/>
    <col min="8157" max="8157" width="11.7265625" style="2" customWidth="1"/>
    <col min="8158" max="8158" width="5" style="2" customWidth="1"/>
    <col min="8159" max="8159" width="10.26953125" style="2" customWidth="1"/>
    <col min="8160" max="8160" width="9.1796875" style="2" customWidth="1"/>
    <col min="8161" max="8161" width="8.7265625" style="2"/>
    <col min="8162" max="8162" width="12.90625" style="2" bestFit="1" customWidth="1"/>
    <col min="8163" max="8163" width="8.7265625" style="2"/>
    <col min="8164" max="8164" width="9.26953125" style="2" bestFit="1" customWidth="1"/>
    <col min="8165" max="8402" width="8.7265625" style="2"/>
    <col min="8403" max="8403" width="4.81640625" style="2" bestFit="1" customWidth="1"/>
    <col min="8404" max="8404" width="35.26953125" style="2" customWidth="1"/>
    <col min="8405" max="8405" width="5.7265625" style="2" customWidth="1"/>
    <col min="8406" max="8406" width="7.26953125" style="2" customWidth="1"/>
    <col min="8407" max="8407" width="8.1796875" style="2" customWidth="1"/>
    <col min="8408" max="8408" width="7.26953125" style="2" customWidth="1"/>
    <col min="8409" max="8409" width="8.1796875" style="2" bestFit="1" customWidth="1"/>
    <col min="8410" max="8410" width="7.26953125" style="2" customWidth="1"/>
    <col min="8411" max="8411" width="7.81640625" style="2" bestFit="1" customWidth="1"/>
    <col min="8412" max="8412" width="6.26953125" style="2" customWidth="1"/>
    <col min="8413" max="8413" width="11.7265625" style="2" customWidth="1"/>
    <col min="8414" max="8414" width="5" style="2" customWidth="1"/>
    <col min="8415" max="8415" width="10.26953125" style="2" customWidth="1"/>
    <col min="8416" max="8416" width="9.1796875" style="2" customWidth="1"/>
    <col min="8417" max="8417" width="8.7265625" style="2"/>
    <col min="8418" max="8418" width="12.90625" style="2" bestFit="1" customWidth="1"/>
    <col min="8419" max="8419" width="8.7265625" style="2"/>
    <col min="8420" max="8420" width="9.26953125" style="2" bestFit="1" customWidth="1"/>
    <col min="8421" max="8658" width="8.7265625" style="2"/>
    <col min="8659" max="8659" width="4.81640625" style="2" bestFit="1" customWidth="1"/>
    <col min="8660" max="8660" width="35.26953125" style="2" customWidth="1"/>
    <col min="8661" max="8661" width="5.7265625" style="2" customWidth="1"/>
    <col min="8662" max="8662" width="7.26953125" style="2" customWidth="1"/>
    <col min="8663" max="8663" width="8.1796875" style="2" customWidth="1"/>
    <col min="8664" max="8664" width="7.26953125" style="2" customWidth="1"/>
    <col min="8665" max="8665" width="8.1796875" style="2" bestFit="1" customWidth="1"/>
    <col min="8666" max="8666" width="7.26953125" style="2" customWidth="1"/>
    <col min="8667" max="8667" width="7.81640625" style="2" bestFit="1" customWidth="1"/>
    <col min="8668" max="8668" width="6.26953125" style="2" customWidth="1"/>
    <col min="8669" max="8669" width="11.7265625" style="2" customWidth="1"/>
    <col min="8670" max="8670" width="5" style="2" customWidth="1"/>
    <col min="8671" max="8671" width="10.26953125" style="2" customWidth="1"/>
    <col min="8672" max="8672" width="9.1796875" style="2" customWidth="1"/>
    <col min="8673" max="8673" width="8.7265625" style="2"/>
    <col min="8674" max="8674" width="12.90625" style="2" bestFit="1" customWidth="1"/>
    <col min="8675" max="8675" width="8.7265625" style="2"/>
    <col min="8676" max="8676" width="9.26953125" style="2" bestFit="1" customWidth="1"/>
    <col min="8677" max="8914" width="8.7265625" style="2"/>
    <col min="8915" max="8915" width="4.81640625" style="2" bestFit="1" customWidth="1"/>
    <col min="8916" max="8916" width="35.26953125" style="2" customWidth="1"/>
    <col min="8917" max="8917" width="5.7265625" style="2" customWidth="1"/>
    <col min="8918" max="8918" width="7.26953125" style="2" customWidth="1"/>
    <col min="8919" max="8919" width="8.1796875" style="2" customWidth="1"/>
    <col min="8920" max="8920" width="7.26953125" style="2" customWidth="1"/>
    <col min="8921" max="8921" width="8.1796875" style="2" bestFit="1" customWidth="1"/>
    <col min="8922" max="8922" width="7.26953125" style="2" customWidth="1"/>
    <col min="8923" max="8923" width="7.81640625" style="2" bestFit="1" customWidth="1"/>
    <col min="8924" max="8924" width="6.26953125" style="2" customWidth="1"/>
    <col min="8925" max="8925" width="11.7265625" style="2" customWidth="1"/>
    <col min="8926" max="8926" width="5" style="2" customWidth="1"/>
    <col min="8927" max="8927" width="10.26953125" style="2" customWidth="1"/>
    <col min="8928" max="8928" width="9.1796875" style="2" customWidth="1"/>
    <col min="8929" max="8929" width="8.7265625" style="2"/>
    <col min="8930" max="8930" width="12.90625" style="2" bestFit="1" customWidth="1"/>
    <col min="8931" max="8931" width="8.7265625" style="2"/>
    <col min="8932" max="8932" width="9.26953125" style="2" bestFit="1" customWidth="1"/>
    <col min="8933" max="9170" width="8.7265625" style="2"/>
    <col min="9171" max="9171" width="4.81640625" style="2" bestFit="1" customWidth="1"/>
    <col min="9172" max="9172" width="35.26953125" style="2" customWidth="1"/>
    <col min="9173" max="9173" width="5.7265625" style="2" customWidth="1"/>
    <col min="9174" max="9174" width="7.26953125" style="2" customWidth="1"/>
    <col min="9175" max="9175" width="8.1796875" style="2" customWidth="1"/>
    <col min="9176" max="9176" width="7.26953125" style="2" customWidth="1"/>
    <col min="9177" max="9177" width="8.1796875" style="2" bestFit="1" customWidth="1"/>
    <col min="9178" max="9178" width="7.26953125" style="2" customWidth="1"/>
    <col min="9179" max="9179" width="7.81640625" style="2" bestFit="1" customWidth="1"/>
    <col min="9180" max="9180" width="6.26953125" style="2" customWidth="1"/>
    <col min="9181" max="9181" width="11.7265625" style="2" customWidth="1"/>
    <col min="9182" max="9182" width="5" style="2" customWidth="1"/>
    <col min="9183" max="9183" width="10.26953125" style="2" customWidth="1"/>
    <col min="9184" max="9184" width="9.1796875" style="2" customWidth="1"/>
    <col min="9185" max="9185" width="8.7265625" style="2"/>
    <col min="9186" max="9186" width="12.90625" style="2" bestFit="1" customWidth="1"/>
    <col min="9187" max="9187" width="8.7265625" style="2"/>
    <col min="9188" max="9188" width="9.26953125" style="2" bestFit="1" customWidth="1"/>
    <col min="9189" max="9426" width="8.7265625" style="2"/>
    <col min="9427" max="9427" width="4.81640625" style="2" bestFit="1" customWidth="1"/>
    <col min="9428" max="9428" width="35.26953125" style="2" customWidth="1"/>
    <col min="9429" max="9429" width="5.7265625" style="2" customWidth="1"/>
    <col min="9430" max="9430" width="7.26953125" style="2" customWidth="1"/>
    <col min="9431" max="9431" width="8.1796875" style="2" customWidth="1"/>
    <col min="9432" max="9432" width="7.26953125" style="2" customWidth="1"/>
    <col min="9433" max="9433" width="8.1796875" style="2" bestFit="1" customWidth="1"/>
    <col min="9434" max="9434" width="7.26953125" style="2" customWidth="1"/>
    <col min="9435" max="9435" width="7.81640625" style="2" bestFit="1" customWidth="1"/>
    <col min="9436" max="9436" width="6.26953125" style="2" customWidth="1"/>
    <col min="9437" max="9437" width="11.7265625" style="2" customWidth="1"/>
    <col min="9438" max="9438" width="5" style="2" customWidth="1"/>
    <col min="9439" max="9439" width="10.26953125" style="2" customWidth="1"/>
    <col min="9440" max="9440" width="9.1796875" style="2" customWidth="1"/>
    <col min="9441" max="9441" width="8.7265625" style="2"/>
    <col min="9442" max="9442" width="12.90625" style="2" bestFit="1" customWidth="1"/>
    <col min="9443" max="9443" width="8.7265625" style="2"/>
    <col min="9444" max="9444" width="9.26953125" style="2" bestFit="1" customWidth="1"/>
    <col min="9445" max="9682" width="8.7265625" style="2"/>
    <col min="9683" max="9683" width="4.81640625" style="2" bestFit="1" customWidth="1"/>
    <col min="9684" max="9684" width="35.26953125" style="2" customWidth="1"/>
    <col min="9685" max="9685" width="5.7265625" style="2" customWidth="1"/>
    <col min="9686" max="9686" width="7.26953125" style="2" customWidth="1"/>
    <col min="9687" max="9687" width="8.1796875" style="2" customWidth="1"/>
    <col min="9688" max="9688" width="7.26953125" style="2" customWidth="1"/>
    <col min="9689" max="9689" width="8.1796875" style="2" bestFit="1" customWidth="1"/>
    <col min="9690" max="9690" width="7.26953125" style="2" customWidth="1"/>
    <col min="9691" max="9691" width="7.81640625" style="2" bestFit="1" customWidth="1"/>
    <col min="9692" max="9692" width="6.26953125" style="2" customWidth="1"/>
    <col min="9693" max="9693" width="11.7265625" style="2" customWidth="1"/>
    <col min="9694" max="9694" width="5" style="2" customWidth="1"/>
    <col min="9695" max="9695" width="10.26953125" style="2" customWidth="1"/>
    <col min="9696" max="9696" width="9.1796875" style="2" customWidth="1"/>
    <col min="9697" max="9697" width="8.7265625" style="2"/>
    <col min="9698" max="9698" width="12.90625" style="2" bestFit="1" customWidth="1"/>
    <col min="9699" max="9699" width="8.7265625" style="2"/>
    <col min="9700" max="9700" width="9.26953125" style="2" bestFit="1" customWidth="1"/>
    <col min="9701" max="9938" width="8.7265625" style="2"/>
    <col min="9939" max="9939" width="4.81640625" style="2" bestFit="1" customWidth="1"/>
    <col min="9940" max="9940" width="35.26953125" style="2" customWidth="1"/>
    <col min="9941" max="9941" width="5.7265625" style="2" customWidth="1"/>
    <col min="9942" max="9942" width="7.26953125" style="2" customWidth="1"/>
    <col min="9943" max="9943" width="8.1796875" style="2" customWidth="1"/>
    <col min="9944" max="9944" width="7.26953125" style="2" customWidth="1"/>
    <col min="9945" max="9945" width="8.1796875" style="2" bestFit="1" customWidth="1"/>
    <col min="9946" max="9946" width="7.26953125" style="2" customWidth="1"/>
    <col min="9947" max="9947" width="7.81640625" style="2" bestFit="1" customWidth="1"/>
    <col min="9948" max="9948" width="6.26953125" style="2" customWidth="1"/>
    <col min="9949" max="9949" width="11.7265625" style="2" customWidth="1"/>
    <col min="9950" max="9950" width="5" style="2" customWidth="1"/>
    <col min="9951" max="9951" width="10.26953125" style="2" customWidth="1"/>
    <col min="9952" max="9952" width="9.1796875" style="2" customWidth="1"/>
    <col min="9953" max="9953" width="8.7265625" style="2"/>
    <col min="9954" max="9954" width="12.90625" style="2" bestFit="1" customWidth="1"/>
    <col min="9955" max="9955" width="8.7265625" style="2"/>
    <col min="9956" max="9956" width="9.26953125" style="2" bestFit="1" customWidth="1"/>
    <col min="9957" max="10194" width="8.7265625" style="2"/>
    <col min="10195" max="10195" width="4.81640625" style="2" bestFit="1" customWidth="1"/>
    <col min="10196" max="10196" width="35.26953125" style="2" customWidth="1"/>
    <col min="10197" max="10197" width="5.7265625" style="2" customWidth="1"/>
    <col min="10198" max="10198" width="7.26953125" style="2" customWidth="1"/>
    <col min="10199" max="10199" width="8.1796875" style="2" customWidth="1"/>
    <col min="10200" max="10200" width="7.26953125" style="2" customWidth="1"/>
    <col min="10201" max="10201" width="8.1796875" style="2" bestFit="1" customWidth="1"/>
    <col min="10202" max="10202" width="7.26953125" style="2" customWidth="1"/>
    <col min="10203" max="10203" width="7.81640625" style="2" bestFit="1" customWidth="1"/>
    <col min="10204" max="10204" width="6.26953125" style="2" customWidth="1"/>
    <col min="10205" max="10205" width="11.7265625" style="2" customWidth="1"/>
    <col min="10206" max="10206" width="5" style="2" customWidth="1"/>
    <col min="10207" max="10207" width="10.26953125" style="2" customWidth="1"/>
    <col min="10208" max="10208" width="9.1796875" style="2" customWidth="1"/>
    <col min="10209" max="10209" width="8.7265625" style="2"/>
    <col min="10210" max="10210" width="12.90625" style="2" bestFit="1" customWidth="1"/>
    <col min="10211" max="10211" width="8.7265625" style="2"/>
    <col min="10212" max="10212" width="9.26953125" style="2" bestFit="1" customWidth="1"/>
    <col min="10213" max="10450" width="8.7265625" style="2"/>
    <col min="10451" max="10451" width="4.81640625" style="2" bestFit="1" customWidth="1"/>
    <col min="10452" max="10452" width="35.26953125" style="2" customWidth="1"/>
    <col min="10453" max="10453" width="5.7265625" style="2" customWidth="1"/>
    <col min="10454" max="10454" width="7.26953125" style="2" customWidth="1"/>
    <col min="10455" max="10455" width="8.1796875" style="2" customWidth="1"/>
    <col min="10456" max="10456" width="7.26953125" style="2" customWidth="1"/>
    <col min="10457" max="10457" width="8.1796875" style="2" bestFit="1" customWidth="1"/>
    <col min="10458" max="10458" width="7.26953125" style="2" customWidth="1"/>
    <col min="10459" max="10459" width="7.81640625" style="2" bestFit="1" customWidth="1"/>
    <col min="10460" max="10460" width="6.26953125" style="2" customWidth="1"/>
    <col min="10461" max="10461" width="11.7265625" style="2" customWidth="1"/>
    <col min="10462" max="10462" width="5" style="2" customWidth="1"/>
    <col min="10463" max="10463" width="10.26953125" style="2" customWidth="1"/>
    <col min="10464" max="10464" width="9.1796875" style="2" customWidth="1"/>
    <col min="10465" max="10465" width="8.7265625" style="2"/>
    <col min="10466" max="10466" width="12.90625" style="2" bestFit="1" customWidth="1"/>
    <col min="10467" max="10467" width="8.7265625" style="2"/>
    <col min="10468" max="10468" width="9.26953125" style="2" bestFit="1" customWidth="1"/>
    <col min="10469" max="10706" width="8.7265625" style="2"/>
    <col min="10707" max="10707" width="4.81640625" style="2" bestFit="1" customWidth="1"/>
    <col min="10708" max="10708" width="35.26953125" style="2" customWidth="1"/>
    <col min="10709" max="10709" width="5.7265625" style="2" customWidth="1"/>
    <col min="10710" max="10710" width="7.26953125" style="2" customWidth="1"/>
    <col min="10711" max="10711" width="8.1796875" style="2" customWidth="1"/>
    <col min="10712" max="10712" width="7.26953125" style="2" customWidth="1"/>
    <col min="10713" max="10713" width="8.1796875" style="2" bestFit="1" customWidth="1"/>
    <col min="10714" max="10714" width="7.26953125" style="2" customWidth="1"/>
    <col min="10715" max="10715" width="7.81640625" style="2" bestFit="1" customWidth="1"/>
    <col min="10716" max="10716" width="6.26953125" style="2" customWidth="1"/>
    <col min="10717" max="10717" width="11.7265625" style="2" customWidth="1"/>
    <col min="10718" max="10718" width="5" style="2" customWidth="1"/>
    <col min="10719" max="10719" width="10.26953125" style="2" customWidth="1"/>
    <col min="10720" max="10720" width="9.1796875" style="2" customWidth="1"/>
    <col min="10721" max="10721" width="8.7265625" style="2"/>
    <col min="10722" max="10722" width="12.90625" style="2" bestFit="1" customWidth="1"/>
    <col min="10723" max="10723" width="8.7265625" style="2"/>
    <col min="10724" max="10724" width="9.26953125" style="2" bestFit="1" customWidth="1"/>
    <col min="10725" max="10962" width="8.7265625" style="2"/>
    <col min="10963" max="10963" width="4.81640625" style="2" bestFit="1" customWidth="1"/>
    <col min="10964" max="10964" width="35.26953125" style="2" customWidth="1"/>
    <col min="10965" max="10965" width="5.7265625" style="2" customWidth="1"/>
    <col min="10966" max="10966" width="7.26953125" style="2" customWidth="1"/>
    <col min="10967" max="10967" width="8.1796875" style="2" customWidth="1"/>
    <col min="10968" max="10968" width="7.26953125" style="2" customWidth="1"/>
    <col min="10969" max="10969" width="8.1796875" style="2" bestFit="1" customWidth="1"/>
    <col min="10970" max="10970" width="7.26953125" style="2" customWidth="1"/>
    <col min="10971" max="10971" width="7.81640625" style="2" bestFit="1" customWidth="1"/>
    <col min="10972" max="10972" width="6.26953125" style="2" customWidth="1"/>
    <col min="10973" max="10973" width="11.7265625" style="2" customWidth="1"/>
    <col min="10974" max="10974" width="5" style="2" customWidth="1"/>
    <col min="10975" max="10975" width="10.26953125" style="2" customWidth="1"/>
    <col min="10976" max="10976" width="9.1796875" style="2" customWidth="1"/>
    <col min="10977" max="10977" width="8.7265625" style="2"/>
    <col min="10978" max="10978" width="12.90625" style="2" bestFit="1" customWidth="1"/>
    <col min="10979" max="10979" width="8.7265625" style="2"/>
    <col min="10980" max="10980" width="9.26953125" style="2" bestFit="1" customWidth="1"/>
    <col min="10981" max="11218" width="8.7265625" style="2"/>
    <col min="11219" max="11219" width="4.81640625" style="2" bestFit="1" customWidth="1"/>
    <col min="11220" max="11220" width="35.26953125" style="2" customWidth="1"/>
    <col min="11221" max="11221" width="5.7265625" style="2" customWidth="1"/>
    <col min="11222" max="11222" width="7.26953125" style="2" customWidth="1"/>
    <col min="11223" max="11223" width="8.1796875" style="2" customWidth="1"/>
    <col min="11224" max="11224" width="7.26953125" style="2" customWidth="1"/>
    <col min="11225" max="11225" width="8.1796875" style="2" bestFit="1" customWidth="1"/>
    <col min="11226" max="11226" width="7.26953125" style="2" customWidth="1"/>
    <col min="11227" max="11227" width="7.81640625" style="2" bestFit="1" customWidth="1"/>
    <col min="11228" max="11228" width="6.26953125" style="2" customWidth="1"/>
    <col min="11229" max="11229" width="11.7265625" style="2" customWidth="1"/>
    <col min="11230" max="11230" width="5" style="2" customWidth="1"/>
    <col min="11231" max="11231" width="10.26953125" style="2" customWidth="1"/>
    <col min="11232" max="11232" width="9.1796875" style="2" customWidth="1"/>
    <col min="11233" max="11233" width="8.7265625" style="2"/>
    <col min="11234" max="11234" width="12.90625" style="2" bestFit="1" customWidth="1"/>
    <col min="11235" max="11235" width="8.7265625" style="2"/>
    <col min="11236" max="11236" width="9.26953125" style="2" bestFit="1" customWidth="1"/>
    <col min="11237" max="11474" width="8.7265625" style="2"/>
    <col min="11475" max="11475" width="4.81640625" style="2" bestFit="1" customWidth="1"/>
    <col min="11476" max="11476" width="35.26953125" style="2" customWidth="1"/>
    <col min="11477" max="11477" width="5.7265625" style="2" customWidth="1"/>
    <col min="11478" max="11478" width="7.26953125" style="2" customWidth="1"/>
    <col min="11479" max="11479" width="8.1796875" style="2" customWidth="1"/>
    <col min="11480" max="11480" width="7.26953125" style="2" customWidth="1"/>
    <col min="11481" max="11481" width="8.1796875" style="2" bestFit="1" customWidth="1"/>
    <col min="11482" max="11482" width="7.26953125" style="2" customWidth="1"/>
    <col min="11483" max="11483" width="7.81640625" style="2" bestFit="1" customWidth="1"/>
    <col min="11484" max="11484" width="6.26953125" style="2" customWidth="1"/>
    <col min="11485" max="11485" width="11.7265625" style="2" customWidth="1"/>
    <col min="11486" max="11486" width="5" style="2" customWidth="1"/>
    <col min="11487" max="11487" width="10.26953125" style="2" customWidth="1"/>
    <col min="11488" max="11488" width="9.1796875" style="2" customWidth="1"/>
    <col min="11489" max="11489" width="8.7265625" style="2"/>
    <col min="11490" max="11490" width="12.90625" style="2" bestFit="1" customWidth="1"/>
    <col min="11491" max="11491" width="8.7265625" style="2"/>
    <col min="11492" max="11492" width="9.26953125" style="2" bestFit="1" customWidth="1"/>
    <col min="11493" max="11730" width="8.7265625" style="2"/>
    <col min="11731" max="11731" width="4.81640625" style="2" bestFit="1" customWidth="1"/>
    <col min="11732" max="11732" width="35.26953125" style="2" customWidth="1"/>
    <col min="11733" max="11733" width="5.7265625" style="2" customWidth="1"/>
    <col min="11734" max="11734" width="7.26953125" style="2" customWidth="1"/>
    <col min="11735" max="11735" width="8.1796875" style="2" customWidth="1"/>
    <col min="11736" max="11736" width="7.26953125" style="2" customWidth="1"/>
    <col min="11737" max="11737" width="8.1796875" style="2" bestFit="1" customWidth="1"/>
    <col min="11738" max="11738" width="7.26953125" style="2" customWidth="1"/>
    <col min="11739" max="11739" width="7.81640625" style="2" bestFit="1" customWidth="1"/>
    <col min="11740" max="11740" width="6.26953125" style="2" customWidth="1"/>
    <col min="11741" max="11741" width="11.7265625" style="2" customWidth="1"/>
    <col min="11742" max="11742" width="5" style="2" customWidth="1"/>
    <col min="11743" max="11743" width="10.26953125" style="2" customWidth="1"/>
    <col min="11744" max="11744" width="9.1796875" style="2" customWidth="1"/>
    <col min="11745" max="11745" width="8.7265625" style="2"/>
    <col min="11746" max="11746" width="12.90625" style="2" bestFit="1" customWidth="1"/>
    <col min="11747" max="11747" width="8.7265625" style="2"/>
    <col min="11748" max="11748" width="9.26953125" style="2" bestFit="1" customWidth="1"/>
    <col min="11749" max="11986" width="8.7265625" style="2"/>
    <col min="11987" max="11987" width="4.81640625" style="2" bestFit="1" customWidth="1"/>
    <col min="11988" max="11988" width="35.26953125" style="2" customWidth="1"/>
    <col min="11989" max="11989" width="5.7265625" style="2" customWidth="1"/>
    <col min="11990" max="11990" width="7.26953125" style="2" customWidth="1"/>
    <col min="11991" max="11991" width="8.1796875" style="2" customWidth="1"/>
    <col min="11992" max="11992" width="7.26953125" style="2" customWidth="1"/>
    <col min="11993" max="11993" width="8.1796875" style="2" bestFit="1" customWidth="1"/>
    <col min="11994" max="11994" width="7.26953125" style="2" customWidth="1"/>
    <col min="11995" max="11995" width="7.81640625" style="2" bestFit="1" customWidth="1"/>
    <col min="11996" max="11996" width="6.26953125" style="2" customWidth="1"/>
    <col min="11997" max="11997" width="11.7265625" style="2" customWidth="1"/>
    <col min="11998" max="11998" width="5" style="2" customWidth="1"/>
    <col min="11999" max="11999" width="10.26953125" style="2" customWidth="1"/>
    <col min="12000" max="12000" width="9.1796875" style="2" customWidth="1"/>
    <col min="12001" max="12001" width="8.7265625" style="2"/>
    <col min="12002" max="12002" width="12.90625" style="2" bestFit="1" customWidth="1"/>
    <col min="12003" max="12003" width="8.7265625" style="2"/>
    <col min="12004" max="12004" width="9.26953125" style="2" bestFit="1" customWidth="1"/>
    <col min="12005" max="12242" width="8.7265625" style="2"/>
    <col min="12243" max="12243" width="4.81640625" style="2" bestFit="1" customWidth="1"/>
    <col min="12244" max="12244" width="35.26953125" style="2" customWidth="1"/>
    <col min="12245" max="12245" width="5.7265625" style="2" customWidth="1"/>
    <col min="12246" max="12246" width="7.26953125" style="2" customWidth="1"/>
    <col min="12247" max="12247" width="8.1796875" style="2" customWidth="1"/>
    <col min="12248" max="12248" width="7.26953125" style="2" customWidth="1"/>
    <col min="12249" max="12249" width="8.1796875" style="2" bestFit="1" customWidth="1"/>
    <col min="12250" max="12250" width="7.26953125" style="2" customWidth="1"/>
    <col min="12251" max="12251" width="7.81640625" style="2" bestFit="1" customWidth="1"/>
    <col min="12252" max="12252" width="6.26953125" style="2" customWidth="1"/>
    <col min="12253" max="12253" width="11.7265625" style="2" customWidth="1"/>
    <col min="12254" max="12254" width="5" style="2" customWidth="1"/>
    <col min="12255" max="12255" width="10.26953125" style="2" customWidth="1"/>
    <col min="12256" max="12256" width="9.1796875" style="2" customWidth="1"/>
    <col min="12257" max="12257" width="8.7265625" style="2"/>
    <col min="12258" max="12258" width="12.90625" style="2" bestFit="1" customWidth="1"/>
    <col min="12259" max="12259" width="8.7265625" style="2"/>
    <col min="12260" max="12260" width="9.26953125" style="2" bestFit="1" customWidth="1"/>
    <col min="12261" max="12498" width="8.7265625" style="2"/>
    <col min="12499" max="12499" width="4.81640625" style="2" bestFit="1" customWidth="1"/>
    <col min="12500" max="12500" width="35.26953125" style="2" customWidth="1"/>
    <col min="12501" max="12501" width="5.7265625" style="2" customWidth="1"/>
    <col min="12502" max="12502" width="7.26953125" style="2" customWidth="1"/>
    <col min="12503" max="12503" width="8.1796875" style="2" customWidth="1"/>
    <col min="12504" max="12504" width="7.26953125" style="2" customWidth="1"/>
    <col min="12505" max="12505" width="8.1796875" style="2" bestFit="1" customWidth="1"/>
    <col min="12506" max="12506" width="7.26953125" style="2" customWidth="1"/>
    <col min="12507" max="12507" width="7.81640625" style="2" bestFit="1" customWidth="1"/>
    <col min="12508" max="12508" width="6.26953125" style="2" customWidth="1"/>
    <col min="12509" max="12509" width="11.7265625" style="2" customWidth="1"/>
    <col min="12510" max="12510" width="5" style="2" customWidth="1"/>
    <col min="12511" max="12511" width="10.26953125" style="2" customWidth="1"/>
    <col min="12512" max="12512" width="9.1796875" style="2" customWidth="1"/>
    <col min="12513" max="12513" width="8.7265625" style="2"/>
    <col min="12514" max="12514" width="12.90625" style="2" bestFit="1" customWidth="1"/>
    <col min="12515" max="12515" width="8.7265625" style="2"/>
    <col min="12516" max="12516" width="9.26953125" style="2" bestFit="1" customWidth="1"/>
    <col min="12517" max="12754" width="8.7265625" style="2"/>
    <col min="12755" max="12755" width="4.81640625" style="2" bestFit="1" customWidth="1"/>
    <col min="12756" max="12756" width="35.26953125" style="2" customWidth="1"/>
    <col min="12757" max="12757" width="5.7265625" style="2" customWidth="1"/>
    <col min="12758" max="12758" width="7.26953125" style="2" customWidth="1"/>
    <col min="12759" max="12759" width="8.1796875" style="2" customWidth="1"/>
    <col min="12760" max="12760" width="7.26953125" style="2" customWidth="1"/>
    <col min="12761" max="12761" width="8.1796875" style="2" bestFit="1" customWidth="1"/>
    <col min="12762" max="12762" width="7.26953125" style="2" customWidth="1"/>
    <col min="12763" max="12763" width="7.81640625" style="2" bestFit="1" customWidth="1"/>
    <col min="12764" max="12764" width="6.26953125" style="2" customWidth="1"/>
    <col min="12765" max="12765" width="11.7265625" style="2" customWidth="1"/>
    <col min="12766" max="12766" width="5" style="2" customWidth="1"/>
    <col min="12767" max="12767" width="10.26953125" style="2" customWidth="1"/>
    <col min="12768" max="12768" width="9.1796875" style="2" customWidth="1"/>
    <col min="12769" max="12769" width="8.7265625" style="2"/>
    <col min="12770" max="12770" width="12.90625" style="2" bestFit="1" customWidth="1"/>
    <col min="12771" max="12771" width="8.7265625" style="2"/>
    <col min="12772" max="12772" width="9.26953125" style="2" bestFit="1" customWidth="1"/>
    <col min="12773" max="13010" width="8.7265625" style="2"/>
    <col min="13011" max="13011" width="4.81640625" style="2" bestFit="1" customWidth="1"/>
    <col min="13012" max="13012" width="35.26953125" style="2" customWidth="1"/>
    <col min="13013" max="13013" width="5.7265625" style="2" customWidth="1"/>
    <col min="13014" max="13014" width="7.26953125" style="2" customWidth="1"/>
    <col min="13015" max="13015" width="8.1796875" style="2" customWidth="1"/>
    <col min="13016" max="13016" width="7.26953125" style="2" customWidth="1"/>
    <col min="13017" max="13017" width="8.1796875" style="2" bestFit="1" customWidth="1"/>
    <col min="13018" max="13018" width="7.26953125" style="2" customWidth="1"/>
    <col min="13019" max="13019" width="7.81640625" style="2" bestFit="1" customWidth="1"/>
    <col min="13020" max="13020" width="6.26953125" style="2" customWidth="1"/>
    <col min="13021" max="13021" width="11.7265625" style="2" customWidth="1"/>
    <col min="13022" max="13022" width="5" style="2" customWidth="1"/>
    <col min="13023" max="13023" width="10.26953125" style="2" customWidth="1"/>
    <col min="13024" max="13024" width="9.1796875" style="2" customWidth="1"/>
    <col min="13025" max="13025" width="8.7265625" style="2"/>
    <col min="13026" max="13026" width="12.90625" style="2" bestFit="1" customWidth="1"/>
    <col min="13027" max="13027" width="8.7265625" style="2"/>
    <col min="13028" max="13028" width="9.26953125" style="2" bestFit="1" customWidth="1"/>
    <col min="13029" max="13266" width="8.7265625" style="2"/>
    <col min="13267" max="13267" width="4.81640625" style="2" bestFit="1" customWidth="1"/>
    <col min="13268" max="13268" width="35.26953125" style="2" customWidth="1"/>
    <col min="13269" max="13269" width="5.7265625" style="2" customWidth="1"/>
    <col min="13270" max="13270" width="7.26953125" style="2" customWidth="1"/>
    <col min="13271" max="13271" width="8.1796875" style="2" customWidth="1"/>
    <col min="13272" max="13272" width="7.26953125" style="2" customWidth="1"/>
    <col min="13273" max="13273" width="8.1796875" style="2" bestFit="1" customWidth="1"/>
    <col min="13274" max="13274" width="7.26953125" style="2" customWidth="1"/>
    <col min="13275" max="13275" width="7.81640625" style="2" bestFit="1" customWidth="1"/>
    <col min="13276" max="13276" width="6.26953125" style="2" customWidth="1"/>
    <col min="13277" max="13277" width="11.7265625" style="2" customWidth="1"/>
    <col min="13278" max="13278" width="5" style="2" customWidth="1"/>
    <col min="13279" max="13279" width="10.26953125" style="2" customWidth="1"/>
    <col min="13280" max="13280" width="9.1796875" style="2" customWidth="1"/>
    <col min="13281" max="13281" width="8.7265625" style="2"/>
    <col min="13282" max="13282" width="12.90625" style="2" bestFit="1" customWidth="1"/>
    <col min="13283" max="13283" width="8.7265625" style="2"/>
    <col min="13284" max="13284" width="9.26953125" style="2" bestFit="1" customWidth="1"/>
    <col min="13285" max="13522" width="8.7265625" style="2"/>
    <col min="13523" max="13523" width="4.81640625" style="2" bestFit="1" customWidth="1"/>
    <col min="13524" max="13524" width="35.26953125" style="2" customWidth="1"/>
    <col min="13525" max="13525" width="5.7265625" style="2" customWidth="1"/>
    <col min="13526" max="13526" width="7.26953125" style="2" customWidth="1"/>
    <col min="13527" max="13527" width="8.1796875" style="2" customWidth="1"/>
    <col min="13528" max="13528" width="7.26953125" style="2" customWidth="1"/>
    <col min="13529" max="13529" width="8.1796875" style="2" bestFit="1" customWidth="1"/>
    <col min="13530" max="13530" width="7.26953125" style="2" customWidth="1"/>
    <col min="13531" max="13531" width="7.81640625" style="2" bestFit="1" customWidth="1"/>
    <col min="13532" max="13532" width="6.26953125" style="2" customWidth="1"/>
    <col min="13533" max="13533" width="11.7265625" style="2" customWidth="1"/>
    <col min="13534" max="13534" width="5" style="2" customWidth="1"/>
    <col min="13535" max="13535" width="10.26953125" style="2" customWidth="1"/>
    <col min="13536" max="13536" width="9.1796875" style="2" customWidth="1"/>
    <col min="13537" max="13537" width="8.7265625" style="2"/>
    <col min="13538" max="13538" width="12.90625" style="2" bestFit="1" customWidth="1"/>
    <col min="13539" max="13539" width="8.7265625" style="2"/>
    <col min="13540" max="13540" width="9.26953125" style="2" bestFit="1" customWidth="1"/>
    <col min="13541" max="13778" width="8.7265625" style="2"/>
    <col min="13779" max="13779" width="4.81640625" style="2" bestFit="1" customWidth="1"/>
    <col min="13780" max="13780" width="35.26953125" style="2" customWidth="1"/>
    <col min="13781" max="13781" width="5.7265625" style="2" customWidth="1"/>
    <col min="13782" max="13782" width="7.26953125" style="2" customWidth="1"/>
    <col min="13783" max="13783" width="8.1796875" style="2" customWidth="1"/>
    <col min="13784" max="13784" width="7.26953125" style="2" customWidth="1"/>
    <col min="13785" max="13785" width="8.1796875" style="2" bestFit="1" customWidth="1"/>
    <col min="13786" max="13786" width="7.26953125" style="2" customWidth="1"/>
    <col min="13787" max="13787" width="7.81640625" style="2" bestFit="1" customWidth="1"/>
    <col min="13788" max="13788" width="6.26953125" style="2" customWidth="1"/>
    <col min="13789" max="13789" width="11.7265625" style="2" customWidth="1"/>
    <col min="13790" max="13790" width="5" style="2" customWidth="1"/>
    <col min="13791" max="13791" width="10.26953125" style="2" customWidth="1"/>
    <col min="13792" max="13792" width="9.1796875" style="2" customWidth="1"/>
    <col min="13793" max="13793" width="8.7265625" style="2"/>
    <col min="13794" max="13794" width="12.90625" style="2" bestFit="1" customWidth="1"/>
    <col min="13795" max="13795" width="8.7265625" style="2"/>
    <col min="13796" max="13796" width="9.26953125" style="2" bestFit="1" customWidth="1"/>
    <col min="13797" max="14034" width="8.7265625" style="2"/>
    <col min="14035" max="14035" width="4.81640625" style="2" bestFit="1" customWidth="1"/>
    <col min="14036" max="14036" width="35.26953125" style="2" customWidth="1"/>
    <col min="14037" max="14037" width="5.7265625" style="2" customWidth="1"/>
    <col min="14038" max="14038" width="7.26953125" style="2" customWidth="1"/>
    <col min="14039" max="14039" width="8.1796875" style="2" customWidth="1"/>
    <col min="14040" max="14040" width="7.26953125" style="2" customWidth="1"/>
    <col min="14041" max="14041" width="8.1796875" style="2" bestFit="1" customWidth="1"/>
    <col min="14042" max="14042" width="7.26953125" style="2" customWidth="1"/>
    <col min="14043" max="14043" width="7.81640625" style="2" bestFit="1" customWidth="1"/>
    <col min="14044" max="14044" width="6.26953125" style="2" customWidth="1"/>
    <col min="14045" max="14045" width="11.7265625" style="2" customWidth="1"/>
    <col min="14046" max="14046" width="5" style="2" customWidth="1"/>
    <col min="14047" max="14047" width="10.26953125" style="2" customWidth="1"/>
    <col min="14048" max="14048" width="9.1796875" style="2" customWidth="1"/>
    <col min="14049" max="14049" width="8.7265625" style="2"/>
    <col min="14050" max="14050" width="12.90625" style="2" bestFit="1" customWidth="1"/>
    <col min="14051" max="14051" width="8.7265625" style="2"/>
    <col min="14052" max="14052" width="9.26953125" style="2" bestFit="1" customWidth="1"/>
    <col min="14053" max="14290" width="8.7265625" style="2"/>
    <col min="14291" max="14291" width="4.81640625" style="2" bestFit="1" customWidth="1"/>
    <col min="14292" max="14292" width="35.26953125" style="2" customWidth="1"/>
    <col min="14293" max="14293" width="5.7265625" style="2" customWidth="1"/>
    <col min="14294" max="14294" width="7.26953125" style="2" customWidth="1"/>
    <col min="14295" max="14295" width="8.1796875" style="2" customWidth="1"/>
    <col min="14296" max="14296" width="7.26953125" style="2" customWidth="1"/>
    <col min="14297" max="14297" width="8.1796875" style="2" bestFit="1" customWidth="1"/>
    <col min="14298" max="14298" width="7.26953125" style="2" customWidth="1"/>
    <col min="14299" max="14299" width="7.81640625" style="2" bestFit="1" customWidth="1"/>
    <col min="14300" max="14300" width="6.26953125" style="2" customWidth="1"/>
    <col min="14301" max="14301" width="11.7265625" style="2" customWidth="1"/>
    <col min="14302" max="14302" width="5" style="2" customWidth="1"/>
    <col min="14303" max="14303" width="10.26953125" style="2" customWidth="1"/>
    <col min="14304" max="14304" width="9.1796875" style="2" customWidth="1"/>
    <col min="14305" max="14305" width="8.7265625" style="2"/>
    <col min="14306" max="14306" width="12.90625" style="2" bestFit="1" customWidth="1"/>
    <col min="14307" max="14307" width="8.7265625" style="2"/>
    <col min="14308" max="14308" width="9.26953125" style="2" bestFit="1" customWidth="1"/>
    <col min="14309" max="14546" width="8.7265625" style="2"/>
    <col min="14547" max="14547" width="4.81640625" style="2" bestFit="1" customWidth="1"/>
    <col min="14548" max="14548" width="35.26953125" style="2" customWidth="1"/>
    <col min="14549" max="14549" width="5.7265625" style="2" customWidth="1"/>
    <col min="14550" max="14550" width="7.26953125" style="2" customWidth="1"/>
    <col min="14551" max="14551" width="8.1796875" style="2" customWidth="1"/>
    <col min="14552" max="14552" width="7.26953125" style="2" customWidth="1"/>
    <col min="14553" max="14553" width="8.1796875" style="2" bestFit="1" customWidth="1"/>
    <col min="14554" max="14554" width="7.26953125" style="2" customWidth="1"/>
    <col min="14555" max="14555" width="7.81640625" style="2" bestFit="1" customWidth="1"/>
    <col min="14556" max="14556" width="6.26953125" style="2" customWidth="1"/>
    <col min="14557" max="14557" width="11.7265625" style="2" customWidth="1"/>
    <col min="14558" max="14558" width="5" style="2" customWidth="1"/>
    <col min="14559" max="14559" width="10.26953125" style="2" customWidth="1"/>
    <col min="14560" max="14560" width="9.1796875" style="2" customWidth="1"/>
    <col min="14561" max="14561" width="8.7265625" style="2"/>
    <col min="14562" max="14562" width="12.90625" style="2" bestFit="1" customWidth="1"/>
    <col min="14563" max="14563" width="8.7265625" style="2"/>
    <col min="14564" max="14564" width="9.26953125" style="2" bestFit="1" customWidth="1"/>
    <col min="14565" max="14802" width="8.7265625" style="2"/>
    <col min="14803" max="14803" width="4.81640625" style="2" bestFit="1" customWidth="1"/>
    <col min="14804" max="14804" width="35.26953125" style="2" customWidth="1"/>
    <col min="14805" max="14805" width="5.7265625" style="2" customWidth="1"/>
    <col min="14806" max="14806" width="7.26953125" style="2" customWidth="1"/>
    <col min="14807" max="14807" width="8.1796875" style="2" customWidth="1"/>
    <col min="14808" max="14808" width="7.26953125" style="2" customWidth="1"/>
    <col min="14809" max="14809" width="8.1796875" style="2" bestFit="1" customWidth="1"/>
    <col min="14810" max="14810" width="7.26953125" style="2" customWidth="1"/>
    <col min="14811" max="14811" width="7.81640625" style="2" bestFit="1" customWidth="1"/>
    <col min="14812" max="14812" width="6.26953125" style="2" customWidth="1"/>
    <col min="14813" max="14813" width="11.7265625" style="2" customWidth="1"/>
    <col min="14814" max="14814" width="5" style="2" customWidth="1"/>
    <col min="14815" max="14815" width="10.26953125" style="2" customWidth="1"/>
    <col min="14816" max="14816" width="9.1796875" style="2" customWidth="1"/>
    <col min="14817" max="14817" width="8.7265625" style="2"/>
    <col min="14818" max="14818" width="12.90625" style="2" bestFit="1" customWidth="1"/>
    <col min="14819" max="14819" width="8.7265625" style="2"/>
    <col min="14820" max="14820" width="9.26953125" style="2" bestFit="1" customWidth="1"/>
    <col min="14821" max="15058" width="8.7265625" style="2"/>
    <col min="15059" max="15059" width="4.81640625" style="2" bestFit="1" customWidth="1"/>
    <col min="15060" max="15060" width="35.26953125" style="2" customWidth="1"/>
    <col min="15061" max="15061" width="5.7265625" style="2" customWidth="1"/>
    <col min="15062" max="15062" width="7.26953125" style="2" customWidth="1"/>
    <col min="15063" max="15063" width="8.1796875" style="2" customWidth="1"/>
    <col min="15064" max="15064" width="7.26953125" style="2" customWidth="1"/>
    <col min="15065" max="15065" width="8.1796875" style="2" bestFit="1" customWidth="1"/>
    <col min="15066" max="15066" width="7.26953125" style="2" customWidth="1"/>
    <col min="15067" max="15067" width="7.81640625" style="2" bestFit="1" customWidth="1"/>
    <col min="15068" max="15068" width="6.26953125" style="2" customWidth="1"/>
    <col min="15069" max="15069" width="11.7265625" style="2" customWidth="1"/>
    <col min="15070" max="15070" width="5" style="2" customWidth="1"/>
    <col min="15071" max="15071" width="10.26953125" style="2" customWidth="1"/>
    <col min="15072" max="15072" width="9.1796875" style="2" customWidth="1"/>
    <col min="15073" max="15073" width="8.7265625" style="2"/>
    <col min="15074" max="15074" width="12.90625" style="2" bestFit="1" customWidth="1"/>
    <col min="15075" max="15075" width="8.7265625" style="2"/>
    <col min="15076" max="15076" width="9.26953125" style="2" bestFit="1" customWidth="1"/>
    <col min="15077" max="15314" width="8.7265625" style="2"/>
    <col min="15315" max="15315" width="4.81640625" style="2" bestFit="1" customWidth="1"/>
    <col min="15316" max="15316" width="35.26953125" style="2" customWidth="1"/>
    <col min="15317" max="15317" width="5.7265625" style="2" customWidth="1"/>
    <col min="15318" max="15318" width="7.26953125" style="2" customWidth="1"/>
    <col min="15319" max="15319" width="8.1796875" style="2" customWidth="1"/>
    <col min="15320" max="15320" width="7.26953125" style="2" customWidth="1"/>
    <col min="15321" max="15321" width="8.1796875" style="2" bestFit="1" customWidth="1"/>
    <col min="15322" max="15322" width="7.26953125" style="2" customWidth="1"/>
    <col min="15323" max="15323" width="7.81640625" style="2" bestFit="1" customWidth="1"/>
    <col min="15324" max="15324" width="6.26953125" style="2" customWidth="1"/>
    <col min="15325" max="15325" width="11.7265625" style="2" customWidth="1"/>
    <col min="15326" max="15326" width="5" style="2" customWidth="1"/>
    <col min="15327" max="15327" width="10.26953125" style="2" customWidth="1"/>
    <col min="15328" max="15328" width="9.1796875" style="2" customWidth="1"/>
    <col min="15329" max="15329" width="8.7265625" style="2"/>
    <col min="15330" max="15330" width="12.90625" style="2" bestFit="1" customWidth="1"/>
    <col min="15331" max="15331" width="8.7265625" style="2"/>
    <col min="15332" max="15332" width="9.26953125" style="2" bestFit="1" customWidth="1"/>
    <col min="15333" max="15570" width="8.7265625" style="2"/>
    <col min="15571" max="15571" width="4.81640625" style="2" bestFit="1" customWidth="1"/>
    <col min="15572" max="15572" width="35.26953125" style="2" customWidth="1"/>
    <col min="15573" max="15573" width="5.7265625" style="2" customWidth="1"/>
    <col min="15574" max="15574" width="7.26953125" style="2" customWidth="1"/>
    <col min="15575" max="15575" width="8.1796875" style="2" customWidth="1"/>
    <col min="15576" max="15576" width="7.26953125" style="2" customWidth="1"/>
    <col min="15577" max="15577" width="8.1796875" style="2" bestFit="1" customWidth="1"/>
    <col min="15578" max="15578" width="7.26953125" style="2" customWidth="1"/>
    <col min="15579" max="15579" width="7.81640625" style="2" bestFit="1" customWidth="1"/>
    <col min="15580" max="15580" width="6.26953125" style="2" customWidth="1"/>
    <col min="15581" max="15581" width="11.7265625" style="2" customWidth="1"/>
    <col min="15582" max="15582" width="5" style="2" customWidth="1"/>
    <col min="15583" max="15583" width="10.26953125" style="2" customWidth="1"/>
    <col min="15584" max="15584" width="9.1796875" style="2" customWidth="1"/>
    <col min="15585" max="15585" width="8.7265625" style="2"/>
    <col min="15586" max="15586" width="12.90625" style="2" bestFit="1" customWidth="1"/>
    <col min="15587" max="15587" width="8.7265625" style="2"/>
    <col min="15588" max="15588" width="9.26953125" style="2" bestFit="1" customWidth="1"/>
    <col min="15589" max="15826" width="8.7265625" style="2"/>
    <col min="15827" max="15827" width="4.81640625" style="2" bestFit="1" customWidth="1"/>
    <col min="15828" max="15828" width="35.26953125" style="2" customWidth="1"/>
    <col min="15829" max="15829" width="5.7265625" style="2" customWidth="1"/>
    <col min="15830" max="15830" width="7.26953125" style="2" customWidth="1"/>
    <col min="15831" max="15831" width="8.1796875" style="2" customWidth="1"/>
    <col min="15832" max="15832" width="7.26953125" style="2" customWidth="1"/>
    <col min="15833" max="15833" width="8.1796875" style="2" bestFit="1" customWidth="1"/>
    <col min="15834" max="15834" width="7.26953125" style="2" customWidth="1"/>
    <col min="15835" max="15835" width="7.81640625" style="2" bestFit="1" customWidth="1"/>
    <col min="15836" max="15836" width="6.26953125" style="2" customWidth="1"/>
    <col min="15837" max="15837" width="11.7265625" style="2" customWidth="1"/>
    <col min="15838" max="15838" width="5" style="2" customWidth="1"/>
    <col min="15839" max="15839" width="10.26953125" style="2" customWidth="1"/>
    <col min="15840" max="15840" width="9.1796875" style="2" customWidth="1"/>
    <col min="15841" max="15841" width="8.7265625" style="2"/>
    <col min="15842" max="15842" width="12.90625" style="2" bestFit="1" customWidth="1"/>
    <col min="15843" max="15843" width="8.7265625" style="2"/>
    <col min="15844" max="15844" width="9.26953125" style="2" bestFit="1" customWidth="1"/>
    <col min="15845" max="16082" width="8.7265625" style="2"/>
    <col min="16083" max="16083" width="4.81640625" style="2" bestFit="1" customWidth="1"/>
    <col min="16084" max="16084" width="35.26953125" style="2" customWidth="1"/>
    <col min="16085" max="16085" width="5.7265625" style="2" customWidth="1"/>
    <col min="16086" max="16086" width="7.26953125" style="2" customWidth="1"/>
    <col min="16087" max="16087" width="8.1796875" style="2" customWidth="1"/>
    <col min="16088" max="16088" width="7.26953125" style="2" customWidth="1"/>
    <col min="16089" max="16089" width="8.1796875" style="2" bestFit="1" customWidth="1"/>
    <col min="16090" max="16090" width="7.26953125" style="2" customWidth="1"/>
    <col min="16091" max="16091" width="7.81640625" style="2" bestFit="1" customWidth="1"/>
    <col min="16092" max="16092" width="6.26953125" style="2" customWidth="1"/>
    <col min="16093" max="16093" width="11.7265625" style="2" customWidth="1"/>
    <col min="16094" max="16094" width="5" style="2" customWidth="1"/>
    <col min="16095" max="16095" width="10.26953125" style="2" customWidth="1"/>
    <col min="16096" max="16096" width="9.1796875" style="2" customWidth="1"/>
    <col min="16097" max="16097" width="8.7265625" style="2"/>
    <col min="16098" max="16098" width="12.90625" style="2" bestFit="1" customWidth="1"/>
    <col min="16099" max="16099" width="8.7265625" style="2"/>
    <col min="16100" max="16100" width="9.26953125" style="2" bestFit="1" customWidth="1"/>
    <col min="16101" max="16384" width="8.7265625" style="2"/>
  </cols>
  <sheetData>
    <row r="1" spans="1:18" ht="18.75" customHeight="1" x14ac:dyDescent="0.3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8" ht="18.75" customHeight="1" x14ac:dyDescent="0.3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8" ht="18.75" customHeight="1" x14ac:dyDescent="0.3">
      <c r="A3" s="107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</row>
    <row r="4" spans="1:18" ht="18.75" customHeight="1" x14ac:dyDescent="0.35">
      <c r="A4" s="108" t="s">
        <v>3</v>
      </c>
      <c r="B4" s="108"/>
      <c r="C4" s="108"/>
      <c r="D4" s="108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8" ht="18.75" customHeight="1" x14ac:dyDescent="0.3">
      <c r="A5" s="107" t="s">
        <v>4</v>
      </c>
      <c r="B5" s="107"/>
      <c r="C5" s="107"/>
      <c r="D5" s="107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8" ht="32" customHeight="1" x14ac:dyDescent="0.3">
      <c r="A6" s="109" t="s">
        <v>5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8" s="4" customFormat="1" ht="10" customHeight="1" x14ac:dyDescent="0.25">
      <c r="A7" s="3"/>
      <c r="C7" s="3"/>
      <c r="E7" s="3"/>
      <c r="G7" s="3"/>
      <c r="I7" s="3"/>
      <c r="N7" s="5"/>
    </row>
    <row r="8" spans="1:18" s="7" customFormat="1" ht="18.649999999999999" customHeight="1" x14ac:dyDescent="0.35">
      <c r="A8" s="104" t="s">
        <v>6</v>
      </c>
      <c r="B8" s="104" t="s">
        <v>7</v>
      </c>
      <c r="C8" s="104" t="s">
        <v>8</v>
      </c>
      <c r="D8" s="103" t="s">
        <v>9</v>
      </c>
      <c r="E8" s="104" t="s">
        <v>10</v>
      </c>
      <c r="F8" s="104"/>
      <c r="G8" s="104"/>
      <c r="H8" s="104"/>
      <c r="I8" s="104"/>
      <c r="J8" s="104"/>
      <c r="K8" s="105" t="s">
        <v>11</v>
      </c>
      <c r="L8" s="103" t="s">
        <v>12</v>
      </c>
      <c r="M8" s="6" t="s">
        <v>13</v>
      </c>
      <c r="N8" s="104" t="s">
        <v>14</v>
      </c>
    </row>
    <row r="9" spans="1:18" s="7" customFormat="1" ht="18.649999999999999" customHeight="1" x14ac:dyDescent="0.35">
      <c r="A9" s="104"/>
      <c r="B9" s="104"/>
      <c r="C9" s="104"/>
      <c r="D9" s="104"/>
      <c r="E9" s="6" t="s">
        <v>15</v>
      </c>
      <c r="F9" s="6" t="s">
        <v>16</v>
      </c>
      <c r="G9" s="6" t="s">
        <v>15</v>
      </c>
      <c r="H9" s="6" t="s">
        <v>16</v>
      </c>
      <c r="I9" s="6" t="s">
        <v>15</v>
      </c>
      <c r="J9" s="6" t="s">
        <v>16</v>
      </c>
      <c r="K9" s="106"/>
      <c r="L9" s="104"/>
      <c r="M9" s="6" t="s">
        <v>17</v>
      </c>
      <c r="N9" s="104"/>
    </row>
    <row r="10" spans="1:18" s="7" customFormat="1" ht="26.15" customHeight="1" x14ac:dyDescent="0.35">
      <c r="A10" s="6" t="s">
        <v>18</v>
      </c>
      <c r="B10" s="8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9"/>
      <c r="N10" s="6"/>
    </row>
    <row r="11" spans="1:18" s="7" customFormat="1" ht="26.15" customHeight="1" x14ac:dyDescent="0.35">
      <c r="A11" s="6" t="s">
        <v>20</v>
      </c>
      <c r="B11" s="8" t="s">
        <v>21</v>
      </c>
      <c r="C11" s="10" t="s">
        <v>22</v>
      </c>
      <c r="D11" s="11"/>
      <c r="E11" s="11"/>
      <c r="F11" s="11"/>
      <c r="G11" s="11"/>
      <c r="H11" s="11"/>
      <c r="I11" s="11"/>
      <c r="J11" s="11"/>
      <c r="K11" s="11"/>
      <c r="L11" s="12"/>
      <c r="M11" s="9"/>
      <c r="N11" s="6"/>
      <c r="R11" s="7" t="s">
        <v>16</v>
      </c>
    </row>
    <row r="12" spans="1:18" s="7" customFormat="1" ht="26.15" customHeight="1" x14ac:dyDescent="0.35">
      <c r="A12" s="10">
        <v>1</v>
      </c>
      <c r="B12" s="13" t="s">
        <v>23</v>
      </c>
      <c r="C12" s="10" t="s">
        <v>24</v>
      </c>
      <c r="D12" s="14"/>
      <c r="E12" s="14"/>
      <c r="F12" s="14"/>
      <c r="G12" s="14"/>
      <c r="H12" s="14"/>
      <c r="I12" s="14"/>
      <c r="J12" s="14"/>
      <c r="K12" s="15"/>
      <c r="L12" s="16"/>
      <c r="M12" s="17"/>
      <c r="N12" s="6"/>
      <c r="P12" s="7">
        <v>1</v>
      </c>
      <c r="Q12" s="18" t="s">
        <v>25</v>
      </c>
      <c r="R12" s="19">
        <f>+K27+K33+K37+K40+K48+K58</f>
        <v>562</v>
      </c>
    </row>
    <row r="13" spans="1:18" s="7" customFormat="1" ht="26.15" customHeight="1" x14ac:dyDescent="0.35">
      <c r="A13" s="6" t="s">
        <v>26</v>
      </c>
      <c r="B13" s="8" t="s">
        <v>27</v>
      </c>
      <c r="C13" s="6"/>
      <c r="D13" s="11"/>
      <c r="E13" s="11"/>
      <c r="F13" s="11"/>
      <c r="G13" s="11"/>
      <c r="H13" s="11"/>
      <c r="I13" s="11" t="s">
        <v>28</v>
      </c>
      <c r="J13" s="11"/>
      <c r="K13" s="11"/>
      <c r="L13" s="12"/>
      <c r="M13" s="9"/>
      <c r="N13" s="6"/>
      <c r="P13" s="7">
        <v>2</v>
      </c>
      <c r="Q13" s="18" t="s">
        <v>29</v>
      </c>
      <c r="R13" s="20" t="e">
        <f>+#REF!+#REF!+#REF!+#REF!</f>
        <v>#REF!</v>
      </c>
    </row>
    <row r="14" spans="1:18" s="7" customFormat="1" ht="26.15" customHeight="1" x14ac:dyDescent="0.35">
      <c r="A14" s="10">
        <v>1</v>
      </c>
      <c r="B14" s="13" t="s">
        <v>30</v>
      </c>
      <c r="C14" s="10" t="s">
        <v>31</v>
      </c>
      <c r="D14" s="102"/>
      <c r="E14" s="102"/>
      <c r="F14" s="102"/>
      <c r="G14" s="102"/>
      <c r="H14" s="102"/>
      <c r="I14" s="102"/>
      <c r="J14" s="102"/>
      <c r="K14" s="15"/>
      <c r="L14" s="16"/>
      <c r="M14" s="17"/>
      <c r="N14" s="6"/>
      <c r="P14" s="7">
        <v>3</v>
      </c>
      <c r="Q14" s="18" t="s">
        <v>32</v>
      </c>
      <c r="R14" s="20" t="e">
        <f>K28+#REF!</f>
        <v>#REF!</v>
      </c>
    </row>
    <row r="15" spans="1:18" s="7" customFormat="1" ht="26.15" customHeight="1" x14ac:dyDescent="0.35">
      <c r="A15" s="10">
        <v>2</v>
      </c>
      <c r="B15" s="13" t="s">
        <v>33</v>
      </c>
      <c r="C15" s="10" t="s">
        <v>31</v>
      </c>
      <c r="D15" s="102"/>
      <c r="E15" s="102"/>
      <c r="F15" s="102"/>
      <c r="G15" s="102"/>
      <c r="H15" s="102"/>
      <c r="I15" s="102"/>
      <c r="J15" s="102"/>
      <c r="K15" s="15"/>
      <c r="L15" s="16"/>
      <c r="M15" s="17"/>
      <c r="N15" s="6"/>
    </row>
    <row r="16" spans="1:18" s="7" customFormat="1" ht="26.15" customHeight="1" x14ac:dyDescent="0.35">
      <c r="A16" s="10">
        <v>3</v>
      </c>
      <c r="B16" s="13" t="s">
        <v>34</v>
      </c>
      <c r="C16" s="10" t="s">
        <v>31</v>
      </c>
      <c r="D16" s="102"/>
      <c r="E16" s="102"/>
      <c r="F16" s="102"/>
      <c r="G16" s="102"/>
      <c r="H16" s="102"/>
      <c r="I16" s="102"/>
      <c r="J16" s="102"/>
      <c r="K16" s="15"/>
      <c r="L16" s="16"/>
      <c r="M16" s="17"/>
      <c r="N16" s="6"/>
    </row>
    <row r="17" spans="1:17" s="7" customFormat="1" ht="26.15" customHeight="1" x14ac:dyDescent="0.35">
      <c r="A17" s="10">
        <v>4</v>
      </c>
      <c r="B17" s="13" t="s">
        <v>35</v>
      </c>
      <c r="C17" s="10" t="s">
        <v>31</v>
      </c>
      <c r="D17" s="102"/>
      <c r="E17" s="102"/>
      <c r="F17" s="102"/>
      <c r="G17" s="102"/>
      <c r="H17" s="102"/>
      <c r="I17" s="102"/>
      <c r="J17" s="102"/>
      <c r="K17" s="15"/>
      <c r="L17" s="16"/>
      <c r="M17" s="17"/>
      <c r="N17" s="6"/>
    </row>
    <row r="18" spans="1:17" s="7" customFormat="1" ht="26.15" customHeight="1" x14ac:dyDescent="0.35">
      <c r="A18" s="10">
        <v>5</v>
      </c>
      <c r="B18" s="13" t="s">
        <v>36</v>
      </c>
      <c r="C18" s="10" t="s">
        <v>31</v>
      </c>
      <c r="D18" s="102"/>
      <c r="E18" s="102"/>
      <c r="F18" s="102"/>
      <c r="G18" s="102"/>
      <c r="H18" s="102"/>
      <c r="I18" s="102"/>
      <c r="J18" s="102"/>
      <c r="K18" s="15"/>
      <c r="L18" s="16"/>
      <c r="M18" s="17"/>
      <c r="N18" s="6"/>
    </row>
    <row r="19" spans="1:17" s="7" customFormat="1" ht="26.15" customHeight="1" x14ac:dyDescent="0.35">
      <c r="A19" s="10">
        <v>6</v>
      </c>
      <c r="B19" s="13" t="s">
        <v>37</v>
      </c>
      <c r="C19" s="10" t="s">
        <v>31</v>
      </c>
      <c r="D19" s="102"/>
      <c r="E19" s="102"/>
      <c r="F19" s="102"/>
      <c r="G19" s="102"/>
      <c r="H19" s="102"/>
      <c r="I19" s="102"/>
      <c r="J19" s="102"/>
      <c r="K19" s="15"/>
      <c r="L19" s="16"/>
      <c r="M19" s="17"/>
      <c r="N19" s="6"/>
    </row>
    <row r="20" spans="1:17" s="7" customFormat="1" ht="26.15" customHeight="1" x14ac:dyDescent="0.35">
      <c r="A20" s="10">
        <v>7</v>
      </c>
      <c r="B20" s="13" t="s">
        <v>38</v>
      </c>
      <c r="C20" s="10" t="s">
        <v>31</v>
      </c>
      <c r="D20" s="102"/>
      <c r="E20" s="102"/>
      <c r="F20" s="102"/>
      <c r="G20" s="102"/>
      <c r="H20" s="102"/>
      <c r="I20" s="102"/>
      <c r="J20" s="102"/>
      <c r="K20" s="15"/>
      <c r="L20" s="16"/>
      <c r="M20" s="17"/>
      <c r="N20" s="6"/>
    </row>
    <row r="21" spans="1:17" s="7" customFormat="1" ht="26.15" hidden="1" customHeight="1" x14ac:dyDescent="0.35">
      <c r="A21" s="10">
        <v>8</v>
      </c>
      <c r="B21" s="13" t="s">
        <v>39</v>
      </c>
      <c r="C21" s="10" t="s">
        <v>31</v>
      </c>
      <c r="D21" s="102"/>
      <c r="E21" s="102"/>
      <c r="F21" s="102"/>
      <c r="G21" s="102"/>
      <c r="H21" s="102"/>
      <c r="I21" s="102"/>
      <c r="J21" s="102"/>
      <c r="K21" s="15"/>
      <c r="L21" s="16"/>
      <c r="M21" s="17"/>
      <c r="N21" s="6"/>
    </row>
    <row r="22" spans="1:17" s="7" customFormat="1" ht="26.15" hidden="1" customHeight="1" x14ac:dyDescent="0.35">
      <c r="A22" s="10">
        <v>9</v>
      </c>
      <c r="B22" s="13" t="s">
        <v>40</v>
      </c>
      <c r="C22" s="10" t="s">
        <v>31</v>
      </c>
      <c r="D22" s="102"/>
      <c r="E22" s="102"/>
      <c r="F22" s="102"/>
      <c r="G22" s="102"/>
      <c r="H22" s="102"/>
      <c r="I22" s="102"/>
      <c r="J22" s="102"/>
      <c r="K22" s="15"/>
      <c r="L22" s="16"/>
      <c r="M22" s="17"/>
      <c r="N22" s="6"/>
      <c r="P22" s="21"/>
      <c r="Q22" s="7" t="s">
        <v>41</v>
      </c>
    </row>
    <row r="23" spans="1:17" s="29" customFormat="1" ht="26.15" customHeight="1" x14ac:dyDescent="0.35">
      <c r="A23" s="22" t="s">
        <v>42</v>
      </c>
      <c r="B23" s="23" t="s">
        <v>43</v>
      </c>
      <c r="C23" s="24"/>
      <c r="D23" s="25"/>
      <c r="E23" s="25"/>
      <c r="F23" s="25"/>
      <c r="G23" s="25"/>
      <c r="H23" s="25"/>
      <c r="I23" s="25"/>
      <c r="J23" s="25"/>
      <c r="K23" s="26"/>
      <c r="L23" s="24"/>
      <c r="M23" s="27">
        <f>M26+M32+M36+M39+M47+M57+M24</f>
        <v>3304.02</v>
      </c>
      <c r="N23" s="28"/>
    </row>
    <row r="24" spans="1:17" s="30" customFormat="1" ht="26.15" customHeight="1" x14ac:dyDescent="0.35">
      <c r="A24" s="22">
        <v>1</v>
      </c>
      <c r="B24" s="23" t="s">
        <v>44</v>
      </c>
      <c r="C24" s="24"/>
      <c r="D24" s="25"/>
      <c r="E24" s="25"/>
      <c r="F24" s="25"/>
      <c r="G24" s="25"/>
      <c r="H24" s="25"/>
      <c r="I24" s="25"/>
      <c r="J24" s="25"/>
      <c r="K24" s="26"/>
      <c r="L24" s="24"/>
      <c r="M24" s="27">
        <f>SUM(M25)</f>
        <v>1.6</v>
      </c>
      <c r="N24" s="28"/>
    </row>
    <row r="25" spans="1:17" s="30" customFormat="1" ht="26.15" customHeight="1" x14ac:dyDescent="0.35">
      <c r="A25" s="16" t="s">
        <v>45</v>
      </c>
      <c r="B25" s="31" t="s">
        <v>46</v>
      </c>
      <c r="C25" s="16" t="s">
        <v>47</v>
      </c>
      <c r="D25" s="32">
        <f>1.25</f>
        <v>1.25</v>
      </c>
      <c r="E25" s="25"/>
      <c r="F25" s="25"/>
      <c r="G25" s="25"/>
      <c r="H25" s="25"/>
      <c r="I25" s="25"/>
      <c r="J25" s="25"/>
      <c r="K25" s="26">
        <v>2</v>
      </c>
      <c r="L25" s="24">
        <v>1</v>
      </c>
      <c r="M25" s="33">
        <f t="shared" ref="M25" si="0">K25/D25</f>
        <v>1.6</v>
      </c>
      <c r="N25" s="28"/>
    </row>
    <row r="26" spans="1:17" s="30" customFormat="1" ht="26.15" customHeight="1" x14ac:dyDescent="0.35">
      <c r="A26" s="6">
        <v>2</v>
      </c>
      <c r="B26" s="8" t="s">
        <v>48</v>
      </c>
      <c r="C26" s="10"/>
      <c r="D26" s="16"/>
      <c r="E26" s="34"/>
      <c r="F26" s="34"/>
      <c r="G26" s="35"/>
      <c r="H26" s="32" t="s">
        <v>49</v>
      </c>
      <c r="I26" s="35"/>
      <c r="J26" s="32" t="s">
        <v>50</v>
      </c>
      <c r="K26" s="15"/>
      <c r="L26" s="16"/>
      <c r="M26" s="9">
        <f>SUM(M27:M31)</f>
        <v>1145.6400000000001</v>
      </c>
      <c r="N26" s="13"/>
    </row>
    <row r="27" spans="1:17" s="30" customFormat="1" ht="26.15" customHeight="1" x14ac:dyDescent="0.35">
      <c r="A27" s="16" t="s">
        <v>51</v>
      </c>
      <c r="B27" s="31" t="s">
        <v>46</v>
      </c>
      <c r="C27" s="16" t="s">
        <v>47</v>
      </c>
      <c r="D27" s="32">
        <f>1.25</f>
        <v>1.25</v>
      </c>
      <c r="E27" s="36"/>
      <c r="F27" s="36"/>
      <c r="G27" s="36"/>
      <c r="H27" s="36"/>
      <c r="I27" s="36"/>
      <c r="J27" s="36"/>
      <c r="K27" s="26">
        <v>168</v>
      </c>
      <c r="L27" s="24">
        <v>1</v>
      </c>
      <c r="M27" s="33">
        <f t="shared" ref="M27" si="1">K27/D27</f>
        <v>134.4</v>
      </c>
      <c r="N27" s="28"/>
    </row>
    <row r="28" spans="1:17" s="43" customFormat="1" ht="26.15" customHeight="1" x14ac:dyDescent="0.35">
      <c r="A28" s="37" t="s">
        <v>52</v>
      </c>
      <c r="B28" s="38" t="s">
        <v>53</v>
      </c>
      <c r="C28" s="37" t="s">
        <v>54</v>
      </c>
      <c r="D28" s="39">
        <f>1/16</f>
        <v>6.25E-2</v>
      </c>
      <c r="E28" s="40" t="s">
        <v>55</v>
      </c>
      <c r="F28" s="39">
        <v>7.01</v>
      </c>
      <c r="G28" s="40" t="s">
        <v>56</v>
      </c>
      <c r="H28" s="39">
        <v>11.94</v>
      </c>
      <c r="I28" s="39"/>
      <c r="J28" s="39"/>
      <c r="K28" s="41">
        <f>SUM(E28:J29)</f>
        <v>34.56</v>
      </c>
      <c r="L28" s="37">
        <v>1</v>
      </c>
      <c r="M28" s="41">
        <f>ROUND(K28/D28*L28,2)</f>
        <v>552.96</v>
      </c>
      <c r="N28" s="42"/>
      <c r="P28" s="44"/>
    </row>
    <row r="29" spans="1:17" s="43" customFormat="1" ht="26.15" customHeight="1" x14ac:dyDescent="0.35">
      <c r="A29" s="37"/>
      <c r="B29" s="38"/>
      <c r="C29" s="37"/>
      <c r="D29" s="39"/>
      <c r="E29" s="40" t="s">
        <v>57</v>
      </c>
      <c r="F29" s="39">
        <v>9.7200000000000006</v>
      </c>
      <c r="G29" s="40" t="s">
        <v>58</v>
      </c>
      <c r="H29" s="39">
        <v>5.89</v>
      </c>
      <c r="I29" s="39"/>
      <c r="J29" s="39"/>
      <c r="K29" s="41"/>
      <c r="L29" s="37"/>
      <c r="M29" s="41"/>
      <c r="N29" s="42"/>
      <c r="P29" s="44"/>
    </row>
    <row r="30" spans="1:17" s="45" customFormat="1" ht="26.15" customHeight="1" x14ac:dyDescent="0.35">
      <c r="A30" s="37" t="s">
        <v>59</v>
      </c>
      <c r="B30" s="38" t="s">
        <v>53</v>
      </c>
      <c r="C30" s="37" t="s">
        <v>54</v>
      </c>
      <c r="D30" s="39">
        <f>1/12</f>
        <v>8.3333333333333329E-2</v>
      </c>
      <c r="E30" s="40" t="s">
        <v>60</v>
      </c>
      <c r="F30" s="39">
        <v>9.2799999999999994</v>
      </c>
      <c r="G30" s="40" t="s">
        <v>61</v>
      </c>
      <c r="H30" s="39">
        <v>8.2899999999999991</v>
      </c>
      <c r="I30" s="40" t="s">
        <v>62</v>
      </c>
      <c r="J30" s="39">
        <v>14.22</v>
      </c>
      <c r="K30" s="41">
        <f>SUM(E30:J30)</f>
        <v>31.79</v>
      </c>
      <c r="L30" s="37">
        <v>1</v>
      </c>
      <c r="M30" s="41">
        <f>ROUND(K30/D30*L30,2)</f>
        <v>381.48</v>
      </c>
      <c r="N30" s="42"/>
      <c r="P30" s="46"/>
    </row>
    <row r="31" spans="1:17" s="45" customFormat="1" ht="26.15" customHeight="1" x14ac:dyDescent="0.35">
      <c r="A31" s="37" t="s">
        <v>63</v>
      </c>
      <c r="B31" s="31" t="s">
        <v>64</v>
      </c>
      <c r="C31" s="16" t="s">
        <v>47</v>
      </c>
      <c r="D31" s="32">
        <f>1.25</f>
        <v>1.25</v>
      </c>
      <c r="E31" s="40"/>
      <c r="F31" s="39"/>
      <c r="G31" s="40"/>
      <c r="H31" s="39"/>
      <c r="I31" s="40"/>
      <c r="J31" s="39"/>
      <c r="K31" s="41">
        <v>96</v>
      </c>
      <c r="L31" s="37">
        <v>1</v>
      </c>
      <c r="M31" s="41">
        <f>ROUND(K31/D31*L31,2)</f>
        <v>76.8</v>
      </c>
      <c r="N31" s="42"/>
      <c r="P31" s="46"/>
    </row>
    <row r="32" spans="1:17" s="30" customFormat="1" ht="26.15" customHeight="1" x14ac:dyDescent="0.35">
      <c r="A32" s="6">
        <v>3</v>
      </c>
      <c r="B32" s="8" t="s">
        <v>65</v>
      </c>
      <c r="C32" s="10"/>
      <c r="D32" s="16"/>
      <c r="E32" s="34"/>
      <c r="F32" s="34"/>
      <c r="G32" s="35"/>
      <c r="H32" s="32"/>
      <c r="I32" s="35"/>
      <c r="J32" s="32"/>
      <c r="K32" s="15"/>
      <c r="L32" s="16"/>
      <c r="M32" s="9">
        <f>SUM(M33:M35)</f>
        <v>176.60000000000002</v>
      </c>
      <c r="N32" s="13"/>
    </row>
    <row r="33" spans="1:21" s="30" customFormat="1" ht="26.15" customHeight="1" x14ac:dyDescent="0.35">
      <c r="A33" s="16" t="s">
        <v>66</v>
      </c>
      <c r="B33" s="31" t="s">
        <v>46</v>
      </c>
      <c r="C33" s="16" t="s">
        <v>47</v>
      </c>
      <c r="D33" s="32">
        <f>1.25</f>
        <v>1.25</v>
      </c>
      <c r="E33" s="36"/>
      <c r="F33" s="36"/>
      <c r="G33" s="36"/>
      <c r="H33" s="36"/>
      <c r="I33" s="36"/>
      <c r="J33" s="36"/>
      <c r="K33" s="26">
        <v>36</v>
      </c>
      <c r="L33" s="24">
        <v>1</v>
      </c>
      <c r="M33" s="33">
        <f t="shared" ref="M33" si="2">K33/D33</f>
        <v>28.8</v>
      </c>
      <c r="N33" s="28"/>
    </row>
    <row r="34" spans="1:21" s="30" customFormat="1" ht="26.15" customHeight="1" x14ac:dyDescent="0.35">
      <c r="A34" s="16" t="s">
        <v>67</v>
      </c>
      <c r="B34" s="31" t="s">
        <v>68</v>
      </c>
      <c r="C34" s="37" t="s">
        <v>54</v>
      </c>
      <c r="D34" s="39">
        <f>1/4.8</f>
        <v>0.20833333333333334</v>
      </c>
      <c r="E34" s="36" t="s">
        <v>69</v>
      </c>
      <c r="F34" s="36">
        <f>18.92*40%</f>
        <v>7.5680000000000014</v>
      </c>
      <c r="G34" s="36" t="s">
        <v>70</v>
      </c>
      <c r="H34" s="36">
        <f>16.35*40%</f>
        <v>6.5400000000000009</v>
      </c>
      <c r="I34" s="36" t="s">
        <v>71</v>
      </c>
      <c r="J34" s="36">
        <f>26.71*40%</f>
        <v>10.684000000000001</v>
      </c>
      <c r="K34" s="47">
        <f>SUM(E34:J34)</f>
        <v>24.792000000000002</v>
      </c>
      <c r="L34" s="24">
        <v>1</v>
      </c>
      <c r="M34" s="41">
        <f>ROUND(K34/D34*L34,2)</f>
        <v>119</v>
      </c>
      <c r="N34" s="28"/>
    </row>
    <row r="35" spans="1:21" s="30" customFormat="1" ht="26.15" customHeight="1" x14ac:dyDescent="0.35">
      <c r="A35" s="16" t="s">
        <v>72</v>
      </c>
      <c r="B35" s="31" t="s">
        <v>64</v>
      </c>
      <c r="C35" s="16" t="s">
        <v>47</v>
      </c>
      <c r="D35" s="32">
        <f>1.25</f>
        <v>1.25</v>
      </c>
      <c r="E35" s="36"/>
      <c r="F35" s="36"/>
      <c r="G35" s="36"/>
      <c r="H35" s="36"/>
      <c r="I35" s="36"/>
      <c r="J35" s="36"/>
      <c r="K35" s="26">
        <v>36</v>
      </c>
      <c r="L35" s="24">
        <v>1</v>
      </c>
      <c r="M35" s="41">
        <f>ROUND(K35/D35*L35,2)</f>
        <v>28.8</v>
      </c>
      <c r="N35" s="28"/>
    </row>
    <row r="36" spans="1:21" s="30" customFormat="1" ht="26.15" customHeight="1" x14ac:dyDescent="0.35">
      <c r="A36" s="6">
        <v>4</v>
      </c>
      <c r="B36" s="8" t="s">
        <v>73</v>
      </c>
      <c r="C36" s="10"/>
      <c r="D36" s="16"/>
      <c r="E36" s="34"/>
      <c r="F36" s="34"/>
      <c r="G36" s="35"/>
      <c r="H36" s="32"/>
      <c r="I36" s="35"/>
      <c r="J36" s="32"/>
      <c r="K36" s="15"/>
      <c r="L36" s="16"/>
      <c r="M36" s="9">
        <f>SUM(M37:M38)</f>
        <v>73.599999999999994</v>
      </c>
      <c r="N36" s="13"/>
      <c r="R36" s="48"/>
      <c r="S36" s="48"/>
      <c r="T36" s="49"/>
      <c r="U36" s="49"/>
    </row>
    <row r="37" spans="1:21" s="30" customFormat="1" ht="26.15" customHeight="1" x14ac:dyDescent="0.35">
      <c r="A37" s="16" t="s">
        <v>74</v>
      </c>
      <c r="B37" s="31" t="s">
        <v>46</v>
      </c>
      <c r="C37" s="16" t="s">
        <v>47</v>
      </c>
      <c r="D37" s="32">
        <f>1.25</f>
        <v>1.25</v>
      </c>
      <c r="E37" s="36"/>
      <c r="F37" s="36"/>
      <c r="G37" s="36"/>
      <c r="H37" s="36"/>
      <c r="I37" s="36"/>
      <c r="J37" s="36"/>
      <c r="K37" s="26">
        <v>46</v>
      </c>
      <c r="L37" s="24">
        <v>1</v>
      </c>
      <c r="M37" s="33">
        <f t="shared" ref="M37:M38" si="3">K37/D37</f>
        <v>36.799999999999997</v>
      </c>
      <c r="N37" s="28"/>
      <c r="T37" s="49"/>
      <c r="U37" s="49"/>
    </row>
    <row r="38" spans="1:21" s="30" customFormat="1" ht="26.15" customHeight="1" x14ac:dyDescent="0.35">
      <c r="A38" s="16" t="s">
        <v>75</v>
      </c>
      <c r="B38" s="31" t="s">
        <v>64</v>
      </c>
      <c r="C38" s="16" t="s">
        <v>47</v>
      </c>
      <c r="D38" s="32">
        <f>1.25</f>
        <v>1.25</v>
      </c>
      <c r="E38" s="36"/>
      <c r="F38" s="36"/>
      <c r="G38" s="36"/>
      <c r="H38" s="36"/>
      <c r="I38" s="36"/>
      <c r="J38" s="36"/>
      <c r="K38" s="26">
        <v>46</v>
      </c>
      <c r="L38" s="24">
        <v>1</v>
      </c>
      <c r="M38" s="33">
        <f t="shared" si="3"/>
        <v>36.799999999999997</v>
      </c>
      <c r="N38" s="28"/>
      <c r="T38" s="49"/>
      <c r="U38" s="49"/>
    </row>
    <row r="39" spans="1:21" s="30" customFormat="1" ht="26.15" customHeight="1" x14ac:dyDescent="0.35">
      <c r="A39" s="6">
        <v>5</v>
      </c>
      <c r="B39" s="8" t="s">
        <v>76</v>
      </c>
      <c r="C39" s="10"/>
      <c r="D39" s="16"/>
      <c r="E39" s="34"/>
      <c r="F39" s="34"/>
      <c r="G39" s="35"/>
      <c r="H39" s="32"/>
      <c r="I39" s="35"/>
      <c r="J39" s="32"/>
      <c r="K39" s="15"/>
      <c r="L39" s="16"/>
      <c r="M39" s="9">
        <f>SUM(M40:M46)</f>
        <v>761.14</v>
      </c>
      <c r="N39" s="13"/>
      <c r="P39" s="48"/>
      <c r="Q39" s="48"/>
    </row>
    <row r="40" spans="1:21" s="30" customFormat="1" ht="26.15" customHeight="1" x14ac:dyDescent="0.35">
      <c r="A40" s="16" t="s">
        <v>77</v>
      </c>
      <c r="B40" s="31" t="s">
        <v>46</v>
      </c>
      <c r="C40" s="16" t="s">
        <v>47</v>
      </c>
      <c r="D40" s="32">
        <f>1.25</f>
        <v>1.25</v>
      </c>
      <c r="E40" s="36"/>
      <c r="F40" s="36"/>
      <c r="G40" s="36"/>
      <c r="H40" s="36"/>
      <c r="I40" s="36"/>
      <c r="J40" s="36"/>
      <c r="K40" s="26">
        <v>126</v>
      </c>
      <c r="L40" s="24">
        <v>1</v>
      </c>
      <c r="M40" s="33">
        <f t="shared" ref="M40" si="4">K40/D40</f>
        <v>100.8</v>
      </c>
      <c r="N40" s="28"/>
    </row>
    <row r="41" spans="1:21" s="51" customFormat="1" ht="26.15" customHeight="1" x14ac:dyDescent="0.35">
      <c r="A41" s="37" t="s">
        <v>78</v>
      </c>
      <c r="B41" s="38" t="s">
        <v>79</v>
      </c>
      <c r="C41" s="37" t="s">
        <v>54</v>
      </c>
      <c r="D41" s="39">
        <f>1/12</f>
        <v>8.3333333333333329E-2</v>
      </c>
      <c r="E41" s="39" t="s">
        <v>80</v>
      </c>
      <c r="F41" s="39">
        <v>14.68</v>
      </c>
      <c r="G41" s="50" t="s">
        <v>81</v>
      </c>
      <c r="H41" s="39">
        <v>5.28</v>
      </c>
      <c r="I41" s="39"/>
      <c r="J41" s="39"/>
      <c r="K41" s="41">
        <f>SUM(E41:J42)</f>
        <v>36.840000000000003</v>
      </c>
      <c r="L41" s="37">
        <v>1</v>
      </c>
      <c r="M41" s="41">
        <f>ROUND(K41/D41*L41,2)</f>
        <v>442.08</v>
      </c>
      <c r="N41" s="42"/>
    </row>
    <row r="42" spans="1:21" s="51" customFormat="1" ht="26.15" customHeight="1" x14ac:dyDescent="0.35">
      <c r="A42" s="37"/>
      <c r="B42" s="38"/>
      <c r="C42" s="37"/>
      <c r="D42" s="52"/>
      <c r="E42" s="50" t="s">
        <v>82</v>
      </c>
      <c r="F42" s="39">
        <v>9.48</v>
      </c>
      <c r="G42" s="52" t="s">
        <v>83</v>
      </c>
      <c r="H42" s="39">
        <v>7.4</v>
      </c>
      <c r="I42" s="52"/>
      <c r="J42" s="39"/>
      <c r="K42" s="41"/>
      <c r="L42" s="37"/>
      <c r="M42" s="41"/>
      <c r="N42" s="42"/>
      <c r="Q42" s="51">
        <f>312/3</f>
        <v>104</v>
      </c>
    </row>
    <row r="43" spans="1:21" s="51" customFormat="1" ht="26.15" customHeight="1" x14ac:dyDescent="0.35">
      <c r="A43" s="37" t="s">
        <v>84</v>
      </c>
      <c r="B43" s="38" t="s">
        <v>85</v>
      </c>
      <c r="C43" s="37" t="s">
        <v>54</v>
      </c>
      <c r="D43" s="39">
        <f>1/4.8</f>
        <v>0.20833333333333334</v>
      </c>
      <c r="E43" s="40" t="s">
        <v>86</v>
      </c>
      <c r="F43" s="39">
        <f>11.96/2</f>
        <v>5.98</v>
      </c>
      <c r="G43" s="39" t="s">
        <v>87</v>
      </c>
      <c r="H43" s="39">
        <f>3.76/2</f>
        <v>1.88</v>
      </c>
      <c r="I43" s="39" t="s">
        <v>88</v>
      </c>
      <c r="J43" s="39">
        <f>11.12/2</f>
        <v>5.56</v>
      </c>
      <c r="K43" s="41">
        <f>SUM(E43:J44)</f>
        <v>23.72</v>
      </c>
      <c r="L43" s="37">
        <v>1</v>
      </c>
      <c r="M43" s="41">
        <f>ROUND(K43/D43*L43,2)</f>
        <v>113.86</v>
      </c>
      <c r="N43" s="42"/>
      <c r="P43" s="51">
        <f>15.14/D43</f>
        <v>72.671999999999997</v>
      </c>
    </row>
    <row r="44" spans="1:21" s="51" customFormat="1" ht="26.15" customHeight="1" x14ac:dyDescent="0.35">
      <c r="A44" s="37"/>
      <c r="B44" s="38"/>
      <c r="C44" s="37"/>
      <c r="D44" s="52"/>
      <c r="E44" s="40" t="s">
        <v>89</v>
      </c>
      <c r="F44" s="39">
        <f>5.24/2</f>
        <v>2.62</v>
      </c>
      <c r="G44" s="39" t="s">
        <v>90</v>
      </c>
      <c r="H44" s="39">
        <f>15.36/2</f>
        <v>7.68</v>
      </c>
      <c r="I44" s="39"/>
      <c r="J44" s="39"/>
      <c r="K44" s="41"/>
      <c r="L44" s="37"/>
      <c r="M44" s="41"/>
      <c r="N44" s="42"/>
    </row>
    <row r="45" spans="1:21" s="51" customFormat="1" ht="26.15" customHeight="1" x14ac:dyDescent="0.35">
      <c r="A45" s="37" t="s">
        <v>91</v>
      </c>
      <c r="B45" s="38" t="s">
        <v>92</v>
      </c>
      <c r="C45" s="37" t="s">
        <v>54</v>
      </c>
      <c r="D45" s="39">
        <f>1/4.8</f>
        <v>0.20833333333333334</v>
      </c>
      <c r="E45" s="50" t="s">
        <v>93</v>
      </c>
      <c r="F45" s="39">
        <v>0.75</v>
      </c>
      <c r="G45" s="52"/>
      <c r="H45" s="39"/>
      <c r="I45" s="39"/>
      <c r="J45" s="36"/>
      <c r="K45" s="47">
        <f>SUM(E45:J45)</f>
        <v>0.75</v>
      </c>
      <c r="L45" s="24">
        <v>1</v>
      </c>
      <c r="M45" s="33">
        <f>ROUND(K45/D45*L45,3)</f>
        <v>3.6</v>
      </c>
      <c r="N45" s="42"/>
    </row>
    <row r="46" spans="1:21" s="51" customFormat="1" ht="26.15" customHeight="1" x14ac:dyDescent="0.35">
      <c r="A46" s="37" t="s">
        <v>94</v>
      </c>
      <c r="B46" s="38" t="s">
        <v>64</v>
      </c>
      <c r="C46" s="37" t="s">
        <v>95</v>
      </c>
      <c r="D46" s="32">
        <f>1.25</f>
        <v>1.25</v>
      </c>
      <c r="E46" s="39"/>
      <c r="F46" s="39"/>
      <c r="G46" s="39"/>
      <c r="H46" s="39"/>
      <c r="I46" s="39"/>
      <c r="J46" s="39"/>
      <c r="K46" s="53">
        <v>126</v>
      </c>
      <c r="L46" s="37">
        <v>1</v>
      </c>
      <c r="M46" s="33">
        <f>ROUND(K46/D46*L46,2)</f>
        <v>100.8</v>
      </c>
      <c r="N46" s="42"/>
    </row>
    <row r="47" spans="1:21" s="30" customFormat="1" ht="26.15" customHeight="1" x14ac:dyDescent="0.35">
      <c r="A47" s="22">
        <v>6</v>
      </c>
      <c r="B47" s="8" t="s">
        <v>96</v>
      </c>
      <c r="C47" s="24"/>
      <c r="D47" s="25"/>
      <c r="E47" s="36"/>
      <c r="F47" s="36"/>
      <c r="G47" s="36"/>
      <c r="H47" s="36"/>
      <c r="I47" s="36"/>
      <c r="J47" s="36"/>
      <c r="K47" s="26"/>
      <c r="L47" s="24"/>
      <c r="M47" s="27">
        <f>SUM(M48:M56)</f>
        <v>1068.6400000000001</v>
      </c>
      <c r="N47" s="28"/>
    </row>
    <row r="48" spans="1:21" s="30" customFormat="1" ht="26.15" customHeight="1" x14ac:dyDescent="0.35">
      <c r="A48" s="16" t="s">
        <v>97</v>
      </c>
      <c r="B48" s="31" t="s">
        <v>46</v>
      </c>
      <c r="C48" s="16" t="s">
        <v>47</v>
      </c>
      <c r="D48" s="32">
        <f>1.25</f>
        <v>1.25</v>
      </c>
      <c r="E48" s="36"/>
      <c r="F48" s="36"/>
      <c r="G48" s="36"/>
      <c r="H48" s="36"/>
      <c r="I48" s="36"/>
      <c r="J48" s="36"/>
      <c r="K48" s="26">
        <v>138</v>
      </c>
      <c r="L48" s="24">
        <v>1</v>
      </c>
      <c r="M48" s="33">
        <f>K48/D48</f>
        <v>110.4</v>
      </c>
      <c r="N48" s="28"/>
    </row>
    <row r="49" spans="1:213" s="48" customFormat="1" ht="26.15" customHeight="1" x14ac:dyDescent="0.35">
      <c r="A49" s="37" t="s">
        <v>98</v>
      </c>
      <c r="B49" s="38" t="s">
        <v>79</v>
      </c>
      <c r="C49" s="37" t="s">
        <v>54</v>
      </c>
      <c r="D49" s="39">
        <f>1/16</f>
        <v>6.25E-2</v>
      </c>
      <c r="E49" s="40" t="s">
        <v>99</v>
      </c>
      <c r="F49" s="39">
        <v>18.260000000000002</v>
      </c>
      <c r="G49" s="37" t="s">
        <v>100</v>
      </c>
      <c r="H49" s="37">
        <v>6.15</v>
      </c>
      <c r="I49" s="40" t="s">
        <v>101</v>
      </c>
      <c r="J49" s="39">
        <v>10.55</v>
      </c>
      <c r="K49" s="41">
        <f>SUM(E49:J49)</f>
        <v>34.960000000000008</v>
      </c>
      <c r="L49" s="37">
        <v>1</v>
      </c>
      <c r="M49" s="41">
        <f>ROUND(K49/D49*L49,2)</f>
        <v>559.36</v>
      </c>
      <c r="N49" s="42"/>
      <c r="P49" s="54"/>
    </row>
    <row r="50" spans="1:213" s="43" customFormat="1" ht="26.15" customHeight="1" x14ac:dyDescent="0.35">
      <c r="A50" s="37" t="s">
        <v>102</v>
      </c>
      <c r="B50" s="38" t="s">
        <v>103</v>
      </c>
      <c r="C50" s="37" t="s">
        <v>54</v>
      </c>
      <c r="D50" s="39">
        <f>1/4.8</f>
        <v>0.20833333333333334</v>
      </c>
      <c r="E50" s="39" t="s">
        <v>104</v>
      </c>
      <c r="F50" s="39">
        <f>15.14</f>
        <v>15.14</v>
      </c>
      <c r="G50" s="39"/>
      <c r="H50" s="39"/>
      <c r="I50" s="39"/>
      <c r="J50" s="39"/>
      <c r="K50" s="41">
        <f>SUM(E50:J50)</f>
        <v>15.14</v>
      </c>
      <c r="L50" s="37">
        <v>1</v>
      </c>
      <c r="M50" s="41">
        <f>ROUND(K50/D50*L50,2)</f>
        <v>72.67</v>
      </c>
      <c r="N50" s="42"/>
      <c r="P50" s="55"/>
    </row>
    <row r="51" spans="1:213" s="43" customFormat="1" ht="26.15" customHeight="1" x14ac:dyDescent="0.35">
      <c r="A51" s="37" t="s">
        <v>105</v>
      </c>
      <c r="B51" s="38" t="s">
        <v>92</v>
      </c>
      <c r="C51" s="37" t="s">
        <v>54</v>
      </c>
      <c r="D51" s="39">
        <v>0.20833333333333334</v>
      </c>
      <c r="E51" s="39" t="s">
        <v>106</v>
      </c>
      <c r="F51" s="39">
        <v>3.71</v>
      </c>
      <c r="G51" s="39" t="s">
        <v>107</v>
      </c>
      <c r="H51" s="39">
        <v>3.93</v>
      </c>
      <c r="I51" s="39" t="s">
        <v>101</v>
      </c>
      <c r="J51" s="39">
        <v>3.17</v>
      </c>
      <c r="K51" s="41">
        <f>SUM(E51:J55)</f>
        <v>44.96</v>
      </c>
      <c r="L51" s="37">
        <v>1</v>
      </c>
      <c r="M51" s="41">
        <f>ROUND(K51/D51*L51,2)</f>
        <v>215.81</v>
      </c>
      <c r="N51" s="42"/>
      <c r="P51" s="55"/>
    </row>
    <row r="52" spans="1:213" s="43" customFormat="1" ht="26.15" customHeight="1" x14ac:dyDescent="0.35">
      <c r="A52" s="37"/>
      <c r="B52" s="38"/>
      <c r="C52" s="37"/>
      <c r="D52" s="39"/>
      <c r="E52" s="39" t="s">
        <v>108</v>
      </c>
      <c r="F52" s="39">
        <v>5.03</v>
      </c>
      <c r="G52" s="39" t="s">
        <v>99</v>
      </c>
      <c r="H52" s="39">
        <v>5.48</v>
      </c>
      <c r="I52" s="39" t="s">
        <v>100</v>
      </c>
      <c r="J52" s="39">
        <v>1.85</v>
      </c>
      <c r="K52" s="41"/>
      <c r="L52" s="37"/>
      <c r="M52" s="41"/>
      <c r="N52" s="42"/>
      <c r="P52" s="55"/>
    </row>
    <row r="53" spans="1:213" s="43" customFormat="1" ht="26.15" customHeight="1" x14ac:dyDescent="0.35">
      <c r="A53" s="37"/>
      <c r="B53" s="38"/>
      <c r="C53" s="37"/>
      <c r="D53" s="39"/>
      <c r="E53" s="39" t="s">
        <v>109</v>
      </c>
      <c r="F53" s="39">
        <v>2.12</v>
      </c>
      <c r="G53" s="39" t="s">
        <v>110</v>
      </c>
      <c r="H53" s="39">
        <v>3.24</v>
      </c>
      <c r="I53" s="39"/>
      <c r="J53" s="39"/>
      <c r="K53" s="41"/>
      <c r="L53" s="37"/>
      <c r="M53" s="41"/>
      <c r="N53" s="42"/>
      <c r="P53" s="55"/>
    </row>
    <row r="54" spans="1:213" s="43" customFormat="1" ht="26.15" customHeight="1" x14ac:dyDescent="0.35">
      <c r="A54" s="37"/>
      <c r="B54" s="38"/>
      <c r="C54" s="37"/>
      <c r="D54" s="39"/>
      <c r="E54" s="39" t="s">
        <v>111</v>
      </c>
      <c r="F54" s="39">
        <v>5.44</v>
      </c>
      <c r="G54" s="39" t="s">
        <v>112</v>
      </c>
      <c r="H54" s="39">
        <v>1.9</v>
      </c>
      <c r="I54" s="39"/>
      <c r="J54" s="39"/>
      <c r="K54" s="41"/>
      <c r="L54" s="37"/>
      <c r="M54" s="41"/>
      <c r="N54" s="42"/>
      <c r="P54" s="55"/>
    </row>
    <row r="55" spans="1:213" s="43" customFormat="1" ht="26.15" customHeight="1" x14ac:dyDescent="0.35">
      <c r="A55" s="37"/>
      <c r="B55" s="38"/>
      <c r="C55" s="37"/>
      <c r="D55" s="39"/>
      <c r="E55" s="39" t="s">
        <v>113</v>
      </c>
      <c r="F55" s="39">
        <v>3.02</v>
      </c>
      <c r="G55" s="39" t="s">
        <v>114</v>
      </c>
      <c r="H55" s="39">
        <v>6.07</v>
      </c>
      <c r="I55" s="39"/>
      <c r="J55" s="39"/>
      <c r="K55" s="41"/>
      <c r="L55" s="37"/>
      <c r="M55" s="41"/>
      <c r="N55" s="42"/>
      <c r="P55" s="55"/>
    </row>
    <row r="56" spans="1:213" s="43" customFormat="1" ht="26.15" customHeight="1" x14ac:dyDescent="0.35">
      <c r="A56" s="37" t="s">
        <v>115</v>
      </c>
      <c r="B56" s="38" t="s">
        <v>64</v>
      </c>
      <c r="C56" s="37" t="s">
        <v>95</v>
      </c>
      <c r="D56" s="32">
        <f>1.25</f>
        <v>1.25</v>
      </c>
      <c r="E56" s="39"/>
      <c r="F56" s="39"/>
      <c r="G56" s="39"/>
      <c r="H56" s="39"/>
      <c r="I56" s="39"/>
      <c r="J56" s="39"/>
      <c r="K56" s="53">
        <v>138</v>
      </c>
      <c r="L56" s="37">
        <v>1</v>
      </c>
      <c r="M56" s="41">
        <f>ROUND(K56/D56*L56,2)</f>
        <v>110.4</v>
      </c>
      <c r="N56" s="42"/>
      <c r="P56" s="55"/>
    </row>
    <row r="57" spans="1:213" s="30" customFormat="1" ht="26.15" customHeight="1" x14ac:dyDescent="0.35">
      <c r="A57" s="22">
        <v>7</v>
      </c>
      <c r="B57" s="23" t="s">
        <v>116</v>
      </c>
      <c r="C57" s="24"/>
      <c r="D57" s="36"/>
      <c r="E57" s="36"/>
      <c r="F57" s="36"/>
      <c r="G57" s="36"/>
      <c r="H57" s="36"/>
      <c r="I57" s="36"/>
      <c r="J57" s="36"/>
      <c r="K57" s="26"/>
      <c r="L57" s="24"/>
      <c r="M57" s="27">
        <f>SUM(M58:M59)</f>
        <v>76.8</v>
      </c>
      <c r="N57" s="28"/>
      <c r="P57" s="56"/>
    </row>
    <row r="58" spans="1:213" s="30" customFormat="1" ht="26.15" customHeight="1" x14ac:dyDescent="0.35">
      <c r="A58" s="16" t="s">
        <v>117</v>
      </c>
      <c r="B58" s="31" t="s">
        <v>46</v>
      </c>
      <c r="C58" s="16" t="s">
        <v>47</v>
      </c>
      <c r="D58" s="32">
        <f>1.25</f>
        <v>1.25</v>
      </c>
      <c r="E58" s="36"/>
      <c r="F58" s="36"/>
      <c r="G58" s="36"/>
      <c r="H58" s="36"/>
      <c r="I58" s="36"/>
      <c r="J58" s="36"/>
      <c r="K58" s="26">
        <v>48</v>
      </c>
      <c r="L58" s="24">
        <v>1</v>
      </c>
      <c r="M58" s="33">
        <f>K58/D58</f>
        <v>38.4</v>
      </c>
      <c r="N58" s="28"/>
      <c r="P58" s="56"/>
    </row>
    <row r="59" spans="1:213" s="30" customFormat="1" ht="26.15" customHeight="1" x14ac:dyDescent="0.35">
      <c r="A59" s="16" t="s">
        <v>118</v>
      </c>
      <c r="B59" s="31" t="s">
        <v>64</v>
      </c>
      <c r="C59" s="16" t="s">
        <v>95</v>
      </c>
      <c r="D59" s="32">
        <f>1.25</f>
        <v>1.25</v>
      </c>
      <c r="E59" s="36"/>
      <c r="F59" s="36"/>
      <c r="G59" s="36"/>
      <c r="H59" s="36"/>
      <c r="I59" s="36"/>
      <c r="J59" s="36"/>
      <c r="K59" s="26">
        <v>48</v>
      </c>
      <c r="L59" s="24">
        <v>1</v>
      </c>
      <c r="M59" s="33">
        <f>K59/D59</f>
        <v>38.4</v>
      </c>
      <c r="N59" s="28"/>
      <c r="P59" s="56"/>
    </row>
    <row r="60" spans="1:213" s="30" customFormat="1" ht="26.15" customHeight="1" x14ac:dyDescent="0.35">
      <c r="A60" s="6" t="s">
        <v>119</v>
      </c>
      <c r="B60" s="8" t="s">
        <v>120</v>
      </c>
      <c r="C60" s="16"/>
      <c r="D60" s="32"/>
      <c r="E60" s="36"/>
      <c r="F60" s="36"/>
      <c r="G60" s="36"/>
      <c r="H60" s="36"/>
      <c r="I60" s="36"/>
      <c r="J60" s="36"/>
      <c r="K60" s="47"/>
      <c r="L60" s="24"/>
      <c r="M60" s="57">
        <f>SUM(M61)</f>
        <v>93.48</v>
      </c>
      <c r="N60" s="28"/>
      <c r="P60" s="56"/>
    </row>
    <row r="61" spans="1:213" s="30" customFormat="1" ht="26.15" customHeight="1" x14ac:dyDescent="0.35">
      <c r="A61" s="16" t="s">
        <v>45</v>
      </c>
      <c r="B61" s="31" t="s">
        <v>121</v>
      </c>
      <c r="C61" s="16" t="s">
        <v>54</v>
      </c>
      <c r="D61" s="32">
        <f>1/12</f>
        <v>8.3333333333333329E-2</v>
      </c>
      <c r="E61" s="36" t="s">
        <v>122</v>
      </c>
      <c r="F61" s="36">
        <v>7.79</v>
      </c>
      <c r="G61" s="36"/>
      <c r="H61" s="36"/>
      <c r="I61" s="36"/>
      <c r="J61" s="36"/>
      <c r="K61" s="47">
        <f>SUM(E61:J61)</f>
        <v>7.79</v>
      </c>
      <c r="L61" s="24">
        <v>1</v>
      </c>
      <c r="M61" s="33">
        <f>K61/D61</f>
        <v>93.48</v>
      </c>
      <c r="N61" s="28"/>
      <c r="P61" s="56"/>
    </row>
    <row r="62" spans="1:213" s="62" customFormat="1" ht="26.15" customHeight="1" x14ac:dyDescent="0.3">
      <c r="A62" s="6" t="s">
        <v>123</v>
      </c>
      <c r="B62" s="8" t="s">
        <v>124</v>
      </c>
      <c r="C62" s="6"/>
      <c r="D62" s="58"/>
      <c r="E62" s="32"/>
      <c r="F62" s="32"/>
      <c r="G62" s="39"/>
      <c r="H62" s="32"/>
      <c r="I62" s="32"/>
      <c r="J62" s="32"/>
      <c r="K62" s="59"/>
      <c r="L62" s="60"/>
      <c r="M62" s="61"/>
      <c r="N62" s="6"/>
      <c r="O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  <c r="FZ62" s="49"/>
      <c r="GA62" s="49"/>
      <c r="GB62" s="49"/>
      <c r="GC62" s="49"/>
      <c r="GD62" s="49"/>
      <c r="GE62" s="49"/>
      <c r="GF62" s="49"/>
      <c r="GG62" s="49"/>
      <c r="GH62" s="49"/>
      <c r="GI62" s="49"/>
      <c r="GJ62" s="49"/>
      <c r="GK62" s="49"/>
      <c r="GL62" s="49"/>
      <c r="GM62" s="49"/>
      <c r="GN62" s="49"/>
      <c r="GO62" s="49"/>
      <c r="GP62" s="49"/>
      <c r="GQ62" s="49"/>
      <c r="GR62" s="49"/>
      <c r="GS62" s="49"/>
      <c r="GT62" s="49"/>
      <c r="GU62" s="49"/>
      <c r="GV62" s="49"/>
      <c r="GW62" s="49"/>
      <c r="GX62" s="49"/>
      <c r="GY62" s="49"/>
      <c r="GZ62" s="49"/>
      <c r="HA62" s="49"/>
      <c r="HB62" s="49"/>
      <c r="HC62" s="49"/>
      <c r="HD62" s="49"/>
      <c r="HE62" s="49"/>
    </row>
    <row r="63" spans="1:213" s="62" customFormat="1" ht="26.15" customHeight="1" x14ac:dyDescent="0.3">
      <c r="A63" s="10">
        <v>1</v>
      </c>
      <c r="B63" s="13" t="s">
        <v>125</v>
      </c>
      <c r="C63" s="10" t="s">
        <v>31</v>
      </c>
      <c r="D63" s="98"/>
      <c r="E63" s="98"/>
      <c r="F63" s="98"/>
      <c r="G63" s="98"/>
      <c r="H63" s="98"/>
      <c r="I63" s="98"/>
      <c r="J63" s="98"/>
      <c r="K63" s="98"/>
      <c r="L63" s="60"/>
      <c r="M63" s="17"/>
      <c r="N63" s="6"/>
      <c r="O63" s="49"/>
      <c r="P63" s="63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49"/>
      <c r="EW63" s="49"/>
      <c r="EX63" s="49"/>
      <c r="EY63" s="49"/>
      <c r="EZ63" s="49"/>
      <c r="FA63" s="49"/>
      <c r="FB63" s="49"/>
      <c r="FC63" s="49"/>
      <c r="FD63" s="49"/>
      <c r="FE63" s="49"/>
      <c r="FF63" s="49"/>
      <c r="FG63" s="49"/>
      <c r="FH63" s="49"/>
      <c r="FI63" s="49"/>
      <c r="FJ63" s="49"/>
      <c r="FK63" s="49"/>
      <c r="FL63" s="49"/>
      <c r="FM63" s="49"/>
      <c r="FN63" s="49"/>
      <c r="FO63" s="49"/>
      <c r="FP63" s="49"/>
      <c r="FQ63" s="49"/>
      <c r="FR63" s="49"/>
      <c r="FS63" s="49"/>
      <c r="FT63" s="49"/>
      <c r="FU63" s="49"/>
      <c r="FV63" s="49"/>
      <c r="FW63" s="49"/>
      <c r="FX63" s="49"/>
      <c r="FY63" s="49"/>
      <c r="FZ63" s="49"/>
      <c r="GA63" s="49"/>
      <c r="GB63" s="49"/>
      <c r="GC63" s="49"/>
      <c r="GD63" s="49"/>
      <c r="GE63" s="49"/>
      <c r="GF63" s="49"/>
      <c r="GG63" s="49"/>
      <c r="GH63" s="49"/>
      <c r="GI63" s="49"/>
      <c r="GJ63" s="49"/>
      <c r="GK63" s="49"/>
      <c r="GL63" s="49"/>
      <c r="GM63" s="49"/>
      <c r="GN63" s="49"/>
      <c r="GO63" s="49"/>
      <c r="GP63" s="49"/>
      <c r="GQ63" s="49"/>
      <c r="GR63" s="49"/>
      <c r="GS63" s="49"/>
      <c r="GT63" s="49"/>
      <c r="GU63" s="49"/>
      <c r="GV63" s="49"/>
      <c r="GW63" s="49"/>
      <c r="GX63" s="49"/>
      <c r="GY63" s="49"/>
      <c r="GZ63" s="49"/>
      <c r="HA63" s="49"/>
      <c r="HB63" s="49"/>
      <c r="HC63" s="49"/>
      <c r="HD63" s="49"/>
      <c r="HE63" s="49"/>
    </row>
    <row r="64" spans="1:213" s="62" customFormat="1" ht="26.15" customHeight="1" x14ac:dyDescent="0.3">
      <c r="A64" s="10">
        <v>2</v>
      </c>
      <c r="B64" s="13" t="s">
        <v>125</v>
      </c>
      <c r="C64" s="10" t="s">
        <v>31</v>
      </c>
      <c r="D64" s="98"/>
      <c r="E64" s="98"/>
      <c r="F64" s="98"/>
      <c r="G64" s="98"/>
      <c r="H64" s="98"/>
      <c r="I64" s="98"/>
      <c r="J64" s="98"/>
      <c r="K64" s="98"/>
      <c r="L64" s="60"/>
      <c r="M64" s="17"/>
      <c r="N64" s="6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  <c r="FZ64" s="49"/>
      <c r="GA64" s="49"/>
      <c r="GB64" s="49"/>
      <c r="GC64" s="49"/>
      <c r="GD64" s="49"/>
      <c r="GE64" s="49"/>
      <c r="GF64" s="49"/>
      <c r="GG64" s="49"/>
      <c r="GH64" s="49"/>
      <c r="GI64" s="49"/>
      <c r="GJ64" s="49"/>
      <c r="GK64" s="49"/>
      <c r="GL64" s="49"/>
      <c r="GM64" s="49"/>
      <c r="GN64" s="49"/>
      <c r="GO64" s="49"/>
      <c r="GP64" s="49"/>
      <c r="GQ64" s="49"/>
      <c r="GR64" s="49"/>
      <c r="GS64" s="49"/>
      <c r="GT64" s="49"/>
      <c r="GU64" s="49"/>
      <c r="GV64" s="49"/>
      <c r="GW64" s="49"/>
      <c r="GX64" s="49"/>
      <c r="GY64" s="49"/>
      <c r="GZ64" s="49"/>
      <c r="HA64" s="49"/>
      <c r="HB64" s="49"/>
      <c r="HC64" s="49"/>
      <c r="HD64" s="49"/>
      <c r="HE64" s="49"/>
    </row>
    <row r="65" spans="1:231" s="62" customFormat="1" ht="26.15" customHeight="1" x14ac:dyDescent="0.3">
      <c r="A65" s="6" t="s">
        <v>126</v>
      </c>
      <c r="B65" s="8" t="s">
        <v>127</v>
      </c>
      <c r="C65" s="6"/>
      <c r="D65" s="64"/>
      <c r="E65" s="12"/>
      <c r="F65" s="65"/>
      <c r="G65" s="66"/>
      <c r="H65" s="67"/>
      <c r="I65" s="12"/>
      <c r="J65" s="68"/>
      <c r="K65" s="69"/>
      <c r="L65" s="12"/>
      <c r="M65" s="61">
        <f>SUM(M66:M71)</f>
        <v>450</v>
      </c>
      <c r="N65" s="8"/>
      <c r="O65" s="49"/>
      <c r="P65" s="70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49"/>
      <c r="EU65" s="49"/>
      <c r="EV65" s="49"/>
      <c r="EW65" s="49"/>
      <c r="EX65" s="49"/>
      <c r="EY65" s="49"/>
      <c r="EZ65" s="49"/>
      <c r="FA65" s="49"/>
      <c r="FB65" s="49"/>
      <c r="FC65" s="49"/>
      <c r="FD65" s="49"/>
      <c r="FE65" s="49"/>
      <c r="FF65" s="49"/>
      <c r="FG65" s="49"/>
      <c r="FH65" s="49"/>
      <c r="FI65" s="49"/>
      <c r="FJ65" s="49"/>
      <c r="FK65" s="49"/>
      <c r="FL65" s="49"/>
      <c r="FM65" s="49"/>
      <c r="FN65" s="49"/>
      <c r="FO65" s="49"/>
      <c r="FP65" s="49"/>
      <c r="FQ65" s="49"/>
      <c r="FR65" s="49"/>
      <c r="FS65" s="49"/>
      <c r="FT65" s="49"/>
      <c r="FU65" s="49"/>
      <c r="FV65" s="49"/>
      <c r="FW65" s="49"/>
      <c r="FX65" s="49"/>
      <c r="FY65" s="49"/>
      <c r="FZ65" s="49"/>
      <c r="GA65" s="49"/>
      <c r="GB65" s="49"/>
      <c r="GC65" s="49"/>
      <c r="GD65" s="49"/>
      <c r="GE65" s="49"/>
      <c r="GF65" s="49"/>
      <c r="GG65" s="49"/>
      <c r="GH65" s="49"/>
      <c r="GI65" s="49"/>
      <c r="GJ65" s="49"/>
      <c r="GK65" s="49"/>
      <c r="GL65" s="49"/>
      <c r="GM65" s="49"/>
      <c r="GN65" s="49"/>
      <c r="GO65" s="49"/>
      <c r="GP65" s="49"/>
      <c r="GQ65" s="49"/>
      <c r="GR65" s="49"/>
      <c r="GS65" s="49"/>
      <c r="GT65" s="49"/>
      <c r="GU65" s="49"/>
      <c r="GV65" s="49"/>
      <c r="GW65" s="49"/>
      <c r="GX65" s="49"/>
      <c r="GY65" s="49"/>
      <c r="GZ65" s="49"/>
      <c r="HA65" s="49"/>
      <c r="HB65" s="49"/>
      <c r="HC65" s="49"/>
      <c r="HD65" s="49"/>
      <c r="HE65" s="49"/>
    </row>
    <row r="66" spans="1:231" s="62" customFormat="1" ht="41.5" customHeight="1" x14ac:dyDescent="0.3">
      <c r="A66" s="10">
        <v>1</v>
      </c>
      <c r="B66" s="71" t="s">
        <v>128</v>
      </c>
      <c r="C66" s="10" t="s">
        <v>31</v>
      </c>
      <c r="D66" s="64"/>
      <c r="E66" s="12"/>
      <c r="F66" s="65"/>
      <c r="G66" s="66"/>
      <c r="H66" s="67"/>
      <c r="I66" s="12"/>
      <c r="J66" s="68"/>
      <c r="K66" s="15">
        <v>24</v>
      </c>
      <c r="L66" s="12"/>
      <c r="M66" s="72">
        <f>+K66</f>
        <v>24</v>
      </c>
      <c r="N66" s="8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49"/>
      <c r="FF66" s="49"/>
      <c r="FG66" s="49"/>
      <c r="FH66" s="49"/>
      <c r="FI66" s="49"/>
      <c r="FJ66" s="49"/>
      <c r="FK66" s="49"/>
      <c r="FL66" s="49"/>
      <c r="FM66" s="49"/>
      <c r="FN66" s="49"/>
      <c r="FO66" s="49"/>
      <c r="FP66" s="49"/>
      <c r="FQ66" s="49"/>
      <c r="FR66" s="49"/>
      <c r="FS66" s="49"/>
      <c r="FT66" s="49"/>
      <c r="FU66" s="49"/>
      <c r="FV66" s="49"/>
      <c r="FW66" s="49"/>
      <c r="FX66" s="49"/>
      <c r="FY66" s="49"/>
      <c r="FZ66" s="49"/>
      <c r="GA66" s="49"/>
      <c r="GB66" s="49"/>
      <c r="GC66" s="49"/>
      <c r="GD66" s="49"/>
      <c r="GE66" s="49"/>
      <c r="GF66" s="49"/>
      <c r="GG66" s="49"/>
      <c r="GH66" s="49"/>
      <c r="GI66" s="49"/>
      <c r="GJ66" s="49"/>
      <c r="GK66" s="49"/>
      <c r="GL66" s="49"/>
      <c r="GM66" s="49"/>
      <c r="GN66" s="49"/>
      <c r="GO66" s="49"/>
      <c r="GP66" s="49"/>
      <c r="GQ66" s="49"/>
      <c r="GR66" s="49"/>
      <c r="GS66" s="49"/>
      <c r="GT66" s="49"/>
      <c r="GU66" s="49"/>
      <c r="GV66" s="49"/>
      <c r="GW66" s="49"/>
      <c r="GX66" s="49"/>
      <c r="GY66" s="49"/>
      <c r="GZ66" s="49"/>
      <c r="HA66" s="49"/>
      <c r="HB66" s="49"/>
      <c r="HC66" s="49"/>
      <c r="HD66" s="49"/>
      <c r="HE66" s="49"/>
    </row>
    <row r="67" spans="1:231" s="62" customFormat="1" ht="26.15" customHeight="1" x14ac:dyDescent="0.3">
      <c r="A67" s="10">
        <v>2</v>
      </c>
      <c r="B67" s="13" t="s">
        <v>129</v>
      </c>
      <c r="C67" s="10" t="s">
        <v>130</v>
      </c>
      <c r="D67" s="73">
        <v>7000</v>
      </c>
      <c r="E67" s="12"/>
      <c r="F67" s="65"/>
      <c r="G67" s="66"/>
      <c r="H67" s="67"/>
      <c r="I67" s="12"/>
      <c r="J67" s="68"/>
      <c r="K67" s="74">
        <v>290</v>
      </c>
      <c r="L67" s="12"/>
      <c r="M67" s="72">
        <v>81.2</v>
      </c>
      <c r="N67" s="8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49"/>
      <c r="FF67" s="49"/>
      <c r="FG67" s="49"/>
      <c r="FH67" s="49"/>
      <c r="FI67" s="49"/>
      <c r="FJ67" s="49"/>
      <c r="FK67" s="49"/>
      <c r="FL67" s="49"/>
      <c r="FM67" s="49"/>
      <c r="FN67" s="49"/>
      <c r="FO67" s="49"/>
      <c r="FP67" s="49"/>
      <c r="FQ67" s="49"/>
      <c r="FR67" s="49"/>
      <c r="FS67" s="49"/>
      <c r="FT67" s="49"/>
      <c r="FU67" s="49"/>
      <c r="FV67" s="49"/>
      <c r="FW67" s="49"/>
      <c r="FX67" s="49"/>
      <c r="FY67" s="49"/>
      <c r="FZ67" s="49"/>
      <c r="GA67" s="49"/>
      <c r="GB67" s="49"/>
      <c r="GC67" s="49"/>
      <c r="GD67" s="49"/>
      <c r="GE67" s="49"/>
      <c r="GF67" s="49"/>
      <c r="GG67" s="49"/>
      <c r="GH67" s="49"/>
      <c r="GI67" s="49"/>
      <c r="GJ67" s="49"/>
      <c r="GK67" s="49"/>
      <c r="GL67" s="49"/>
      <c r="GM67" s="49"/>
      <c r="GN67" s="49"/>
      <c r="GO67" s="49"/>
      <c r="GP67" s="49"/>
      <c r="GQ67" s="49"/>
      <c r="GR67" s="49"/>
      <c r="GS67" s="49"/>
      <c r="GT67" s="49"/>
      <c r="GU67" s="49"/>
      <c r="GV67" s="49"/>
      <c r="GW67" s="49"/>
      <c r="GX67" s="49"/>
      <c r="GY67" s="49"/>
      <c r="GZ67" s="49"/>
      <c r="HA67" s="49"/>
      <c r="HB67" s="49"/>
      <c r="HC67" s="49"/>
      <c r="HD67" s="49"/>
      <c r="HE67" s="49"/>
    </row>
    <row r="68" spans="1:231" s="62" customFormat="1" ht="26.15" customHeight="1" x14ac:dyDescent="0.3">
      <c r="A68" s="10">
        <v>3</v>
      </c>
      <c r="B68" s="13" t="s">
        <v>131</v>
      </c>
      <c r="C68" s="10" t="s">
        <v>31</v>
      </c>
      <c r="D68" s="64"/>
      <c r="E68" s="12"/>
      <c r="F68" s="65"/>
      <c r="G68" s="66"/>
      <c r="H68" s="67"/>
      <c r="I68" s="12"/>
      <c r="J68" s="68"/>
      <c r="K68" s="15">
        <v>30</v>
      </c>
      <c r="L68" s="12"/>
      <c r="M68" s="72">
        <v>30</v>
      </c>
      <c r="N68" s="8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49"/>
      <c r="GB68" s="49"/>
      <c r="GC68" s="49"/>
      <c r="GD68" s="49"/>
      <c r="GE68" s="49"/>
      <c r="GF68" s="49"/>
      <c r="GG68" s="49"/>
      <c r="GH68" s="49"/>
      <c r="GI68" s="49"/>
      <c r="GJ68" s="49"/>
      <c r="GK68" s="49"/>
      <c r="GL68" s="49"/>
      <c r="GM68" s="49"/>
      <c r="GN68" s="49"/>
      <c r="GO68" s="49"/>
      <c r="GP68" s="49"/>
      <c r="GQ68" s="49"/>
      <c r="GR68" s="49"/>
      <c r="GS68" s="49"/>
      <c r="GT68" s="49"/>
      <c r="GU68" s="49"/>
      <c r="GV68" s="49"/>
      <c r="GW68" s="49"/>
      <c r="GX68" s="49"/>
      <c r="GY68" s="49"/>
      <c r="GZ68" s="49"/>
      <c r="HA68" s="49"/>
      <c r="HB68" s="49"/>
      <c r="HC68" s="49"/>
      <c r="HD68" s="49"/>
      <c r="HE68" s="49"/>
    </row>
    <row r="69" spans="1:231" s="62" customFormat="1" ht="26.15" customHeight="1" x14ac:dyDescent="0.3">
      <c r="A69" s="10">
        <v>4</v>
      </c>
      <c r="B69" s="13" t="s">
        <v>132</v>
      </c>
      <c r="C69" s="10" t="s">
        <v>31</v>
      </c>
      <c r="D69" s="64"/>
      <c r="E69" s="12"/>
      <c r="F69" s="65"/>
      <c r="G69" s="66"/>
      <c r="H69" s="67"/>
      <c r="I69" s="12"/>
      <c r="J69" s="68"/>
      <c r="K69" s="15">
        <v>40</v>
      </c>
      <c r="L69" s="12"/>
      <c r="M69" s="72">
        <v>40</v>
      </c>
      <c r="N69" s="8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49"/>
      <c r="FF69" s="49"/>
      <c r="FG69" s="49"/>
      <c r="FH69" s="49"/>
      <c r="FI69" s="49"/>
      <c r="FJ69" s="49"/>
      <c r="FK69" s="49"/>
      <c r="FL69" s="49"/>
      <c r="FM69" s="49"/>
      <c r="FN69" s="49"/>
      <c r="FO69" s="49"/>
      <c r="FP69" s="49"/>
      <c r="FQ69" s="49"/>
      <c r="FR69" s="49"/>
      <c r="FS69" s="49"/>
      <c r="FT69" s="49"/>
      <c r="FU69" s="49"/>
      <c r="FV69" s="49"/>
      <c r="FW69" s="49"/>
      <c r="FX69" s="49"/>
      <c r="FY69" s="49"/>
      <c r="FZ69" s="49"/>
      <c r="GA69" s="49"/>
      <c r="GB69" s="49"/>
      <c r="GC69" s="49"/>
      <c r="GD69" s="49"/>
      <c r="GE69" s="49"/>
      <c r="GF69" s="49"/>
      <c r="GG69" s="49"/>
      <c r="GH69" s="49"/>
      <c r="GI69" s="49"/>
      <c r="GJ69" s="49"/>
      <c r="GK69" s="49"/>
      <c r="GL69" s="49"/>
      <c r="GM69" s="49"/>
      <c r="GN69" s="49"/>
      <c r="GO69" s="49"/>
      <c r="GP69" s="49"/>
      <c r="GQ69" s="49"/>
      <c r="GR69" s="49"/>
      <c r="GS69" s="49"/>
      <c r="GT69" s="49"/>
      <c r="GU69" s="49"/>
      <c r="GV69" s="49"/>
      <c r="GW69" s="49"/>
      <c r="GX69" s="49"/>
      <c r="GY69" s="49"/>
      <c r="GZ69" s="49"/>
      <c r="HA69" s="49"/>
      <c r="HB69" s="49"/>
      <c r="HC69" s="49"/>
      <c r="HD69" s="49"/>
      <c r="HE69" s="49"/>
    </row>
    <row r="70" spans="1:231" s="62" customFormat="1" ht="33" customHeight="1" x14ac:dyDescent="0.3">
      <c r="A70" s="10">
        <v>5</v>
      </c>
      <c r="B70" s="71" t="s">
        <v>133</v>
      </c>
      <c r="C70" s="10" t="s">
        <v>130</v>
      </c>
      <c r="D70" s="16">
        <v>7000</v>
      </c>
      <c r="E70" s="12"/>
      <c r="F70" s="65"/>
      <c r="G70" s="66"/>
      <c r="H70" s="67"/>
      <c r="I70" s="12"/>
      <c r="J70" s="68"/>
      <c r="K70" s="15">
        <v>910</v>
      </c>
      <c r="L70" s="12"/>
      <c r="M70" s="72">
        <v>254.8</v>
      </c>
      <c r="N70" s="8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49"/>
      <c r="GA70" s="49"/>
      <c r="GB70" s="49"/>
      <c r="GC70" s="49"/>
      <c r="GD70" s="49"/>
      <c r="GE70" s="49"/>
      <c r="GF70" s="49"/>
      <c r="GG70" s="49"/>
      <c r="GH70" s="49"/>
      <c r="GI70" s="49"/>
      <c r="GJ70" s="49"/>
      <c r="GK70" s="49"/>
      <c r="GL70" s="49"/>
      <c r="GM70" s="49"/>
      <c r="GN70" s="49"/>
      <c r="GO70" s="49"/>
      <c r="GP70" s="49"/>
      <c r="GQ70" s="49"/>
      <c r="GR70" s="49"/>
      <c r="GS70" s="49"/>
      <c r="GT70" s="49"/>
      <c r="GU70" s="49"/>
      <c r="GV70" s="49"/>
      <c r="GW70" s="49"/>
      <c r="GX70" s="49"/>
      <c r="GY70" s="49"/>
      <c r="GZ70" s="49"/>
      <c r="HA70" s="49"/>
      <c r="HB70" s="49"/>
      <c r="HC70" s="49"/>
      <c r="HD70" s="49"/>
      <c r="HE70" s="49"/>
    </row>
    <row r="71" spans="1:231" s="62" customFormat="1" ht="33" customHeight="1" x14ac:dyDescent="0.3">
      <c r="A71" s="10">
        <v>6</v>
      </c>
      <c r="B71" s="71" t="s">
        <v>134</v>
      </c>
      <c r="C71" s="10" t="s">
        <v>31</v>
      </c>
      <c r="D71" s="16"/>
      <c r="E71" s="12"/>
      <c r="F71" s="65"/>
      <c r="G71" s="66"/>
      <c r="H71" s="67"/>
      <c r="I71" s="12"/>
      <c r="J71" s="68"/>
      <c r="K71" s="15">
        <v>20</v>
      </c>
      <c r="L71" s="12"/>
      <c r="M71" s="72">
        <v>20</v>
      </c>
      <c r="N71" s="8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9"/>
      <c r="GI71" s="49"/>
      <c r="GJ71" s="49"/>
      <c r="GK71" s="49"/>
      <c r="GL71" s="49"/>
      <c r="GM71" s="49"/>
      <c r="GN71" s="49"/>
      <c r="GO71" s="49"/>
      <c r="GP71" s="49"/>
      <c r="GQ71" s="49"/>
      <c r="GR71" s="49"/>
      <c r="GS71" s="49"/>
      <c r="GT71" s="49"/>
      <c r="GU71" s="49"/>
      <c r="GV71" s="49"/>
      <c r="GW71" s="49"/>
      <c r="GX71" s="49"/>
      <c r="GY71" s="49"/>
      <c r="GZ71" s="49"/>
      <c r="HA71" s="49"/>
      <c r="HB71" s="49"/>
      <c r="HC71" s="49"/>
      <c r="HD71" s="49"/>
      <c r="HE71" s="49"/>
    </row>
    <row r="72" spans="1:231" s="62" customFormat="1" ht="26.15" customHeight="1" x14ac:dyDescent="0.35">
      <c r="A72" s="99" t="s">
        <v>135</v>
      </c>
      <c r="B72" s="99"/>
      <c r="C72" s="99"/>
      <c r="D72" s="12"/>
      <c r="E72" s="12"/>
      <c r="F72" s="12"/>
      <c r="G72" s="12"/>
      <c r="H72" s="12"/>
      <c r="I72" s="12"/>
      <c r="J72" s="12"/>
      <c r="K72" s="12"/>
      <c r="L72" s="12"/>
      <c r="M72" s="75"/>
      <c r="N72" s="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</row>
    <row r="73" spans="1:231" s="81" customFormat="1" ht="6.65" customHeight="1" x14ac:dyDescent="0.35">
      <c r="A73" s="77"/>
      <c r="B73" s="77"/>
      <c r="C73" s="78"/>
      <c r="D73" s="7"/>
      <c r="E73" s="7"/>
      <c r="F73" s="7"/>
      <c r="G73" s="7"/>
      <c r="H73" s="7"/>
      <c r="I73" s="7"/>
      <c r="J73" s="7"/>
      <c r="K73" s="7"/>
      <c r="L73" s="7"/>
      <c r="M73" s="79"/>
      <c r="N73" s="78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S73" s="80"/>
      <c r="DT73" s="80"/>
      <c r="DU73" s="80"/>
      <c r="DV73" s="80"/>
      <c r="DW73" s="80"/>
      <c r="DX73" s="80"/>
      <c r="DY73" s="80"/>
      <c r="DZ73" s="80"/>
      <c r="EA73" s="80"/>
      <c r="EB73" s="80"/>
      <c r="EC73" s="80"/>
      <c r="ED73" s="80"/>
      <c r="EE73" s="80"/>
      <c r="EF73" s="80"/>
      <c r="EG73" s="80"/>
      <c r="EH73" s="80"/>
      <c r="EI73" s="80"/>
      <c r="EJ73" s="80"/>
      <c r="EK73" s="80"/>
      <c r="EL73" s="80"/>
      <c r="EM73" s="80"/>
      <c r="EN73" s="80"/>
      <c r="EO73" s="80"/>
      <c r="EP73" s="80"/>
      <c r="EQ73" s="80"/>
      <c r="ER73" s="80"/>
      <c r="ES73" s="80"/>
      <c r="ET73" s="80"/>
      <c r="EU73" s="80"/>
      <c r="EV73" s="80"/>
      <c r="EW73" s="80"/>
      <c r="EX73" s="80"/>
      <c r="EY73" s="80"/>
      <c r="EZ73" s="80"/>
      <c r="FA73" s="80"/>
      <c r="FB73" s="80"/>
      <c r="FC73" s="80"/>
      <c r="FD73" s="80"/>
      <c r="FE73" s="80"/>
      <c r="FF73" s="80"/>
      <c r="FG73" s="80"/>
      <c r="FH73" s="80"/>
      <c r="FI73" s="80"/>
      <c r="FJ73" s="80"/>
      <c r="FK73" s="80"/>
      <c r="FL73" s="80"/>
      <c r="FM73" s="80"/>
      <c r="FN73" s="80"/>
      <c r="FO73" s="80"/>
      <c r="FP73" s="80"/>
      <c r="FQ73" s="80"/>
      <c r="FR73" s="80"/>
      <c r="FS73" s="80"/>
      <c r="FT73" s="80"/>
      <c r="FU73" s="80"/>
      <c r="FV73" s="80"/>
      <c r="FW73" s="80"/>
      <c r="FX73" s="80"/>
      <c r="FY73" s="80"/>
      <c r="FZ73" s="80"/>
      <c r="GA73" s="80"/>
      <c r="GB73" s="80"/>
      <c r="GC73" s="80"/>
      <c r="GD73" s="80"/>
      <c r="GE73" s="80"/>
      <c r="GF73" s="80"/>
      <c r="GG73" s="80"/>
      <c r="GH73" s="80"/>
      <c r="GI73" s="80"/>
      <c r="GJ73" s="80"/>
      <c r="GK73" s="80"/>
      <c r="GL73" s="80"/>
      <c r="GM73" s="80"/>
      <c r="GN73" s="80"/>
      <c r="GO73" s="80"/>
      <c r="GP73" s="80"/>
      <c r="GQ73" s="80"/>
      <c r="GR73" s="80"/>
      <c r="GS73" s="80"/>
      <c r="GT73" s="80"/>
      <c r="GU73" s="80"/>
      <c r="GV73" s="80"/>
      <c r="GW73" s="80"/>
      <c r="GX73" s="80"/>
      <c r="GY73" s="80"/>
      <c r="GZ73" s="80"/>
      <c r="HA73" s="80"/>
      <c r="HB73" s="80"/>
      <c r="HC73" s="80"/>
      <c r="HD73" s="80"/>
      <c r="HE73" s="80"/>
    </row>
    <row r="74" spans="1:231" ht="19" customHeight="1" x14ac:dyDescent="0.35">
      <c r="A74" s="82"/>
      <c r="B74" s="83"/>
      <c r="C74" s="82"/>
      <c r="D74" s="83"/>
      <c r="E74" s="84"/>
      <c r="F74" s="83"/>
      <c r="G74" s="82"/>
      <c r="H74" s="81"/>
      <c r="I74" s="100" t="s">
        <v>136</v>
      </c>
      <c r="J74" s="100"/>
      <c r="K74" s="100"/>
      <c r="L74" s="100"/>
      <c r="M74" s="100"/>
      <c r="N74" s="100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  <c r="FU74" s="81"/>
      <c r="FV74" s="81"/>
      <c r="FW74" s="81"/>
      <c r="FX74" s="81"/>
      <c r="FY74" s="81"/>
      <c r="FZ74" s="81"/>
      <c r="GA74" s="81"/>
      <c r="GB74" s="81"/>
      <c r="GC74" s="81"/>
      <c r="GD74" s="81"/>
      <c r="GE74" s="81"/>
      <c r="GF74" s="81"/>
      <c r="GG74" s="81"/>
      <c r="GH74" s="81"/>
      <c r="GI74" s="81"/>
      <c r="GJ74" s="81"/>
      <c r="GK74" s="81"/>
      <c r="GL74" s="81"/>
      <c r="GM74" s="81"/>
      <c r="GN74" s="81"/>
      <c r="GO74" s="81"/>
      <c r="GP74" s="81"/>
      <c r="GQ74" s="81"/>
      <c r="GR74" s="81"/>
      <c r="GS74" s="81"/>
      <c r="GT74" s="81"/>
      <c r="GU74" s="81"/>
      <c r="GV74" s="81"/>
      <c r="GW74" s="81"/>
      <c r="GX74" s="81"/>
      <c r="GY74" s="81"/>
      <c r="GZ74" s="81"/>
      <c r="HA74" s="81"/>
      <c r="HB74" s="81"/>
      <c r="HC74" s="81"/>
      <c r="HD74" s="81"/>
      <c r="HE74" s="81"/>
    </row>
    <row r="75" spans="1:231" ht="23.15" customHeight="1" x14ac:dyDescent="0.3">
      <c r="A75" s="85"/>
      <c r="B75" s="85" t="s">
        <v>137</v>
      </c>
      <c r="C75" s="85"/>
      <c r="D75" s="96" t="s">
        <v>138</v>
      </c>
      <c r="E75" s="96"/>
      <c r="F75" s="96"/>
      <c r="G75" s="96"/>
      <c r="H75" s="96"/>
      <c r="I75" s="85"/>
      <c r="J75" s="96" t="s">
        <v>139</v>
      </c>
      <c r="K75" s="96"/>
      <c r="L75" s="96"/>
      <c r="M75" s="96"/>
      <c r="N75" s="85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  <c r="FU75" s="81"/>
      <c r="FV75" s="81"/>
      <c r="FW75" s="81"/>
      <c r="FX75" s="81"/>
      <c r="FY75" s="81"/>
      <c r="FZ75" s="81"/>
      <c r="GA75" s="81"/>
      <c r="GB75" s="81"/>
      <c r="GC75" s="81"/>
      <c r="GD75" s="81"/>
      <c r="GE75" s="81"/>
      <c r="GF75" s="81"/>
      <c r="GG75" s="81"/>
      <c r="GH75" s="81"/>
      <c r="GI75" s="81"/>
      <c r="GJ75" s="81"/>
      <c r="GK75" s="81"/>
      <c r="GL75" s="81"/>
      <c r="GM75" s="81"/>
      <c r="GN75" s="81"/>
      <c r="GO75" s="81"/>
      <c r="GP75" s="81"/>
      <c r="GQ75" s="81"/>
      <c r="GR75" s="81"/>
      <c r="GS75" s="81"/>
      <c r="GT75" s="81"/>
      <c r="GU75" s="81"/>
      <c r="GV75" s="81"/>
      <c r="GW75" s="81"/>
      <c r="GX75" s="81"/>
      <c r="GY75" s="81"/>
      <c r="GZ75" s="81"/>
      <c r="HA75" s="81"/>
      <c r="HB75" s="81"/>
      <c r="HC75" s="81"/>
      <c r="HD75" s="81"/>
      <c r="HE75" s="81"/>
    </row>
    <row r="76" spans="1:231" ht="16.5" x14ac:dyDescent="0.3">
      <c r="A76" s="86"/>
      <c r="B76" s="85"/>
      <c r="C76" s="86"/>
      <c r="D76" s="86"/>
      <c r="E76" s="87"/>
      <c r="F76" s="88"/>
      <c r="G76" s="87"/>
      <c r="H76" s="89"/>
      <c r="I76" s="87"/>
      <c r="J76" s="90"/>
      <c r="K76" s="88"/>
      <c r="L76" s="88"/>
      <c r="M76" s="90"/>
      <c r="N76" s="9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  <c r="FU76" s="81"/>
      <c r="FV76" s="81"/>
      <c r="FW76" s="81"/>
      <c r="FX76" s="81"/>
      <c r="FY76" s="81"/>
      <c r="FZ76" s="81"/>
      <c r="GA76" s="81"/>
      <c r="GB76" s="81"/>
      <c r="GC76" s="81"/>
      <c r="GD76" s="81"/>
      <c r="GE76" s="81"/>
      <c r="GF76" s="81"/>
      <c r="GG76" s="81"/>
      <c r="GH76" s="81"/>
      <c r="GI76" s="81"/>
      <c r="GJ76" s="81"/>
      <c r="GK76" s="81"/>
      <c r="GL76" s="81"/>
      <c r="GM76" s="81"/>
      <c r="GN76" s="81"/>
      <c r="GO76" s="81"/>
      <c r="GP76" s="81"/>
      <c r="GQ76" s="81"/>
      <c r="GR76" s="81"/>
      <c r="GS76" s="81"/>
      <c r="GT76" s="81"/>
      <c r="GU76" s="81"/>
      <c r="GV76" s="81"/>
      <c r="GW76" s="81"/>
      <c r="GX76" s="81"/>
      <c r="GY76" s="81"/>
      <c r="GZ76" s="81"/>
      <c r="HA76" s="81"/>
      <c r="HB76" s="81"/>
      <c r="HC76" s="81"/>
      <c r="HD76" s="81"/>
      <c r="HE76" s="81"/>
    </row>
    <row r="77" spans="1:231" ht="16.5" x14ac:dyDescent="0.3">
      <c r="A77" s="86"/>
      <c r="B77" s="85"/>
      <c r="C77" s="86"/>
      <c r="D77" s="86"/>
      <c r="E77" s="87"/>
      <c r="F77" s="88"/>
      <c r="G77" s="87"/>
      <c r="H77" s="89"/>
      <c r="I77" s="87"/>
      <c r="J77" s="90"/>
      <c r="K77" s="88"/>
      <c r="L77" s="88"/>
      <c r="M77" s="90"/>
      <c r="N77" s="9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  <c r="FU77" s="81"/>
      <c r="FV77" s="81"/>
      <c r="FW77" s="81"/>
      <c r="FX77" s="81"/>
      <c r="FY77" s="81"/>
      <c r="FZ77" s="81"/>
      <c r="GA77" s="81"/>
      <c r="GB77" s="81"/>
      <c r="GC77" s="81"/>
      <c r="GD77" s="81"/>
      <c r="GE77" s="81"/>
      <c r="GF77" s="81"/>
      <c r="GG77" s="81"/>
      <c r="GH77" s="81"/>
      <c r="GI77" s="81"/>
      <c r="GJ77" s="81"/>
      <c r="GK77" s="81"/>
      <c r="GL77" s="81"/>
      <c r="GM77" s="81"/>
      <c r="GN77" s="81"/>
      <c r="GO77" s="81"/>
      <c r="GP77" s="81"/>
      <c r="GQ77" s="81"/>
      <c r="GR77" s="81"/>
      <c r="GS77" s="81"/>
      <c r="GT77" s="81"/>
      <c r="GU77" s="81"/>
      <c r="GV77" s="81"/>
      <c r="GW77" s="81"/>
      <c r="GX77" s="81"/>
      <c r="GY77" s="81"/>
      <c r="GZ77" s="81"/>
      <c r="HA77" s="81"/>
      <c r="HB77" s="81"/>
      <c r="HC77" s="81"/>
      <c r="HD77" s="81"/>
      <c r="HE77" s="81"/>
    </row>
    <row r="78" spans="1:231" ht="16.5" x14ac:dyDescent="0.3">
      <c r="A78" s="86"/>
      <c r="B78" s="85"/>
      <c r="C78" s="86"/>
      <c r="D78" s="86"/>
      <c r="E78" s="87"/>
      <c r="F78" s="88"/>
      <c r="G78" s="87"/>
      <c r="H78" s="89"/>
      <c r="I78" s="87"/>
      <c r="J78" s="90"/>
      <c r="K78" s="88"/>
      <c r="L78" s="88"/>
      <c r="M78" s="90"/>
      <c r="N78" s="9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  <c r="FU78" s="81"/>
      <c r="FV78" s="81"/>
      <c r="FW78" s="81"/>
      <c r="FX78" s="81"/>
      <c r="FY78" s="81"/>
      <c r="FZ78" s="81"/>
      <c r="GA78" s="81"/>
      <c r="GB78" s="81"/>
      <c r="GC78" s="81"/>
      <c r="GD78" s="81"/>
      <c r="GE78" s="81"/>
      <c r="GF78" s="81"/>
      <c r="GG78" s="81"/>
      <c r="GH78" s="81"/>
      <c r="GI78" s="81"/>
      <c r="GJ78" s="81"/>
      <c r="GK78" s="81"/>
      <c r="GL78" s="81"/>
      <c r="GM78" s="81"/>
      <c r="GN78" s="81"/>
      <c r="GO78" s="81"/>
      <c r="GP78" s="81"/>
      <c r="GQ78" s="81"/>
      <c r="GR78" s="81"/>
      <c r="GS78" s="81"/>
      <c r="GT78" s="81"/>
      <c r="GU78" s="81"/>
      <c r="GV78" s="81"/>
      <c r="GW78" s="81"/>
      <c r="GX78" s="81"/>
      <c r="GY78" s="81"/>
      <c r="GZ78" s="81"/>
      <c r="HA78" s="81"/>
      <c r="HB78" s="81"/>
      <c r="HC78" s="81"/>
      <c r="HD78" s="81"/>
      <c r="HE78" s="81"/>
    </row>
    <row r="79" spans="1:231" ht="39" customHeight="1" x14ac:dyDescent="0.3">
      <c r="A79" s="86"/>
      <c r="B79" s="85"/>
      <c r="C79" s="86"/>
      <c r="D79" s="86"/>
      <c r="E79" s="87"/>
      <c r="F79" s="88"/>
      <c r="G79" s="87"/>
      <c r="H79" s="89"/>
      <c r="I79" s="87"/>
      <c r="J79" s="90"/>
      <c r="K79" s="88"/>
      <c r="L79" s="88"/>
      <c r="M79" s="90"/>
      <c r="N79" s="9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  <c r="FU79" s="81"/>
      <c r="FV79" s="81"/>
      <c r="FW79" s="81"/>
      <c r="FX79" s="81"/>
      <c r="FY79" s="81"/>
      <c r="FZ79" s="81"/>
      <c r="GA79" s="81"/>
      <c r="GB79" s="81"/>
      <c r="GC79" s="81"/>
      <c r="GD79" s="81"/>
      <c r="GE79" s="81"/>
      <c r="GF79" s="81"/>
      <c r="GG79" s="81"/>
      <c r="GH79" s="81"/>
      <c r="GI79" s="81"/>
      <c r="GJ79" s="81"/>
      <c r="GK79" s="81"/>
      <c r="GL79" s="81"/>
      <c r="GM79" s="81"/>
      <c r="GN79" s="81"/>
      <c r="GO79" s="81"/>
      <c r="GP79" s="81"/>
      <c r="GQ79" s="81"/>
      <c r="GR79" s="81"/>
      <c r="GS79" s="81"/>
      <c r="GT79" s="81"/>
      <c r="GU79" s="81"/>
      <c r="GV79" s="81"/>
      <c r="GW79" s="81"/>
      <c r="GX79" s="81"/>
      <c r="GY79" s="81"/>
      <c r="GZ79" s="81"/>
      <c r="HA79" s="81"/>
      <c r="HB79" s="81"/>
      <c r="HC79" s="81"/>
      <c r="HD79" s="81"/>
      <c r="HE79" s="81"/>
    </row>
    <row r="80" spans="1:231" ht="16.5" x14ac:dyDescent="0.3">
      <c r="B80" s="93" t="s">
        <v>140</v>
      </c>
      <c r="C80" s="86"/>
      <c r="D80" s="86"/>
      <c r="E80" s="97" t="s">
        <v>141</v>
      </c>
      <c r="F80" s="97"/>
      <c r="G80" s="97"/>
      <c r="H80" s="89"/>
      <c r="I80" s="87"/>
      <c r="J80" s="101" t="s">
        <v>142</v>
      </c>
      <c r="K80" s="101"/>
      <c r="L80" s="101"/>
      <c r="M80" s="101"/>
      <c r="N80" s="9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  <c r="FU80" s="81"/>
      <c r="FV80" s="81"/>
      <c r="FW80" s="81"/>
      <c r="FX80" s="81"/>
      <c r="FY80" s="81"/>
      <c r="FZ80" s="81"/>
      <c r="GA80" s="81"/>
      <c r="GB80" s="81"/>
      <c r="GC80" s="81"/>
      <c r="GD80" s="81"/>
      <c r="GE80" s="81"/>
      <c r="GF80" s="81"/>
      <c r="GG80" s="81"/>
      <c r="GH80" s="81"/>
      <c r="GI80" s="81"/>
      <c r="GJ80" s="81"/>
      <c r="GK80" s="81"/>
      <c r="GL80" s="81"/>
      <c r="GM80" s="81"/>
      <c r="GN80" s="81"/>
      <c r="GO80" s="81"/>
      <c r="GP80" s="81"/>
      <c r="GQ80" s="81"/>
      <c r="GR80" s="81"/>
      <c r="GS80" s="81"/>
      <c r="GT80" s="81"/>
      <c r="GU80" s="81"/>
      <c r="GV80" s="81"/>
      <c r="GW80" s="81"/>
      <c r="GX80" s="81"/>
      <c r="GY80" s="81"/>
      <c r="GZ80" s="81"/>
      <c r="HA80" s="81"/>
      <c r="HB80" s="81"/>
      <c r="HC80" s="81"/>
      <c r="HD80" s="81"/>
      <c r="HE80" s="81"/>
      <c r="HF80" s="81"/>
      <c r="HG80" s="81"/>
      <c r="HH80" s="81"/>
      <c r="HI80" s="81"/>
      <c r="HJ80" s="81"/>
      <c r="HK80" s="81"/>
      <c r="HL80" s="81"/>
      <c r="HM80" s="81"/>
      <c r="HN80" s="81"/>
      <c r="HO80" s="81"/>
      <c r="HP80" s="81"/>
      <c r="HQ80" s="81"/>
      <c r="HR80" s="81"/>
      <c r="HS80" s="81"/>
      <c r="HT80" s="81"/>
      <c r="HU80" s="81"/>
      <c r="HV80" s="81"/>
      <c r="HW80" s="81"/>
    </row>
    <row r="81" spans="1:231" ht="16.5" x14ac:dyDescent="0.3">
      <c r="B81" s="93"/>
      <c r="C81" s="86"/>
      <c r="D81" s="86"/>
      <c r="E81" s="87"/>
      <c r="F81" s="87"/>
      <c r="G81" s="87"/>
      <c r="H81" s="89"/>
      <c r="I81" s="87"/>
      <c r="J81" s="94"/>
      <c r="K81" s="94"/>
      <c r="L81" s="94"/>
      <c r="M81" s="94"/>
      <c r="N81" s="9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  <c r="FU81" s="81"/>
      <c r="FV81" s="81"/>
      <c r="FW81" s="81"/>
      <c r="FX81" s="81"/>
      <c r="FY81" s="81"/>
      <c r="FZ81" s="81"/>
      <c r="GA81" s="81"/>
      <c r="GB81" s="81"/>
      <c r="GC81" s="81"/>
      <c r="GD81" s="81"/>
      <c r="GE81" s="81"/>
      <c r="GF81" s="81"/>
      <c r="GG81" s="81"/>
      <c r="GH81" s="81"/>
      <c r="GI81" s="81"/>
      <c r="GJ81" s="81"/>
      <c r="GK81" s="81"/>
      <c r="GL81" s="81"/>
      <c r="GM81" s="81"/>
      <c r="GN81" s="81"/>
      <c r="GO81" s="81"/>
      <c r="GP81" s="81"/>
      <c r="GQ81" s="81"/>
      <c r="GR81" s="81"/>
      <c r="GS81" s="81"/>
      <c r="GT81" s="81"/>
      <c r="GU81" s="81"/>
      <c r="GV81" s="81"/>
      <c r="GW81" s="81"/>
      <c r="GX81" s="81"/>
      <c r="GY81" s="81"/>
      <c r="GZ81" s="81"/>
      <c r="HA81" s="81"/>
      <c r="HB81" s="81"/>
      <c r="HC81" s="81"/>
      <c r="HD81" s="81"/>
      <c r="HE81" s="81"/>
      <c r="HF81" s="81"/>
      <c r="HG81" s="81"/>
      <c r="HH81" s="81"/>
      <c r="HI81" s="81"/>
      <c r="HJ81" s="81"/>
      <c r="HK81" s="81"/>
      <c r="HL81" s="81"/>
      <c r="HM81" s="81"/>
      <c r="HN81" s="81"/>
      <c r="HO81" s="81"/>
      <c r="HP81" s="81"/>
      <c r="HQ81" s="81"/>
      <c r="HR81" s="81"/>
      <c r="HS81" s="81"/>
      <c r="HT81" s="81"/>
      <c r="HU81" s="81"/>
      <c r="HV81" s="81"/>
      <c r="HW81" s="81"/>
    </row>
    <row r="82" spans="1:231" ht="20.25" customHeight="1" x14ac:dyDescent="0.3">
      <c r="A82" s="96" t="s">
        <v>143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</row>
    <row r="83" spans="1:231" ht="16.5" hidden="1" x14ac:dyDescent="0.3">
      <c r="A83" s="96" t="s">
        <v>144</v>
      </c>
      <c r="B83" s="96"/>
      <c r="C83" s="97" t="s">
        <v>145</v>
      </c>
      <c r="D83" s="97"/>
      <c r="E83" s="97"/>
      <c r="F83" s="96" t="s">
        <v>146</v>
      </c>
      <c r="G83" s="96"/>
      <c r="H83" s="96"/>
      <c r="I83" s="97" t="s">
        <v>147</v>
      </c>
      <c r="J83" s="97"/>
      <c r="K83" s="97"/>
      <c r="L83" s="97" t="s">
        <v>148</v>
      </c>
      <c r="M83" s="97"/>
      <c r="N83" s="97"/>
    </row>
    <row r="84" spans="1:231" ht="16.5" x14ac:dyDescent="0.35">
      <c r="A84" s="95" t="s">
        <v>149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</row>
  </sheetData>
  <mergeCells count="38">
    <mergeCell ref="A6:N6"/>
    <mergeCell ref="A1:N1"/>
    <mergeCell ref="A2:N2"/>
    <mergeCell ref="A3:N3"/>
    <mergeCell ref="A4:D4"/>
    <mergeCell ref="A5:D5"/>
    <mergeCell ref="D17:J17"/>
    <mergeCell ref="A8:A9"/>
    <mergeCell ref="B8:B9"/>
    <mergeCell ref="C8:C9"/>
    <mergeCell ref="D8:D9"/>
    <mergeCell ref="E8:J8"/>
    <mergeCell ref="L8:L9"/>
    <mergeCell ref="N8:N9"/>
    <mergeCell ref="D14:J14"/>
    <mergeCell ref="D15:J15"/>
    <mergeCell ref="D16:J16"/>
    <mergeCell ref="K8:K9"/>
    <mergeCell ref="E80:G80"/>
    <mergeCell ref="J80:M80"/>
    <mergeCell ref="D18:J18"/>
    <mergeCell ref="D19:J19"/>
    <mergeCell ref="D20:J20"/>
    <mergeCell ref="D21:J21"/>
    <mergeCell ref="D22:J22"/>
    <mergeCell ref="D63:K63"/>
    <mergeCell ref="D64:K64"/>
    <mergeCell ref="A72:C72"/>
    <mergeCell ref="I74:N74"/>
    <mergeCell ref="D75:H75"/>
    <mergeCell ref="J75:M75"/>
    <mergeCell ref="A84:N84"/>
    <mergeCell ref="A82:N82"/>
    <mergeCell ref="A83:B83"/>
    <mergeCell ref="C83:E83"/>
    <mergeCell ref="F83:H83"/>
    <mergeCell ref="I83:K83"/>
    <mergeCell ref="L83:N83"/>
  </mergeCells>
  <pageMargins left="0.48622047200000001" right="0.25" top="0.43307086614173201" bottom="0.511811023622047" header="0.31496062992126" footer="0.31496062992126"/>
  <pageSetup paperSize="9" scale="98" orientation="landscape" r:id="rId1"/>
  <headerFooter>
    <oddFooter>&amp;RKHSXT09.2025 &amp;P/3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BCSX T9</vt:lpstr>
      <vt:lpstr>'BCSX T9'!Print_Titles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Lan Anh Tran</cp:lastModifiedBy>
  <dcterms:created xsi:type="dcterms:W3CDTF">2025-10-01T08:07:37Z</dcterms:created>
  <dcterms:modified xsi:type="dcterms:W3CDTF">2025-10-01T09:38:12Z</dcterms:modified>
</cp:coreProperties>
</file>