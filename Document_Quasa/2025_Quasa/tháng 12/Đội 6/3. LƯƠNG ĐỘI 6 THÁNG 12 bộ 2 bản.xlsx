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0" yWindow="0" windowWidth="20490" windowHeight="7620" tabRatio="790" firstSheet="7" activeTab="7"/>
  </bookViews>
  <sheets>
    <sheet name="bcsx  t10 + cdc IN KÝ" sheetId="343" state="hidden" r:id="rId1"/>
    <sheet name="Thanh toán mủ dây" sheetId="329" state="hidden" r:id="rId2"/>
    <sheet name="Biểu 2 TH MỦ dây" sheetId="323" state="hidden" r:id="rId3"/>
    <sheet name="SẢN LƯỢNG  SERUM THÁNG 12" sheetId="348" state="hidden" r:id="rId4"/>
    <sheet name="Phu cấp cây non" sheetId="345" state="hidden" r:id="rId5"/>
    <sheet name="Biểu 1 TH CÔNG" sheetId="346" state="hidden" r:id="rId6"/>
    <sheet name="Biểu 2 TH MỦ TẠP" sheetId="344" state="hidden" r:id="rId7"/>
    <sheet name="LƯƠNG KT" sheetId="31" r:id="rId8"/>
    <sheet name="PLcon" sheetId="334" state="hidden" r:id="rId9"/>
    <sheet name="CÁCH TÍNH LƯƠNG" sheetId="187" state="hidden" r:id="rId10"/>
    <sheet name="BCC BẢO VỆ" sheetId="320" r:id="rId11"/>
    <sheet name="LƯƠNG BV9THUC gộp pc ng viết" sheetId="341" r:id="rId12"/>
    <sheet name="LƯƠNG CNTT new" sheetId="339" r:id="rId13"/>
    <sheet name="BẢNG PHÂN TOÁN " sheetId="317" r:id="rId14"/>
    <sheet name="THUÊ TNCN" sheetId="328" state="hidden" r:id="rId15"/>
    <sheet name="CV KHÁC" sheetId="56" state="hidden" r:id="rId16"/>
    <sheet name="THANH TOÁN CV KHÁC" sheetId="340" state="hidden" r:id="rId17"/>
    <sheet name="chấm công  nv đội 6" sheetId="327" state="hidden" r:id="rId18"/>
    <sheet name="LƯƠNG BV9THUC" sheetId="30" state="hidden" r:id="rId19"/>
    <sheet name="Phụ cấp người việt" sheetId="326" state="hidden" r:id="rId20"/>
    <sheet name="KTCB" sheetId="54" state="hidden" r:id="rId21"/>
    <sheet name="KEO LAI" sheetId="337" r:id="rId22"/>
  </sheets>
  <externalReferences>
    <externalReference r:id="rId23"/>
    <externalReference r:id="rId24"/>
    <externalReference r:id="rId25"/>
    <externalReference r:id="rId26"/>
    <externalReference r:id="rId27"/>
    <externalReference r:id="rId28"/>
    <externalReference r:id="rId29"/>
  </externalReferences>
  <definedNames>
    <definedName name="_xlnm._FilterDatabase" localSheetId="6" hidden="1">'Biểu 2 TH MỦ TẠP'!$A$10:$AW$88</definedName>
    <definedName name="_xlnm._FilterDatabase" localSheetId="7" hidden="1">'LƯƠNG KT'!$A$13:$GX$98</definedName>
    <definedName name="_xlnm._FilterDatabase" localSheetId="3" hidden="1">'SẢN LƯỢNG  SERUM THÁNG 12'!$A$11:$AQ$14</definedName>
    <definedName name="_xlnm.Print_Area" localSheetId="13">'BẢNG PHÂN TOÁN '!$A$1:$G$45</definedName>
    <definedName name="_xlnm.Print_Area" localSheetId="10">'BCC BẢO VỆ'!$A$1:$AQ$29</definedName>
    <definedName name="_xlnm.Print_Area" localSheetId="0">'bcsx  t10 + cdc IN KÝ'!$A$1:$P$83</definedName>
    <definedName name="_xlnm.Print_Area" localSheetId="5">'Biểu 1 TH CÔNG'!$A$1:$AN$123</definedName>
    <definedName name="_xlnm.Print_Area" localSheetId="2">'Biểu 2 TH MỦ dây'!$A$1:$AL$63</definedName>
    <definedName name="_xlnm.Print_Area" localSheetId="6">'Biểu 2 TH MỦ TẠP'!$A$1:$AQ$113</definedName>
    <definedName name="_xlnm.Print_Area" localSheetId="9">'CÁCH TÍNH LƯƠNG'!$A$1:$Q$27</definedName>
    <definedName name="_xlnm.Print_Area" localSheetId="15">'CV KHÁC'!$A$1:$H$25</definedName>
    <definedName name="_xlnm.Print_Area" localSheetId="17">'chấm công  nv đội 6'!$A$1:$AU$31</definedName>
    <definedName name="_xlnm.Print_Area" localSheetId="21">'KEO LAI'!$A$1:$G$37</definedName>
    <definedName name="_xlnm.Print_Area" localSheetId="20">KTCB!$A$1:$G$26</definedName>
    <definedName name="_xlnm.Print_Area" localSheetId="18">'LƯƠNG BV9THUC'!$A$1:$K$23</definedName>
    <definedName name="_xlnm.Print_Area" localSheetId="11">'LƯƠNG BV9THUC gộp pc ng viết'!$A$1:$N$33</definedName>
    <definedName name="_xlnm.Print_Area" localSheetId="12">'LƯƠNG CNTT new'!$A$1:$AC$26</definedName>
    <definedName name="_xlnm.Print_Area" localSheetId="7">'LƯƠNG KT'!$A$1:$AA$107</definedName>
    <definedName name="_xlnm.Print_Area" localSheetId="8">PLcon!$A$1:$J$609</definedName>
    <definedName name="_xlnm.Print_Area" localSheetId="4">'Phu cấp cây non'!$A$1:$AI$33</definedName>
    <definedName name="_xlnm.Print_Area" localSheetId="19">'Phụ cấp người việt'!$A$1:$J$24</definedName>
    <definedName name="_xlnm.Print_Area" localSheetId="3">'SẢN LƯỢNG  SERUM THÁNG 12'!$A$1:$AI$27</definedName>
    <definedName name="_xlnm.Print_Area" localSheetId="16">'THANH TOÁN CV KHÁC'!$A$1:$I$26</definedName>
    <definedName name="_xlnm.Print_Area" localSheetId="1">'Thanh toán mủ dây'!$A$1:$AJ$75</definedName>
    <definedName name="_xlnm.Print_Titles" localSheetId="13">'BẢNG PHÂN TOÁN '!$11:$11</definedName>
    <definedName name="_xlnm.Print_Titles" localSheetId="0">'bcsx  t10 + cdc IN KÝ'!$10:$11</definedName>
    <definedName name="_xlnm.Print_Titles" localSheetId="5">'Biểu 1 TH CÔNG'!$9:$10</definedName>
    <definedName name="_xlnm.Print_Titles" localSheetId="2">'Biểu 2 TH MỦ dây'!$8:$9</definedName>
    <definedName name="_xlnm.Print_Titles" localSheetId="6">'Biểu 2 TH MỦ TẠP'!$9:$10</definedName>
    <definedName name="_xlnm.Print_Titles" localSheetId="9">'CÁCH TÍNH LƯƠNG'!$9:$9</definedName>
    <definedName name="_xlnm.Print_Titles" localSheetId="15">'CV KHÁC'!$9:$10</definedName>
    <definedName name="_xlnm.Print_Titles" localSheetId="17">'chấm công  nv đội 6'!$10:$11</definedName>
    <definedName name="_xlnm.Print_Titles" localSheetId="21">'KEO LAI'!$9:$9</definedName>
    <definedName name="_xlnm.Print_Titles" localSheetId="20">KTCB!$9:$11</definedName>
    <definedName name="_xlnm.Print_Titles" localSheetId="18">'LƯƠNG BV9THUC'!$9:$10</definedName>
    <definedName name="_xlnm.Print_Titles" localSheetId="11">'LƯƠNG BV9THUC gộp pc ng viết'!$9:$10</definedName>
    <definedName name="_xlnm.Print_Titles" localSheetId="12">'LƯƠNG CNTT new'!$B:$E,'LƯƠNG CNTT new'!$10:$11</definedName>
    <definedName name="_xlnm.Print_Titles" localSheetId="7">'LƯƠNG KT'!$10:$12</definedName>
    <definedName name="_xlnm.Print_Titles" localSheetId="3">'SẢN LƯỢNG  SERUM THÁNG 12'!$9:$10</definedName>
    <definedName name="_xlnm.Print_Titles" localSheetId="16">'THANH TOÁN CV KHÁC'!$9:$10</definedName>
    <definedName name="_xlnm.Print_Titles" localSheetId="1">'Thanh toán mủ dây'!$9:$10</definedName>
    <definedName name="So_XN" localSheetId="3">[1]PHATSINH!$B$6:$B$2093</definedName>
    <definedName name="So_XN">[2]PHATSINH!$B$6:$B$2093</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2" i="31" l="1"/>
  <c r="I19" i="317"/>
  <c r="I18" i="317"/>
  <c r="H18" i="317"/>
  <c r="H19" i="317"/>
  <c r="I14" i="317"/>
  <c r="H14" i="317"/>
  <c r="P90" i="31" l="1"/>
  <c r="P91" i="31"/>
  <c r="X90" i="31"/>
  <c r="E24" i="317" l="1"/>
  <c r="E23" i="317"/>
  <c r="E22" i="317"/>
  <c r="E21" i="317"/>
  <c r="E20" i="317"/>
  <c r="X14" i="31"/>
  <c r="X15" i="31"/>
  <c r="X16" i="31"/>
  <c r="X17" i="31"/>
  <c r="X18" i="31"/>
  <c r="X19" i="31"/>
  <c r="X20" i="31"/>
  <c r="X21" i="31"/>
  <c r="X22" i="31"/>
  <c r="X23" i="31"/>
  <c r="X24" i="31"/>
  <c r="X25" i="31"/>
  <c r="X26" i="31"/>
  <c r="X27" i="31"/>
  <c r="X28" i="31"/>
  <c r="X29" i="31"/>
  <c r="X30" i="31"/>
  <c r="X31" i="31"/>
  <c r="X32" i="31"/>
  <c r="X33" i="31"/>
  <c r="X34" i="31"/>
  <c r="X35" i="31"/>
  <c r="X36" i="31"/>
  <c r="X37" i="31"/>
  <c r="X38" i="31"/>
  <c r="X39" i="31"/>
  <c r="X40" i="31"/>
  <c r="X41" i="31"/>
  <c r="X42" i="31"/>
  <c r="X43" i="31"/>
  <c r="X44" i="31"/>
  <c r="X45" i="31"/>
  <c r="X46" i="31"/>
  <c r="X47" i="31"/>
  <c r="X48" i="31"/>
  <c r="X49" i="31"/>
  <c r="X50" i="31"/>
  <c r="X51" i="31"/>
  <c r="X52" i="31"/>
  <c r="X53" i="31"/>
  <c r="X54" i="31"/>
  <c r="X55" i="31"/>
  <c r="X56" i="31"/>
  <c r="X57" i="31"/>
  <c r="X58" i="31"/>
  <c r="X59" i="31"/>
  <c r="X60" i="31"/>
  <c r="X61" i="31"/>
  <c r="X62" i="31"/>
  <c r="X63" i="31"/>
  <c r="X64" i="31"/>
  <c r="X65" i="31"/>
  <c r="X66" i="31"/>
  <c r="X67" i="31"/>
  <c r="X68" i="31"/>
  <c r="X69" i="31"/>
  <c r="X70" i="31"/>
  <c r="X71" i="31"/>
  <c r="X72" i="31"/>
  <c r="X73" i="31"/>
  <c r="X74" i="31"/>
  <c r="X75" i="31"/>
  <c r="X76" i="31"/>
  <c r="X77" i="31"/>
  <c r="X78" i="31"/>
  <c r="X79" i="31"/>
  <c r="X80" i="31"/>
  <c r="X81" i="31"/>
  <c r="X82" i="31"/>
  <c r="X83" i="31"/>
  <c r="X84" i="31"/>
  <c r="X85" i="31"/>
  <c r="X86" i="31"/>
  <c r="X87" i="31"/>
  <c r="X88" i="31"/>
  <c r="X89" i="31"/>
  <c r="X91" i="31"/>
  <c r="X92" i="31"/>
  <c r="X13" i="31"/>
  <c r="D18" i="317" l="1"/>
  <c r="O17" i="187"/>
  <c r="O16" i="187"/>
  <c r="O15" i="187"/>
  <c r="O14" i="187"/>
  <c r="O13" i="187"/>
  <c r="O12" i="187"/>
  <c r="K13" i="187"/>
  <c r="K14" i="187"/>
  <c r="K15" i="187"/>
  <c r="K16" i="187"/>
  <c r="K17" i="187"/>
  <c r="K12" i="187"/>
  <c r="Y91" i="31" l="1"/>
  <c r="N47" i="31" l="1"/>
  <c r="N91" i="31"/>
  <c r="N92" i="31"/>
  <c r="AH12" i="348" l="1"/>
  <c r="AK14" i="348"/>
  <c r="AJ14" i="348"/>
  <c r="AF14" i="348"/>
  <c r="AE14" i="348"/>
  <c r="AD14" i="348"/>
  <c r="AC14" i="348"/>
  <c r="AB14" i="348"/>
  <c r="AA14" i="348"/>
  <c r="Z14" i="348"/>
  <c r="Y14" i="348"/>
  <c r="X14" i="348"/>
  <c r="W14" i="348"/>
  <c r="V14" i="348"/>
  <c r="U14" i="348"/>
  <c r="T14" i="348"/>
  <c r="S14" i="348"/>
  <c r="R14" i="348"/>
  <c r="Q14" i="348"/>
  <c r="P14" i="348"/>
  <c r="O14" i="348"/>
  <c r="N14" i="348"/>
  <c r="M14" i="348"/>
  <c r="L14" i="348"/>
  <c r="K14" i="348"/>
  <c r="J14" i="348"/>
  <c r="I14" i="348"/>
  <c r="H14" i="348"/>
  <c r="G14" i="348"/>
  <c r="F14" i="348"/>
  <c r="E14" i="348"/>
  <c r="D14" i="348"/>
  <c r="C14" i="348"/>
  <c r="B14" i="348"/>
  <c r="AG13" i="348"/>
  <c r="AG12" i="348"/>
  <c r="AK10" i="348"/>
  <c r="AG14" i="348" l="1"/>
  <c r="AL14" i="348" s="1"/>
  <c r="AH13" i="348"/>
  <c r="AH14" i="348" s="1"/>
  <c r="C47" i="346" l="1"/>
  <c r="C48" i="346"/>
  <c r="C49" i="346"/>
  <c r="C50" i="346"/>
  <c r="C51" i="346"/>
  <c r="C52" i="346"/>
  <c r="C53" i="346"/>
  <c r="C54" i="346"/>
  <c r="C55" i="346"/>
  <c r="C56" i="346"/>
  <c r="C57" i="346"/>
  <c r="C58" i="346"/>
  <c r="C59" i="346"/>
  <c r="C60" i="346"/>
  <c r="C61" i="346"/>
  <c r="C62" i="346"/>
  <c r="C63" i="346"/>
  <c r="C64" i="346"/>
  <c r="C65" i="346"/>
  <c r="C66" i="346"/>
  <c r="C67" i="346"/>
  <c r="C68" i="346"/>
  <c r="C69" i="346"/>
  <c r="C70" i="346"/>
  <c r="C71" i="346"/>
  <c r="C72" i="346"/>
  <c r="C73" i="346"/>
  <c r="C74" i="346"/>
  <c r="C75" i="346"/>
  <c r="C76" i="346"/>
  <c r="C77" i="346"/>
  <c r="C78" i="346"/>
  <c r="C79" i="346"/>
  <c r="C80" i="346"/>
  <c r="C81" i="346"/>
  <c r="C82" i="346"/>
  <c r="C83" i="346"/>
  <c r="C84" i="346"/>
  <c r="C85" i="346"/>
  <c r="C86" i="346"/>
  <c r="C87" i="346"/>
  <c r="C88" i="346"/>
  <c r="C46" i="346"/>
  <c r="C12" i="346" l="1"/>
  <c r="C13" i="346"/>
  <c r="C14" i="346"/>
  <c r="C15" i="346"/>
  <c r="C16" i="346"/>
  <c r="C17" i="346"/>
  <c r="C18" i="346"/>
  <c r="C19" i="346"/>
  <c r="C20" i="346"/>
  <c r="C21" i="346"/>
  <c r="C22" i="346"/>
  <c r="C23" i="346"/>
  <c r="C24" i="346"/>
  <c r="C25" i="346"/>
  <c r="C26" i="346"/>
  <c r="C27" i="346"/>
  <c r="C28" i="346"/>
  <c r="C29" i="346"/>
  <c r="C30" i="346"/>
  <c r="C31" i="346"/>
  <c r="C32" i="346"/>
  <c r="C33" i="346"/>
  <c r="C34" i="346"/>
  <c r="C35" i="346"/>
  <c r="C36" i="346"/>
  <c r="C37" i="346"/>
  <c r="C38" i="346"/>
  <c r="C39" i="346"/>
  <c r="C40" i="346"/>
  <c r="C41" i="346"/>
  <c r="C42" i="346"/>
  <c r="C43" i="346"/>
  <c r="C44" i="346"/>
  <c r="C45" i="346"/>
  <c r="C11" i="346"/>
  <c r="F17" i="339" l="1"/>
  <c r="AE14" i="339" l="1"/>
  <c r="AE15" i="339"/>
  <c r="AE16" i="339"/>
  <c r="AD16" i="339"/>
  <c r="AD15" i="339"/>
  <c r="AD14" i="339"/>
  <c r="L13" i="339"/>
  <c r="L17" i="339" s="1"/>
  <c r="K13" i="339"/>
  <c r="K17" i="339" s="1"/>
  <c r="F25" i="337"/>
  <c r="D25" i="337"/>
  <c r="D11" i="337"/>
  <c r="D12" i="337"/>
  <c r="D13" i="337"/>
  <c r="D14" i="337"/>
  <c r="D15" i="337"/>
  <c r="D16" i="337"/>
  <c r="D17" i="337"/>
  <c r="D18" i="337"/>
  <c r="D19" i="337"/>
  <c r="D20" i="337"/>
  <c r="D21" i="337"/>
  <c r="D22" i="337"/>
  <c r="D23" i="337"/>
  <c r="D24" i="337"/>
  <c r="D10" i="337"/>
  <c r="G16" i="339"/>
  <c r="I23" i="341"/>
  <c r="J23" i="341"/>
  <c r="K23" i="341"/>
  <c r="L23" i="341"/>
  <c r="H23" i="341"/>
  <c r="G13" i="326"/>
  <c r="K21" i="341"/>
  <c r="K22" i="341"/>
  <c r="H20" i="341"/>
  <c r="I20" i="341"/>
  <c r="J20" i="341"/>
  <c r="G20" i="341"/>
  <c r="I22" i="341"/>
  <c r="I21" i="341"/>
  <c r="J11" i="341"/>
  <c r="I11" i="341"/>
  <c r="H11" i="341"/>
  <c r="K11" i="341"/>
  <c r="L11" i="341"/>
  <c r="G11" i="341"/>
  <c r="I15" i="341"/>
  <c r="K15" i="341"/>
  <c r="J17" i="341"/>
  <c r="J18" i="341"/>
  <c r="L18" i="341" s="1"/>
  <c r="J19" i="341"/>
  <c r="L19" i="341" s="1"/>
  <c r="J16" i="341"/>
  <c r="J15" i="341" s="1"/>
  <c r="H15" i="341"/>
  <c r="G15" i="341"/>
  <c r="H17" i="341"/>
  <c r="H18" i="341"/>
  <c r="H16" i="341"/>
  <c r="L17" i="341" l="1"/>
  <c r="L16" i="341"/>
  <c r="L15" i="341" s="1"/>
  <c r="P47" i="31" l="1"/>
  <c r="P92" i="31"/>
  <c r="L95" i="31"/>
  <c r="J607" i="334" l="1"/>
  <c r="D607" i="334"/>
  <c r="H596" i="334"/>
  <c r="I604" i="334" s="1"/>
  <c r="G595" i="334"/>
  <c r="A595" i="334"/>
  <c r="J592" i="334"/>
  <c r="D592" i="334"/>
  <c r="G580" i="334"/>
  <c r="A580" i="334"/>
  <c r="J577" i="334"/>
  <c r="D577" i="334"/>
  <c r="G565" i="334"/>
  <c r="A565" i="334"/>
  <c r="J562" i="334"/>
  <c r="G550" i="334"/>
  <c r="D562" i="334"/>
  <c r="A550" i="334"/>
  <c r="J547" i="334"/>
  <c r="D547" i="334"/>
  <c r="H537" i="334"/>
  <c r="I544" i="334" s="1"/>
  <c r="G536" i="334"/>
  <c r="A536" i="334"/>
  <c r="J533" i="334"/>
  <c r="D533" i="334"/>
  <c r="G522" i="334"/>
  <c r="A522" i="334"/>
  <c r="J519" i="334"/>
  <c r="D519" i="334"/>
  <c r="G508" i="334"/>
  <c r="A508" i="334"/>
  <c r="J505" i="334"/>
  <c r="D505" i="334"/>
  <c r="G494" i="334"/>
  <c r="A494" i="334"/>
  <c r="J491" i="334"/>
  <c r="D491" i="334"/>
  <c r="G480" i="334"/>
  <c r="A480" i="334"/>
  <c r="J477" i="334"/>
  <c r="D477" i="334"/>
  <c r="G466" i="334"/>
  <c r="A466" i="334"/>
  <c r="J463" i="334"/>
  <c r="D463" i="334"/>
  <c r="G452" i="334"/>
  <c r="A452" i="334"/>
  <c r="J449" i="334"/>
  <c r="D449" i="334"/>
  <c r="G438" i="334"/>
  <c r="A438" i="334"/>
  <c r="J435" i="334"/>
  <c r="D435" i="334"/>
  <c r="G424" i="334"/>
  <c r="A424" i="334"/>
  <c r="J421" i="334"/>
  <c r="D421" i="334"/>
  <c r="G410" i="334"/>
  <c r="A410" i="334"/>
  <c r="J407" i="334"/>
  <c r="D407" i="334"/>
  <c r="G396" i="334"/>
  <c r="A396" i="334"/>
  <c r="J393" i="334"/>
  <c r="D393" i="334"/>
  <c r="G382" i="334"/>
  <c r="A382" i="334"/>
  <c r="J379" i="334"/>
  <c r="D379" i="334"/>
  <c r="G368" i="334"/>
  <c r="A368" i="334"/>
  <c r="J365" i="334"/>
  <c r="D365" i="334"/>
  <c r="G354" i="334"/>
  <c r="A354" i="334"/>
  <c r="J351" i="334"/>
  <c r="D351" i="334"/>
  <c r="G340" i="334"/>
  <c r="A340" i="334"/>
  <c r="J337" i="334"/>
  <c r="D337" i="334"/>
  <c r="G326" i="334"/>
  <c r="A326" i="334"/>
  <c r="J323" i="334"/>
  <c r="D323" i="334"/>
  <c r="G312" i="334"/>
  <c r="A312" i="334"/>
  <c r="J309" i="334"/>
  <c r="D309" i="334"/>
  <c r="G298" i="334"/>
  <c r="A298" i="334"/>
  <c r="J295" i="334"/>
  <c r="G284" i="334"/>
  <c r="J276" i="334"/>
  <c r="D276" i="334"/>
  <c r="I266" i="334"/>
  <c r="J266" i="334" s="1"/>
  <c r="C266" i="334"/>
  <c r="D266" i="334" s="1"/>
  <c r="H265" i="334"/>
  <c r="J273" i="334" s="1"/>
  <c r="G264" i="334"/>
  <c r="A264" i="334"/>
  <c r="J261" i="334"/>
  <c r="D261" i="334"/>
  <c r="I251" i="334"/>
  <c r="J251" i="334" s="1"/>
  <c r="C251" i="334"/>
  <c r="D251" i="334" s="1"/>
  <c r="G249" i="334"/>
  <c r="A249" i="334"/>
  <c r="J246" i="334"/>
  <c r="D246" i="334"/>
  <c r="I236" i="334"/>
  <c r="J236" i="334" s="1"/>
  <c r="C236" i="334"/>
  <c r="D236" i="334" s="1"/>
  <c r="G234" i="334"/>
  <c r="A234" i="334"/>
  <c r="J230" i="334"/>
  <c r="D230" i="334"/>
  <c r="I220" i="334"/>
  <c r="J220" i="334" s="1"/>
  <c r="C220" i="334"/>
  <c r="D220" i="334" s="1"/>
  <c r="G218" i="334"/>
  <c r="A218" i="334"/>
  <c r="J215" i="334"/>
  <c r="D215" i="334"/>
  <c r="I205" i="334"/>
  <c r="J205" i="334" s="1"/>
  <c r="C205" i="334"/>
  <c r="D205" i="334" s="1"/>
  <c r="G203" i="334"/>
  <c r="A203" i="334"/>
  <c r="J199" i="334"/>
  <c r="D199" i="334"/>
  <c r="I189" i="334"/>
  <c r="J189" i="334" s="1"/>
  <c r="C189" i="334"/>
  <c r="D189" i="334" s="1"/>
  <c r="G187" i="334"/>
  <c r="A187" i="334"/>
  <c r="J184" i="334"/>
  <c r="D184" i="334"/>
  <c r="I174" i="334"/>
  <c r="J174" i="334" s="1"/>
  <c r="C174" i="334"/>
  <c r="D174" i="334" s="1"/>
  <c r="G172" i="334"/>
  <c r="A172" i="334"/>
  <c r="J168" i="334"/>
  <c r="D168" i="334"/>
  <c r="I158" i="334"/>
  <c r="J158" i="334" s="1"/>
  <c r="C158" i="334"/>
  <c r="D158" i="334" s="1"/>
  <c r="G156" i="334"/>
  <c r="A156" i="334"/>
  <c r="J153" i="334"/>
  <c r="D153" i="334"/>
  <c r="I143" i="334"/>
  <c r="J143" i="334" s="1"/>
  <c r="C143" i="334"/>
  <c r="D143" i="334" s="1"/>
  <c r="G141" i="334"/>
  <c r="A141" i="334"/>
  <c r="J137" i="334"/>
  <c r="D137" i="334"/>
  <c r="I127" i="334"/>
  <c r="J127" i="334" s="1"/>
  <c r="C127" i="334"/>
  <c r="D127" i="334" s="1"/>
  <c r="G125" i="334"/>
  <c r="A125" i="334"/>
  <c r="J122" i="334"/>
  <c r="D122" i="334"/>
  <c r="I112" i="334"/>
  <c r="J112" i="334" s="1"/>
  <c r="C112" i="334"/>
  <c r="D112" i="334" s="1"/>
  <c r="G110" i="334"/>
  <c r="A110" i="334"/>
  <c r="J106" i="334"/>
  <c r="D106" i="334"/>
  <c r="I96" i="334"/>
  <c r="J96" i="334" s="1"/>
  <c r="C96" i="334"/>
  <c r="D96" i="334" s="1"/>
  <c r="G94" i="334"/>
  <c r="A94" i="334"/>
  <c r="J91" i="334"/>
  <c r="D91" i="334"/>
  <c r="I81" i="334"/>
  <c r="J81" i="334" s="1"/>
  <c r="C81" i="334"/>
  <c r="D81" i="334" s="1"/>
  <c r="G79" i="334"/>
  <c r="A79" i="334"/>
  <c r="J75" i="334"/>
  <c r="D75" i="334"/>
  <c r="I65" i="334"/>
  <c r="J65" i="334" s="1"/>
  <c r="C65" i="334"/>
  <c r="D65" i="334" s="1"/>
  <c r="G63" i="334"/>
  <c r="A63" i="334"/>
  <c r="J60" i="334"/>
  <c r="D60" i="334"/>
  <c r="I50" i="334"/>
  <c r="J50" i="334" s="1"/>
  <c r="C50" i="334"/>
  <c r="D50" i="334" s="1"/>
  <c r="G48" i="334"/>
  <c r="A48" i="334"/>
  <c r="J44" i="334"/>
  <c r="D44" i="334"/>
  <c r="I34" i="334"/>
  <c r="J34" i="334" s="1"/>
  <c r="C34" i="334"/>
  <c r="D34" i="334" s="1"/>
  <c r="G32" i="334"/>
  <c r="A32" i="334"/>
  <c r="J29" i="334"/>
  <c r="D29" i="334"/>
  <c r="I19" i="334"/>
  <c r="J19" i="334" s="1"/>
  <c r="C19" i="334"/>
  <c r="D19" i="334" s="1"/>
  <c r="G17" i="334"/>
  <c r="A17" i="334"/>
  <c r="J13" i="334"/>
  <c r="I3" i="334"/>
  <c r="J3" i="334" s="1"/>
  <c r="G1" i="334"/>
  <c r="M7" i="334"/>
  <c r="M8" i="334"/>
  <c r="L3" i="334"/>
  <c r="L4" i="334"/>
  <c r="L5" i="334"/>
  <c r="L6" i="334"/>
  <c r="L7" i="334"/>
  <c r="L8" i="334"/>
  <c r="J596" i="334" l="1"/>
  <c r="J604" i="334"/>
  <c r="I597" i="334"/>
  <c r="J597" i="334" s="1"/>
  <c r="I598" i="334"/>
  <c r="I599" i="334"/>
  <c r="I600" i="334"/>
  <c r="I602" i="334"/>
  <c r="J537" i="334"/>
  <c r="J544" i="334"/>
  <c r="I538" i="334"/>
  <c r="J538" i="334" s="1"/>
  <c r="I539" i="334"/>
  <c r="I540" i="334"/>
  <c r="I541" i="334"/>
  <c r="I267" i="334"/>
  <c r="I268" i="334"/>
  <c r="I269" i="334"/>
  <c r="I270" i="334"/>
  <c r="I273" i="334"/>
  <c r="J265" i="334"/>
  <c r="H19" i="341"/>
  <c r="I601" i="334" l="1"/>
  <c r="J601" i="334" s="1"/>
  <c r="I603" i="334"/>
  <c r="J603" i="334" s="1"/>
  <c r="I542" i="334"/>
  <c r="J542" i="334" s="1"/>
  <c r="I543" i="334"/>
  <c r="J543" i="334" s="1"/>
  <c r="I271" i="334"/>
  <c r="J271" i="334" s="1"/>
  <c r="I272" i="334"/>
  <c r="J272" i="334" s="1"/>
  <c r="E25" i="317"/>
  <c r="L16" i="340" l="1"/>
  <c r="M44" i="323" l="1"/>
  <c r="E16" i="340" l="1"/>
  <c r="H15" i="340"/>
  <c r="H16" i="340" s="1"/>
  <c r="H13" i="340"/>
  <c r="H14" i="340"/>
  <c r="F14" i="56"/>
  <c r="D14" i="56"/>
  <c r="F12" i="56"/>
  <c r="F13" i="56"/>
  <c r="J21" i="341" l="1"/>
  <c r="D12" i="328" s="1"/>
  <c r="H13" i="187"/>
  <c r="H14" i="187"/>
  <c r="H15" i="187"/>
  <c r="H16" i="187"/>
  <c r="P93" i="31" l="1"/>
  <c r="P94" i="31"/>
  <c r="AH92" i="346"/>
  <c r="AG92" i="346"/>
  <c r="AF92" i="346"/>
  <c r="AE92" i="346"/>
  <c r="AD92" i="346"/>
  <c r="AC92" i="346"/>
  <c r="AB92" i="346"/>
  <c r="AA92" i="346"/>
  <c r="Z92" i="346"/>
  <c r="Y92" i="346"/>
  <c r="X92" i="346"/>
  <c r="W92" i="346"/>
  <c r="V92" i="346"/>
  <c r="U92" i="346"/>
  <c r="T92" i="346"/>
  <c r="S92" i="346"/>
  <c r="R92" i="346"/>
  <c r="Q92" i="346"/>
  <c r="P92" i="346"/>
  <c r="O92" i="346"/>
  <c r="N92" i="346"/>
  <c r="M92" i="346"/>
  <c r="L92" i="346"/>
  <c r="K92" i="346"/>
  <c r="J92" i="346"/>
  <c r="I92" i="346"/>
  <c r="H92" i="346"/>
  <c r="G92" i="346"/>
  <c r="F92" i="346"/>
  <c r="E92" i="346"/>
  <c r="D92" i="346"/>
  <c r="AL91" i="346"/>
  <c r="AK91" i="346"/>
  <c r="AJ91" i="346"/>
  <c r="AI91" i="346"/>
  <c r="AM91" i="346" s="1"/>
  <c r="C91" i="346"/>
  <c r="D94" i="31" s="1"/>
  <c r="AL90" i="346"/>
  <c r="AK90" i="346"/>
  <c r="AJ90" i="346"/>
  <c r="AI90" i="346"/>
  <c r="AM90" i="346" s="1"/>
  <c r="C90" i="346"/>
  <c r="AL89" i="346"/>
  <c r="AK89" i="346"/>
  <c r="AJ89" i="346"/>
  <c r="AI89" i="346"/>
  <c r="AM89" i="346" s="1"/>
  <c r="C89" i="346"/>
  <c r="AL88" i="346"/>
  <c r="AK88" i="346"/>
  <c r="AJ88" i="346"/>
  <c r="AI88" i="346"/>
  <c r="D90" i="31"/>
  <c r="AL87" i="346"/>
  <c r="AK87" i="346"/>
  <c r="AJ87" i="346"/>
  <c r="AI87" i="346"/>
  <c r="D89" i="31"/>
  <c r="AL86" i="346"/>
  <c r="AK86" i="346"/>
  <c r="AJ86" i="346"/>
  <c r="AI86" i="346"/>
  <c r="D88" i="31"/>
  <c r="AL85" i="346"/>
  <c r="AK85" i="346"/>
  <c r="AJ85" i="346"/>
  <c r="AI85" i="346"/>
  <c r="D87" i="31"/>
  <c r="AL84" i="346"/>
  <c r="AK84" i="346"/>
  <c r="AJ84" i="346"/>
  <c r="AI84" i="346"/>
  <c r="D86" i="31"/>
  <c r="AL83" i="346"/>
  <c r="AK83" i="346"/>
  <c r="AJ83" i="346"/>
  <c r="AI83" i="346"/>
  <c r="D85" i="31"/>
  <c r="AL82" i="346"/>
  <c r="AK82" i="346"/>
  <c r="AJ82" i="346"/>
  <c r="AI82" i="346"/>
  <c r="D84" i="31"/>
  <c r="AL81" i="346"/>
  <c r="AK81" i="346"/>
  <c r="AJ81" i="346"/>
  <c r="AI81" i="346"/>
  <c r="D83" i="31"/>
  <c r="AL80" i="346"/>
  <c r="AK80" i="346"/>
  <c r="AJ80" i="346"/>
  <c r="AI80" i="346"/>
  <c r="D82" i="31"/>
  <c r="AL79" i="346"/>
  <c r="AK79" i="346"/>
  <c r="AJ79" i="346"/>
  <c r="AI79" i="346"/>
  <c r="D81" i="31"/>
  <c r="AL78" i="346"/>
  <c r="AK78" i="346"/>
  <c r="AJ78" i="346"/>
  <c r="AI78" i="346"/>
  <c r="D80" i="31"/>
  <c r="AL77" i="346"/>
  <c r="AK77" i="346"/>
  <c r="AJ77" i="346"/>
  <c r="AI77" i="346"/>
  <c r="D79" i="31"/>
  <c r="AL76" i="346"/>
  <c r="AK76" i="346"/>
  <c r="AJ76" i="346"/>
  <c r="AI76" i="346"/>
  <c r="D78" i="31"/>
  <c r="AL75" i="346"/>
  <c r="AK75" i="346"/>
  <c r="AJ75" i="346"/>
  <c r="AI75" i="346"/>
  <c r="D77" i="31"/>
  <c r="AL74" i="346"/>
  <c r="AK74" i="346"/>
  <c r="AJ74" i="346"/>
  <c r="AI74" i="346"/>
  <c r="D76" i="31"/>
  <c r="AL73" i="346"/>
  <c r="AK73" i="346"/>
  <c r="AJ73" i="346"/>
  <c r="AI73" i="346"/>
  <c r="D75" i="31"/>
  <c r="AL72" i="346"/>
  <c r="AK72" i="346"/>
  <c r="AJ72" i="346"/>
  <c r="AI72" i="346"/>
  <c r="D74" i="31"/>
  <c r="AL71" i="346"/>
  <c r="AK71" i="346"/>
  <c r="AJ71" i="346"/>
  <c r="AI71" i="346"/>
  <c r="D73" i="31"/>
  <c r="AL70" i="346"/>
  <c r="AK70" i="346"/>
  <c r="AJ70" i="346"/>
  <c r="AI70" i="346"/>
  <c r="D72" i="31"/>
  <c r="AL69" i="346"/>
  <c r="AK69" i="346"/>
  <c r="AJ69" i="346"/>
  <c r="AI69" i="346"/>
  <c r="D71" i="31"/>
  <c r="AL68" i="346"/>
  <c r="AK68" i="346"/>
  <c r="AJ68" i="346"/>
  <c r="AI68" i="346"/>
  <c r="D70" i="31"/>
  <c r="AL67" i="346"/>
  <c r="AK67" i="346"/>
  <c r="AJ67" i="346"/>
  <c r="AI67" i="346"/>
  <c r="D69" i="31"/>
  <c r="AL66" i="346"/>
  <c r="AK66" i="346"/>
  <c r="AJ66" i="346"/>
  <c r="AI66" i="346"/>
  <c r="D68" i="31"/>
  <c r="AL65" i="346"/>
  <c r="AK65" i="346"/>
  <c r="AJ65" i="346"/>
  <c r="AI65" i="346"/>
  <c r="D67" i="31"/>
  <c r="AL64" i="346"/>
  <c r="AK64" i="346"/>
  <c r="AJ64" i="346"/>
  <c r="AI64" i="346"/>
  <c r="D66" i="31"/>
  <c r="AL63" i="346"/>
  <c r="AK63" i="346"/>
  <c r="AJ63" i="346"/>
  <c r="AI63" i="346"/>
  <c r="D65" i="31"/>
  <c r="AL62" i="346"/>
  <c r="AK62" i="346"/>
  <c r="AJ62" i="346"/>
  <c r="AI62" i="346"/>
  <c r="D64" i="31"/>
  <c r="AL61" i="346"/>
  <c r="AK61" i="346"/>
  <c r="AJ61" i="346"/>
  <c r="AI61" i="346"/>
  <c r="D63" i="31"/>
  <c r="AL60" i="346"/>
  <c r="AK60" i="346"/>
  <c r="AJ60" i="346"/>
  <c r="AI60" i="346"/>
  <c r="D62" i="31"/>
  <c r="AL59" i="346"/>
  <c r="AK59" i="346"/>
  <c r="AJ59" i="346"/>
  <c r="AI59" i="346"/>
  <c r="D61" i="31"/>
  <c r="AL58" i="346"/>
  <c r="AK58" i="346"/>
  <c r="AJ58" i="346"/>
  <c r="AI58" i="346"/>
  <c r="D60" i="31"/>
  <c r="AL57" i="346"/>
  <c r="AK57" i="346"/>
  <c r="AJ57" i="346"/>
  <c r="AI57" i="346"/>
  <c r="D59" i="31"/>
  <c r="AL56" i="346"/>
  <c r="AK56" i="346"/>
  <c r="AJ56" i="346"/>
  <c r="AI56" i="346"/>
  <c r="D58" i="31"/>
  <c r="AL55" i="346"/>
  <c r="AK55" i="346"/>
  <c r="AJ55" i="346"/>
  <c r="AI55" i="346"/>
  <c r="D57" i="31"/>
  <c r="AL54" i="346"/>
  <c r="AK54" i="346"/>
  <c r="AJ54" i="346"/>
  <c r="AI54" i="346"/>
  <c r="D56" i="31"/>
  <c r="AL53" i="346"/>
  <c r="AK53" i="346"/>
  <c r="AJ53" i="346"/>
  <c r="AI53" i="346"/>
  <c r="D55" i="31"/>
  <c r="AL52" i="346"/>
  <c r="AK52" i="346"/>
  <c r="AJ52" i="346"/>
  <c r="AI52" i="346"/>
  <c r="D54" i="31"/>
  <c r="AL51" i="346"/>
  <c r="AK51" i="346"/>
  <c r="AJ51" i="346"/>
  <c r="AI51" i="346"/>
  <c r="D53" i="31"/>
  <c r="AL50" i="346"/>
  <c r="AK50" i="346"/>
  <c r="AJ50" i="346"/>
  <c r="AI50" i="346"/>
  <c r="D52" i="31"/>
  <c r="AL49" i="346"/>
  <c r="AK49" i="346"/>
  <c r="AJ49" i="346"/>
  <c r="AI49" i="346"/>
  <c r="D51" i="31"/>
  <c r="AL48" i="346"/>
  <c r="AK48" i="346"/>
  <c r="AJ48" i="346"/>
  <c r="AI48" i="346"/>
  <c r="D50" i="31"/>
  <c r="AL47" i="346"/>
  <c r="AK47" i="346"/>
  <c r="AJ47" i="346"/>
  <c r="AI47" i="346"/>
  <c r="D49" i="31"/>
  <c r="AL46" i="346"/>
  <c r="AK46" i="346"/>
  <c r="AJ46" i="346"/>
  <c r="AI46" i="346"/>
  <c r="D48" i="31"/>
  <c r="AL45" i="346"/>
  <c r="AK45" i="346"/>
  <c r="AJ45" i="346"/>
  <c r="AI45" i="346"/>
  <c r="D47" i="31"/>
  <c r="B265" i="334" s="1"/>
  <c r="AL44" i="346"/>
  <c r="AK44" i="346"/>
  <c r="AJ44" i="346"/>
  <c r="AI44" i="346"/>
  <c r="B43" i="323"/>
  <c r="AL43" i="346"/>
  <c r="AK43" i="346"/>
  <c r="AJ43" i="346"/>
  <c r="AI43" i="346"/>
  <c r="B42" i="323"/>
  <c r="AL42" i="346"/>
  <c r="AK42" i="346"/>
  <c r="AJ42" i="346"/>
  <c r="AI42" i="346"/>
  <c r="B41" i="323"/>
  <c r="AL41" i="346"/>
  <c r="AK41" i="346"/>
  <c r="AJ41" i="346"/>
  <c r="AI41" i="346"/>
  <c r="B40" i="323"/>
  <c r="AL40" i="346"/>
  <c r="AK40" i="346"/>
  <c r="AJ40" i="346"/>
  <c r="AI40" i="346"/>
  <c r="B39" i="323"/>
  <c r="AL39" i="346"/>
  <c r="AK39" i="346"/>
  <c r="AJ39" i="346"/>
  <c r="AI39" i="346"/>
  <c r="B38" i="323"/>
  <c r="AL38" i="346"/>
  <c r="AK38" i="346"/>
  <c r="AJ38" i="346"/>
  <c r="AI38" i="346"/>
  <c r="B37" i="323"/>
  <c r="AL37" i="346"/>
  <c r="AK37" i="346"/>
  <c r="AJ37" i="346"/>
  <c r="AI37" i="346"/>
  <c r="B36" i="323"/>
  <c r="AL36" i="346"/>
  <c r="AK36" i="346"/>
  <c r="AJ36" i="346"/>
  <c r="AI36" i="346"/>
  <c r="B35" i="323"/>
  <c r="AL35" i="346"/>
  <c r="AK35" i="346"/>
  <c r="AJ35" i="346"/>
  <c r="AI35" i="346"/>
  <c r="B34" i="323"/>
  <c r="AL34" i="346"/>
  <c r="AK34" i="346"/>
  <c r="AJ34" i="346"/>
  <c r="AI34" i="346"/>
  <c r="B33" i="323"/>
  <c r="AL33" i="346"/>
  <c r="AK33" i="346"/>
  <c r="AJ33" i="346"/>
  <c r="AI33" i="346"/>
  <c r="B32" i="323"/>
  <c r="AL32" i="346"/>
  <c r="AK32" i="346"/>
  <c r="AJ32" i="346"/>
  <c r="AI32" i="346"/>
  <c r="B31" i="323"/>
  <c r="AL31" i="346"/>
  <c r="AK31" i="346"/>
  <c r="AJ31" i="346"/>
  <c r="AI31" i="346"/>
  <c r="B30" i="323"/>
  <c r="AL30" i="346"/>
  <c r="AK30" i="346"/>
  <c r="AJ30" i="346"/>
  <c r="AI30" i="346"/>
  <c r="B29" i="323"/>
  <c r="AL29" i="346"/>
  <c r="AK29" i="346"/>
  <c r="AJ29" i="346"/>
  <c r="AI29" i="346"/>
  <c r="B28" i="323"/>
  <c r="AL28" i="346"/>
  <c r="AK28" i="346"/>
  <c r="AJ28" i="346"/>
  <c r="AI28" i="346"/>
  <c r="B27" i="323"/>
  <c r="AL27" i="346"/>
  <c r="AK27" i="346"/>
  <c r="AJ27" i="346"/>
  <c r="AI27" i="346"/>
  <c r="B26" i="323"/>
  <c r="AL26" i="346"/>
  <c r="AK26" i="346"/>
  <c r="AJ26" i="346"/>
  <c r="AI26" i="346"/>
  <c r="B25" i="323"/>
  <c r="AL25" i="346"/>
  <c r="AK25" i="346"/>
  <c r="AJ25" i="346"/>
  <c r="AI25" i="346"/>
  <c r="AL24" i="346"/>
  <c r="AK24" i="346"/>
  <c r="AJ24" i="346"/>
  <c r="AI24" i="346"/>
  <c r="B23" i="323"/>
  <c r="AL23" i="346"/>
  <c r="AK23" i="346"/>
  <c r="AJ23" i="346"/>
  <c r="AI23" i="346"/>
  <c r="B22" i="323"/>
  <c r="AL22" i="346"/>
  <c r="AK22" i="346"/>
  <c r="AJ22" i="346"/>
  <c r="AI22" i="346"/>
  <c r="B21" i="323"/>
  <c r="AL21" i="346"/>
  <c r="AK21" i="346"/>
  <c r="AJ21" i="346"/>
  <c r="AI21" i="346"/>
  <c r="AL20" i="346"/>
  <c r="AK20" i="346"/>
  <c r="AJ20" i="346"/>
  <c r="AI20" i="346"/>
  <c r="B19" i="323"/>
  <c r="AL19" i="346"/>
  <c r="AK19" i="346"/>
  <c r="AJ19" i="346"/>
  <c r="AI19" i="346"/>
  <c r="B18" i="323"/>
  <c r="AL18" i="346"/>
  <c r="AK18" i="346"/>
  <c r="AJ18" i="346"/>
  <c r="AI18" i="346"/>
  <c r="B17" i="323"/>
  <c r="AL17" i="346"/>
  <c r="AK17" i="346"/>
  <c r="AJ17" i="346"/>
  <c r="AI17" i="346"/>
  <c r="B16" i="323"/>
  <c r="AL16" i="346"/>
  <c r="AK16" i="346"/>
  <c r="AJ16" i="346"/>
  <c r="AI16" i="346"/>
  <c r="B15" i="323"/>
  <c r="AL15" i="346"/>
  <c r="AK15" i="346"/>
  <c r="AJ15" i="346"/>
  <c r="AI15" i="346"/>
  <c r="B14" i="323"/>
  <c r="AL14" i="346"/>
  <c r="AK14" i="346"/>
  <c r="AJ14" i="346"/>
  <c r="AI14" i="346"/>
  <c r="B13" i="323"/>
  <c r="AL13" i="346"/>
  <c r="AK13" i="346"/>
  <c r="AJ13" i="346"/>
  <c r="AI13" i="346"/>
  <c r="B12" i="323"/>
  <c r="AL12" i="346"/>
  <c r="AK12" i="346"/>
  <c r="AJ12" i="346"/>
  <c r="AI12" i="346"/>
  <c r="B11" i="323"/>
  <c r="AL11" i="346"/>
  <c r="AK11" i="346"/>
  <c r="AJ11" i="346"/>
  <c r="AI11" i="346"/>
  <c r="B10" i="323"/>
  <c r="AH17" i="345"/>
  <c r="B17" i="345"/>
  <c r="AH16" i="345"/>
  <c r="B16" i="345"/>
  <c r="AH15" i="345"/>
  <c r="B15" i="345"/>
  <c r="AH14" i="345"/>
  <c r="B14" i="345"/>
  <c r="AH13" i="345"/>
  <c r="B13" i="345"/>
  <c r="AH12" i="345"/>
  <c r="B12" i="345"/>
  <c r="AG11" i="345"/>
  <c r="AG18" i="345" s="1"/>
  <c r="AF11" i="345"/>
  <c r="AF18" i="345" s="1"/>
  <c r="AE11" i="345"/>
  <c r="AE18" i="345" s="1"/>
  <c r="AD11" i="345"/>
  <c r="AD18" i="345" s="1"/>
  <c r="AC11" i="345"/>
  <c r="AC18" i="345" s="1"/>
  <c r="AB11" i="345"/>
  <c r="AB18" i="345" s="1"/>
  <c r="AA11" i="345"/>
  <c r="AA18" i="345" s="1"/>
  <c r="Z11" i="345"/>
  <c r="Z18" i="345" s="1"/>
  <c r="Y11" i="345"/>
  <c r="Y18" i="345" s="1"/>
  <c r="X11" i="345"/>
  <c r="X18" i="345" s="1"/>
  <c r="W11" i="345"/>
  <c r="W18" i="345" s="1"/>
  <c r="V11" i="345"/>
  <c r="V18" i="345" s="1"/>
  <c r="U11" i="345"/>
  <c r="U18" i="345" s="1"/>
  <c r="T11" i="345"/>
  <c r="T18" i="345" s="1"/>
  <c r="S11" i="345"/>
  <c r="S18" i="345" s="1"/>
  <c r="R11" i="345"/>
  <c r="R18" i="345" s="1"/>
  <c r="Q11" i="345"/>
  <c r="Q18" i="345" s="1"/>
  <c r="P11" i="345"/>
  <c r="P18" i="345" s="1"/>
  <c r="O11" i="345"/>
  <c r="O18" i="345" s="1"/>
  <c r="N11" i="345"/>
  <c r="N18" i="345" s="1"/>
  <c r="M11" i="345"/>
  <c r="M18" i="345" s="1"/>
  <c r="L11" i="345"/>
  <c r="L18" i="345" s="1"/>
  <c r="K11" i="345"/>
  <c r="K18" i="345" s="1"/>
  <c r="J11" i="345"/>
  <c r="J18" i="345" s="1"/>
  <c r="I11" i="345"/>
  <c r="I18" i="345" s="1"/>
  <c r="H11" i="345"/>
  <c r="H18" i="345" s="1"/>
  <c r="G11" i="345"/>
  <c r="G18" i="345" s="1"/>
  <c r="F11" i="345"/>
  <c r="F18" i="345" s="1"/>
  <c r="E11" i="345"/>
  <c r="E18" i="345" s="1"/>
  <c r="D11" i="345"/>
  <c r="D18" i="345" s="1"/>
  <c r="C11" i="345"/>
  <c r="C18" i="345" s="1"/>
  <c r="AT96" i="344"/>
  <c r="D95" i="344"/>
  <c r="N95" i="344" s="1"/>
  <c r="D94" i="344"/>
  <c r="N94" i="344" s="1"/>
  <c r="D93" i="344"/>
  <c r="AH88" i="344"/>
  <c r="AG88" i="344"/>
  <c r="AF88" i="344"/>
  <c r="AE88" i="344"/>
  <c r="AD88" i="344"/>
  <c r="AC88" i="344"/>
  <c r="AB88" i="344"/>
  <c r="AA88" i="344"/>
  <c r="Z88" i="344"/>
  <c r="Y88" i="344"/>
  <c r="X88" i="344"/>
  <c r="W88" i="344"/>
  <c r="V88" i="344"/>
  <c r="U88" i="344"/>
  <c r="T88" i="344"/>
  <c r="S88" i="344"/>
  <c r="R88" i="344"/>
  <c r="Q88" i="344"/>
  <c r="P88" i="344"/>
  <c r="O88" i="344"/>
  <c r="N88" i="344"/>
  <c r="M88" i="344"/>
  <c r="L88" i="344"/>
  <c r="K88" i="344"/>
  <c r="J88" i="344"/>
  <c r="I88" i="344"/>
  <c r="H88" i="344"/>
  <c r="G88" i="344"/>
  <c r="F88" i="344"/>
  <c r="E88" i="344"/>
  <c r="D88" i="344"/>
  <c r="AW87" i="344"/>
  <c r="AV87" i="344"/>
  <c r="AU87" i="344"/>
  <c r="AJ87" i="344"/>
  <c r="AI87" i="344"/>
  <c r="C87" i="344"/>
  <c r="AW86" i="344"/>
  <c r="AV86" i="344"/>
  <c r="AU86" i="344"/>
  <c r="AJ86" i="344"/>
  <c r="AI86" i="344"/>
  <c r="C86" i="344"/>
  <c r="AJ85" i="344"/>
  <c r="AI85" i="344"/>
  <c r="C85" i="344"/>
  <c r="AJ84" i="344"/>
  <c r="AI84" i="344"/>
  <c r="C84" i="344"/>
  <c r="AJ83" i="344"/>
  <c r="AI83" i="344"/>
  <c r="C83" i="344"/>
  <c r="AJ82" i="344"/>
  <c r="AI82" i="344"/>
  <c r="C82" i="344"/>
  <c r="AJ81" i="344"/>
  <c r="AI81" i="344"/>
  <c r="C81" i="344"/>
  <c r="AJ80" i="344"/>
  <c r="AI80" i="344"/>
  <c r="C80" i="344"/>
  <c r="AJ79" i="344"/>
  <c r="AI79" i="344"/>
  <c r="C79" i="344"/>
  <c r="AJ78" i="344"/>
  <c r="AI78" i="344"/>
  <c r="C78" i="344"/>
  <c r="AJ77" i="344"/>
  <c r="AI77" i="344"/>
  <c r="C77" i="344"/>
  <c r="AJ76" i="344"/>
  <c r="AI76" i="344"/>
  <c r="C76" i="344"/>
  <c r="AJ75" i="344"/>
  <c r="AI75" i="344"/>
  <c r="C75" i="344"/>
  <c r="AJ74" i="344"/>
  <c r="AI74" i="344"/>
  <c r="C74" i="344"/>
  <c r="AJ73" i="344"/>
  <c r="AI73" i="344"/>
  <c r="C73" i="344"/>
  <c r="AJ72" i="344"/>
  <c r="AI72" i="344"/>
  <c r="C72" i="344"/>
  <c r="AJ71" i="344"/>
  <c r="AI71" i="344"/>
  <c r="C71" i="344"/>
  <c r="AJ70" i="344"/>
  <c r="AI70" i="344"/>
  <c r="C70" i="344"/>
  <c r="AJ69" i="344"/>
  <c r="AI69" i="344"/>
  <c r="C69" i="344"/>
  <c r="AJ68" i="344"/>
  <c r="AI68" i="344"/>
  <c r="C68" i="344"/>
  <c r="AJ67" i="344"/>
  <c r="AI67" i="344"/>
  <c r="C67" i="344"/>
  <c r="AJ66" i="344"/>
  <c r="AI66" i="344"/>
  <c r="C66" i="344"/>
  <c r="AJ65" i="344"/>
  <c r="AI65" i="344"/>
  <c r="C65" i="344"/>
  <c r="AJ64" i="344"/>
  <c r="AI64" i="344"/>
  <c r="C64" i="344"/>
  <c r="AJ63" i="344"/>
  <c r="AI63" i="344"/>
  <c r="C63" i="344"/>
  <c r="AJ62" i="344"/>
  <c r="AI62" i="344"/>
  <c r="C62" i="344"/>
  <c r="AJ61" i="344"/>
  <c r="AI61" i="344"/>
  <c r="C61" i="344"/>
  <c r="AJ60" i="344"/>
  <c r="AI60" i="344"/>
  <c r="C60" i="344"/>
  <c r="AJ59" i="344"/>
  <c r="AI59" i="344"/>
  <c r="C59" i="344"/>
  <c r="AJ58" i="344"/>
  <c r="AI58" i="344"/>
  <c r="C58" i="344"/>
  <c r="AJ57" i="344"/>
  <c r="AI57" i="344"/>
  <c r="C57" i="344"/>
  <c r="AJ56" i="344"/>
  <c r="AI56" i="344"/>
  <c r="C56" i="344"/>
  <c r="AJ55" i="344"/>
  <c r="AI55" i="344"/>
  <c r="C55" i="344"/>
  <c r="AJ54" i="344"/>
  <c r="AI54" i="344"/>
  <c r="C54" i="344"/>
  <c r="AJ53" i="344"/>
  <c r="AI53" i="344"/>
  <c r="C53" i="344"/>
  <c r="AJ52" i="344"/>
  <c r="AI52" i="344"/>
  <c r="C52" i="344"/>
  <c r="AJ51" i="344"/>
  <c r="AI51" i="344"/>
  <c r="C51" i="344"/>
  <c r="AJ50" i="344"/>
  <c r="AI50" i="344"/>
  <c r="C50" i="344"/>
  <c r="AJ49" i="344"/>
  <c r="AI49" i="344"/>
  <c r="C49" i="344"/>
  <c r="AJ48" i="344"/>
  <c r="AI48" i="344"/>
  <c r="C48" i="344"/>
  <c r="AJ47" i="344"/>
  <c r="AI47" i="344"/>
  <c r="C47" i="344"/>
  <c r="AJ46" i="344"/>
  <c r="AI46" i="344"/>
  <c r="C46" i="344"/>
  <c r="AJ45" i="344"/>
  <c r="AI45" i="344"/>
  <c r="AL45" i="344" s="1"/>
  <c r="C45" i="344"/>
  <c r="AJ44" i="344"/>
  <c r="AI44" i="344"/>
  <c r="C44" i="344"/>
  <c r="AJ43" i="344"/>
  <c r="AI43" i="344"/>
  <c r="C43" i="344"/>
  <c r="AJ42" i="344"/>
  <c r="AI42" i="344"/>
  <c r="C42" i="344"/>
  <c r="AJ41" i="344"/>
  <c r="AI41" i="344"/>
  <c r="AJ40" i="344"/>
  <c r="AI40" i="344"/>
  <c r="C40" i="344"/>
  <c r="AJ39" i="344"/>
  <c r="AI39" i="344"/>
  <c r="C39" i="344"/>
  <c r="AJ38" i="344"/>
  <c r="AI38" i="344"/>
  <c r="C38" i="344"/>
  <c r="AJ37" i="344"/>
  <c r="AI37" i="344"/>
  <c r="C37" i="344"/>
  <c r="AJ36" i="344"/>
  <c r="AI36" i="344"/>
  <c r="C36" i="344"/>
  <c r="AJ35" i="344"/>
  <c r="AI35" i="344"/>
  <c r="C35" i="344"/>
  <c r="AJ34" i="344"/>
  <c r="AI34" i="344"/>
  <c r="C34" i="344"/>
  <c r="AJ33" i="344"/>
  <c r="AI33" i="344"/>
  <c r="C33" i="344"/>
  <c r="AJ32" i="344"/>
  <c r="AI32" i="344"/>
  <c r="C32" i="344"/>
  <c r="AJ31" i="344"/>
  <c r="AI31" i="344"/>
  <c r="C31" i="344"/>
  <c r="AJ30" i="344"/>
  <c r="AI30" i="344"/>
  <c r="C30" i="344"/>
  <c r="AJ29" i="344"/>
  <c r="AI29" i="344"/>
  <c r="C29" i="344"/>
  <c r="AJ28" i="344"/>
  <c r="AI28" i="344"/>
  <c r="C28" i="344"/>
  <c r="AJ27" i="344"/>
  <c r="AI27" i="344"/>
  <c r="C27" i="344"/>
  <c r="AJ26" i="344"/>
  <c r="AI26" i="344"/>
  <c r="C26" i="344"/>
  <c r="AJ25" i="344"/>
  <c r="AI25" i="344"/>
  <c r="C25" i="344"/>
  <c r="AJ24" i="344"/>
  <c r="AI24" i="344"/>
  <c r="C24" i="344"/>
  <c r="AJ23" i="344"/>
  <c r="AI23" i="344"/>
  <c r="C23" i="344"/>
  <c r="AJ22" i="344"/>
  <c r="AI22" i="344"/>
  <c r="C22" i="344"/>
  <c r="AJ21" i="344"/>
  <c r="AI21" i="344"/>
  <c r="C21" i="344"/>
  <c r="AJ20" i="344"/>
  <c r="AI20" i="344"/>
  <c r="C20" i="344"/>
  <c r="AJ19" i="344"/>
  <c r="AI19" i="344"/>
  <c r="C19" i="344"/>
  <c r="AJ18" i="344"/>
  <c r="AI18" i="344"/>
  <c r="AL18" i="344" s="1"/>
  <c r="C18" i="344"/>
  <c r="AJ17" i="344"/>
  <c r="AI17" i="344"/>
  <c r="C17" i="344"/>
  <c r="AJ16" i="344"/>
  <c r="AI16" i="344"/>
  <c r="C16" i="344"/>
  <c r="AJ15" i="344"/>
  <c r="AI15" i="344"/>
  <c r="C15" i="344"/>
  <c r="AJ14" i="344"/>
  <c r="AI14" i="344"/>
  <c r="C14" i="344"/>
  <c r="AJ13" i="344"/>
  <c r="AI13" i="344"/>
  <c r="C13" i="344"/>
  <c r="AJ12" i="344"/>
  <c r="AI12" i="344"/>
  <c r="C12" i="344"/>
  <c r="AJ11" i="344"/>
  <c r="AI11" i="344"/>
  <c r="C11" i="344"/>
  <c r="AK12" i="344" l="1"/>
  <c r="AL12" i="344"/>
  <c r="AK24" i="344"/>
  <c r="AL24" i="344"/>
  <c r="AK47" i="344"/>
  <c r="AL47" i="344"/>
  <c r="AK71" i="344"/>
  <c r="AL71" i="344"/>
  <c r="AK15" i="344"/>
  <c r="AL15" i="344"/>
  <c r="AK23" i="344"/>
  <c r="AL23" i="344"/>
  <c r="AK31" i="344"/>
  <c r="AL31" i="344"/>
  <c r="AK39" i="344"/>
  <c r="AL39" i="344"/>
  <c r="AK46" i="344"/>
  <c r="AL46" i="344"/>
  <c r="AK54" i="344"/>
  <c r="AL54" i="344"/>
  <c r="AK62" i="344"/>
  <c r="AL62" i="344"/>
  <c r="AK14" i="344"/>
  <c r="AL14" i="344"/>
  <c r="AK22" i="344"/>
  <c r="AL22" i="344"/>
  <c r="AK26" i="344"/>
  <c r="AL26" i="344"/>
  <c r="AK30" i="344"/>
  <c r="AL30" i="344"/>
  <c r="AK34" i="344"/>
  <c r="AL34" i="344"/>
  <c r="AK38" i="344"/>
  <c r="AL38" i="344"/>
  <c r="AK41" i="344"/>
  <c r="AL41" i="344"/>
  <c r="AK49" i="344"/>
  <c r="AL49" i="344"/>
  <c r="AK53" i="344"/>
  <c r="AL53" i="344"/>
  <c r="AK57" i="344"/>
  <c r="AL57" i="344"/>
  <c r="AK61" i="344"/>
  <c r="AL61" i="344"/>
  <c r="AK65" i="344"/>
  <c r="AL65" i="344"/>
  <c r="AK69" i="344"/>
  <c r="AL69" i="344"/>
  <c r="AK73" i="344"/>
  <c r="AL73" i="344"/>
  <c r="AK77" i="344"/>
  <c r="AL77" i="344"/>
  <c r="AK81" i="344"/>
  <c r="AL81" i="344"/>
  <c r="AK85" i="344"/>
  <c r="AL85" i="344"/>
  <c r="AK13" i="344"/>
  <c r="AL13" i="344"/>
  <c r="AK17" i="344"/>
  <c r="AL17" i="344"/>
  <c r="AK21" i="344"/>
  <c r="AL21" i="344"/>
  <c r="AK25" i="344"/>
  <c r="AL25" i="344"/>
  <c r="AK29" i="344"/>
  <c r="AL29" i="344"/>
  <c r="AK33" i="344"/>
  <c r="AL33" i="344"/>
  <c r="AK37" i="344"/>
  <c r="AL37" i="344"/>
  <c r="AK44" i="344"/>
  <c r="AL44" i="344"/>
  <c r="AK48" i="344"/>
  <c r="AL48" i="344"/>
  <c r="AK52" i="344"/>
  <c r="AL52" i="344"/>
  <c r="AK56" i="344"/>
  <c r="AL56" i="344"/>
  <c r="AK60" i="344"/>
  <c r="AL60" i="344"/>
  <c r="AK64" i="344"/>
  <c r="AL64" i="344"/>
  <c r="AK68" i="344"/>
  <c r="AL68" i="344"/>
  <c r="AK72" i="344"/>
  <c r="AL72" i="344"/>
  <c r="AK76" i="344"/>
  <c r="AL76" i="344"/>
  <c r="AK80" i="344"/>
  <c r="AL80" i="344"/>
  <c r="AK84" i="344"/>
  <c r="AL84" i="344"/>
  <c r="AK87" i="344"/>
  <c r="AL87" i="344"/>
  <c r="AK16" i="344"/>
  <c r="AL16" i="344"/>
  <c r="AK36" i="344"/>
  <c r="AL36" i="344"/>
  <c r="AK51" i="344"/>
  <c r="AL51" i="344"/>
  <c r="AK63" i="344"/>
  <c r="AL63" i="344"/>
  <c r="AK67" i="344"/>
  <c r="AL67" i="344"/>
  <c r="AK75" i="344"/>
  <c r="AL75" i="344"/>
  <c r="AK79" i="344"/>
  <c r="AL79" i="344"/>
  <c r="AK83" i="344"/>
  <c r="AL83" i="344"/>
  <c r="AK20" i="344"/>
  <c r="AL20" i="344"/>
  <c r="AK28" i="344"/>
  <c r="AL28" i="344"/>
  <c r="AK40" i="344"/>
  <c r="AL40" i="344"/>
  <c r="AK55" i="344"/>
  <c r="AL55" i="344"/>
  <c r="AK11" i="344"/>
  <c r="AL11" i="344"/>
  <c r="AK19" i="344"/>
  <c r="AL19" i="344"/>
  <c r="AK27" i="344"/>
  <c r="AL27" i="344"/>
  <c r="AK35" i="344"/>
  <c r="AL35" i="344"/>
  <c r="AK42" i="344"/>
  <c r="AL42" i="344"/>
  <c r="AK50" i="344"/>
  <c r="AL50" i="344"/>
  <c r="AK58" i="344"/>
  <c r="AL58" i="344"/>
  <c r="AK66" i="344"/>
  <c r="AL66" i="344"/>
  <c r="AK70" i="344"/>
  <c r="AL70" i="344"/>
  <c r="AK74" i="344"/>
  <c r="AL74" i="344"/>
  <c r="AK78" i="344"/>
  <c r="AL78" i="344"/>
  <c r="AK82" i="344"/>
  <c r="AL82" i="344"/>
  <c r="AK86" i="344"/>
  <c r="AL86" i="344"/>
  <c r="AK32" i="344"/>
  <c r="AL32" i="344"/>
  <c r="AK43" i="344"/>
  <c r="AL43" i="344"/>
  <c r="AK59" i="344"/>
  <c r="AL59" i="344"/>
  <c r="AR85" i="346"/>
  <c r="AM26" i="346"/>
  <c r="AM30" i="346"/>
  <c r="Q95" i="344"/>
  <c r="H299" i="334"/>
  <c r="I300" i="334" s="1"/>
  <c r="J300" i="334" s="1"/>
  <c r="T51" i="31"/>
  <c r="H327" i="334"/>
  <c r="I328" i="334" s="1"/>
  <c r="J328" i="334" s="1"/>
  <c r="T55" i="31"/>
  <c r="H355" i="334"/>
  <c r="I356" i="334" s="1"/>
  <c r="J356" i="334" s="1"/>
  <c r="T59" i="31"/>
  <c r="H383" i="334"/>
  <c r="I384" i="334" s="1"/>
  <c r="J384" i="334" s="1"/>
  <c r="T63" i="31"/>
  <c r="H411" i="334"/>
  <c r="I412" i="334" s="1"/>
  <c r="J412" i="334" s="1"/>
  <c r="T67" i="31"/>
  <c r="H439" i="334"/>
  <c r="I440" i="334" s="1"/>
  <c r="J440" i="334" s="1"/>
  <c r="T71" i="31"/>
  <c r="H467" i="334"/>
  <c r="I468" i="334" s="1"/>
  <c r="J468" i="334" s="1"/>
  <c r="T75" i="31"/>
  <c r="H495" i="334"/>
  <c r="I496" i="334" s="1"/>
  <c r="J496" i="334" s="1"/>
  <c r="T79" i="31"/>
  <c r="H523" i="334"/>
  <c r="I524" i="334" s="1"/>
  <c r="J524" i="334" s="1"/>
  <c r="T83" i="31"/>
  <c r="B566" i="334"/>
  <c r="C567" i="334" s="1"/>
  <c r="D567" i="334" s="1"/>
  <c r="T87" i="31"/>
  <c r="AA91" i="31"/>
  <c r="B313" i="334"/>
  <c r="T52" i="31"/>
  <c r="B341" i="334"/>
  <c r="T56" i="31"/>
  <c r="B369" i="334"/>
  <c r="C370" i="334" s="1"/>
  <c r="D370" i="334" s="1"/>
  <c r="T60" i="31"/>
  <c r="B397" i="334"/>
  <c r="T64" i="31"/>
  <c r="B425" i="334"/>
  <c r="T68" i="31"/>
  <c r="B453" i="334"/>
  <c r="T72" i="31"/>
  <c r="B481" i="334"/>
  <c r="C482" i="334" s="1"/>
  <c r="D482" i="334" s="1"/>
  <c r="T76" i="31"/>
  <c r="B509" i="334"/>
  <c r="T80" i="31"/>
  <c r="B537" i="334"/>
  <c r="T84" i="31"/>
  <c r="H566" i="334"/>
  <c r="T88" i="31"/>
  <c r="D93" i="31"/>
  <c r="D92" i="31"/>
  <c r="H285" i="334"/>
  <c r="T49" i="31"/>
  <c r="H313" i="334"/>
  <c r="T53" i="31"/>
  <c r="H341" i="334"/>
  <c r="I342" i="334" s="1"/>
  <c r="J342" i="334" s="1"/>
  <c r="T57" i="31"/>
  <c r="H369" i="334"/>
  <c r="I370" i="334" s="1"/>
  <c r="J370" i="334" s="1"/>
  <c r="T61" i="31"/>
  <c r="H397" i="334"/>
  <c r="T65" i="31"/>
  <c r="H425" i="334"/>
  <c r="T69" i="31"/>
  <c r="H453" i="334"/>
  <c r="T73" i="31"/>
  <c r="H481" i="334"/>
  <c r="I482" i="334" s="1"/>
  <c r="J482" i="334" s="1"/>
  <c r="T77" i="31"/>
  <c r="H509" i="334"/>
  <c r="I510" i="334" s="1"/>
  <c r="J510" i="334" s="1"/>
  <c r="T81" i="31"/>
  <c r="T85" i="31"/>
  <c r="B581" i="334"/>
  <c r="C582" i="334" s="1"/>
  <c r="D582" i="334" s="1"/>
  <c r="T89" i="31"/>
  <c r="B299" i="334"/>
  <c r="T50" i="31"/>
  <c r="B327" i="334"/>
  <c r="C328" i="334" s="1"/>
  <c r="D328" i="334" s="1"/>
  <c r="T54" i="31"/>
  <c r="B355" i="334"/>
  <c r="C356" i="334" s="1"/>
  <c r="D356" i="334" s="1"/>
  <c r="T58" i="31"/>
  <c r="B383" i="334"/>
  <c r="C384" i="334" s="1"/>
  <c r="D384" i="334" s="1"/>
  <c r="T62" i="31"/>
  <c r="B411" i="334"/>
  <c r="C412" i="334" s="1"/>
  <c r="D412" i="334" s="1"/>
  <c r="T66" i="31"/>
  <c r="B439" i="334"/>
  <c r="C440" i="334" s="1"/>
  <c r="D440" i="334" s="1"/>
  <c r="T70" i="31"/>
  <c r="B467" i="334"/>
  <c r="C468" i="334" s="1"/>
  <c r="D468" i="334" s="1"/>
  <c r="T74" i="31"/>
  <c r="B495" i="334"/>
  <c r="C496" i="334" s="1"/>
  <c r="D496" i="334" s="1"/>
  <c r="T78" i="31"/>
  <c r="B523" i="334"/>
  <c r="C524" i="334" s="1"/>
  <c r="D524" i="334" s="1"/>
  <c r="T82" i="31"/>
  <c r="H551" i="334"/>
  <c r="I552" i="334" s="1"/>
  <c r="J552" i="334" s="1"/>
  <c r="T86" i="31"/>
  <c r="H581" i="334"/>
  <c r="I582" i="334" s="1"/>
  <c r="J582" i="334" s="1"/>
  <c r="T90" i="31"/>
  <c r="AH11" i="345"/>
  <c r="AH18" i="345" s="1"/>
  <c r="AV88" i="344"/>
  <c r="AX86" i="344"/>
  <c r="AM88" i="346"/>
  <c r="V90" i="31" s="1"/>
  <c r="W90" i="31" s="1"/>
  <c r="AM50" i="346"/>
  <c r="AM54" i="346"/>
  <c r="V56" i="31" s="1"/>
  <c r="AM58" i="346"/>
  <c r="AM46" i="346"/>
  <c r="AM60" i="346"/>
  <c r="AM64" i="346"/>
  <c r="V66" i="31" s="1"/>
  <c r="AM68" i="346"/>
  <c r="AM72" i="346"/>
  <c r="AM76" i="346"/>
  <c r="AM80" i="346"/>
  <c r="V82" i="31" s="1"/>
  <c r="AM84" i="346"/>
  <c r="AK18" i="344"/>
  <c r="AM34" i="346"/>
  <c r="AM38" i="346"/>
  <c r="AL92" i="346"/>
  <c r="AM42" i="346"/>
  <c r="AM22" i="346"/>
  <c r="AM14" i="346"/>
  <c r="AM18" i="346"/>
  <c r="B551" i="334"/>
  <c r="C552" i="334" s="1"/>
  <c r="D552" i="334" s="1"/>
  <c r="B285" i="334"/>
  <c r="C286" i="334" s="1"/>
  <c r="I286" i="334"/>
  <c r="J286" i="334" s="1"/>
  <c r="C538" i="334"/>
  <c r="D538" i="334" s="1"/>
  <c r="I454" i="334"/>
  <c r="J454" i="334" s="1"/>
  <c r="I426" i="334"/>
  <c r="J426" i="334" s="1"/>
  <c r="I398" i="334"/>
  <c r="J398" i="334" s="1"/>
  <c r="I314" i="334"/>
  <c r="J314" i="334" s="1"/>
  <c r="I567" i="334"/>
  <c r="J567" i="334" s="1"/>
  <c r="C300" i="334"/>
  <c r="D300" i="334" s="1"/>
  <c r="C510" i="334"/>
  <c r="D510" i="334" s="1"/>
  <c r="C454" i="334"/>
  <c r="D454" i="334" s="1"/>
  <c r="C426" i="334"/>
  <c r="D426" i="334" s="1"/>
  <c r="C398" i="334"/>
  <c r="D398" i="334" s="1"/>
  <c r="C342" i="334"/>
  <c r="D342" i="334" s="1"/>
  <c r="C314" i="334"/>
  <c r="D314" i="334" s="1"/>
  <c r="AM62" i="346"/>
  <c r="V64" i="31" s="1"/>
  <c r="AM66" i="346"/>
  <c r="AM70" i="346"/>
  <c r="AM74" i="346"/>
  <c r="AM78" i="346"/>
  <c r="V80" i="31" s="1"/>
  <c r="AM82" i="346"/>
  <c r="AM86" i="346"/>
  <c r="V88" i="31" s="1"/>
  <c r="W88" i="31" s="1"/>
  <c r="I572" i="334" s="1"/>
  <c r="AM11" i="346"/>
  <c r="AM15" i="346"/>
  <c r="AM19" i="346"/>
  <c r="AM23" i="346"/>
  <c r="AM27" i="346"/>
  <c r="AM31" i="346"/>
  <c r="AM35" i="346"/>
  <c r="AM39" i="346"/>
  <c r="AM43" i="346"/>
  <c r="AM47" i="346"/>
  <c r="V49" i="31" s="1"/>
  <c r="AM51" i="346"/>
  <c r="V53" i="31" s="1"/>
  <c r="AM55" i="346"/>
  <c r="V57" i="31" s="1"/>
  <c r="AM59" i="346"/>
  <c r="V61" i="31" s="1"/>
  <c r="AM63" i="346"/>
  <c r="V65" i="31" s="1"/>
  <c r="AM67" i="346"/>
  <c r="AM71" i="346"/>
  <c r="V73" i="31" s="1"/>
  <c r="AM75" i="346"/>
  <c r="V77" i="31" s="1"/>
  <c r="AM79" i="346"/>
  <c r="V81" i="31" s="1"/>
  <c r="AM83" i="346"/>
  <c r="V85" i="31" s="1"/>
  <c r="W85" i="31" s="1"/>
  <c r="AM87" i="346"/>
  <c r="V89" i="31" s="1"/>
  <c r="W89" i="31" s="1"/>
  <c r="AJ92" i="346"/>
  <c r="AM12" i="346"/>
  <c r="AM16" i="346"/>
  <c r="AM20" i="346"/>
  <c r="AM24" i="346"/>
  <c r="AM28" i="346"/>
  <c r="AM32" i="346"/>
  <c r="AM36" i="346"/>
  <c r="AM40" i="346"/>
  <c r="AM44" i="346"/>
  <c r="AQ85" i="346"/>
  <c r="AM48" i="346"/>
  <c r="AM52" i="346"/>
  <c r="AM56" i="346"/>
  <c r="AQ84" i="346"/>
  <c r="AM13" i="346"/>
  <c r="AM17" i="346"/>
  <c r="AM21" i="346"/>
  <c r="AM25" i="346"/>
  <c r="AM29" i="346"/>
  <c r="AM33" i="346"/>
  <c r="AM37" i="346"/>
  <c r="AM41" i="346"/>
  <c r="AM45" i="346"/>
  <c r="V47" i="31" s="1"/>
  <c r="AM49" i="346"/>
  <c r="V51" i="31" s="1"/>
  <c r="AM53" i="346"/>
  <c r="V55" i="31" s="1"/>
  <c r="AM57" i="346"/>
  <c r="V59" i="31" s="1"/>
  <c r="AM61" i="346"/>
  <c r="AM65" i="346"/>
  <c r="AM69" i="346"/>
  <c r="V71" i="31" s="1"/>
  <c r="AM73" i="346"/>
  <c r="V75" i="31" s="1"/>
  <c r="AM77" i="346"/>
  <c r="V79" i="31" s="1"/>
  <c r="AM81" i="346"/>
  <c r="V83" i="31" s="1"/>
  <c r="AM85" i="346"/>
  <c r="V87" i="31" s="1"/>
  <c r="W87" i="31" s="1"/>
  <c r="C41" i="344"/>
  <c r="M94" i="31" s="1"/>
  <c r="S50" i="31"/>
  <c r="S58" i="31"/>
  <c r="S62" i="31"/>
  <c r="S66" i="31"/>
  <c r="V69" i="31"/>
  <c r="T47" i="31"/>
  <c r="V63" i="31"/>
  <c r="V67" i="31"/>
  <c r="S74" i="31"/>
  <c r="S82" i="31"/>
  <c r="V48" i="31"/>
  <c r="T48" i="31"/>
  <c r="V52" i="31"/>
  <c r="S56" i="31"/>
  <c r="Q60" i="31"/>
  <c r="V68" i="31"/>
  <c r="S72" i="31"/>
  <c r="Q76" i="31"/>
  <c r="V84" i="31"/>
  <c r="S88" i="31"/>
  <c r="D45" i="31"/>
  <c r="O45" i="31" s="1"/>
  <c r="D41" i="31"/>
  <c r="D37" i="31"/>
  <c r="D33" i="31"/>
  <c r="D29" i="31"/>
  <c r="O29" i="31" s="1"/>
  <c r="D25" i="31"/>
  <c r="V25" i="31" s="1"/>
  <c r="D21" i="31"/>
  <c r="D17" i="31"/>
  <c r="B20" i="323"/>
  <c r="B12" i="326"/>
  <c r="B24" i="323"/>
  <c r="B13" i="326"/>
  <c r="D44" i="31"/>
  <c r="V44" i="31" s="1"/>
  <c r="D40" i="31"/>
  <c r="V40" i="31" s="1"/>
  <c r="D36" i="31"/>
  <c r="D32" i="31"/>
  <c r="D28" i="31"/>
  <c r="V28" i="31" s="1"/>
  <c r="D24" i="31"/>
  <c r="V24" i="31" s="1"/>
  <c r="D20" i="31"/>
  <c r="D16" i="31"/>
  <c r="D43" i="31"/>
  <c r="R43" i="31" s="1"/>
  <c r="D39" i="31"/>
  <c r="D35" i="31"/>
  <c r="S35" i="31" s="1"/>
  <c r="D31" i="31"/>
  <c r="D27" i="31"/>
  <c r="Q27" i="31" s="1"/>
  <c r="D23" i="31"/>
  <c r="D19" i="31"/>
  <c r="S19" i="31" s="1"/>
  <c r="D15" i="31"/>
  <c r="D13" i="31"/>
  <c r="V13" i="31" s="1"/>
  <c r="D46" i="31"/>
  <c r="S46" i="31" s="1"/>
  <c r="D42" i="31"/>
  <c r="V42" i="31" s="1"/>
  <c r="D38" i="31"/>
  <c r="D34" i="31"/>
  <c r="V34" i="31" s="1"/>
  <c r="D30" i="31"/>
  <c r="D26" i="31"/>
  <c r="V26" i="31" s="1"/>
  <c r="D22" i="31"/>
  <c r="D18" i="31"/>
  <c r="Q18" i="31" s="1"/>
  <c r="D14" i="31"/>
  <c r="S14" i="31" s="1"/>
  <c r="O62" i="31"/>
  <c r="O77" i="31"/>
  <c r="O69" i="31"/>
  <c r="O50" i="31"/>
  <c r="V76" i="31"/>
  <c r="V72" i="31"/>
  <c r="V60" i="31"/>
  <c r="Q58" i="31"/>
  <c r="Q50" i="31"/>
  <c r="S22" i="31"/>
  <c r="V86" i="31"/>
  <c r="W86" i="31" s="1"/>
  <c r="V78" i="31"/>
  <c r="V74" i="31"/>
  <c r="V70" i="31"/>
  <c r="V62" i="31"/>
  <c r="V58" i="31"/>
  <c r="V54" i="31"/>
  <c r="V38" i="31"/>
  <c r="V30" i="31"/>
  <c r="D97" i="344"/>
  <c r="N93" i="344"/>
  <c r="N92" i="344" s="1"/>
  <c r="S90" i="31"/>
  <c r="AQ92" i="346"/>
  <c r="O90" i="31"/>
  <c r="O74" i="31"/>
  <c r="O58" i="31"/>
  <c r="Q74" i="31"/>
  <c r="R88" i="31"/>
  <c r="R56" i="31"/>
  <c r="R24" i="31"/>
  <c r="O86" i="31"/>
  <c r="Q66" i="31"/>
  <c r="R80" i="31"/>
  <c r="R48" i="31"/>
  <c r="R16" i="31"/>
  <c r="O82" i="31"/>
  <c r="R72" i="31"/>
  <c r="R40" i="31"/>
  <c r="Q82" i="31"/>
  <c r="R64" i="31"/>
  <c r="S87" i="31"/>
  <c r="Q87" i="31"/>
  <c r="R87" i="31"/>
  <c r="O87" i="31"/>
  <c r="S79" i="31"/>
  <c r="Q79" i="31"/>
  <c r="R79" i="31"/>
  <c r="O79" i="31"/>
  <c r="S75" i="31"/>
  <c r="Q75" i="31"/>
  <c r="R75" i="31"/>
  <c r="O75" i="31"/>
  <c r="S63" i="31"/>
  <c r="Q63" i="31"/>
  <c r="R63" i="31"/>
  <c r="O63" i="31"/>
  <c r="S55" i="31"/>
  <c r="Q55" i="31"/>
  <c r="R55" i="31"/>
  <c r="O55" i="31"/>
  <c r="S47" i="31"/>
  <c r="Q47" i="31"/>
  <c r="R47" i="31"/>
  <c r="S39" i="31"/>
  <c r="Q39" i="31"/>
  <c r="R39" i="31"/>
  <c r="S31" i="31"/>
  <c r="Q31" i="31"/>
  <c r="R31" i="31"/>
  <c r="S27" i="31"/>
  <c r="O19" i="31"/>
  <c r="O31" i="31"/>
  <c r="O15" i="31"/>
  <c r="S13" i="31"/>
  <c r="Q86" i="31"/>
  <c r="R86" i="31"/>
  <c r="Q78" i="31"/>
  <c r="R78" i="31"/>
  <c r="Q70" i="31"/>
  <c r="R70" i="31"/>
  <c r="Q62" i="31"/>
  <c r="R62" i="31"/>
  <c r="Q54" i="31"/>
  <c r="R54" i="31"/>
  <c r="Q46" i="31"/>
  <c r="O46" i="31"/>
  <c r="R46" i="31"/>
  <c r="S42" i="31"/>
  <c r="O38" i="31"/>
  <c r="Q38" i="31"/>
  <c r="R38" i="31"/>
  <c r="O30" i="31"/>
  <c r="Q30" i="31"/>
  <c r="R30" i="31"/>
  <c r="S26" i="31"/>
  <c r="O22" i="31"/>
  <c r="Q22" i="31"/>
  <c r="R22" i="31"/>
  <c r="O18" i="31"/>
  <c r="O14" i="31"/>
  <c r="Q14" i="31"/>
  <c r="R14" i="31"/>
  <c r="R90" i="31"/>
  <c r="R74" i="31"/>
  <c r="C470" i="334" s="1"/>
  <c r="R58" i="31"/>
  <c r="R26" i="31"/>
  <c r="R89" i="31"/>
  <c r="S89" i="31"/>
  <c r="Q89" i="31"/>
  <c r="R81" i="31"/>
  <c r="S81" i="31"/>
  <c r="Q81" i="31"/>
  <c r="R73" i="31"/>
  <c r="S73" i="31"/>
  <c r="Q73" i="31"/>
  <c r="R65" i="31"/>
  <c r="I400" i="334" s="1"/>
  <c r="S65" i="31"/>
  <c r="Q65" i="31"/>
  <c r="R57" i="31"/>
  <c r="S57" i="31"/>
  <c r="Q57" i="31"/>
  <c r="R49" i="31"/>
  <c r="S49" i="31"/>
  <c r="Q49" i="31"/>
  <c r="S86" i="31"/>
  <c r="S70" i="31"/>
  <c r="S54" i="31"/>
  <c r="S83" i="31"/>
  <c r="Q83" i="31"/>
  <c r="R83" i="31"/>
  <c r="O83" i="31"/>
  <c r="S71" i="31"/>
  <c r="Q71" i="31"/>
  <c r="R71" i="31"/>
  <c r="O71" i="31"/>
  <c r="S59" i="31"/>
  <c r="Q59" i="31"/>
  <c r="R59" i="31"/>
  <c r="O59" i="31"/>
  <c r="S51" i="31"/>
  <c r="Q51" i="31"/>
  <c r="R51" i="31"/>
  <c r="O51" i="31"/>
  <c r="Q43" i="31"/>
  <c r="Q35" i="31"/>
  <c r="R35" i="31"/>
  <c r="O35" i="31"/>
  <c r="S23" i="31"/>
  <c r="Q23" i="31"/>
  <c r="R23" i="31"/>
  <c r="S15" i="31"/>
  <c r="Q15" i="31"/>
  <c r="R15" i="31"/>
  <c r="R85" i="31"/>
  <c r="S85" i="31"/>
  <c r="Q85" i="31"/>
  <c r="R77" i="31"/>
  <c r="S77" i="31"/>
  <c r="Q77" i="31"/>
  <c r="R69" i="31"/>
  <c r="S69" i="31"/>
  <c r="Q69" i="31"/>
  <c r="R61" i="31"/>
  <c r="S61" i="31"/>
  <c r="Q61" i="31"/>
  <c r="R53" i="31"/>
  <c r="S53" i="31"/>
  <c r="Q53" i="31"/>
  <c r="R45" i="31"/>
  <c r="R41" i="31"/>
  <c r="S41" i="31"/>
  <c r="Q41" i="31"/>
  <c r="O41" i="31"/>
  <c r="R37" i="31"/>
  <c r="S37" i="31"/>
  <c r="Q37" i="31"/>
  <c r="R33" i="31"/>
  <c r="S33" i="31"/>
  <c r="Q33" i="31"/>
  <c r="O33" i="31"/>
  <c r="R25" i="31"/>
  <c r="S25" i="31"/>
  <c r="Q25" i="31"/>
  <c r="O25" i="31"/>
  <c r="R21" i="31"/>
  <c r="S21" i="31"/>
  <c r="Q21" i="31"/>
  <c r="R17" i="31"/>
  <c r="S17" i="31"/>
  <c r="Q17" i="31"/>
  <c r="O17" i="31"/>
  <c r="O39" i="31"/>
  <c r="O23" i="31"/>
  <c r="Q90" i="31"/>
  <c r="Q88" i="31"/>
  <c r="O88" i="31"/>
  <c r="R84" i="31"/>
  <c r="S84" i="31"/>
  <c r="O84" i="31"/>
  <c r="Q80" i="31"/>
  <c r="O80" i="31"/>
  <c r="R76" i="31"/>
  <c r="C484" i="334" s="1"/>
  <c r="S76" i="31"/>
  <c r="O76" i="31"/>
  <c r="Q72" i="31"/>
  <c r="O72" i="31"/>
  <c r="R68" i="31"/>
  <c r="S68" i="31"/>
  <c r="O68" i="31"/>
  <c r="Q64" i="31"/>
  <c r="O64" i="31"/>
  <c r="R60" i="31"/>
  <c r="C372" i="334" s="1"/>
  <c r="S60" i="31"/>
  <c r="O60" i="31"/>
  <c r="Q56" i="31"/>
  <c r="O56" i="31"/>
  <c r="R52" i="31"/>
  <c r="S52" i="31"/>
  <c r="O52" i="31"/>
  <c r="Q48" i="31"/>
  <c r="O48" i="31"/>
  <c r="S44" i="31"/>
  <c r="O40" i="31"/>
  <c r="Q40" i="31"/>
  <c r="O36" i="31"/>
  <c r="R36" i="31"/>
  <c r="S36" i="31"/>
  <c r="O32" i="31"/>
  <c r="Q32" i="31"/>
  <c r="O28" i="31"/>
  <c r="S28" i="31"/>
  <c r="O24" i="31"/>
  <c r="Q24" i="31"/>
  <c r="O20" i="31"/>
  <c r="R20" i="31"/>
  <c r="S20" i="31"/>
  <c r="O16" i="31"/>
  <c r="Q16" i="31"/>
  <c r="O89" i="31"/>
  <c r="O81" i="31"/>
  <c r="O73" i="31"/>
  <c r="O65" i="31"/>
  <c r="O57" i="31"/>
  <c r="O49" i="31"/>
  <c r="O37" i="31"/>
  <c r="O21" i="31"/>
  <c r="Q84" i="31"/>
  <c r="Q68" i="31"/>
  <c r="Q52" i="31"/>
  <c r="Q36" i="31"/>
  <c r="Q20" i="31"/>
  <c r="R82" i="31"/>
  <c r="C526" i="334" s="1"/>
  <c r="R66" i="31"/>
  <c r="R50" i="31"/>
  <c r="C302" i="334" s="1"/>
  <c r="R34" i="31"/>
  <c r="S80" i="31"/>
  <c r="S64" i="31"/>
  <c r="S48" i="31"/>
  <c r="S32" i="31"/>
  <c r="S16" i="31"/>
  <c r="S67" i="31"/>
  <c r="Q67" i="31"/>
  <c r="R67" i="31"/>
  <c r="O67" i="31"/>
  <c r="S78" i="31"/>
  <c r="AL88" i="344"/>
  <c r="AV12" i="344" s="1"/>
  <c r="AV11" i="344" s="1"/>
  <c r="AN18" i="344" s="1"/>
  <c r="M20" i="31" s="1"/>
  <c r="AS87" i="344"/>
  <c r="AK45" i="344"/>
  <c r="Q94" i="344"/>
  <c r="AW88" i="344"/>
  <c r="Q93" i="344"/>
  <c r="AI88" i="344"/>
  <c r="AU12" i="344" s="1"/>
  <c r="AS86" i="344"/>
  <c r="AP84" i="346"/>
  <c r="AS84" i="346" s="1"/>
  <c r="AU88" i="344"/>
  <c r="AX87" i="344"/>
  <c r="AX88" i="344" s="1"/>
  <c r="AK92" i="346"/>
  <c r="AI92" i="346"/>
  <c r="R19" i="31" l="1"/>
  <c r="R42" i="31"/>
  <c r="O26" i="31"/>
  <c r="O42" i="31"/>
  <c r="M93" i="31"/>
  <c r="C428" i="334"/>
  <c r="I316" i="334"/>
  <c r="C554" i="334"/>
  <c r="I344" i="334"/>
  <c r="I484" i="334"/>
  <c r="C457" i="334"/>
  <c r="I414" i="334"/>
  <c r="R18" i="31"/>
  <c r="R44" i="31"/>
  <c r="I428" i="334"/>
  <c r="S43" i="31"/>
  <c r="Q29" i="31"/>
  <c r="S34" i="31"/>
  <c r="J13" i="31"/>
  <c r="C456" i="334"/>
  <c r="C512" i="334"/>
  <c r="C344" i="334"/>
  <c r="I570" i="334"/>
  <c r="I571" i="334" s="1"/>
  <c r="J571" i="334" s="1"/>
  <c r="C540" i="334"/>
  <c r="Q45" i="31"/>
  <c r="I372" i="334"/>
  <c r="O43" i="31"/>
  <c r="S29" i="31"/>
  <c r="I288" i="334"/>
  <c r="I512" i="334"/>
  <c r="O34" i="31"/>
  <c r="R13" i="31"/>
  <c r="C400" i="334"/>
  <c r="I569" i="334"/>
  <c r="C316" i="334"/>
  <c r="R28" i="31"/>
  <c r="S45" i="31"/>
  <c r="I302" i="334"/>
  <c r="I358" i="334"/>
  <c r="I526" i="334"/>
  <c r="R29" i="31"/>
  <c r="I456" i="334"/>
  <c r="O44" i="31"/>
  <c r="S18" i="31"/>
  <c r="Q13" i="31"/>
  <c r="O27" i="31"/>
  <c r="I470" i="334"/>
  <c r="C345" i="334"/>
  <c r="C346" i="334" s="1"/>
  <c r="D346" i="334" s="1"/>
  <c r="C359" i="334"/>
  <c r="C360" i="334" s="1"/>
  <c r="D360" i="334" s="1"/>
  <c r="I584" i="334"/>
  <c r="I587" i="334"/>
  <c r="C414" i="334"/>
  <c r="C358" i="334"/>
  <c r="C471" i="334"/>
  <c r="C472" i="334" s="1"/>
  <c r="D472" i="334" s="1"/>
  <c r="AN59" i="344"/>
  <c r="AN32" i="344"/>
  <c r="M34" i="31" s="1"/>
  <c r="AN82" i="344"/>
  <c r="M85" i="31" s="1"/>
  <c r="AN74" i="344"/>
  <c r="AN66" i="344"/>
  <c r="AN50" i="344"/>
  <c r="M53" i="31" s="1"/>
  <c r="AN35" i="344"/>
  <c r="M37" i="31" s="1"/>
  <c r="AN19" i="344"/>
  <c r="AN55" i="344"/>
  <c r="AN28" i="344"/>
  <c r="M30" i="31" s="1"/>
  <c r="AN83" i="344"/>
  <c r="M86" i="31" s="1"/>
  <c r="AN75" i="344"/>
  <c r="AN63" i="344"/>
  <c r="AN36" i="344"/>
  <c r="M38" i="31" s="1"/>
  <c r="AN87" i="344"/>
  <c r="M90" i="31" s="1"/>
  <c r="AN80" i="344"/>
  <c r="AN72" i="344"/>
  <c r="AN64" i="344"/>
  <c r="M67" i="31" s="1"/>
  <c r="AN56" i="344"/>
  <c r="M59" i="31" s="1"/>
  <c r="AN48" i="344"/>
  <c r="AN37" i="344"/>
  <c r="AN29" i="344"/>
  <c r="M31" i="31" s="1"/>
  <c r="AN21" i="344"/>
  <c r="M23" i="31" s="1"/>
  <c r="AN13" i="344"/>
  <c r="AN81" i="344"/>
  <c r="AN73" i="344"/>
  <c r="M76" i="31" s="1"/>
  <c r="AN65" i="344"/>
  <c r="M68" i="31" s="1"/>
  <c r="AN57" i="344"/>
  <c r="AN49" i="344"/>
  <c r="AN14" i="344"/>
  <c r="AN54" i="344"/>
  <c r="M57" i="31" s="1"/>
  <c r="AN39" i="344"/>
  <c r="M41" i="31" s="1"/>
  <c r="AN23" i="344"/>
  <c r="AN71" i="344"/>
  <c r="AN24" i="344"/>
  <c r="M26" i="31" s="1"/>
  <c r="AO32" i="344"/>
  <c r="AO50" i="344"/>
  <c r="AO35" i="344"/>
  <c r="AO28" i="344"/>
  <c r="AO36" i="344"/>
  <c r="AN38" i="344"/>
  <c r="M40" i="31" s="1"/>
  <c r="AN30" i="344"/>
  <c r="M32" i="31" s="1"/>
  <c r="AN22" i="344"/>
  <c r="M24" i="31" s="1"/>
  <c r="AO18" i="344"/>
  <c r="AN43" i="344"/>
  <c r="M45" i="31" s="1"/>
  <c r="AN86" i="344"/>
  <c r="AN78" i="344"/>
  <c r="AN70" i="344"/>
  <c r="M73" i="31" s="1"/>
  <c r="AN58" i="344"/>
  <c r="M61" i="31" s="1"/>
  <c r="AN42" i="344"/>
  <c r="AN27" i="344"/>
  <c r="AN11" i="344"/>
  <c r="M13" i="31" s="1"/>
  <c r="AN40" i="344"/>
  <c r="M42" i="31" s="1"/>
  <c r="AN20" i="344"/>
  <c r="AN79" i="344"/>
  <c r="AN67" i="344"/>
  <c r="M70" i="31" s="1"/>
  <c r="AN51" i="344"/>
  <c r="M54" i="31" s="1"/>
  <c r="AN16" i="344"/>
  <c r="AN84" i="344"/>
  <c r="AN76" i="344"/>
  <c r="M79" i="31" s="1"/>
  <c r="AN68" i="344"/>
  <c r="M71" i="31" s="1"/>
  <c r="AN60" i="344"/>
  <c r="AN52" i="344"/>
  <c r="AN44" i="344"/>
  <c r="M46" i="31" s="1"/>
  <c r="AN33" i="344"/>
  <c r="M35" i="31" s="1"/>
  <c r="AN25" i="344"/>
  <c r="AN17" i="344"/>
  <c r="AN85" i="344"/>
  <c r="M88" i="31" s="1"/>
  <c r="AN77" i="344"/>
  <c r="M80" i="31" s="1"/>
  <c r="AN69" i="344"/>
  <c r="AN61" i="344"/>
  <c r="AN53" i="344"/>
  <c r="M56" i="31" s="1"/>
  <c r="AN45" i="344"/>
  <c r="M48" i="31" s="1"/>
  <c r="AN62" i="344"/>
  <c r="M65" i="31" s="1"/>
  <c r="AN46" i="344"/>
  <c r="M49" i="31" s="1"/>
  <c r="AN31" i="344"/>
  <c r="AN15" i="344"/>
  <c r="M17" i="31" s="1"/>
  <c r="AN47" i="344"/>
  <c r="M50" i="31" s="1"/>
  <c r="AN12" i="344"/>
  <c r="AO12" i="344" s="1"/>
  <c r="AO53" i="344"/>
  <c r="AN41" i="344"/>
  <c r="AN34" i="344"/>
  <c r="AN26" i="344"/>
  <c r="M28" i="31" s="1"/>
  <c r="AO46" i="344"/>
  <c r="AP85" i="346"/>
  <c r="AS85" i="346" s="1"/>
  <c r="V50" i="31"/>
  <c r="AM92" i="346"/>
  <c r="I442" i="334"/>
  <c r="C330" i="334"/>
  <c r="C442" i="334"/>
  <c r="I554" i="334"/>
  <c r="I330" i="334"/>
  <c r="I386" i="334"/>
  <c r="I498" i="334"/>
  <c r="C569" i="334"/>
  <c r="C587" i="334"/>
  <c r="C572" i="334"/>
  <c r="C288" i="334"/>
  <c r="I557" i="334"/>
  <c r="C584" i="334"/>
  <c r="C386" i="334"/>
  <c r="C498" i="334"/>
  <c r="C557" i="334"/>
  <c r="R27" i="31"/>
  <c r="O53" i="31"/>
  <c r="O85" i="31"/>
  <c r="O54" i="31"/>
  <c r="O66" i="31"/>
  <c r="O61" i="31"/>
  <c r="O70" i="31"/>
  <c r="O13" i="31"/>
  <c r="C267" i="334"/>
  <c r="J70" i="31"/>
  <c r="J53" i="31"/>
  <c r="N53" i="31" s="1"/>
  <c r="O78" i="31"/>
  <c r="I82" i="31"/>
  <c r="C530" i="334" s="1"/>
  <c r="I50" i="31"/>
  <c r="C306" i="334" s="1"/>
  <c r="J65" i="31"/>
  <c r="J86" i="31"/>
  <c r="N86" i="31" s="1"/>
  <c r="J54" i="31"/>
  <c r="J69" i="31"/>
  <c r="I66" i="31"/>
  <c r="C418" i="334" s="1"/>
  <c r="J81" i="31"/>
  <c r="I90" i="31"/>
  <c r="I589" i="334" s="1"/>
  <c r="I74" i="31"/>
  <c r="C474" i="334" s="1"/>
  <c r="I58" i="31"/>
  <c r="C362" i="334" s="1"/>
  <c r="I85" i="31"/>
  <c r="C559" i="334" s="1"/>
  <c r="J73" i="31"/>
  <c r="J57" i="31"/>
  <c r="N57" i="31" s="1"/>
  <c r="P57" i="31" s="1"/>
  <c r="J348" i="334" s="1"/>
  <c r="J78" i="31"/>
  <c r="J62" i="31"/>
  <c r="I89" i="31"/>
  <c r="C589" i="334" s="1"/>
  <c r="J77" i="31"/>
  <c r="J61" i="31"/>
  <c r="N61" i="31" s="1"/>
  <c r="W94" i="344"/>
  <c r="J49" i="31"/>
  <c r="J341" i="334"/>
  <c r="J551" i="334"/>
  <c r="P86" i="31"/>
  <c r="J559" i="334" s="1"/>
  <c r="Q26" i="31"/>
  <c r="I26" i="31"/>
  <c r="J26" i="31"/>
  <c r="N26" i="31" s="1"/>
  <c r="H219" i="334"/>
  <c r="I42" i="31"/>
  <c r="J42" i="31"/>
  <c r="B49" i="334"/>
  <c r="I19" i="31"/>
  <c r="J19" i="31"/>
  <c r="B173" i="334"/>
  <c r="I35" i="31"/>
  <c r="J35" i="31"/>
  <c r="N35" i="31" s="1"/>
  <c r="P35" i="31" s="1"/>
  <c r="H49" i="334"/>
  <c r="J20" i="31"/>
  <c r="I20" i="31"/>
  <c r="H173" i="334"/>
  <c r="J36" i="31"/>
  <c r="I36" i="31"/>
  <c r="V21" i="31"/>
  <c r="J21" i="31"/>
  <c r="I21" i="31"/>
  <c r="B188" i="334"/>
  <c r="J37" i="31"/>
  <c r="I37" i="31"/>
  <c r="J48" i="31"/>
  <c r="C177" i="334"/>
  <c r="Q19" i="31"/>
  <c r="C268" i="334"/>
  <c r="H2" i="334"/>
  <c r="I14" i="31"/>
  <c r="J14" i="31"/>
  <c r="H126" i="334"/>
  <c r="I129" i="334" s="1"/>
  <c r="I30" i="31"/>
  <c r="J30" i="31"/>
  <c r="N30" i="31" s="1"/>
  <c r="H250" i="334"/>
  <c r="I254" i="334" s="1"/>
  <c r="I46" i="31"/>
  <c r="J46" i="31"/>
  <c r="N46" i="31" s="1"/>
  <c r="B80" i="334"/>
  <c r="J23" i="31"/>
  <c r="I23" i="31"/>
  <c r="B204" i="334"/>
  <c r="J39" i="31"/>
  <c r="I39" i="31"/>
  <c r="H80" i="334"/>
  <c r="J24" i="31"/>
  <c r="I24" i="31"/>
  <c r="H204" i="334"/>
  <c r="J40" i="31"/>
  <c r="I40" i="31"/>
  <c r="J25" i="31"/>
  <c r="I25" i="31"/>
  <c r="B219" i="334"/>
  <c r="C222" i="334" s="1"/>
  <c r="J41" i="31"/>
  <c r="I41" i="31"/>
  <c r="C415" i="334"/>
  <c r="J90" i="31"/>
  <c r="I86" i="31"/>
  <c r="I559" i="334" s="1"/>
  <c r="J82" i="31"/>
  <c r="I78" i="31"/>
  <c r="C502" i="334" s="1"/>
  <c r="J74" i="31"/>
  <c r="I70" i="31"/>
  <c r="C446" i="334" s="1"/>
  <c r="J66" i="31"/>
  <c r="I62" i="31"/>
  <c r="C390" i="334" s="1"/>
  <c r="J58" i="31"/>
  <c r="I54" i="31"/>
  <c r="C334" i="334" s="1"/>
  <c r="J50" i="31"/>
  <c r="J89" i="31"/>
  <c r="J85" i="31"/>
  <c r="J88" i="31"/>
  <c r="I84" i="31"/>
  <c r="C544" i="334" s="1"/>
  <c r="I80" i="31"/>
  <c r="C516" i="334" s="1"/>
  <c r="I76" i="31"/>
  <c r="C488" i="334" s="1"/>
  <c r="J72" i="31"/>
  <c r="J68" i="31"/>
  <c r="I64" i="31"/>
  <c r="C404" i="334" s="1"/>
  <c r="J60" i="31"/>
  <c r="J56" i="31"/>
  <c r="I52" i="31"/>
  <c r="C320" i="334" s="1"/>
  <c r="I48" i="31"/>
  <c r="C292" i="334" s="1"/>
  <c r="J87" i="31"/>
  <c r="J83" i="31"/>
  <c r="J79" i="31"/>
  <c r="J75" i="31"/>
  <c r="J71" i="31"/>
  <c r="J67" i="31"/>
  <c r="J63" i="31"/>
  <c r="J59" i="31"/>
  <c r="J55" i="31"/>
  <c r="J51" i="31"/>
  <c r="P30" i="31"/>
  <c r="C207" i="334"/>
  <c r="I18" i="31"/>
  <c r="J18" i="31"/>
  <c r="H157" i="334"/>
  <c r="I34" i="31"/>
  <c r="J34" i="31"/>
  <c r="B111" i="334"/>
  <c r="C114" i="334" s="1"/>
  <c r="I27" i="31"/>
  <c r="J27" i="31"/>
  <c r="B235" i="334"/>
  <c r="C238" i="334" s="1"/>
  <c r="I43" i="31"/>
  <c r="J43" i="31"/>
  <c r="H111" i="334"/>
  <c r="J28" i="31"/>
  <c r="I28" i="31"/>
  <c r="H235" i="334"/>
  <c r="J44" i="31"/>
  <c r="I44" i="31"/>
  <c r="B126" i="334"/>
  <c r="J29" i="31"/>
  <c r="I29" i="31"/>
  <c r="B250" i="334"/>
  <c r="C253" i="334" s="1"/>
  <c r="J45" i="31"/>
  <c r="I45" i="31"/>
  <c r="I88" i="31"/>
  <c r="I574" i="334" s="1"/>
  <c r="J84" i="31"/>
  <c r="J80" i="31"/>
  <c r="J76" i="31"/>
  <c r="I72" i="31"/>
  <c r="C460" i="334" s="1"/>
  <c r="I68" i="31"/>
  <c r="C432" i="334" s="1"/>
  <c r="J64" i="31"/>
  <c r="I60" i="31"/>
  <c r="C376" i="334" s="1"/>
  <c r="I56" i="31"/>
  <c r="C348" i="334" s="1"/>
  <c r="J52" i="31"/>
  <c r="I87" i="31"/>
  <c r="C574" i="334" s="1"/>
  <c r="I83" i="31"/>
  <c r="I530" i="334" s="1"/>
  <c r="I79" i="31"/>
  <c r="I502" i="334" s="1"/>
  <c r="I75" i="31"/>
  <c r="I474" i="334" s="1"/>
  <c r="I71" i="31"/>
  <c r="I446" i="334" s="1"/>
  <c r="I67" i="31"/>
  <c r="I418" i="334" s="1"/>
  <c r="I63" i="31"/>
  <c r="I390" i="334" s="1"/>
  <c r="I59" i="31"/>
  <c r="I362" i="334" s="1"/>
  <c r="I55" i="31"/>
  <c r="I334" i="334" s="1"/>
  <c r="I51" i="31"/>
  <c r="I306" i="334" s="1"/>
  <c r="C192" i="334"/>
  <c r="C223" i="334"/>
  <c r="C83" i="334"/>
  <c r="C176" i="334"/>
  <c r="P26" i="31"/>
  <c r="P46" i="31"/>
  <c r="J313" i="334"/>
  <c r="P53" i="31"/>
  <c r="I315" i="334" s="1"/>
  <c r="H64" i="334"/>
  <c r="I22" i="31"/>
  <c r="J22" i="31"/>
  <c r="H188" i="334"/>
  <c r="I38" i="31"/>
  <c r="J38" i="31"/>
  <c r="B18" i="334"/>
  <c r="C22" i="334" s="1"/>
  <c r="I15" i="31"/>
  <c r="J15" i="31"/>
  <c r="B142" i="334"/>
  <c r="I31" i="31"/>
  <c r="J31" i="31"/>
  <c r="H18" i="334"/>
  <c r="J16" i="31"/>
  <c r="I16" i="31"/>
  <c r="H142" i="334"/>
  <c r="J32" i="31"/>
  <c r="I32" i="31"/>
  <c r="B33" i="334"/>
  <c r="J17" i="31"/>
  <c r="I17" i="31"/>
  <c r="B157" i="334"/>
  <c r="C160" i="334" s="1"/>
  <c r="J33" i="31"/>
  <c r="I33" i="31"/>
  <c r="I81" i="31"/>
  <c r="I516" i="334" s="1"/>
  <c r="I77" i="31"/>
  <c r="I488" i="334" s="1"/>
  <c r="I73" i="31"/>
  <c r="I460" i="334" s="1"/>
  <c r="I69" i="31"/>
  <c r="I432" i="334" s="1"/>
  <c r="I65" i="31"/>
  <c r="I404" i="334" s="1"/>
  <c r="I61" i="31"/>
  <c r="I376" i="334" s="1"/>
  <c r="I57" i="31"/>
  <c r="I348" i="334" s="1"/>
  <c r="I53" i="31"/>
  <c r="I320" i="334" s="1"/>
  <c r="I49" i="31"/>
  <c r="I292" i="334" s="1"/>
  <c r="B596" i="334"/>
  <c r="J320" i="334"/>
  <c r="D390" i="334"/>
  <c r="T26" i="31"/>
  <c r="U26" i="31" s="1"/>
  <c r="H95" i="334"/>
  <c r="T21" i="31"/>
  <c r="U21" i="31" s="1"/>
  <c r="B64" i="334"/>
  <c r="C67" i="334" s="1"/>
  <c r="T25" i="31"/>
  <c r="U25" i="31" s="1"/>
  <c r="B95" i="334"/>
  <c r="H33" i="334"/>
  <c r="I6" i="334"/>
  <c r="T13" i="31"/>
  <c r="U13" i="31" s="1"/>
  <c r="U77" i="31"/>
  <c r="I485" i="334"/>
  <c r="U59" i="31"/>
  <c r="I359" i="334"/>
  <c r="U70" i="31"/>
  <c r="C443" i="334"/>
  <c r="U49" i="31"/>
  <c r="I289" i="334"/>
  <c r="U57" i="31"/>
  <c r="I345" i="334"/>
  <c r="U89" i="31"/>
  <c r="C585" i="334"/>
  <c r="U63" i="31"/>
  <c r="I387" i="334"/>
  <c r="C458" i="334"/>
  <c r="D458" i="334" s="1"/>
  <c r="U52" i="31"/>
  <c r="C317" i="334"/>
  <c r="U60" i="31"/>
  <c r="C373" i="334"/>
  <c r="U69" i="31"/>
  <c r="I429" i="334"/>
  <c r="U71" i="31"/>
  <c r="I443" i="334"/>
  <c r="U86" i="31"/>
  <c r="I555" i="334"/>
  <c r="U81" i="31"/>
  <c r="I513" i="334"/>
  <c r="U75" i="31"/>
  <c r="I471" i="334"/>
  <c r="U67" i="31"/>
  <c r="I415" i="334"/>
  <c r="U64" i="31"/>
  <c r="C401" i="334"/>
  <c r="U80" i="31"/>
  <c r="C513" i="334"/>
  <c r="U68" i="31"/>
  <c r="C429" i="334"/>
  <c r="U78" i="31"/>
  <c r="C499" i="334"/>
  <c r="U48" i="31"/>
  <c r="C289" i="334"/>
  <c r="U76" i="31"/>
  <c r="C485" i="334"/>
  <c r="U61" i="31"/>
  <c r="I373" i="334"/>
  <c r="U83" i="31"/>
  <c r="I527" i="334"/>
  <c r="U73" i="31"/>
  <c r="I457" i="334"/>
  <c r="U47" i="31"/>
  <c r="C269" i="334"/>
  <c r="U79" i="31"/>
  <c r="I499" i="334"/>
  <c r="U82" i="31"/>
  <c r="C527" i="334"/>
  <c r="U62" i="31"/>
  <c r="C387" i="334"/>
  <c r="U50" i="31"/>
  <c r="C303" i="334"/>
  <c r="U84" i="31"/>
  <c r="C541" i="334"/>
  <c r="U53" i="31"/>
  <c r="I317" i="334"/>
  <c r="U85" i="31"/>
  <c r="C555" i="334"/>
  <c r="U51" i="31"/>
  <c r="I303" i="334"/>
  <c r="U54" i="31"/>
  <c r="C331" i="334"/>
  <c r="U65" i="31"/>
  <c r="I401" i="334"/>
  <c r="U55" i="31"/>
  <c r="I331" i="334"/>
  <c r="U87" i="31"/>
  <c r="C570" i="334"/>
  <c r="U90" i="31"/>
  <c r="I585" i="334"/>
  <c r="W93" i="344"/>
  <c r="V22" i="31"/>
  <c r="T22" i="31"/>
  <c r="S38" i="31"/>
  <c r="I192" i="334" s="1"/>
  <c r="T38" i="31"/>
  <c r="V15" i="31"/>
  <c r="T15" i="31"/>
  <c r="V31" i="31"/>
  <c r="T31" i="31"/>
  <c r="V16" i="31"/>
  <c r="T16" i="31"/>
  <c r="R32" i="31"/>
  <c r="I145" i="334" s="1"/>
  <c r="T32" i="31"/>
  <c r="V17" i="31"/>
  <c r="T17" i="31"/>
  <c r="V33" i="31"/>
  <c r="T33" i="31"/>
  <c r="V32" i="31"/>
  <c r="I13" i="31"/>
  <c r="I227" i="334" s="1"/>
  <c r="Q42" i="31"/>
  <c r="T42" i="31"/>
  <c r="V19" i="31"/>
  <c r="T19" i="31"/>
  <c r="C54" i="334" s="1"/>
  <c r="V35" i="31"/>
  <c r="T35" i="31"/>
  <c r="V20" i="31"/>
  <c r="T20" i="31"/>
  <c r="I54" i="334" s="1"/>
  <c r="V36" i="31"/>
  <c r="T36" i="31"/>
  <c r="V37" i="31"/>
  <c r="T37" i="31"/>
  <c r="U88" i="31"/>
  <c r="U72" i="31"/>
  <c r="U56" i="31"/>
  <c r="U74" i="31"/>
  <c r="U66" i="31"/>
  <c r="U58" i="31"/>
  <c r="V14" i="31"/>
  <c r="T14" i="31"/>
  <c r="I7" i="334" s="1"/>
  <c r="S30" i="31"/>
  <c r="I130" i="334" s="1"/>
  <c r="T30" i="31"/>
  <c r="V46" i="31"/>
  <c r="T46" i="31"/>
  <c r="V23" i="31"/>
  <c r="T23" i="31"/>
  <c r="V39" i="31"/>
  <c r="T39" i="31"/>
  <c r="S24" i="31"/>
  <c r="I84" i="334" s="1"/>
  <c r="T24" i="31"/>
  <c r="S40" i="31"/>
  <c r="T40" i="31"/>
  <c r="V41" i="31"/>
  <c r="T41" i="31"/>
  <c r="V18" i="31"/>
  <c r="T18" i="31"/>
  <c r="Q34" i="31"/>
  <c r="T34" i="31"/>
  <c r="V27" i="31"/>
  <c r="T27" i="31"/>
  <c r="V43" i="31"/>
  <c r="T43" i="31"/>
  <c r="Q28" i="31"/>
  <c r="T28" i="31"/>
  <c r="Q44" i="31"/>
  <c r="T44" i="31"/>
  <c r="V29" i="31"/>
  <c r="T29" i="31"/>
  <c r="V45" i="31"/>
  <c r="T45" i="31"/>
  <c r="AS86" i="346"/>
  <c r="AM87" i="344"/>
  <c r="AM84" i="344"/>
  <c r="AM80" i="344"/>
  <c r="AM76" i="344"/>
  <c r="AM72" i="344"/>
  <c r="AM68" i="344"/>
  <c r="AM64" i="344"/>
  <c r="AM81" i="344"/>
  <c r="AM69" i="344"/>
  <c r="AM83" i="344"/>
  <c r="AM79" i="344"/>
  <c r="AM75" i="344"/>
  <c r="AM58" i="344"/>
  <c r="AM54" i="344"/>
  <c r="AM50" i="344"/>
  <c r="AM46" i="344"/>
  <c r="AM42" i="344"/>
  <c r="AM39" i="344"/>
  <c r="AM36" i="344"/>
  <c r="AM33" i="344"/>
  <c r="AM29" i="344"/>
  <c r="AM25" i="344"/>
  <c r="AM21" i="344"/>
  <c r="AM17" i="344"/>
  <c r="AM13" i="344"/>
  <c r="AM77" i="344"/>
  <c r="AM65" i="344"/>
  <c r="AM86" i="344"/>
  <c r="AM82" i="344"/>
  <c r="AM78" i="344"/>
  <c r="AM74" i="344"/>
  <c r="AM70" i="344"/>
  <c r="AM66" i="344"/>
  <c r="AM62" i="344"/>
  <c r="AM59" i="344"/>
  <c r="AM55" i="344"/>
  <c r="AM51" i="344"/>
  <c r="AM47" i="344"/>
  <c r="AM43" i="344"/>
  <c r="AM40" i="344"/>
  <c r="AM30" i="344"/>
  <c r="AM26" i="344"/>
  <c r="AM22" i="344"/>
  <c r="AM18" i="344"/>
  <c r="AM14" i="344"/>
  <c r="AM12" i="344"/>
  <c r="AM11" i="344"/>
  <c r="AM85" i="344"/>
  <c r="AM73" i="344"/>
  <c r="AM60" i="344"/>
  <c r="AM56" i="344"/>
  <c r="AM52" i="344"/>
  <c r="AM67" i="344"/>
  <c r="AM61" i="344"/>
  <c r="AM16" i="344"/>
  <c r="AM15" i="344"/>
  <c r="AM71" i="344"/>
  <c r="AM49" i="344"/>
  <c r="AM48" i="344"/>
  <c r="AM44" i="344"/>
  <c r="AM57" i="344"/>
  <c r="AM35" i="344"/>
  <c r="AM34" i="344"/>
  <c r="AM53" i="344"/>
  <c r="AM41" i="344"/>
  <c r="AM38" i="344"/>
  <c r="AM37" i="344"/>
  <c r="AM63" i="344"/>
  <c r="AM45" i="344"/>
  <c r="AM32" i="344"/>
  <c r="AM31" i="344"/>
  <c r="AM28" i="344"/>
  <c r="AM27" i="344"/>
  <c r="AM24" i="344"/>
  <c r="AM23" i="344"/>
  <c r="AM20" i="344"/>
  <c r="AM19" i="344"/>
  <c r="AK88" i="344"/>
  <c r="Q97" i="344"/>
  <c r="Q92" i="344"/>
  <c r="AS88" i="344"/>
  <c r="Y53" i="31" l="1"/>
  <c r="Y86" i="31"/>
  <c r="AA86" i="31" s="1"/>
  <c r="Y26" i="31"/>
  <c r="AA26" i="31" s="1"/>
  <c r="AO11" i="344"/>
  <c r="AO22" i="344"/>
  <c r="AO39" i="344"/>
  <c r="AO29" i="344"/>
  <c r="AO58" i="344"/>
  <c r="AO30" i="344"/>
  <c r="AO85" i="344"/>
  <c r="AO70" i="344"/>
  <c r="AO76" i="344"/>
  <c r="AO38" i="344"/>
  <c r="AO54" i="344"/>
  <c r="AO51" i="344"/>
  <c r="N70" i="31"/>
  <c r="AO33" i="344"/>
  <c r="AO67" i="344"/>
  <c r="AO43" i="344"/>
  <c r="AO24" i="344"/>
  <c r="AO83" i="344"/>
  <c r="AO82" i="344"/>
  <c r="N54" i="31"/>
  <c r="P54" i="31" s="1"/>
  <c r="Y54" i="31" s="1"/>
  <c r="AO15" i="344"/>
  <c r="AO44" i="344"/>
  <c r="D17" i="317"/>
  <c r="Y57" i="31"/>
  <c r="AA57" i="31" s="1"/>
  <c r="N38" i="31"/>
  <c r="P38" i="31" s="1"/>
  <c r="I190" i="334" s="1"/>
  <c r="N28" i="31"/>
  <c r="P28" i="31" s="1"/>
  <c r="I113" i="334" s="1"/>
  <c r="N34" i="31"/>
  <c r="P34" i="31" s="1"/>
  <c r="I159" i="334" s="1"/>
  <c r="N59" i="31"/>
  <c r="P59" i="31" s="1"/>
  <c r="I357" i="334" s="1"/>
  <c r="I361" i="334" s="1"/>
  <c r="J361" i="334" s="1"/>
  <c r="N23" i="31"/>
  <c r="P23" i="31" s="1"/>
  <c r="C82" i="334" s="1"/>
  <c r="N37" i="31"/>
  <c r="P37" i="31" s="1"/>
  <c r="C190" i="334" s="1"/>
  <c r="N49" i="31"/>
  <c r="J285" i="334" s="1"/>
  <c r="N73" i="31"/>
  <c r="J453" i="334" s="1"/>
  <c r="AO62" i="344"/>
  <c r="AO73" i="344"/>
  <c r="AO64" i="344"/>
  <c r="AO49" i="344"/>
  <c r="M52" i="31"/>
  <c r="N52" i="31" s="1"/>
  <c r="AO81" i="344"/>
  <c r="M84" i="31"/>
  <c r="N84" i="31" s="1"/>
  <c r="AO37" i="344"/>
  <c r="M39" i="31"/>
  <c r="AO72" i="344"/>
  <c r="M75" i="31"/>
  <c r="N75" i="31" s="1"/>
  <c r="AO63" i="344"/>
  <c r="M66" i="31"/>
  <c r="N66" i="31" s="1"/>
  <c r="D411" i="334" s="1"/>
  <c r="AO55" i="344"/>
  <c r="M58" i="31"/>
  <c r="N58" i="31" s="1"/>
  <c r="AO66" i="344"/>
  <c r="M69" i="31"/>
  <c r="AO59" i="344"/>
  <c r="M62" i="31"/>
  <c r="N62" i="31" s="1"/>
  <c r="N32" i="31"/>
  <c r="P32" i="31" s="1"/>
  <c r="I144" i="334" s="1"/>
  <c r="J111" i="334"/>
  <c r="N79" i="31"/>
  <c r="P79" i="31" s="1"/>
  <c r="N68" i="31"/>
  <c r="D425" i="334" s="1"/>
  <c r="N50" i="31"/>
  <c r="P50" i="31" s="1"/>
  <c r="N39" i="31"/>
  <c r="P39" i="31" s="1"/>
  <c r="C206" i="334" s="1"/>
  <c r="N20" i="31"/>
  <c r="J49" i="334" s="1"/>
  <c r="N42" i="31"/>
  <c r="P42" i="31" s="1"/>
  <c r="I221" i="334" s="1"/>
  <c r="AO47" i="344"/>
  <c r="AO77" i="344"/>
  <c r="AO68" i="344"/>
  <c r="AO40" i="344"/>
  <c r="AO31" i="344"/>
  <c r="M33" i="31"/>
  <c r="N33" i="31" s="1"/>
  <c r="AO61" i="344"/>
  <c r="M64" i="31"/>
  <c r="N64" i="31" s="1"/>
  <c r="AO17" i="344"/>
  <c r="M19" i="31"/>
  <c r="N19" i="31" s="1"/>
  <c r="AO52" i="344"/>
  <c r="M55" i="31"/>
  <c r="N55" i="31" s="1"/>
  <c r="AO84" i="344"/>
  <c r="M87" i="31"/>
  <c r="N87" i="31" s="1"/>
  <c r="AO79" i="344"/>
  <c r="M82" i="31"/>
  <c r="N82" i="31" s="1"/>
  <c r="AO27" i="344"/>
  <c r="M29" i="31"/>
  <c r="N29" i="31" s="1"/>
  <c r="AO78" i="344"/>
  <c r="M81" i="31"/>
  <c r="N81" i="31" s="1"/>
  <c r="AO21" i="344"/>
  <c r="AO87" i="344"/>
  <c r="AO57" i="344"/>
  <c r="M60" i="31"/>
  <c r="N60" i="31" s="1"/>
  <c r="AO13" i="344"/>
  <c r="M15" i="31"/>
  <c r="N15" i="31" s="1"/>
  <c r="AO48" i="344"/>
  <c r="M51" i="31"/>
  <c r="N51" i="31" s="1"/>
  <c r="J299" i="334" s="1"/>
  <c r="AO80" i="344"/>
  <c r="M83" i="31"/>
  <c r="N83" i="31" s="1"/>
  <c r="J523" i="334" s="1"/>
  <c r="AO75" i="344"/>
  <c r="M78" i="31"/>
  <c r="N78" i="31" s="1"/>
  <c r="AO19" i="344"/>
  <c r="M21" i="31"/>
  <c r="N21" i="31" s="1"/>
  <c r="AO74" i="344"/>
  <c r="M77" i="31"/>
  <c r="N77" i="31" s="1"/>
  <c r="AO45" i="344"/>
  <c r="N13" i="31"/>
  <c r="P13" i="31" s="1"/>
  <c r="N17" i="31"/>
  <c r="P17" i="31" s="1"/>
  <c r="C35" i="334" s="1"/>
  <c r="N31" i="31"/>
  <c r="P31" i="31" s="1"/>
  <c r="C144" i="334" s="1"/>
  <c r="N76" i="31"/>
  <c r="D481" i="334" s="1"/>
  <c r="N67" i="31"/>
  <c r="J411" i="334" s="1"/>
  <c r="N56" i="31"/>
  <c r="P56" i="31" s="1"/>
  <c r="N88" i="31"/>
  <c r="P88" i="31" s="1"/>
  <c r="N41" i="31"/>
  <c r="P41" i="31" s="1"/>
  <c r="C221" i="334" s="1"/>
  <c r="N24" i="31"/>
  <c r="P24" i="31" s="1"/>
  <c r="I82" i="334" s="1"/>
  <c r="N48" i="31"/>
  <c r="D285" i="334" s="1"/>
  <c r="N65" i="31"/>
  <c r="J397" i="334" s="1"/>
  <c r="AO34" i="344"/>
  <c r="M36" i="31"/>
  <c r="N36" i="31" s="1"/>
  <c r="P36" i="31" s="1"/>
  <c r="I175" i="334" s="1"/>
  <c r="W95" i="344"/>
  <c r="W92" i="344" s="1"/>
  <c r="M14" i="31"/>
  <c r="N14" i="31" s="1"/>
  <c r="AO69" i="344"/>
  <c r="M72" i="31"/>
  <c r="N72" i="31" s="1"/>
  <c r="AO25" i="344"/>
  <c r="M27" i="31"/>
  <c r="N27" i="31" s="1"/>
  <c r="AO60" i="344"/>
  <c r="M63" i="31"/>
  <c r="N63" i="31" s="1"/>
  <c r="AO16" i="344"/>
  <c r="M18" i="31"/>
  <c r="N18" i="31" s="1"/>
  <c r="AO20" i="344"/>
  <c r="M22" i="31"/>
  <c r="N22" i="31" s="1"/>
  <c r="AO42" i="344"/>
  <c r="M44" i="31"/>
  <c r="N44" i="31" s="1"/>
  <c r="AO86" i="344"/>
  <c r="M89" i="31"/>
  <c r="N89" i="31" s="1"/>
  <c r="AO71" i="344"/>
  <c r="M74" i="31"/>
  <c r="N74" i="31" s="1"/>
  <c r="AO14" i="344"/>
  <c r="M16" i="31"/>
  <c r="N16" i="31" s="1"/>
  <c r="N80" i="31"/>
  <c r="D509" i="334" s="1"/>
  <c r="N45" i="31"/>
  <c r="P45" i="31" s="1"/>
  <c r="C252" i="334" s="1"/>
  <c r="N71" i="31"/>
  <c r="J439" i="334" s="1"/>
  <c r="N85" i="31"/>
  <c r="D551" i="334" s="1"/>
  <c r="J589" i="334"/>
  <c r="N90" i="31"/>
  <c r="N40" i="31"/>
  <c r="J204" i="334" s="1"/>
  <c r="N69" i="31"/>
  <c r="AO41" i="344"/>
  <c r="M43" i="31"/>
  <c r="N43" i="31" s="1"/>
  <c r="AO65" i="344"/>
  <c r="AO56" i="344"/>
  <c r="AO23" i="344"/>
  <c r="M25" i="31"/>
  <c r="N25" i="31" s="1"/>
  <c r="AO26" i="344"/>
  <c r="I209" i="334"/>
  <c r="I85" i="334"/>
  <c r="I86" i="334" s="1"/>
  <c r="J86" i="334" s="1"/>
  <c r="I131" i="334"/>
  <c r="I193" i="334"/>
  <c r="Y47" i="31"/>
  <c r="AA47" i="31" s="1"/>
  <c r="I160" i="334"/>
  <c r="C52" i="334"/>
  <c r="I343" i="334"/>
  <c r="I347" i="334" s="1"/>
  <c r="J347" i="334" s="1"/>
  <c r="J369" i="334"/>
  <c r="J355" i="334"/>
  <c r="I222" i="334"/>
  <c r="I553" i="334"/>
  <c r="I558" i="334" s="1"/>
  <c r="J558" i="334" s="1"/>
  <c r="AN88" i="344"/>
  <c r="C416" i="334"/>
  <c r="D416" i="334" s="1"/>
  <c r="C38" i="334"/>
  <c r="C23" i="334"/>
  <c r="C24" i="334" s="1"/>
  <c r="D24" i="334" s="1"/>
  <c r="P61" i="31"/>
  <c r="Y61" i="31" s="1"/>
  <c r="AA61" i="31" s="1"/>
  <c r="D273" i="334"/>
  <c r="D119" i="334"/>
  <c r="J134" i="334"/>
  <c r="D181" i="334"/>
  <c r="J258" i="334"/>
  <c r="D188" i="334"/>
  <c r="D265" i="334"/>
  <c r="D173" i="334"/>
  <c r="I208" i="334"/>
  <c r="D250" i="334"/>
  <c r="J250" i="334"/>
  <c r="J126" i="334"/>
  <c r="D80" i="334"/>
  <c r="C41" i="334"/>
  <c r="I103" i="334"/>
  <c r="I165" i="334"/>
  <c r="C270" i="334"/>
  <c r="C271" i="334" s="1"/>
  <c r="D271" i="334" s="1"/>
  <c r="C150" i="334"/>
  <c r="C273" i="334"/>
  <c r="I26" i="334"/>
  <c r="C129" i="334"/>
  <c r="C165" i="334"/>
  <c r="J103" i="334"/>
  <c r="D57" i="334"/>
  <c r="C162" i="334"/>
  <c r="C147" i="334"/>
  <c r="C53" i="334"/>
  <c r="C55" i="334" s="1"/>
  <c r="D55" i="334" s="1"/>
  <c r="I68" i="334"/>
  <c r="R95" i="31"/>
  <c r="AA53" i="31"/>
  <c r="C130" i="334"/>
  <c r="C243" i="334"/>
  <c r="J41" i="334"/>
  <c r="J292" i="334"/>
  <c r="J227" i="334"/>
  <c r="J460" i="334"/>
  <c r="I258" i="334"/>
  <c r="I196" i="334"/>
  <c r="I119" i="334"/>
  <c r="I181" i="334"/>
  <c r="I243" i="334"/>
  <c r="C212" i="334"/>
  <c r="I10" i="334"/>
  <c r="I161" i="334"/>
  <c r="I253" i="334"/>
  <c r="I5" i="334"/>
  <c r="I52" i="334"/>
  <c r="I67" i="334"/>
  <c r="I128" i="334"/>
  <c r="D41" i="334"/>
  <c r="D150" i="334"/>
  <c r="D446" i="334"/>
  <c r="D488" i="334"/>
  <c r="D134" i="334"/>
  <c r="D243" i="334"/>
  <c r="J362" i="334"/>
  <c r="J474" i="334"/>
  <c r="D589" i="334"/>
  <c r="D88" i="334"/>
  <c r="D196" i="334"/>
  <c r="D165" i="334"/>
  <c r="J72" i="334"/>
  <c r="D404" i="334"/>
  <c r="D516" i="334"/>
  <c r="D258" i="334"/>
  <c r="D418" i="334"/>
  <c r="J390" i="334"/>
  <c r="J502" i="334"/>
  <c r="D432" i="334"/>
  <c r="D306" i="334"/>
  <c r="D103" i="334"/>
  <c r="D212" i="334"/>
  <c r="J57" i="334"/>
  <c r="J196" i="334"/>
  <c r="J488" i="334"/>
  <c r="D320" i="334"/>
  <c r="D544" i="334"/>
  <c r="J119" i="334"/>
  <c r="J165" i="334"/>
  <c r="J306" i="334"/>
  <c r="J418" i="334"/>
  <c r="J530" i="334"/>
  <c r="D348" i="334"/>
  <c r="D460" i="334"/>
  <c r="J574" i="334"/>
  <c r="D227" i="334"/>
  <c r="J88" i="334"/>
  <c r="D292" i="334"/>
  <c r="J181" i="334"/>
  <c r="J150" i="334"/>
  <c r="D26" i="334"/>
  <c r="J243" i="334"/>
  <c r="J334" i="334"/>
  <c r="D574" i="334"/>
  <c r="D376" i="334"/>
  <c r="D559" i="334"/>
  <c r="D362" i="334"/>
  <c r="D474" i="334"/>
  <c r="J212" i="334"/>
  <c r="D72" i="334"/>
  <c r="J10" i="334"/>
  <c r="C597" i="334"/>
  <c r="D597" i="334" s="1"/>
  <c r="C602" i="334"/>
  <c r="C598" i="334"/>
  <c r="C600" i="334"/>
  <c r="C601" i="334" s="1"/>
  <c r="D601" i="334" s="1"/>
  <c r="C604" i="334"/>
  <c r="C599" i="334"/>
  <c r="D604" i="334"/>
  <c r="D596" i="334"/>
  <c r="C258" i="334"/>
  <c r="I212" i="334"/>
  <c r="J219" i="334"/>
  <c r="C37" i="334"/>
  <c r="I239" i="334"/>
  <c r="C196" i="334"/>
  <c r="C181" i="334"/>
  <c r="I83" i="334"/>
  <c r="I207" i="334"/>
  <c r="J157" i="334"/>
  <c r="I238" i="334"/>
  <c r="I22" i="334"/>
  <c r="D204" i="334"/>
  <c r="C36" i="334"/>
  <c r="I72" i="334"/>
  <c r="C145" i="334"/>
  <c r="J188" i="334"/>
  <c r="C88" i="334"/>
  <c r="I191" i="334"/>
  <c r="C239" i="334"/>
  <c r="I57" i="334"/>
  <c r="I252" i="334"/>
  <c r="I53" i="334"/>
  <c r="I55" i="334" s="1"/>
  <c r="J55" i="334" s="1"/>
  <c r="C175" i="334"/>
  <c r="C191" i="334"/>
  <c r="C68" i="334"/>
  <c r="I150" i="334"/>
  <c r="C146" i="334"/>
  <c r="D142" i="334"/>
  <c r="I223" i="334"/>
  <c r="C161" i="334"/>
  <c r="I115" i="334"/>
  <c r="D33" i="334"/>
  <c r="I176" i="334"/>
  <c r="C254" i="334"/>
  <c r="I177" i="334"/>
  <c r="C26" i="334"/>
  <c r="C134" i="334"/>
  <c r="C119" i="334"/>
  <c r="C115" i="334"/>
  <c r="C227" i="334"/>
  <c r="I88" i="334"/>
  <c r="I134" i="334"/>
  <c r="C84" i="334"/>
  <c r="C57" i="334"/>
  <c r="I21" i="334"/>
  <c r="C208" i="334"/>
  <c r="I114" i="334"/>
  <c r="C21" i="334"/>
  <c r="I146" i="334"/>
  <c r="U15" i="31"/>
  <c r="I99" i="334"/>
  <c r="C99" i="334"/>
  <c r="U20" i="31"/>
  <c r="C100" i="334"/>
  <c r="I98" i="334"/>
  <c r="C98" i="334"/>
  <c r="I97" i="334"/>
  <c r="I100" i="334"/>
  <c r="C69" i="334"/>
  <c r="C72" i="334"/>
  <c r="U33" i="31"/>
  <c r="J95" i="334"/>
  <c r="I41" i="334"/>
  <c r="C103" i="334"/>
  <c r="I37" i="334"/>
  <c r="I36" i="334"/>
  <c r="I95" i="31"/>
  <c r="U45" i="31"/>
  <c r="C255" i="334"/>
  <c r="U29" i="31"/>
  <c r="C131" i="334"/>
  <c r="U27" i="31"/>
  <c r="C116" i="334"/>
  <c r="U18" i="31"/>
  <c r="I38" i="334"/>
  <c r="U36" i="31"/>
  <c r="I178" i="334"/>
  <c r="U35" i="31"/>
  <c r="C178" i="334"/>
  <c r="U42" i="31"/>
  <c r="I224" i="334"/>
  <c r="U16" i="31"/>
  <c r="I23" i="334"/>
  <c r="U22" i="31"/>
  <c r="I69" i="334"/>
  <c r="I586" i="334"/>
  <c r="J586" i="334" s="1"/>
  <c r="I318" i="334"/>
  <c r="J318" i="334" s="1"/>
  <c r="C304" i="334"/>
  <c r="D304" i="334" s="1"/>
  <c r="C528" i="334"/>
  <c r="D528" i="334" s="1"/>
  <c r="I374" i="334"/>
  <c r="J374" i="334" s="1"/>
  <c r="C486" i="334"/>
  <c r="D486" i="334" s="1"/>
  <c r="C430" i="334"/>
  <c r="D430" i="334" s="1"/>
  <c r="C514" i="334"/>
  <c r="D514" i="334" s="1"/>
  <c r="I416" i="334"/>
  <c r="J416" i="334" s="1"/>
  <c r="C272" i="334"/>
  <c r="D272" i="334" s="1"/>
  <c r="I514" i="334"/>
  <c r="J514" i="334" s="1"/>
  <c r="C586" i="334"/>
  <c r="D586" i="334" s="1"/>
  <c r="I360" i="334"/>
  <c r="J360" i="334" s="1"/>
  <c r="U43" i="31"/>
  <c r="C240" i="334"/>
  <c r="U28" i="31"/>
  <c r="I116" i="334"/>
  <c r="I132" i="334"/>
  <c r="J132" i="334" s="1"/>
  <c r="U19" i="31"/>
  <c r="U17" i="31"/>
  <c r="U39" i="31"/>
  <c r="C209" i="334"/>
  <c r="U46" i="31"/>
  <c r="I255" i="334"/>
  <c r="I332" i="334"/>
  <c r="J332" i="334" s="1"/>
  <c r="I402" i="334"/>
  <c r="J402" i="334" s="1"/>
  <c r="I304" i="334"/>
  <c r="J304" i="334" s="1"/>
  <c r="C556" i="334"/>
  <c r="D556" i="334" s="1"/>
  <c r="I500" i="334"/>
  <c r="J500" i="334" s="1"/>
  <c r="I528" i="334"/>
  <c r="J528" i="334" s="1"/>
  <c r="C374" i="334"/>
  <c r="D374" i="334" s="1"/>
  <c r="I290" i="334"/>
  <c r="J290" i="334" s="1"/>
  <c r="C444" i="334"/>
  <c r="D444" i="334" s="1"/>
  <c r="U37" i="31"/>
  <c r="C193" i="334"/>
  <c r="U32" i="31"/>
  <c r="I147" i="334"/>
  <c r="C571" i="334"/>
  <c r="D571" i="334" s="1"/>
  <c r="C332" i="334"/>
  <c r="D332" i="334" s="1"/>
  <c r="C542" i="334"/>
  <c r="D542" i="334" s="1"/>
  <c r="C388" i="334"/>
  <c r="D388" i="334" s="1"/>
  <c r="I458" i="334"/>
  <c r="J458" i="334" s="1"/>
  <c r="I319" i="334"/>
  <c r="J319" i="334" s="1"/>
  <c r="C500" i="334"/>
  <c r="D500" i="334" s="1"/>
  <c r="C402" i="334"/>
  <c r="D402" i="334" s="1"/>
  <c r="I8" i="334"/>
  <c r="J8" i="334" s="1"/>
  <c r="I472" i="334"/>
  <c r="J472" i="334" s="1"/>
  <c r="I444" i="334"/>
  <c r="J444" i="334" s="1"/>
  <c r="I486" i="334"/>
  <c r="J486" i="334" s="1"/>
  <c r="U44" i="31"/>
  <c r="I240" i="334"/>
  <c r="U34" i="31"/>
  <c r="I162" i="334"/>
  <c r="U41" i="31"/>
  <c r="C224" i="334"/>
  <c r="U23" i="31"/>
  <c r="C85" i="334"/>
  <c r="U31" i="31"/>
  <c r="I194" i="334"/>
  <c r="J194" i="334" s="1"/>
  <c r="I556" i="334"/>
  <c r="J556" i="334" s="1"/>
  <c r="I430" i="334"/>
  <c r="J430" i="334" s="1"/>
  <c r="C318" i="334"/>
  <c r="D318" i="334" s="1"/>
  <c r="I388" i="334"/>
  <c r="J388" i="334" s="1"/>
  <c r="I346" i="334"/>
  <c r="J346" i="334" s="1"/>
  <c r="T95" i="31"/>
  <c r="D24" i="317" s="1"/>
  <c r="U40" i="31"/>
  <c r="U14" i="31"/>
  <c r="U38" i="31"/>
  <c r="U24" i="31"/>
  <c r="U30" i="31"/>
  <c r="Y30" i="31" s="1"/>
  <c r="D327" i="334" l="1"/>
  <c r="J142" i="334"/>
  <c r="D299" i="334"/>
  <c r="W97" i="344"/>
  <c r="D15" i="317"/>
  <c r="Y59" i="31"/>
  <c r="AA59" i="31" s="1"/>
  <c r="P85" i="31"/>
  <c r="C553" i="334" s="1"/>
  <c r="C558" i="334" s="1"/>
  <c r="D558" i="334" s="1"/>
  <c r="D341" i="334"/>
  <c r="AC95" i="344"/>
  <c r="AC93" i="344"/>
  <c r="Y34" i="31"/>
  <c r="AA34" i="31" s="1"/>
  <c r="AO88" i="344"/>
  <c r="AR88" i="344" s="1"/>
  <c r="I133" i="334"/>
  <c r="J133" i="334" s="1"/>
  <c r="P65" i="31"/>
  <c r="J404" i="334" s="1"/>
  <c r="P29" i="31"/>
  <c r="C128" i="334" s="1"/>
  <c r="C133" i="334" s="1"/>
  <c r="D133" i="334" s="1"/>
  <c r="D126" i="334"/>
  <c r="Y32" i="31"/>
  <c r="J80" i="334"/>
  <c r="I210" i="334"/>
  <c r="J210" i="334" s="1"/>
  <c r="J495" i="334"/>
  <c r="P40" i="31"/>
  <c r="I206" i="334" s="1"/>
  <c r="J173" i="334"/>
  <c r="P71" i="31"/>
  <c r="J446" i="334" s="1"/>
  <c r="P80" i="31"/>
  <c r="C511" i="334" s="1"/>
  <c r="C515" i="334" s="1"/>
  <c r="D515" i="334" s="1"/>
  <c r="P70" i="31"/>
  <c r="D439" i="334"/>
  <c r="C343" i="334"/>
  <c r="C347" i="334" s="1"/>
  <c r="D347" i="334" s="1"/>
  <c r="Y56" i="31"/>
  <c r="AA56" i="31" s="1"/>
  <c r="D95" i="334"/>
  <c r="P25" i="31"/>
  <c r="D235" i="334"/>
  <c r="P43" i="31"/>
  <c r="C237" i="334" s="1"/>
  <c r="C242" i="334" s="1"/>
  <c r="D242" i="334" s="1"/>
  <c r="J18" i="334"/>
  <c r="P16" i="31"/>
  <c r="I20" i="334" s="1"/>
  <c r="P89" i="31"/>
  <c r="D581" i="334"/>
  <c r="P22" i="31"/>
  <c r="I66" i="334" s="1"/>
  <c r="J64" i="334"/>
  <c r="J383" i="334"/>
  <c r="P63" i="31"/>
  <c r="P72" i="31"/>
  <c r="D453" i="334"/>
  <c r="D64" i="334"/>
  <c r="P21" i="31"/>
  <c r="P15" i="31"/>
  <c r="C20" i="334" s="1"/>
  <c r="D18" i="334"/>
  <c r="P87" i="31"/>
  <c r="D566" i="334"/>
  <c r="D49" i="334"/>
  <c r="P19" i="31"/>
  <c r="C51" i="334" s="1"/>
  <c r="C56" i="334" s="1"/>
  <c r="D56" i="334" s="1"/>
  <c r="P33" i="31"/>
  <c r="C159" i="334" s="1"/>
  <c r="C164" i="334" s="1"/>
  <c r="D164" i="334" s="1"/>
  <c r="D157" i="334"/>
  <c r="I497" i="334"/>
  <c r="I501" i="334" s="1"/>
  <c r="J501" i="334" s="1"/>
  <c r="Y79" i="31"/>
  <c r="AA79" i="31" s="1"/>
  <c r="P62" i="31"/>
  <c r="D383" i="334"/>
  <c r="P58" i="31"/>
  <c r="D355" i="334"/>
  <c r="J467" i="334"/>
  <c r="P75" i="31"/>
  <c r="D537" i="334"/>
  <c r="P84" i="31"/>
  <c r="P74" i="31"/>
  <c r="D467" i="334"/>
  <c r="P44" i="31"/>
  <c r="I237" i="334" s="1"/>
  <c r="I242" i="334" s="1"/>
  <c r="J242" i="334" s="1"/>
  <c r="J235" i="334"/>
  <c r="P18" i="31"/>
  <c r="I35" i="334" s="1"/>
  <c r="I40" i="334" s="1"/>
  <c r="J40" i="334" s="1"/>
  <c r="J33" i="334"/>
  <c r="P27" i="31"/>
  <c r="C113" i="334" s="1"/>
  <c r="C118" i="334" s="1"/>
  <c r="D118" i="334" s="1"/>
  <c r="D111" i="334"/>
  <c r="P14" i="31"/>
  <c r="I4" i="334" s="1"/>
  <c r="I9" i="334" s="1"/>
  <c r="J9" i="334" s="1"/>
  <c r="N95" i="31"/>
  <c r="N13" i="339" s="1"/>
  <c r="N17" i="339" s="1"/>
  <c r="J2" i="334"/>
  <c r="I568" i="334"/>
  <c r="I573" i="334" s="1"/>
  <c r="J573" i="334" s="1"/>
  <c r="Y88" i="31"/>
  <c r="AA88" i="31" s="1"/>
  <c r="J481" i="334"/>
  <c r="P77" i="31"/>
  <c r="P78" i="31"/>
  <c r="D495" i="334"/>
  <c r="D369" i="334"/>
  <c r="P60" i="31"/>
  <c r="J509" i="334"/>
  <c r="P81" i="31"/>
  <c r="D523" i="334"/>
  <c r="P82" i="31"/>
  <c r="P55" i="31"/>
  <c r="J327" i="334"/>
  <c r="D397" i="334"/>
  <c r="P64" i="31"/>
  <c r="C301" i="334"/>
  <c r="C305" i="334" s="1"/>
  <c r="D305" i="334" s="1"/>
  <c r="Y50" i="31"/>
  <c r="AA50" i="31" s="1"/>
  <c r="D313" i="334"/>
  <c r="P52" i="31"/>
  <c r="I87" i="334"/>
  <c r="J87" i="334" s="1"/>
  <c r="I441" i="334"/>
  <c r="I445" i="334" s="1"/>
  <c r="J445" i="334" s="1"/>
  <c r="J566" i="334"/>
  <c r="Y13" i="31"/>
  <c r="J581" i="334"/>
  <c r="P67" i="31"/>
  <c r="P76" i="31"/>
  <c r="D16" i="317"/>
  <c r="P20" i="31"/>
  <c r="I51" i="334" s="1"/>
  <c r="I56" i="334" s="1"/>
  <c r="J56" i="334" s="1"/>
  <c r="P66" i="31"/>
  <c r="P68" i="31"/>
  <c r="P73" i="31"/>
  <c r="J425" i="334"/>
  <c r="P69" i="31"/>
  <c r="M95" i="31"/>
  <c r="M13" i="339" s="1"/>
  <c r="M17" i="339" s="1"/>
  <c r="Y24" i="31"/>
  <c r="AA24" i="31" s="1"/>
  <c r="Y16" i="31"/>
  <c r="AA16" i="31" s="1"/>
  <c r="D219" i="334"/>
  <c r="I399" i="334"/>
  <c r="I403" i="334" s="1"/>
  <c r="J403" i="334" s="1"/>
  <c r="P48" i="31"/>
  <c r="P83" i="31"/>
  <c r="P51" i="31"/>
  <c r="Y65" i="31"/>
  <c r="AA65" i="31" s="1"/>
  <c r="P49" i="31"/>
  <c r="D14" i="317"/>
  <c r="Y31" i="31"/>
  <c r="AA31" i="31" s="1"/>
  <c r="Y41" i="31"/>
  <c r="AA41" i="31" s="1"/>
  <c r="Y37" i="31"/>
  <c r="AA37" i="31" s="1"/>
  <c r="Y39" i="31"/>
  <c r="AA39" i="31" s="1"/>
  <c r="Y35" i="31"/>
  <c r="AA35" i="31" s="1"/>
  <c r="Y38" i="31"/>
  <c r="AA38" i="31" s="1"/>
  <c r="Y17" i="31"/>
  <c r="AA17" i="31" s="1"/>
  <c r="Y15" i="31"/>
  <c r="AA15" i="31" s="1"/>
  <c r="AA30" i="31"/>
  <c r="Y23" i="31"/>
  <c r="AA23" i="31" s="1"/>
  <c r="AA32" i="31"/>
  <c r="Y46" i="31"/>
  <c r="AA46" i="31" s="1"/>
  <c r="Y22" i="31"/>
  <c r="AA22" i="31" s="1"/>
  <c r="Y36" i="31"/>
  <c r="AA36" i="31" s="1"/>
  <c r="Y19" i="31"/>
  <c r="AA19" i="31" s="1"/>
  <c r="Y45" i="31"/>
  <c r="AA45" i="31" s="1"/>
  <c r="Y42" i="31"/>
  <c r="AA42" i="31" s="1"/>
  <c r="Y28" i="31"/>
  <c r="AA28" i="31" s="1"/>
  <c r="Y44" i="31"/>
  <c r="AA44" i="31" s="1"/>
  <c r="J376" i="334"/>
  <c r="I371" i="334"/>
  <c r="I375" i="334" s="1"/>
  <c r="J375" i="334" s="1"/>
  <c r="D334" i="334"/>
  <c r="C329" i="334"/>
  <c r="C333" i="334" s="1"/>
  <c r="D333" i="334" s="1"/>
  <c r="AA54" i="31"/>
  <c r="AC94" i="344"/>
  <c r="AC92" i="344" s="1"/>
  <c r="C163" i="334"/>
  <c r="D163" i="334" s="1"/>
  <c r="C40" i="334"/>
  <c r="D40" i="334" s="1"/>
  <c r="C39" i="334"/>
  <c r="D39" i="334" s="1"/>
  <c r="I226" i="334"/>
  <c r="J226" i="334" s="1"/>
  <c r="C148" i="334"/>
  <c r="D148" i="334" s="1"/>
  <c r="I164" i="334"/>
  <c r="J164" i="334" s="1"/>
  <c r="I211" i="334"/>
  <c r="J211" i="334" s="1"/>
  <c r="I195" i="334"/>
  <c r="J195" i="334" s="1"/>
  <c r="C70" i="334"/>
  <c r="D70" i="334" s="1"/>
  <c r="C149" i="334"/>
  <c r="D149" i="334" s="1"/>
  <c r="I149" i="334"/>
  <c r="J149" i="334" s="1"/>
  <c r="C25" i="334"/>
  <c r="D25" i="334" s="1"/>
  <c r="J26" i="334"/>
  <c r="C603" i="334"/>
  <c r="D603" i="334" s="1"/>
  <c r="C101" i="334"/>
  <c r="D101" i="334" s="1"/>
  <c r="I101" i="334"/>
  <c r="J101" i="334" s="1"/>
  <c r="I102" i="334"/>
  <c r="J102" i="334" s="1"/>
  <c r="I241" i="334"/>
  <c r="J241" i="334" s="1"/>
  <c r="I117" i="334"/>
  <c r="J117" i="334" s="1"/>
  <c r="I70" i="334"/>
  <c r="J70" i="334" s="1"/>
  <c r="I71" i="334"/>
  <c r="J71" i="334" s="1"/>
  <c r="I225" i="334"/>
  <c r="J225" i="334" s="1"/>
  <c r="I179" i="334"/>
  <c r="J179" i="334" s="1"/>
  <c r="I180" i="334"/>
  <c r="J180" i="334" s="1"/>
  <c r="I39" i="334"/>
  <c r="J39" i="334" s="1"/>
  <c r="C132" i="334"/>
  <c r="D132" i="334" s="1"/>
  <c r="C87" i="334"/>
  <c r="D87" i="334" s="1"/>
  <c r="C86" i="334"/>
  <c r="D86" i="334" s="1"/>
  <c r="I148" i="334"/>
  <c r="J148" i="334" s="1"/>
  <c r="C211" i="334"/>
  <c r="D211" i="334" s="1"/>
  <c r="C210" i="334"/>
  <c r="D210" i="334" s="1"/>
  <c r="I118" i="334"/>
  <c r="J118" i="334" s="1"/>
  <c r="C225" i="334"/>
  <c r="D225" i="334" s="1"/>
  <c r="C226" i="334"/>
  <c r="D226" i="334" s="1"/>
  <c r="C195" i="334"/>
  <c r="D195" i="334" s="1"/>
  <c r="C194" i="334"/>
  <c r="D194" i="334" s="1"/>
  <c r="C241" i="334"/>
  <c r="D241" i="334" s="1"/>
  <c r="I24" i="334"/>
  <c r="J24" i="334" s="1"/>
  <c r="I25" i="334"/>
  <c r="J25" i="334" s="1"/>
  <c r="C179" i="334"/>
  <c r="D179" i="334" s="1"/>
  <c r="C180" i="334"/>
  <c r="D180" i="334" s="1"/>
  <c r="C117" i="334"/>
  <c r="D117" i="334" s="1"/>
  <c r="C257" i="334"/>
  <c r="D257" i="334" s="1"/>
  <c r="C256" i="334"/>
  <c r="D256" i="334" s="1"/>
  <c r="I163" i="334"/>
  <c r="J163" i="334" s="1"/>
  <c r="I256" i="334"/>
  <c r="J256" i="334" s="1"/>
  <c r="I257" i="334"/>
  <c r="J257" i="334" s="1"/>
  <c r="U13" i="339"/>
  <c r="Y43" i="31" l="1"/>
  <c r="AA43" i="31" s="1"/>
  <c r="Y80" i="31"/>
  <c r="AA80" i="31" s="1"/>
  <c r="Y27" i="31"/>
  <c r="AA27" i="31" s="1"/>
  <c r="Y14" i="31"/>
  <c r="AA14" i="31" s="1"/>
  <c r="Y85" i="31"/>
  <c r="AA85" i="31" s="1"/>
  <c r="Y33" i="31"/>
  <c r="AA33" i="31" s="1"/>
  <c r="Y29" i="31"/>
  <c r="AA29" i="31" s="1"/>
  <c r="Y71" i="31"/>
  <c r="AA71" i="31" s="1"/>
  <c r="Y18" i="31"/>
  <c r="AA18" i="31" s="1"/>
  <c r="Y20" i="31"/>
  <c r="AA20" i="31" s="1"/>
  <c r="Y40" i="31"/>
  <c r="AA40" i="31" s="1"/>
  <c r="C441" i="334"/>
  <c r="C445" i="334" s="1"/>
  <c r="D445" i="334" s="1"/>
  <c r="Y70" i="31"/>
  <c r="AA70" i="31" s="1"/>
  <c r="I583" i="334"/>
  <c r="I588" i="334" s="1"/>
  <c r="J588" i="334" s="1"/>
  <c r="Y90" i="31"/>
  <c r="AA90" i="31" s="1"/>
  <c r="I329" i="334"/>
  <c r="I333" i="334" s="1"/>
  <c r="J333" i="334" s="1"/>
  <c r="Y55" i="31"/>
  <c r="AA55" i="31" s="1"/>
  <c r="D502" i="334"/>
  <c r="C497" i="334"/>
  <c r="C501" i="334" s="1"/>
  <c r="D501" i="334" s="1"/>
  <c r="Y78" i="31"/>
  <c r="AA78" i="31" s="1"/>
  <c r="C539" i="334"/>
  <c r="C543" i="334" s="1"/>
  <c r="D543" i="334" s="1"/>
  <c r="Y84" i="31"/>
  <c r="AA84" i="31" s="1"/>
  <c r="C97" i="334"/>
  <c r="C102" i="334" s="1"/>
  <c r="D102" i="334" s="1"/>
  <c r="Y25" i="31"/>
  <c r="AA25" i="31" s="1"/>
  <c r="I413" i="334"/>
  <c r="I417" i="334" s="1"/>
  <c r="J417" i="334" s="1"/>
  <c r="Y67" i="31"/>
  <c r="AA67" i="31" s="1"/>
  <c r="P95" i="31"/>
  <c r="I301" i="334"/>
  <c r="I305" i="334" s="1"/>
  <c r="J305" i="334" s="1"/>
  <c r="Y51" i="31"/>
  <c r="AA51" i="31" s="1"/>
  <c r="J432" i="334"/>
  <c r="I427" i="334"/>
  <c r="I431" i="334" s="1"/>
  <c r="J431" i="334" s="1"/>
  <c r="Y69" i="31"/>
  <c r="AA69" i="31" s="1"/>
  <c r="C427" i="334"/>
  <c r="C431" i="334" s="1"/>
  <c r="D431" i="334" s="1"/>
  <c r="Y68" i="31"/>
  <c r="AA68" i="31" s="1"/>
  <c r="C483" i="334"/>
  <c r="C487" i="334" s="1"/>
  <c r="D487" i="334" s="1"/>
  <c r="Y76" i="31"/>
  <c r="AA76" i="31" s="1"/>
  <c r="C315" i="334"/>
  <c r="C319" i="334" s="1"/>
  <c r="D319" i="334" s="1"/>
  <c r="Y52" i="31"/>
  <c r="AA52" i="31" s="1"/>
  <c r="C399" i="334"/>
  <c r="C403" i="334" s="1"/>
  <c r="D403" i="334" s="1"/>
  <c r="Y64" i="31"/>
  <c r="AA64" i="31" s="1"/>
  <c r="D530" i="334"/>
  <c r="C525" i="334"/>
  <c r="C529" i="334" s="1"/>
  <c r="D529" i="334" s="1"/>
  <c r="Y82" i="31"/>
  <c r="AA82" i="31" s="1"/>
  <c r="C371" i="334"/>
  <c r="C375" i="334" s="1"/>
  <c r="D375" i="334" s="1"/>
  <c r="Y60" i="31"/>
  <c r="AA60" i="31" s="1"/>
  <c r="I483" i="334"/>
  <c r="I487" i="334" s="1"/>
  <c r="J487" i="334" s="1"/>
  <c r="Y77" i="31"/>
  <c r="AA77" i="31" s="1"/>
  <c r="C357" i="334"/>
  <c r="C361" i="334" s="1"/>
  <c r="D361" i="334" s="1"/>
  <c r="Y58" i="31"/>
  <c r="AA58" i="31" s="1"/>
  <c r="C455" i="334"/>
  <c r="C459" i="334" s="1"/>
  <c r="D459" i="334" s="1"/>
  <c r="Y72" i="31"/>
  <c r="AA72" i="31" s="1"/>
  <c r="I469" i="334"/>
  <c r="I473" i="334" s="1"/>
  <c r="J473" i="334" s="1"/>
  <c r="Y75" i="31"/>
  <c r="AA75" i="31" s="1"/>
  <c r="C66" i="334"/>
  <c r="C71" i="334" s="1"/>
  <c r="D71" i="334" s="1"/>
  <c r="Y21" i="31"/>
  <c r="AA21" i="31" s="1"/>
  <c r="I385" i="334"/>
  <c r="I389" i="334" s="1"/>
  <c r="J389" i="334" s="1"/>
  <c r="Y63" i="31"/>
  <c r="AA63" i="31" s="1"/>
  <c r="I525" i="334"/>
  <c r="I529" i="334" s="1"/>
  <c r="J529" i="334" s="1"/>
  <c r="Y83" i="31"/>
  <c r="AA83" i="31" s="1"/>
  <c r="C413" i="334"/>
  <c r="C417" i="334" s="1"/>
  <c r="D417" i="334" s="1"/>
  <c r="Y66" i="31"/>
  <c r="AA66" i="31" s="1"/>
  <c r="I287" i="334"/>
  <c r="I291" i="334" s="1"/>
  <c r="J291" i="334" s="1"/>
  <c r="Y49" i="31"/>
  <c r="AA49" i="31" s="1"/>
  <c r="C287" i="334"/>
  <c r="C291" i="334" s="1"/>
  <c r="D291" i="334" s="1"/>
  <c r="Y48" i="31"/>
  <c r="AA48" i="31" s="1"/>
  <c r="I455" i="334"/>
  <c r="I459" i="334" s="1"/>
  <c r="J459" i="334" s="1"/>
  <c r="Y73" i="31"/>
  <c r="AA73" i="31" s="1"/>
  <c r="J516" i="334"/>
  <c r="Y81" i="31"/>
  <c r="AA81" i="31" s="1"/>
  <c r="I511" i="334"/>
  <c r="I515" i="334" s="1"/>
  <c r="J515" i="334" s="1"/>
  <c r="C469" i="334"/>
  <c r="C473" i="334" s="1"/>
  <c r="D473" i="334" s="1"/>
  <c r="Y74" i="31"/>
  <c r="AA74" i="31" s="1"/>
  <c r="C385" i="334"/>
  <c r="C389" i="334" s="1"/>
  <c r="D389" i="334" s="1"/>
  <c r="Y62" i="31"/>
  <c r="AA62" i="31" s="1"/>
  <c r="C568" i="334"/>
  <c r="C573" i="334" s="1"/>
  <c r="D573" i="334" s="1"/>
  <c r="Y87" i="31"/>
  <c r="AA87" i="31" s="1"/>
  <c r="C583" i="334"/>
  <c r="C588" i="334" s="1"/>
  <c r="D588" i="334" s="1"/>
  <c r="Y89" i="31"/>
  <c r="AA89" i="31" s="1"/>
  <c r="Z17" i="339"/>
  <c r="AA17" i="339"/>
  <c r="AB17" i="339"/>
  <c r="J17" i="187"/>
  <c r="J16" i="187"/>
  <c r="J15" i="187"/>
  <c r="J14" i="187"/>
  <c r="J13" i="187"/>
  <c r="R63" i="343" l="1"/>
  <c r="O61" i="343"/>
  <c r="O60" i="343"/>
  <c r="O59" i="343"/>
  <c r="O57" i="343"/>
  <c r="M57" i="343"/>
  <c r="D57" i="343"/>
  <c r="O54" i="343"/>
  <c r="M54" i="343"/>
  <c r="D54" i="343"/>
  <c r="S53" i="343"/>
  <c r="T53" i="343" s="1"/>
  <c r="H53" i="343"/>
  <c r="F53" i="343"/>
  <c r="U52" i="343"/>
  <c r="S52" i="343"/>
  <c r="L52" i="343"/>
  <c r="J52" i="343"/>
  <c r="H52" i="343"/>
  <c r="F52" i="343"/>
  <c r="L51" i="343"/>
  <c r="M50" i="343" s="1"/>
  <c r="J51" i="343"/>
  <c r="H51" i="343"/>
  <c r="F51" i="343"/>
  <c r="U50" i="343"/>
  <c r="S50" i="343"/>
  <c r="D50" i="343"/>
  <c r="O49" i="343"/>
  <c r="D49" i="343"/>
  <c r="O45" i="343"/>
  <c r="M45" i="343"/>
  <c r="D45" i="343"/>
  <c r="D44" i="343"/>
  <c r="O44" i="343" s="1"/>
  <c r="O42" i="343" s="1"/>
  <c r="O43" i="343"/>
  <c r="D43" i="343"/>
  <c r="M40" i="343"/>
  <c r="D40" i="343"/>
  <c r="O40" i="343" s="1"/>
  <c r="M38" i="343"/>
  <c r="D38" i="343"/>
  <c r="O38" i="343" s="1"/>
  <c r="O37" i="343"/>
  <c r="D37" i="343"/>
  <c r="D36" i="343"/>
  <c r="O36" i="343" s="1"/>
  <c r="O35" i="343" s="1"/>
  <c r="L33" i="343"/>
  <c r="R32" i="343"/>
  <c r="O32" i="343"/>
  <c r="M32" i="343"/>
  <c r="D32" i="343"/>
  <c r="M30" i="343"/>
  <c r="O30" i="343" s="1"/>
  <c r="D30" i="343"/>
  <c r="H29" i="343"/>
  <c r="M28" i="343"/>
  <c r="O28" i="343" s="1"/>
  <c r="D28" i="343"/>
  <c r="D27" i="343"/>
  <c r="O27" i="343" s="1"/>
  <c r="U54" i="343" s="1"/>
  <c r="M26" i="343"/>
  <c r="R36" i="343" s="1"/>
  <c r="D26" i="343"/>
  <c r="O26" i="343" s="1"/>
  <c r="O17" i="343"/>
  <c r="S51" i="343" l="1"/>
  <c r="T51" i="343" s="1"/>
  <c r="O50" i="343"/>
  <c r="R26" i="343"/>
  <c r="O25" i="343"/>
  <c r="S40" i="343"/>
  <c r="S39" i="343"/>
  <c r="U51" i="343" l="1"/>
  <c r="O48" i="343"/>
  <c r="O24" i="343" s="1"/>
  <c r="O12" i="343" s="1"/>
  <c r="O63" i="343" s="1"/>
  <c r="I13" i="187" l="1"/>
  <c r="I14" i="187" s="1"/>
  <c r="I15" i="187" s="1"/>
  <c r="I16" i="187" s="1"/>
  <c r="I17" i="187" s="1"/>
  <c r="G8" i="339" l="1"/>
  <c r="H47" i="31" l="1"/>
  <c r="H48" i="31"/>
  <c r="H49" i="31"/>
  <c r="H50" i="31"/>
  <c r="H51" i="31"/>
  <c r="H52" i="31"/>
  <c r="H53" i="31"/>
  <c r="H54" i="31"/>
  <c r="A284" i="334" l="1"/>
  <c r="J13" i="341" l="1"/>
  <c r="L13" i="341" s="1"/>
  <c r="J14" i="341"/>
  <c r="L14" i="341" s="1"/>
  <c r="J12" i="341"/>
  <c r="L12" i="341" s="1"/>
  <c r="Q28" i="341"/>
  <c r="P28" i="341"/>
  <c r="P29" i="341" s="1"/>
  <c r="D14" i="341"/>
  <c r="D13" i="341"/>
  <c r="D12" i="341"/>
  <c r="J22" i="341" l="1"/>
  <c r="D28" i="317" l="1"/>
  <c r="H28" i="317"/>
  <c r="H14" i="339"/>
  <c r="X14" i="339" s="1"/>
  <c r="AC14" i="339" s="1"/>
  <c r="D13" i="328"/>
  <c r="H16" i="339"/>
  <c r="X16" i="339" s="1"/>
  <c r="H12" i="340"/>
  <c r="H11" i="340" l="1"/>
  <c r="D13" i="334" l="1"/>
  <c r="A1" i="334"/>
  <c r="Z95" i="31" l="1"/>
  <c r="F11" i="337" l="1"/>
  <c r="F12" i="337"/>
  <c r="F13" i="337"/>
  <c r="F14" i="337"/>
  <c r="F15" i="337"/>
  <c r="F16" i="337"/>
  <c r="F17" i="337"/>
  <c r="F18" i="337"/>
  <c r="F19" i="337"/>
  <c r="F20" i="337"/>
  <c r="F21" i="337"/>
  <c r="F22" i="337"/>
  <c r="F23" i="337"/>
  <c r="F24" i="337"/>
  <c r="F10" i="337"/>
  <c r="J25" i="337"/>
  <c r="D30" i="317" l="1"/>
  <c r="G15" i="339"/>
  <c r="H15" i="339" s="1"/>
  <c r="X15" i="339" s="1"/>
  <c r="AC15" i="339" s="1"/>
  <c r="H30" i="317"/>
  <c r="M11" i="187"/>
  <c r="E15" i="187" l="1"/>
  <c r="E16" i="187"/>
  <c r="E17" i="187"/>
  <c r="E14" i="187"/>
  <c r="E13" i="187"/>
  <c r="D15" i="187"/>
  <c r="D16" i="187"/>
  <c r="D14" i="187"/>
  <c r="D13" i="187"/>
  <c r="H18" i="54"/>
  <c r="D18" i="54"/>
  <c r="F13" i="54"/>
  <c r="F14" i="54"/>
  <c r="F15" i="54"/>
  <c r="F16" i="54"/>
  <c r="F17" i="54"/>
  <c r="F11" i="56"/>
  <c r="I18" i="54" l="1"/>
  <c r="J18" i="54"/>
  <c r="D13" i="30"/>
  <c r="D12" i="30"/>
  <c r="D11" i="30"/>
  <c r="F15" i="320"/>
  <c r="G15" i="320"/>
  <c r="H15" i="320"/>
  <c r="I15" i="320"/>
  <c r="J15" i="320"/>
  <c r="K15" i="320"/>
  <c r="L15" i="320"/>
  <c r="M15" i="320"/>
  <c r="N15" i="320"/>
  <c r="O15" i="320"/>
  <c r="P15" i="320"/>
  <c r="Q15" i="320"/>
  <c r="R15" i="320"/>
  <c r="S15" i="320"/>
  <c r="T15" i="320"/>
  <c r="U15" i="320"/>
  <c r="V15" i="320"/>
  <c r="W15" i="320"/>
  <c r="X15" i="320"/>
  <c r="Y15" i="320"/>
  <c r="Z15" i="320"/>
  <c r="AA15" i="320"/>
  <c r="AB15" i="320"/>
  <c r="AC15" i="320"/>
  <c r="AD15" i="320"/>
  <c r="AE15" i="320"/>
  <c r="AF15" i="320"/>
  <c r="AG15" i="320"/>
  <c r="AH15" i="320"/>
  <c r="AI15" i="320"/>
  <c r="E15" i="320"/>
  <c r="AJ14" i="320"/>
  <c r="G14" i="341" s="1"/>
  <c r="G95" i="31"/>
  <c r="G13" i="339" s="1"/>
  <c r="G17" i="339" s="1"/>
  <c r="H13" i="339" l="1"/>
  <c r="H17" i="339" s="1"/>
  <c r="G13" i="30"/>
  <c r="D22" i="341"/>
  <c r="D21" i="341"/>
  <c r="I13" i="30" l="1"/>
  <c r="H13" i="30"/>
  <c r="B12" i="328"/>
  <c r="B13" i="328"/>
  <c r="J13" i="30" l="1"/>
  <c r="L44" i="323"/>
  <c r="AA44" i="323"/>
  <c r="L2" i="334" l="1"/>
  <c r="C3" i="334"/>
  <c r="D3" i="334" s="1"/>
  <c r="K26" i="317" l="1"/>
  <c r="AH11" i="323" l="1"/>
  <c r="AH12" i="323"/>
  <c r="AH13" i="323"/>
  <c r="AH14" i="323"/>
  <c r="AH15" i="323"/>
  <c r="AH16" i="323"/>
  <c r="AH17" i="323"/>
  <c r="AH18" i="323"/>
  <c r="AH19" i="323"/>
  <c r="AH20" i="323"/>
  <c r="AH21" i="323"/>
  <c r="AH22" i="323"/>
  <c r="AH23" i="323"/>
  <c r="AH24" i="323"/>
  <c r="AH25" i="323"/>
  <c r="AH26" i="323"/>
  <c r="AH27" i="323"/>
  <c r="AH28" i="323"/>
  <c r="AH29" i="323"/>
  <c r="AH30" i="323"/>
  <c r="AH31" i="323"/>
  <c r="AH32" i="323"/>
  <c r="AH33" i="323"/>
  <c r="AH34" i="323"/>
  <c r="AH35" i="323"/>
  <c r="AH36" i="323"/>
  <c r="AH37" i="323"/>
  <c r="AH38" i="323"/>
  <c r="AH39" i="323"/>
  <c r="AH40" i="323"/>
  <c r="AH41" i="323"/>
  <c r="AH42" i="323"/>
  <c r="AH43" i="323"/>
  <c r="N14" i="334" l="1"/>
  <c r="B2" i="334"/>
  <c r="C7" i="334" s="1"/>
  <c r="AH10" i="323"/>
  <c r="C6" i="334" l="1"/>
  <c r="C4" i="334"/>
  <c r="D286" i="334"/>
  <c r="C290" i="334"/>
  <c r="D290" i="334" s="1"/>
  <c r="U94" i="31"/>
  <c r="U93" i="31"/>
  <c r="U92" i="31"/>
  <c r="S95" i="31"/>
  <c r="T13" i="339" s="1"/>
  <c r="T17" i="339" s="1"/>
  <c r="C8" i="334" l="1"/>
  <c r="D8" i="334" s="1"/>
  <c r="U95" i="31"/>
  <c r="B44" i="329"/>
  <c r="B12" i="329"/>
  <c r="B13" i="329"/>
  <c r="B14" i="329"/>
  <c r="B15" i="329"/>
  <c r="B16" i="329"/>
  <c r="B17" i="329"/>
  <c r="B18" i="329"/>
  <c r="B19" i="329"/>
  <c r="B20" i="329"/>
  <c r="B21" i="329"/>
  <c r="B22" i="329"/>
  <c r="B23" i="329"/>
  <c r="B24" i="329"/>
  <c r="B25" i="329"/>
  <c r="B26" i="329"/>
  <c r="B27" i="329"/>
  <c r="B28" i="329"/>
  <c r="B29" i="329"/>
  <c r="B30" i="329"/>
  <c r="B31" i="329"/>
  <c r="B32" i="329"/>
  <c r="B33" i="329"/>
  <c r="B34" i="329"/>
  <c r="B35" i="329"/>
  <c r="B36" i="329"/>
  <c r="B37" i="329"/>
  <c r="B38" i="329"/>
  <c r="B39" i="329"/>
  <c r="B40" i="329"/>
  <c r="B41" i="329"/>
  <c r="B42" i="329"/>
  <c r="B43" i="329"/>
  <c r="B11" i="329"/>
  <c r="U17" i="339" l="1"/>
  <c r="V13" i="339"/>
  <c r="V17" i="339" s="1"/>
  <c r="AG43" i="329"/>
  <c r="AI43" i="329" s="1"/>
  <c r="AG41" i="329"/>
  <c r="AI41" i="329" s="1"/>
  <c r="AG37" i="329"/>
  <c r="AI37" i="329" s="1"/>
  <c r="AG33" i="329"/>
  <c r="AI33" i="329" s="1"/>
  <c r="AG29" i="329"/>
  <c r="AI29" i="329" s="1"/>
  <c r="AG25" i="329"/>
  <c r="AI25" i="329" s="1"/>
  <c r="AG21" i="329"/>
  <c r="AI21" i="329" s="1"/>
  <c r="AG17" i="329"/>
  <c r="AI17" i="329" s="1"/>
  <c r="AG13" i="329"/>
  <c r="AI13" i="329" s="1"/>
  <c r="AG44" i="329"/>
  <c r="AI44" i="329" s="1"/>
  <c r="AG40" i="329"/>
  <c r="AI40" i="329" s="1"/>
  <c r="AG36" i="329"/>
  <c r="AI36" i="329" s="1"/>
  <c r="AG32" i="329"/>
  <c r="AI32" i="329" s="1"/>
  <c r="AG28" i="329"/>
  <c r="AI28" i="329" s="1"/>
  <c r="AG24" i="329"/>
  <c r="AI24" i="329" s="1"/>
  <c r="AG20" i="329"/>
  <c r="AI20" i="329" s="1"/>
  <c r="AG16" i="329"/>
  <c r="AI16" i="329" s="1"/>
  <c r="AG12" i="329"/>
  <c r="AI12" i="329" s="1"/>
  <c r="AG39" i="329"/>
  <c r="AI39" i="329" s="1"/>
  <c r="AG35" i="329"/>
  <c r="AI35" i="329" s="1"/>
  <c r="AG31" i="329"/>
  <c r="AI31" i="329" s="1"/>
  <c r="AG27" i="329"/>
  <c r="AI27" i="329" s="1"/>
  <c r="AG23" i="329"/>
  <c r="AI23" i="329" s="1"/>
  <c r="AG19" i="329"/>
  <c r="AI19" i="329" s="1"/>
  <c r="AG15" i="329"/>
  <c r="AI15" i="329" s="1"/>
  <c r="AG42" i="329"/>
  <c r="AI42" i="329" s="1"/>
  <c r="AG38" i="329"/>
  <c r="AI38" i="329" s="1"/>
  <c r="AG34" i="329"/>
  <c r="AI34" i="329" s="1"/>
  <c r="AG30" i="329"/>
  <c r="AI30" i="329" s="1"/>
  <c r="AG26" i="329"/>
  <c r="AI26" i="329" s="1"/>
  <c r="AG22" i="329"/>
  <c r="AI22" i="329" s="1"/>
  <c r="AG18" i="329"/>
  <c r="AI18" i="329" s="1"/>
  <c r="AG14" i="329"/>
  <c r="AI14" i="329" s="1"/>
  <c r="D2" i="334" l="1"/>
  <c r="C10" i="334"/>
  <c r="Q95" i="31" l="1"/>
  <c r="P13" i="339" s="1"/>
  <c r="P17" i="339" s="1"/>
  <c r="L11" i="187"/>
  <c r="V95" i="31" l="1"/>
  <c r="S13" i="339" s="1"/>
  <c r="S17" i="339" s="1"/>
  <c r="M19" i="30"/>
  <c r="M20" i="30" s="1"/>
  <c r="N19" i="30"/>
  <c r="K95" i="31" l="1"/>
  <c r="I8" i="317"/>
  <c r="E17" i="317" l="1"/>
  <c r="E16" i="317"/>
  <c r="E15" i="317"/>
  <c r="E18" i="317"/>
  <c r="F18" i="317" s="1"/>
  <c r="D10" i="334"/>
  <c r="M5" i="334"/>
  <c r="K11" i="317"/>
  <c r="M4" i="334"/>
  <c r="M2" i="334"/>
  <c r="J602" i="334" l="1"/>
  <c r="J572" i="334"/>
  <c r="D572" i="334"/>
  <c r="J557" i="334"/>
  <c r="D557" i="334"/>
  <c r="J587" i="334"/>
  <c r="D587" i="334"/>
  <c r="F24" i="317"/>
  <c r="H24" i="317" s="1"/>
  <c r="M6" i="334"/>
  <c r="J541" i="334"/>
  <c r="J269" i="334"/>
  <c r="J600" i="334"/>
  <c r="J223" i="334"/>
  <c r="D457" i="334"/>
  <c r="D471" i="334"/>
  <c r="D359" i="334"/>
  <c r="J22" i="334"/>
  <c r="D161" i="334"/>
  <c r="D115" i="334"/>
  <c r="D177" i="334"/>
  <c r="D208" i="334"/>
  <c r="J177" i="334"/>
  <c r="D192" i="334"/>
  <c r="D130" i="334"/>
  <c r="D146" i="334"/>
  <c r="J161" i="334"/>
  <c r="J146" i="334"/>
  <c r="D239" i="334"/>
  <c r="D254" i="334"/>
  <c r="D600" i="334"/>
  <c r="J115" i="334"/>
  <c r="D223" i="334"/>
  <c r="J570" i="334"/>
  <c r="D345" i="334"/>
  <c r="D415" i="334"/>
  <c r="J239" i="334"/>
  <c r="D22" i="334"/>
  <c r="D37" i="334"/>
  <c r="D53" i="334"/>
  <c r="J53" i="334"/>
  <c r="D84" i="334"/>
  <c r="J254" i="334"/>
  <c r="J68" i="334"/>
  <c r="D289" i="334"/>
  <c r="J317" i="334"/>
  <c r="D527" i="334"/>
  <c r="J373" i="334"/>
  <c r="D429" i="334"/>
  <c r="J303" i="334"/>
  <c r="J499" i="334"/>
  <c r="D373" i="334"/>
  <c r="D443" i="334"/>
  <c r="D541" i="334"/>
  <c r="J457" i="334"/>
  <c r="J84" i="334"/>
  <c r="J415" i="334"/>
  <c r="J513" i="334"/>
  <c r="J359" i="334"/>
  <c r="J401" i="334"/>
  <c r="D570" i="334"/>
  <c r="J585" i="334"/>
  <c r="D269" i="334"/>
  <c r="D485" i="334"/>
  <c r="D585" i="334"/>
  <c r="D555" i="334"/>
  <c r="J527" i="334"/>
  <c r="J289" i="334"/>
  <c r="D387" i="334"/>
  <c r="D499" i="334"/>
  <c r="J485" i="334"/>
  <c r="J192" i="334"/>
  <c r="J429" i="334"/>
  <c r="J387" i="334"/>
  <c r="J345" i="334"/>
  <c r="J6" i="334"/>
  <c r="D303" i="334"/>
  <c r="D513" i="334"/>
  <c r="D99" i="334"/>
  <c r="J130" i="334"/>
  <c r="J331" i="334"/>
  <c r="J208" i="334"/>
  <c r="D331" i="334"/>
  <c r="J471" i="334"/>
  <c r="J443" i="334"/>
  <c r="J555" i="334"/>
  <c r="D401" i="334"/>
  <c r="D317" i="334"/>
  <c r="D68" i="334"/>
  <c r="J37" i="334"/>
  <c r="J99" i="334"/>
  <c r="D6" i="334"/>
  <c r="J583" i="334"/>
  <c r="J598" i="334"/>
  <c r="D568" i="334"/>
  <c r="D598" i="334"/>
  <c r="D583" i="334"/>
  <c r="J568" i="334"/>
  <c r="J553" i="334"/>
  <c r="D287" i="334"/>
  <c r="J539" i="334"/>
  <c r="J497" i="334"/>
  <c r="J469" i="334"/>
  <c r="J413" i="334"/>
  <c r="D371" i="334"/>
  <c r="D357" i="334"/>
  <c r="D343" i="334"/>
  <c r="J329" i="334"/>
  <c r="J301" i="334"/>
  <c r="D441" i="334"/>
  <c r="J287" i="334"/>
  <c r="J483" i="334"/>
  <c r="J441" i="334"/>
  <c r="J399" i="334"/>
  <c r="J343" i="334"/>
  <c r="D553" i="334"/>
  <c r="D539" i="334"/>
  <c r="D525" i="334"/>
  <c r="D511" i="334"/>
  <c r="D497" i="334"/>
  <c r="D483" i="334"/>
  <c r="D469" i="334"/>
  <c r="D455" i="334"/>
  <c r="J427" i="334"/>
  <c r="D427" i="334"/>
  <c r="D413" i="334"/>
  <c r="D399" i="334"/>
  <c r="J385" i="334"/>
  <c r="D385" i="334"/>
  <c r="J371" i="334"/>
  <c r="J315" i="334"/>
  <c r="D329" i="334"/>
  <c r="D315" i="334"/>
  <c r="J525" i="334"/>
  <c r="J511" i="334"/>
  <c r="J455" i="334"/>
  <c r="J357" i="334"/>
  <c r="D301" i="334"/>
  <c r="D267" i="334"/>
  <c r="J267" i="334"/>
  <c r="D252" i="334"/>
  <c r="J252" i="334"/>
  <c r="J66" i="334"/>
  <c r="D221" i="334"/>
  <c r="J190" i="334"/>
  <c r="D175" i="334"/>
  <c r="D159" i="334"/>
  <c r="D128" i="334"/>
  <c r="D97" i="334"/>
  <c r="D113" i="334"/>
  <c r="D66" i="334"/>
  <c r="D237" i="334"/>
  <c r="D206" i="334"/>
  <c r="J159" i="334"/>
  <c r="D144" i="334"/>
  <c r="D82" i="334"/>
  <c r="J51" i="334"/>
  <c r="J221" i="334"/>
  <c r="J128" i="334"/>
  <c r="D35" i="334"/>
  <c r="J206" i="334"/>
  <c r="J144" i="334"/>
  <c r="D51" i="334"/>
  <c r="J35" i="334"/>
  <c r="D190" i="334"/>
  <c r="J175" i="334"/>
  <c r="J97" i="334"/>
  <c r="J82" i="334"/>
  <c r="J237" i="334"/>
  <c r="J113" i="334"/>
  <c r="J20" i="334"/>
  <c r="J4" i="334"/>
  <c r="D20" i="334"/>
  <c r="D4" i="334"/>
  <c r="J11" i="317"/>
  <c r="J24" i="317" l="1"/>
  <c r="J270" i="334"/>
  <c r="J85" i="334"/>
  <c r="J209" i="334"/>
  <c r="D270" i="334"/>
  <c r="J131" i="334"/>
  <c r="D38" i="334"/>
  <c r="J7" i="334"/>
  <c r="D162" i="334"/>
  <c r="D23" i="334"/>
  <c r="J54" i="334"/>
  <c r="D147" i="334"/>
  <c r="D54" i="334"/>
  <c r="J193" i="334"/>
  <c r="D100" i="334"/>
  <c r="J240" i="334"/>
  <c r="J69" i="334"/>
  <c r="J38" i="334"/>
  <c r="D209" i="334"/>
  <c r="D224" i="334"/>
  <c r="D178" i="334"/>
  <c r="J147" i="334"/>
  <c r="J23" i="334"/>
  <c r="J162" i="334"/>
  <c r="D69" i="334"/>
  <c r="J116" i="334"/>
  <c r="D85" i="334"/>
  <c r="D240" i="334"/>
  <c r="D255" i="334"/>
  <c r="J100" i="334"/>
  <c r="J224" i="334"/>
  <c r="D131" i="334"/>
  <c r="D193" i="334"/>
  <c r="D116" i="334"/>
  <c r="J255" i="334"/>
  <c r="J178" i="334"/>
  <c r="D7" i="334"/>
  <c r="F30" i="317"/>
  <c r="D29" i="317"/>
  <c r="F29" i="317" l="1"/>
  <c r="I30" i="317"/>
  <c r="C48" i="329"/>
  <c r="D48" i="329"/>
  <c r="E48" i="329"/>
  <c r="F48" i="329"/>
  <c r="G48" i="329"/>
  <c r="H48" i="329"/>
  <c r="I48" i="329"/>
  <c r="J48" i="329"/>
  <c r="K48" i="329"/>
  <c r="L48" i="329"/>
  <c r="M48" i="329"/>
  <c r="N48" i="329"/>
  <c r="O48" i="329"/>
  <c r="P48" i="329"/>
  <c r="Q48" i="329"/>
  <c r="R48" i="329"/>
  <c r="S48" i="329"/>
  <c r="T48" i="329"/>
  <c r="U48" i="329"/>
  <c r="V48" i="329"/>
  <c r="W48" i="329"/>
  <c r="X48" i="329"/>
  <c r="Y48" i="329"/>
  <c r="Z48" i="329"/>
  <c r="AA48" i="329"/>
  <c r="AB48" i="329"/>
  <c r="AC48" i="329"/>
  <c r="AD48" i="329"/>
  <c r="AE48" i="329"/>
  <c r="AF48" i="329"/>
  <c r="AK19" i="327"/>
  <c r="AI19" i="327"/>
  <c r="F19" i="327"/>
  <c r="AH11" i="327"/>
  <c r="AF11" i="327"/>
  <c r="AE11" i="327"/>
  <c r="AD11" i="327"/>
  <c r="AC11" i="327"/>
  <c r="AB11" i="327"/>
  <c r="AA11" i="327"/>
  <c r="Z11" i="327"/>
  <c r="Y11" i="327"/>
  <c r="X11" i="327"/>
  <c r="W11" i="327"/>
  <c r="V11" i="327"/>
  <c r="U11" i="327"/>
  <c r="T11" i="327"/>
  <c r="S11" i="327"/>
  <c r="R11" i="327"/>
  <c r="Q11" i="327"/>
  <c r="P11" i="327"/>
  <c r="O11" i="327"/>
  <c r="N11" i="327"/>
  <c r="M11" i="327"/>
  <c r="L11" i="327"/>
  <c r="K11" i="327"/>
  <c r="J11" i="327"/>
  <c r="I11" i="327"/>
  <c r="H11" i="327"/>
  <c r="G11" i="327"/>
  <c r="F11" i="327"/>
  <c r="E11" i="327"/>
  <c r="AG10" i="327"/>
  <c r="E8" i="327"/>
  <c r="J19" i="327" l="1"/>
  <c r="T19" i="327"/>
  <c r="X19" i="327"/>
  <c r="AB19" i="327"/>
  <c r="AF19" i="327"/>
  <c r="K19" i="327"/>
  <c r="O19" i="327"/>
  <c r="G19" i="327"/>
  <c r="L19" i="327"/>
  <c r="Y19" i="327"/>
  <c r="AH19" i="327"/>
  <c r="E19" i="327"/>
  <c r="I19" i="327"/>
  <c r="S19" i="327"/>
  <c r="W19" i="327"/>
  <c r="AA19" i="327"/>
  <c r="AE19" i="327"/>
  <c r="N19" i="327"/>
  <c r="U19" i="327"/>
  <c r="AC19" i="327"/>
  <c r="P19" i="327"/>
  <c r="H19" i="327"/>
  <c r="R19" i="327"/>
  <c r="V19" i="327"/>
  <c r="Z19" i="327"/>
  <c r="AD19" i="327"/>
  <c r="M19" i="327"/>
  <c r="Q19" i="327"/>
  <c r="AJ13" i="327"/>
  <c r="AJ12" i="327"/>
  <c r="AJ15" i="327"/>
  <c r="AJ18" i="327"/>
  <c r="AG11" i="327"/>
  <c r="AK12" i="327"/>
  <c r="AJ14" i="327"/>
  <c r="AK16" i="327"/>
  <c r="AJ17" i="327"/>
  <c r="AK14" i="327" l="1"/>
  <c r="AG19" i="327"/>
  <c r="AK18" i="327"/>
  <c r="AK13" i="327"/>
  <c r="AJ16" i="327"/>
  <c r="AJ19" i="327" s="1"/>
  <c r="AK15" i="327"/>
  <c r="AJ42" i="323" l="1"/>
  <c r="AJ41" i="323"/>
  <c r="AJ40" i="323"/>
  <c r="AJ39" i="323"/>
  <c r="AJ38" i="323"/>
  <c r="AJ37" i="323"/>
  <c r="AJ36" i="323"/>
  <c r="AJ35" i="323"/>
  <c r="AJ34" i="323"/>
  <c r="AJ33" i="323"/>
  <c r="AJ32" i="323"/>
  <c r="AJ31" i="323"/>
  <c r="AJ30" i="323"/>
  <c r="AJ29" i="323"/>
  <c r="AJ28" i="323"/>
  <c r="AJ27" i="323"/>
  <c r="AJ26" i="323"/>
  <c r="AJ25" i="323"/>
  <c r="AJ24" i="323"/>
  <c r="AJ23" i="323"/>
  <c r="AJ22" i="323"/>
  <c r="AJ21" i="323"/>
  <c r="AJ20" i="323"/>
  <c r="AJ19" i="323"/>
  <c r="AJ18" i="323"/>
  <c r="AJ17" i="323"/>
  <c r="AJ16" i="323"/>
  <c r="AJ15" i="323"/>
  <c r="AJ14" i="323"/>
  <c r="AJ13" i="323"/>
  <c r="AN12" i="323"/>
  <c r="AJ12" i="323"/>
  <c r="AJ11" i="323"/>
  <c r="C5" i="334" l="1"/>
  <c r="Q13" i="339"/>
  <c r="Q17" i="339" s="1"/>
  <c r="AH44" i="323"/>
  <c r="AJ10" i="323"/>
  <c r="AG11" i="329"/>
  <c r="AG45" i="329" s="1"/>
  <c r="C9" i="334" l="1"/>
  <c r="D9" i="334" s="1"/>
  <c r="X94" i="31"/>
  <c r="X93" i="31"/>
  <c r="AI11" i="329"/>
  <c r="F12" i="326"/>
  <c r="F13" i="326"/>
  <c r="AG48" i="329"/>
  <c r="W95" i="31"/>
  <c r="D22" i="317" l="1"/>
  <c r="F22" i="317" s="1"/>
  <c r="H22" i="317" s="1"/>
  <c r="R13" i="339"/>
  <c r="R17" i="339" s="1"/>
  <c r="AG47" i="329"/>
  <c r="AI47" i="329" s="1"/>
  <c r="AG46" i="329"/>
  <c r="AI46" i="329" s="1"/>
  <c r="AI45" i="329"/>
  <c r="F15" i="317"/>
  <c r="F16" i="317"/>
  <c r="E13" i="328"/>
  <c r="D14" i="326"/>
  <c r="AK48" i="329"/>
  <c r="AM49" i="329"/>
  <c r="J22" i="317" l="1"/>
  <c r="AI48" i="329"/>
  <c r="H13" i="326"/>
  <c r="L22" i="341"/>
  <c r="J95" i="31"/>
  <c r="J13" i="339" s="1"/>
  <c r="J17" i="339" s="1"/>
  <c r="G12" i="187"/>
  <c r="F14" i="326"/>
  <c r="G12" i="326"/>
  <c r="N12" i="187" l="1"/>
  <c r="P12" i="187" s="1"/>
  <c r="G14" i="326"/>
  <c r="K20" i="341"/>
  <c r="H32" i="317"/>
  <c r="F32" i="317"/>
  <c r="H12" i="326"/>
  <c r="H14" i="326" s="1"/>
  <c r="E12" i="328"/>
  <c r="E14" i="328" s="1"/>
  <c r="Y16" i="339" s="1"/>
  <c r="D14" i="328"/>
  <c r="H14" i="31"/>
  <c r="H15" i="31"/>
  <c r="H16" i="31"/>
  <c r="H17" i="31"/>
  <c r="H18" i="31"/>
  <c r="H19" i="31"/>
  <c r="H20" i="31"/>
  <c r="H21" i="31"/>
  <c r="H22" i="31"/>
  <c r="H23" i="31"/>
  <c r="H24" i="31"/>
  <c r="H25" i="31"/>
  <c r="H26" i="31"/>
  <c r="H27" i="31"/>
  <c r="H28" i="31"/>
  <c r="H29" i="31"/>
  <c r="H30" i="31"/>
  <c r="H31" i="31"/>
  <c r="H32" i="31"/>
  <c r="H33" i="31"/>
  <c r="H34" i="31"/>
  <c r="H35" i="31"/>
  <c r="H36" i="31"/>
  <c r="H37" i="31"/>
  <c r="H38" i="31"/>
  <c r="H39" i="31"/>
  <c r="H40" i="31"/>
  <c r="H41" i="31"/>
  <c r="H42" i="31"/>
  <c r="H43" i="31"/>
  <c r="H44" i="31"/>
  <c r="H45" i="31"/>
  <c r="H46" i="31"/>
  <c r="H61" i="31"/>
  <c r="H62" i="31"/>
  <c r="H63" i="31"/>
  <c r="H64" i="31"/>
  <c r="H65" i="31"/>
  <c r="H66" i="31"/>
  <c r="H67" i="31"/>
  <c r="H68" i="31"/>
  <c r="H69" i="31"/>
  <c r="H70" i="31"/>
  <c r="H71" i="31"/>
  <c r="H72" i="31"/>
  <c r="H73" i="31"/>
  <c r="H74" i="31"/>
  <c r="H75" i="31"/>
  <c r="H76" i="31"/>
  <c r="H77" i="31"/>
  <c r="H78" i="31"/>
  <c r="H79" i="31"/>
  <c r="H80" i="31"/>
  <c r="H81" i="31"/>
  <c r="H82" i="31"/>
  <c r="H83" i="31"/>
  <c r="H84" i="31"/>
  <c r="H85" i="31"/>
  <c r="H86" i="31"/>
  <c r="H87" i="31"/>
  <c r="H88" i="31"/>
  <c r="H89" i="31"/>
  <c r="O13" i="339" l="1"/>
  <c r="O17" i="339" s="1"/>
  <c r="AC16" i="339"/>
  <c r="Y17" i="339"/>
  <c r="I32" i="317"/>
  <c r="L21" i="341"/>
  <c r="L20" i="341" s="1"/>
  <c r="Y92" i="31"/>
  <c r="AA92" i="31" s="1"/>
  <c r="H59" i="31"/>
  <c r="H55" i="31"/>
  <c r="H90" i="31"/>
  <c r="H58" i="31"/>
  <c r="H94" i="31"/>
  <c r="H57" i="31"/>
  <c r="H93" i="31"/>
  <c r="H60" i="31"/>
  <c r="H56" i="31"/>
  <c r="I13" i="339"/>
  <c r="I17" i="339" s="1"/>
  <c r="Q27" i="341" l="1"/>
  <c r="Q29" i="341" s="1"/>
  <c r="Y94" i="31"/>
  <c r="AA94" i="31" s="1"/>
  <c r="Y93" i="31"/>
  <c r="AA93" i="31" s="1"/>
  <c r="F13" i="187"/>
  <c r="G13" i="187" s="1"/>
  <c r="N13" i="187" s="1"/>
  <c r="F17" i="187"/>
  <c r="F14" i="187"/>
  <c r="G14" i="187" s="1"/>
  <c r="N14" i="187" s="1"/>
  <c r="P14" i="187" s="1"/>
  <c r="M608" i="334" l="1"/>
  <c r="Q23" i="341"/>
  <c r="P13" i="187"/>
  <c r="N16" i="334"/>
  <c r="D295" i="334"/>
  <c r="G17" i="187"/>
  <c r="N17" i="187" s="1"/>
  <c r="P17" i="187" s="1"/>
  <c r="F16" i="187"/>
  <c r="F15" i="187" s="1"/>
  <c r="G15" i="187" s="1"/>
  <c r="N15" i="187" s="1"/>
  <c r="P15" i="187" s="1"/>
  <c r="G16" i="187" l="1"/>
  <c r="N16" i="187" s="1"/>
  <c r="P16" i="187" s="1"/>
  <c r="R10" i="54" l="1"/>
  <c r="F31" i="317"/>
  <c r="M3" i="334"/>
  <c r="AK15" i="320"/>
  <c r="AK13" i="320"/>
  <c r="AJ13" i="320"/>
  <c r="AK12" i="320"/>
  <c r="AJ12" i="320"/>
  <c r="G12" i="341" s="1"/>
  <c r="AI11" i="320"/>
  <c r="AH11" i="320"/>
  <c r="AF11" i="320"/>
  <c r="AE11" i="320"/>
  <c r="AD11" i="320"/>
  <c r="AC11" i="320"/>
  <c r="AB11" i="320"/>
  <c r="AA11" i="320"/>
  <c r="Z11" i="320"/>
  <c r="Y11" i="320"/>
  <c r="X11" i="320"/>
  <c r="W11" i="320"/>
  <c r="V11" i="320"/>
  <c r="U11" i="320"/>
  <c r="T11" i="320"/>
  <c r="S11" i="320"/>
  <c r="R11" i="320"/>
  <c r="Q11" i="320"/>
  <c r="P11" i="320"/>
  <c r="O11" i="320"/>
  <c r="N11" i="320"/>
  <c r="M11" i="320"/>
  <c r="L11" i="320"/>
  <c r="K11" i="320"/>
  <c r="J11" i="320"/>
  <c r="I11" i="320"/>
  <c r="H11" i="320"/>
  <c r="G11" i="320"/>
  <c r="F11" i="320"/>
  <c r="E11" i="320"/>
  <c r="AG10" i="320"/>
  <c r="AG11" i="320" s="1"/>
  <c r="E8" i="320"/>
  <c r="J268" i="334" l="1"/>
  <c r="J540" i="334"/>
  <c r="J599" i="334"/>
  <c r="J414" i="334"/>
  <c r="J422" i="334" s="1"/>
  <c r="D160" i="334"/>
  <c r="D169" i="334" s="1"/>
  <c r="J584" i="334"/>
  <c r="J593" i="334" s="1"/>
  <c r="J554" i="334"/>
  <c r="J563" i="334" s="1"/>
  <c r="J207" i="334"/>
  <c r="J216" i="334" s="1"/>
  <c r="J372" i="334"/>
  <c r="J380" i="334" s="1"/>
  <c r="J5" i="334"/>
  <c r="J14" i="334" s="1"/>
  <c r="D400" i="334"/>
  <c r="D408" i="334" s="1"/>
  <c r="J176" i="334"/>
  <c r="J185" i="334" s="1"/>
  <c r="J316" i="334"/>
  <c r="J324" i="334" s="1"/>
  <c r="D238" i="334"/>
  <c r="D247" i="334" s="1"/>
  <c r="J191" i="334"/>
  <c r="J200" i="334" s="1"/>
  <c r="J330" i="334"/>
  <c r="J338" i="334" s="1"/>
  <c r="D526" i="334"/>
  <c r="D534" i="334" s="1"/>
  <c r="D191" i="334"/>
  <c r="D200" i="334" s="1"/>
  <c r="J302" i="334"/>
  <c r="J310" i="334" s="1"/>
  <c r="D584" i="334"/>
  <c r="D593" i="334" s="1"/>
  <c r="J386" i="334"/>
  <c r="J394" i="334" s="1"/>
  <c r="J160" i="334"/>
  <c r="J169" i="334" s="1"/>
  <c r="J428" i="334"/>
  <c r="J436" i="334" s="1"/>
  <c r="J67" i="334"/>
  <c r="J76" i="334" s="1"/>
  <c r="D52" i="334"/>
  <c r="D61" i="334" s="1"/>
  <c r="D344" i="334"/>
  <c r="D352" i="334" s="1"/>
  <c r="D302" i="334"/>
  <c r="D310" i="334" s="1"/>
  <c r="J442" i="334"/>
  <c r="J450" i="334" s="1"/>
  <c r="J253" i="334"/>
  <c r="J262" i="334" s="1"/>
  <c r="D456" i="334"/>
  <c r="D464" i="334" s="1"/>
  <c r="D316" i="334"/>
  <c r="D324" i="334" s="1"/>
  <c r="D554" i="334"/>
  <c r="D563" i="334" s="1"/>
  <c r="J526" i="334"/>
  <c r="J534" i="334" s="1"/>
  <c r="K534" i="334" s="1"/>
  <c r="D386" i="334"/>
  <c r="D394" i="334" s="1"/>
  <c r="D569" i="334"/>
  <c r="D578" i="334" s="1"/>
  <c r="J114" i="334"/>
  <c r="J123" i="334" s="1"/>
  <c r="D222" i="334"/>
  <c r="D231" i="334" s="1"/>
  <c r="D129" i="334"/>
  <c r="D138" i="334" s="1"/>
  <c r="D470" i="334"/>
  <c r="D478" i="334" s="1"/>
  <c r="D512" i="334"/>
  <c r="D520" i="334" s="1"/>
  <c r="J52" i="334"/>
  <c r="J61" i="334" s="1"/>
  <c r="J358" i="334"/>
  <c r="J366" i="334" s="1"/>
  <c r="D330" i="334"/>
  <c r="D338" i="334" s="1"/>
  <c r="D114" i="334"/>
  <c r="D123" i="334" s="1"/>
  <c r="J238" i="334"/>
  <c r="J247" i="334" s="1"/>
  <c r="J456" i="334"/>
  <c r="J464" i="334" s="1"/>
  <c r="K464" i="334" s="1"/>
  <c r="D268" i="334"/>
  <c r="D277" i="334" s="1"/>
  <c r="K277" i="334" s="1"/>
  <c r="J21" i="334"/>
  <c r="J30" i="334" s="1"/>
  <c r="D540" i="334"/>
  <c r="D548" i="334" s="1"/>
  <c r="K548" i="334" s="1"/>
  <c r="D83" i="334"/>
  <c r="D92" i="334" s="1"/>
  <c r="J400" i="334"/>
  <c r="J408" i="334" s="1"/>
  <c r="D498" i="334"/>
  <c r="D506" i="334" s="1"/>
  <c r="D288" i="334"/>
  <c r="D372" i="334"/>
  <c r="D380" i="334" s="1"/>
  <c r="J484" i="334"/>
  <c r="J492" i="334" s="1"/>
  <c r="J288" i="334"/>
  <c r="J296" i="334" s="1"/>
  <c r="J129" i="334"/>
  <c r="J138" i="334" s="1"/>
  <c r="J83" i="334"/>
  <c r="J92" i="334" s="1"/>
  <c r="D428" i="334"/>
  <c r="D436" i="334" s="1"/>
  <c r="J512" i="334"/>
  <c r="J520" i="334" s="1"/>
  <c r="D442" i="334"/>
  <c r="D450" i="334" s="1"/>
  <c r="J470" i="334"/>
  <c r="J478" i="334" s="1"/>
  <c r="D484" i="334"/>
  <c r="D492" i="334" s="1"/>
  <c r="J222" i="334"/>
  <c r="J231" i="334" s="1"/>
  <c r="J498" i="334"/>
  <c r="J506" i="334" s="1"/>
  <c r="J569" i="334"/>
  <c r="J578" i="334" s="1"/>
  <c r="D414" i="334"/>
  <c r="D422" i="334" s="1"/>
  <c r="D253" i="334"/>
  <c r="D262" i="334" s="1"/>
  <c r="D176" i="334"/>
  <c r="D185" i="334" s="1"/>
  <c r="D358" i="334"/>
  <c r="D366" i="334" s="1"/>
  <c r="D207" i="334"/>
  <c r="D216" i="334" s="1"/>
  <c r="D599" i="334"/>
  <c r="D608" i="334" s="1"/>
  <c r="K608" i="334" s="1"/>
  <c r="D36" i="334"/>
  <c r="D45" i="334" s="1"/>
  <c r="D21" i="334"/>
  <c r="D30" i="334" s="1"/>
  <c r="J344" i="334"/>
  <c r="J352" i="334" s="1"/>
  <c r="D145" i="334"/>
  <c r="D154" i="334" s="1"/>
  <c r="J145" i="334"/>
  <c r="J154" i="334" s="1"/>
  <c r="D67" i="334"/>
  <c r="D76" i="334" s="1"/>
  <c r="D98" i="334"/>
  <c r="D107" i="334" s="1"/>
  <c r="J98" i="334"/>
  <c r="J107" i="334" s="1"/>
  <c r="J36" i="334"/>
  <c r="J45" i="334" s="1"/>
  <c r="D5" i="334"/>
  <c r="D14" i="334" s="1"/>
  <c r="G12" i="30"/>
  <c r="I12" i="30" s="1"/>
  <c r="G13" i="341"/>
  <c r="D296" i="334"/>
  <c r="AJ15" i="320"/>
  <c r="G14" i="339" s="1"/>
  <c r="G11" i="30"/>
  <c r="D21" i="317"/>
  <c r="F21" i="317" s="1"/>
  <c r="H21" i="317" s="1"/>
  <c r="D27" i="317"/>
  <c r="F27" i="317" s="1"/>
  <c r="K520" i="334" l="1"/>
  <c r="K408" i="334"/>
  <c r="K76" i="334"/>
  <c r="K30" i="334"/>
  <c r="K262" i="334"/>
  <c r="K352" i="334"/>
  <c r="K216" i="334"/>
  <c r="K185" i="334"/>
  <c r="K107" i="334"/>
  <c r="K593" i="334"/>
  <c r="K478" i="334"/>
  <c r="K578" i="334"/>
  <c r="K296" i="334"/>
  <c r="K506" i="334"/>
  <c r="K563" i="334"/>
  <c r="K154" i="334"/>
  <c r="K123" i="334"/>
  <c r="K450" i="334"/>
  <c r="K338" i="334"/>
  <c r="K422" i="334"/>
  <c r="K492" i="334"/>
  <c r="K436" i="334"/>
  <c r="K310" i="334"/>
  <c r="K92" i="334"/>
  <c r="K366" i="334"/>
  <c r="K138" i="334"/>
  <c r="K200" i="334"/>
  <c r="K247" i="334"/>
  <c r="K45" i="334"/>
  <c r="K231" i="334"/>
  <c r="K61" i="334"/>
  <c r="K394" i="334"/>
  <c r="K324" i="334"/>
  <c r="K380" i="334"/>
  <c r="K169" i="334"/>
  <c r="H12" i="30"/>
  <c r="J21" i="317"/>
  <c r="G14" i="30"/>
  <c r="M14" i="334"/>
  <c r="O14" i="334" s="1"/>
  <c r="J12" i="30"/>
  <c r="I11" i="30"/>
  <c r="I14" i="30" s="1"/>
  <c r="H11" i="30"/>
  <c r="D20" i="317"/>
  <c r="D23" i="317"/>
  <c r="H13" i="31"/>
  <c r="H14" i="30" l="1"/>
  <c r="M593" i="334"/>
  <c r="F23" i="317"/>
  <c r="H23" i="317" s="1"/>
  <c r="D25" i="317"/>
  <c r="F25" i="317" s="1"/>
  <c r="H25" i="317" s="1"/>
  <c r="AA13" i="31"/>
  <c r="K14" i="334"/>
  <c r="L277" i="334" s="1"/>
  <c r="M13" i="334"/>
  <c r="J11" i="30"/>
  <c r="H95" i="31"/>
  <c r="H27" i="317" s="1"/>
  <c r="I27" i="317" s="1"/>
  <c r="D26" i="317"/>
  <c r="F20" i="317"/>
  <c r="H20" i="317" s="1"/>
  <c r="F17" i="317"/>
  <c r="F14" i="317" s="1"/>
  <c r="J23" i="317" l="1"/>
  <c r="N15" i="334"/>
  <c r="J20" i="317"/>
  <c r="M15" i="334"/>
  <c r="M16" i="334"/>
  <c r="AC13" i="31"/>
  <c r="M12" i="334"/>
  <c r="AC97" i="31"/>
  <c r="J14" i="30"/>
  <c r="O15" i="334" l="1"/>
  <c r="M17" i="334"/>
  <c r="O16" i="334"/>
  <c r="N14" i="30"/>
  <c r="M15" i="30"/>
  <c r="N18" i="30"/>
  <c r="N20" i="30" s="1"/>
  <c r="F28" i="317"/>
  <c r="X95" i="31"/>
  <c r="AC95" i="31" s="1"/>
  <c r="N11" i="187"/>
  <c r="W13" i="339" l="1"/>
  <c r="X13" i="339" s="1"/>
  <c r="X17" i="339" s="1"/>
  <c r="Y95" i="31"/>
  <c r="F26" i="317"/>
  <c r="H26" i="317" s="1"/>
  <c r="P11" i="187"/>
  <c r="AA95" i="31"/>
  <c r="N17" i="334" l="1"/>
  <c r="O17" i="334" s="1"/>
  <c r="AD13" i="339"/>
  <c r="W17" i="339"/>
  <c r="J26" i="317"/>
  <c r="AC13" i="339"/>
  <c r="AC17" i="339" s="1"/>
  <c r="F19" i="317"/>
  <c r="N13" i="334"/>
  <c r="AE13" i="339" l="1"/>
  <c r="AD17" i="339"/>
  <c r="AE17" i="339" s="1"/>
  <c r="J19" i="317"/>
  <c r="F13" i="317"/>
  <c r="F12" i="317" s="1"/>
  <c r="F33" i="317" s="1"/>
  <c r="H33" i="317" l="1"/>
  <c r="I33" i="317" s="1"/>
  <c r="F12" i="54" l="1"/>
  <c r="F18" i="54" l="1"/>
</calcChain>
</file>

<file path=xl/sharedStrings.xml><?xml version="1.0" encoding="utf-8"?>
<sst xmlns="http://schemas.openxmlformats.org/spreadsheetml/2006/main" count="6682" uniqueCount="603">
  <si>
    <t>CỘNG HÒA DÂN CHỦ NHÂN DÂN LÀO</t>
  </si>
  <si>
    <t>Hòa Bình - Độc Lập - Dân Chủ - Thống Nhất - Thịnh Vượng</t>
  </si>
  <si>
    <t>-----oOo-----</t>
  </si>
  <si>
    <t>STT</t>
  </si>
  <si>
    <t>Chức vụ</t>
  </si>
  <si>
    <t>Ghi chú</t>
  </si>
  <si>
    <t>CNKT</t>
  </si>
  <si>
    <t>Thảo Ký</t>
  </si>
  <si>
    <t>Khăm Lã</t>
  </si>
  <si>
    <t>Thông Đeng</t>
  </si>
  <si>
    <t>Năm</t>
  </si>
  <si>
    <t>Tổng cộng</t>
  </si>
  <si>
    <t>Họ và tên</t>
  </si>
  <si>
    <t>Công sản phẩm</t>
  </si>
  <si>
    <t>²½ìò©ªະພັນ</t>
  </si>
  <si>
    <t>Công đi cạo</t>
  </si>
  <si>
    <t>ໝວດໄປຂີດ</t>
  </si>
  <si>
    <t>ໝວດເຮັດວຽກວັນທິດ</t>
  </si>
  <si>
    <t>Sản lượng mủ</t>
  </si>
  <si>
    <t xml:space="preserve">Các khoản trừ </t>
  </si>
  <si>
    <t>ການຫັກລົບ</t>
  </si>
  <si>
    <t xml:space="preserve">Tạm ứng </t>
  </si>
  <si>
    <t>ຄວາມກ້າວໜ້າ</t>
  </si>
  <si>
    <t>Tổng trừ:</t>
  </si>
  <si>
    <t>ລວມທັງໝົດ</t>
  </si>
  <si>
    <t xml:space="preserve">Còn lãnh </t>
  </si>
  <si>
    <t>ຍັງເຫລືອ</t>
  </si>
  <si>
    <t>Ngày công</t>
  </si>
  <si>
    <t>Tổng công</t>
  </si>
  <si>
    <t>X</t>
  </si>
  <si>
    <t>CN</t>
  </si>
  <si>
    <t>Bun Ma</t>
  </si>
  <si>
    <t>TỔNG</t>
  </si>
  <si>
    <t>NGƯỜI LẬP</t>
  </si>
  <si>
    <t>Nguyễn Thị Thu Hiền</t>
  </si>
  <si>
    <t>TỔNG GIÁM ĐỐC</t>
  </si>
  <si>
    <t>PHÒNG TC - HC</t>
  </si>
  <si>
    <t>CỘNG HOÀ DÂN CHỦ NHÂN DÂN LÀO</t>
  </si>
  <si>
    <t>Hoà bình - Độc lập - Dân chủ - Thống nhất - Thịnh vượng</t>
  </si>
  <si>
    <t>----oOo----</t>
  </si>
  <si>
    <t xml:space="preserve">Tỷ giá Bath qua Kip </t>
  </si>
  <si>
    <t>Stt</t>
  </si>
  <si>
    <t>Mã nhân viên</t>
  </si>
  <si>
    <t xml:space="preserve">Lào </t>
  </si>
  <si>
    <t>Ký tên</t>
  </si>
  <si>
    <t>Lương</t>
  </si>
  <si>
    <t>Tổng tiền lương</t>
  </si>
  <si>
    <t>Tiền lương còn lại</t>
  </si>
  <si>
    <t>Thảo Khăm</t>
  </si>
  <si>
    <t>Phò Lay</t>
  </si>
  <si>
    <t>Phô Phi Sít</t>
  </si>
  <si>
    <t>Thảo Nha</t>
  </si>
  <si>
    <t>CNK</t>
  </si>
  <si>
    <t>ທອງ</t>
  </si>
  <si>
    <t>01967</t>
  </si>
  <si>
    <t>Bảo vệ</t>
  </si>
  <si>
    <t xml:space="preserve"> </t>
  </si>
  <si>
    <t>PHÒNG TC - KT</t>
  </si>
  <si>
    <t>Ký tên CN</t>
  </si>
  <si>
    <t>DRC</t>
  </si>
  <si>
    <t>Ngày</t>
  </si>
  <si>
    <t>B</t>
  </si>
  <si>
    <t>C</t>
  </si>
  <si>
    <t>A</t>
  </si>
  <si>
    <t>Tổng mủ dây</t>
  </si>
  <si>
    <t>Hòa bình - Độc lập - Dân chủ - Thống nhất - Thịnh vượng</t>
  </si>
  <si>
    <t>Hoà Bình - Độc Lập - Dân Chủ - Thống Nhất - Thịnh Vượng</t>
  </si>
  <si>
    <t xml:space="preserve"> -----oOo-----</t>
  </si>
  <si>
    <t>CÔNG TY TNHH MTV QUASA- GERUCO LÀO</t>
  </si>
  <si>
    <t>DANH MỤC</t>
  </si>
  <si>
    <t>ĐVT</t>
  </si>
  <si>
    <t>Định
mức</t>
  </si>
  <si>
    <t>Tổng khối lượng</t>
  </si>
  <si>
    <t>Tên lô</t>
  </si>
  <si>
    <t>KL</t>
  </si>
  <si>
    <t>25.000 kíp</t>
  </si>
  <si>
    <t>VƯỜN CÂY KINH DOANH</t>
  </si>
  <si>
    <t>I</t>
  </si>
  <si>
    <t>SẢN LƯỢNG</t>
  </si>
  <si>
    <t>Kg</t>
  </si>
  <si>
    <t>1.1</t>
  </si>
  <si>
    <t>Mủ tạp (Quy khô)</t>
  </si>
  <si>
    <t>kg</t>
  </si>
  <si>
    <t>1.2</t>
  </si>
  <si>
    <t>Mủ dây ( Quy khô )</t>
  </si>
  <si>
    <t>1.3</t>
  </si>
  <si>
    <t>Mủ Sirum ( Quy khô)</t>
  </si>
  <si>
    <t xml:space="preserve">II </t>
  </si>
  <si>
    <t>PHỤ CẤP CẠO MỦ</t>
  </si>
  <si>
    <t>Công</t>
  </si>
  <si>
    <t>2.1</t>
  </si>
  <si>
    <t>Phụ cấp ngày công đi cạo</t>
  </si>
  <si>
    <t>công</t>
  </si>
  <si>
    <t>2.2</t>
  </si>
  <si>
    <t>Phụ cấp đi cạo ngày chủ nhật</t>
  </si>
  <si>
    <t>2.3</t>
  </si>
  <si>
    <t>III</t>
  </si>
  <si>
    <t>CHĂM SÓC</t>
  </si>
  <si>
    <t>Bôi thuốc kích thích</t>
  </si>
  <si>
    <t>ha</t>
  </si>
  <si>
    <t>3.1</t>
  </si>
  <si>
    <t>3.2</t>
  </si>
  <si>
    <t>3.3</t>
  </si>
  <si>
    <t>4.1</t>
  </si>
  <si>
    <t>4.2</t>
  </si>
  <si>
    <t>CÔNG BẢO VỆ</t>
  </si>
  <si>
    <t>Bảo vệ Lào</t>
  </si>
  <si>
    <t>CÔNG VIỆC KHÁC</t>
  </si>
  <si>
    <t>ĐỘI TRƯỞNG</t>
  </si>
  <si>
    <t>THỐNG KÊ - TỔNG HỢP</t>
  </si>
  <si>
    <t>Hoàng Tấn Thảo</t>
  </si>
  <si>
    <t>Đoàn nghiệm thu Công ty:</t>
  </si>
  <si>
    <t>PHÒNG TC-KT</t>
  </si>
  <si>
    <t>PHÒNG TC-HC</t>
  </si>
  <si>
    <t>PHÒNG KH-XDCB</t>
  </si>
  <si>
    <t>CÔNG TY TNHH MTV QUASA-GERUCO LÀO</t>
  </si>
  <si>
    <t>Xếp hạng kỹ thuật</t>
  </si>
  <si>
    <t>Số công nhân</t>
  </si>
  <si>
    <t>Hạng kỹ thuật</t>
  </si>
  <si>
    <t>Sản lượng mủ (kg)</t>
  </si>
  <si>
    <t>Hạng</t>
  </si>
  <si>
    <t>CN thay thế</t>
  </si>
  <si>
    <t>cn</t>
  </si>
  <si>
    <t>x</t>
  </si>
  <si>
    <t>Ghi chú:</t>
  </si>
  <si>
    <t>Mủ tạp</t>
  </si>
  <si>
    <t>Ngày
công</t>
  </si>
  <si>
    <t>ຜົນຜະລິດນ້ຳຢາງ</t>
  </si>
  <si>
    <t>Phụ cấp vườn cây năm nhất</t>
  </si>
  <si>
    <t>Phụ cấp vùng xa khó khăn</t>
  </si>
  <si>
    <t>CÔNG TY TNHH MTV QUASA - GERUCO LÀO</t>
  </si>
  <si>
    <t>Tỷ giá Bath qua kíp</t>
  </si>
  <si>
    <t>Chức
 vụ</t>
  </si>
  <si>
    <t>LƯƠNG</t>
  </si>
  <si>
    <t>Tổng lương</t>
  </si>
  <si>
    <t xml:space="preserve">Tiền lương còn lại </t>
  </si>
  <si>
    <t>Ký nhận</t>
  </si>
  <si>
    <t>Lương sản lượng</t>
  </si>
  <si>
    <t>Thành 
tiền</t>
  </si>
  <si>
    <t>Mủ tạp (kg)</t>
  </si>
  <si>
    <t>Hạng
kỹ
thuật</t>
  </si>
  <si>
    <t>Thành
tiền</t>
  </si>
  <si>
    <t xml:space="preserve"> Ngày công thường</t>
  </si>
  <si>
    <t xml:space="preserve"> Ngày công chủ nhật</t>
  </si>
  <si>
    <t>Thành tiền</t>
  </si>
  <si>
    <t>P.PHÒNG PHỤ TRÁCH</t>
  </si>
  <si>
    <t>Phụ cấp ngày công chủ nhật</t>
  </si>
  <si>
    <t>Lương USD</t>
  </si>
  <si>
    <t>Thuế TNCN</t>
  </si>
  <si>
    <t>Mức lương</t>
  </si>
  <si>
    <t>Phụ cấp</t>
  </si>
  <si>
    <t>Đvt</t>
  </si>
  <si>
    <t>II</t>
  </si>
  <si>
    <t>Kip</t>
  </si>
  <si>
    <t>Đã chi trả hằng ngày</t>
  </si>
  <si>
    <t>Lương chăm sóc (25.000 kíp/công)</t>
  </si>
  <si>
    <t xml:space="preserve">Lương phụ cấp ngày công khai thác </t>
  </si>
  <si>
    <t>Mủ xirum (kg)</t>
  </si>
  <si>
    <t xml:space="preserve">    </t>
  </si>
  <si>
    <t>Hai</t>
  </si>
  <si>
    <t>Ba</t>
  </si>
  <si>
    <t>Tư</t>
  </si>
  <si>
    <t>Sáu</t>
  </si>
  <si>
    <t>Bảy</t>
  </si>
  <si>
    <t>BẢNG CHẤM CÔNG</t>
  </si>
  <si>
    <t>NĂM</t>
  </si>
  <si>
    <t>THÁNG</t>
  </si>
  <si>
    <t>Tổng công trực tết</t>
  </si>
  <si>
    <t xml:space="preserve">Tổng công </t>
  </si>
  <si>
    <t>X: ngày làm việc</t>
  </si>
  <si>
    <t>PHÒNG  TC - HC</t>
  </si>
  <si>
    <t>Trạm</t>
  </si>
  <si>
    <r>
      <rPr>
        <b/>
        <sz val="13"/>
        <rFont val="Times New Roman"/>
        <family val="1"/>
      </rPr>
      <t xml:space="preserve">Đơn giá 
</t>
    </r>
    <r>
      <rPr>
        <sz val="13"/>
        <rFont val="Times New Roman"/>
        <family val="1"/>
      </rPr>
      <t>(2.000.000 kíp/tháng)</t>
    </r>
  </si>
  <si>
    <r>
      <rPr>
        <b/>
        <sz val="13"/>
        <rFont val="Times New Roman"/>
        <family val="1"/>
      </rPr>
      <t xml:space="preserve">Phụ cấp tiền xăng </t>
    </r>
    <r>
      <rPr>
        <sz val="13"/>
        <rFont val="Times New Roman"/>
        <family val="1"/>
      </rPr>
      <t>(600.000 kíp/tháng)</t>
    </r>
  </si>
  <si>
    <t>Ghi
chú</t>
  </si>
  <si>
    <t xml:space="preserve">Trạm 1 </t>
  </si>
  <si>
    <t xml:space="preserve">  ĐỘI TRƯỞNG       NGƯỜI LẬP</t>
  </si>
  <si>
    <t>Hệ số QLKT (K)</t>
  </si>
  <si>
    <t>Sản lượng giao kế hoạch tháng (tấn)</t>
  </si>
  <si>
    <t>Sản lượng thực hiện trong tháng (tấn)</t>
  </si>
  <si>
    <t>Tỷ lệ hoàn thành sản lượng (%)</t>
  </si>
  <si>
    <t>Lương theo bậc</t>
  </si>
  <si>
    <t>Lương tính theo tỷ lệ hoàn thành sản lượng và hạng kỹ thuật</t>
  </si>
  <si>
    <t>Lương thực hiện trong tháng</t>
  </si>
  <si>
    <t>(1)</t>
  </si>
  <si>
    <t>(2)</t>
  </si>
  <si>
    <t>(3)=(2)/(1)*100%</t>
  </si>
  <si>
    <t>(4)</t>
  </si>
  <si>
    <t>(5)=250*(3)</t>
  </si>
  <si>
    <t>(6)=(4)+(5)</t>
  </si>
  <si>
    <t>Đội trưởng</t>
  </si>
  <si>
    <t>Đội phó</t>
  </si>
  <si>
    <t>NVKT</t>
  </si>
  <si>
    <t>Hoà bình - Độc Lập - Dân chủ - Thống nhất - Thịnh vượng</t>
  </si>
  <si>
    <t>Bảo vệ vườn cây</t>
  </si>
  <si>
    <t>TỶ giá</t>
  </si>
  <si>
    <t>Đvt: Kip</t>
  </si>
  <si>
    <t>Danh mục</t>
  </si>
  <si>
    <t>Số lượng</t>
  </si>
  <si>
    <t>Tổng tiền lương (KIP)</t>
  </si>
  <si>
    <t>TIỀN LƯƠNG KINH DOANH</t>
  </si>
  <si>
    <t>Tiền lương CN trực tiếp</t>
  </si>
  <si>
    <t>Sản lượng</t>
  </si>
  <si>
    <t>Xếp loại kỹ thuật A (đơn giá chuẩn)</t>
  </si>
  <si>
    <t>Xếp loại kỹ thuật B (đơn giá chuẩn)</t>
  </si>
  <si>
    <t>Xếp loại kỹ thuật C (đơn giá chuẩn)</t>
  </si>
  <si>
    <t>Phụ cấp ngày công</t>
  </si>
  <si>
    <t>Tiền lương chăm sóc vườn cây</t>
  </si>
  <si>
    <t>Đơn giá (Kíp)</t>
  </si>
  <si>
    <t>HỌ VÀ TÊN</t>
  </si>
  <si>
    <t>CHỨC VỤ</t>
  </si>
  <si>
    <t>Hạng mục công việc</t>
  </si>
  <si>
    <t>Đơn giá</t>
  </si>
  <si>
    <t>Số lượng</t>
  </si>
  <si>
    <t>Cấp dưỡng</t>
  </si>
  <si>
    <t>Đội Phó</t>
  </si>
  <si>
    <t>P: Phép</t>
  </si>
  <si>
    <t>TR: Trễ phép</t>
  </si>
  <si>
    <t>TÊN CÔNG NHÂN</t>
  </si>
  <si>
    <t>TỔNG CÔNG</t>
  </si>
  <si>
    <t>ĐƠN GIÁ (Kíp)</t>
  </si>
  <si>
    <t>THÀNH TIỀN (Kíp)</t>
  </si>
  <si>
    <t>KÝ NHẬN</t>
  </si>
  <si>
    <t>ĐỘI SẢN XUẤT SỐ 06</t>
  </si>
  <si>
    <t>04172</t>
  </si>
  <si>
    <t>04173</t>
  </si>
  <si>
    <t>04174</t>
  </si>
  <si>
    <t>04175</t>
  </si>
  <si>
    <t>04176</t>
  </si>
  <si>
    <t>04177</t>
  </si>
  <si>
    <t>04178</t>
  </si>
  <si>
    <t>04179</t>
  </si>
  <si>
    <t>04180</t>
  </si>
  <si>
    <t>04181</t>
  </si>
  <si>
    <t>04182</t>
  </si>
  <si>
    <t>04183</t>
  </si>
  <si>
    <t>04184</t>
  </si>
  <si>
    <t>04185</t>
  </si>
  <si>
    <t>04186</t>
  </si>
  <si>
    <t>04187</t>
  </si>
  <si>
    <t>04188</t>
  </si>
  <si>
    <t>04189</t>
  </si>
  <si>
    <t>04190</t>
  </si>
  <si>
    <t>04191</t>
  </si>
  <si>
    <t>04192</t>
  </si>
  <si>
    <t>04193</t>
  </si>
  <si>
    <t>04194</t>
  </si>
  <si>
    <t>04195</t>
  </si>
  <si>
    <t>04196</t>
  </si>
  <si>
    <t>04197</t>
  </si>
  <si>
    <t>04198</t>
  </si>
  <si>
    <t>04199</t>
  </si>
  <si>
    <t>04200</t>
  </si>
  <si>
    <t>04201</t>
  </si>
  <si>
    <t>04202</t>
  </si>
  <si>
    <t>04203</t>
  </si>
  <si>
    <t>04204</t>
  </si>
  <si>
    <t>04205</t>
  </si>
  <si>
    <t>04206</t>
  </si>
  <si>
    <t>04207</t>
  </si>
  <si>
    <t>04208</t>
  </si>
  <si>
    <t>04209</t>
  </si>
  <si>
    <t>04210</t>
  </si>
  <si>
    <t>04211</t>
  </si>
  <si>
    <t>03717</t>
  </si>
  <si>
    <t>03718</t>
  </si>
  <si>
    <t>03720</t>
  </si>
  <si>
    <t>02861</t>
  </si>
  <si>
    <t>02875</t>
  </si>
  <si>
    <t>04148</t>
  </si>
  <si>
    <t>04150</t>
  </si>
  <si>
    <t>04151</t>
  </si>
  <si>
    <t>04152</t>
  </si>
  <si>
    <t>04154</t>
  </si>
  <si>
    <t>04155</t>
  </si>
  <si>
    <t>04156</t>
  </si>
  <si>
    <t>04157</t>
  </si>
  <si>
    <t>04158</t>
  </si>
  <si>
    <t>04159</t>
  </si>
  <si>
    <t>04160</t>
  </si>
  <si>
    <t>04161</t>
  </si>
  <si>
    <t>04163</t>
  </si>
  <si>
    <t>04164</t>
  </si>
  <si>
    <t>04165</t>
  </si>
  <si>
    <t>04166</t>
  </si>
  <si>
    <t>04167</t>
  </si>
  <si>
    <t>04168</t>
  </si>
  <si>
    <t>04169</t>
  </si>
  <si>
    <t>04170</t>
  </si>
  <si>
    <t>Tổng Đội 6</t>
  </si>
  <si>
    <t>Trần Quang Thiện</t>
  </si>
  <si>
    <t>ĐỘI TRƯỞNG             NGƯỜI LẬP</t>
  </si>
  <si>
    <t>ĐỘI SẢN XUẤT SỐ 6</t>
  </si>
  <si>
    <t>Biểu 2</t>
  </si>
  <si>
    <t>DRC bình quân</t>
  </si>
  <si>
    <t>CN chính thức</t>
  </si>
  <si>
    <t>PHÓ PHÒNG PHỤ TRÁCH</t>
  </si>
  <si>
    <t>Cuối tháng chốt 1 bản, ký công nhân và các thành phần đầy đủ, đóng giáp lai. Hàng tháng đều kẹp vào cuốn sổ đủ 12 tháng đóng cuốn lại. (Vì lý do công nhân sẽ có lúc thay đổi nên ko thể đóng đầu năm từ tháng 1-12)</t>
  </si>
  <si>
    <t>Mủ dây quy khô (DRC công nhân)</t>
  </si>
  <si>
    <t>Biểu 1</t>
  </si>
  <si>
    <t>Trong đó</t>
  </si>
  <si>
    <t>Ngày công cạo thường (x)</t>
  </si>
  <si>
    <t>Ngày công chủ nhật (cn)</t>
  </si>
  <si>
    <t>Tổng ngày công đi cạo</t>
  </si>
  <si>
    <t>TỔNG CỘNG</t>
  </si>
  <si>
    <t>x: Ngày công cạo thường</t>
  </si>
  <si>
    <t>cn: Ngày công cạo chủ nhật</t>
  </si>
  <si>
    <t>đ: Ngày công cạo đúp</t>
  </si>
  <si>
    <t>đc: Ngày công chủ nhật đúp</t>
  </si>
  <si>
    <t>gt: Ngày công cạo 2 miệng</t>
  </si>
  <si>
    <t>ct: Ngày công cạo 2 miệng chủ nhật</t>
  </si>
  <si>
    <t>TRẠM 2</t>
  </si>
  <si>
    <t>Phò Mừng</t>
  </si>
  <si>
    <t>BV</t>
  </si>
  <si>
    <t>Hồ Dũng Cảm</t>
  </si>
  <si>
    <t>BẢNG CHẤM CÔNG BẢO VỆ</t>
  </si>
  <si>
    <t>Phụ cấp ngày công cạo bình thường</t>
  </si>
  <si>
    <t>TIỀN LƯƠNG CB.CNV</t>
  </si>
  <si>
    <t>----- o0o-----</t>
  </si>
  <si>
    <t>ĐVT : Kíp</t>
  </si>
  <si>
    <t>Tên Công nhân</t>
  </si>
  <si>
    <t>Chức Vụ</t>
  </si>
  <si>
    <t>Thực nhận</t>
  </si>
  <si>
    <t>Trần Thanh Hải</t>
  </si>
  <si>
    <t>Vương Thành Long</t>
  </si>
  <si>
    <t>Nguyễn Tất Châu</t>
  </si>
  <si>
    <t>Thuế TNCN</t>
  </si>
  <si>
    <t xml:space="preserve">Tổng </t>
  </si>
  <si>
    <t>Vương Thanh Long</t>
  </si>
  <si>
    <t>Đơn giá  ( Kíp)</t>
  </si>
  <si>
    <t>Hòa Bình -Độc Lập  - Dân Chủ - thống Nhất - Thịnh Vượng</t>
  </si>
  <si>
    <t>2.4</t>
  </si>
  <si>
    <t>Phần</t>
  </si>
  <si>
    <t>X33</t>
  </si>
  <si>
    <t>X25</t>
  </si>
  <si>
    <t>1.4</t>
  </si>
  <si>
    <t xml:space="preserve">Phát chồi đại trà </t>
  </si>
  <si>
    <t>Ha</t>
  </si>
  <si>
    <t>X22</t>
  </si>
  <si>
    <t>X29</t>
  </si>
  <si>
    <t>X23</t>
  </si>
  <si>
    <t>X14</t>
  </si>
  <si>
    <t>L4</t>
  </si>
  <si>
    <t xml:space="preserve">  TỔNG GIÁM ĐỐC                              </t>
  </si>
  <si>
    <t>PHÒNG KT - TC</t>
  </si>
  <si>
    <t xml:space="preserve">                   TỔNG GIÁM ĐỐC</t>
  </si>
  <si>
    <t>PHÒNG QLKT</t>
  </si>
  <si>
    <t>Kí nhận</t>
  </si>
  <si>
    <t>Nguyễn Văn Nam</t>
  </si>
  <si>
    <t>X7</t>
  </si>
  <si>
    <t>L16</t>
  </si>
  <si>
    <t xml:space="preserve">      PHÒNG QLKT</t>
  </si>
  <si>
    <t>đ</t>
  </si>
  <si>
    <t>x : ngày làm việc</t>
  </si>
  <si>
    <t>MỦ TẠP</t>
  </si>
  <si>
    <t>QUY KHÔ</t>
  </si>
  <si>
    <t>Đvt: Kíp</t>
  </si>
  <si>
    <t>Công Chủ nhật</t>
  </si>
  <si>
    <t>Phụ cấp khó khăn</t>
  </si>
  <si>
    <t>LƯƠNG TRẠM 1</t>
  </si>
  <si>
    <t>LƯƠNG TRẠM 2</t>
  </si>
  <si>
    <t>LƯƠNG CHĂM SÓC</t>
  </si>
  <si>
    <t>đúp</t>
  </si>
  <si>
    <t>tổng</t>
  </si>
  <si>
    <t>Tỉ lệ</t>
  </si>
  <si>
    <t>Mủ quy khô</t>
  </si>
  <si>
    <t>Tỉ lệ %</t>
  </si>
  <si>
    <t>Địa điểm và khối lượng thực hiện</t>
  </si>
  <si>
    <t>Phụ cấp ngày công cho công nhân vùng khó khăn</t>
  </si>
  <si>
    <t>Phụ cấp cạo cây non</t>
  </si>
  <si>
    <t>2.5</t>
  </si>
  <si>
    <t>3 người * 2,600.000 Kíp/tháng</t>
  </si>
  <si>
    <t>X9B</t>
  </si>
  <si>
    <t>Sản lượng mủ dây (kg)</t>
  </si>
  <si>
    <t>đcn: Ngày công cạo đúp chủ nhật</t>
  </si>
  <si>
    <t>Cạo 2 lát ngày thường</t>
  </si>
  <si>
    <t>(Bằng chữ: Bảy triệu, tám trăm nghìn kíp.)</t>
  </si>
  <si>
    <t>BẢNG LƯƠNG VƯỜN CÂY KTCB THÁNG 08 NĂM 2025</t>
  </si>
  <si>
    <t>Thảo Nạ</t>
  </si>
  <si>
    <t>Thảo Lem</t>
  </si>
  <si>
    <t>Thảo Phít</t>
  </si>
  <si>
    <t>Thảo Nạm</t>
  </si>
  <si>
    <t>( Bằng chữ: Sáu triệu, ba trăm ba mươi bốn nghìn kíp )</t>
  </si>
  <si>
    <t>Đvt: USD</t>
  </si>
  <si>
    <t>NVKT-TK</t>
  </si>
  <si>
    <t>Thảo Sy Phon</t>
  </si>
  <si>
    <t>Nang Lẹ</t>
  </si>
  <si>
    <t>Nang Phêt Sa Mỏn</t>
  </si>
  <si>
    <t>Nang Tún</t>
  </si>
  <si>
    <t>Nang ĐaoSaMon</t>
  </si>
  <si>
    <t>Thảo Thạo</t>
  </si>
  <si>
    <t>Nang Bua Say</t>
  </si>
  <si>
    <t>Phụ cấp cạo 2 lát ngày thường</t>
  </si>
  <si>
    <t>trạm 2</t>
  </si>
  <si>
    <t>trạm 1</t>
  </si>
  <si>
    <t>đội</t>
  </si>
  <si>
    <t>Phò Khọi</t>
  </si>
  <si>
    <t>Huyện Noong, ngày 03 tháng 09 năm 2025</t>
  </si>
  <si>
    <t>Lương phụ cấp CNKT người Việt</t>
  </si>
  <si>
    <t>Phụ cấp cạo 2 lát ngày thường</t>
  </si>
  <si>
    <t>Vườn cây kinh doanh năm 1 (2018)</t>
  </si>
  <si>
    <t>X30</t>
  </si>
  <si>
    <t>X24</t>
  </si>
  <si>
    <t>X27</t>
  </si>
  <si>
    <t>X32</t>
  </si>
  <si>
    <t>X26</t>
  </si>
  <si>
    <t>X28</t>
  </si>
  <si>
    <t>Vườn cây kinh doanh năm 4 (2017)</t>
  </si>
  <si>
    <t>X31</t>
  </si>
  <si>
    <t>X20B</t>
  </si>
  <si>
    <t>X20A</t>
  </si>
  <si>
    <t>Vườn cây kinh doanh năm 7 (2012)</t>
  </si>
  <si>
    <t>X10A</t>
  </si>
  <si>
    <t>X10B</t>
  </si>
  <si>
    <t>Vườn cây kinh doanh năm 8 (2011)</t>
  </si>
  <si>
    <t xml:space="preserve">Phun thuốc diệt cỏ đại trà </t>
  </si>
  <si>
    <t>L5</t>
  </si>
  <si>
    <t>L7</t>
  </si>
  <si>
    <t>L13</t>
  </si>
  <si>
    <t>L15</t>
  </si>
  <si>
    <t>PHÁT CHỒI TRẠM 1</t>
  </si>
  <si>
    <t>PHUN CỎ TRẠM 1</t>
  </si>
  <si>
    <t>PHUN BAO LÔ TRẠM 1</t>
  </si>
  <si>
    <t>Đội 6, ngày…..tháng…..năm 2025</t>
  </si>
  <si>
    <t>Tổng ngày công</t>
  </si>
  <si>
    <t>pc thêm cạo 2 lát</t>
  </si>
  <si>
    <t>CNTV</t>
  </si>
  <si>
    <t>Phụ cấp thêm cạo 2 lát</t>
  </si>
  <si>
    <t>Lương làm việc trong tháng</t>
  </si>
  <si>
    <t>I.</t>
  </si>
  <si>
    <t>II.</t>
  </si>
  <si>
    <t>Phụ cấp người Việt</t>
  </si>
  <si>
    <t>2.6</t>
  </si>
  <si>
    <t>xoang tày</t>
  </si>
  <si>
    <t>Phụ cấp cây non</t>
  </si>
  <si>
    <t>LƯƠNG CNKT</t>
  </si>
  <si>
    <t>TỔNG LƯƠNG</t>
  </si>
  <si>
    <t>P.P PHỤ TRÁCH</t>
  </si>
  <si>
    <t>sản lượng mủ</t>
  </si>
  <si>
    <t>Huyện Noong, ngày 03 tháng 11 năm 2025</t>
  </si>
  <si>
    <t>DRC bình quân T8</t>
  </si>
  <si>
    <t>BÁO CÁO SẢN XUẤT THÁNG 10 NĂM 2025</t>
  </si>
  <si>
    <t>( Từ ngày 01 tháng 10 đến ngày 31 tháng 10 năm 2025 )</t>
  </si>
  <si>
    <t>số lần</t>
  </si>
  <si>
    <t>Phụ cấp thêm cạo 2 lát ngày thường</t>
  </si>
  <si>
    <t>Gom cành nhánh</t>
  </si>
  <si>
    <t>tháng 10</t>
  </si>
  <si>
    <t>L1</t>
  </si>
  <si>
    <t>L3</t>
  </si>
  <si>
    <t>L2</t>
  </si>
  <si>
    <t>L17</t>
  </si>
  <si>
    <t>PHUN cỏ  TRẠM 2</t>
  </si>
  <si>
    <t>L12</t>
  </si>
  <si>
    <t>4.3</t>
  </si>
  <si>
    <t>Phun bao lô + trục đường chính</t>
  </si>
  <si>
    <t>L6</t>
  </si>
  <si>
    <t>L8</t>
  </si>
  <si>
    <t>L10</t>
  </si>
  <si>
    <t>L11</t>
  </si>
  <si>
    <t>4.4</t>
  </si>
  <si>
    <t>L9</t>
  </si>
  <si>
    <t xml:space="preserve">        NGƯỜI LẬP</t>
  </si>
  <si>
    <t>-</t>
  </si>
  <si>
    <t>Vùng xa khó khăn</t>
  </si>
  <si>
    <t>Ngày công thường</t>
  </si>
  <si>
    <t>Ngày công chủ nhật</t>
  </si>
  <si>
    <t>Vườn cây năm nhất</t>
  </si>
  <si>
    <t>BHXH</t>
  </si>
  <si>
    <t>Vườn cây kinh doanh</t>
  </si>
  <si>
    <t>TỔNG CỘNG</t>
  </si>
  <si>
    <t>Hệ số QLKT tháng 08 (K)</t>
  </si>
  <si>
    <t>Sản lượng giao kế hoạch tháng 08 (tấn)</t>
  </si>
  <si>
    <t xml:space="preserve"> PHÒNG QLKT</t>
  </si>
  <si>
    <t xml:space="preserve"> P. P PHỤ TRÁCH</t>
  </si>
  <si>
    <t>tấn</t>
  </si>
  <si>
    <t>Phát chồi đại trà *</t>
  </si>
  <si>
    <t>Phun thuốc diệt cỏ đại trà  (phun cục bộ) *</t>
  </si>
  <si>
    <t>Phun thuốc diệt cỏ đại trà  (phun cục bộ)</t>
  </si>
  <si>
    <t>X8B</t>
  </si>
  <si>
    <t>Phát dọn trục đường từ lô X14 đến lô X20A</t>
  </si>
  <si>
    <t>TỔNG CÔNG SẢN PHẨM = A+B+C</t>
  </si>
  <si>
    <t>Sản lượng mủ tươi</t>
  </si>
  <si>
    <t>chăm sóc</t>
  </si>
  <si>
    <t>Huyện Noong, ngày 01 tháng 12 năm 2025</t>
  </si>
  <si>
    <t>Cạo đúp ngày thường (đ)</t>
  </si>
  <si>
    <t>Cạo đúp ngày chủ nhật (đcn)</t>
  </si>
  <si>
    <t>đcn</t>
  </si>
  <si>
    <t>tr1</t>
  </si>
  <si>
    <t>tr2</t>
  </si>
  <si>
    <t>tổng đội</t>
  </si>
  <si>
    <t>Cạo đúp ngày thường</t>
  </si>
  <si>
    <t>Cạo đúp ngày chủ nhật</t>
  </si>
  <si>
    <t>BẢNG THANH TOÁN TIỀN PHỤ CẤP THÁNG 11 NĂM 2025</t>
  </si>
  <si>
    <t>Huyện Noong, ngày 03 tháng 12 năm 2025</t>
  </si>
  <si>
    <t>Cạo 2 lát ngày chủ nhật</t>
  </si>
  <si>
    <t>Phụ cấp cạo 2 lát ngày chủ nhật</t>
  </si>
  <si>
    <t>Vườn cây keo lai</t>
  </si>
  <si>
    <t>VƯỜN CÂY KEO LAI</t>
  </si>
  <si>
    <t>Tiền lương chăm sóc vườn keo lai</t>
  </si>
  <si>
    <t>BẢNG LƯƠNG BẢO VỆ VƯỜN CÂY THÁNG 11 NĂM 2025</t>
  </si>
  <si>
    <t>BẢNG PHÂN TOÁN TIỀN LƯƠNG THÁNG 11 NĂM 2025</t>
  </si>
  <si>
    <t>BẢNG TỔNG HỢP CÔNG CÔNG VIỆC KHÁC THÁNG 11 NĂM 2025</t>
  </si>
  <si>
    <t>Gia cố hàng rào keo lai các lô X7, X8b, X14, X11a, X11b, X9a</t>
  </si>
  <si>
    <t>Làm cầu tạm tại lô X32</t>
  </si>
  <si>
    <t>Bỏ bao đất gia cố đường sạt lở lô X8a ( 70 bao* 7000 kíp/bao)</t>
  </si>
  <si>
    <t>Bằng chữ: Năm triệu, không trăm hai mươi lăm nghìn kíp</t>
  </si>
  <si>
    <t>Đen</t>
  </si>
  <si>
    <t>Rơ</t>
  </si>
  <si>
    <t>Ké</t>
  </si>
  <si>
    <t>Bốt</t>
  </si>
  <si>
    <t>Hăn</t>
  </si>
  <si>
    <t>BẢNG THANH TOÁN CHI PHÍ CÔNG VIỆC KHÁC THÁNG 11 NĂM 2025</t>
  </si>
  <si>
    <t>A Đi</t>
  </si>
  <si>
    <t>Số tiền bằng chữ: Năm triệu, không trăm hai mươi lăm nghìn kíp</t>
  </si>
  <si>
    <t xml:space="preserve">        P. TC - KT</t>
  </si>
  <si>
    <t>P. TC - HC</t>
  </si>
  <si>
    <t>P. QLKT</t>
  </si>
  <si>
    <t>P. TC-HC</t>
  </si>
  <si>
    <t>P. KT - TC</t>
  </si>
  <si>
    <t>BẢNG THEO DÕI SẢN LƯỢNG MỦ DÂY THÁNG 11 NĂM 2025</t>
  </si>
  <si>
    <t>BẢNG THANH TOÁN TIỀN LƯƠNG MỦ DÂY THÁNG 11 NĂM 2025</t>
  </si>
  <si>
    <t>Số tiền bằng chữ: Bốn triệu, chín trăm nghìn kíp.</t>
  </si>
  <si>
    <t>Phụ cấp thêm cạo đúp</t>
  </si>
  <si>
    <t>Phụ cấp thêm cạo 2 lát</t>
  </si>
  <si>
    <t>Hồ Thị Thủy</t>
  </si>
  <si>
    <t>P. TC - KT</t>
  </si>
  <si>
    <t xml:space="preserve">ĐỘI TRƯỞNG </t>
  </si>
  <si>
    <t>Lương chăm sóc / Lương lv trong tháng</t>
  </si>
  <si>
    <t>Lương phụ cấp ngày công khai thác</t>
  </si>
  <si>
    <t>P.TC - KT</t>
  </si>
  <si>
    <t xml:space="preserve">             TỔNG GIÁM ĐỐC                     P. TC - KT  </t>
  </si>
  <si>
    <t xml:space="preserve">  PHÒNG TC - HC                    P. P PHỤ TRÁCH                    ĐỘI TRƯỞNG                        NGƯỜI LẬP</t>
  </si>
  <si>
    <t xml:space="preserve">  NGƯỜI LẬP</t>
  </si>
  <si>
    <t xml:space="preserve">                 P. TC - KT                             P. TC - HC</t>
  </si>
  <si>
    <t xml:space="preserve">                            Hồ Thị Thủy</t>
  </si>
  <si>
    <t xml:space="preserve"> P. TC - KT                 P. TC - HC               P. P PHỤ TRÁCH           ĐỘI TRƯỞNG             NGƯỜI LẬP</t>
  </si>
  <si>
    <t xml:space="preserve">    TỔNG GIÁM ĐỐC</t>
  </si>
  <si>
    <t xml:space="preserve"> P. TC - KT</t>
  </si>
  <si>
    <t xml:space="preserve">P. TC - HC  </t>
  </si>
  <si>
    <t xml:space="preserve"> P. P PHỤ TRÁCH </t>
  </si>
  <si>
    <t xml:space="preserve">Trần Quang Thiện </t>
  </si>
  <si>
    <t xml:space="preserve">    PHÒNG TC - KT        PHÒNG TC - HC        P.P PHỤ TRÁCH          ĐỘI TRƯỞNG            NGƯỜI LẬP</t>
  </si>
  <si>
    <t>ĐỘI TRƯỞNG        NGƯỜI LẬP</t>
  </si>
  <si>
    <t xml:space="preserve">     TỔNG GIÁM ĐỐC</t>
  </si>
  <si>
    <t>III.</t>
  </si>
  <si>
    <t>Cạo 2 lát ngày CN</t>
  </si>
  <si>
    <t>KHUN XÍ</t>
  </si>
  <si>
    <t>Phụ cấp cây non</t>
  </si>
  <si>
    <t>P</t>
  </si>
  <si>
    <t>BẢNG THEO DÕI SẢN LƯỢNG MỦ TẠP THÁNG 12 NĂM 2025</t>
  </si>
  <si>
    <t>Tổng mủ tạp T12</t>
  </si>
  <si>
    <t>Mủ tạp quy khô T12</t>
  </si>
  <si>
    <t>BẢNG CHẤM CÔNG THEO DÕI CÔNG NHÂN KHAI THÁC THÁNG 12 NĂM 2025</t>
  </si>
  <si>
    <t>Huyện Noong, ngày 02 tháng 01 năm 2026</t>
  </si>
  <si>
    <t>BẢNG CHẤM CÔNG PHỤ CẤP CÂY NON KHAI THÁC THÁNG 12 NĂM 2025</t>
  </si>
  <si>
    <t>Mủ tạp quy khô (kg)</t>
  </si>
  <si>
    <t>Mủ xirum quy khô (kg)</t>
  </si>
  <si>
    <t>BẢNG LƯƠNG KHAI THÁC THÁNG 12 NĂM 2025</t>
  </si>
  <si>
    <t>đúp cn</t>
  </si>
  <si>
    <t>Huyện Noong , ngày 03 tháng 01 năm 2026</t>
  </si>
  <si>
    <t>Tháng 12/2025</t>
  </si>
  <si>
    <t>BẢNG TÍNH LƯƠNG CB.CNV ĐỘI SẢN XUẤT THÁNG 12 NĂM 2025</t>
  </si>
  <si>
    <t xml:space="preserve">                 Huyện Noong, ngày 03 tháng 01 năm 2026</t>
  </si>
  <si>
    <t>BẢNG LƯƠNG CB - CNV NGƯỜI LÀO, PHỤ CẤP NGƯỜI VIỆT THÁNG 12 NĂM 2025</t>
  </si>
  <si>
    <t>Huyện Noong, ngày 03 tháng 01 năm 2026</t>
  </si>
  <si>
    <t>A Khăm</t>
  </si>
  <si>
    <t>A Pha</t>
  </si>
  <si>
    <t>A Bốt</t>
  </si>
  <si>
    <t>(Bằng chữ: Mười bảy triệu, hai trăm bảy mươi nghìn kíp.)</t>
  </si>
  <si>
    <t>BẢNG TỔNG HỢP LƯƠNG THÁNG 12 NĂM 2025</t>
  </si>
  <si>
    <t>BẢNG LƯƠNG VƯỜN KEO LAI THÁNG 12 NĂM 2025</t>
  </si>
  <si>
    <t>( Bằng chữ: Bốn triệu, năm trăm mười nghìn kíp )</t>
  </si>
  <si>
    <t>DANH SÁCH CB.CNV NỘP THUẾ TNCN THÁNG 12/2025</t>
  </si>
  <si>
    <t>Huyện Noong, ngày 03 tháng 01 năm 2026</t>
  </si>
  <si>
    <t>Số tiền bằng chữ: Một trăm mười tám nghìn kíp.</t>
  </si>
  <si>
    <t>Mủ quy khô truy lĩnh T12</t>
  </si>
  <si>
    <t>CNTT</t>
  </si>
  <si>
    <t>Huyện Noong, ngày 01 tháng 01 năm 2026</t>
  </si>
  <si>
    <t xml:space="preserve"> CỘNG HÒA DÂN CHỦ NHÂN DÂN LÀO</t>
  </si>
  <si>
    <t>BẢNG TỔNG HỢP SẢN LƯỢNG MỦ XIRUM THÁNG 12 NĂM 2025</t>
  </si>
  <si>
    <t>(Từ ngày 01/12 đến 31/12/2025)</t>
  </si>
  <si>
    <t>Nội dung</t>
  </si>
  <si>
    <t>Tổng mủ Xirum</t>
  </si>
  <si>
    <t>Mủ Xirum quy khô</t>
  </si>
  <si>
    <t>DRC trạm 1</t>
  </si>
  <si>
    <t>DRC trạm 2</t>
  </si>
  <si>
    <t>Mủ serum trạm 2</t>
  </si>
  <si>
    <t>Huyện Noong, ngày 31 tháng 12 năm 2025</t>
  </si>
  <si>
    <t xml:space="preserve">P.PHÒNG PHỤ TRÁCH </t>
  </si>
  <si>
    <t xml:space="preserve">Mủ sirum </t>
  </si>
  <si>
    <t>Mủ Sirum</t>
  </si>
  <si>
    <t>Mủ quy khô truy lĩnh T12 (kg)</t>
  </si>
  <si>
    <t>Tổng quy khô trả lương (kg)</t>
  </si>
  <si>
    <t>Sản lượng truy lĩnh tháng 12 (tấn)</t>
  </si>
  <si>
    <t>Tỷ lệ truy lĩnh tháng 12 (%)</t>
  </si>
  <si>
    <t>Lương truy lĩnh T12</t>
  </si>
  <si>
    <t>Tổng mủ quy khô trả lương</t>
  </si>
  <si>
    <t>NVKT - TK</t>
  </si>
  <si>
    <t xml:space="preserve"> Huyện Noong, ngày 03 tháng 01 năm 2026</t>
  </si>
  <si>
    <t>(Số tiền bằng chữ: Bốn trăm sáu mươi bốn triệu, chín trăm lẻ một nghìn, ba trăm tám mươi tám kíp)</t>
  </si>
  <si>
    <t>(Bằng chữ: Bốn trăm tám mươi hai triệu, một trăm bảy mươi mốt nghìn, ba trăm tám mươi tám kíp)</t>
  </si>
  <si>
    <t xml:space="preserve">  Huyện Noong, ngày 03 tháng 01 năm 2026</t>
  </si>
  <si>
    <t>Số tiền bằng chữ: Bốn trăm tám mươi hai triệu, một trăm bảy mươi mốt nghìn, ba trăm tám mươi tám kíp.</t>
  </si>
</sst>
</file>

<file path=xl/styles.xml><?xml version="1.0" encoding="utf-8"?>
<styleSheet xmlns="http://schemas.openxmlformats.org/spreadsheetml/2006/main" xmlns:mc="http://schemas.openxmlformats.org/markup-compatibility/2006" xmlns:x14ac="http://schemas.microsoft.com/office/spreadsheetml/2009/9/ac" mc:Ignorable="x14ac">
  <numFmts count="60">
    <numFmt numFmtId="41" formatCode="_-* #,##0\ _₫_-;\-* #,##0\ _₫_-;_-* &quot;-&quot;\ _₫_-;_-@_-"/>
    <numFmt numFmtId="44" formatCode="_-* #,##0.00\ &quot;₫&quot;_-;\-* #,##0.00\ &quot;₫&quot;_-;_-* &quot;-&quot;??\ &quot;₫&quot;_-;_-@_-"/>
    <numFmt numFmtId="43" formatCode="_-* #,##0.00\ _₫_-;\-* #,##0.00\ _₫_-;_-* &quot;-&quot;??\ _₫_-;_-@_-"/>
    <numFmt numFmtId="187" formatCode="_(* #,##0_);_(* \(#,##0\);_(* &quot;-&quot;_);_(@_)"/>
    <numFmt numFmtId="188" formatCode="_(* #,##0.00_);_(* \(#,##0.00\);_(* &quot;-&quot;??_);_(@_)"/>
    <numFmt numFmtId="189" formatCode="_(&quot;$&quot;* #,##0.00_);_(&quot;$&quot;* \(#,##0.00\);_(&quot;$&quot;* &quot;-&quot;??_);_(@_)"/>
    <numFmt numFmtId="190" formatCode="&quot;ß&quot;\t#,##0_);[Red]\(&quot;ß&quot;\t#,##0\)"/>
    <numFmt numFmtId="191" formatCode="_(* #,##0.000_);_(* \(#,##0.000\);_(* &quot;-&quot;??_);_(@_)"/>
    <numFmt numFmtId="192" formatCode=";;"/>
    <numFmt numFmtId="193" formatCode="0.000_)"/>
    <numFmt numFmtId="194" formatCode="_-* #,##0\ _€_-;\-* #,##0\ _€_-;_-* &quot;-&quot;\ _€_-;_-@_-"/>
    <numFmt numFmtId="195" formatCode="_-* #,##0.00\ _€_-;\-* #,##0.00\ _€_-;_-* &quot;-&quot;&quot;?&quot;&quot;?&quot;\ _€_-;_-@_-"/>
    <numFmt numFmtId="196" formatCode="_ * #,##0.00_)_₭_ ;_ * \(#,##0.00\)_₭_ ;_ * &quot;-&quot;??_)_₭_ ;_ @_ "/>
    <numFmt numFmtId="197" formatCode="_-* #,##0.00_-;\-* #,##0.00_-;_-* &quot;-&quot;??_-;_-@_-"/>
    <numFmt numFmtId="198" formatCode="0.0"/>
    <numFmt numFmtId="199" formatCode="_-* #,##0.00\ _₫_-;\-* #,##0.00\ _₫_-;_-* &quot;-&quot;&quot;?&quot;&quot;?&quot;\ _₫_-;_-@_-"/>
    <numFmt numFmtId="200" formatCode="_(* #,##0.00_);_(* \(#,##0.00\);_(* &quot;-&quot;&quot;?&quot;&quot;?&quot;_);_(@_)"/>
    <numFmt numFmtId="201" formatCode="_-&quot;฿&quot;* #,##0.00_-;\-&quot;฿&quot;* #,##0.00_-;_-&quot;฿&quot;* &quot;-&quot;??_-;_-@_-"/>
    <numFmt numFmtId="202" formatCode="&quot;$&quot;#,##0\ ;\(&quot;$&quot;#,##0\)"/>
    <numFmt numFmtId="203" formatCode="&quot;$&quot;\ \ \ \ #,##0_);\(&quot;$&quot;\ \ \ #,##0\)"/>
    <numFmt numFmtId="204" formatCode="&quot;$&quot;\ \ \ \ \ #,##0_);\(&quot;$&quot;\ \ \ \ \ #,##0\)"/>
    <numFmt numFmtId="205" formatCode="_-* #,##0_-;\-* #,##0_-;_-* &quot;-&quot;_-;_-@_-"/>
    <numFmt numFmtId="206" formatCode="&quot;\&quot;#,##0;[Red]\-&quot;\&quot;#,##0"/>
    <numFmt numFmtId="207" formatCode="&quot;\&quot;#,##0.00;\-&quot;\&quot;#,##0.00"/>
    <numFmt numFmtId="208" formatCode="0.00_)"/>
    <numFmt numFmtId="209" formatCode="#,##0\ &quot;DM&quot;;\-#,##0\ &quot;DM&quot;"/>
    <numFmt numFmtId="210" formatCode="0.000%"/>
    <numFmt numFmtId="211" formatCode="&quot;￥&quot;#,##0;&quot;￥&quot;\-#,##0"/>
    <numFmt numFmtId="212" formatCode="00.000"/>
    <numFmt numFmtId="213" formatCode="_-&quot;$&quot;* #,##0_-;\-&quot;$&quot;* #,##0_-;_-&quot;$&quot;* &quot;-&quot;_-;_-@_-"/>
    <numFmt numFmtId="214" formatCode="_-&quot;$&quot;* #,##0.00_-;\-&quot;$&quot;* #,##0.00_-;_-&quot;$&quot;* &quot;-&quot;??_-;_-@_-"/>
    <numFmt numFmtId="215" formatCode="#,##0;[Red]#,##0"/>
    <numFmt numFmtId="216" formatCode="_-* #,##0\ _₫_-;\-* #,##0\ _₫_-;_-* &quot;-&quot;??\ _₫_-;_-@_-"/>
    <numFmt numFmtId="217" formatCode="_(* #,##0_);_(* \(#,##0\);_(* &quot;-&quot;??_);_(@_)"/>
    <numFmt numFmtId="218" formatCode="0;[Red]0"/>
    <numFmt numFmtId="219" formatCode="_(* #,##0.0_);_(* \(#,##0.0\);_(* &quot;-&quot;??_);_(@_)"/>
    <numFmt numFmtId="220" formatCode="0.000"/>
    <numFmt numFmtId="221" formatCode="#,##0.0"/>
    <numFmt numFmtId="222" formatCode="_(* #,##0.0000_);_(* \(#,##0.0000\);_(* &quot;-&quot;??_);_(@_)"/>
    <numFmt numFmtId="223" formatCode="_(* #,##0.0_);_(* \(#,##0.0\);_(* &quot;-&quot;&quot;?&quot;&quot;?&quot;_);_(@_)"/>
    <numFmt numFmtId="224" formatCode="_-* #,##0\ _₫_-;\-* #,##0\ _₫_-;_-* &quot;-&quot;&quot;?&quot;&quot;?&quot;\ _₫_-;_-@_-"/>
    <numFmt numFmtId="225" formatCode="_-* #,##0.0\ _₫_-;\-* #,##0.0\ _₫_-;_-* &quot;-&quot;??\ _₫_-;_-@_-"/>
    <numFmt numFmtId="226" formatCode="#,##0.00000000000000"/>
    <numFmt numFmtId="227" formatCode="#,##0_ ;\-#,##0\ "/>
    <numFmt numFmtId="228" formatCode="0.00_);\(0.00\)"/>
    <numFmt numFmtId="229" formatCode="#,##0.00_ ;\-#,##0.00\ "/>
    <numFmt numFmtId="230" formatCode="0.0000"/>
    <numFmt numFmtId="231" formatCode="_-* #,##0.0000\ _₫_-;\-* #,##0.0000\ _₫_-;_-* &quot;-&quot;??\ _₫_-;_-@_-"/>
    <numFmt numFmtId="232" formatCode="\$#,##0\ ;\(\$#,##0\)"/>
    <numFmt numFmtId="233" formatCode="_(* #,##0_);_(* \(#,##0\);_(* &quot;-&quot;&quot;?&quot;&quot;?&quot;_);_(@_)"/>
    <numFmt numFmtId="234" formatCode="###\ ###\ ###\ ##0"/>
    <numFmt numFmtId="235" formatCode="&quot;$&quot;#,##0.00_);[Red]\(&quot;$&quot;#,##0.00\)"/>
    <numFmt numFmtId="236" formatCode="_-* #,##0.00\ _€_-;\-* #,##0.00\ _€_-;_-* &quot;-&quot;??\ _€_-;_-@_-"/>
    <numFmt numFmtId="237" formatCode="0.0%"/>
    <numFmt numFmtId="238" formatCode="_-* #,##0.000000000000000\ _₫_-;\-* #,##0.000000000000000\ _₫_-;_-* &quot;-&quot;??\ _₫_-;_-@_-"/>
    <numFmt numFmtId="239" formatCode="_-* #,##0.000\ _₫_-;\-* #,##0.000\ _₫_-;_-* &quot;-&quot;??\ _₫_-;_-@_-"/>
    <numFmt numFmtId="240" formatCode="_-* #,##0.000000\ _₫_-;\-* #,##0.000000\ _₫_-;_-* &quot;-&quot;??\ _₫_-;_-@_-"/>
    <numFmt numFmtId="241" formatCode="0.00000000000"/>
    <numFmt numFmtId="242" formatCode="0.00;[Red]0.00"/>
    <numFmt numFmtId="243" formatCode="#,##0.00;[Red]#,##0.00"/>
  </numFmts>
  <fonts count="239">
    <font>
      <sz val="11"/>
      <color theme="1"/>
      <name val="Calibri"/>
      <charset val="163"/>
    </font>
    <font>
      <b/>
      <sz val="13"/>
      <color theme="1"/>
      <name val="Times New Roman"/>
      <family val="1"/>
    </font>
    <font>
      <sz val="10"/>
      <color theme="1"/>
      <name val="Times New Roman"/>
      <family val="1"/>
    </font>
    <font>
      <sz val="12"/>
      <color theme="1"/>
      <name val="Times New Roman"/>
      <family val="1"/>
    </font>
    <font>
      <b/>
      <sz val="12"/>
      <color theme="1"/>
      <name val="Times New Roman"/>
      <family val="1"/>
    </font>
    <font>
      <b/>
      <sz val="14"/>
      <color theme="1"/>
      <name val="Times New Roman"/>
      <family val="1"/>
    </font>
    <font>
      <sz val="11"/>
      <color theme="1"/>
      <name val="Times New Roman"/>
      <family val="1"/>
    </font>
    <font>
      <sz val="9"/>
      <name val="Times New Roman"/>
      <family val="1"/>
    </font>
    <font>
      <i/>
      <sz val="12"/>
      <color theme="1"/>
      <name val="Times New Roman"/>
      <family val="1"/>
    </font>
    <font>
      <b/>
      <sz val="12"/>
      <name val="Times New Roman"/>
      <family val="1"/>
    </font>
    <font>
      <b/>
      <sz val="11"/>
      <name val="Times New Roman"/>
      <family val="1"/>
    </font>
    <font>
      <sz val="11"/>
      <name val="Times New Roman"/>
      <family val="1"/>
    </font>
    <font>
      <b/>
      <sz val="14"/>
      <name val="Times New Roman"/>
      <family val="1"/>
    </font>
    <font>
      <b/>
      <sz val="11"/>
      <color theme="0"/>
      <name val="Times New Roman"/>
      <family val="1"/>
    </font>
    <font>
      <i/>
      <sz val="11"/>
      <name val="Times New Roman"/>
      <family val="1"/>
    </font>
    <font>
      <sz val="12"/>
      <name val="Times New Roman"/>
      <family val="1"/>
    </font>
    <font>
      <i/>
      <sz val="12"/>
      <name val="Times New Roman"/>
      <family val="1"/>
    </font>
    <font>
      <b/>
      <sz val="10"/>
      <name val="Times New Roman"/>
      <family val="1"/>
    </font>
    <font>
      <b/>
      <sz val="13"/>
      <name val="Times New Roman"/>
      <family val="1"/>
    </font>
    <font>
      <b/>
      <i/>
      <sz val="11"/>
      <name val="Times New Roman"/>
      <family val="1"/>
    </font>
    <font>
      <b/>
      <i/>
      <u/>
      <sz val="11"/>
      <name val="Times New Roman"/>
      <family val="1"/>
    </font>
    <font>
      <sz val="8"/>
      <name val="Times New Roman"/>
      <family val="1"/>
    </font>
    <font>
      <sz val="13"/>
      <name val="Times New Roman"/>
      <family val="1"/>
    </font>
    <font>
      <b/>
      <sz val="16"/>
      <name val="Times New Roman"/>
      <family val="1"/>
    </font>
    <font>
      <i/>
      <sz val="13"/>
      <name val="Times New Roman"/>
      <family val="1"/>
    </font>
    <font>
      <b/>
      <i/>
      <sz val="13"/>
      <name val="Times New Roman"/>
      <family val="1"/>
    </font>
    <font>
      <sz val="10"/>
      <name val="Times New Roman"/>
      <family val="1"/>
    </font>
    <font>
      <b/>
      <i/>
      <sz val="12"/>
      <name val="Times New Roman"/>
      <family val="1"/>
    </font>
    <font>
      <b/>
      <sz val="9"/>
      <name val="Times New Roman"/>
      <family val="1"/>
    </font>
    <font>
      <b/>
      <sz val="8"/>
      <name val="Times New Roman"/>
      <family val="1"/>
    </font>
    <font>
      <sz val="11"/>
      <color indexed="8"/>
      <name val="Times New Roman"/>
      <family val="1"/>
    </font>
    <font>
      <b/>
      <sz val="13"/>
      <color indexed="63"/>
      <name val="Times New Roman"/>
      <family val="1"/>
    </font>
    <font>
      <b/>
      <sz val="11"/>
      <color indexed="8"/>
      <name val="Times New Roman"/>
      <family val="1"/>
    </font>
    <font>
      <sz val="14"/>
      <name val="Times New Roman"/>
      <family val="1"/>
    </font>
    <font>
      <b/>
      <i/>
      <sz val="11"/>
      <name val="Tahoma"/>
      <family val="1"/>
      <scheme val="major"/>
    </font>
    <font>
      <sz val="14"/>
      <color theme="1"/>
      <name val="Calibri"/>
      <family val="2"/>
    </font>
    <font>
      <sz val="14"/>
      <color indexed="63"/>
      <name val="Times New Roman"/>
      <family val="1"/>
    </font>
    <font>
      <b/>
      <i/>
      <sz val="8"/>
      <name val="Times New Roman"/>
      <family val="1"/>
    </font>
    <font>
      <i/>
      <sz val="14"/>
      <name val="Times New Roman"/>
      <family val="1"/>
    </font>
    <font>
      <b/>
      <i/>
      <sz val="10"/>
      <name val="Tahoma"/>
      <family val="1"/>
      <scheme val="major"/>
    </font>
    <font>
      <sz val="8"/>
      <color theme="0"/>
      <name val="Times New Roman"/>
      <family val="1"/>
    </font>
    <font>
      <sz val="13"/>
      <color theme="1"/>
      <name val="Times New Roman"/>
      <family val="1"/>
    </font>
    <font>
      <i/>
      <sz val="10"/>
      <name val="Times New Roman"/>
      <family val="1"/>
    </font>
    <font>
      <sz val="8"/>
      <color theme="1"/>
      <name val="Times New Roman"/>
      <family val="1"/>
    </font>
    <font>
      <b/>
      <sz val="16"/>
      <color theme="1"/>
      <name val="Times New Roman"/>
      <family val="1"/>
    </font>
    <font>
      <sz val="14"/>
      <color theme="1"/>
      <name val="Times New Roman"/>
      <family val="1"/>
    </font>
    <font>
      <i/>
      <sz val="13"/>
      <color theme="1"/>
      <name val="Times New Roman"/>
      <family val="1"/>
    </font>
    <font>
      <b/>
      <sz val="13"/>
      <name val="Tahoma"/>
      <family val="1"/>
      <scheme val="major"/>
    </font>
    <font>
      <b/>
      <sz val="12"/>
      <color rgb="FFFF0000"/>
      <name val="Times New Roman"/>
      <family val="1"/>
    </font>
    <font>
      <sz val="12"/>
      <color rgb="FFFF0000"/>
      <name val="Times New Roman"/>
      <family val="1"/>
    </font>
    <font>
      <b/>
      <u/>
      <sz val="12"/>
      <name val="Times New Roman"/>
      <family val="1"/>
    </font>
    <font>
      <sz val="11"/>
      <color theme="1"/>
      <name val="Calibri"/>
      <family val="2"/>
    </font>
    <font>
      <sz val="11"/>
      <color indexed="8"/>
      <name val="Calibri"/>
      <family val="2"/>
    </font>
    <font>
      <sz val="11"/>
      <color theme="1"/>
      <name val="Tahoma"/>
      <family val="2"/>
      <scheme val="minor"/>
    </font>
    <font>
      <sz val="10"/>
      <name val="Arial"/>
      <family val="2"/>
    </font>
    <font>
      <sz val="11"/>
      <color indexed="8"/>
      <name val="Arial"/>
      <family val="2"/>
    </font>
    <font>
      <sz val="11"/>
      <color indexed="9"/>
      <name val="Calibri"/>
      <family val="2"/>
    </font>
    <font>
      <sz val="11"/>
      <color indexed="9"/>
      <name val="Arial"/>
      <family val="2"/>
    </font>
    <font>
      <sz val="12"/>
      <name val="¹UAAA¼"/>
      <charset val="129"/>
    </font>
    <font>
      <sz val="11"/>
      <color indexed="20"/>
      <name val="Calibri"/>
      <family val="2"/>
    </font>
    <font>
      <sz val="11"/>
      <color indexed="20"/>
      <name val="Arial"/>
      <family val="2"/>
    </font>
    <font>
      <sz val="12"/>
      <name val="Tms Rmn"/>
      <charset val="134"/>
    </font>
    <font>
      <sz val="12"/>
      <name val="±¼¸²Ã¼"/>
      <charset val="134"/>
    </font>
    <font>
      <sz val="11"/>
      <name val="µ¸¿ò"/>
      <charset val="134"/>
    </font>
    <font>
      <sz val="10"/>
      <name val="MS Sans Serif"/>
      <family val="2"/>
      <charset val="222"/>
    </font>
    <font>
      <b/>
      <sz val="11"/>
      <color indexed="52"/>
      <name val="Calibri"/>
      <family val="2"/>
    </font>
    <font>
      <b/>
      <sz val="11"/>
      <color indexed="52"/>
      <name val="Arial"/>
      <family val="2"/>
    </font>
    <font>
      <b/>
      <sz val="11"/>
      <color indexed="9"/>
      <name val="Calibri"/>
      <family val="2"/>
    </font>
    <font>
      <b/>
      <sz val="11"/>
      <color indexed="9"/>
      <name val="Arial"/>
      <family val="2"/>
    </font>
    <font>
      <sz val="11"/>
      <name val="Tms Rmn"/>
      <charset val="134"/>
    </font>
    <font>
      <sz val="10"/>
      <name val="VNI-Times"/>
      <charset val="134"/>
    </font>
    <font>
      <sz val="11"/>
      <color rgb="FF000000"/>
      <name val="Calibri"/>
      <family val="2"/>
    </font>
    <font>
      <sz val="11"/>
      <color indexed="63"/>
      <name val="Calibri"/>
      <family val="2"/>
    </font>
    <font>
      <sz val="10"/>
      <color indexed="8"/>
      <name val="Times New Roman"/>
      <family val="1"/>
    </font>
    <font>
      <sz val="10"/>
      <name val="MS Serif"/>
      <family val="1"/>
    </font>
    <font>
      <sz val="10"/>
      <color theme="1"/>
      <name val="Arial"/>
      <family val="2"/>
    </font>
    <font>
      <sz val="10"/>
      <color indexed="8"/>
      <name val="Arial"/>
      <family val="2"/>
    </font>
    <font>
      <sz val="10"/>
      <color indexed="16"/>
      <name val="MS Serif"/>
      <family val="1"/>
    </font>
    <font>
      <i/>
      <sz val="11"/>
      <color indexed="23"/>
      <name val="Calibri"/>
      <family val="2"/>
    </font>
    <font>
      <i/>
      <sz val="11"/>
      <color indexed="23"/>
      <name val="Arial"/>
      <family val="2"/>
    </font>
    <font>
      <sz val="11"/>
      <color indexed="17"/>
      <name val="Calibri"/>
      <family val="2"/>
    </font>
    <font>
      <sz val="11"/>
      <color indexed="17"/>
      <name val="Arial"/>
      <family val="2"/>
    </font>
    <font>
      <sz val="8"/>
      <name val="Arial"/>
      <family val="2"/>
    </font>
    <font>
      <b/>
      <sz val="12"/>
      <color indexed="9"/>
      <name val="Tms Rmn"/>
      <charset val="134"/>
    </font>
    <font>
      <b/>
      <sz val="12"/>
      <name val="Arial"/>
      <family val="2"/>
    </font>
    <font>
      <b/>
      <sz val="15"/>
      <color indexed="56"/>
      <name val="Calibri"/>
      <family val="2"/>
    </font>
    <font>
      <b/>
      <sz val="15"/>
      <color indexed="56"/>
      <name val="Arial"/>
      <family val="2"/>
    </font>
    <font>
      <b/>
      <sz val="13"/>
      <color indexed="56"/>
      <name val="Calibri"/>
      <family val="2"/>
    </font>
    <font>
      <b/>
      <sz val="13"/>
      <color indexed="56"/>
      <name val="Arial"/>
      <family val="2"/>
    </font>
    <font>
      <b/>
      <sz val="11"/>
      <color indexed="56"/>
      <name val="Calibri"/>
      <family val="2"/>
    </font>
    <font>
      <b/>
      <sz val="11"/>
      <color indexed="56"/>
      <name val="Arial"/>
      <family val="2"/>
    </font>
    <font>
      <b/>
      <sz val="8"/>
      <name val="MS Sans Serif"/>
      <family val="2"/>
      <charset val="222"/>
    </font>
    <font>
      <u/>
      <sz val="11"/>
      <color theme="10"/>
      <name val="Calibri"/>
      <family val="2"/>
    </font>
    <font>
      <u/>
      <sz val="10"/>
      <color theme="10"/>
      <name val="Arial"/>
      <family val="2"/>
    </font>
    <font>
      <u/>
      <sz val="12"/>
      <color theme="10"/>
      <name val="Times New Roman"/>
      <family val="1"/>
    </font>
    <font>
      <sz val="11"/>
      <color indexed="62"/>
      <name val="Calibri"/>
      <family val="2"/>
    </font>
    <font>
      <sz val="11"/>
      <color indexed="62"/>
      <name val="Arial"/>
      <family val="2"/>
    </font>
    <font>
      <sz val="11"/>
      <color indexed="52"/>
      <name val="Calibri"/>
      <family val="2"/>
    </font>
    <font>
      <sz val="11"/>
      <color indexed="52"/>
      <name val="Arial"/>
      <family val="2"/>
    </font>
    <font>
      <sz val="11"/>
      <color indexed="60"/>
      <name val="Calibri"/>
      <family val="2"/>
    </font>
    <font>
      <sz val="11"/>
      <color indexed="60"/>
      <name val="Arial"/>
      <family val="2"/>
    </font>
    <font>
      <b/>
      <i/>
      <sz val="16"/>
      <name val="Helv"/>
      <charset val="134"/>
    </font>
    <font>
      <sz val="13"/>
      <name val="Arial"/>
      <family val="2"/>
    </font>
    <font>
      <sz val="10"/>
      <name val="VNI-Helve-Condense"/>
      <charset val="134"/>
    </font>
    <font>
      <sz val="11"/>
      <color theme="1"/>
      <name val="Tahoma"/>
      <family val="2"/>
    </font>
    <font>
      <sz val="12"/>
      <name val="VNI-Times"/>
      <charset val="134"/>
    </font>
    <font>
      <b/>
      <sz val="11"/>
      <color indexed="63"/>
      <name val="Calibri"/>
      <family val="2"/>
    </font>
    <font>
      <b/>
      <sz val="11"/>
      <color indexed="63"/>
      <name val="Arial"/>
      <family val="2"/>
    </font>
    <font>
      <sz val="8"/>
      <name val="Wingdings"/>
      <charset val="2"/>
    </font>
    <font>
      <sz val="8"/>
      <name val="Helv"/>
      <charset val="134"/>
    </font>
    <font>
      <sz val="8"/>
      <name val="MS Sans Serif"/>
      <family val="2"/>
      <charset val="222"/>
    </font>
    <font>
      <b/>
      <sz val="8"/>
      <color indexed="8"/>
      <name val="Helv"/>
      <charset val="134"/>
    </font>
    <font>
      <b/>
      <sz val="18"/>
      <color indexed="56"/>
      <name val="Cambria"/>
      <family val="1"/>
    </font>
    <font>
      <b/>
      <sz val="18"/>
      <color indexed="56"/>
      <name val="Times New Roman"/>
      <family val="1"/>
    </font>
    <font>
      <b/>
      <sz val="11"/>
      <color indexed="8"/>
      <name val="Calibri"/>
      <family val="2"/>
    </font>
    <font>
      <b/>
      <sz val="11"/>
      <color indexed="8"/>
      <name val="Arial"/>
      <family val="2"/>
    </font>
    <font>
      <sz val="10"/>
      <name val=".VnAvant"/>
      <charset val="134"/>
    </font>
    <font>
      <sz val="11"/>
      <color indexed="10"/>
      <name val="Calibri"/>
      <family val="2"/>
    </font>
    <font>
      <sz val="11"/>
      <color indexed="10"/>
      <name val="Arial"/>
      <family val="2"/>
    </font>
    <font>
      <sz val="14"/>
      <name val="뼻뮝"/>
      <charset val="134"/>
    </font>
    <font>
      <sz val="12"/>
      <name val="바탕체"/>
      <charset val="134"/>
    </font>
    <font>
      <sz val="12"/>
      <name val="뼻뮝"/>
      <charset val="134"/>
    </font>
    <font>
      <sz val="11"/>
      <name val="돋움"/>
      <charset val="134"/>
    </font>
    <font>
      <sz val="10"/>
      <name val="굴림체"/>
      <charset val="134"/>
    </font>
    <font>
      <sz val="12"/>
      <name val="新細明體"/>
      <charset val="136"/>
    </font>
    <font>
      <sz val="14"/>
      <color theme="1"/>
      <name val="Times New Roman"/>
      <family val="1"/>
    </font>
    <font>
      <sz val="13"/>
      <color rgb="FFFF0000"/>
      <name val="Times New Roman"/>
      <family val="1"/>
    </font>
    <font>
      <sz val="13"/>
      <name val="Times New Roman"/>
      <family val="1"/>
    </font>
    <font>
      <sz val="11"/>
      <color theme="1"/>
      <name val="Tahoma"/>
      <family val="2"/>
      <charset val="1"/>
      <scheme val="minor"/>
    </font>
    <font>
      <sz val="12"/>
      <name val="Times New Roman"/>
      <family val="1"/>
    </font>
    <font>
      <b/>
      <sz val="11"/>
      <name val="Times New Roman"/>
      <family val="1"/>
    </font>
    <font>
      <sz val="11"/>
      <name val="Times New Roman"/>
      <family val="1"/>
    </font>
    <font>
      <b/>
      <sz val="11"/>
      <color rgb="FFFF0000"/>
      <name val="Times New Roman"/>
      <family val="1"/>
    </font>
    <font>
      <b/>
      <sz val="12"/>
      <name val="Times New Roman"/>
      <family val="1"/>
    </font>
    <font>
      <i/>
      <sz val="13"/>
      <name val="Times New Roman"/>
      <family val="1"/>
    </font>
    <font>
      <sz val="11"/>
      <color indexed="63"/>
      <name val="Calibri"/>
      <family val="2"/>
      <charset val="163"/>
    </font>
    <font>
      <sz val="11"/>
      <color theme="1"/>
      <name val="Calibri"/>
      <family val="2"/>
      <charset val="163"/>
    </font>
    <font>
      <b/>
      <sz val="28"/>
      <color theme="1"/>
      <name val="Times New Roman"/>
      <family val="1"/>
    </font>
    <font>
      <sz val="28"/>
      <color theme="1"/>
      <name val="Times New Roman"/>
      <family val="1"/>
    </font>
    <font>
      <b/>
      <sz val="28"/>
      <color rgb="FFFF0000"/>
      <name val="Times New Roman"/>
      <family val="1"/>
    </font>
    <font>
      <sz val="18"/>
      <color theme="1"/>
      <name val="Times New Roman"/>
      <family val="1"/>
    </font>
    <font>
      <b/>
      <sz val="18"/>
      <color theme="1"/>
      <name val="Times New Roman"/>
      <family val="1"/>
    </font>
    <font>
      <b/>
      <sz val="14"/>
      <name val="Times New Roman"/>
      <family val="1"/>
    </font>
    <font>
      <b/>
      <sz val="11"/>
      <color theme="1"/>
      <name val="Times New Roman"/>
      <family val="1"/>
    </font>
    <font>
      <b/>
      <sz val="13"/>
      <color theme="1"/>
      <name val="Times New Roman"/>
      <family val="1"/>
    </font>
    <font>
      <sz val="11"/>
      <color theme="1"/>
      <name val="Times New Roman"/>
      <family val="1"/>
    </font>
    <font>
      <sz val="16"/>
      <color theme="1"/>
      <name val="Times New Roman"/>
      <family val="1"/>
    </font>
    <font>
      <b/>
      <sz val="20"/>
      <color theme="1"/>
      <name val="Times New Roman"/>
      <family val="1"/>
    </font>
    <font>
      <b/>
      <sz val="9"/>
      <color theme="1"/>
      <name val="Times New Roman"/>
      <family val="1"/>
    </font>
    <font>
      <i/>
      <sz val="14"/>
      <color theme="1"/>
      <name val="Times New Roman"/>
      <family val="1"/>
    </font>
    <font>
      <b/>
      <i/>
      <sz val="14"/>
      <name val="Times New Roman"/>
      <family val="1"/>
    </font>
    <font>
      <b/>
      <sz val="18"/>
      <name val="Times New Roman"/>
      <family val="1"/>
    </font>
    <font>
      <sz val="8"/>
      <color theme="1"/>
      <name val="Times New Roman"/>
      <family val="1"/>
    </font>
    <font>
      <sz val="9"/>
      <color theme="1"/>
      <name val="Times New Roman"/>
      <family val="1"/>
    </font>
    <font>
      <sz val="10"/>
      <name val="Arial"/>
      <family val="2"/>
    </font>
    <font>
      <sz val="12"/>
      <name val="VNI-Times"/>
    </font>
    <font>
      <sz val="20"/>
      <color theme="1"/>
      <name val="Times New Roman"/>
      <family val="1"/>
    </font>
    <font>
      <sz val="10"/>
      <name val="Times New Roman"/>
      <family val="1"/>
    </font>
    <font>
      <b/>
      <sz val="13"/>
      <name val="Times New Roman"/>
      <family val="1"/>
    </font>
    <font>
      <sz val="11"/>
      <color indexed="8"/>
      <name val="Calibri"/>
      <family val="2"/>
    </font>
    <font>
      <sz val="11"/>
      <color theme="1"/>
      <name val="Calibri"/>
      <family val="2"/>
    </font>
    <font>
      <sz val="13"/>
      <color indexed="63"/>
      <name val="Times New Roman"/>
      <family val="1"/>
    </font>
    <font>
      <u/>
      <sz val="13"/>
      <name val="Times New Roman"/>
      <family val="1"/>
    </font>
    <font>
      <sz val="13"/>
      <name val="Times New Roman"/>
      <family val="1"/>
      <charset val="163"/>
    </font>
    <font>
      <b/>
      <i/>
      <sz val="13"/>
      <color indexed="63"/>
      <name val="Times New Roman"/>
      <family val="1"/>
    </font>
    <font>
      <b/>
      <sz val="13"/>
      <color indexed="63"/>
      <name val="Times New Roman"/>
      <family val="1"/>
    </font>
    <font>
      <i/>
      <sz val="13"/>
      <color indexed="63"/>
      <name val="Times New Roman"/>
      <family val="1"/>
      <charset val="163"/>
    </font>
    <font>
      <sz val="11"/>
      <color theme="1"/>
      <name val="Tahoma"/>
      <family val="2"/>
      <scheme val="minor"/>
    </font>
    <font>
      <b/>
      <i/>
      <sz val="13"/>
      <name val="Times New Roman"/>
      <family val="1"/>
    </font>
    <font>
      <sz val="11"/>
      <color indexed="63"/>
      <name val="Calibri"/>
      <family val="2"/>
    </font>
    <font>
      <b/>
      <sz val="13"/>
      <color indexed="8"/>
      <name val="Times New Roman"/>
      <family val="1"/>
    </font>
    <font>
      <b/>
      <sz val="12"/>
      <name val="Times New Roman"/>
      <family val="1"/>
      <charset val="163"/>
    </font>
    <font>
      <i/>
      <sz val="12"/>
      <name val="Times New Roman"/>
      <family val="1"/>
      <charset val="163"/>
    </font>
    <font>
      <b/>
      <sz val="13"/>
      <name val="Times New Roman"/>
      <family val="1"/>
      <charset val="163"/>
    </font>
    <font>
      <sz val="12"/>
      <color theme="1"/>
      <name val="Times New Roman"/>
      <family val="2"/>
    </font>
    <font>
      <sz val="12"/>
      <name val="Times New Roman"/>
      <family val="2"/>
    </font>
    <font>
      <sz val="12"/>
      <name val="Times New Roman"/>
      <family val="1"/>
      <charset val="163"/>
    </font>
    <font>
      <b/>
      <u/>
      <sz val="12"/>
      <name val="Times New Roman"/>
      <family val="1"/>
      <charset val="163"/>
    </font>
    <font>
      <sz val="11"/>
      <name val="Tahoma"/>
      <family val="2"/>
      <scheme val="minor"/>
    </font>
    <font>
      <b/>
      <i/>
      <sz val="12"/>
      <name val="Times New Roman"/>
      <family val="1"/>
      <charset val="163"/>
    </font>
    <font>
      <sz val="10"/>
      <name val="VNI-Times"/>
    </font>
    <font>
      <i/>
      <sz val="13"/>
      <name val="Times New Roman"/>
      <family val="1"/>
      <charset val="163"/>
    </font>
    <font>
      <b/>
      <u/>
      <sz val="13"/>
      <name val="Times New Roman"/>
      <family val="1"/>
      <charset val="163"/>
    </font>
    <font>
      <sz val="11"/>
      <name val="VNI-Helve"/>
    </font>
    <font>
      <sz val="10"/>
      <name val="VNI-Helve-Condense"/>
    </font>
    <font>
      <sz val="12"/>
      <name val="VNI-Helve-Condense"/>
    </font>
    <font>
      <sz val="11"/>
      <color theme="1"/>
      <name val="Tahoma"/>
      <family val="2"/>
      <charset val="163"/>
      <scheme val="minor"/>
    </font>
    <font>
      <sz val="10"/>
      <color indexed="8"/>
      <name val="Times New Roman"/>
      <family val="2"/>
    </font>
    <font>
      <b/>
      <sz val="14"/>
      <name val=".VnTimeH"/>
      <family val="2"/>
    </font>
    <font>
      <sz val="9"/>
      <color theme="0"/>
      <name val="Times New Roman"/>
      <family val="1"/>
    </font>
    <font>
      <sz val="16"/>
      <name val="Times New Roman"/>
      <family val="1"/>
    </font>
    <font>
      <i/>
      <sz val="20"/>
      <color theme="1"/>
      <name val="Times New Roman"/>
      <family val="1"/>
    </font>
    <font>
      <b/>
      <sz val="16"/>
      <color rgb="FFFF0000"/>
      <name val="Times New Roman"/>
      <family val="1"/>
    </font>
    <font>
      <b/>
      <i/>
      <sz val="16"/>
      <name val="Times New Roman"/>
      <family val="1"/>
    </font>
    <font>
      <b/>
      <i/>
      <u/>
      <sz val="14"/>
      <name val="Times New Roman"/>
      <family val="1"/>
    </font>
    <font>
      <i/>
      <sz val="16"/>
      <color theme="1"/>
      <name val="Times New Roman"/>
      <family val="1"/>
    </font>
    <font>
      <sz val="14"/>
      <color theme="1"/>
      <name val="Tahoma"/>
      <family val="2"/>
      <charset val="1"/>
      <scheme val="minor"/>
    </font>
    <font>
      <sz val="10"/>
      <name val="Arial"/>
      <family val="2"/>
    </font>
    <font>
      <sz val="12"/>
      <name val="Arial"/>
      <family val="2"/>
    </font>
    <font>
      <b/>
      <sz val="12"/>
      <name val="Saysettha Lao"/>
      <family val="2"/>
    </font>
    <font>
      <sz val="12"/>
      <name val="Saysettha Lao"/>
      <family val="2"/>
    </font>
    <font>
      <b/>
      <u/>
      <sz val="12"/>
      <color rgb="FFFF0000"/>
      <name val="Times New Roman"/>
      <family val="1"/>
    </font>
    <font>
      <b/>
      <sz val="14"/>
      <color rgb="FF000000"/>
      <name val="Times New Roman"/>
      <family val="1"/>
    </font>
    <font>
      <sz val="14"/>
      <color rgb="FF000000"/>
      <name val="Times New Roman"/>
      <family val="1"/>
    </font>
    <font>
      <sz val="12"/>
      <color rgb="FFFF0000"/>
      <name val="Times New Roman"/>
      <family val="1"/>
      <charset val="163"/>
    </font>
    <font>
      <b/>
      <sz val="15"/>
      <color theme="1"/>
      <name val="Times New Roman"/>
      <family val="1"/>
    </font>
    <font>
      <sz val="14"/>
      <color rgb="FFFF0000"/>
      <name val="Times New Roman"/>
      <family val="1"/>
    </font>
    <font>
      <sz val="16"/>
      <color theme="0"/>
      <name val="Times New Roman"/>
      <family val="1"/>
    </font>
    <font>
      <b/>
      <i/>
      <sz val="16"/>
      <color theme="1"/>
      <name val="Times New Roman"/>
      <family val="1"/>
    </font>
    <font>
      <b/>
      <sz val="13"/>
      <color theme="0"/>
      <name val="Times New Roman"/>
      <family val="1"/>
    </font>
    <font>
      <sz val="18"/>
      <color theme="1"/>
      <name val="Calibri"/>
      <family val="2"/>
    </font>
    <font>
      <b/>
      <sz val="13"/>
      <color rgb="FF0000FF"/>
      <name val="Times New Roman"/>
      <family val="1"/>
    </font>
    <font>
      <sz val="18"/>
      <name val="Times New Roman"/>
      <family val="1"/>
    </font>
    <font>
      <b/>
      <sz val="11"/>
      <name val="Tahoma"/>
      <family val="2"/>
      <scheme val="minor"/>
    </font>
    <font>
      <b/>
      <sz val="12"/>
      <name val="Times New Roman"/>
      <family val="2"/>
    </font>
    <font>
      <b/>
      <sz val="14"/>
      <color rgb="FF0000FF"/>
      <name val="Times New Roman"/>
      <family val="1"/>
    </font>
    <font>
      <b/>
      <sz val="14"/>
      <color indexed="63"/>
      <name val="Times New Roman"/>
      <family val="1"/>
    </font>
    <font>
      <b/>
      <sz val="11"/>
      <color theme="1"/>
      <name val="Calibri"/>
      <family val="2"/>
    </font>
    <font>
      <u/>
      <sz val="14"/>
      <name val="Times New Roman"/>
      <family val="1"/>
    </font>
    <font>
      <sz val="14"/>
      <color indexed="8"/>
      <name val="Times New Roman"/>
      <family val="1"/>
    </font>
    <font>
      <b/>
      <i/>
      <sz val="14"/>
      <color indexed="63"/>
      <name val="Times New Roman"/>
      <family val="1"/>
    </font>
    <font>
      <i/>
      <sz val="14"/>
      <color indexed="63"/>
      <name val="Times New Roman"/>
      <family val="1"/>
    </font>
    <font>
      <b/>
      <sz val="14"/>
      <name val="Times New Roman"/>
      <family val="1"/>
      <charset val="163"/>
    </font>
    <font>
      <sz val="14"/>
      <name val="Times New Roman"/>
      <family val="1"/>
      <charset val="163"/>
    </font>
    <font>
      <b/>
      <sz val="14"/>
      <color indexed="8"/>
      <name val="Times New Roman"/>
      <family val="1"/>
    </font>
    <font>
      <b/>
      <sz val="14"/>
      <color rgb="FFFF0000"/>
      <name val="Times New Roman"/>
      <family val="1"/>
    </font>
    <font>
      <sz val="11"/>
      <color indexed="63"/>
      <name val="Calibri"/>
      <family val="2"/>
    </font>
    <font>
      <b/>
      <sz val="13"/>
      <name val="Times New Roman"/>
      <family val="1"/>
    </font>
    <font>
      <sz val="13"/>
      <name val="Times New Roman"/>
      <family val="1"/>
    </font>
    <font>
      <u/>
      <sz val="13"/>
      <name val="Times New Roman"/>
      <family val="1"/>
    </font>
    <font>
      <b/>
      <sz val="16"/>
      <name val="Times New Roman"/>
      <family val="1"/>
    </font>
    <font>
      <i/>
      <sz val="13"/>
      <name val="Times New Roman"/>
      <family val="1"/>
    </font>
    <font>
      <sz val="11"/>
      <color theme="1"/>
      <name val="Tahoma"/>
      <family val="2"/>
      <scheme val="minor"/>
    </font>
    <font>
      <sz val="12"/>
      <name val="Times New Roman"/>
      <family val="1"/>
    </font>
    <font>
      <sz val="13"/>
      <color rgb="FFFF0000"/>
      <name val="Times New Roman"/>
      <family val="1"/>
    </font>
    <font>
      <i/>
      <sz val="18"/>
      <color theme="1"/>
      <name val="Times New Roman"/>
      <family val="1"/>
    </font>
    <font>
      <sz val="9"/>
      <color rgb="FFFF0000"/>
      <name val="Times New Roman"/>
      <family val="1"/>
    </font>
    <font>
      <sz val="16"/>
      <color rgb="FFFF0000"/>
      <name val="Times New Roman"/>
      <family val="1"/>
    </font>
    <font>
      <b/>
      <sz val="14"/>
      <color theme="0"/>
      <name val="Times New Roman"/>
      <family val="1"/>
    </font>
  </fonts>
  <fills count="3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65"/>
        <bgColor indexed="64"/>
      </patternFill>
    </fill>
    <fill>
      <patternFill patternType="solid">
        <fgColor indexed="26"/>
        <bgColor indexed="64"/>
      </patternFill>
    </fill>
    <fill>
      <patternFill patternType="solid">
        <fgColor indexed="43"/>
        <bgColor indexed="64"/>
      </patternFill>
    </fill>
    <fill>
      <patternFill patternType="darkVertical"/>
    </fill>
    <fill>
      <patternFill patternType="gray125"/>
    </fill>
    <fill>
      <patternFill patternType="solid">
        <fgColor theme="3" tint="0.79998168889431442"/>
        <bgColor indexed="64"/>
      </patternFill>
    </fill>
  </fills>
  <borders count="46">
    <border>
      <left/>
      <right/>
      <top/>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top/>
      <bottom/>
      <diagonal/>
    </border>
    <border>
      <left style="thin">
        <color auto="1"/>
      </left>
      <right style="thin">
        <color auto="1"/>
      </right>
      <top style="dotted">
        <color auto="1"/>
      </top>
      <bottom style="dotted">
        <color auto="1"/>
      </bottom>
      <diagonal/>
    </border>
    <border>
      <left style="thin">
        <color auto="1"/>
      </left>
      <right style="thin">
        <color auto="1"/>
      </right>
      <top style="dotted">
        <color auto="1"/>
      </top>
      <bottom/>
      <diagonal/>
    </border>
    <border>
      <left style="dotted">
        <color auto="1"/>
      </left>
      <right style="dotted">
        <color auto="1"/>
      </right>
      <top style="dotted">
        <color auto="1"/>
      </top>
      <bottom style="dotted">
        <color auto="1"/>
      </bottom>
      <diagonal/>
    </border>
    <border>
      <left style="thin">
        <color auto="1"/>
      </left>
      <right style="thin">
        <color auto="1"/>
      </right>
      <top/>
      <bottom/>
      <diagonal/>
    </border>
    <border>
      <left/>
      <right/>
      <top style="thin">
        <color auto="1"/>
      </top>
      <bottom style="thin">
        <color auto="1"/>
      </bottom>
      <diagonal/>
    </border>
    <border>
      <left/>
      <right style="thin">
        <color auto="1"/>
      </right>
      <top/>
      <bottom/>
      <diagonal/>
    </border>
    <border>
      <left/>
      <right/>
      <top style="thin">
        <color auto="1"/>
      </top>
      <bottom/>
      <diagonal/>
    </border>
    <border>
      <left/>
      <right style="thin">
        <color auto="1"/>
      </right>
      <top style="dotted">
        <color auto="1"/>
      </top>
      <bottom style="dotted">
        <color auto="1"/>
      </bottom>
      <diagonal/>
    </border>
    <border>
      <left style="thin">
        <color auto="1"/>
      </left>
      <right style="thin">
        <color auto="1"/>
      </right>
      <top/>
      <bottom style="dotted">
        <color auto="1"/>
      </bottom>
      <diagonal/>
    </border>
    <border>
      <left style="thin">
        <color auto="1"/>
      </left>
      <right/>
      <top style="dotted">
        <color auto="1"/>
      </top>
      <bottom style="dotted">
        <color auto="1"/>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auto="1"/>
      </top>
      <bottom style="medium">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auto="1"/>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auto="1"/>
      </top>
      <bottom/>
      <diagonal/>
    </border>
    <border>
      <left/>
      <right/>
      <top style="thin">
        <color indexed="62"/>
      </top>
      <bottom style="double">
        <color indexed="62"/>
      </bottom>
      <diagonal/>
    </border>
    <border>
      <left style="medium">
        <color indexed="9"/>
      </left>
      <right style="medium">
        <color indexed="9"/>
      </right>
      <top style="medium">
        <color indexed="9"/>
      </top>
      <bottom style="medium">
        <color indexed="9"/>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top style="thin">
        <color rgb="FF000000"/>
      </top>
      <bottom style="thin">
        <color rgb="FF000000"/>
      </bottom>
      <diagonal/>
    </border>
    <border>
      <left/>
      <right/>
      <top style="dotted">
        <color indexed="64"/>
      </top>
      <bottom style="dotted">
        <color indexed="64"/>
      </bottom>
      <diagonal/>
    </border>
    <border>
      <left style="thin">
        <color indexed="64"/>
      </left>
      <right style="thin">
        <color indexed="64"/>
      </right>
      <top/>
      <bottom style="thin">
        <color rgb="FF000000"/>
      </bottom>
      <diagonal/>
    </border>
    <border>
      <left/>
      <right/>
      <top style="thin">
        <color indexed="64"/>
      </top>
      <bottom/>
      <diagonal/>
    </border>
  </borders>
  <cellStyleXfs count="720">
    <xf numFmtId="0" fontId="0" fillId="0" borderId="0"/>
    <xf numFmtId="43" fontId="52" fillId="0" borderId="0" applyFont="0" applyFill="0" applyBorder="0" applyAlignment="0" applyProtection="0"/>
    <xf numFmtId="9" fontId="51" fillId="0" borderId="0" applyFont="0" applyFill="0" applyBorder="0" applyAlignment="0" applyProtection="0"/>
    <xf numFmtId="0" fontId="54" fillId="0" borderId="0"/>
    <xf numFmtId="0" fontId="54" fillId="0" borderId="0"/>
    <xf numFmtId="0" fontId="26" fillId="0" borderId="0"/>
    <xf numFmtId="0" fontId="52" fillId="4" borderId="0" applyNumberFormat="0" applyBorder="0" applyAlignment="0" applyProtection="0"/>
    <xf numFmtId="0" fontId="55" fillId="4" borderId="0" applyNumberFormat="0" applyBorder="0" applyAlignment="0" applyProtection="0"/>
    <xf numFmtId="0" fontId="52" fillId="5" borderId="0" applyNumberFormat="0" applyBorder="0" applyAlignment="0" applyProtection="0"/>
    <xf numFmtId="0" fontId="55" fillId="5" borderId="0" applyNumberFormat="0" applyBorder="0" applyAlignment="0" applyProtection="0"/>
    <xf numFmtId="0" fontId="52" fillId="6" borderId="0" applyNumberFormat="0" applyBorder="0" applyAlignment="0" applyProtection="0"/>
    <xf numFmtId="0" fontId="55" fillId="6" borderId="0" applyNumberFormat="0" applyBorder="0" applyAlignment="0" applyProtection="0"/>
    <xf numFmtId="0" fontId="52" fillId="7" borderId="0" applyNumberFormat="0" applyBorder="0" applyAlignment="0" applyProtection="0"/>
    <xf numFmtId="0" fontId="55" fillId="7" borderId="0" applyNumberFormat="0" applyBorder="0" applyAlignment="0" applyProtection="0"/>
    <xf numFmtId="0" fontId="52" fillId="8" borderId="0" applyNumberFormat="0" applyBorder="0" applyAlignment="0" applyProtection="0"/>
    <xf numFmtId="0" fontId="55" fillId="8" borderId="0" applyNumberFormat="0" applyBorder="0" applyAlignment="0" applyProtection="0"/>
    <xf numFmtId="0" fontId="52" fillId="9" borderId="0" applyNumberFormat="0" applyBorder="0" applyAlignment="0" applyProtection="0"/>
    <xf numFmtId="0" fontId="55" fillId="9" borderId="0" applyNumberFormat="0" applyBorder="0" applyAlignment="0" applyProtection="0"/>
    <xf numFmtId="0" fontId="52" fillId="10" borderId="0" applyNumberFormat="0" applyBorder="0" applyAlignment="0" applyProtection="0"/>
    <xf numFmtId="0" fontId="55" fillId="10" borderId="0" applyNumberFormat="0" applyBorder="0" applyAlignment="0" applyProtection="0"/>
    <xf numFmtId="0" fontId="52" fillId="11" borderId="0" applyNumberFormat="0" applyBorder="0" applyAlignment="0" applyProtection="0"/>
    <xf numFmtId="0" fontId="55" fillId="11" borderId="0" applyNumberFormat="0" applyBorder="0" applyAlignment="0" applyProtection="0"/>
    <xf numFmtId="0" fontId="52" fillId="12" borderId="0" applyNumberFormat="0" applyBorder="0" applyAlignment="0" applyProtection="0"/>
    <xf numFmtId="0" fontId="55" fillId="12" borderId="0" applyNumberFormat="0" applyBorder="0" applyAlignment="0" applyProtection="0"/>
    <xf numFmtId="0" fontId="52" fillId="7" borderId="0" applyNumberFormat="0" applyBorder="0" applyAlignment="0" applyProtection="0"/>
    <xf numFmtId="0" fontId="55" fillId="7" borderId="0" applyNumberFormat="0" applyBorder="0" applyAlignment="0" applyProtection="0"/>
    <xf numFmtId="0" fontId="52" fillId="10" borderId="0" applyNumberFormat="0" applyBorder="0" applyAlignment="0" applyProtection="0"/>
    <xf numFmtId="0" fontId="55" fillId="10" borderId="0" applyNumberFormat="0" applyBorder="0" applyAlignment="0" applyProtection="0"/>
    <xf numFmtId="0" fontId="52" fillId="13" borderId="0" applyNumberFormat="0" applyBorder="0" applyAlignment="0" applyProtection="0"/>
    <xf numFmtId="0" fontId="55" fillId="13" borderId="0" applyNumberFormat="0" applyBorder="0" applyAlignment="0" applyProtection="0"/>
    <xf numFmtId="0" fontId="56" fillId="14" borderId="0" applyNumberFormat="0" applyBorder="0" applyAlignment="0" applyProtection="0"/>
    <xf numFmtId="0" fontId="57" fillId="14" borderId="0" applyNumberFormat="0" applyBorder="0" applyAlignment="0" applyProtection="0"/>
    <xf numFmtId="0" fontId="56" fillId="11" borderId="0" applyNumberFormat="0" applyBorder="0" applyAlignment="0" applyProtection="0"/>
    <xf numFmtId="0" fontId="57" fillId="11" borderId="0" applyNumberFormat="0" applyBorder="0" applyAlignment="0" applyProtection="0"/>
    <xf numFmtId="0" fontId="56" fillId="12" borderId="0" applyNumberFormat="0" applyBorder="0" applyAlignment="0" applyProtection="0"/>
    <xf numFmtId="0" fontId="57" fillId="12" borderId="0" applyNumberFormat="0" applyBorder="0" applyAlignment="0" applyProtection="0"/>
    <xf numFmtId="0" fontId="56" fillId="15" borderId="0" applyNumberFormat="0" applyBorder="0" applyAlignment="0" applyProtection="0"/>
    <xf numFmtId="0" fontId="57" fillId="15" borderId="0" applyNumberFormat="0" applyBorder="0" applyAlignment="0" applyProtection="0"/>
    <xf numFmtId="0" fontId="56" fillId="16" borderId="0" applyNumberFormat="0" applyBorder="0" applyAlignment="0" applyProtection="0"/>
    <xf numFmtId="0" fontId="57" fillId="16" borderId="0" applyNumberFormat="0" applyBorder="0" applyAlignment="0" applyProtection="0"/>
    <xf numFmtId="0" fontId="56" fillId="17" borderId="0" applyNumberFormat="0" applyBorder="0" applyAlignment="0" applyProtection="0"/>
    <xf numFmtId="0" fontId="57" fillId="17" borderId="0" applyNumberFormat="0" applyBorder="0" applyAlignment="0" applyProtection="0"/>
    <xf numFmtId="0" fontId="56" fillId="18" borderId="0" applyNumberFormat="0" applyBorder="0" applyAlignment="0" applyProtection="0"/>
    <xf numFmtId="0" fontId="57" fillId="18" borderId="0" applyNumberFormat="0" applyBorder="0" applyAlignment="0" applyProtection="0"/>
    <xf numFmtId="0" fontId="56" fillId="19" borderId="0" applyNumberFormat="0" applyBorder="0" applyAlignment="0" applyProtection="0"/>
    <xf numFmtId="0" fontId="57" fillId="19" borderId="0" applyNumberFormat="0" applyBorder="0" applyAlignment="0" applyProtection="0"/>
    <xf numFmtId="0" fontId="56" fillId="20" borderId="0" applyNumberFormat="0" applyBorder="0" applyAlignment="0" applyProtection="0"/>
    <xf numFmtId="0" fontId="57" fillId="20" borderId="0" applyNumberFormat="0" applyBorder="0" applyAlignment="0" applyProtection="0"/>
    <xf numFmtId="0" fontId="56" fillId="15" borderId="0" applyNumberFormat="0" applyBorder="0" applyAlignment="0" applyProtection="0"/>
    <xf numFmtId="0" fontId="57" fillId="15" borderId="0" applyNumberFormat="0" applyBorder="0" applyAlignment="0" applyProtection="0"/>
    <xf numFmtId="0" fontId="56" fillId="16" borderId="0" applyNumberFormat="0" applyBorder="0" applyAlignment="0" applyProtection="0"/>
    <xf numFmtId="0" fontId="57" fillId="16" borderId="0" applyNumberFormat="0" applyBorder="0" applyAlignment="0" applyProtection="0"/>
    <xf numFmtId="0" fontId="56" fillId="21" borderId="0" applyNumberFormat="0" applyBorder="0" applyAlignment="0" applyProtection="0"/>
    <xf numFmtId="0" fontId="57" fillId="21" borderId="0" applyNumberFormat="0" applyBorder="0" applyAlignment="0" applyProtection="0"/>
    <xf numFmtId="0" fontId="21" fillId="0" borderId="0">
      <alignment horizontal="center" wrapText="1"/>
      <protection locked="0"/>
    </xf>
    <xf numFmtId="190" fontId="54" fillId="0" borderId="0" applyFont="0" applyFill="0" applyBorder="0" applyAlignment="0" applyProtection="0"/>
    <xf numFmtId="0" fontId="58" fillId="0" borderId="0" applyFont="0" applyFill="0" applyBorder="0" applyAlignment="0" applyProtection="0"/>
    <xf numFmtId="190" fontId="54" fillId="0" borderId="0" applyFont="0" applyFill="0" applyBorder="0" applyAlignment="0" applyProtection="0"/>
    <xf numFmtId="191" fontId="54" fillId="0" borderId="0" applyFont="0" applyFill="0" applyBorder="0" applyAlignment="0" applyProtection="0"/>
    <xf numFmtId="0" fontId="58" fillId="0" borderId="0" applyFont="0" applyFill="0" applyBorder="0" applyAlignment="0" applyProtection="0"/>
    <xf numFmtId="191" fontId="54" fillId="0" borderId="0" applyFont="0" applyFill="0" applyBorder="0" applyAlignment="0" applyProtection="0"/>
    <xf numFmtId="0" fontId="59" fillId="5" borderId="0" applyNumberFormat="0" applyBorder="0" applyAlignment="0" applyProtection="0"/>
    <xf numFmtId="0" fontId="60" fillId="5" borderId="0" applyNumberFormat="0" applyBorder="0" applyAlignment="0" applyProtection="0"/>
    <xf numFmtId="0" fontId="61" fillId="0" borderId="0" applyNumberFormat="0" applyFill="0" applyBorder="0" applyAlignment="0" applyProtection="0"/>
    <xf numFmtId="0" fontId="58" fillId="0" borderId="0"/>
    <xf numFmtId="0" fontId="62" fillId="0" borderId="0"/>
    <xf numFmtId="0" fontId="58" fillId="0" borderId="0"/>
    <xf numFmtId="0" fontId="63" fillId="0" borderId="0"/>
    <xf numFmtId="192" fontId="64" fillId="0" borderId="0" applyFill="0" applyBorder="0" applyAlignment="0"/>
    <xf numFmtId="0" fontId="65" fillId="22" borderId="22" applyNumberFormat="0" applyAlignment="0" applyProtection="0"/>
    <xf numFmtId="0" fontId="65" fillId="22" borderId="22" applyNumberFormat="0" applyAlignment="0" applyProtection="0"/>
    <xf numFmtId="0" fontId="66" fillId="22" borderId="22" applyNumberFormat="0" applyAlignment="0" applyProtection="0"/>
    <xf numFmtId="0" fontId="67" fillId="23" borderId="23" applyNumberFormat="0" applyAlignment="0" applyProtection="0"/>
    <xf numFmtId="0" fontId="68" fillId="23" borderId="23" applyNumberFormat="0" applyAlignment="0" applyProtection="0"/>
    <xf numFmtId="193" fontId="69" fillId="0" borderId="0"/>
    <xf numFmtId="193" fontId="69" fillId="0" borderId="0"/>
    <xf numFmtId="193" fontId="69" fillId="0" borderId="0"/>
    <xf numFmtId="193" fontId="69" fillId="0" borderId="0"/>
    <xf numFmtId="193" fontId="69" fillId="0" borderId="0"/>
    <xf numFmtId="193" fontId="69" fillId="0" borderId="0"/>
    <xf numFmtId="193" fontId="69" fillId="0" borderId="0"/>
    <xf numFmtId="193" fontId="69" fillId="0" borderId="0"/>
    <xf numFmtId="194" fontId="70" fillId="0" borderId="0" applyFont="0" applyFill="0" applyBorder="0" applyAlignment="0" applyProtection="0"/>
    <xf numFmtId="195" fontId="54" fillId="0" borderId="0" applyFont="0" applyFill="0" applyBorder="0" applyAlignment="0" applyProtection="0"/>
    <xf numFmtId="195" fontId="70" fillId="0" borderId="0" applyFont="0" applyFill="0" applyBorder="0" applyAlignment="0" applyProtection="0"/>
    <xf numFmtId="195" fontId="70" fillId="0" borderId="0" applyFont="0" applyFill="0" applyBorder="0" applyAlignment="0" applyProtection="0"/>
    <xf numFmtId="195" fontId="70" fillId="0" borderId="0" applyFont="0" applyFill="0" applyBorder="0" applyAlignment="0" applyProtection="0"/>
    <xf numFmtId="195" fontId="70" fillId="0" borderId="0" applyFont="0" applyFill="0" applyBorder="0" applyAlignment="0" applyProtection="0"/>
    <xf numFmtId="195" fontId="70" fillId="0" borderId="0" applyFont="0" applyFill="0" applyBorder="0" applyAlignment="0" applyProtection="0"/>
    <xf numFmtId="188" fontId="11" fillId="0" borderId="0" applyFont="0" applyFill="0" applyBorder="0" applyAlignment="0" applyProtection="0"/>
    <xf numFmtId="43" fontId="15" fillId="0" borderId="0" applyFont="0" applyFill="0" applyBorder="0" applyAlignment="0" applyProtection="0"/>
    <xf numFmtId="188" fontId="15" fillId="0" borderId="0" applyFont="0" applyFill="0" applyBorder="0" applyAlignment="0" applyProtection="0"/>
    <xf numFmtId="41" fontId="51"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88" fontId="15" fillId="0" borderId="0" applyFont="0" applyFill="0" applyBorder="0" applyAlignment="0" applyProtection="0"/>
    <xf numFmtId="0" fontId="54" fillId="0" borderId="0" applyFont="0" applyFill="0" applyBorder="0" applyAlignment="0" applyProtection="0"/>
    <xf numFmtId="188" fontId="15" fillId="0" borderId="0" applyFont="0" applyFill="0" applyBorder="0" applyAlignment="0" applyProtection="0"/>
    <xf numFmtId="188" fontId="15" fillId="0" borderId="0" applyFont="0" applyFill="0" applyBorder="0" applyAlignment="0" applyProtection="0"/>
    <xf numFmtId="188" fontId="15" fillId="0" borderId="0" applyFont="0" applyFill="0" applyBorder="0" applyAlignment="0" applyProtection="0"/>
    <xf numFmtId="188" fontId="54"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96" fontId="53"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43" fontId="52" fillId="0" borderId="0" applyFont="0" applyFill="0" applyBorder="0" applyAlignment="0" applyProtection="0"/>
    <xf numFmtId="197" fontId="71" fillId="0" borderId="0" applyFont="0" applyFill="0" applyBorder="0" applyAlignment="0" applyProtection="0"/>
    <xf numFmtId="187" fontId="54" fillId="0" borderId="0" applyFont="0" applyFill="0" applyBorder="0" applyAlignment="0" applyProtection="0"/>
    <xf numFmtId="188" fontId="54" fillId="0" borderId="0" applyFont="0" applyFill="0" applyBorder="0" applyAlignment="0" applyProtection="0"/>
    <xf numFmtId="198" fontId="72" fillId="0" borderId="0" applyFont="0" applyFill="0" applyBorder="0" applyAlignment="0" applyProtection="0"/>
    <xf numFmtId="199" fontId="72" fillId="0" borderId="0" applyFont="0" applyFill="0" applyBorder="0" applyAlignment="0" applyProtection="0"/>
    <xf numFmtId="199" fontId="72" fillId="0" borderId="0" applyFont="0" applyFill="0" applyBorder="0" applyAlignment="0" applyProtection="0"/>
    <xf numFmtId="43" fontId="52" fillId="0" borderId="0" applyFont="0" applyFill="0" applyBorder="0" applyAlignment="0" applyProtection="0"/>
    <xf numFmtId="188" fontId="15" fillId="0" borderId="0" applyFont="0" applyFill="0" applyBorder="0" applyAlignment="0" applyProtection="0"/>
    <xf numFmtId="0" fontId="54" fillId="0" borderId="0" applyFont="0" applyFill="0" applyBorder="0" applyAlignment="0" applyProtection="0"/>
    <xf numFmtId="188" fontId="52" fillId="0" borderId="0" applyFont="0" applyFill="0" applyBorder="0" applyAlignment="0" applyProtection="0"/>
    <xf numFmtId="189" fontId="52" fillId="0" borderId="0" applyFont="0" applyFill="0" applyBorder="0" applyAlignment="0" applyProtection="0"/>
    <xf numFmtId="43" fontId="52" fillId="0" borderId="0" applyFont="0" applyFill="0" applyBorder="0" applyAlignment="0" applyProtection="0"/>
    <xf numFmtId="43" fontId="11" fillId="0" borderId="0" applyFont="0" applyFill="0" applyBorder="0" applyAlignment="0" applyProtection="0"/>
    <xf numFmtId="0" fontId="54" fillId="0" borderId="0" applyFont="0" applyFill="0" applyBorder="0" applyAlignment="0" applyProtection="0"/>
    <xf numFmtId="188" fontId="54" fillId="0" borderId="0" applyFont="0" applyFill="0" applyBorder="0" applyAlignment="0" applyProtection="0"/>
    <xf numFmtId="188" fontId="11" fillId="0" borderId="0" applyFont="0" applyFill="0" applyBorder="0" applyAlignment="0" applyProtection="0"/>
    <xf numFmtId="188" fontId="53" fillId="0" borderId="0" applyFont="0" applyFill="0" applyBorder="0" applyAlignment="0" applyProtection="0"/>
    <xf numFmtId="188" fontId="53" fillId="0" borderId="0" applyFont="0" applyFill="0" applyBorder="0" applyAlignment="0" applyProtection="0"/>
    <xf numFmtId="188" fontId="54" fillId="0" borderId="0" applyFont="0" applyFill="0" applyBorder="0" applyAlignment="0" applyProtection="0"/>
    <xf numFmtId="188" fontId="52" fillId="0" borderId="0" applyFont="0" applyFill="0" applyBorder="0" applyAlignment="0" applyProtection="0"/>
    <xf numFmtId="195" fontId="54" fillId="0" borderId="0" applyFont="0" applyFill="0" applyBorder="0" applyAlignment="0" applyProtection="0"/>
    <xf numFmtId="195" fontId="70" fillId="0" borderId="0" applyFont="0" applyFill="0" applyBorder="0" applyAlignment="0" applyProtection="0"/>
    <xf numFmtId="200" fontId="73" fillId="0" borderId="0" applyFont="0" applyFill="0" applyBorder="0" applyAlignment="0" applyProtection="0"/>
    <xf numFmtId="188" fontId="52" fillId="0" borderId="0" applyFont="0" applyFill="0" applyBorder="0" applyAlignment="0" applyProtection="0"/>
    <xf numFmtId="3" fontId="54" fillId="0" borderId="0" applyFont="0" applyFill="0" applyBorder="0" applyAlignment="0" applyProtection="0"/>
    <xf numFmtId="0" fontId="74" fillId="0" borderId="0" applyNumberFormat="0" applyAlignment="0">
      <alignment horizontal="left"/>
    </xf>
    <xf numFmtId="189" fontId="54" fillId="0" borderId="0" applyFont="0" applyFill="0" applyBorder="0" applyAlignment="0" applyProtection="0"/>
    <xf numFmtId="44" fontId="52" fillId="0" borderId="0" applyFont="0" applyFill="0" applyBorder="0" applyAlignment="0" applyProtection="0"/>
    <xf numFmtId="201" fontId="54" fillId="0" borderId="0" applyFont="0" applyFill="0" applyBorder="0" applyAlignment="0" applyProtection="0"/>
    <xf numFmtId="189" fontId="75" fillId="0" borderId="0" applyFont="0" applyFill="0" applyBorder="0" applyAlignment="0" applyProtection="0"/>
    <xf numFmtId="201" fontId="54" fillId="0" borderId="0" applyFont="0" applyFill="0" applyBorder="0" applyAlignment="0" applyProtection="0"/>
    <xf numFmtId="189" fontId="53" fillId="0" borderId="0" applyFont="0" applyFill="0" applyBorder="0" applyAlignment="0" applyProtection="0"/>
    <xf numFmtId="201" fontId="54" fillId="0" borderId="0" applyFont="0" applyFill="0" applyBorder="0" applyAlignment="0" applyProtection="0"/>
    <xf numFmtId="189" fontId="6" fillId="0" borderId="0" applyFont="0" applyFill="0" applyBorder="0" applyAlignment="0" applyProtection="0"/>
    <xf numFmtId="189" fontId="53" fillId="0" borderId="0" applyFont="0" applyFill="0" applyBorder="0" applyAlignment="0" applyProtection="0"/>
    <xf numFmtId="189" fontId="53" fillId="0" borderId="0" applyFont="0" applyFill="0" applyBorder="0" applyAlignment="0" applyProtection="0"/>
    <xf numFmtId="189" fontId="53" fillId="0" borderId="0" applyFont="0" applyFill="0" applyBorder="0" applyAlignment="0" applyProtection="0"/>
    <xf numFmtId="189" fontId="53" fillId="0" borderId="0" applyFont="0" applyFill="0" applyBorder="0" applyAlignment="0" applyProtection="0"/>
    <xf numFmtId="189" fontId="76" fillId="0" borderId="0" applyFont="0" applyFill="0" applyBorder="0" applyAlignment="0" applyProtection="0"/>
    <xf numFmtId="202" fontId="54" fillId="0" borderId="0" applyFont="0" applyFill="0" applyBorder="0" applyAlignment="0" applyProtection="0"/>
    <xf numFmtId="0" fontId="54" fillId="0" borderId="0" applyFont="0" applyFill="0" applyBorder="0" applyAlignment="0" applyProtection="0"/>
    <xf numFmtId="203" fontId="64" fillId="0" borderId="0" applyFont="0" applyFill="0" applyBorder="0" applyAlignment="0" applyProtection="0"/>
    <xf numFmtId="204" fontId="64" fillId="0" borderId="0" applyFont="0" applyFill="0" applyBorder="0" applyAlignment="0" applyProtection="0"/>
    <xf numFmtId="0" fontId="77" fillId="0" borderId="0" applyNumberFormat="0" applyAlignment="0">
      <alignment horizontal="left"/>
    </xf>
    <xf numFmtId="0" fontId="78" fillId="0" borderId="0" applyNumberFormat="0" applyFill="0" applyBorder="0" applyAlignment="0" applyProtection="0"/>
    <xf numFmtId="0" fontId="79" fillId="0" borderId="0" applyNumberFormat="0" applyFill="0" applyBorder="0" applyAlignment="0" applyProtection="0"/>
    <xf numFmtId="2" fontId="54" fillId="0" borderId="0" applyFont="0" applyFill="0" applyBorder="0" applyAlignment="0" applyProtection="0"/>
    <xf numFmtId="0" fontId="80" fillId="6" borderId="0" applyNumberFormat="0" applyBorder="0" applyAlignment="0" applyProtection="0"/>
    <xf numFmtId="0" fontId="81" fillId="6" borderId="0" applyNumberFormat="0" applyBorder="0" applyAlignment="0" applyProtection="0"/>
    <xf numFmtId="38" fontId="82" fillId="22" borderId="0" applyNumberFormat="0" applyBorder="0" applyAlignment="0" applyProtection="0"/>
    <xf numFmtId="0" fontId="83" fillId="24" borderId="0"/>
    <xf numFmtId="0" fontId="84" fillId="0" borderId="24" applyNumberFormat="0" applyAlignment="0" applyProtection="0">
      <alignment horizontal="left" vertical="center"/>
    </xf>
    <xf numFmtId="0" fontId="84" fillId="0" borderId="16">
      <alignment horizontal="left" vertical="center"/>
    </xf>
    <xf numFmtId="0" fontId="85" fillId="0" borderId="25" applyNumberFormat="0" applyFill="0" applyAlignment="0" applyProtection="0"/>
    <xf numFmtId="0" fontId="86" fillId="0" borderId="25" applyNumberFormat="0" applyFill="0" applyAlignment="0" applyProtection="0"/>
    <xf numFmtId="0" fontId="87" fillId="0" borderId="26" applyNumberFormat="0" applyFill="0" applyAlignment="0" applyProtection="0"/>
    <xf numFmtId="0" fontId="88" fillId="0" borderId="26" applyNumberFormat="0" applyFill="0" applyAlignment="0" applyProtection="0"/>
    <xf numFmtId="0" fontId="89" fillId="0" borderId="27" applyNumberFormat="0" applyFill="0" applyAlignment="0" applyProtection="0"/>
    <xf numFmtId="0" fontId="90" fillId="0" borderId="27" applyNumberFormat="0" applyFill="0" applyAlignment="0" applyProtection="0"/>
    <xf numFmtId="0" fontId="89" fillId="0" borderId="0" applyNumberFormat="0" applyFill="0" applyBorder="0" applyAlignment="0" applyProtection="0"/>
    <xf numFmtId="0" fontId="90" fillId="0" borderId="0" applyNumberFormat="0" applyFill="0" applyBorder="0" applyAlignment="0" applyProtection="0"/>
    <xf numFmtId="0" fontId="91" fillId="0" borderId="28">
      <alignment horizontal="center"/>
    </xf>
    <xf numFmtId="0" fontId="91" fillId="0" borderId="0">
      <alignment horizontal="center"/>
    </xf>
    <xf numFmtId="0" fontId="92" fillId="0" borderId="0" applyNumberFormat="0" applyFill="0" applyBorder="0" applyAlignment="0" applyProtection="0">
      <alignment vertical="top"/>
      <protection locked="0"/>
    </xf>
    <xf numFmtId="0" fontId="92" fillId="0" borderId="0" applyNumberFormat="0" applyFill="0" applyBorder="0" applyAlignment="0" applyProtection="0">
      <alignment vertical="top"/>
      <protection locked="0"/>
    </xf>
    <xf numFmtId="0" fontId="93" fillId="0" borderId="0" applyNumberFormat="0" applyFill="0" applyBorder="0" applyAlignment="0" applyProtection="0">
      <alignment vertical="top"/>
      <protection locked="0"/>
    </xf>
    <xf numFmtId="0" fontId="94" fillId="0" borderId="0" applyNumberFormat="0" applyFill="0" applyBorder="0" applyAlignment="0" applyProtection="0">
      <alignment vertical="top"/>
      <protection locked="0"/>
    </xf>
    <xf numFmtId="0" fontId="92" fillId="0" borderId="0" applyNumberFormat="0" applyFill="0" applyBorder="0" applyAlignment="0" applyProtection="0">
      <alignment vertical="top"/>
      <protection locked="0"/>
    </xf>
    <xf numFmtId="10" fontId="82" fillId="25" borderId="3" applyNumberFormat="0" applyBorder="0" applyAlignment="0" applyProtection="0"/>
    <xf numFmtId="0" fontId="95" fillId="9" borderId="22" applyNumberFormat="0" applyAlignment="0" applyProtection="0"/>
    <xf numFmtId="0" fontId="95" fillId="9" borderId="22" applyNumberFormat="0" applyAlignment="0" applyProtection="0"/>
    <xf numFmtId="0" fontId="96" fillId="9" borderId="22" applyNumberFormat="0" applyAlignment="0" applyProtection="0"/>
    <xf numFmtId="0" fontId="97" fillId="0" borderId="29" applyNumberFormat="0" applyFill="0" applyAlignment="0" applyProtection="0"/>
    <xf numFmtId="0" fontId="98" fillId="0" borderId="29" applyNumberFormat="0" applyFill="0" applyAlignment="0" applyProtection="0"/>
    <xf numFmtId="205" fontId="54" fillId="0" borderId="0" applyFont="0" applyFill="0" applyBorder="0" applyAlignment="0" applyProtection="0"/>
    <xf numFmtId="197" fontId="54" fillId="0" borderId="0" applyFont="0" applyFill="0" applyBorder="0" applyAlignment="0" applyProtection="0"/>
    <xf numFmtId="206" fontId="54" fillId="0" borderId="0" applyFont="0" applyFill="0" applyBorder="0" applyAlignment="0" applyProtection="0"/>
    <xf numFmtId="207" fontId="54" fillId="0" borderId="0" applyFont="0" applyFill="0" applyBorder="0" applyAlignment="0" applyProtection="0"/>
    <xf numFmtId="0" fontId="99" fillId="26" borderId="0" applyNumberFormat="0" applyBorder="0" applyAlignment="0" applyProtection="0"/>
    <xf numFmtId="0" fontId="100" fillId="26" borderId="0" applyNumberFormat="0" applyBorder="0" applyAlignment="0" applyProtection="0"/>
    <xf numFmtId="208" fontId="101" fillId="0" borderId="0"/>
    <xf numFmtId="0" fontId="70" fillId="0" borderId="0"/>
    <xf numFmtId="0" fontId="53" fillId="0" borderId="0"/>
    <xf numFmtId="0" fontId="54" fillId="0" borderId="0">
      <alignment vertical="top"/>
    </xf>
    <xf numFmtId="0" fontId="53" fillId="0" borderId="0"/>
    <xf numFmtId="0" fontId="53" fillId="0" borderId="0"/>
    <xf numFmtId="0" fontId="54" fillId="0" borderId="0"/>
    <xf numFmtId="0" fontId="53" fillId="0" borderId="0"/>
    <xf numFmtId="0" fontId="53" fillId="0" borderId="0"/>
    <xf numFmtId="0" fontId="53" fillId="0" borderId="0"/>
    <xf numFmtId="0" fontId="54" fillId="0" borderId="0"/>
    <xf numFmtId="0" fontId="53" fillId="0" borderId="0"/>
    <xf numFmtId="0" fontId="54" fillId="0" borderId="0"/>
    <xf numFmtId="0" fontId="53" fillId="0" borderId="0"/>
    <xf numFmtId="0" fontId="54" fillId="0" borderId="0">
      <alignment vertical="top"/>
    </xf>
    <xf numFmtId="0" fontId="54" fillId="0" borderId="0">
      <alignment vertical="top"/>
    </xf>
    <xf numFmtId="0" fontId="53" fillId="0" borderId="0"/>
    <xf numFmtId="0" fontId="54" fillId="0" borderId="0"/>
    <xf numFmtId="0" fontId="102" fillId="0" borderId="0"/>
    <xf numFmtId="0" fontId="52" fillId="0" borderId="0"/>
    <xf numFmtId="0" fontId="52" fillId="0" borderId="0"/>
    <xf numFmtId="0" fontId="11"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3"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3"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53" fillId="0" borderId="0"/>
    <xf numFmtId="0" fontId="52" fillId="0" borderId="0"/>
    <xf numFmtId="0" fontId="52" fillId="0" borderId="0"/>
    <xf numFmtId="0" fontId="52" fillId="0" borderId="0"/>
    <xf numFmtId="0" fontId="52" fillId="0" borderId="0"/>
    <xf numFmtId="0" fontId="52" fillId="0" borderId="0"/>
    <xf numFmtId="0" fontId="52" fillId="0" borderId="0"/>
    <xf numFmtId="0" fontId="52" fillId="0" borderId="0"/>
    <xf numFmtId="0" fontId="103" fillId="0" borderId="0"/>
    <xf numFmtId="0" fontId="54" fillId="0" borderId="0">
      <alignment vertical="top"/>
    </xf>
    <xf numFmtId="0" fontId="71" fillId="0" borderId="0"/>
    <xf numFmtId="0" fontId="51" fillId="0" borderId="0"/>
    <xf numFmtId="0" fontId="54" fillId="0" borderId="0"/>
    <xf numFmtId="0" fontId="53" fillId="0" borderId="0"/>
    <xf numFmtId="0" fontId="51" fillId="0" borderId="0"/>
    <xf numFmtId="0" fontId="103" fillId="0" borderId="0"/>
    <xf numFmtId="0" fontId="51" fillId="0" borderId="0"/>
    <xf numFmtId="0" fontId="103" fillId="0" borderId="0"/>
    <xf numFmtId="0" fontId="51" fillId="0" borderId="0"/>
    <xf numFmtId="0" fontId="103" fillId="0" borderId="0"/>
    <xf numFmtId="0" fontId="51" fillId="0" borderId="0"/>
    <xf numFmtId="0" fontId="103" fillId="0" borderId="0"/>
    <xf numFmtId="0" fontId="51" fillId="0" borderId="0"/>
    <xf numFmtId="0" fontId="103" fillId="0" borderId="0"/>
    <xf numFmtId="0" fontId="103" fillId="0" borderId="0"/>
    <xf numFmtId="0" fontId="103" fillId="0" borderId="0"/>
    <xf numFmtId="0" fontId="51" fillId="0" borderId="0"/>
    <xf numFmtId="0" fontId="103" fillId="0" borderId="0"/>
    <xf numFmtId="0" fontId="51" fillId="0" borderId="0"/>
    <xf numFmtId="0" fontId="51" fillId="0" borderId="0"/>
    <xf numFmtId="0" fontId="103" fillId="0" borderId="0"/>
    <xf numFmtId="0" fontId="103" fillId="0" borderId="0"/>
    <xf numFmtId="0" fontId="51" fillId="0" borderId="0"/>
    <xf numFmtId="0" fontId="103" fillId="0" borderId="0"/>
    <xf numFmtId="0" fontId="103" fillId="0" borderId="0"/>
    <xf numFmtId="0" fontId="103" fillId="0" borderId="0"/>
    <xf numFmtId="0" fontId="51" fillId="0" borderId="0"/>
    <xf numFmtId="0" fontId="103" fillId="0" borderId="0"/>
    <xf numFmtId="0" fontId="51" fillId="0" borderId="0"/>
    <xf numFmtId="0" fontId="103" fillId="0" borderId="0"/>
    <xf numFmtId="0" fontId="51" fillId="0" borderId="0"/>
    <xf numFmtId="0" fontId="51" fillId="0" borderId="0"/>
    <xf numFmtId="0" fontId="51" fillId="0" borderId="0"/>
    <xf numFmtId="0" fontId="103" fillId="0" borderId="0"/>
    <xf numFmtId="0" fontId="51" fillId="0" borderId="0"/>
    <xf numFmtId="0" fontId="103" fillId="0" borderId="0"/>
    <xf numFmtId="0" fontId="103" fillId="0" borderId="0"/>
    <xf numFmtId="0" fontId="51" fillId="0" borderId="0"/>
    <xf numFmtId="0" fontId="103" fillId="0" borderId="0"/>
    <xf numFmtId="0" fontId="51" fillId="0" borderId="0"/>
    <xf numFmtId="0" fontId="51" fillId="0" borderId="0"/>
    <xf numFmtId="0" fontId="51" fillId="0" borderId="0"/>
    <xf numFmtId="0" fontId="103" fillId="0" borderId="0"/>
    <xf numFmtId="0" fontId="51" fillId="0" borderId="0"/>
    <xf numFmtId="0" fontId="103" fillId="0" borderId="0"/>
    <xf numFmtId="0" fontId="51" fillId="0" borderId="0"/>
    <xf numFmtId="0" fontId="103" fillId="0" borderId="0"/>
    <xf numFmtId="0" fontId="103" fillId="0" borderId="0"/>
    <xf numFmtId="0" fontId="103" fillId="0" borderId="0"/>
    <xf numFmtId="0" fontId="51" fillId="0" borderId="0"/>
    <xf numFmtId="0" fontId="103" fillId="0" borderId="0"/>
    <xf numFmtId="0" fontId="51" fillId="0" borderId="0"/>
    <xf numFmtId="0" fontId="51" fillId="0" borderId="0"/>
    <xf numFmtId="0" fontId="103" fillId="0" borderId="0"/>
    <xf numFmtId="0" fontId="103" fillId="0" borderId="0"/>
    <xf numFmtId="0" fontId="51" fillId="0" borderId="0"/>
    <xf numFmtId="0" fontId="103" fillId="0" borderId="0"/>
    <xf numFmtId="0" fontId="103" fillId="0" borderId="0"/>
    <xf numFmtId="0" fontId="103" fillId="0" borderId="0"/>
    <xf numFmtId="0" fontId="51" fillId="0" borderId="0"/>
    <xf numFmtId="0" fontId="103" fillId="0" borderId="0"/>
    <xf numFmtId="0" fontId="51" fillId="0" borderId="0"/>
    <xf numFmtId="0" fontId="103" fillId="0" borderId="0"/>
    <xf numFmtId="0" fontId="51" fillId="0" borderId="0"/>
    <xf numFmtId="0" fontId="103" fillId="0" borderId="0"/>
    <xf numFmtId="0" fontId="103" fillId="0" borderId="0"/>
    <xf numFmtId="0" fontId="103" fillId="0" borderId="0"/>
    <xf numFmtId="0" fontId="51" fillId="0" borderId="0"/>
    <xf numFmtId="0" fontId="103" fillId="0" borderId="0"/>
    <xf numFmtId="0" fontId="51" fillId="0" borderId="0"/>
    <xf numFmtId="0" fontId="51" fillId="0" borderId="0"/>
    <xf numFmtId="0" fontId="103" fillId="0" borderId="0"/>
    <xf numFmtId="0" fontId="103" fillId="0" borderId="0"/>
    <xf numFmtId="0" fontId="51" fillId="0" borderId="0"/>
    <xf numFmtId="0" fontId="103" fillId="0" borderId="0"/>
    <xf numFmtId="0" fontId="103" fillId="0" borderId="0"/>
    <xf numFmtId="0" fontId="103" fillId="0" borderId="0"/>
    <xf numFmtId="0" fontId="51" fillId="0" borderId="0"/>
    <xf numFmtId="0" fontId="103" fillId="0" borderId="0"/>
    <xf numFmtId="0" fontId="51" fillId="0" borderId="0"/>
    <xf numFmtId="0" fontId="103" fillId="0" borderId="0"/>
    <xf numFmtId="0" fontId="51" fillId="0" borderId="0"/>
    <xf numFmtId="0" fontId="51" fillId="0" borderId="0"/>
    <xf numFmtId="0" fontId="51" fillId="0" borderId="0"/>
    <xf numFmtId="0" fontId="103" fillId="0" borderId="0"/>
    <xf numFmtId="0" fontId="51" fillId="0" borderId="0"/>
    <xf numFmtId="0" fontId="103" fillId="0" borderId="0"/>
    <xf numFmtId="0" fontId="103" fillId="0" borderId="0"/>
    <xf numFmtId="0" fontId="51" fillId="0" borderId="0"/>
    <xf numFmtId="0" fontId="103" fillId="0" borderId="0"/>
    <xf numFmtId="0" fontId="51" fillId="0" borderId="0"/>
    <xf numFmtId="0" fontId="51" fillId="0" borderId="0"/>
    <xf numFmtId="0" fontId="51" fillId="0" borderId="0"/>
    <xf numFmtId="0" fontId="103" fillId="0" borderId="0"/>
    <xf numFmtId="0" fontId="51" fillId="0" borderId="0"/>
    <xf numFmtId="0" fontId="103" fillId="0" borderId="0"/>
    <xf numFmtId="0" fontId="51" fillId="0" borderId="0"/>
    <xf numFmtId="0" fontId="103" fillId="0" borderId="0"/>
    <xf numFmtId="0" fontId="51" fillId="0" borderId="0"/>
    <xf numFmtId="0" fontId="103" fillId="0" borderId="0"/>
    <xf numFmtId="0" fontId="103" fillId="0" borderId="0"/>
    <xf numFmtId="0" fontId="103" fillId="0" borderId="0"/>
    <xf numFmtId="0" fontId="51" fillId="0" borderId="0"/>
    <xf numFmtId="0" fontId="103" fillId="0" borderId="0"/>
    <xf numFmtId="0" fontId="51" fillId="0" borderId="0"/>
    <xf numFmtId="0" fontId="51" fillId="0" borderId="0"/>
    <xf numFmtId="0" fontId="103" fillId="0" borderId="0"/>
    <xf numFmtId="0" fontId="103" fillId="0" borderId="0"/>
    <xf numFmtId="0" fontId="51" fillId="0" borderId="0"/>
    <xf numFmtId="0" fontId="103" fillId="0" borderId="0"/>
    <xf numFmtId="0" fontId="103" fillId="0" borderId="0"/>
    <xf numFmtId="0" fontId="103" fillId="0" borderId="0"/>
    <xf numFmtId="0" fontId="51" fillId="0" borderId="0"/>
    <xf numFmtId="0" fontId="103" fillId="0" borderId="0"/>
    <xf numFmtId="0" fontId="51" fillId="0" borderId="0"/>
    <xf numFmtId="0" fontId="103" fillId="0" borderId="0"/>
    <xf numFmtId="0" fontId="51" fillId="0" borderId="0"/>
    <xf numFmtId="0" fontId="51" fillId="0" borderId="0"/>
    <xf numFmtId="0" fontId="51" fillId="0" borderId="0"/>
    <xf numFmtId="0" fontId="103" fillId="0" borderId="0"/>
    <xf numFmtId="0" fontId="51" fillId="0" borderId="0"/>
    <xf numFmtId="0" fontId="103" fillId="0" borderId="0"/>
    <xf numFmtId="0" fontId="103" fillId="0" borderId="0"/>
    <xf numFmtId="0" fontId="51" fillId="0" borderId="0"/>
    <xf numFmtId="0" fontId="103" fillId="0" borderId="0"/>
    <xf numFmtId="0" fontId="51" fillId="0" borderId="0"/>
    <xf numFmtId="0" fontId="51" fillId="0" borderId="0"/>
    <xf numFmtId="0" fontId="51" fillId="0" borderId="0"/>
    <xf numFmtId="0" fontId="103" fillId="0" borderId="0"/>
    <xf numFmtId="0" fontId="51" fillId="0" borderId="0"/>
    <xf numFmtId="0" fontId="103" fillId="0" borderId="0"/>
    <xf numFmtId="0" fontId="51" fillId="0" borderId="0"/>
    <xf numFmtId="0" fontId="103" fillId="0" borderId="0"/>
    <xf numFmtId="0" fontId="103" fillId="0" borderId="0"/>
    <xf numFmtId="0" fontId="103" fillId="0" borderId="0"/>
    <xf numFmtId="0" fontId="51" fillId="0" borderId="0"/>
    <xf numFmtId="0" fontId="103" fillId="0" borderId="0"/>
    <xf numFmtId="0" fontId="51" fillId="0" borderId="0"/>
    <xf numFmtId="0" fontId="51" fillId="0" borderId="0"/>
    <xf numFmtId="0" fontId="103" fillId="0" borderId="0"/>
    <xf numFmtId="0" fontId="53" fillId="0" borderId="0"/>
    <xf numFmtId="0" fontId="103" fillId="0" borderId="0"/>
    <xf numFmtId="0" fontId="51" fillId="0" borderId="0"/>
    <xf numFmtId="0" fontId="103" fillId="0" borderId="0"/>
    <xf numFmtId="0" fontId="103" fillId="0" borderId="0"/>
    <xf numFmtId="0" fontId="103" fillId="0" borderId="0"/>
    <xf numFmtId="0" fontId="54" fillId="0" borderId="0"/>
    <xf numFmtId="0" fontId="15" fillId="0" borderId="0"/>
    <xf numFmtId="0" fontId="54" fillId="0" borderId="0"/>
    <xf numFmtId="0" fontId="51" fillId="0" borderId="0"/>
    <xf numFmtId="0" fontId="103" fillId="0" borderId="0"/>
    <xf numFmtId="0" fontId="51" fillId="0" borderId="0"/>
    <xf numFmtId="0" fontId="103" fillId="0" borderId="0"/>
    <xf numFmtId="0" fontId="51" fillId="0" borderId="0"/>
    <xf numFmtId="0" fontId="103" fillId="0" borderId="0"/>
    <xf numFmtId="0" fontId="51" fillId="0" borderId="0"/>
    <xf numFmtId="0" fontId="103" fillId="0" borderId="0"/>
    <xf numFmtId="0" fontId="103" fillId="0" borderId="0"/>
    <xf numFmtId="0" fontId="103" fillId="0" borderId="0"/>
    <xf numFmtId="0" fontId="51" fillId="0" borderId="0"/>
    <xf numFmtId="0" fontId="103" fillId="0" borderId="0"/>
    <xf numFmtId="0" fontId="51" fillId="0" borderId="0"/>
    <xf numFmtId="0" fontId="51" fillId="0" borderId="0"/>
    <xf numFmtId="0" fontId="103" fillId="0" borderId="0"/>
    <xf numFmtId="0" fontId="103" fillId="0" borderId="0"/>
    <xf numFmtId="0" fontId="51" fillId="0" borderId="0"/>
    <xf numFmtId="0" fontId="103" fillId="0" borderId="0"/>
    <xf numFmtId="0" fontId="103" fillId="0" borderId="0"/>
    <xf numFmtId="0" fontId="103" fillId="0" borderId="0"/>
    <xf numFmtId="0" fontId="51" fillId="0" borderId="0"/>
    <xf numFmtId="0" fontId="103" fillId="0" borderId="0"/>
    <xf numFmtId="0" fontId="51" fillId="0" borderId="0"/>
    <xf numFmtId="0" fontId="103" fillId="0" borderId="0"/>
    <xf numFmtId="0" fontId="51" fillId="0" borderId="0"/>
    <xf numFmtId="0" fontId="51" fillId="0" borderId="0"/>
    <xf numFmtId="0" fontId="51" fillId="0" borderId="0"/>
    <xf numFmtId="0" fontId="103" fillId="0" borderId="0"/>
    <xf numFmtId="0" fontId="51" fillId="0" borderId="0"/>
    <xf numFmtId="0" fontId="103" fillId="0" borderId="0"/>
    <xf numFmtId="0" fontId="103" fillId="0" borderId="0"/>
    <xf numFmtId="0" fontId="51" fillId="0" borderId="0"/>
    <xf numFmtId="0" fontId="103" fillId="0" borderId="0"/>
    <xf numFmtId="0" fontId="51" fillId="0" borderId="0"/>
    <xf numFmtId="0" fontId="51" fillId="0" borderId="0"/>
    <xf numFmtId="0" fontId="51" fillId="0" borderId="0"/>
    <xf numFmtId="0" fontId="103" fillId="0" borderId="0"/>
    <xf numFmtId="0" fontId="51" fillId="0" borderId="0"/>
    <xf numFmtId="0" fontId="103" fillId="0" borderId="0"/>
    <xf numFmtId="0" fontId="51" fillId="0" borderId="0"/>
    <xf numFmtId="0" fontId="103" fillId="0" borderId="0"/>
    <xf numFmtId="0" fontId="103" fillId="0" borderId="0"/>
    <xf numFmtId="0" fontId="103" fillId="0" borderId="0"/>
    <xf numFmtId="0" fontId="51" fillId="0" borderId="0"/>
    <xf numFmtId="0" fontId="103" fillId="0" borderId="0"/>
    <xf numFmtId="0" fontId="51" fillId="0" borderId="0"/>
    <xf numFmtId="0" fontId="51" fillId="0" borderId="0"/>
    <xf numFmtId="0" fontId="103" fillId="0" borderId="0"/>
    <xf numFmtId="0" fontId="103" fillId="0" borderId="0"/>
    <xf numFmtId="0" fontId="51" fillId="0" borderId="0"/>
    <xf numFmtId="0" fontId="103" fillId="0" borderId="0"/>
    <xf numFmtId="0" fontId="103" fillId="0" borderId="0"/>
    <xf numFmtId="0" fontId="103" fillId="0" borderId="0"/>
    <xf numFmtId="0" fontId="51" fillId="0" borderId="0"/>
    <xf numFmtId="0" fontId="103" fillId="0" borderId="0"/>
    <xf numFmtId="0" fontId="51" fillId="0" borderId="0"/>
    <xf numFmtId="0" fontId="103" fillId="0" borderId="0"/>
    <xf numFmtId="0" fontId="51" fillId="0" borderId="0"/>
    <xf numFmtId="0" fontId="103" fillId="0" borderId="0"/>
    <xf numFmtId="0" fontId="103" fillId="0" borderId="0"/>
    <xf numFmtId="0" fontId="103" fillId="0" borderId="0"/>
    <xf numFmtId="0" fontId="51" fillId="0" borderId="0"/>
    <xf numFmtId="0" fontId="103" fillId="0" borderId="0"/>
    <xf numFmtId="0" fontId="51" fillId="0" borderId="0"/>
    <xf numFmtId="0" fontId="51" fillId="0" borderId="0"/>
    <xf numFmtId="0" fontId="103" fillId="0" borderId="0"/>
    <xf numFmtId="0" fontId="103" fillId="0" borderId="0"/>
    <xf numFmtId="0" fontId="51" fillId="0" borderId="0"/>
    <xf numFmtId="0" fontId="103" fillId="0" borderId="0"/>
    <xf numFmtId="0" fontId="103" fillId="0" borderId="0"/>
    <xf numFmtId="0" fontId="103" fillId="0" borderId="0"/>
    <xf numFmtId="0" fontId="51" fillId="0" borderId="0"/>
    <xf numFmtId="0" fontId="103" fillId="0" borderId="0"/>
    <xf numFmtId="0" fontId="51" fillId="0" borderId="0"/>
    <xf numFmtId="0" fontId="103" fillId="0" borderId="0"/>
    <xf numFmtId="0" fontId="51" fillId="0" borderId="0"/>
    <xf numFmtId="0" fontId="51" fillId="0" borderId="0"/>
    <xf numFmtId="0" fontId="51" fillId="0" borderId="0"/>
    <xf numFmtId="0" fontId="103" fillId="0" borderId="0"/>
    <xf numFmtId="0" fontId="51" fillId="0" borderId="0"/>
    <xf numFmtId="0" fontId="103" fillId="0" borderId="0"/>
    <xf numFmtId="0" fontId="103" fillId="0" borderId="0"/>
    <xf numFmtId="0" fontId="51" fillId="0" borderId="0"/>
    <xf numFmtId="0" fontId="103" fillId="0" borderId="0"/>
    <xf numFmtId="0" fontId="51" fillId="0" borderId="0"/>
    <xf numFmtId="0" fontId="51" fillId="0" borderId="0"/>
    <xf numFmtId="0" fontId="51" fillId="0" borderId="0"/>
    <xf numFmtId="0" fontId="54" fillId="0" borderId="0">
      <alignment vertical="top"/>
    </xf>
    <xf numFmtId="0" fontId="53" fillId="0" borderId="0"/>
    <xf numFmtId="0" fontId="15" fillId="0" borderId="0"/>
    <xf numFmtId="0" fontId="54" fillId="0" borderId="0">
      <alignment vertical="top"/>
    </xf>
    <xf numFmtId="0" fontId="53" fillId="0" borderId="0"/>
    <xf numFmtId="0" fontId="51" fillId="0" borderId="0"/>
    <xf numFmtId="0" fontId="15" fillId="0" borderId="0"/>
    <xf numFmtId="0" fontId="15" fillId="0" borderId="0"/>
    <xf numFmtId="0" fontId="51" fillId="0" borderId="0"/>
    <xf numFmtId="0" fontId="51" fillId="0" borderId="0"/>
    <xf numFmtId="0" fontId="54" fillId="0" borderId="0">
      <alignment vertical="top"/>
    </xf>
    <xf numFmtId="0" fontId="33" fillId="0" borderId="0"/>
    <xf numFmtId="0" fontId="75" fillId="0" borderId="0"/>
    <xf numFmtId="0" fontId="53" fillId="0" borderId="0"/>
    <xf numFmtId="0" fontId="33" fillId="0" borderId="0"/>
    <xf numFmtId="0" fontId="6" fillId="0" borderId="0"/>
    <xf numFmtId="0" fontId="15" fillId="0" borderId="0"/>
    <xf numFmtId="0" fontId="53" fillId="0" borderId="0"/>
    <xf numFmtId="0" fontId="54" fillId="0" borderId="0">
      <alignment vertical="top"/>
    </xf>
    <xf numFmtId="0" fontId="53" fillId="0" borderId="0"/>
    <xf numFmtId="0" fontId="15" fillId="0" borderId="0"/>
    <xf numFmtId="0" fontId="54" fillId="0" borderId="0"/>
    <xf numFmtId="0" fontId="53" fillId="0" borderId="0"/>
    <xf numFmtId="0" fontId="53" fillId="0" borderId="0"/>
    <xf numFmtId="0" fontId="53" fillId="0" borderId="0"/>
    <xf numFmtId="0" fontId="54" fillId="0" borderId="0"/>
    <xf numFmtId="0" fontId="53" fillId="0" borderId="0"/>
    <xf numFmtId="0" fontId="53" fillId="0" borderId="0"/>
    <xf numFmtId="0" fontId="54" fillId="0" borderId="0"/>
    <xf numFmtId="0" fontId="104" fillId="0" borderId="0"/>
    <xf numFmtId="0" fontId="53" fillId="0" borderId="0"/>
    <xf numFmtId="0" fontId="54" fillId="0" borderId="0"/>
    <xf numFmtId="0" fontId="53" fillId="0" borderId="0"/>
    <xf numFmtId="0" fontId="15" fillId="0" borderId="0"/>
    <xf numFmtId="0" fontId="54" fillId="0" borderId="0">
      <alignment vertical="top"/>
    </xf>
    <xf numFmtId="0" fontId="54" fillId="0" borderId="0">
      <alignment vertical="top"/>
    </xf>
    <xf numFmtId="0" fontId="53" fillId="0" borderId="0"/>
    <xf numFmtId="0" fontId="53" fillId="0" borderId="0"/>
    <xf numFmtId="0" fontId="53" fillId="0" borderId="0"/>
    <xf numFmtId="0" fontId="51" fillId="0" borderId="0"/>
    <xf numFmtId="0" fontId="51" fillId="0" borderId="0"/>
    <xf numFmtId="0" fontId="53" fillId="0" borderId="0"/>
    <xf numFmtId="0" fontId="53" fillId="0" borderId="0"/>
    <xf numFmtId="0" fontId="55" fillId="0" borderId="0"/>
    <xf numFmtId="0" fontId="6" fillId="0" borderId="0"/>
    <xf numFmtId="0" fontId="54" fillId="0" borderId="0">
      <alignment vertical="top"/>
    </xf>
    <xf numFmtId="0" fontId="51" fillId="0" borderId="0"/>
    <xf numFmtId="0" fontId="53" fillId="0" borderId="0"/>
    <xf numFmtId="0" fontId="51" fillId="0" borderId="0"/>
    <xf numFmtId="0" fontId="51" fillId="0" borderId="0"/>
    <xf numFmtId="0" fontId="51" fillId="0" borderId="0"/>
    <xf numFmtId="0" fontId="51" fillId="0" borderId="0"/>
    <xf numFmtId="0" fontId="51" fillId="0" borderId="0"/>
    <xf numFmtId="0" fontId="52" fillId="0" borderId="0"/>
    <xf numFmtId="0" fontId="51" fillId="0" borderId="0"/>
    <xf numFmtId="0" fontId="15" fillId="0" borderId="0"/>
    <xf numFmtId="0" fontId="3" fillId="0" borderId="0"/>
    <xf numFmtId="0" fontId="51" fillId="0" borderId="0"/>
    <xf numFmtId="0" fontId="51" fillId="0" borderId="0"/>
    <xf numFmtId="0" fontId="51" fillId="0" borderId="0"/>
    <xf numFmtId="0" fontId="51" fillId="0" borderId="0"/>
    <xf numFmtId="0" fontId="53" fillId="0" borderId="0"/>
    <xf numFmtId="0" fontId="51" fillId="0" borderId="0"/>
    <xf numFmtId="0" fontId="51" fillId="0" borderId="0"/>
    <xf numFmtId="0" fontId="51" fillId="0" borderId="0"/>
    <xf numFmtId="0" fontId="15" fillId="0" borderId="0"/>
    <xf numFmtId="0" fontId="54" fillId="0" borderId="0">
      <alignment vertical="top"/>
    </xf>
    <xf numFmtId="0" fontId="51" fillId="0" borderId="0"/>
    <xf numFmtId="0" fontId="53" fillId="0" borderId="0"/>
    <xf numFmtId="0" fontId="53" fillId="0" borderId="0"/>
    <xf numFmtId="0" fontId="15" fillId="0" borderId="0"/>
    <xf numFmtId="0" fontId="75" fillId="0" borderId="0"/>
    <xf numFmtId="0" fontId="54" fillId="0" borderId="0"/>
    <xf numFmtId="0" fontId="105" fillId="0" borderId="0"/>
    <xf numFmtId="0" fontId="52" fillId="25" borderId="30" applyNumberFormat="0" applyFont="0" applyAlignment="0" applyProtection="0"/>
    <xf numFmtId="0" fontId="52" fillId="25" borderId="30" applyNumberFormat="0" applyFont="0" applyAlignment="0" applyProtection="0"/>
    <xf numFmtId="0" fontId="105" fillId="25" borderId="30" applyNumberFormat="0" applyFont="0" applyAlignment="0" applyProtection="0"/>
    <xf numFmtId="0" fontId="70" fillId="25" borderId="30" applyNumberFormat="0" applyFont="0" applyAlignment="0" applyProtection="0"/>
    <xf numFmtId="0" fontId="106" fillId="22" borderId="31" applyNumberFormat="0" applyAlignment="0" applyProtection="0"/>
    <xf numFmtId="0" fontId="106" fillId="22" borderId="31" applyNumberFormat="0" applyAlignment="0" applyProtection="0"/>
    <xf numFmtId="0" fontId="107" fillId="22" borderId="31" applyNumberFormat="0" applyAlignment="0" applyProtection="0"/>
    <xf numFmtId="14" fontId="21" fillId="0" borderId="0">
      <alignment horizontal="center" wrapText="1"/>
      <protection locked="0"/>
    </xf>
    <xf numFmtId="10" fontId="54" fillId="0" borderId="0" applyFont="0" applyFill="0" applyBorder="0" applyAlignment="0" applyProtection="0"/>
    <xf numFmtId="9" fontId="71" fillId="0" borderId="0" applyFont="0" applyFill="0" applyBorder="0" applyAlignment="0" applyProtection="0"/>
    <xf numFmtId="9" fontId="53"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9" fontId="54" fillId="0" borderId="0" applyFont="0" applyFill="0" applyBorder="0" applyAlignment="0" applyProtection="0"/>
    <xf numFmtId="9" fontId="52" fillId="0" borderId="0" applyFont="0" applyFill="0" applyBorder="0" applyAlignment="0" applyProtection="0"/>
    <xf numFmtId="9" fontId="54" fillId="0" borderId="0" applyFont="0" applyFill="0" applyBorder="0" applyAlignment="0" applyProtection="0"/>
    <xf numFmtId="9" fontId="53" fillId="0" borderId="0" applyFont="0" applyFill="0" applyBorder="0" applyAlignment="0" applyProtection="0"/>
    <xf numFmtId="9" fontId="76" fillId="0" borderId="0" applyFont="0" applyFill="0" applyBorder="0" applyAlignment="0" applyProtection="0"/>
    <xf numFmtId="9" fontId="52" fillId="0" borderId="0" applyFont="0" applyFill="0" applyBorder="0" applyAlignment="0" applyProtection="0"/>
    <xf numFmtId="9" fontId="15" fillId="0" borderId="0" applyFont="0" applyFill="0" applyBorder="0" applyAlignment="0" applyProtection="0"/>
    <xf numFmtId="9" fontId="52" fillId="0" borderId="0" applyFont="0" applyFill="0" applyBorder="0" applyAlignment="0" applyProtection="0"/>
    <xf numFmtId="9" fontId="70" fillId="0" borderId="0" applyFont="0" applyFill="0" applyBorder="0" applyAlignment="0" applyProtection="0"/>
    <xf numFmtId="9" fontId="53" fillId="0" borderId="0" applyFont="0" applyFill="0" applyBorder="0" applyAlignment="0" applyProtection="0"/>
    <xf numFmtId="9" fontId="53" fillId="0" borderId="0" applyFont="0" applyFill="0" applyBorder="0" applyAlignment="0" applyProtection="0"/>
    <xf numFmtId="9" fontId="64" fillId="0" borderId="32" applyNumberFormat="0" applyBorder="0"/>
    <xf numFmtId="0" fontId="108" fillId="27" borderId="0" applyNumberFormat="0" applyFont="0" applyBorder="0" applyAlignment="0">
      <alignment horizontal="center"/>
    </xf>
    <xf numFmtId="14" fontId="109" fillId="0" borderId="0" applyNumberFormat="0" applyFill="0" applyBorder="0" applyAlignment="0" applyProtection="0">
      <alignment horizontal="left"/>
    </xf>
    <xf numFmtId="187" fontId="54" fillId="0" borderId="0" applyFont="0" applyFill="0" applyBorder="0" applyAlignment="0" applyProtection="0"/>
    <xf numFmtId="187" fontId="54" fillId="0" borderId="0" applyFont="0" applyFill="0" applyBorder="0" applyAlignment="0" applyProtection="0"/>
    <xf numFmtId="0" fontId="54" fillId="0" borderId="0"/>
    <xf numFmtId="0" fontId="108" fillId="28" borderId="16" applyNumberFormat="0" applyFont="0" applyAlignment="0">
      <alignment horizontal="center"/>
    </xf>
    <xf numFmtId="0" fontId="110" fillId="0" borderId="0" applyNumberFormat="0" applyFill="0" applyBorder="0" applyAlignment="0">
      <alignment horizontal="center"/>
    </xf>
    <xf numFmtId="0" fontId="54" fillId="0" borderId="0"/>
    <xf numFmtId="0" fontId="76" fillId="0" borderId="0">
      <alignment vertical="top"/>
    </xf>
    <xf numFmtId="0" fontId="76" fillId="0" borderId="0">
      <alignment vertical="top"/>
    </xf>
    <xf numFmtId="40" fontId="111" fillId="0" borderId="0" applyBorder="0">
      <alignment horizontal="right"/>
    </xf>
    <xf numFmtId="0" fontId="112" fillId="0" borderId="0" applyNumberFormat="0" applyFill="0" applyBorder="0" applyAlignment="0" applyProtection="0"/>
    <xf numFmtId="0" fontId="113" fillId="0" borderId="0" applyNumberFormat="0" applyFill="0" applyBorder="0" applyAlignment="0" applyProtection="0"/>
    <xf numFmtId="0" fontId="114" fillId="0" borderId="33" applyNumberFormat="0" applyFill="0" applyAlignment="0" applyProtection="0"/>
    <xf numFmtId="0" fontId="114" fillId="0" borderId="33" applyNumberFormat="0" applyFill="0" applyAlignment="0" applyProtection="0"/>
    <xf numFmtId="0" fontId="115" fillId="0" borderId="33" applyNumberFormat="0" applyFill="0" applyAlignment="0" applyProtection="0"/>
    <xf numFmtId="0" fontId="116" fillId="0" borderId="34" applyNumberFormat="0" applyAlignment="0">
      <alignment horizontal="center"/>
    </xf>
    <xf numFmtId="0" fontId="117" fillId="0" borderId="0" applyNumberFormat="0" applyFill="0" applyBorder="0" applyAlignment="0" applyProtection="0"/>
    <xf numFmtId="0" fontId="118" fillId="0" borderId="0" applyNumberFormat="0" applyFill="0" applyBorder="0" applyAlignment="0" applyProtection="0"/>
    <xf numFmtId="40" fontId="119" fillId="0" borderId="0" applyFont="0" applyFill="0" applyBorder="0" applyAlignment="0" applyProtection="0"/>
    <xf numFmtId="38" fontId="119" fillId="0" borderId="0" applyFont="0" applyFill="0" applyBorder="0" applyAlignment="0" applyProtection="0"/>
    <xf numFmtId="0" fontId="119" fillId="0" borderId="0" applyFont="0" applyFill="0" applyBorder="0" applyAlignment="0" applyProtection="0"/>
    <xf numFmtId="0" fontId="119" fillId="0" borderId="0" applyFont="0" applyFill="0" applyBorder="0" applyAlignment="0" applyProtection="0"/>
    <xf numFmtId="9" fontId="120" fillId="0" borderId="0" applyFont="0" applyFill="0" applyBorder="0" applyAlignment="0" applyProtection="0"/>
    <xf numFmtId="0" fontId="121" fillId="0" borderId="0"/>
    <xf numFmtId="209" fontId="122" fillId="0" borderId="0" applyFont="0" applyFill="0" applyBorder="0" applyAlignment="0" applyProtection="0"/>
    <xf numFmtId="210" fontId="122" fillId="0" borderId="0" applyFont="0" applyFill="0" applyBorder="0" applyAlignment="0" applyProtection="0"/>
    <xf numFmtId="211" fontId="122" fillId="0" borderId="0" applyFont="0" applyFill="0" applyBorder="0" applyAlignment="0" applyProtection="0"/>
    <xf numFmtId="212" fontId="122" fillId="0" borderId="0" applyFont="0" applyFill="0" applyBorder="0" applyAlignment="0" applyProtection="0"/>
    <xf numFmtId="0" fontId="123" fillId="0" borderId="0"/>
    <xf numFmtId="0" fontId="124" fillId="0" borderId="0"/>
    <xf numFmtId="205" fontId="124" fillId="0" borderId="0" applyFont="0" applyFill="0" applyBorder="0" applyAlignment="0" applyProtection="0"/>
    <xf numFmtId="197" fontId="124" fillId="0" borderId="0" applyFont="0" applyFill="0" applyBorder="0" applyAlignment="0" applyProtection="0"/>
    <xf numFmtId="213" fontId="124" fillId="0" borderId="0" applyFont="0" applyFill="0" applyBorder="0" applyAlignment="0" applyProtection="0"/>
    <xf numFmtId="214" fontId="124" fillId="0" borderId="0" applyFont="0" applyFill="0" applyBorder="0" applyAlignment="0" applyProtection="0"/>
    <xf numFmtId="0" fontId="15" fillId="0" borderId="0"/>
    <xf numFmtId="0" fontId="128" fillId="0" borderId="0"/>
    <xf numFmtId="0" fontId="135" fillId="0" borderId="0"/>
    <xf numFmtId="43" fontId="129" fillId="0" borderId="0" applyFont="0" applyFill="0" applyBorder="0" applyAlignment="0" applyProtection="0"/>
    <xf numFmtId="9" fontId="128" fillId="0" borderId="0" applyFont="0" applyFill="0" applyBorder="0" applyAlignment="0" applyProtection="0"/>
    <xf numFmtId="188" fontId="128" fillId="0" borderId="0" applyFont="0" applyFill="0" applyBorder="0" applyAlignment="0" applyProtection="0"/>
    <xf numFmtId="0" fontId="136" fillId="0" borderId="0"/>
    <xf numFmtId="3" fontId="154" fillId="0" borderId="0" applyFont="0" applyFill="0" applyBorder="0" applyAlignment="0" applyProtection="0"/>
    <xf numFmtId="232" fontId="154" fillId="0" borderId="0" applyFont="0" applyFill="0" applyBorder="0" applyAlignment="0" applyProtection="0"/>
    <xf numFmtId="0" fontId="154" fillId="0" borderId="0" applyFont="0" applyFill="0" applyBorder="0" applyAlignment="0" applyProtection="0"/>
    <xf numFmtId="188" fontId="155" fillId="0" borderId="0" applyFont="0" applyFill="0" applyBorder="0" applyAlignment="0" applyProtection="0"/>
    <xf numFmtId="2" fontId="154" fillId="0" borderId="0" applyFont="0" applyFill="0" applyBorder="0" applyAlignment="0" applyProtection="0"/>
    <xf numFmtId="43" fontId="159" fillId="0" borderId="0" applyFont="0" applyFill="0" applyBorder="0" applyAlignment="0" applyProtection="0"/>
    <xf numFmtId="0" fontId="160" fillId="0" borderId="0"/>
    <xf numFmtId="188" fontId="154" fillId="0" borderId="0" applyFont="0" applyFill="0" applyBorder="0" applyAlignment="0" applyProtection="0"/>
    <xf numFmtId="43" fontId="159" fillId="0" borderId="0" applyFont="0" applyFill="0" applyBorder="0" applyAlignment="0" applyProtection="0"/>
    <xf numFmtId="43" fontId="167" fillId="0" borderId="0" applyFont="0" applyFill="0" applyBorder="0" applyAlignment="0" applyProtection="0"/>
    <xf numFmtId="0" fontId="160" fillId="0" borderId="0"/>
    <xf numFmtId="0" fontId="160" fillId="0" borderId="0"/>
    <xf numFmtId="0" fontId="169" fillId="0" borderId="0"/>
    <xf numFmtId="0" fontId="167" fillId="0" borderId="0"/>
    <xf numFmtId="0" fontId="155" fillId="0" borderId="0"/>
    <xf numFmtId="0" fontId="174" fillId="0" borderId="0"/>
    <xf numFmtId="0" fontId="159" fillId="0" borderId="0"/>
    <xf numFmtId="188" fontId="174" fillId="0" borderId="0" applyFont="0" applyFill="0" applyBorder="0" applyAlignment="0" applyProtection="0"/>
    <xf numFmtId="0" fontId="167" fillId="0" borderId="0"/>
    <xf numFmtId="0" fontId="180" fillId="0" borderId="0"/>
    <xf numFmtId="234" fontId="183" fillId="0" borderId="0"/>
    <xf numFmtId="195" fontId="154" fillId="0" borderId="0" applyFont="0" applyFill="0" applyBorder="0" applyAlignment="0" applyProtection="0"/>
    <xf numFmtId="195" fontId="154" fillId="0" borderId="0" applyFont="0" applyFill="0" applyBorder="0" applyAlignment="0" applyProtection="0"/>
    <xf numFmtId="195" fontId="180" fillId="0" borderId="0" applyFont="0" applyFill="0" applyBorder="0" applyAlignment="0" applyProtection="0"/>
    <xf numFmtId="195" fontId="180" fillId="0" borderId="0" applyFont="0" applyFill="0" applyBorder="0" applyAlignment="0" applyProtection="0"/>
    <xf numFmtId="195" fontId="180" fillId="0" borderId="0" applyFont="0" applyFill="0" applyBorder="0" applyAlignment="0" applyProtection="0"/>
    <xf numFmtId="195" fontId="180" fillId="0" borderId="0" applyFont="0" applyFill="0" applyBorder="0" applyAlignment="0" applyProtection="0"/>
    <xf numFmtId="195" fontId="180" fillId="0" borderId="0" applyFont="0" applyFill="0" applyBorder="0" applyAlignment="0" applyProtection="0"/>
    <xf numFmtId="195" fontId="180" fillId="0" borderId="0" applyFont="0" applyFill="0" applyBorder="0" applyAlignment="0" applyProtection="0"/>
    <xf numFmtId="195" fontId="180" fillId="0" borderId="0" applyFont="0" applyFill="0" applyBorder="0" applyAlignment="0" applyProtection="0"/>
    <xf numFmtId="195" fontId="180" fillId="0" borderId="0" applyFont="0" applyFill="0" applyBorder="0" applyAlignment="0" applyProtection="0"/>
    <xf numFmtId="195" fontId="180" fillId="0" borderId="0" applyFont="0" applyFill="0" applyBorder="0" applyAlignment="0" applyProtection="0"/>
    <xf numFmtId="195" fontId="180" fillId="0" borderId="0" applyFont="0" applyFill="0" applyBorder="0" applyAlignment="0" applyProtection="0"/>
    <xf numFmtId="200" fontId="180" fillId="0" borderId="0" applyFont="0" applyFill="0" applyBorder="0" applyAlignment="0" applyProtection="0"/>
    <xf numFmtId="200" fontId="184" fillId="0" borderId="0" applyFont="0" applyFill="0" applyBorder="0" applyAlignment="0" applyProtection="0"/>
    <xf numFmtId="200" fontId="184" fillId="0" borderId="0" applyFont="0" applyFill="0" applyBorder="0" applyAlignment="0" applyProtection="0"/>
    <xf numFmtId="200" fontId="184" fillId="0" borderId="0" applyFont="0" applyFill="0" applyBorder="0" applyAlignment="0" applyProtection="0"/>
    <xf numFmtId="200" fontId="185" fillId="0" borderId="0" applyFont="0" applyFill="0" applyBorder="0" applyAlignment="0" applyProtection="0"/>
    <xf numFmtId="200" fontId="185" fillId="0" borderId="0" applyFont="0" applyFill="0" applyBorder="0" applyAlignment="0" applyProtection="0"/>
    <xf numFmtId="200" fontId="157" fillId="0" borderId="0" applyFont="0" applyFill="0" applyBorder="0" applyAlignment="0" applyProtection="0"/>
    <xf numFmtId="200" fontId="157" fillId="0" borderId="0" applyFont="0" applyFill="0" applyBorder="0" applyAlignment="0" applyProtection="0"/>
    <xf numFmtId="235" fontId="180" fillId="0" borderId="0" applyFont="0" applyFill="0" applyBorder="0" applyAlignment="0" applyProtection="0"/>
    <xf numFmtId="221" fontId="180" fillId="0" borderId="0" applyFont="0" applyFill="0" applyBorder="0" applyAlignment="0" applyProtection="0"/>
    <xf numFmtId="221" fontId="180" fillId="0" borderId="0" applyFont="0" applyFill="0" applyBorder="0" applyAlignment="0" applyProtection="0"/>
    <xf numFmtId="43" fontId="186" fillId="0" borderId="0" applyFont="0" applyFill="0" applyBorder="0" applyAlignment="0" applyProtection="0"/>
    <xf numFmtId="195" fontId="180" fillId="0" borderId="0" applyFont="0" applyFill="0" applyBorder="0" applyAlignment="0" applyProtection="0"/>
    <xf numFmtId="195" fontId="180" fillId="0" borderId="0" applyFont="0" applyFill="0" applyBorder="0" applyAlignment="0" applyProtection="0"/>
    <xf numFmtId="236" fontId="129" fillId="0" borderId="0" applyFont="0" applyFill="0" applyBorder="0" applyAlignment="0" applyProtection="0"/>
    <xf numFmtId="236" fontId="129" fillId="0" borderId="0" applyFont="0" applyFill="0" applyBorder="0" applyAlignment="0" applyProtection="0"/>
    <xf numFmtId="188" fontId="129" fillId="0" borderId="0" applyFont="0" applyFill="0" applyBorder="0" applyAlignment="0" applyProtection="0"/>
    <xf numFmtId="200" fontId="154" fillId="0" borderId="0" applyFont="0" applyFill="0" applyBorder="0" applyAlignment="0" applyProtection="0"/>
    <xf numFmtId="200" fontId="154" fillId="0" borderId="0" applyFont="0" applyFill="0" applyBorder="0" applyAlignment="0" applyProtection="0"/>
    <xf numFmtId="200" fontId="154" fillId="0" borderId="0" applyFont="0" applyFill="0" applyBorder="0" applyAlignment="0" applyProtection="0"/>
    <xf numFmtId="200" fontId="154" fillId="0" borderId="0" applyFont="0" applyFill="0" applyBorder="0" applyAlignment="0" applyProtection="0"/>
    <xf numFmtId="200" fontId="154" fillId="0" borderId="0" applyFont="0" applyFill="0" applyBorder="0" applyAlignment="0" applyProtection="0"/>
    <xf numFmtId="200" fontId="154" fillId="0" borderId="0" applyFont="0" applyFill="0" applyBorder="0" applyAlignment="0" applyProtection="0"/>
    <xf numFmtId="195" fontId="180" fillId="0" borderId="0" applyFont="0" applyFill="0" applyBorder="0" applyAlignment="0" applyProtection="0"/>
    <xf numFmtId="195" fontId="180" fillId="0" borderId="0" applyFont="0" applyFill="0" applyBorder="0" applyAlignment="0" applyProtection="0"/>
    <xf numFmtId="195" fontId="180" fillId="0" borderId="0" applyFont="0" applyFill="0" applyBorder="0" applyAlignment="0" applyProtection="0"/>
    <xf numFmtId="195" fontId="180" fillId="0" borderId="0" applyFont="0" applyFill="0" applyBorder="0" applyAlignment="0" applyProtection="0"/>
    <xf numFmtId="195" fontId="180" fillId="0" borderId="0" applyFont="0" applyFill="0" applyBorder="0" applyAlignment="0" applyProtection="0"/>
    <xf numFmtId="195" fontId="154" fillId="0" borderId="0" applyFont="0" applyFill="0" applyBorder="0" applyAlignment="0" applyProtection="0"/>
    <xf numFmtId="195" fontId="154" fillId="0" borderId="0" applyFont="0" applyFill="0" applyBorder="0" applyAlignment="0" applyProtection="0"/>
    <xf numFmtId="195" fontId="180" fillId="0" borderId="0" applyFont="0" applyFill="0" applyBorder="0" applyAlignment="0" applyProtection="0"/>
    <xf numFmtId="195" fontId="180" fillId="0" borderId="0" applyFont="0" applyFill="0" applyBorder="0" applyAlignment="0" applyProtection="0"/>
    <xf numFmtId="200" fontId="187" fillId="0" borderId="0" applyFont="0" applyFill="0" applyBorder="0" applyAlignment="0" applyProtection="0"/>
    <xf numFmtId="200" fontId="187" fillId="0" borderId="0" applyFont="0" applyFill="0" applyBorder="0" applyAlignment="0" applyProtection="0"/>
    <xf numFmtId="200" fontId="187" fillId="0" borderId="0" applyFont="0" applyFill="0" applyBorder="0" applyAlignment="0" applyProtection="0"/>
    <xf numFmtId="200" fontId="187" fillId="0" borderId="0" applyFont="0" applyFill="0" applyBorder="0" applyAlignment="0" applyProtection="0"/>
    <xf numFmtId="195" fontId="180" fillId="0" borderId="0" applyFont="0" applyFill="0" applyBorder="0" applyAlignment="0" applyProtection="0"/>
    <xf numFmtId="195" fontId="180" fillId="0" borderId="0" applyFont="0" applyFill="0" applyBorder="0" applyAlignment="0" applyProtection="0"/>
    <xf numFmtId="49" fontId="188" fillId="0" borderId="35">
      <alignment vertical="center"/>
    </xf>
    <xf numFmtId="0" fontId="180" fillId="0" borderId="0"/>
    <xf numFmtId="0" fontId="184" fillId="0" borderId="0"/>
    <xf numFmtId="0" fontId="52" fillId="0" borderId="0"/>
    <xf numFmtId="43" fontId="53" fillId="0" borderId="0" applyFont="0" applyFill="0" applyBorder="0" applyAlignment="0" applyProtection="0"/>
    <xf numFmtId="43" fontId="53" fillId="0" borderId="0" applyFont="0" applyFill="0" applyBorder="0" applyAlignment="0" applyProtection="0"/>
    <xf numFmtId="0" fontId="197" fillId="0" borderId="0"/>
    <xf numFmtId="188" fontId="54" fillId="0" borderId="0" applyFont="0" applyFill="0" applyBorder="0" applyAlignment="0" applyProtection="0"/>
    <xf numFmtId="188" fontId="15" fillId="0" borderId="0" applyFont="0" applyFill="0" applyBorder="0" applyAlignment="0" applyProtection="0"/>
    <xf numFmtId="0" fontId="15" fillId="0" borderId="0"/>
    <xf numFmtId="0" fontId="51" fillId="0" borderId="0"/>
    <xf numFmtId="43" fontId="53" fillId="0" borderId="0" applyFont="0" applyFill="0" applyBorder="0" applyAlignment="0" applyProtection="0"/>
    <xf numFmtId="205" fontId="136" fillId="0" borderId="0" applyFont="0" applyFill="0" applyBorder="0" applyAlignment="0" applyProtection="0"/>
    <xf numFmtId="43" fontId="52" fillId="0" borderId="0" applyFont="0" applyFill="0" applyBorder="0" applyAlignment="0" applyProtection="0"/>
    <xf numFmtId="199" fontId="135" fillId="0" borderId="0" applyFont="0" applyFill="0" applyBorder="0" applyAlignment="0" applyProtection="0"/>
    <xf numFmtId="188" fontId="53" fillId="0" borderId="0" applyFont="0" applyFill="0" applyBorder="0" applyAlignment="0" applyProtection="0"/>
    <xf numFmtId="0" fontId="53" fillId="0" borderId="0"/>
    <xf numFmtId="43" fontId="15" fillId="0" borderId="0" applyFont="0" applyFill="0" applyBorder="0" applyAlignment="0" applyProtection="0"/>
    <xf numFmtId="0" fontId="226" fillId="0" borderId="0"/>
    <xf numFmtId="9" fontId="232" fillId="0" borderId="0" applyFont="0" applyFill="0" applyBorder="0" applyAlignment="0" applyProtection="0">
      <alignment vertical="center"/>
    </xf>
    <xf numFmtId="43" fontId="233" fillId="0" borderId="0" applyFont="0" applyFill="0" applyBorder="0" applyAlignment="0" applyProtection="0"/>
  </cellStyleXfs>
  <cellXfs count="1646">
    <xf numFmtId="0" fontId="0" fillId="0" borderId="0" xfId="0"/>
    <xf numFmtId="0" fontId="3" fillId="0" borderId="0" xfId="0" applyFont="1"/>
    <xf numFmtId="0" fontId="4" fillId="0" borderId="0" xfId="0" applyFont="1"/>
    <xf numFmtId="0" fontId="10" fillId="2" borderId="0" xfId="0" applyFont="1" applyFill="1" applyAlignment="1">
      <alignment vertical="center"/>
    </xf>
    <xf numFmtId="0" fontId="11" fillId="2" borderId="0" xfId="0" applyFont="1" applyFill="1" applyAlignment="1">
      <alignment vertical="center"/>
    </xf>
    <xf numFmtId="0" fontId="15" fillId="2" borderId="0" xfId="0" applyFont="1" applyFill="1" applyAlignment="1">
      <alignment vertical="center"/>
    </xf>
    <xf numFmtId="0" fontId="11" fillId="2" borderId="0" xfId="0" applyFont="1" applyFill="1" applyAlignment="1">
      <alignment horizontal="center" vertical="center"/>
    </xf>
    <xf numFmtId="0" fontId="9" fillId="0" borderId="0" xfId="0" applyFont="1"/>
    <xf numFmtId="0" fontId="11" fillId="0" borderId="0" xfId="0" applyFont="1"/>
    <xf numFmtId="0" fontId="15" fillId="0" borderId="0" xfId="0" applyFont="1" applyAlignment="1">
      <alignment horizontal="center"/>
    </xf>
    <xf numFmtId="0" fontId="15" fillId="0" borderId="0" xfId="0" applyFont="1"/>
    <xf numFmtId="4" fontId="15" fillId="0" borderId="0" xfId="0" applyNumberFormat="1" applyFont="1" applyAlignment="1">
      <alignment horizontal="center"/>
    </xf>
    <xf numFmtId="4" fontId="15" fillId="0" borderId="0" xfId="0" applyNumberFormat="1" applyFont="1" applyAlignment="1">
      <alignment horizontal="right"/>
    </xf>
    <xf numFmtId="0" fontId="9" fillId="0" borderId="0" xfId="0" applyFont="1" applyAlignment="1">
      <alignment horizontal="center" vertical="center" wrapText="1"/>
    </xf>
    <xf numFmtId="3" fontId="9" fillId="0" borderId="3" xfId="1" applyNumberFormat="1" applyFont="1" applyFill="1" applyBorder="1" applyAlignment="1">
      <alignment horizontal="right" vertical="center"/>
    </xf>
    <xf numFmtId="4" fontId="9" fillId="0" borderId="3" xfId="0" applyNumberFormat="1" applyFont="1" applyBorder="1" applyAlignment="1">
      <alignment horizontal="right" vertical="center"/>
    </xf>
    <xf numFmtId="0" fontId="10" fillId="0" borderId="0" xfId="0" applyFont="1"/>
    <xf numFmtId="0" fontId="11" fillId="0" borderId="0" xfId="0" applyFont="1" applyAlignment="1">
      <alignment horizontal="center"/>
    </xf>
    <xf numFmtId="4" fontId="11" fillId="0" borderId="0" xfId="0" applyNumberFormat="1" applyFont="1" applyAlignment="1">
      <alignment horizontal="center"/>
    </xf>
    <xf numFmtId="0" fontId="10" fillId="0" borderId="0" xfId="0" applyFont="1" applyAlignment="1">
      <alignment horizontal="center"/>
    </xf>
    <xf numFmtId="4" fontId="10" fillId="0" borderId="0" xfId="0" applyNumberFormat="1" applyFont="1" applyAlignment="1">
      <alignment horizontal="center"/>
    </xf>
    <xf numFmtId="0" fontId="19" fillId="0" borderId="0" xfId="0" applyFont="1"/>
    <xf numFmtId="4" fontId="10" fillId="0" borderId="0" xfId="0" applyNumberFormat="1" applyFont="1"/>
    <xf numFmtId="2" fontId="20" fillId="0" borderId="0" xfId="0" applyNumberFormat="1" applyFont="1"/>
    <xf numFmtId="2" fontId="9" fillId="0" borderId="0" xfId="0" applyNumberFormat="1" applyFont="1"/>
    <xf numFmtId="0" fontId="11" fillId="2" borderId="0" xfId="0" applyFont="1" applyFill="1" applyAlignment="1">
      <alignment horizontal="right" vertical="center"/>
    </xf>
    <xf numFmtId="0" fontId="17" fillId="2" borderId="0" xfId="0" applyFont="1" applyFill="1" applyAlignment="1">
      <alignment horizontal="right" vertical="center"/>
    </xf>
    <xf numFmtId="0" fontId="17" fillId="2" borderId="0" xfId="0" applyFont="1" applyFill="1" applyAlignment="1">
      <alignment vertical="center"/>
    </xf>
    <xf numFmtId="216" fontId="11" fillId="2" borderId="0" xfId="1" applyNumberFormat="1" applyFont="1" applyFill="1" applyAlignment="1">
      <alignment horizontal="right" vertical="center"/>
    </xf>
    <xf numFmtId="0" fontId="21" fillId="2" borderId="0" xfId="0" applyFont="1" applyFill="1" applyAlignment="1">
      <alignment vertical="center"/>
    </xf>
    <xf numFmtId="216" fontId="11" fillId="2" borderId="0" xfId="1" applyNumberFormat="1" applyFont="1" applyFill="1" applyAlignment="1">
      <alignment vertical="center"/>
    </xf>
    <xf numFmtId="0" fontId="11" fillId="2" borderId="0" xfId="0" applyFont="1" applyFill="1" applyAlignment="1">
      <alignment horizontal="left" vertical="center"/>
    </xf>
    <xf numFmtId="0" fontId="18" fillId="2" borderId="0" xfId="495" applyFont="1" applyFill="1" applyAlignment="1">
      <alignment vertical="center"/>
    </xf>
    <xf numFmtId="0" fontId="22" fillId="2" borderId="0" xfId="495" applyFont="1" applyFill="1" applyAlignment="1">
      <alignment horizontal="center" vertical="center"/>
    </xf>
    <xf numFmtId="0" fontId="18" fillId="2" borderId="0" xfId="0" applyFont="1" applyFill="1" applyAlignment="1">
      <alignment vertical="center"/>
    </xf>
    <xf numFmtId="0" fontId="22" fillId="2" borderId="0" xfId="0" applyFont="1" applyFill="1" applyAlignment="1">
      <alignment vertical="center"/>
    </xf>
    <xf numFmtId="0" fontId="22" fillId="2" borderId="0" xfId="495" applyFont="1" applyFill="1" applyAlignment="1">
      <alignment vertical="center"/>
    </xf>
    <xf numFmtId="0" fontId="18" fillId="2" borderId="0" xfId="495" applyFont="1" applyFill="1" applyAlignment="1">
      <alignment horizontal="center" vertical="center"/>
    </xf>
    <xf numFmtId="0" fontId="22" fillId="2" borderId="3" xfId="495" applyFont="1" applyFill="1" applyBorder="1" applyAlignment="1">
      <alignment vertical="center"/>
    </xf>
    <xf numFmtId="0" fontId="18" fillId="2" borderId="3" xfId="495" applyFont="1" applyFill="1" applyBorder="1" applyAlignment="1">
      <alignment vertical="center"/>
    </xf>
    <xf numFmtId="217" fontId="22" fillId="2" borderId="3" xfId="93" applyNumberFormat="1" applyFont="1" applyFill="1" applyBorder="1" applyAlignment="1">
      <alignment vertical="center"/>
    </xf>
    <xf numFmtId="217" fontId="22" fillId="2" borderId="0" xfId="495" applyNumberFormat="1" applyFont="1" applyFill="1" applyAlignment="1">
      <alignment vertical="center"/>
    </xf>
    <xf numFmtId="187" fontId="22" fillId="2" borderId="3" xfId="93" applyNumberFormat="1" applyFont="1" applyFill="1" applyBorder="1" applyAlignment="1">
      <alignment horizontal="right" vertical="center"/>
    </xf>
    <xf numFmtId="0" fontId="22" fillId="2" borderId="3" xfId="0" applyFont="1" applyFill="1" applyBorder="1" applyAlignment="1">
      <alignment horizontal="center" vertical="center"/>
    </xf>
    <xf numFmtId="0" fontId="22" fillId="2" borderId="3" xfId="0" applyFont="1" applyFill="1" applyBorder="1" applyAlignment="1">
      <alignment horizontal="left" vertical="center"/>
    </xf>
    <xf numFmtId="0" fontId="18" fillId="2" borderId="3" xfId="0" applyFont="1" applyFill="1" applyBorder="1" applyAlignment="1">
      <alignment horizontal="center" vertical="center"/>
    </xf>
    <xf numFmtId="0" fontId="21" fillId="2" borderId="0" xfId="0" applyFont="1" applyFill="1"/>
    <xf numFmtId="0" fontId="10" fillId="2" borderId="0" xfId="0" applyFont="1" applyFill="1"/>
    <xf numFmtId="0" fontId="11" fillId="2" borderId="0" xfId="0" applyFont="1" applyFill="1"/>
    <xf numFmtId="0" fontId="10" fillId="2" borderId="0" xfId="0" applyFont="1" applyFill="1" applyAlignment="1">
      <alignment horizontal="center"/>
    </xf>
    <xf numFmtId="0" fontId="12" fillId="2" borderId="0" xfId="0" applyFont="1" applyFill="1" applyAlignment="1">
      <alignment horizontal="center"/>
    </xf>
    <xf numFmtId="0" fontId="17" fillId="2" borderId="0" xfId="0" applyFont="1" applyFill="1" applyAlignment="1">
      <alignment horizontal="center"/>
    </xf>
    <xf numFmtId="0" fontId="11" fillId="2" borderId="0" xfId="0" applyFont="1" applyFill="1" applyAlignment="1">
      <alignment horizontal="center"/>
    </xf>
    <xf numFmtId="0" fontId="11" fillId="2" borderId="0" xfId="0" applyFont="1" applyFill="1" applyAlignment="1">
      <alignment shrinkToFit="1"/>
    </xf>
    <xf numFmtId="219" fontId="11" fillId="2" borderId="0" xfId="93" applyNumberFormat="1" applyFont="1" applyFill="1"/>
    <xf numFmtId="0" fontId="9" fillId="2" borderId="0" xfId="0" applyFont="1" applyFill="1"/>
    <xf numFmtId="43" fontId="29" fillId="2" borderId="0" xfId="0" applyNumberFormat="1" applyFont="1" applyFill="1"/>
    <xf numFmtId="0" fontId="17" fillId="2" borderId="0" xfId="0" applyFont="1" applyFill="1" applyAlignment="1">
      <alignment horizontal="center" vertical="center" wrapText="1"/>
    </xf>
    <xf numFmtId="0" fontId="17" fillId="2" borderId="0" xfId="0" applyFont="1" applyFill="1" applyAlignment="1">
      <alignment horizontal="center" vertical="center"/>
    </xf>
    <xf numFmtId="2" fontId="26" fillId="2" borderId="0" xfId="0" applyNumberFormat="1" applyFont="1" applyFill="1"/>
    <xf numFmtId="220" fontId="21" fillId="2" borderId="0" xfId="0" applyNumberFormat="1" applyFont="1" applyFill="1" applyAlignment="1">
      <alignment horizontal="left" vertical="center"/>
    </xf>
    <xf numFmtId="3" fontId="11" fillId="2" borderId="0" xfId="0" applyNumberFormat="1" applyFont="1" applyFill="1" applyAlignment="1">
      <alignment horizontal="center" vertical="center"/>
    </xf>
    <xf numFmtId="0" fontId="30" fillId="2" borderId="0" xfId="0" applyFont="1" applyFill="1" applyAlignment="1">
      <alignment horizontal="center" vertical="center"/>
    </xf>
    <xf numFmtId="2" fontId="17" fillId="2" borderId="0" xfId="0" applyNumberFormat="1" applyFont="1" applyFill="1" applyAlignment="1">
      <alignment horizontal="center" vertical="center"/>
    </xf>
    <xf numFmtId="215" fontId="10" fillId="2" borderId="0" xfId="0" applyNumberFormat="1" applyFont="1" applyFill="1" applyAlignment="1">
      <alignment horizontal="center" vertical="center"/>
    </xf>
    <xf numFmtId="3" fontId="10" fillId="2" borderId="0" xfId="0" applyNumberFormat="1" applyFont="1" applyFill="1" applyAlignment="1">
      <alignment horizontal="center" vertical="center"/>
    </xf>
    <xf numFmtId="0" fontId="15" fillId="2" borderId="0" xfId="0" applyFont="1" applyFill="1" applyAlignment="1">
      <alignment horizontal="center"/>
    </xf>
    <xf numFmtId="215" fontId="10" fillId="2" borderId="0" xfId="0" applyNumberFormat="1" applyFont="1" applyFill="1"/>
    <xf numFmtId="4" fontId="10" fillId="2" borderId="0" xfId="0" applyNumberFormat="1" applyFont="1" applyFill="1"/>
    <xf numFmtId="217" fontId="11" fillId="2" borderId="0" xfId="0" applyNumberFormat="1" applyFont="1" applyFill="1"/>
    <xf numFmtId="2" fontId="11" fillId="2" borderId="0" xfId="0" applyNumberFormat="1" applyFont="1" applyFill="1"/>
    <xf numFmtId="0" fontId="18" fillId="2" borderId="0" xfId="489" applyFont="1" applyFill="1"/>
    <xf numFmtId="0" fontId="22" fillId="2" borderId="0" xfId="489" applyFont="1" applyFill="1"/>
    <xf numFmtId="216" fontId="22" fillId="2" borderId="0" xfId="1" applyNumberFormat="1" applyFont="1" applyFill="1"/>
    <xf numFmtId="3" fontId="22" fillId="2" borderId="0" xfId="489" applyNumberFormat="1" applyFont="1" applyFill="1"/>
    <xf numFmtId="216" fontId="22" fillId="2" borderId="0" xfId="1" applyNumberFormat="1" applyFont="1" applyFill="1" applyAlignment="1">
      <alignment horizontal="center"/>
    </xf>
    <xf numFmtId="216" fontId="18" fillId="2" borderId="3" xfId="1" applyNumberFormat="1" applyFont="1" applyFill="1" applyBorder="1" applyAlignment="1">
      <alignment horizontal="center" vertical="center" wrapText="1"/>
    </xf>
    <xf numFmtId="222" fontId="22" fillId="2" borderId="0" xfId="91" applyNumberFormat="1" applyFont="1" applyFill="1"/>
    <xf numFmtId="0" fontId="18" fillId="2" borderId="0" xfId="0" applyFont="1" applyFill="1"/>
    <xf numFmtId="0" fontId="22" fillId="2" borderId="0" xfId="0" applyFont="1" applyFill="1"/>
    <xf numFmtId="0" fontId="18" fillId="2" borderId="0" xfId="0" applyFont="1" applyFill="1" applyAlignment="1">
      <alignment horizontal="center"/>
    </xf>
    <xf numFmtId="0" fontId="22" fillId="2" borderId="3" xfId="0" applyFont="1" applyFill="1" applyBorder="1" applyAlignment="1">
      <alignment horizontal="center" vertical="center" wrapText="1"/>
    </xf>
    <xf numFmtId="3" fontId="22" fillId="2" borderId="3" xfId="0" applyNumberFormat="1" applyFont="1" applyFill="1" applyBorder="1" applyAlignment="1">
      <alignment horizontal="center" vertical="center"/>
    </xf>
    <xf numFmtId="218" fontId="22" fillId="2" borderId="3" xfId="0" applyNumberFormat="1" applyFont="1" applyFill="1" applyBorder="1" applyAlignment="1">
      <alignment horizontal="center" vertical="center"/>
    </xf>
    <xf numFmtId="0" fontId="22" fillId="2" borderId="0" xfId="0" applyFont="1" applyFill="1" applyAlignment="1">
      <alignment shrinkToFit="1"/>
    </xf>
    <xf numFmtId="217" fontId="22" fillId="2" borderId="0" xfId="0" applyNumberFormat="1" applyFont="1" applyFill="1"/>
    <xf numFmtId="2" fontId="22" fillId="2" borderId="0" xfId="0" applyNumberFormat="1" applyFont="1" applyFill="1"/>
    <xf numFmtId="3" fontId="22" fillId="2" borderId="0" xfId="0" applyNumberFormat="1" applyFont="1" applyFill="1"/>
    <xf numFmtId="0" fontId="26" fillId="2" borderId="0" xfId="0" applyFont="1" applyFill="1"/>
    <xf numFmtId="0" fontId="15" fillId="2" borderId="0" xfId="0" applyFont="1" applyFill="1"/>
    <xf numFmtId="0" fontId="17" fillId="0" borderId="0" xfId="0" applyFont="1"/>
    <xf numFmtId="0" fontId="26" fillId="0" borderId="0" xfId="0" applyFont="1"/>
    <xf numFmtId="0" fontId="22" fillId="0" borderId="0" xfId="0" applyFont="1"/>
    <xf numFmtId="0" fontId="22" fillId="0" borderId="0" xfId="0" applyFont="1" applyAlignment="1">
      <alignment horizontal="center"/>
    </xf>
    <xf numFmtId="4" fontId="22" fillId="0" borderId="0" xfId="0" applyNumberFormat="1" applyFont="1" applyAlignment="1">
      <alignment horizontal="center"/>
    </xf>
    <xf numFmtId="4" fontId="22" fillId="0" borderId="0" xfId="0" applyNumberFormat="1" applyFont="1" applyAlignment="1">
      <alignment horizontal="right"/>
    </xf>
    <xf numFmtId="0" fontId="22" fillId="0" borderId="0" xfId="0" applyFont="1" applyAlignment="1">
      <alignment vertical="center"/>
    </xf>
    <xf numFmtId="0" fontId="18" fillId="0" borderId="0" xfId="0" applyFont="1"/>
    <xf numFmtId="0" fontId="24" fillId="0" borderId="0" xfId="0" applyFont="1" applyAlignment="1">
      <alignment horizontal="center"/>
    </xf>
    <xf numFmtId="2" fontId="22" fillId="0" borderId="0" xfId="0" applyNumberFormat="1" applyFont="1"/>
    <xf numFmtId="3" fontId="18" fillId="0" borderId="0" xfId="0" applyNumberFormat="1" applyFont="1"/>
    <xf numFmtId="3" fontId="10" fillId="0" borderId="0" xfId="0" applyNumberFormat="1" applyFont="1"/>
    <xf numFmtId="2" fontId="19" fillId="0" borderId="0" xfId="0" applyNumberFormat="1" applyFont="1"/>
    <xf numFmtId="4" fontId="9" fillId="0" borderId="0" xfId="0" applyNumberFormat="1" applyFont="1" applyAlignment="1">
      <alignment horizontal="right"/>
    </xf>
    <xf numFmtId="4" fontId="11" fillId="0" borderId="0" xfId="0" applyNumberFormat="1" applyFont="1"/>
    <xf numFmtId="215" fontId="10" fillId="0" borderId="0" xfId="0" applyNumberFormat="1" applyFont="1"/>
    <xf numFmtId="0" fontId="9" fillId="2" borderId="0" xfId="489" applyFont="1" applyFill="1"/>
    <xf numFmtId="0" fontId="22" fillId="2" borderId="14" xfId="489" applyFont="1" applyFill="1" applyBorder="1"/>
    <xf numFmtId="0" fontId="33" fillId="2" borderId="0" xfId="489" applyFont="1" applyFill="1"/>
    <xf numFmtId="0" fontId="15" fillId="2" borderId="0" xfId="489" applyFill="1"/>
    <xf numFmtId="4" fontId="15" fillId="2" borderId="0" xfId="489" applyNumberFormat="1" applyFill="1" applyAlignment="1">
      <alignment horizontal="center"/>
    </xf>
    <xf numFmtId="3" fontId="15" fillId="2" borderId="0" xfId="489" applyNumberFormat="1" applyFill="1"/>
    <xf numFmtId="216" fontId="15" fillId="2" borderId="0" xfId="1" applyNumberFormat="1" applyFont="1" applyFill="1"/>
    <xf numFmtId="3" fontId="18" fillId="2" borderId="0" xfId="489" applyNumberFormat="1" applyFont="1" applyFill="1"/>
    <xf numFmtId="4" fontId="15" fillId="2" borderId="0" xfId="91" applyNumberFormat="1" applyFont="1" applyFill="1" applyAlignment="1">
      <alignment horizontal="center"/>
    </xf>
    <xf numFmtId="216" fontId="15" fillId="2" borderId="0" xfId="1" applyNumberFormat="1" applyFont="1" applyFill="1" applyAlignment="1">
      <alignment horizontal="center"/>
    </xf>
    <xf numFmtId="3" fontId="15" fillId="2" borderId="0" xfId="489" applyNumberFormat="1" applyFill="1" applyAlignment="1">
      <alignment horizontal="center"/>
    </xf>
    <xf numFmtId="0" fontId="15" fillId="2" borderId="0" xfId="489" applyFill="1" applyAlignment="1">
      <alignment horizontal="center"/>
    </xf>
    <xf numFmtId="216" fontId="18" fillId="2" borderId="0" xfId="489" applyNumberFormat="1" applyFont="1" applyFill="1"/>
    <xf numFmtId="0" fontId="35" fillId="2" borderId="0" xfId="527" applyFont="1" applyFill="1"/>
    <xf numFmtId="4" fontId="33" fillId="2" borderId="0" xfId="489" applyNumberFormat="1" applyFont="1" applyFill="1" applyAlignment="1">
      <alignment horizontal="center"/>
    </xf>
    <xf numFmtId="0" fontId="36" fillId="2" borderId="0" xfId="527" applyFont="1" applyFill="1"/>
    <xf numFmtId="4" fontId="36" fillId="2" borderId="0" xfId="527" applyNumberFormat="1" applyFont="1" applyFill="1"/>
    <xf numFmtId="3" fontId="33" fillId="2" borderId="0" xfId="489" applyNumberFormat="1" applyFont="1" applyFill="1"/>
    <xf numFmtId="216" fontId="36" fillId="2" borderId="0" xfId="1" applyNumberFormat="1" applyFont="1" applyFill="1"/>
    <xf numFmtId="3" fontId="36" fillId="2" borderId="0" xfId="527" applyNumberFormat="1" applyFont="1" applyFill="1"/>
    <xf numFmtId="216" fontId="15" fillId="2" borderId="0" xfId="489" applyNumberFormat="1" applyFill="1"/>
    <xf numFmtId="10" fontId="37" fillId="2" borderId="0" xfId="573" applyNumberFormat="1" applyFont="1" applyFill="1"/>
    <xf numFmtId="0" fontId="7" fillId="2" borderId="0" xfId="0" applyFont="1" applyFill="1" applyAlignment="1">
      <alignment vertical="center"/>
    </xf>
    <xf numFmtId="0" fontId="28" fillId="2" borderId="0" xfId="0" applyFont="1" applyFill="1" applyAlignment="1">
      <alignment vertical="center"/>
    </xf>
    <xf numFmtId="215" fontId="11" fillId="2" borderId="0" xfId="0" applyNumberFormat="1" applyFont="1" applyFill="1" applyAlignment="1">
      <alignment vertical="center"/>
    </xf>
    <xf numFmtId="0" fontId="39" fillId="2" borderId="0" xfId="0" applyFont="1" applyFill="1"/>
    <xf numFmtId="43" fontId="11" fillId="2" borderId="0" xfId="0" applyNumberFormat="1" applyFont="1" applyFill="1" applyAlignment="1">
      <alignment horizontal="center" vertical="center"/>
    </xf>
    <xf numFmtId="3" fontId="21" fillId="2" borderId="0" xfId="0" applyNumberFormat="1" applyFont="1" applyFill="1" applyAlignment="1">
      <alignment horizontal="center" vertical="center"/>
    </xf>
    <xf numFmtId="3" fontId="21" fillId="2" borderId="0" xfId="0" applyNumberFormat="1" applyFont="1" applyFill="1" applyAlignment="1">
      <alignment horizontal="right" vertical="center"/>
    </xf>
    <xf numFmtId="3" fontId="10" fillId="2" borderId="0" xfId="0" applyNumberFormat="1" applyFont="1" applyFill="1" applyAlignment="1">
      <alignment vertical="center"/>
    </xf>
    <xf numFmtId="3" fontId="11" fillId="2" borderId="0" xfId="0" applyNumberFormat="1" applyFont="1" applyFill="1" applyAlignment="1">
      <alignment vertical="center"/>
    </xf>
    <xf numFmtId="187" fontId="11" fillId="2" borderId="0" xfId="0" applyNumberFormat="1" applyFont="1" applyFill="1" applyAlignment="1">
      <alignment horizontal="center"/>
    </xf>
    <xf numFmtId="226" fontId="11" fillId="2" borderId="0" xfId="0" applyNumberFormat="1" applyFont="1" applyFill="1" applyAlignment="1">
      <alignment vertical="center"/>
    </xf>
    <xf numFmtId="4" fontId="11" fillId="2" borderId="0" xfId="0" applyNumberFormat="1" applyFont="1" applyFill="1" applyAlignment="1">
      <alignment horizontal="right" vertical="center"/>
    </xf>
    <xf numFmtId="41" fontId="11" fillId="2" borderId="0" xfId="0" applyNumberFormat="1" applyFont="1" applyFill="1" applyAlignment="1">
      <alignment vertical="center"/>
    </xf>
    <xf numFmtId="187" fontId="11" fillId="2" borderId="0" xfId="0" applyNumberFormat="1" applyFont="1" applyFill="1" applyAlignment="1">
      <alignment vertical="center"/>
    </xf>
    <xf numFmtId="3" fontId="21" fillId="2" borderId="0" xfId="0" applyNumberFormat="1" applyFont="1" applyFill="1" applyAlignment="1">
      <alignment vertical="center"/>
    </xf>
    <xf numFmtId="3" fontId="18" fillId="2" borderId="0" xfId="0" applyNumberFormat="1" applyFont="1" applyFill="1" applyAlignment="1">
      <alignment vertical="center"/>
    </xf>
    <xf numFmtId="41" fontId="10" fillId="2" borderId="0" xfId="0" applyNumberFormat="1" applyFont="1" applyFill="1" applyAlignment="1">
      <alignment vertical="center"/>
    </xf>
    <xf numFmtId="0" fontId="14" fillId="2" borderId="0" xfId="0" applyFont="1" applyFill="1" applyAlignment="1">
      <alignment vertical="center"/>
    </xf>
    <xf numFmtId="3" fontId="40" fillId="2" borderId="0" xfId="0" applyNumberFormat="1" applyFont="1" applyFill="1" applyAlignment="1">
      <alignment horizontal="center" vertical="center"/>
    </xf>
    <xf numFmtId="4" fontId="40" fillId="2" borderId="0" xfId="0" applyNumberFormat="1" applyFont="1" applyFill="1" applyAlignment="1">
      <alignment horizontal="center" vertical="center"/>
    </xf>
    <xf numFmtId="3" fontId="40" fillId="2" borderId="0" xfId="0" applyNumberFormat="1" applyFont="1" applyFill="1" applyAlignment="1">
      <alignment horizontal="right" vertical="center"/>
    </xf>
    <xf numFmtId="216" fontId="13" fillId="2" borderId="0" xfId="1" applyNumberFormat="1" applyFont="1" applyFill="1" applyAlignment="1">
      <alignment vertical="center"/>
    </xf>
    <xf numFmtId="3" fontId="40" fillId="2" borderId="0" xfId="0" applyNumberFormat="1" applyFont="1" applyFill="1" applyAlignment="1">
      <alignment vertical="center"/>
    </xf>
    <xf numFmtId="0" fontId="3" fillId="2" borderId="0" xfId="0" applyFont="1" applyFill="1"/>
    <xf numFmtId="0" fontId="15" fillId="2" borderId="0" xfId="0" applyFont="1" applyFill="1" applyAlignment="1">
      <alignment shrinkToFit="1"/>
    </xf>
    <xf numFmtId="0" fontId="4" fillId="2" borderId="0" xfId="0" applyFont="1" applyFill="1"/>
    <xf numFmtId="0" fontId="11" fillId="2" borderId="1" xfId="0" applyFont="1" applyFill="1" applyBorder="1" applyAlignment="1">
      <alignment horizontal="center"/>
    </xf>
    <xf numFmtId="217" fontId="22" fillId="2" borderId="0" xfId="1" applyNumberFormat="1" applyFont="1" applyFill="1"/>
    <xf numFmtId="43" fontId="7" fillId="2" borderId="0" xfId="0" applyNumberFormat="1" applyFont="1" applyFill="1"/>
    <xf numFmtId="3" fontId="9" fillId="2" borderId="0" xfId="0" applyNumberFormat="1" applyFont="1" applyFill="1" applyAlignment="1">
      <alignment horizontal="center"/>
    </xf>
    <xf numFmtId="3" fontId="33" fillId="2" borderId="0" xfId="0" applyNumberFormat="1" applyFont="1" applyFill="1" applyAlignment="1">
      <alignment horizontal="right" vertical="center"/>
    </xf>
    <xf numFmtId="0" fontId="41" fillId="2" borderId="0" xfId="0" applyFont="1" applyFill="1"/>
    <xf numFmtId="0" fontId="43" fillId="2" borderId="0" xfId="0" applyFont="1" applyFill="1"/>
    <xf numFmtId="0" fontId="1" fillId="2" borderId="0" xfId="0" applyFont="1" applyFill="1"/>
    <xf numFmtId="0" fontId="2" fillId="2" borderId="0" xfId="0" applyFont="1" applyFill="1"/>
    <xf numFmtId="0" fontId="1" fillId="2" borderId="3" xfId="0" applyFont="1" applyFill="1" applyBorder="1" applyAlignment="1">
      <alignment vertical="center"/>
    </xf>
    <xf numFmtId="217" fontId="1" fillId="2" borderId="3" xfId="93" applyNumberFormat="1" applyFont="1" applyFill="1" applyBorder="1" applyAlignment="1">
      <alignment horizontal="center" vertical="center"/>
    </xf>
    <xf numFmtId="43" fontId="1" fillId="2" borderId="3" xfId="1" applyFont="1" applyFill="1" applyBorder="1" applyAlignment="1">
      <alignment horizontal="center" vertical="center"/>
    </xf>
    <xf numFmtId="4" fontId="41" fillId="2" borderId="0" xfId="0" applyNumberFormat="1" applyFont="1" applyFill="1"/>
    <xf numFmtId="228" fontId="1" fillId="2" borderId="3" xfId="1" applyNumberFormat="1" applyFont="1" applyFill="1" applyBorder="1" applyAlignment="1">
      <alignment vertical="center"/>
    </xf>
    <xf numFmtId="0" fontId="46" fillId="2" borderId="0" xfId="0" applyFont="1" applyFill="1"/>
    <xf numFmtId="216" fontId="41" fillId="2" borderId="0" xfId="0" applyNumberFormat="1" applyFont="1" applyFill="1"/>
    <xf numFmtId="0" fontId="44" fillId="2" borderId="0" xfId="0" applyFont="1" applyFill="1" applyAlignment="1">
      <alignment horizontal="center"/>
    </xf>
    <xf numFmtId="218" fontId="18" fillId="2" borderId="3" xfId="0" applyNumberFormat="1" applyFont="1" applyFill="1" applyBorder="1" applyAlignment="1">
      <alignment horizontal="center" vertical="center"/>
    </xf>
    <xf numFmtId="187" fontId="18" fillId="2" borderId="3" xfId="0" applyNumberFormat="1" applyFont="1" applyFill="1" applyBorder="1" applyAlignment="1">
      <alignment horizontal="right" vertical="center"/>
    </xf>
    <xf numFmtId="0" fontId="18" fillId="2" borderId="0" xfId="0" applyFont="1" applyFill="1" applyAlignment="1">
      <alignment horizontal="right"/>
    </xf>
    <xf numFmtId="0" fontId="17" fillId="2" borderId="0" xfId="0" applyFont="1" applyFill="1" applyAlignment="1"/>
    <xf numFmtId="0" fontId="10" fillId="2" borderId="0" xfId="0" applyFont="1" applyFill="1" applyAlignment="1">
      <alignment horizontal="right" vertical="center"/>
    </xf>
    <xf numFmtId="216" fontId="26" fillId="2" borderId="0" xfId="93" applyNumberFormat="1" applyFont="1" applyFill="1"/>
    <xf numFmtId="220" fontId="22" fillId="2" borderId="3" xfId="0" applyNumberFormat="1" applyFont="1" applyFill="1" applyBorder="1" applyAlignment="1">
      <alignment horizontal="left" vertical="center"/>
    </xf>
    <xf numFmtId="187" fontId="30" fillId="2" borderId="0" xfId="0" applyNumberFormat="1" applyFont="1" applyFill="1" applyAlignment="1">
      <alignment horizontal="center" vertical="center"/>
    </xf>
    <xf numFmtId="198" fontId="15" fillId="2" borderId="0" xfId="1" applyNumberFormat="1" applyFont="1" applyFill="1"/>
    <xf numFmtId="188" fontId="15" fillId="2" borderId="0" xfId="1" applyNumberFormat="1" applyFont="1" applyFill="1"/>
    <xf numFmtId="217" fontId="15" fillId="2" borderId="0" xfId="1" applyNumberFormat="1" applyFont="1" applyFill="1" applyAlignment="1">
      <alignment horizontal="center"/>
    </xf>
    <xf numFmtId="217" fontId="15" fillId="2" borderId="0" xfId="1" applyNumberFormat="1" applyFont="1" applyFill="1"/>
    <xf numFmtId="216" fontId="11" fillId="2" borderId="1" xfId="1" applyNumberFormat="1" applyFont="1" applyFill="1" applyBorder="1"/>
    <xf numFmtId="188" fontId="9" fillId="2" borderId="0" xfId="0" applyNumberFormat="1" applyFont="1" applyFill="1" applyAlignment="1">
      <alignment horizontal="center"/>
    </xf>
    <xf numFmtId="216" fontId="22" fillId="2" borderId="0" xfId="1" applyNumberFormat="1" applyFont="1" applyFill="1" applyAlignment="1"/>
    <xf numFmtId="43" fontId="22" fillId="2" borderId="0" xfId="0" applyNumberFormat="1" applyFont="1" applyFill="1"/>
    <xf numFmtId="198" fontId="22" fillId="2" borderId="0" xfId="0" applyNumberFormat="1" applyFont="1" applyFill="1"/>
    <xf numFmtId="43" fontId="22" fillId="2" borderId="0" xfId="1" applyFont="1" applyFill="1" applyAlignment="1"/>
    <xf numFmtId="216" fontId="22" fillId="2" borderId="0" xfId="1" applyNumberFormat="1" applyFont="1" applyFill="1" applyBorder="1" applyAlignment="1"/>
    <xf numFmtId="215" fontId="22" fillId="2" borderId="0" xfId="0" applyNumberFormat="1" applyFont="1" applyFill="1"/>
    <xf numFmtId="216" fontId="7" fillId="2" borderId="0" xfId="1" applyNumberFormat="1" applyFont="1" applyFill="1"/>
    <xf numFmtId="198" fontId="11" fillId="2" borderId="0" xfId="0" applyNumberFormat="1" applyFont="1" applyFill="1"/>
    <xf numFmtId="188" fontId="22" fillId="2" borderId="0" xfId="1" applyNumberFormat="1" applyFont="1" applyFill="1"/>
    <xf numFmtId="217" fontId="22" fillId="2" borderId="0" xfId="1" applyNumberFormat="1" applyFont="1" applyFill="1" applyAlignment="1">
      <alignment horizontal="center"/>
    </xf>
    <xf numFmtId="188" fontId="22" fillId="2" borderId="0" xfId="0" applyNumberFormat="1" applyFont="1" applyFill="1"/>
    <xf numFmtId="229" fontId="22" fillId="2" borderId="0" xfId="0" applyNumberFormat="1" applyFont="1" applyFill="1"/>
    <xf numFmtId="230" fontId="22" fillId="2" borderId="0" xfId="0" applyNumberFormat="1" applyFont="1" applyFill="1"/>
    <xf numFmtId="3" fontId="47" fillId="2" borderId="0" xfId="1" applyNumberFormat="1" applyFont="1" applyFill="1" applyBorder="1" applyAlignment="1">
      <alignment horizontal="right"/>
    </xf>
    <xf numFmtId="188" fontId="11" fillId="2" borderId="0" xfId="0" applyNumberFormat="1" applyFont="1" applyFill="1"/>
    <xf numFmtId="217" fontId="22" fillId="2" borderId="0" xfId="1" applyNumberFormat="1" applyFont="1" applyFill="1" applyAlignment="1">
      <alignment shrinkToFit="1"/>
    </xf>
    <xf numFmtId="188" fontId="22" fillId="2" borderId="0" xfId="1" applyNumberFormat="1" applyFont="1" applyFill="1" applyAlignment="1">
      <alignment shrinkToFit="1"/>
    </xf>
    <xf numFmtId="3" fontId="22" fillId="2" borderId="0" xfId="0" applyNumberFormat="1" applyFont="1" applyFill="1" applyAlignment="1">
      <alignment horizontal="center"/>
    </xf>
    <xf numFmtId="217" fontId="11" fillId="2" borderId="0" xfId="1" applyNumberFormat="1" applyFont="1" applyFill="1" applyAlignment="1">
      <alignment shrinkToFit="1"/>
    </xf>
    <xf numFmtId="3" fontId="15" fillId="0" borderId="0" xfId="0" applyNumberFormat="1" applyFont="1"/>
    <xf numFmtId="217" fontId="7" fillId="2" borderId="0" xfId="0" applyNumberFormat="1" applyFont="1" applyFill="1" applyAlignment="1">
      <alignment vertical="center"/>
    </xf>
    <xf numFmtId="217" fontId="18" fillId="2" borderId="0" xfId="0" applyNumberFormat="1" applyFont="1" applyFill="1" applyAlignment="1"/>
    <xf numFmtId="3" fontId="11" fillId="2" borderId="0" xfId="0" applyNumberFormat="1" applyFont="1" applyFill="1" applyAlignment="1">
      <alignment horizontal="center"/>
    </xf>
    <xf numFmtId="43" fontId="1" fillId="2" borderId="3" xfId="1" quotePrefix="1" applyFont="1" applyFill="1" applyBorder="1" applyAlignment="1">
      <alignment horizontal="center" vertical="center"/>
    </xf>
    <xf numFmtId="43" fontId="4" fillId="2" borderId="3" xfId="1" quotePrefix="1" applyFont="1" applyFill="1" applyBorder="1" applyAlignment="1">
      <alignment horizontal="center" vertical="center"/>
    </xf>
    <xf numFmtId="228" fontId="1" fillId="2" borderId="3" xfId="1" quotePrefix="1" applyNumberFormat="1" applyFont="1" applyFill="1" applyBorder="1" applyAlignment="1">
      <alignment horizontal="center" vertical="center"/>
    </xf>
    <xf numFmtId="2" fontId="22" fillId="2" borderId="0" xfId="0" applyNumberFormat="1" applyFont="1" applyFill="1" applyAlignment="1">
      <alignment horizontal="center"/>
    </xf>
    <xf numFmtId="188" fontId="22" fillId="2" borderId="0" xfId="0" applyNumberFormat="1" applyFont="1" applyFill="1" applyAlignment="1">
      <alignment horizontal="center"/>
    </xf>
    <xf numFmtId="188" fontId="42" fillId="2" borderId="18" xfId="0" applyNumberFormat="1" applyFont="1" applyFill="1" applyBorder="1" applyAlignment="1">
      <alignment horizontal="center" vertical="center"/>
    </xf>
    <xf numFmtId="229" fontId="22" fillId="2" borderId="0" xfId="0" applyNumberFormat="1" applyFont="1" applyFill="1" applyAlignment="1">
      <alignment horizontal="center"/>
    </xf>
    <xf numFmtId="3" fontId="47" fillId="2" borderId="0" xfId="1" applyNumberFormat="1" applyFont="1" applyFill="1" applyBorder="1" applyAlignment="1">
      <alignment horizontal="center"/>
    </xf>
    <xf numFmtId="3" fontId="22" fillId="2" borderId="0" xfId="1" applyNumberFormat="1" applyFont="1" applyFill="1" applyAlignment="1">
      <alignment horizontal="center"/>
    </xf>
    <xf numFmtId="3" fontId="15" fillId="2" borderId="0" xfId="0" applyNumberFormat="1" applyFont="1" applyFill="1" applyAlignment="1">
      <alignment horizontal="center"/>
    </xf>
    <xf numFmtId="0" fontId="18" fillId="2" borderId="0" xfId="0" applyFont="1" applyFill="1" applyAlignment="1"/>
    <xf numFmtId="2" fontId="18" fillId="2" borderId="0" xfId="0" applyNumberFormat="1" applyFont="1" applyFill="1" applyAlignment="1"/>
    <xf numFmtId="0" fontId="138" fillId="2" borderId="0" xfId="622" applyFont="1" applyFill="1"/>
    <xf numFmtId="0" fontId="137" fillId="2" borderId="0" xfId="622" applyFont="1" applyFill="1"/>
    <xf numFmtId="0" fontId="139" fillId="2" borderId="0" xfId="622" applyFont="1" applyFill="1"/>
    <xf numFmtId="0" fontId="140" fillId="2" borderId="0" xfId="622" applyFont="1" applyFill="1" applyAlignment="1">
      <alignment horizontal="center"/>
    </xf>
    <xf numFmtId="0" fontId="140" fillId="2" borderId="0" xfId="622" applyFont="1" applyFill="1" applyAlignment="1">
      <alignment horizontal="left"/>
    </xf>
    <xf numFmtId="0" fontId="140" fillId="2" borderId="0" xfId="622" applyFont="1" applyFill="1"/>
    <xf numFmtId="0" fontId="143" fillId="2" borderId="0" xfId="622" applyFont="1" applyFill="1"/>
    <xf numFmtId="0" fontId="144" fillId="2" borderId="0" xfId="622" applyFont="1" applyFill="1"/>
    <xf numFmtId="0" fontId="125" fillId="2" borderId="0" xfId="622" applyFont="1" applyFill="1"/>
    <xf numFmtId="0" fontId="150" fillId="2" borderId="0" xfId="623" applyFont="1" applyFill="1"/>
    <xf numFmtId="0" fontId="141" fillId="2" borderId="0" xfId="622" applyFont="1" applyFill="1"/>
    <xf numFmtId="0" fontId="152" fillId="2" borderId="0" xfId="622" applyFont="1" applyFill="1" applyAlignment="1">
      <alignment horizontal="center"/>
    </xf>
    <xf numFmtId="0" fontId="153" fillId="2" borderId="0" xfId="622" applyFont="1" applyFill="1" applyAlignment="1">
      <alignment horizontal="left"/>
    </xf>
    <xf numFmtId="0" fontId="153" fillId="2" borderId="0" xfId="622" applyFont="1" applyFill="1" applyAlignment="1">
      <alignment horizontal="center" vertical="center" wrapText="1"/>
    </xf>
    <xf numFmtId="0" fontId="153" fillId="2" borderId="0" xfId="622" applyFont="1" applyFill="1"/>
    <xf numFmtId="0" fontId="148" fillId="2" borderId="0" xfId="622" applyFont="1" applyFill="1" applyAlignment="1">
      <alignment horizontal="left"/>
    </xf>
    <xf numFmtId="0" fontId="125" fillId="0" borderId="0" xfId="622" applyFont="1" applyFill="1"/>
    <xf numFmtId="0" fontId="147" fillId="2" borderId="0" xfId="622" applyFont="1" applyFill="1"/>
    <xf numFmtId="0" fontId="132" fillId="2" borderId="0" xfId="622" applyFont="1" applyFill="1"/>
    <xf numFmtId="0" fontId="128" fillId="2" borderId="0" xfId="622" applyFill="1"/>
    <xf numFmtId="0" fontId="160" fillId="0" borderId="0" xfId="634"/>
    <xf numFmtId="0" fontId="161" fillId="0" borderId="0" xfId="634" applyFont="1" applyFill="1"/>
    <xf numFmtId="0" fontId="162" fillId="0" borderId="0" xfId="634" applyFont="1" applyFill="1" applyAlignment="1"/>
    <xf numFmtId="0" fontId="127" fillId="0" borderId="0" xfId="634" applyFont="1" applyFill="1" applyAlignment="1"/>
    <xf numFmtId="0" fontId="162" fillId="0" borderId="0" xfId="634" applyFont="1" applyFill="1" applyAlignment="1">
      <alignment horizontal="center"/>
    </xf>
    <xf numFmtId="0" fontId="158" fillId="0" borderId="0" xfId="634" applyFont="1" applyFill="1" applyAlignment="1">
      <alignment horizontal="center"/>
    </xf>
    <xf numFmtId="0" fontId="127" fillId="0" borderId="0" xfId="634" applyFont="1" applyFill="1" applyAlignment="1">
      <alignment horizontal="center" vertical="center"/>
    </xf>
    <xf numFmtId="0" fontId="127" fillId="0" borderId="0" xfId="634" applyFont="1" applyFill="1" applyAlignment="1">
      <alignment vertical="center"/>
    </xf>
    <xf numFmtId="0" fontId="158" fillId="0" borderId="35" xfId="634" applyFont="1" applyFill="1" applyBorder="1" applyAlignment="1">
      <alignment horizontal="center" vertical="center"/>
    </xf>
    <xf numFmtId="3" fontId="158" fillId="0" borderId="35" xfId="634" applyNumberFormat="1" applyFont="1" applyFill="1" applyBorder="1" applyAlignment="1">
      <alignment horizontal="center" vertical="center"/>
    </xf>
    <xf numFmtId="217" fontId="158" fillId="0" borderId="35" xfId="635" applyNumberFormat="1" applyFont="1" applyFill="1" applyBorder="1" applyAlignment="1">
      <alignment horizontal="center" vertical="center"/>
    </xf>
    <xf numFmtId="0" fontId="127" fillId="0" borderId="35" xfId="634" applyFont="1" applyFill="1" applyBorder="1" applyAlignment="1">
      <alignment horizontal="center" vertical="center"/>
    </xf>
    <xf numFmtId="0" fontId="161" fillId="0" borderId="0" xfId="634" applyFont="1"/>
    <xf numFmtId="0" fontId="130" fillId="2" borderId="0" xfId="634" applyFont="1" applyFill="1" applyAlignment="1"/>
    <xf numFmtId="0" fontId="158" fillId="2" borderId="0" xfId="639" applyFont="1" applyFill="1" applyAlignment="1">
      <alignment vertical="center"/>
    </xf>
    <xf numFmtId="0" fontId="158" fillId="2" borderId="0" xfId="639" applyFont="1" applyFill="1" applyAlignment="1">
      <alignment horizontal="center" vertical="center"/>
    </xf>
    <xf numFmtId="0" fontId="127" fillId="2" borderId="0" xfId="639" applyFont="1" applyFill="1" applyAlignment="1">
      <alignment vertical="center"/>
    </xf>
    <xf numFmtId="0" fontId="127" fillId="2" borderId="0" xfId="639" applyFont="1" applyFill="1" applyAlignment="1">
      <alignment horizontal="center" vertical="center"/>
    </xf>
    <xf numFmtId="0" fontId="126" fillId="2" borderId="0" xfId="639" applyFont="1" applyFill="1" applyAlignment="1">
      <alignment vertical="center"/>
    </xf>
    <xf numFmtId="0" fontId="158" fillId="2" borderId="0" xfId="638" applyFont="1" applyFill="1" applyAlignment="1">
      <alignment vertical="center"/>
    </xf>
    <xf numFmtId="0" fontId="127" fillId="2" borderId="0" xfId="638" applyFont="1" applyFill="1" applyAlignment="1">
      <alignment vertical="center"/>
    </xf>
    <xf numFmtId="0" fontId="160" fillId="0" borderId="0" xfId="638"/>
    <xf numFmtId="0" fontId="162" fillId="0" borderId="0" xfId="638" applyFont="1" applyFill="1" applyAlignment="1"/>
    <xf numFmtId="0" fontId="158" fillId="0" borderId="0" xfId="638" applyFont="1" applyFill="1" applyAlignment="1">
      <alignment horizontal="center"/>
    </xf>
    <xf numFmtId="0" fontId="127" fillId="0" borderId="0" xfId="638" applyFont="1" applyFill="1" applyAlignment="1">
      <alignment horizontal="center" vertical="center"/>
    </xf>
    <xf numFmtId="0" fontId="127" fillId="0" borderId="0" xfId="638" applyFont="1" applyFill="1" applyAlignment="1">
      <alignment vertical="center"/>
    </xf>
    <xf numFmtId="0" fontId="158" fillId="0" borderId="1" xfId="638" applyFont="1" applyFill="1" applyBorder="1" applyAlignment="1">
      <alignment horizontal="center" vertical="center"/>
    </xf>
    <xf numFmtId="0" fontId="161" fillId="0" borderId="0" xfId="638" applyFont="1"/>
    <xf numFmtId="0" fontId="165" fillId="0" borderId="0" xfId="638" applyFont="1" applyAlignment="1">
      <alignment horizontal="center"/>
    </xf>
    <xf numFmtId="0" fontId="127" fillId="2" borderId="0" xfId="249" applyFont="1" applyFill="1"/>
    <xf numFmtId="1" fontId="127" fillId="2" borderId="0" xfId="249" applyNumberFormat="1" applyFont="1" applyFill="1"/>
    <xf numFmtId="1" fontId="127" fillId="2" borderId="0" xfId="640" applyNumberFormat="1" applyFont="1" applyFill="1"/>
    <xf numFmtId="1" fontId="127" fillId="2" borderId="0" xfId="640" applyNumberFormat="1" applyFont="1" applyFill="1" applyAlignment="1">
      <alignment horizontal="center"/>
    </xf>
    <xf numFmtId="0" fontId="127" fillId="2" borderId="0" xfId="640" applyFont="1" applyFill="1"/>
    <xf numFmtId="1" fontId="168" fillId="2" borderId="0" xfId="640" applyNumberFormat="1" applyFont="1" applyFill="1"/>
    <xf numFmtId="1" fontId="127" fillId="0" borderId="0" xfId="635" applyNumberFormat="1" applyFont="1" applyFill="1" applyAlignment="1">
      <alignment vertical="center"/>
    </xf>
    <xf numFmtId="1" fontId="134" fillId="0" borderId="0" xfId="635" applyNumberFormat="1" applyFont="1" applyFill="1" applyBorder="1" applyAlignment="1">
      <alignment horizontal="center" vertical="center"/>
    </xf>
    <xf numFmtId="1" fontId="127" fillId="0" borderId="0" xfId="635" applyNumberFormat="1" applyFont="1" applyFill="1" applyBorder="1" applyAlignment="1">
      <alignment horizontal="center" vertical="center"/>
    </xf>
    <xf numFmtId="1" fontId="134" fillId="2" borderId="0" xfId="640" applyNumberFormat="1" applyFont="1" applyFill="1" applyAlignment="1">
      <alignment horizontal="center"/>
    </xf>
    <xf numFmtId="1" fontId="134" fillId="2" borderId="0" xfId="640" applyNumberFormat="1" applyFont="1" applyFill="1" applyAlignment="1"/>
    <xf numFmtId="1" fontId="134" fillId="2" borderId="0" xfId="640" applyNumberFormat="1" applyFont="1" applyFill="1"/>
    <xf numFmtId="0" fontId="127" fillId="2" borderId="0" xfId="640" applyFont="1" applyFill="1" applyAlignment="1">
      <alignment horizontal="left"/>
    </xf>
    <xf numFmtId="0" fontId="168" fillId="2" borderId="0" xfId="640" applyFont="1" applyFill="1" applyBorder="1" applyAlignment="1">
      <alignment horizontal="center"/>
    </xf>
    <xf numFmtId="0" fontId="134" fillId="2" borderId="0" xfId="640" applyFont="1" applyFill="1" applyBorder="1" applyAlignment="1">
      <alignment horizontal="center"/>
    </xf>
    <xf numFmtId="0" fontId="127" fillId="2" borderId="1" xfId="640" applyFont="1" applyFill="1" applyBorder="1" applyAlignment="1">
      <alignment horizontal="center" vertical="center"/>
    </xf>
    <xf numFmtId="0" fontId="127" fillId="0" borderId="0" xfId="638" applyFont="1" applyFill="1"/>
    <xf numFmtId="0" fontId="127" fillId="0" borderId="0" xfId="638" applyFont="1" applyFill="1" applyBorder="1"/>
    <xf numFmtId="233" fontId="162" fillId="0" borderId="0" xfId="635" applyNumberFormat="1" applyFont="1" applyFill="1" applyBorder="1" applyAlignment="1">
      <alignment vertical="center"/>
    </xf>
    <xf numFmtId="0" fontId="158" fillId="0" borderId="0" xfId="638" applyFont="1" applyFill="1" applyBorder="1" applyAlignment="1">
      <alignment horizontal="center" vertical="center"/>
    </xf>
    <xf numFmtId="233" fontId="127" fillId="0" borderId="0" xfId="635" applyNumberFormat="1" applyFont="1" applyFill="1" applyBorder="1" applyAlignment="1">
      <alignment vertical="center"/>
    </xf>
    <xf numFmtId="0" fontId="170" fillId="0" borderId="0" xfId="638" quotePrefix="1" applyFont="1" applyFill="1" applyBorder="1" applyAlignment="1"/>
    <xf numFmtId="0" fontId="175" fillId="2" borderId="0" xfId="643" applyFont="1" applyFill="1"/>
    <xf numFmtId="188" fontId="171" fillId="2" borderId="0" xfId="645" applyFont="1" applyFill="1" applyAlignment="1">
      <alignment horizontal="center"/>
    </xf>
    <xf numFmtId="0" fontId="163" fillId="2" borderId="0" xfId="642" applyFont="1" applyFill="1" applyBorder="1" applyAlignment="1">
      <alignment horizontal="center" vertical="center" wrapText="1"/>
    </xf>
    <xf numFmtId="2" fontId="163" fillId="2" borderId="0" xfId="642" applyNumberFormat="1" applyFont="1" applyFill="1" applyBorder="1" applyAlignment="1">
      <alignment horizontal="center" vertical="center"/>
    </xf>
    <xf numFmtId="198" fontId="163" fillId="2" borderId="0" xfId="642" applyNumberFormat="1" applyFont="1" applyFill="1" applyBorder="1" applyAlignment="1">
      <alignment horizontal="center" vertical="center" shrinkToFit="1"/>
    </xf>
    <xf numFmtId="188" fontId="163" fillId="2" borderId="0" xfId="645" applyFont="1" applyFill="1" applyBorder="1" applyAlignment="1">
      <alignment horizontal="center" vertical="center"/>
    </xf>
    <xf numFmtId="188" fontId="171" fillId="2" borderId="35" xfId="645" applyFont="1" applyFill="1" applyBorder="1" applyAlignment="1">
      <alignment horizontal="center" vertical="center" shrinkToFit="1"/>
    </xf>
    <xf numFmtId="188" fontId="171" fillId="2" borderId="38" xfId="645" applyFont="1" applyFill="1" applyBorder="1" applyAlignment="1">
      <alignment horizontal="center" vertical="center" shrinkToFit="1"/>
    </xf>
    <xf numFmtId="0" fontId="171" fillId="2" borderId="35" xfId="642" applyFont="1" applyFill="1" applyBorder="1" applyAlignment="1">
      <alignment vertical="center" shrinkToFit="1"/>
    </xf>
    <xf numFmtId="0" fontId="176" fillId="2" borderId="35" xfId="642" applyFont="1" applyFill="1" applyBorder="1" applyAlignment="1">
      <alignment horizontal="center" vertical="center" shrinkToFit="1"/>
    </xf>
    <xf numFmtId="0" fontId="171" fillId="2" borderId="20" xfId="642" applyFont="1" applyFill="1" applyBorder="1" applyAlignment="1">
      <alignment vertical="center" shrinkToFit="1"/>
    </xf>
    <xf numFmtId="188" fontId="177" fillId="2" borderId="20" xfId="645" applyFont="1" applyFill="1" applyBorder="1" applyAlignment="1">
      <alignment horizontal="center" vertical="center" shrinkToFit="1"/>
    </xf>
    <xf numFmtId="223" fontId="171" fillId="2" borderId="20" xfId="642" applyNumberFormat="1" applyFont="1" applyFill="1" applyBorder="1" applyAlignment="1">
      <alignment horizontal="center" vertical="center" shrinkToFit="1"/>
    </xf>
    <xf numFmtId="188" fontId="177" fillId="2" borderId="12" xfId="645" applyFont="1" applyFill="1" applyBorder="1" applyAlignment="1">
      <alignment horizontal="center" vertical="center" shrinkToFit="1"/>
    </xf>
    <xf numFmtId="223" fontId="171" fillId="2" borderId="12" xfId="642" applyNumberFormat="1" applyFont="1" applyFill="1" applyBorder="1" applyAlignment="1">
      <alignment horizontal="center" vertical="center" shrinkToFit="1"/>
    </xf>
    <xf numFmtId="0" fontId="171" fillId="2" borderId="12" xfId="642" applyFont="1" applyFill="1" applyBorder="1" applyAlignment="1">
      <alignment vertical="center" shrinkToFit="1"/>
    </xf>
    <xf numFmtId="188" fontId="171" fillId="2" borderId="12" xfId="645" applyFont="1" applyFill="1" applyBorder="1" applyAlignment="1">
      <alignment horizontal="center" vertical="center" shrinkToFit="1"/>
    </xf>
    <xf numFmtId="188" fontId="176" fillId="2" borderId="12" xfId="645" applyFont="1" applyFill="1" applyBorder="1" applyAlignment="1">
      <alignment horizontal="center" vertical="center" shrinkToFit="1"/>
    </xf>
    <xf numFmtId="2" fontId="176" fillId="2" borderId="12" xfId="642" applyNumberFormat="1" applyFont="1" applyFill="1" applyBorder="1" applyAlignment="1">
      <alignment horizontal="center" vertical="center" shrinkToFit="1"/>
    </xf>
    <xf numFmtId="0" fontId="179" fillId="2" borderId="12" xfId="642" applyFont="1" applyFill="1" applyBorder="1" applyAlignment="1">
      <alignment vertical="center" shrinkToFit="1"/>
    </xf>
    <xf numFmtId="198" fontId="175" fillId="2" borderId="0" xfId="643" applyNumberFormat="1" applyFont="1" applyFill="1"/>
    <xf numFmtId="0" fontId="175" fillId="2" borderId="12" xfId="643" applyFont="1" applyFill="1" applyBorder="1" applyAlignment="1">
      <alignment vertical="center"/>
    </xf>
    <xf numFmtId="0" fontId="175" fillId="2" borderId="12" xfId="643" applyFont="1" applyFill="1" applyBorder="1"/>
    <xf numFmtId="0" fontId="175" fillId="2" borderId="12" xfId="643" applyFont="1" applyFill="1" applyBorder="1" applyAlignment="1">
      <alignment horizontal="center" vertical="center"/>
    </xf>
    <xf numFmtId="2" fontId="176" fillId="2" borderId="12" xfId="642" applyNumberFormat="1" applyFont="1" applyFill="1" applyBorder="1" applyAlignment="1">
      <alignment horizontal="right" vertical="center"/>
    </xf>
    <xf numFmtId="231" fontId="172" fillId="2" borderId="12" xfId="642" applyNumberFormat="1" applyFont="1" applyFill="1" applyBorder="1" applyAlignment="1">
      <alignment horizontal="center" vertical="center"/>
    </xf>
    <xf numFmtId="225" fontId="172" fillId="2" borderId="12" xfId="642" applyNumberFormat="1" applyFont="1" applyFill="1" applyBorder="1" applyAlignment="1">
      <alignment horizontal="center" vertical="center"/>
    </xf>
    <xf numFmtId="2" fontId="172" fillId="2" borderId="12" xfId="642" applyNumberFormat="1" applyFont="1" applyFill="1" applyBorder="1" applyAlignment="1">
      <alignment horizontal="right" vertical="center"/>
    </xf>
    <xf numFmtId="2" fontId="172" fillId="2" borderId="12" xfId="642" applyNumberFormat="1" applyFont="1" applyFill="1" applyBorder="1" applyAlignment="1">
      <alignment horizontal="right" vertical="center" shrinkToFit="1"/>
    </xf>
    <xf numFmtId="188" fontId="176" fillId="2" borderId="35" xfId="645" applyFont="1" applyFill="1" applyBorder="1" applyAlignment="1">
      <alignment horizontal="center" vertical="center" shrinkToFit="1"/>
    </xf>
    <xf numFmtId="0" fontId="173" fillId="2" borderId="0" xfId="642" applyFont="1" applyFill="1" applyBorder="1" applyAlignment="1">
      <alignment horizontal="center" vertical="center" shrinkToFit="1"/>
    </xf>
    <xf numFmtId="0" fontId="173" fillId="2" borderId="0" xfId="642" applyFont="1" applyFill="1" applyBorder="1" applyAlignment="1">
      <alignment horizontal="center" vertical="center" wrapText="1" shrinkToFit="1"/>
    </xf>
    <xf numFmtId="2" fontId="173" fillId="2" borderId="0" xfId="642" applyNumberFormat="1" applyFont="1" applyFill="1" applyBorder="1" applyAlignment="1">
      <alignment horizontal="center" vertical="center" shrinkToFit="1"/>
    </xf>
    <xf numFmtId="0" fontId="173" fillId="2" borderId="0" xfId="642" applyFont="1" applyFill="1" applyBorder="1" applyAlignment="1">
      <alignment vertical="center"/>
    </xf>
    <xf numFmtId="0" fontId="173" fillId="2" borderId="0" xfId="642" applyFont="1" applyFill="1" applyBorder="1" applyAlignment="1">
      <alignment horizontal="center" vertical="center" wrapText="1"/>
    </xf>
    <xf numFmtId="2" fontId="173" fillId="2" borderId="0" xfId="642" applyNumberFormat="1" applyFont="1" applyFill="1" applyBorder="1" applyAlignment="1">
      <alignment vertical="center"/>
    </xf>
    <xf numFmtId="188" fontId="173" fillId="2" borderId="0" xfId="645" applyFont="1" applyFill="1" applyBorder="1" applyAlignment="1">
      <alignment horizontal="center" vertical="center"/>
    </xf>
    <xf numFmtId="0" fontId="173" fillId="2" borderId="0" xfId="642" applyFont="1" applyFill="1" applyBorder="1" applyAlignment="1">
      <alignment vertical="center" wrapText="1"/>
    </xf>
    <xf numFmtId="2" fontId="163" fillId="2" borderId="0" xfId="642" applyNumberFormat="1" applyFont="1" applyFill="1" applyBorder="1" applyAlignment="1">
      <alignment vertical="center"/>
    </xf>
    <xf numFmtId="0" fontId="163" fillId="2" borderId="0" xfId="642" applyFont="1" applyFill="1" applyBorder="1" applyAlignment="1">
      <alignment vertical="center"/>
    </xf>
    <xf numFmtId="188" fontId="163" fillId="2" borderId="0" xfId="645" applyFont="1" applyFill="1" applyBorder="1" applyAlignment="1">
      <alignment horizontal="center"/>
    </xf>
    <xf numFmtId="188" fontId="178" fillId="2" borderId="0" xfId="645" applyFont="1" applyFill="1" applyAlignment="1">
      <alignment horizontal="center"/>
    </xf>
    <xf numFmtId="188" fontId="175" fillId="2" borderId="0" xfId="645" applyFont="1" applyFill="1" applyAlignment="1">
      <alignment horizontal="center"/>
    </xf>
    <xf numFmtId="0" fontId="41" fillId="2" borderId="0" xfId="0" applyFont="1" applyFill="1" applyAlignment="1">
      <alignment horizontal="center"/>
    </xf>
    <xf numFmtId="0" fontId="9" fillId="0" borderId="3" xfId="0" applyFont="1" applyBorder="1" applyAlignment="1">
      <alignment horizontal="center" vertical="center"/>
    </xf>
    <xf numFmtId="3" fontId="9" fillId="0" borderId="3" xfId="0" applyNumberFormat="1" applyFont="1" applyBorder="1" applyAlignment="1">
      <alignment horizontal="center" vertical="center" wrapText="1"/>
    </xf>
    <xf numFmtId="216" fontId="158" fillId="2" borderId="0" xfId="489" applyNumberFormat="1" applyFont="1" applyFill="1"/>
    <xf numFmtId="0" fontId="158" fillId="2" borderId="0" xfId="489" applyFont="1" applyFill="1"/>
    <xf numFmtId="3" fontId="158" fillId="2" borderId="0" xfId="489" applyNumberFormat="1" applyFont="1" applyFill="1"/>
    <xf numFmtId="0" fontId="129" fillId="0" borderId="3" xfId="0" applyFont="1" applyBorder="1" applyAlignment="1">
      <alignment horizontal="center" vertical="center"/>
    </xf>
    <xf numFmtId="3" fontId="129" fillId="0" borderId="3" xfId="0" applyNumberFormat="1" applyFont="1" applyBorder="1" applyAlignment="1">
      <alignment horizontal="center" vertical="center" wrapText="1"/>
    </xf>
    <xf numFmtId="3" fontId="9" fillId="0" borderId="3" xfId="1" applyNumberFormat="1" applyFont="1" applyFill="1" applyBorder="1" applyAlignment="1">
      <alignment horizontal="center" vertical="center"/>
    </xf>
    <xf numFmtId="0" fontId="133" fillId="0" borderId="0" xfId="0" applyFont="1" applyAlignment="1">
      <alignment horizontal="center"/>
    </xf>
    <xf numFmtId="0" fontId="133" fillId="0" borderId="0" xfId="0" applyFont="1" applyAlignment="1"/>
    <xf numFmtId="0" fontId="127" fillId="0" borderId="0" xfId="638" applyFont="1" applyFill="1" applyBorder="1" applyAlignment="1">
      <alignment horizontal="center" vertical="center"/>
    </xf>
    <xf numFmtId="1" fontId="127" fillId="2" borderId="0" xfId="249" applyNumberFormat="1" applyFont="1" applyFill="1" applyAlignment="1">
      <alignment horizontal="center"/>
    </xf>
    <xf numFmtId="0" fontId="158" fillId="0" borderId="35" xfId="634" applyFont="1" applyFill="1" applyBorder="1" applyAlignment="1">
      <alignment horizontal="center" vertical="center"/>
    </xf>
    <xf numFmtId="0" fontId="146" fillId="2" borderId="35" xfId="622" applyFont="1" applyFill="1" applyBorder="1" applyAlignment="1">
      <alignment horizontal="center" vertical="center"/>
    </xf>
    <xf numFmtId="0" fontId="146" fillId="2" borderId="35" xfId="622" applyFont="1" applyFill="1" applyBorder="1" applyAlignment="1">
      <alignment horizontal="left" vertical="center"/>
    </xf>
    <xf numFmtId="0" fontId="190" fillId="2" borderId="39" xfId="622" applyFont="1" applyFill="1" applyBorder="1" applyAlignment="1">
      <alignment horizontal="center" vertical="center"/>
    </xf>
    <xf numFmtId="0" fontId="163" fillId="2" borderId="35" xfId="634" applyFont="1" applyFill="1" applyBorder="1" applyAlignment="1">
      <alignment vertical="center"/>
    </xf>
    <xf numFmtId="0" fontId="127" fillId="0" borderId="35" xfId="634" applyFont="1" applyFill="1" applyBorder="1" applyAlignment="1">
      <alignment horizontal="center" vertical="center" wrapText="1"/>
    </xf>
    <xf numFmtId="3" fontId="127" fillId="0" borderId="35" xfId="634" applyNumberFormat="1" applyFont="1" applyFill="1" applyBorder="1" applyAlignment="1">
      <alignment horizontal="center" vertical="center" wrapText="1"/>
    </xf>
    <xf numFmtId="0" fontId="128" fillId="2" borderId="0" xfId="622" applyFill="1" applyAlignment="1">
      <alignment vertical="center"/>
    </xf>
    <xf numFmtId="0" fontId="171" fillId="0" borderId="0" xfId="0" applyFont="1" applyAlignment="1">
      <alignment vertical="center"/>
    </xf>
    <xf numFmtId="0" fontId="44" fillId="2" borderId="35" xfId="622" applyFont="1" applyFill="1" applyBorder="1" applyAlignment="1">
      <alignment horizontal="center" vertical="center"/>
    </xf>
    <xf numFmtId="0" fontId="146" fillId="2" borderId="0" xfId="622" applyFont="1" applyFill="1" applyAlignment="1">
      <alignment horizontal="center"/>
    </xf>
    <xf numFmtId="0" fontId="193" fillId="2" borderId="0" xfId="623" applyFont="1" applyFill="1" applyAlignment="1">
      <alignment horizontal="left"/>
    </xf>
    <xf numFmtId="198" fontId="146" fillId="2" borderId="35" xfId="622" applyNumberFormat="1" applyFont="1" applyFill="1" applyBorder="1" applyAlignment="1">
      <alignment vertical="center"/>
    </xf>
    <xf numFmtId="216" fontId="146" fillId="2" borderId="35" xfId="626" applyNumberFormat="1" applyFont="1" applyFill="1" applyBorder="1" applyAlignment="1">
      <alignment vertical="center"/>
    </xf>
    <xf numFmtId="0" fontId="145" fillId="2" borderId="0" xfId="622" applyFont="1" applyFill="1" applyAlignment="1">
      <alignment vertical="center"/>
    </xf>
    <xf numFmtId="0" fontId="44" fillId="2" borderId="35" xfId="622" applyFont="1" applyFill="1" applyBorder="1" applyAlignment="1">
      <alignment horizontal="left" vertical="center"/>
    </xf>
    <xf numFmtId="217" fontId="192" fillId="2" borderId="35" xfId="626" applyNumberFormat="1" applyFont="1" applyFill="1" applyBorder="1" applyAlignment="1">
      <alignment horizontal="center" vertical="center"/>
    </xf>
    <xf numFmtId="0" fontId="144" fillId="2" borderId="0" xfId="622" applyFont="1" applyFill="1" applyAlignment="1">
      <alignment vertical="center"/>
    </xf>
    <xf numFmtId="0" fontId="171" fillId="2" borderId="0" xfId="702" applyFont="1" applyFill="1" applyAlignment="1"/>
    <xf numFmtId="198" fontId="171" fillId="2" borderId="0" xfId="702" applyNumberFormat="1" applyFont="1" applyFill="1" applyAlignment="1"/>
    <xf numFmtId="0" fontId="22" fillId="2" borderId="0" xfId="642" applyFont="1" applyFill="1" applyBorder="1" applyAlignment="1">
      <alignment horizontal="center" vertical="center"/>
    </xf>
    <xf numFmtId="2" fontId="22" fillId="2" borderId="0" xfId="642" applyNumberFormat="1" applyFont="1" applyFill="1" applyBorder="1" applyAlignment="1">
      <alignment horizontal="center" vertical="center"/>
    </xf>
    <xf numFmtId="2" fontId="9" fillId="2" borderId="20" xfId="642" applyNumberFormat="1" applyFont="1" applyFill="1" applyBorder="1" applyAlignment="1">
      <alignment horizontal="center" vertical="center" shrinkToFit="1"/>
    </xf>
    <xf numFmtId="0" fontId="15" fillId="2" borderId="20" xfId="642" applyFont="1" applyFill="1" applyBorder="1" applyAlignment="1">
      <alignment horizontal="center" vertical="center" shrinkToFit="1"/>
    </xf>
    <xf numFmtId="2" fontId="15" fillId="2" borderId="20" xfId="642" applyNumberFormat="1" applyFont="1" applyFill="1" applyBorder="1" applyAlignment="1">
      <alignment horizontal="center" vertical="center" shrinkToFit="1"/>
    </xf>
    <xf numFmtId="2" fontId="15" fillId="2" borderId="20" xfId="703" applyNumberFormat="1" applyFont="1" applyFill="1" applyBorder="1" applyAlignment="1">
      <alignment horizontal="center" vertical="center" shrinkToFit="1"/>
    </xf>
    <xf numFmtId="198" fontId="15" fillId="2" borderId="20" xfId="703" applyNumberFormat="1" applyFont="1" applyFill="1" applyBorder="1" applyAlignment="1">
      <alignment horizontal="right" vertical="center" shrinkToFit="1"/>
    </xf>
    <xf numFmtId="198" fontId="15" fillId="2" borderId="12" xfId="642" applyNumberFormat="1" applyFont="1" applyFill="1" applyBorder="1" applyAlignment="1">
      <alignment horizontal="center" vertical="center" shrinkToFit="1"/>
    </xf>
    <xf numFmtId="0" fontId="15" fillId="2" borderId="12" xfId="642" applyFont="1" applyFill="1" applyBorder="1" applyAlignment="1">
      <alignment horizontal="center" vertical="center" shrinkToFit="1"/>
    </xf>
    <xf numFmtId="2" fontId="15" fillId="2" borderId="12" xfId="642" applyNumberFormat="1" applyFont="1" applyFill="1" applyBorder="1" applyAlignment="1">
      <alignment horizontal="center" vertical="center" shrinkToFit="1"/>
    </xf>
    <xf numFmtId="2" fontId="15" fillId="2" borderId="12" xfId="703" applyNumberFormat="1" applyFont="1" applyFill="1" applyBorder="1" applyAlignment="1">
      <alignment horizontal="center" vertical="center" shrinkToFit="1"/>
    </xf>
    <xf numFmtId="217" fontId="15" fillId="2" borderId="12" xfId="645" applyNumberFormat="1" applyFont="1" applyFill="1" applyBorder="1" applyAlignment="1">
      <alignment horizontal="center" vertical="center" shrinkToFit="1"/>
    </xf>
    <xf numFmtId="198" fontId="176" fillId="2" borderId="12" xfId="703" applyNumberFormat="1" applyFont="1" applyFill="1" applyBorder="1" applyAlignment="1">
      <alignment horizontal="right" vertical="center" shrinkToFit="1"/>
    </xf>
    <xf numFmtId="2" fontId="9" fillId="2" borderId="12" xfId="642" applyNumberFormat="1" applyFont="1" applyFill="1" applyBorder="1" applyAlignment="1">
      <alignment horizontal="center" vertical="center" shrinkToFit="1"/>
    </xf>
    <xf numFmtId="198" fontId="171" fillId="2" borderId="12" xfId="703" applyNumberFormat="1" applyFont="1" applyFill="1" applyBorder="1" applyAlignment="1">
      <alignment horizontal="right" vertical="center" shrinkToFit="1"/>
    </xf>
    <xf numFmtId="0" fontId="178" fillId="2" borderId="0" xfId="488" applyFont="1" applyFill="1"/>
    <xf numFmtId="200" fontId="176" fillId="2" borderId="12" xfId="703" applyNumberFormat="1" applyFont="1" applyFill="1" applyBorder="1" applyAlignment="1">
      <alignment vertical="center" wrapText="1" shrinkToFit="1"/>
    </xf>
    <xf numFmtId="4" fontId="176" fillId="2" borderId="12" xfId="703" applyNumberFormat="1" applyFont="1" applyFill="1" applyBorder="1" applyAlignment="1">
      <alignment horizontal="center" vertical="center" wrapText="1" shrinkToFit="1"/>
    </xf>
    <xf numFmtId="0" fontId="15" fillId="2" borderId="12" xfId="642" applyFont="1" applyFill="1" applyBorder="1" applyAlignment="1">
      <alignment vertical="center" shrinkToFit="1"/>
    </xf>
    <xf numFmtId="4" fontId="171" fillId="2" borderId="12" xfId="703" applyNumberFormat="1" applyFont="1" applyFill="1" applyBorder="1" applyAlignment="1">
      <alignment horizontal="center" vertical="center" wrapText="1" shrinkToFit="1"/>
    </xf>
    <xf numFmtId="1" fontId="9" fillId="2" borderId="12" xfId="642" applyNumberFormat="1" applyFont="1" applyFill="1" applyBorder="1" applyAlignment="1">
      <alignment horizontal="center" vertical="center" shrinkToFit="1"/>
    </xf>
    <xf numFmtId="188" fontId="9" fillId="2" borderId="12" xfId="645" applyFont="1" applyFill="1" applyBorder="1" applyAlignment="1">
      <alignment horizontal="center" vertical="center" shrinkToFit="1"/>
    </xf>
    <xf numFmtId="4" fontId="15" fillId="2" borderId="12" xfId="703" applyNumberFormat="1" applyFont="1" applyFill="1" applyBorder="1" applyAlignment="1">
      <alignment horizontal="center" vertical="center" wrapText="1" shrinkToFit="1"/>
    </xf>
    <xf numFmtId="198" fontId="15" fillId="2" borderId="12" xfId="703" applyNumberFormat="1" applyFont="1" applyFill="1" applyBorder="1" applyAlignment="1">
      <alignment horizontal="center" vertical="center" shrinkToFit="1"/>
    </xf>
    <xf numFmtId="188" fontId="15" fillId="2" borderId="12" xfId="645" applyFont="1" applyFill="1" applyBorder="1" applyAlignment="1">
      <alignment horizontal="center" vertical="center" shrinkToFit="1"/>
    </xf>
    <xf numFmtId="1" fontId="15" fillId="2" borderId="12" xfId="642" applyNumberFormat="1" applyFont="1" applyFill="1" applyBorder="1" applyAlignment="1">
      <alignment horizontal="center" vertical="center" shrinkToFit="1"/>
    </xf>
    <xf numFmtId="198" fontId="15" fillId="2" borderId="12" xfId="645" applyNumberFormat="1" applyFont="1" applyFill="1" applyBorder="1" applyAlignment="1">
      <alignment horizontal="center" vertical="center" shrinkToFit="1"/>
    </xf>
    <xf numFmtId="223" fontId="15" fillId="2" borderId="12" xfId="703" applyNumberFormat="1" applyFont="1" applyFill="1" applyBorder="1" applyAlignment="1">
      <alignment horizontal="center" vertical="center" shrinkToFit="1"/>
    </xf>
    <xf numFmtId="198" fontId="15" fillId="2" borderId="12" xfId="703" applyNumberFormat="1" applyFont="1" applyFill="1" applyBorder="1" applyAlignment="1">
      <alignment horizontal="right" vertical="center" shrinkToFit="1"/>
    </xf>
    <xf numFmtId="0" fontId="163" fillId="2" borderId="0" xfId="488" applyFont="1" applyFill="1"/>
    <xf numFmtId="198" fontId="176" fillId="2" borderId="12" xfId="703" applyNumberFormat="1" applyFont="1" applyFill="1" applyBorder="1" applyAlignment="1">
      <alignment horizontal="center" vertical="center" shrinkToFit="1"/>
    </xf>
    <xf numFmtId="198" fontId="163" fillId="2" borderId="0" xfId="488" applyNumberFormat="1" applyFont="1" applyFill="1"/>
    <xf numFmtId="2" fontId="172" fillId="2" borderId="12" xfId="703" applyNumberFormat="1" applyFont="1" applyFill="1" applyBorder="1" applyAlignment="1">
      <alignment horizontal="right" vertical="center" shrinkToFit="1"/>
    </xf>
    <xf numFmtId="0" fontId="16" fillId="2" borderId="12" xfId="642" applyFont="1" applyFill="1" applyBorder="1" applyAlignment="1">
      <alignment horizontal="center" vertical="center" shrinkToFit="1"/>
    </xf>
    <xf numFmtId="198" fontId="172" fillId="2" borderId="12" xfId="703" applyNumberFormat="1" applyFont="1" applyFill="1" applyBorder="1" applyAlignment="1">
      <alignment horizontal="center" vertical="center" shrinkToFit="1"/>
    </xf>
    <xf numFmtId="0" fontId="9" fillId="2" borderId="12" xfId="642" applyFont="1" applyFill="1" applyBorder="1" applyAlignment="1">
      <alignment horizontal="center" vertical="center" shrinkToFit="1"/>
    </xf>
    <xf numFmtId="2" fontId="15" fillId="2" borderId="12" xfId="642" applyNumberFormat="1" applyFont="1" applyFill="1" applyBorder="1" applyAlignment="1">
      <alignment horizontal="right" vertical="center"/>
    </xf>
    <xf numFmtId="2" fontId="172" fillId="2" borderId="12" xfId="703" applyNumberFormat="1" applyFont="1" applyFill="1" applyBorder="1" applyAlignment="1">
      <alignment horizontal="right" vertical="center"/>
    </xf>
    <xf numFmtId="4" fontId="9" fillId="2" borderId="12" xfId="642" applyNumberFormat="1" applyFont="1" applyFill="1" applyBorder="1" applyAlignment="1">
      <alignment horizontal="right" vertical="center"/>
    </xf>
    <xf numFmtId="2" fontId="22" fillId="2" borderId="0" xfId="642" applyNumberFormat="1" applyFont="1" applyFill="1" applyBorder="1" applyAlignment="1">
      <alignment horizontal="center" vertical="center" shrinkToFit="1"/>
    </xf>
    <xf numFmtId="198" fontId="173" fillId="2" borderId="0" xfId="703" applyNumberFormat="1" applyFont="1" applyFill="1" applyBorder="1" applyAlignment="1">
      <alignment horizontal="right" vertical="center" shrinkToFit="1"/>
    </xf>
    <xf numFmtId="2" fontId="173" fillId="2" borderId="0" xfId="703" applyNumberFormat="1" applyFont="1" applyFill="1" applyBorder="1" applyAlignment="1">
      <alignment horizontal="center" vertical="center"/>
    </xf>
    <xf numFmtId="2" fontId="163" fillId="2" borderId="0" xfId="703" applyNumberFormat="1" applyFont="1" applyFill="1" applyBorder="1" applyAlignment="1">
      <alignment horizontal="center" vertical="center"/>
    </xf>
    <xf numFmtId="2" fontId="22" fillId="2" borderId="0" xfId="488" applyNumberFormat="1" applyFont="1" applyFill="1" applyBorder="1" applyAlignment="1">
      <alignment horizontal="center"/>
    </xf>
    <xf numFmtId="0" fontId="163" fillId="2" borderId="0" xfId="488" applyFont="1" applyFill="1" applyBorder="1"/>
    <xf numFmtId="0" fontId="163" fillId="2" borderId="0" xfId="488" applyFont="1" applyFill="1" applyBorder="1" applyAlignment="1">
      <alignment horizontal="center"/>
    </xf>
    <xf numFmtId="0" fontId="163" fillId="2" borderId="0" xfId="488" applyFont="1" applyFill="1" applyBorder="1" applyAlignment="1">
      <alignment wrapText="1"/>
    </xf>
    <xf numFmtId="2" fontId="163" fillId="2" borderId="0" xfId="488" applyNumberFormat="1" applyFont="1" applyFill="1" applyBorder="1"/>
    <xf numFmtId="198" fontId="163" fillId="2" borderId="0" xfId="488" applyNumberFormat="1" applyFont="1" applyFill="1" applyBorder="1" applyAlignment="1">
      <alignment shrinkToFit="1"/>
    </xf>
    <xf numFmtId="0" fontId="22" fillId="2" borderId="0" xfId="488" applyFont="1" applyFill="1" applyAlignment="1">
      <alignment horizontal="center"/>
    </xf>
    <xf numFmtId="0" fontId="15" fillId="2" borderId="0" xfId="643" applyFont="1" applyFill="1" applyAlignment="1">
      <alignment horizontal="center"/>
    </xf>
    <xf numFmtId="0" fontId="12" fillId="2" borderId="35" xfId="623" applyFont="1" applyFill="1" applyBorder="1" applyAlignment="1">
      <alignment horizontal="center" vertical="center"/>
    </xf>
    <xf numFmtId="0" fontId="5" fillId="2" borderId="35" xfId="622" applyFont="1" applyFill="1" applyBorder="1"/>
    <xf numFmtId="0" fontId="45" fillId="2" borderId="35" xfId="622" applyFont="1" applyFill="1" applyBorder="1" applyAlignment="1">
      <alignment vertical="center"/>
    </xf>
    <xf numFmtId="0" fontId="45" fillId="2" borderId="0" xfId="622" applyFont="1" applyFill="1"/>
    <xf numFmtId="0" fontId="196" fillId="2" borderId="0" xfId="622" applyFont="1" applyFill="1"/>
    <xf numFmtId="0" fontId="149" fillId="2" borderId="0" xfId="622" applyFont="1" applyFill="1" applyAlignment="1"/>
    <xf numFmtId="0" fontId="195" fillId="2" borderId="0" xfId="622" applyFont="1" applyFill="1" applyAlignment="1"/>
    <xf numFmtId="4" fontId="129" fillId="0" borderId="3" xfId="0" applyNumberFormat="1" applyFont="1" applyBorder="1" applyAlignment="1">
      <alignment horizontal="center" vertical="center" wrapText="1"/>
    </xf>
    <xf numFmtId="229" fontId="33" fillId="2" borderId="0" xfId="0" applyNumberFormat="1" applyFont="1" applyFill="1"/>
    <xf numFmtId="0" fontId="3" fillId="2" borderId="0" xfId="622" applyFont="1" applyFill="1"/>
    <xf numFmtId="0" fontId="4" fillId="2" borderId="0" xfId="622" applyFont="1" applyFill="1"/>
    <xf numFmtId="0" fontId="4" fillId="2" borderId="0" xfId="622" applyFont="1" applyFill="1" applyAlignment="1">
      <alignment horizontal="center"/>
    </xf>
    <xf numFmtId="0" fontId="4" fillId="2" borderId="0" xfId="622" applyFont="1" applyFill="1" applyAlignment="1">
      <alignment horizontal="left"/>
    </xf>
    <xf numFmtId="0" fontId="3" fillId="2" borderId="0" xfId="622" applyFont="1" applyFill="1" applyAlignment="1">
      <alignment horizontal="center"/>
    </xf>
    <xf numFmtId="0" fontId="3" fillId="2" borderId="0" xfId="622" applyFont="1" applyFill="1" applyAlignment="1">
      <alignment horizontal="left"/>
    </xf>
    <xf numFmtId="0" fontId="3" fillId="2" borderId="35" xfId="622" applyFont="1" applyFill="1" applyBorder="1" applyAlignment="1">
      <alignment horizontal="center" vertical="center"/>
    </xf>
    <xf numFmtId="0" fontId="4" fillId="2" borderId="35" xfId="622" applyFont="1" applyFill="1" applyBorder="1" applyAlignment="1">
      <alignment horizontal="center" vertical="center"/>
    </xf>
    <xf numFmtId="0" fontId="3" fillId="2" borderId="0" xfId="622" applyFont="1" applyFill="1" applyAlignment="1">
      <alignment vertical="center"/>
    </xf>
    <xf numFmtId="217" fontId="4" fillId="2" borderId="35" xfId="622" applyNumberFormat="1" applyFont="1" applyFill="1" applyBorder="1" applyAlignment="1">
      <alignment horizontal="center" vertical="center"/>
    </xf>
    <xf numFmtId="217" fontId="3" fillId="2" borderId="0" xfId="622" applyNumberFormat="1" applyFont="1" applyFill="1" applyAlignment="1">
      <alignment vertical="center"/>
    </xf>
    <xf numFmtId="0" fontId="4" fillId="2" borderId="0" xfId="622" applyFont="1" applyFill="1" applyAlignment="1">
      <alignment vertical="center"/>
    </xf>
    <xf numFmtId="217" fontId="4" fillId="2" borderId="0" xfId="622" applyNumberFormat="1" applyFont="1" applyFill="1" applyAlignment="1">
      <alignment vertical="center"/>
    </xf>
    <xf numFmtId="0" fontId="4" fillId="2" borderId="0" xfId="622" applyFont="1" applyFill="1" applyBorder="1" applyAlignment="1">
      <alignment horizontal="center" vertical="center"/>
    </xf>
    <xf numFmtId="0" fontId="4" fillId="2" borderId="0" xfId="622" applyFont="1" applyFill="1" applyBorder="1" applyAlignment="1">
      <alignment horizontal="left" vertical="center"/>
    </xf>
    <xf numFmtId="0" fontId="4" fillId="2" borderId="0" xfId="622" applyFont="1" applyFill="1" applyBorder="1" applyAlignment="1">
      <alignment vertical="center"/>
    </xf>
    <xf numFmtId="0" fontId="4" fillId="2" borderId="0" xfId="622" applyFont="1" applyFill="1" applyAlignment="1">
      <alignment horizontal="center" vertical="center"/>
    </xf>
    <xf numFmtId="225" fontId="4" fillId="2" borderId="0" xfId="1" applyNumberFormat="1" applyFont="1" applyFill="1" applyAlignment="1">
      <alignment vertical="center"/>
    </xf>
    <xf numFmtId="216" fontId="4" fillId="2" borderId="0" xfId="1" applyNumberFormat="1" applyFont="1" applyFill="1" applyAlignment="1">
      <alignment vertical="center"/>
    </xf>
    <xf numFmtId="0" fontId="148" fillId="2" borderId="35" xfId="622" applyFont="1" applyFill="1" applyBorder="1" applyAlignment="1">
      <alignment horizontal="center" vertical="center"/>
    </xf>
    <xf numFmtId="0" fontId="148" fillId="2" borderId="0" xfId="622" applyFont="1" applyFill="1" applyAlignment="1">
      <alignment vertical="center"/>
    </xf>
    <xf numFmtId="0" fontId="5" fillId="2" borderId="0" xfId="622" applyFont="1" applyFill="1"/>
    <xf numFmtId="0" fontId="11" fillId="2" borderId="0" xfId="0" applyFont="1" applyFill="1" applyAlignment="1">
      <alignment horizontal="center" vertical="center"/>
    </xf>
    <xf numFmtId="0" fontId="1" fillId="2" borderId="5" xfId="0" applyFont="1" applyFill="1" applyBorder="1" applyAlignment="1">
      <alignment horizontal="center" vertical="center"/>
    </xf>
    <xf numFmtId="0" fontId="9" fillId="0" borderId="3" xfId="0" applyFont="1" applyBorder="1" applyAlignment="1">
      <alignment horizontal="center" vertical="center"/>
    </xf>
    <xf numFmtId="3" fontId="9" fillId="0" borderId="3" xfId="0" applyNumberFormat="1" applyFont="1" applyBorder="1" applyAlignment="1">
      <alignment horizontal="center" vertical="center" wrapText="1"/>
    </xf>
    <xf numFmtId="221" fontId="176" fillId="2" borderId="12" xfId="703" applyNumberFormat="1" applyFont="1" applyFill="1" applyBorder="1" applyAlignment="1">
      <alignment horizontal="right" vertical="center" shrinkToFit="1"/>
    </xf>
    <xf numFmtId="2" fontId="175" fillId="2" borderId="12" xfId="643" applyNumberFormat="1" applyFont="1" applyFill="1" applyBorder="1" applyAlignment="1">
      <alignment horizontal="center" vertical="center"/>
    </xf>
    <xf numFmtId="223" fontId="15" fillId="2" borderId="12" xfId="703" applyNumberFormat="1" applyFont="1" applyFill="1" applyBorder="1" applyAlignment="1">
      <alignment horizontal="left" vertical="center" shrinkToFit="1"/>
    </xf>
    <xf numFmtId="1" fontId="12" fillId="2" borderId="35" xfId="640" applyNumberFormat="1" applyFont="1" applyFill="1" applyBorder="1" applyAlignment="1">
      <alignment horizontal="center" vertical="center"/>
    </xf>
    <xf numFmtId="1" fontId="33" fillId="2" borderId="35" xfId="640" applyNumberFormat="1" applyFont="1" applyFill="1" applyBorder="1" applyAlignment="1">
      <alignment horizontal="center" vertical="center"/>
    </xf>
    <xf numFmtId="1" fontId="33" fillId="2" borderId="35" xfId="624" applyNumberFormat="1" applyFont="1" applyFill="1" applyBorder="1" applyAlignment="1">
      <alignment horizontal="center" vertical="center" wrapText="1"/>
    </xf>
    <xf numFmtId="217" fontId="12" fillId="2" borderId="35" xfId="635" applyNumberFormat="1" applyFont="1" applyFill="1" applyBorder="1" applyAlignment="1">
      <alignment horizontal="center" vertical="center" wrapText="1"/>
    </xf>
    <xf numFmtId="0" fontId="203" fillId="0" borderId="42" xfId="638" applyFont="1" applyFill="1" applyBorder="1" applyAlignment="1">
      <alignment horizontal="center" vertical="center"/>
    </xf>
    <xf numFmtId="0" fontId="33" fillId="2" borderId="35" xfId="249" applyFont="1" applyFill="1" applyBorder="1" applyAlignment="1">
      <alignment vertical="center"/>
    </xf>
    <xf numFmtId="217" fontId="33" fillId="2" borderId="35" xfId="635" applyNumberFormat="1" applyFont="1" applyFill="1" applyBorder="1" applyAlignment="1">
      <alignment horizontal="center" vertical="center"/>
    </xf>
    <xf numFmtId="217" fontId="33" fillId="2" borderId="35" xfId="249" applyNumberFormat="1" applyFont="1" applyFill="1" applyBorder="1" applyAlignment="1">
      <alignment horizontal="center" vertical="center"/>
    </xf>
    <xf numFmtId="0" fontId="127" fillId="2" borderId="0" xfId="249" applyFont="1" applyFill="1" applyAlignment="1">
      <alignment vertical="center"/>
    </xf>
    <xf numFmtId="0" fontId="202" fillId="0" borderId="42" xfId="638" applyFont="1" applyFill="1" applyBorder="1" applyAlignment="1">
      <alignment horizontal="center" vertical="center"/>
    </xf>
    <xf numFmtId="219" fontId="12" fillId="2" borderId="35" xfId="635" applyNumberFormat="1" applyFont="1" applyFill="1" applyBorder="1" applyAlignment="1">
      <alignment horizontal="center" vertical="center" wrapText="1"/>
    </xf>
    <xf numFmtId="217" fontId="12" fillId="2" borderId="35" xfId="635" applyNumberFormat="1" applyFont="1" applyFill="1" applyBorder="1" applyAlignment="1">
      <alignment vertical="center"/>
    </xf>
    <xf numFmtId="217" fontId="127" fillId="2" borderId="0" xfId="635" applyNumberFormat="1" applyFont="1" applyFill="1" applyAlignment="1">
      <alignment vertical="center"/>
    </xf>
    <xf numFmtId="1" fontId="18" fillId="0" borderId="0" xfId="635" applyNumberFormat="1" applyFont="1" applyFill="1" applyBorder="1" applyAlignment="1">
      <alignment vertical="center"/>
    </xf>
    <xf numFmtId="1" fontId="18" fillId="0" borderId="0" xfId="635" applyNumberFormat="1" applyFont="1" applyFill="1" applyBorder="1" applyAlignment="1">
      <alignment horizontal="center" vertical="center"/>
    </xf>
    <xf numFmtId="0" fontId="22" fillId="2" borderId="0" xfId="249" applyFont="1" applyFill="1"/>
    <xf numFmtId="0" fontId="11" fillId="2" borderId="0" xfId="0" applyFont="1" applyFill="1" applyAlignment="1">
      <alignment horizontal="center" vertical="center"/>
    </xf>
    <xf numFmtId="0" fontId="15" fillId="0" borderId="0" xfId="0" applyFont="1" applyAlignment="1">
      <alignment horizontal="center"/>
    </xf>
    <xf numFmtId="0" fontId="10" fillId="0" borderId="0" xfId="0" applyFont="1" applyAlignment="1">
      <alignment horizontal="center"/>
    </xf>
    <xf numFmtId="4" fontId="10" fillId="0" borderId="0" xfId="0" applyNumberFormat="1" applyFont="1" applyAlignment="1">
      <alignment horizontal="center"/>
    </xf>
    <xf numFmtId="0" fontId="9" fillId="0" borderId="3" xfId="0" applyFont="1" applyBorder="1" applyAlignment="1">
      <alignment horizontal="center" vertical="center"/>
    </xf>
    <xf numFmtId="3" fontId="9" fillId="0" borderId="3" xfId="0" applyNumberFormat="1" applyFont="1" applyBorder="1" applyAlignment="1">
      <alignment horizontal="center" vertical="center" wrapText="1"/>
    </xf>
    <xf numFmtId="0" fontId="129" fillId="0" borderId="3" xfId="0" applyFont="1" applyBorder="1" applyAlignment="1">
      <alignment horizontal="left" vertical="center" wrapText="1"/>
    </xf>
    <xf numFmtId="0" fontId="15" fillId="0" borderId="3" xfId="0" applyFont="1" applyBorder="1" applyAlignment="1">
      <alignment horizontal="left" vertical="center" wrapText="1"/>
    </xf>
    <xf numFmtId="4" fontId="9" fillId="0" borderId="3" xfId="1" applyNumberFormat="1" applyFont="1" applyFill="1" applyBorder="1" applyAlignment="1">
      <alignment horizontal="center" vertical="center"/>
    </xf>
    <xf numFmtId="4" fontId="15" fillId="0" borderId="0" xfId="0" applyNumberFormat="1" applyFont="1"/>
    <xf numFmtId="217" fontId="3" fillId="2" borderId="0" xfId="622" applyNumberFormat="1" applyFont="1" applyFill="1" applyAlignment="1">
      <alignment horizontal="center" vertical="center"/>
    </xf>
    <xf numFmtId="0" fontId="33" fillId="2" borderId="3" xfId="0" applyFont="1" applyFill="1" applyBorder="1" applyAlignment="1">
      <alignment horizontal="center" vertical="center"/>
    </xf>
    <xf numFmtId="3" fontId="33" fillId="2" borderId="3" xfId="0" applyNumberFormat="1" applyFont="1" applyFill="1" applyBorder="1" applyAlignment="1">
      <alignment horizontal="center" vertical="center"/>
    </xf>
    <xf numFmtId="3" fontId="33" fillId="2" borderId="3" xfId="0" applyNumberFormat="1" applyFont="1" applyFill="1" applyBorder="1" applyAlignment="1">
      <alignment horizontal="left" vertical="center"/>
    </xf>
    <xf numFmtId="216" fontId="33" fillId="2" borderId="3" xfId="1" applyNumberFormat="1" applyFont="1" applyFill="1" applyBorder="1" applyAlignment="1">
      <alignment horizontal="right" vertical="center"/>
    </xf>
    <xf numFmtId="3" fontId="33" fillId="2" borderId="3" xfId="0" quotePrefix="1" applyNumberFormat="1" applyFont="1" applyFill="1" applyBorder="1" applyAlignment="1">
      <alignment horizontal="center" vertical="center"/>
    </xf>
    <xf numFmtId="3" fontId="12" fillId="2" borderId="3" xfId="1" applyNumberFormat="1" applyFont="1" applyFill="1" applyBorder="1" applyAlignment="1">
      <alignment horizontal="right" vertical="center"/>
    </xf>
    <xf numFmtId="0" fontId="33" fillId="2" borderId="0" xfId="0" applyFont="1" applyFill="1" applyAlignment="1">
      <alignment horizontal="center" vertical="center"/>
    </xf>
    <xf numFmtId="0" fontId="33" fillId="2" borderId="0" xfId="0" applyFont="1" applyFill="1" applyAlignment="1">
      <alignment vertical="center"/>
    </xf>
    <xf numFmtId="4" fontId="33" fillId="2" borderId="0" xfId="0" applyNumberFormat="1" applyFont="1" applyFill="1" applyAlignment="1">
      <alignment vertical="center"/>
    </xf>
    <xf numFmtId="43" fontId="33" fillId="2" borderId="0" xfId="1" applyFont="1" applyFill="1" applyAlignment="1">
      <alignment horizontal="center" vertical="center"/>
    </xf>
    <xf numFmtId="0" fontId="33" fillId="2" borderId="0" xfId="0" applyFont="1" applyFill="1" applyAlignment="1">
      <alignment horizontal="right" vertical="center"/>
    </xf>
    <xf numFmtId="0" fontId="12" fillId="2" borderId="0" xfId="0" applyFont="1" applyFill="1" applyAlignment="1">
      <alignment vertical="center"/>
    </xf>
    <xf numFmtId="216" fontId="11" fillId="2" borderId="0" xfId="0" applyNumberFormat="1" applyFont="1" applyFill="1" applyAlignment="1">
      <alignment vertical="center"/>
    </xf>
    <xf numFmtId="43" fontId="9" fillId="0" borderId="0" xfId="0" applyNumberFormat="1" applyFont="1" applyAlignment="1">
      <alignment horizontal="center" vertical="center" wrapText="1"/>
    </xf>
    <xf numFmtId="0" fontId="15" fillId="0" borderId="3" xfId="0" applyFont="1" applyFill="1" applyBorder="1" applyAlignment="1">
      <alignment horizontal="left" vertical="center" shrinkToFit="1"/>
    </xf>
    <xf numFmtId="0" fontId="133" fillId="0" borderId="0" xfId="0" applyFont="1" applyAlignment="1">
      <alignment horizontal="right"/>
    </xf>
    <xf numFmtId="0" fontId="9" fillId="0" borderId="2" xfId="0" applyFont="1" applyBorder="1" applyAlignment="1">
      <alignment horizontal="center" vertical="center"/>
    </xf>
    <xf numFmtId="0" fontId="9" fillId="0" borderId="2" xfId="0" applyFont="1" applyBorder="1" applyAlignment="1">
      <alignment horizontal="center" vertical="center" wrapText="1"/>
    </xf>
    <xf numFmtId="3" fontId="9" fillId="0" borderId="2" xfId="0" applyNumberFormat="1" applyFont="1" applyBorder="1" applyAlignment="1">
      <alignment horizontal="center" vertical="center" wrapText="1"/>
    </xf>
    <xf numFmtId="3" fontId="133" fillId="0" borderId="2" xfId="0" applyNumberFormat="1" applyFont="1" applyBorder="1" applyAlignment="1">
      <alignment horizontal="center" vertical="center" wrapText="1"/>
    </xf>
    <xf numFmtId="0" fontId="33" fillId="2" borderId="3" xfId="495" applyFont="1" applyFill="1" applyBorder="1" applyAlignment="1">
      <alignment vertical="center"/>
    </xf>
    <xf numFmtId="0" fontId="33" fillId="2" borderId="3" xfId="495" applyFont="1" applyFill="1" applyBorder="1" applyAlignment="1">
      <alignment horizontal="center" vertical="center"/>
    </xf>
    <xf numFmtId="0" fontId="33" fillId="2" borderId="4" xfId="495" applyFont="1" applyFill="1" applyBorder="1" applyAlignment="1">
      <alignment horizontal="center" vertical="center"/>
    </xf>
    <xf numFmtId="0" fontId="33" fillId="2" borderId="5" xfId="495" applyFont="1" applyFill="1" applyBorder="1" applyAlignment="1">
      <alignment horizontal="center" vertical="center"/>
    </xf>
    <xf numFmtId="0" fontId="12" fillId="2" borderId="5" xfId="495" applyFont="1" applyFill="1" applyBorder="1" applyAlignment="1">
      <alignment horizontal="center" vertical="center"/>
    </xf>
    <xf numFmtId="0" fontId="12" fillId="2" borderId="3" xfId="495" applyFont="1" applyFill="1" applyBorder="1" applyAlignment="1">
      <alignment horizontal="center" vertical="center"/>
    </xf>
    <xf numFmtId="3" fontId="12" fillId="2" borderId="3" xfId="495" applyNumberFormat="1" applyFont="1" applyFill="1" applyBorder="1" applyAlignment="1">
      <alignment horizontal="center" vertical="center"/>
    </xf>
    <xf numFmtId="0" fontId="33" fillId="2" borderId="0" xfId="495" applyFont="1" applyFill="1" applyAlignment="1"/>
    <xf numFmtId="0" fontId="146" fillId="2" borderId="35" xfId="627" applyFont="1" applyFill="1" applyBorder="1" applyAlignment="1">
      <alignment vertical="center"/>
    </xf>
    <xf numFmtId="0" fontId="44" fillId="2" borderId="35" xfId="622" applyFont="1" applyFill="1" applyBorder="1"/>
    <xf numFmtId="0" fontId="137" fillId="2" borderId="0" xfId="622" applyFont="1" applyFill="1" applyAlignment="1">
      <alignment shrinkToFit="1"/>
    </xf>
    <xf numFmtId="0" fontId="140" fillId="2" borderId="0" xfId="622" applyFont="1" applyFill="1" applyAlignment="1">
      <alignment horizontal="center" shrinkToFit="1"/>
    </xf>
    <xf numFmtId="0" fontId="23" fillId="2" borderId="35" xfId="623" applyFont="1" applyFill="1" applyBorder="1" applyAlignment="1">
      <alignment horizontal="center" vertical="center" shrinkToFit="1"/>
    </xf>
    <xf numFmtId="0" fontId="23" fillId="2" borderId="35" xfId="623" quotePrefix="1" applyFont="1" applyFill="1" applyBorder="1" applyAlignment="1">
      <alignment horizontal="center" vertical="center" shrinkToFit="1"/>
    </xf>
    <xf numFmtId="0" fontId="146" fillId="2" borderId="35" xfId="622" applyFont="1" applyFill="1" applyBorder="1" applyAlignment="1">
      <alignment horizontal="center" vertical="center" shrinkToFit="1"/>
    </xf>
    <xf numFmtId="1" fontId="44" fillId="2" borderId="35" xfId="626" applyNumberFormat="1" applyFont="1" applyFill="1" applyBorder="1" applyAlignment="1">
      <alignment horizontal="center" vertical="center" shrinkToFit="1"/>
    </xf>
    <xf numFmtId="0" fontId="146" fillId="2" borderId="0" xfId="622" applyFont="1" applyFill="1" applyAlignment="1">
      <alignment shrinkToFit="1"/>
    </xf>
    <xf numFmtId="0" fontId="125" fillId="2" borderId="0" xfId="622" applyFont="1" applyFill="1" applyAlignment="1">
      <alignment shrinkToFit="1"/>
    </xf>
    <xf numFmtId="0" fontId="153" fillId="2" borderId="0" xfId="622" applyFont="1" applyFill="1" applyAlignment="1">
      <alignment shrinkToFit="1"/>
    </xf>
    <xf numFmtId="0" fontId="3" fillId="2" borderId="0" xfId="622" applyFont="1" applyFill="1" applyAlignment="1">
      <alignment horizontal="center" vertical="center"/>
    </xf>
    <xf numFmtId="0" fontId="48" fillId="2" borderId="0" xfId="622" applyFont="1" applyFill="1" applyAlignment="1">
      <alignment vertical="center"/>
    </xf>
    <xf numFmtId="43" fontId="4" fillId="2" borderId="0" xfId="622" applyNumberFormat="1" applyFont="1" applyFill="1" applyAlignment="1">
      <alignment vertical="center"/>
    </xf>
    <xf numFmtId="238" fontId="4" fillId="2" borderId="35" xfId="622" applyNumberFormat="1" applyFont="1" applyFill="1" applyBorder="1" applyAlignment="1">
      <alignment horizontal="center" vertical="center"/>
    </xf>
    <xf numFmtId="0" fontId="44" fillId="2" borderId="0" xfId="622" applyFont="1" applyFill="1" applyBorder="1" applyAlignment="1">
      <alignment horizontal="center" vertical="center" wrapText="1"/>
    </xf>
    <xf numFmtId="0" fontId="175" fillId="2" borderId="0" xfId="643" applyFont="1" applyFill="1" applyAlignment="1">
      <alignment horizontal="center"/>
    </xf>
    <xf numFmtId="0" fontId="175" fillId="2" borderId="0" xfId="643" applyFont="1" applyFill="1" applyAlignment="1">
      <alignment horizontal="center" vertical="center"/>
    </xf>
    <xf numFmtId="188" fontId="175" fillId="2" borderId="0" xfId="643" applyNumberFormat="1" applyFont="1" applyFill="1"/>
    <xf numFmtId="2" fontId="49" fillId="2" borderId="12" xfId="642" applyNumberFormat="1" applyFont="1" applyFill="1" applyBorder="1" applyAlignment="1">
      <alignment horizontal="center" vertical="center" shrinkToFit="1"/>
    </xf>
    <xf numFmtId="0" fontId="49" fillId="2" borderId="12" xfId="643" applyFont="1" applyFill="1" applyBorder="1" applyAlignment="1">
      <alignment horizontal="center" vertical="center"/>
    </xf>
    <xf numFmtId="198" fontId="175" fillId="2" borderId="0" xfId="643" applyNumberFormat="1" applyFont="1" applyFill="1" applyAlignment="1">
      <alignment horizontal="center"/>
    </xf>
    <xf numFmtId="0" fontId="9" fillId="2" borderId="0" xfId="643" applyFont="1" applyFill="1" applyAlignment="1">
      <alignment horizontal="center"/>
    </xf>
    <xf numFmtId="2" fontId="15" fillId="0" borderId="0" xfId="0" applyNumberFormat="1" applyFont="1"/>
    <xf numFmtId="0" fontId="15" fillId="2" borderId="0" xfId="489" applyFill="1" applyAlignment="1">
      <alignment horizontal="right"/>
    </xf>
    <xf numFmtId="0" fontId="34" fillId="2" borderId="0" xfId="0" applyFont="1" applyFill="1" applyAlignment="1">
      <alignment horizontal="right"/>
    </xf>
    <xf numFmtId="0" fontId="45" fillId="2" borderId="35" xfId="622" applyFont="1" applyFill="1" applyBorder="1" applyAlignment="1">
      <alignment horizontal="center" vertical="center" shrinkToFit="1"/>
    </xf>
    <xf numFmtId="0" fontId="146" fillId="2" borderId="35" xfId="622" applyFont="1" applyFill="1" applyBorder="1" applyAlignment="1">
      <alignment vertical="center" shrinkToFit="1"/>
    </xf>
    <xf numFmtId="0" fontId="190" fillId="2" borderId="35" xfId="622" applyFont="1" applyFill="1" applyBorder="1" applyAlignment="1">
      <alignment vertical="center" shrinkToFit="1"/>
    </xf>
    <xf numFmtId="0" fontId="190" fillId="2" borderId="35" xfId="623" applyFont="1" applyFill="1" applyBorder="1" applyAlignment="1">
      <alignment horizontal="center" vertical="center" shrinkToFit="1"/>
    </xf>
    <xf numFmtId="0" fontId="190" fillId="2" borderId="35" xfId="623" applyNumberFormat="1" applyFont="1" applyFill="1" applyBorder="1" applyAlignment="1">
      <alignment horizontal="center" vertical="center" shrinkToFit="1"/>
    </xf>
    <xf numFmtId="0" fontId="190" fillId="2" borderId="35" xfId="622" applyFont="1" applyFill="1" applyBorder="1" applyAlignment="1">
      <alignment horizontal="center" vertical="center" shrinkToFit="1"/>
    </xf>
    <xf numFmtId="187" fontId="190" fillId="2" borderId="35" xfId="623" applyNumberFormat="1" applyFont="1" applyFill="1" applyBorder="1" applyAlignment="1">
      <alignment horizontal="center" vertical="center" shrinkToFit="1"/>
    </xf>
    <xf numFmtId="0" fontId="146" fillId="2" borderId="35" xfId="622" applyFont="1" applyFill="1" applyBorder="1" applyAlignment="1">
      <alignment shrinkToFit="1"/>
    </xf>
    <xf numFmtId="0" fontId="146" fillId="2" borderId="0" xfId="622" applyFont="1" applyFill="1" applyBorder="1" applyAlignment="1">
      <alignment shrinkToFit="1"/>
    </xf>
    <xf numFmtId="0" fontId="146" fillId="2" borderId="35" xfId="627" applyFont="1" applyFill="1" applyBorder="1" applyAlignment="1">
      <alignment vertical="center" shrinkToFit="1"/>
    </xf>
    <xf numFmtId="0" fontId="146" fillId="2" borderId="35" xfId="627" applyFont="1" applyFill="1" applyBorder="1" applyAlignment="1">
      <alignment horizontal="center" vertical="center" shrinkToFit="1"/>
    </xf>
    <xf numFmtId="0" fontId="190" fillId="2" borderId="35" xfId="627" applyFont="1" applyFill="1" applyBorder="1" applyAlignment="1">
      <alignment horizontal="center" vertical="center" shrinkToFit="1"/>
    </xf>
    <xf numFmtId="0" fontId="146" fillId="2" borderId="0" xfId="622" applyFont="1" applyFill="1" applyAlignment="1">
      <alignment horizontal="center" shrinkToFit="1"/>
    </xf>
    <xf numFmtId="187" fontId="44" fillId="2" borderId="0" xfId="622" applyNumberFormat="1" applyFont="1" applyFill="1" applyAlignment="1">
      <alignment horizontal="center" shrinkToFit="1"/>
    </xf>
    <xf numFmtId="0" fontId="44" fillId="2" borderId="0" xfId="622" applyFont="1" applyFill="1" applyAlignment="1">
      <alignment shrinkToFit="1"/>
    </xf>
    <xf numFmtId="187" fontId="44" fillId="2" borderId="1" xfId="622" applyNumberFormat="1" applyFont="1" applyFill="1" applyBorder="1" applyAlignment="1">
      <alignment horizontal="center" shrinkToFit="1"/>
    </xf>
    <xf numFmtId="0" fontId="44" fillId="2" borderId="35" xfId="622" applyFont="1" applyFill="1" applyBorder="1" applyAlignment="1">
      <alignment shrinkToFit="1"/>
    </xf>
    <xf numFmtId="0" fontId="44" fillId="2" borderId="35" xfId="622" applyFont="1" applyFill="1" applyBorder="1" applyAlignment="1">
      <alignment horizontal="center" vertical="center" shrinkToFit="1"/>
    </xf>
    <xf numFmtId="187" fontId="44" fillId="2" borderId="35" xfId="622" applyNumberFormat="1" applyFont="1" applyFill="1" applyBorder="1" applyAlignment="1">
      <alignment vertical="center" shrinkToFit="1"/>
    </xf>
    <xf numFmtId="0" fontId="44" fillId="2" borderId="0" xfId="622" applyFont="1" applyFill="1" applyBorder="1" applyAlignment="1">
      <alignment shrinkToFit="1"/>
    </xf>
    <xf numFmtId="187" fontId="205" fillId="2" borderId="35" xfId="622" applyNumberFormat="1" applyFont="1" applyFill="1" applyBorder="1" applyAlignment="1">
      <alignment vertical="center" shrinkToFit="1"/>
    </xf>
    <xf numFmtId="0" fontId="206" fillId="2" borderId="0" xfId="622" applyFont="1" applyFill="1"/>
    <xf numFmtId="0" fontId="44" fillId="2" borderId="0" xfId="622" applyFont="1" applyFill="1"/>
    <xf numFmtId="0" fontId="44" fillId="2" borderId="0" xfId="622" applyFont="1" applyFill="1" applyAlignment="1"/>
    <xf numFmtId="0" fontId="146" fillId="2" borderId="0" xfId="622" applyFont="1" applyFill="1"/>
    <xf numFmtId="0" fontId="193" fillId="2" borderId="0" xfId="623" applyFont="1" applyFill="1"/>
    <xf numFmtId="187" fontId="207" fillId="2" borderId="0" xfId="622" applyNumberFormat="1" applyFont="1" applyFill="1"/>
    <xf numFmtId="3" fontId="45" fillId="2" borderId="35" xfId="626" applyNumberFormat="1" applyFont="1" applyFill="1" applyBorder="1" applyAlignment="1">
      <alignment horizontal="center" vertical="center" shrinkToFit="1"/>
    </xf>
    <xf numFmtId="217" fontId="45" fillId="2" borderId="35" xfId="622" applyNumberFormat="1" applyFont="1" applyFill="1" applyBorder="1" applyAlignment="1">
      <alignment horizontal="center" vertical="center" shrinkToFit="1"/>
    </xf>
    <xf numFmtId="188" fontId="45" fillId="2" borderId="35" xfId="626" applyNumberFormat="1" applyFont="1" applyFill="1" applyBorder="1" applyAlignment="1">
      <alignment vertical="center" shrinkToFit="1"/>
    </xf>
    <xf numFmtId="3" fontId="45" fillId="2" borderId="35" xfId="622" applyNumberFormat="1" applyFont="1" applyFill="1" applyBorder="1" applyAlignment="1">
      <alignment horizontal="center" vertical="center" shrinkToFit="1"/>
    </xf>
    <xf numFmtId="3" fontId="5" fillId="2" borderId="35" xfId="626" applyNumberFormat="1" applyFont="1" applyFill="1" applyBorder="1" applyAlignment="1">
      <alignment horizontal="center" vertical="center" shrinkToFit="1"/>
    </xf>
    <xf numFmtId="0" fontId="45" fillId="2" borderId="35" xfId="622" applyFont="1" applyFill="1" applyBorder="1" applyAlignment="1">
      <alignment horizontal="left" vertical="center" shrinkToFit="1"/>
    </xf>
    <xf numFmtId="0" fontId="33" fillId="2" borderId="39" xfId="622" applyFont="1" applyFill="1" applyBorder="1" applyAlignment="1">
      <alignment horizontal="center" vertical="center" shrinkToFit="1"/>
    </xf>
    <xf numFmtId="227" fontId="45" fillId="2" borderId="35" xfId="626" applyNumberFormat="1" applyFont="1" applyFill="1" applyBorder="1" applyAlignment="1">
      <alignment horizontal="center" vertical="center" shrinkToFit="1"/>
    </xf>
    <xf numFmtId="0" fontId="12" fillId="2" borderId="35" xfId="623" quotePrefix="1" applyFont="1" applyFill="1" applyBorder="1" applyAlignment="1">
      <alignment horizontal="center" vertical="center" shrinkToFit="1"/>
    </xf>
    <xf numFmtId="0" fontId="44" fillId="2" borderId="0" xfId="622" applyFont="1" applyFill="1" applyAlignment="1">
      <alignment horizontal="left"/>
    </xf>
    <xf numFmtId="0" fontId="44" fillId="2" borderId="0" xfId="622" applyFont="1" applyFill="1" applyBorder="1" applyAlignment="1">
      <alignment horizontal="left"/>
    </xf>
    <xf numFmtId="0" fontId="44" fillId="2" borderId="0" xfId="622" applyFont="1" applyFill="1" applyBorder="1"/>
    <xf numFmtId="0" fontId="208" fillId="2" borderId="0" xfId="622" applyFont="1" applyFill="1" applyAlignment="1"/>
    <xf numFmtId="0" fontId="44" fillId="2" borderId="0" xfId="622" applyFont="1" applyFill="1" applyAlignment="1">
      <alignment vertical="center"/>
    </xf>
    <xf numFmtId="0" fontId="10" fillId="2" borderId="0" xfId="0" applyFont="1" applyFill="1" applyAlignment="1">
      <alignment horizontal="center" vertical="center"/>
    </xf>
    <xf numFmtId="0" fontId="11" fillId="2" borderId="0" xfId="0" applyFont="1" applyFill="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horizontal="center"/>
    </xf>
    <xf numFmtId="2" fontId="11" fillId="2" borderId="0" xfId="0" applyNumberFormat="1" applyFont="1" applyFill="1" applyAlignment="1">
      <alignment horizontal="center"/>
    </xf>
    <xf numFmtId="0" fontId="11" fillId="2" borderId="0" xfId="0" applyFont="1" applyFill="1" applyAlignment="1">
      <alignment horizontal="center"/>
    </xf>
    <xf numFmtId="0" fontId="3" fillId="2" borderId="0" xfId="0" applyFont="1" applyFill="1" applyAlignment="1">
      <alignment horizontal="center"/>
    </xf>
    <xf numFmtId="0" fontId="18" fillId="2" borderId="0" xfId="0" applyFont="1" applyFill="1" applyAlignment="1">
      <alignment horizontal="center" vertical="center"/>
    </xf>
    <xf numFmtId="0" fontId="15" fillId="2" borderId="0" xfId="0" applyFont="1" applyFill="1" applyAlignment="1">
      <alignment horizontal="center" vertical="center"/>
    </xf>
    <xf numFmtId="216" fontId="22" fillId="2" borderId="0" xfId="0" applyNumberFormat="1" applyFont="1" applyFill="1" applyAlignment="1">
      <alignment horizontal="center"/>
    </xf>
    <xf numFmtId="43" fontId="22" fillId="2" borderId="0" xfId="1" applyFont="1" applyFill="1" applyAlignment="1">
      <alignment horizontal="center"/>
    </xf>
    <xf numFmtId="217" fontId="22" fillId="2" borderId="0" xfId="0" applyNumberFormat="1" applyFont="1" applyFill="1" applyAlignment="1">
      <alignment horizontal="center"/>
    </xf>
    <xf numFmtId="0" fontId="22" fillId="2" borderId="0" xfId="0" applyFont="1" applyFill="1" applyAlignment="1">
      <alignment horizontal="center"/>
    </xf>
    <xf numFmtId="240" fontId="18" fillId="2" borderId="0" xfId="489" applyNumberFormat="1" applyFont="1" applyFill="1"/>
    <xf numFmtId="0" fontId="11" fillId="2" borderId="0" xfId="0" applyFont="1" applyFill="1" applyAlignment="1">
      <alignment horizontal="center" vertical="center"/>
    </xf>
    <xf numFmtId="0" fontId="9" fillId="0" borderId="0" xfId="0" applyFont="1" applyAlignment="1">
      <alignment horizontal="center"/>
    </xf>
    <xf numFmtId="0" fontId="15" fillId="0" borderId="0" xfId="0" applyFont="1" applyAlignment="1">
      <alignment horizontal="center"/>
    </xf>
    <xf numFmtId="4" fontId="10" fillId="0" borderId="0" xfId="0" applyNumberFormat="1" applyFont="1" applyAlignment="1">
      <alignment horizontal="center"/>
    </xf>
    <xf numFmtId="0" fontId="12" fillId="2" borderId="0" xfId="0" applyFont="1" applyFill="1" applyAlignment="1">
      <alignment horizontal="center"/>
    </xf>
    <xf numFmtId="0" fontId="12" fillId="2" borderId="0" xfId="639" applyFont="1" applyFill="1" applyAlignment="1">
      <alignment vertical="center"/>
    </xf>
    <xf numFmtId="0" fontId="12" fillId="2" borderId="0" xfId="639" applyFont="1" applyFill="1" applyAlignment="1">
      <alignment horizontal="center" vertical="center"/>
    </xf>
    <xf numFmtId="0" fontId="33" fillId="2" borderId="0" xfId="639" applyFont="1" applyFill="1" applyAlignment="1">
      <alignment vertical="center"/>
    </xf>
    <xf numFmtId="0" fontId="33" fillId="2" borderId="0" xfId="639" applyFont="1" applyFill="1" applyAlignment="1">
      <alignment horizontal="center" vertical="center"/>
    </xf>
    <xf numFmtId="0" fontId="33" fillId="2" borderId="35" xfId="639" applyFont="1" applyFill="1" applyBorder="1" applyAlignment="1">
      <alignment horizontal="center" vertical="center"/>
    </xf>
    <xf numFmtId="0" fontId="33" fillId="2" borderId="35" xfId="639" applyFont="1" applyFill="1" applyBorder="1" applyAlignment="1" applyProtection="1">
      <alignment horizontal="center" vertical="center"/>
      <protection hidden="1"/>
    </xf>
    <xf numFmtId="217" fontId="33" fillId="2" borderId="35" xfId="636" applyNumberFormat="1" applyFont="1" applyFill="1" applyBorder="1" applyAlignment="1">
      <alignment vertical="center"/>
    </xf>
    <xf numFmtId="0" fontId="206" fillId="2" borderId="0" xfId="639" applyFont="1" applyFill="1" applyAlignment="1">
      <alignment vertical="center"/>
    </xf>
    <xf numFmtId="217" fontId="206" fillId="2" borderId="35" xfId="636" applyNumberFormat="1" applyFont="1" applyFill="1" applyBorder="1" applyAlignment="1">
      <alignment vertical="center"/>
    </xf>
    <xf numFmtId="0" fontId="12" fillId="2" borderId="35" xfId="639" applyFont="1" applyFill="1" applyBorder="1" applyAlignment="1">
      <alignment horizontal="center" vertical="center"/>
    </xf>
    <xf numFmtId="3" fontId="12" fillId="2" borderId="35" xfId="639" applyNumberFormat="1" applyFont="1" applyFill="1" applyBorder="1" applyAlignment="1">
      <alignment horizontal="center" vertical="center"/>
    </xf>
    <xf numFmtId="14" fontId="33" fillId="2" borderId="0" xfId="639" applyNumberFormat="1" applyFont="1" applyFill="1" applyAlignment="1">
      <alignment vertical="center"/>
    </xf>
    <xf numFmtId="0" fontId="12" fillId="2" borderId="0" xfId="638" applyFont="1" applyFill="1" applyAlignment="1">
      <alignment vertical="center"/>
    </xf>
    <xf numFmtId="0" fontId="33" fillId="2" borderId="0" xfId="638" applyFont="1" applyFill="1" applyAlignment="1">
      <alignment vertical="center"/>
    </xf>
    <xf numFmtId="0" fontId="33" fillId="2" borderId="35" xfId="639" applyFont="1" applyFill="1" applyBorder="1" applyAlignment="1">
      <alignment vertical="center" shrinkToFit="1"/>
    </xf>
    <xf numFmtId="0" fontId="33" fillId="2" borderId="35" xfId="639" applyFont="1" applyFill="1" applyBorder="1" applyAlignment="1">
      <alignment horizontal="left" vertical="center" shrinkToFit="1"/>
    </xf>
    <xf numFmtId="0" fontId="45" fillId="2" borderId="0" xfId="0" applyFont="1" applyFill="1"/>
    <xf numFmtId="188" fontId="5" fillId="2" borderId="0" xfId="0" applyNumberFormat="1" applyFont="1" applyFill="1" applyAlignment="1">
      <alignment horizontal="center"/>
    </xf>
    <xf numFmtId="0" fontId="5" fillId="2" borderId="0" xfId="0" applyFont="1" applyFill="1" applyAlignment="1">
      <alignment horizontal="center"/>
    </xf>
    <xf numFmtId="3" fontId="5" fillId="2" borderId="0" xfId="0" applyNumberFormat="1" applyFont="1" applyFill="1" applyAlignment="1">
      <alignment horizontal="center"/>
    </xf>
    <xf numFmtId="188" fontId="33" fillId="2" borderId="0" xfId="0" applyNumberFormat="1" applyFont="1" applyFill="1" applyAlignment="1">
      <alignment horizontal="right" vertical="center"/>
    </xf>
    <xf numFmtId="3" fontId="33" fillId="2" borderId="0" xfId="0" applyNumberFormat="1" applyFont="1" applyFill="1" applyAlignment="1">
      <alignment horizontal="center" vertical="center"/>
    </xf>
    <xf numFmtId="0" fontId="33" fillId="2" borderId="0" xfId="0" applyFont="1" applyFill="1" applyAlignment="1">
      <alignment horizontal="left" vertical="center"/>
    </xf>
    <xf numFmtId="216" fontId="12" fillId="2" borderId="0" xfId="1" applyNumberFormat="1" applyFont="1" applyFill="1" applyAlignment="1">
      <alignment horizontal="center"/>
    </xf>
    <xf numFmtId="198" fontId="12" fillId="2" borderId="0" xfId="1" applyNumberFormat="1" applyFont="1" applyFill="1" applyAlignment="1"/>
    <xf numFmtId="188" fontId="12" fillId="2" borderId="0" xfId="1" applyNumberFormat="1" applyFont="1" applyFill="1" applyAlignment="1"/>
    <xf numFmtId="217" fontId="12" fillId="2" borderId="0" xfId="1" applyNumberFormat="1" applyFont="1" applyFill="1" applyAlignment="1">
      <alignment horizontal="center"/>
    </xf>
    <xf numFmtId="217" fontId="12" fillId="2" borderId="0" xfId="1" applyNumberFormat="1" applyFont="1" applyFill="1" applyAlignment="1"/>
    <xf numFmtId="3" fontId="12" fillId="2" borderId="0" xfId="0" applyNumberFormat="1" applyFont="1" applyFill="1" applyAlignment="1">
      <alignment horizontal="center"/>
    </xf>
    <xf numFmtId="188" fontId="12" fillId="2" borderId="0" xfId="0" applyNumberFormat="1" applyFont="1" applyFill="1" applyAlignment="1">
      <alignment horizontal="center"/>
    </xf>
    <xf numFmtId="43" fontId="33" fillId="2" borderId="3" xfId="1" applyFont="1" applyFill="1" applyBorder="1" applyAlignment="1">
      <alignment horizontal="center" vertical="center"/>
    </xf>
    <xf numFmtId="3" fontId="33" fillId="2" borderId="3" xfId="1" applyNumberFormat="1" applyFont="1" applyFill="1" applyBorder="1" applyAlignment="1">
      <alignment horizontal="center" vertical="center"/>
    </xf>
    <xf numFmtId="217" fontId="33" fillId="2" borderId="3" xfId="1" applyNumberFormat="1" applyFont="1" applyFill="1" applyBorder="1" applyAlignment="1">
      <alignment horizontal="right" vertical="center"/>
    </xf>
    <xf numFmtId="41" fontId="33" fillId="2" borderId="3" xfId="1" applyNumberFormat="1" applyFont="1" applyFill="1" applyBorder="1" applyAlignment="1">
      <alignment horizontal="center" vertical="center"/>
    </xf>
    <xf numFmtId="3" fontId="33" fillId="2" borderId="3" xfId="1" applyNumberFormat="1" applyFont="1" applyFill="1" applyBorder="1" applyAlignment="1">
      <alignment horizontal="right" vertical="center" shrinkToFit="1"/>
    </xf>
    <xf numFmtId="217" fontId="33" fillId="2" borderId="3" xfId="1" applyNumberFormat="1" applyFont="1" applyFill="1" applyBorder="1" applyAlignment="1">
      <alignment vertical="center" shrinkToFit="1"/>
    </xf>
    <xf numFmtId="3" fontId="33" fillId="2" borderId="35" xfId="0" quotePrefix="1" applyNumberFormat="1" applyFont="1" applyFill="1" applyBorder="1" applyAlignment="1">
      <alignment horizontal="center" vertical="center"/>
    </xf>
    <xf numFmtId="3" fontId="33" fillId="2" borderId="35" xfId="1" applyNumberFormat="1" applyFont="1" applyFill="1" applyBorder="1" applyAlignment="1">
      <alignment horizontal="center" vertical="center"/>
    </xf>
    <xf numFmtId="217" fontId="33" fillId="2" borderId="35" xfId="1" applyNumberFormat="1" applyFont="1" applyFill="1" applyBorder="1" applyAlignment="1">
      <alignment vertical="center" shrinkToFit="1"/>
    </xf>
    <xf numFmtId="3" fontId="33" fillId="2" borderId="3" xfId="0" applyNumberFormat="1" applyFont="1" applyFill="1" applyBorder="1" applyAlignment="1">
      <alignment horizontal="left" vertical="center" shrinkToFit="1"/>
    </xf>
    <xf numFmtId="4" fontId="12" fillId="2" borderId="3" xfId="1" applyNumberFormat="1" applyFont="1" applyFill="1" applyBorder="1" applyAlignment="1">
      <alignment horizontal="center" vertical="center"/>
    </xf>
    <xf numFmtId="3" fontId="12" fillId="2" borderId="3" xfId="1" applyNumberFormat="1" applyFont="1" applyFill="1" applyBorder="1" applyAlignment="1">
      <alignment horizontal="center" vertical="center"/>
    </xf>
    <xf numFmtId="3" fontId="12" fillId="2" borderId="3" xfId="1" applyNumberFormat="1" applyFont="1" applyFill="1" applyBorder="1" applyAlignment="1">
      <alignment horizontal="right" vertical="center" shrinkToFit="1"/>
    </xf>
    <xf numFmtId="0" fontId="10" fillId="2" borderId="0" xfId="0" applyFont="1" applyFill="1" applyAlignment="1">
      <alignment horizontal="center" vertical="center"/>
    </xf>
    <xf numFmtId="0" fontId="11" fillId="2" borderId="0" xfId="0" applyFont="1" applyFill="1" applyAlignment="1">
      <alignment horizontal="center" vertical="center"/>
    </xf>
    <xf numFmtId="0" fontId="12" fillId="2" borderId="0" xfId="0" applyFont="1" applyFill="1" applyAlignment="1">
      <alignment horizontal="center"/>
    </xf>
    <xf numFmtId="0" fontId="11" fillId="2" borderId="0" xfId="0" applyFont="1" applyFill="1" applyAlignment="1">
      <alignment horizontal="center"/>
    </xf>
    <xf numFmtId="187" fontId="18" fillId="2" borderId="3" xfId="93" applyNumberFormat="1" applyFont="1" applyFill="1" applyBorder="1" applyAlignment="1">
      <alignment horizontal="right" vertical="center"/>
    </xf>
    <xf numFmtId="220" fontId="29" fillId="2" borderId="0" xfId="0" applyNumberFormat="1" applyFont="1" applyFill="1" applyAlignment="1">
      <alignment horizontal="left" vertical="center"/>
    </xf>
    <xf numFmtId="0" fontId="32" fillId="2" borderId="0" xfId="0" applyFont="1" applyFill="1" applyAlignment="1">
      <alignment horizontal="center" vertical="center"/>
    </xf>
    <xf numFmtId="3" fontId="9" fillId="2" borderId="17" xfId="705" applyNumberFormat="1" applyFont="1" applyFill="1" applyBorder="1" applyAlignment="1">
      <alignment horizontal="center" vertical="center" shrinkToFit="1"/>
    </xf>
    <xf numFmtId="3" fontId="48" fillId="2" borderId="0" xfId="705" applyNumberFormat="1" applyFont="1" applyFill="1" applyBorder="1" applyAlignment="1">
      <alignment horizontal="right" vertical="center" shrinkToFit="1"/>
    </xf>
    <xf numFmtId="0" fontId="49" fillId="2" borderId="35" xfId="705" applyFont="1" applyFill="1" applyBorder="1" applyAlignment="1">
      <alignment shrinkToFit="1"/>
    </xf>
    <xf numFmtId="0" fontId="15" fillId="2" borderId="35" xfId="705" applyFont="1" applyFill="1" applyBorder="1" applyAlignment="1">
      <alignment shrinkToFit="1"/>
    </xf>
    <xf numFmtId="0" fontId="198" fillId="2" borderId="0" xfId="705" applyFont="1" applyFill="1" applyAlignment="1">
      <alignment shrinkToFit="1"/>
    </xf>
    <xf numFmtId="3" fontId="15" fillId="2" borderId="35" xfId="705" applyNumberFormat="1" applyFont="1" applyFill="1" applyBorder="1" applyAlignment="1">
      <alignment vertical="center" shrinkToFit="1"/>
    </xf>
    <xf numFmtId="0" fontId="9" fillId="2" borderId="35" xfId="705" applyNumberFormat="1" applyFont="1" applyFill="1" applyBorder="1" applyAlignment="1">
      <alignment horizontal="center" vertical="center" shrinkToFit="1"/>
    </xf>
    <xf numFmtId="1" fontId="9" fillId="2" borderId="35" xfId="705" quotePrefix="1" applyNumberFormat="1" applyFont="1" applyFill="1" applyBorder="1" applyAlignment="1">
      <alignment horizontal="center" vertical="center" shrinkToFit="1"/>
    </xf>
    <xf numFmtId="3" fontId="9" fillId="2" borderId="35" xfId="705" quotePrefix="1" applyNumberFormat="1" applyFont="1" applyFill="1" applyBorder="1" applyAlignment="1">
      <alignment horizontal="center" vertical="center" shrinkToFit="1"/>
    </xf>
    <xf numFmtId="3" fontId="199" fillId="2" borderId="17" xfId="705" applyNumberFormat="1" applyFont="1" applyFill="1" applyBorder="1" applyAlignment="1">
      <alignment horizontal="center" vertical="center" shrinkToFit="1"/>
    </xf>
    <xf numFmtId="3" fontId="48" fillId="2" borderId="0" xfId="705" quotePrefix="1" applyNumberFormat="1" applyFont="1" applyFill="1" applyBorder="1" applyAlignment="1">
      <alignment horizontal="right" vertical="center" shrinkToFit="1"/>
    </xf>
    <xf numFmtId="0" fontId="49" fillId="2" borderId="35" xfId="705" applyFont="1" applyFill="1" applyBorder="1" applyAlignment="1">
      <alignment horizontal="left" shrinkToFit="1"/>
    </xf>
    <xf numFmtId="3" fontId="9" fillId="2" borderId="35" xfId="705" applyNumberFormat="1" applyFont="1" applyFill="1" applyBorder="1" applyAlignment="1">
      <alignment shrinkToFit="1"/>
    </xf>
    <xf numFmtId="3" fontId="200" fillId="2" borderId="35" xfId="705" applyNumberFormat="1" applyFont="1" applyFill="1" applyBorder="1" applyAlignment="1">
      <alignment horizontal="center" vertical="center" shrinkToFit="1"/>
    </xf>
    <xf numFmtId="3" fontId="9" fillId="2" borderId="35" xfId="705" applyNumberFormat="1" applyFont="1" applyFill="1" applyBorder="1" applyAlignment="1">
      <alignment horizontal="right" vertical="center" shrinkToFit="1"/>
    </xf>
    <xf numFmtId="3" fontId="9" fillId="2" borderId="15" xfId="705" applyNumberFormat="1" applyFont="1" applyFill="1" applyBorder="1" applyAlignment="1">
      <alignment vertical="center" shrinkToFit="1"/>
    </xf>
    <xf numFmtId="3" fontId="15" fillId="2" borderId="35" xfId="705" applyNumberFormat="1" applyFont="1" applyFill="1" applyBorder="1" applyAlignment="1">
      <alignment horizontal="center" vertical="center" shrinkToFit="1"/>
    </xf>
    <xf numFmtId="3" fontId="9" fillId="2" borderId="35" xfId="706" applyNumberFormat="1" applyFont="1" applyFill="1" applyBorder="1" applyAlignment="1">
      <alignment horizontal="right" vertical="center" shrinkToFit="1"/>
    </xf>
    <xf numFmtId="3" fontId="15" fillId="2" borderId="15" xfId="705" applyNumberFormat="1" applyFont="1" applyFill="1" applyBorder="1" applyAlignment="1">
      <alignment vertical="center" shrinkToFit="1"/>
    </xf>
    <xf numFmtId="3" fontId="48" fillId="2" borderId="0" xfId="706" applyNumberFormat="1" applyFont="1" applyFill="1" applyBorder="1" applyAlignment="1">
      <alignment horizontal="right" vertical="center" shrinkToFit="1"/>
    </xf>
    <xf numFmtId="1" fontId="9" fillId="2" borderId="35" xfId="705" applyNumberFormat="1" applyFont="1" applyFill="1" applyBorder="1" applyAlignment="1">
      <alignment horizontal="center" vertical="center" shrinkToFit="1"/>
    </xf>
    <xf numFmtId="3" fontId="15" fillId="2" borderId="15" xfId="705" applyNumberFormat="1" applyFont="1" applyFill="1" applyBorder="1" applyAlignment="1">
      <alignment horizontal="right" vertical="center" shrinkToFit="1"/>
    </xf>
    <xf numFmtId="3" fontId="9" fillId="2" borderId="35" xfId="705" applyNumberFormat="1" applyFont="1" applyFill="1" applyBorder="1" applyAlignment="1">
      <alignment vertical="center" shrinkToFit="1"/>
    </xf>
    <xf numFmtId="4" fontId="9" fillId="2" borderId="35" xfId="705" applyNumberFormat="1" applyFont="1" applyFill="1" applyBorder="1" applyAlignment="1">
      <alignment vertical="center" shrinkToFit="1"/>
    </xf>
    <xf numFmtId="3" fontId="15" fillId="2" borderId="15" xfId="705" applyNumberFormat="1" applyFont="1" applyFill="1" applyBorder="1" applyAlignment="1">
      <alignment horizontal="center" vertical="center" shrinkToFit="1"/>
    </xf>
    <xf numFmtId="0" fontId="49" fillId="2" borderId="0" xfId="705" applyFont="1" applyFill="1" applyAlignment="1">
      <alignment shrinkToFit="1"/>
    </xf>
    <xf numFmtId="0" fontId="15" fillId="2" borderId="0" xfId="705" applyFont="1" applyFill="1" applyAlignment="1">
      <alignment shrinkToFit="1"/>
    </xf>
    <xf numFmtId="3" fontId="15" fillId="2" borderId="35" xfId="705" applyNumberFormat="1" applyFont="1" applyFill="1" applyBorder="1" applyAlignment="1">
      <alignment horizontal="left" vertical="center" shrinkToFit="1"/>
    </xf>
    <xf numFmtId="0" fontId="49" fillId="3" borderId="0" xfId="705" applyFont="1" applyFill="1" applyAlignment="1">
      <alignment shrinkToFit="1"/>
    </xf>
    <xf numFmtId="3" fontId="9" fillId="3" borderId="0" xfId="705" applyNumberFormat="1" applyFont="1" applyFill="1" applyAlignment="1">
      <alignment shrinkToFit="1"/>
    </xf>
    <xf numFmtId="3" fontId="9" fillId="2" borderId="15" xfId="705" applyNumberFormat="1" applyFont="1" applyFill="1" applyBorder="1" applyAlignment="1">
      <alignment horizontal="right" vertical="center" shrinkToFit="1"/>
    </xf>
    <xf numFmtId="0" fontId="48" fillId="2" borderId="0" xfId="705" applyFont="1" applyFill="1" applyBorder="1" applyAlignment="1">
      <alignment horizontal="right" shrinkToFit="1"/>
    </xf>
    <xf numFmtId="3" fontId="198" fillId="29" borderId="0" xfId="705" applyNumberFormat="1" applyFont="1" applyFill="1" applyAlignment="1">
      <alignment shrinkToFit="1"/>
    </xf>
    <xf numFmtId="4" fontId="50" fillId="2" borderId="35" xfId="705" applyNumberFormat="1" applyFont="1" applyFill="1" applyBorder="1" applyAlignment="1">
      <alignment vertical="center" shrinkToFit="1"/>
    </xf>
    <xf numFmtId="3" fontId="50" fillId="2" borderId="11" xfId="705" applyNumberFormat="1" applyFont="1" applyFill="1" applyBorder="1" applyAlignment="1">
      <alignment horizontal="right" vertical="center" shrinkToFit="1"/>
    </xf>
    <xf numFmtId="3" fontId="48" fillId="2" borderId="0" xfId="705" applyNumberFormat="1" applyFont="1" applyFill="1" applyAlignment="1">
      <alignment horizontal="right" shrinkToFit="1"/>
    </xf>
    <xf numFmtId="3" fontId="9" fillId="2" borderId="0" xfId="705" applyNumberFormat="1" applyFont="1" applyFill="1" applyBorder="1" applyAlignment="1">
      <alignment vertical="center" shrinkToFit="1"/>
    </xf>
    <xf numFmtId="3" fontId="15" fillId="2" borderId="0" xfId="705" applyNumberFormat="1" applyFont="1" applyFill="1" applyBorder="1" applyAlignment="1">
      <alignment horizontal="center" vertical="center" shrinkToFit="1"/>
    </xf>
    <xf numFmtId="4" fontId="50" fillId="2" borderId="0" xfId="705" applyNumberFormat="1" applyFont="1" applyFill="1" applyBorder="1" applyAlignment="1">
      <alignment horizontal="center" vertical="center" shrinkToFit="1"/>
    </xf>
    <xf numFmtId="3" fontId="50" fillId="2" borderId="0" xfId="705" applyNumberFormat="1" applyFont="1" applyFill="1" applyBorder="1" applyAlignment="1">
      <alignment horizontal="right" vertical="center" shrinkToFit="1"/>
    </xf>
    <xf numFmtId="3" fontId="50" fillId="2" borderId="17" xfId="705" applyNumberFormat="1" applyFont="1" applyFill="1" applyBorder="1" applyAlignment="1">
      <alignment horizontal="right" vertical="center" shrinkToFit="1"/>
    </xf>
    <xf numFmtId="3" fontId="9" fillId="2" borderId="0" xfId="705" applyNumberFormat="1" applyFont="1" applyFill="1" applyBorder="1" applyAlignment="1">
      <alignment horizontal="right" vertical="center" shrinkToFit="1"/>
    </xf>
    <xf numFmtId="3" fontId="201" fillId="2" borderId="0" xfId="705" applyNumberFormat="1" applyFont="1" applyFill="1" applyBorder="1" applyAlignment="1">
      <alignment horizontal="right" vertical="center" shrinkToFit="1"/>
    </xf>
    <xf numFmtId="3" fontId="15" fillId="2" borderId="0" xfId="705" applyNumberFormat="1" applyFont="1" applyFill="1" applyAlignment="1">
      <alignment shrinkToFit="1"/>
    </xf>
    <xf numFmtId="3" fontId="49" fillId="2" borderId="0" xfId="705" applyNumberFormat="1" applyFont="1" applyFill="1" applyAlignment="1">
      <alignment shrinkToFit="1"/>
    </xf>
    <xf numFmtId="0" fontId="48" fillId="2" borderId="0" xfId="705" applyFont="1" applyFill="1" applyBorder="1" applyAlignment="1">
      <alignment horizontal="center" shrinkToFit="1"/>
    </xf>
    <xf numFmtId="0" fontId="49" fillId="2" borderId="0" xfId="705" applyFont="1" applyFill="1" applyAlignment="1">
      <alignment horizontal="center" shrinkToFit="1"/>
    </xf>
    <xf numFmtId="0" fontId="15" fillId="2" borderId="0" xfId="705" applyFont="1" applyFill="1" applyAlignment="1">
      <alignment horizontal="center" shrinkToFit="1"/>
    </xf>
    <xf numFmtId="0" fontId="198" fillId="2" borderId="0" xfId="705" applyFont="1" applyFill="1" applyAlignment="1">
      <alignment horizontal="center" shrinkToFit="1"/>
    </xf>
    <xf numFmtId="3" fontId="48" fillId="2" borderId="0" xfId="705" applyNumberFormat="1" applyFont="1" applyFill="1" applyBorder="1" applyAlignment="1">
      <alignment horizontal="right" shrinkToFit="1"/>
    </xf>
    <xf numFmtId="4" fontId="50" fillId="2" borderId="0" xfId="705" applyNumberFormat="1" applyFont="1" applyFill="1" applyBorder="1" applyAlignment="1">
      <alignment vertical="center" shrinkToFit="1"/>
    </xf>
    <xf numFmtId="0" fontId="209" fillId="2" borderId="0" xfId="639" applyFont="1" applyFill="1" applyAlignment="1">
      <alignment vertical="center"/>
    </xf>
    <xf numFmtId="0" fontId="209" fillId="2" borderId="0" xfId="639" applyFont="1" applyFill="1" applyAlignment="1">
      <alignment horizontal="center" vertical="center"/>
    </xf>
    <xf numFmtId="0" fontId="12" fillId="2" borderId="0" xfId="639" applyFont="1" applyFill="1" applyAlignment="1">
      <alignment horizontal="center" vertical="center"/>
    </xf>
    <xf numFmtId="0" fontId="12" fillId="2" borderId="39" xfId="639" applyFont="1" applyFill="1" applyBorder="1" applyAlignment="1">
      <alignment horizontal="center" vertical="center"/>
    </xf>
    <xf numFmtId="0" fontId="4" fillId="2" borderId="0" xfId="622" applyFont="1" applyFill="1" applyAlignment="1"/>
    <xf numFmtId="217" fontId="4" fillId="2" borderId="0" xfId="622" applyNumberFormat="1" applyFont="1" applyFill="1" applyAlignment="1">
      <alignment horizontal="center" vertical="center"/>
    </xf>
    <xf numFmtId="0" fontId="8" fillId="2" borderId="0" xfId="622" applyFont="1" applyFill="1" applyAlignment="1"/>
    <xf numFmtId="0" fontId="10" fillId="2" borderId="0" xfId="0" applyFont="1" applyFill="1" applyAlignment="1">
      <alignment horizontal="center" vertical="center"/>
    </xf>
    <xf numFmtId="0" fontId="11" fillId="2" borderId="0" xfId="0" applyFont="1" applyFill="1" applyAlignment="1">
      <alignment horizontal="center" vertical="center"/>
    </xf>
    <xf numFmtId="0" fontId="18" fillId="2" borderId="0" xfId="495" applyFont="1" applyFill="1" applyAlignment="1">
      <alignment horizontal="center" vertical="center"/>
    </xf>
    <xf numFmtId="216" fontId="22" fillId="2" borderId="0" xfId="0" applyNumberFormat="1" applyFont="1" applyFill="1" applyAlignment="1">
      <alignment horizontal="center"/>
    </xf>
    <xf numFmtId="198" fontId="22" fillId="2" borderId="0" xfId="0" applyNumberFormat="1" applyFont="1" applyFill="1" applyAlignment="1">
      <alignment horizontal="center"/>
    </xf>
    <xf numFmtId="3" fontId="3" fillId="2" borderId="0" xfId="622" applyNumberFormat="1" applyFont="1" applyFill="1" applyAlignment="1">
      <alignment vertical="center"/>
    </xf>
    <xf numFmtId="241" fontId="3" fillId="2" borderId="0" xfId="622" applyNumberFormat="1" applyFont="1" applyFill="1" applyAlignment="1">
      <alignment vertical="center"/>
    </xf>
    <xf numFmtId="0" fontId="44" fillId="2" borderId="35" xfId="1" applyNumberFormat="1" applyFont="1" applyFill="1" applyBorder="1" applyAlignment="1">
      <alignment horizontal="center" vertical="center" shrinkToFit="1"/>
    </xf>
    <xf numFmtId="2" fontId="171" fillId="2" borderId="38" xfId="703" applyNumberFormat="1" applyFont="1" applyFill="1" applyBorder="1" applyAlignment="1">
      <alignment horizontal="center" vertical="center" shrinkToFit="1"/>
    </xf>
    <xf numFmtId="43" fontId="176" fillId="2" borderId="35" xfId="703" applyNumberFormat="1" applyFont="1" applyFill="1" applyBorder="1" applyAlignment="1">
      <alignment vertical="center" wrapText="1" shrinkToFit="1"/>
    </xf>
    <xf numFmtId="2" fontId="176" fillId="2" borderId="35" xfId="703" applyNumberFormat="1" applyFont="1" applyFill="1" applyBorder="1" applyAlignment="1">
      <alignment horizontal="center" vertical="center" shrinkToFit="1"/>
    </xf>
    <xf numFmtId="198" fontId="171" fillId="2" borderId="35" xfId="703" applyNumberFormat="1" applyFont="1" applyFill="1" applyBorder="1" applyAlignment="1">
      <alignment horizontal="right" vertical="center" shrinkToFit="1"/>
    </xf>
    <xf numFmtId="217" fontId="33" fillId="2" borderId="12" xfId="645" applyNumberFormat="1" applyFont="1" applyFill="1" applyBorder="1" applyAlignment="1">
      <alignment horizontal="center" vertical="center" shrinkToFit="1"/>
    </xf>
    <xf numFmtId="43" fontId="175" fillId="2" borderId="0" xfId="643" applyNumberFormat="1" applyFont="1" applyFill="1"/>
    <xf numFmtId="198" fontId="49" fillId="2" borderId="12" xfId="703" applyNumberFormat="1" applyFont="1" applyFill="1" applyBorder="1" applyAlignment="1">
      <alignment horizontal="right" vertical="center" shrinkToFit="1"/>
    </xf>
    <xf numFmtId="223" fontId="48" fillId="2" borderId="12" xfId="642" applyNumberFormat="1" applyFont="1" applyFill="1" applyBorder="1" applyAlignment="1">
      <alignment horizontal="center" vertical="center" shrinkToFit="1"/>
    </xf>
    <xf numFmtId="0" fontId="49" fillId="2" borderId="0" xfId="643" applyFont="1" applyFill="1"/>
    <xf numFmtId="0" fontId="49" fillId="2" borderId="0" xfId="643" applyFont="1" applyFill="1" applyAlignment="1">
      <alignment horizontal="center"/>
    </xf>
    <xf numFmtId="43" fontId="175" fillId="2" borderId="0" xfId="643" applyNumberFormat="1" applyFont="1" applyFill="1" applyAlignment="1">
      <alignment horizontal="center"/>
    </xf>
    <xf numFmtId="2" fontId="15" fillId="2" borderId="13" xfId="642" applyNumberFormat="1" applyFont="1" applyFill="1" applyBorder="1" applyAlignment="1">
      <alignment horizontal="center" vertical="center" shrinkToFit="1"/>
    </xf>
    <xf numFmtId="0" fontId="15" fillId="2" borderId="13" xfId="508" applyFont="1" applyFill="1" applyBorder="1" applyAlignment="1">
      <alignment horizontal="center"/>
    </xf>
    <xf numFmtId="0" fontId="9" fillId="2" borderId="35" xfId="643" applyFont="1" applyFill="1" applyBorder="1" applyAlignment="1">
      <alignment vertical="center"/>
    </xf>
    <xf numFmtId="198" fontId="9" fillId="2" borderId="35" xfId="643" applyNumberFormat="1" applyFont="1" applyFill="1" applyBorder="1" applyAlignment="1">
      <alignment horizontal="center" vertical="center"/>
    </xf>
    <xf numFmtId="2" fontId="9" fillId="2" borderId="35" xfId="643" applyNumberFormat="1" applyFont="1" applyFill="1" applyBorder="1" applyAlignment="1">
      <alignment horizontal="center" vertical="center"/>
    </xf>
    <xf numFmtId="3" fontId="15" fillId="2" borderId="20" xfId="647" applyNumberFormat="1" applyFont="1" applyFill="1" applyBorder="1" applyAlignment="1">
      <alignment horizontal="center" vertical="center" wrapText="1"/>
    </xf>
    <xf numFmtId="2" fontId="15" fillId="2" borderId="20" xfId="508" applyNumberFormat="1" applyFont="1" applyFill="1" applyBorder="1" applyAlignment="1">
      <alignment horizontal="center" vertical="center"/>
    </xf>
    <xf numFmtId="3" fontId="15" fillId="2" borderId="12" xfId="647" applyNumberFormat="1" applyFont="1" applyFill="1" applyBorder="1" applyAlignment="1">
      <alignment horizontal="center" vertical="center" wrapText="1"/>
    </xf>
    <xf numFmtId="2" fontId="15" fillId="2" borderId="12" xfId="508" applyNumberFormat="1" applyFont="1" applyFill="1" applyBorder="1" applyAlignment="1">
      <alignment horizontal="center" vertical="center"/>
    </xf>
    <xf numFmtId="0" fontId="15" fillId="2" borderId="35" xfId="642" applyFont="1" applyFill="1" applyBorder="1" applyAlignment="1">
      <alignment horizontal="center" vertical="center" shrinkToFit="1"/>
    </xf>
    <xf numFmtId="4" fontId="176" fillId="2" borderId="35" xfId="703" applyNumberFormat="1" applyFont="1" applyFill="1" applyBorder="1" applyAlignment="1">
      <alignment horizontal="center" vertical="center" wrapText="1" shrinkToFit="1"/>
    </xf>
    <xf numFmtId="2" fontId="176" fillId="2" borderId="35" xfId="488" applyNumberFormat="1" applyFont="1" applyFill="1" applyBorder="1" applyAlignment="1">
      <alignment horizontal="center"/>
    </xf>
    <xf numFmtId="198" fontId="176" fillId="2" borderId="35" xfId="703" applyNumberFormat="1" applyFont="1" applyFill="1" applyBorder="1" applyAlignment="1">
      <alignment horizontal="center" vertical="center" shrinkToFit="1"/>
    </xf>
    <xf numFmtId="1" fontId="15" fillId="2" borderId="35" xfId="642" applyNumberFormat="1" applyFont="1" applyFill="1" applyBorder="1" applyAlignment="1">
      <alignment horizontal="center" vertical="center" shrinkToFit="1"/>
    </xf>
    <xf numFmtId="0" fontId="171" fillId="2" borderId="35" xfId="642" applyFont="1" applyFill="1" applyBorder="1" applyAlignment="1">
      <alignment horizontal="center" vertical="center" wrapText="1" shrinkToFit="1"/>
    </xf>
    <xf numFmtId="2" fontId="171" fillId="2" borderId="35" xfId="642" applyNumberFormat="1" applyFont="1" applyFill="1" applyBorder="1" applyAlignment="1">
      <alignment horizontal="center" vertical="center" shrinkToFit="1"/>
    </xf>
    <xf numFmtId="0" fontId="33" fillId="2" borderId="35" xfId="0" applyFont="1" applyFill="1" applyBorder="1" applyAlignment="1">
      <alignment horizontal="center" vertical="center"/>
    </xf>
    <xf numFmtId="3" fontId="33" fillId="2" borderId="35" xfId="0" applyNumberFormat="1" applyFont="1" applyFill="1" applyBorder="1" applyAlignment="1">
      <alignment horizontal="left" vertical="center"/>
    </xf>
    <xf numFmtId="43" fontId="33" fillId="2" borderId="35" xfId="1" applyFont="1" applyFill="1" applyBorder="1" applyAlignment="1">
      <alignment horizontal="center" vertical="center"/>
    </xf>
    <xf numFmtId="188" fontId="18" fillId="2" borderId="35" xfId="1" applyNumberFormat="1" applyFont="1" applyFill="1" applyBorder="1" applyAlignment="1">
      <alignment horizontal="center" vertical="center" wrapText="1"/>
    </xf>
    <xf numFmtId="43" fontId="4" fillId="2" borderId="35" xfId="1" quotePrefix="1" applyFont="1" applyFill="1" applyBorder="1" applyAlignment="1">
      <alignment horizontal="center" vertical="center"/>
    </xf>
    <xf numFmtId="43" fontId="1" fillId="2" borderId="35" xfId="1" quotePrefix="1" applyFont="1" applyFill="1" applyBorder="1" applyAlignment="1">
      <alignment horizontal="center" vertical="center"/>
    </xf>
    <xf numFmtId="188" fontId="49" fillId="2" borderId="12" xfId="645" applyFont="1" applyFill="1" applyBorder="1" applyAlignment="1">
      <alignment horizontal="center" vertical="center" shrinkToFit="1"/>
    </xf>
    <xf numFmtId="3" fontId="211" fillId="2" borderId="0" xfId="0" applyNumberFormat="1" applyFont="1" applyFill="1" applyAlignment="1">
      <alignment vertical="center"/>
    </xf>
    <xf numFmtId="0" fontId="211" fillId="2" borderId="0" xfId="0" applyFont="1" applyFill="1" applyAlignment="1">
      <alignment vertical="center"/>
    </xf>
    <xf numFmtId="187" fontId="211" fillId="2" borderId="0" xfId="0" applyNumberFormat="1" applyFont="1" applyFill="1" applyAlignment="1">
      <alignment vertical="center"/>
    </xf>
    <xf numFmtId="220" fontId="204" fillId="2" borderId="12" xfId="703" applyNumberFormat="1" applyFont="1" applyFill="1" applyBorder="1" applyAlignment="1">
      <alignment horizontal="center" vertical="center" shrinkToFit="1"/>
    </xf>
    <xf numFmtId="0" fontId="140" fillId="2" borderId="35" xfId="627" applyFont="1" applyFill="1" applyBorder="1" applyAlignment="1">
      <alignment horizontal="center" vertical="center"/>
    </xf>
    <xf numFmtId="0" fontId="212" fillId="2" borderId="35" xfId="623" applyFont="1" applyFill="1" applyBorder="1" applyAlignment="1">
      <alignment horizontal="center" vertical="center"/>
    </xf>
    <xf numFmtId="0" fontId="151" fillId="2" borderId="35" xfId="623" applyFont="1" applyFill="1" applyBorder="1" applyAlignment="1">
      <alignment horizontal="center" vertical="center"/>
    </xf>
    <xf numFmtId="0" fontId="141" fillId="2" borderId="35" xfId="622" applyFont="1" applyFill="1" applyBorder="1" applyAlignment="1">
      <alignment horizontal="center" vertical="center"/>
    </xf>
    <xf numFmtId="0" fontId="193" fillId="2" borderId="0" xfId="623" applyFont="1" applyFill="1" applyBorder="1" applyAlignment="1">
      <alignment horizontal="center"/>
    </xf>
    <xf numFmtId="0" fontId="173" fillId="2" borderId="0" xfId="642" applyFont="1" applyFill="1" applyBorder="1" applyAlignment="1">
      <alignment horizontal="left" vertical="center"/>
    </xf>
    <xf numFmtId="4" fontId="176" fillId="2" borderId="35" xfId="642" applyNumberFormat="1" applyFont="1" applyFill="1" applyBorder="1" applyAlignment="1">
      <alignment horizontal="center" vertical="center" shrinkToFit="1"/>
    </xf>
    <xf numFmtId="2" fontId="173" fillId="2" borderId="0" xfId="642" applyNumberFormat="1" applyFont="1" applyFill="1" applyBorder="1" applyAlignment="1">
      <alignment horizontal="center" vertical="center"/>
    </xf>
    <xf numFmtId="0" fontId="173" fillId="2" borderId="0" xfId="642" applyFont="1" applyFill="1" applyBorder="1" applyAlignment="1">
      <alignment horizontal="center" vertical="center"/>
    </xf>
    <xf numFmtId="0" fontId="163" fillId="2" borderId="0" xfId="642" applyFont="1" applyFill="1" applyBorder="1" applyAlignment="1">
      <alignment horizontal="center" vertical="center"/>
    </xf>
    <xf numFmtId="0" fontId="171" fillId="2" borderId="35" xfId="642" applyFont="1" applyFill="1" applyBorder="1" applyAlignment="1">
      <alignment horizontal="center" vertical="center" shrinkToFit="1"/>
    </xf>
    <xf numFmtId="198" fontId="9" fillId="2" borderId="6" xfId="643" applyNumberFormat="1" applyFont="1" applyFill="1" applyBorder="1" applyAlignment="1">
      <alignment horizontal="center" vertical="center"/>
    </xf>
    <xf numFmtId="2" fontId="9" fillId="2" borderId="35" xfId="642" applyNumberFormat="1" applyFont="1" applyFill="1" applyBorder="1" applyAlignment="1">
      <alignment horizontal="center" vertical="center" shrinkToFit="1"/>
    </xf>
    <xf numFmtId="2" fontId="49" fillId="2" borderId="12" xfId="703" applyNumberFormat="1" applyFont="1" applyFill="1" applyBorder="1" applyAlignment="1">
      <alignment horizontal="center" vertical="center" shrinkToFit="1"/>
    </xf>
    <xf numFmtId="2" fontId="176" fillId="2" borderId="12" xfId="703" applyNumberFormat="1" applyFont="1" applyFill="1" applyBorder="1" applyAlignment="1">
      <alignment horizontal="center" vertical="center" shrinkToFit="1"/>
    </xf>
    <xf numFmtId="43" fontId="18" fillId="2" borderId="0" xfId="489" applyNumberFormat="1" applyFont="1" applyFill="1"/>
    <xf numFmtId="223" fontId="171" fillId="2" borderId="35" xfId="642" applyNumberFormat="1" applyFont="1" applyFill="1" applyBorder="1" applyAlignment="1">
      <alignment horizontal="left" vertical="center" shrinkToFit="1"/>
    </xf>
    <xf numFmtId="223" fontId="171" fillId="2" borderId="12" xfId="642" quotePrefix="1" applyNumberFormat="1" applyFont="1" applyFill="1" applyBorder="1" applyAlignment="1">
      <alignment horizontal="center" vertical="center" shrinkToFit="1"/>
    </xf>
    <xf numFmtId="223" fontId="49" fillId="2" borderId="12" xfId="703" applyNumberFormat="1" applyFont="1" applyFill="1" applyBorder="1" applyAlignment="1">
      <alignment horizontal="left" vertical="center" shrinkToFit="1"/>
    </xf>
    <xf numFmtId="0" fontId="49" fillId="2" borderId="12" xfId="642" applyFont="1" applyFill="1" applyBorder="1" applyAlignment="1">
      <alignment horizontal="center" vertical="center" shrinkToFit="1"/>
    </xf>
    <xf numFmtId="2" fontId="49" fillId="2" borderId="12" xfId="643" applyNumberFormat="1" applyFont="1" applyFill="1" applyBorder="1" applyAlignment="1">
      <alignment horizontal="center" vertical="center"/>
    </xf>
    <xf numFmtId="0" fontId="49" fillId="2" borderId="12" xfId="643" applyFont="1" applyFill="1" applyBorder="1" applyAlignment="1">
      <alignment vertical="center"/>
    </xf>
    <xf numFmtId="198" fontId="49" fillId="2" borderId="12" xfId="645" applyNumberFormat="1" applyFont="1" applyFill="1" applyBorder="1" applyAlignment="1">
      <alignment horizontal="center" vertical="center" shrinkToFit="1"/>
    </xf>
    <xf numFmtId="223" fontId="49" fillId="2" borderId="12" xfId="703" applyNumberFormat="1" applyFont="1" applyFill="1" applyBorder="1" applyAlignment="1">
      <alignment horizontal="center" vertical="center" shrinkToFit="1"/>
    </xf>
    <xf numFmtId="0" fontId="49" fillId="2" borderId="12" xfId="643" applyFont="1" applyFill="1" applyBorder="1"/>
    <xf numFmtId="1" fontId="49" fillId="2" borderId="12" xfId="642" applyNumberFormat="1" applyFont="1" applyFill="1" applyBorder="1" applyAlignment="1">
      <alignment horizontal="center" vertical="center" shrinkToFit="1"/>
    </xf>
    <xf numFmtId="4" fontId="49" fillId="2" borderId="12" xfId="703" applyNumberFormat="1" applyFont="1" applyFill="1" applyBorder="1" applyAlignment="1">
      <alignment horizontal="center" vertical="center" wrapText="1" shrinkToFit="1"/>
    </xf>
    <xf numFmtId="2" fontId="49" fillId="2" borderId="13" xfId="642" applyNumberFormat="1" applyFont="1" applyFill="1" applyBorder="1" applyAlignment="1">
      <alignment horizontal="center" vertical="center" shrinkToFit="1"/>
    </xf>
    <xf numFmtId="198" fontId="49" fillId="0" borderId="12" xfId="703" applyNumberFormat="1" applyFont="1" applyFill="1" applyBorder="1" applyAlignment="1">
      <alignment horizontal="center" vertical="center" shrinkToFit="1"/>
    </xf>
    <xf numFmtId="198" fontId="49" fillId="2" borderId="12" xfId="703" applyNumberFormat="1" applyFont="1" applyFill="1" applyBorder="1" applyAlignment="1">
      <alignment horizontal="center" vertical="center" shrinkToFit="1"/>
    </xf>
    <xf numFmtId="2" fontId="49" fillId="2" borderId="0" xfId="643" applyNumberFormat="1" applyFont="1" applyFill="1"/>
    <xf numFmtId="223" fontId="179" fillId="2" borderId="12" xfId="642" applyNumberFormat="1" applyFont="1" applyFill="1" applyBorder="1" applyAlignment="1">
      <alignment horizontal="left" vertical="center" shrinkToFit="1"/>
    </xf>
    <xf numFmtId="0" fontId="49" fillId="2" borderId="13" xfId="508" applyFont="1" applyFill="1" applyBorder="1" applyAlignment="1">
      <alignment horizontal="center"/>
    </xf>
    <xf numFmtId="3" fontId="49" fillId="2" borderId="13" xfId="647" applyNumberFormat="1" applyFont="1" applyFill="1" applyBorder="1" applyAlignment="1">
      <alignment horizontal="right" vertical="center" wrapText="1"/>
    </xf>
    <xf numFmtId="223" fontId="48" fillId="2" borderId="20" xfId="642" applyNumberFormat="1" applyFont="1" applyFill="1" applyBorder="1" applyAlignment="1">
      <alignment horizontal="center" vertical="center" shrinkToFit="1"/>
    </xf>
    <xf numFmtId="223" fontId="179" fillId="2" borderId="20" xfId="642" applyNumberFormat="1" applyFont="1" applyFill="1" applyBorder="1" applyAlignment="1">
      <alignment horizontal="left" vertical="center" shrinkToFit="1"/>
    </xf>
    <xf numFmtId="3" fontId="15" fillId="2" borderId="13" xfId="647" applyNumberFormat="1" applyFont="1" applyFill="1" applyBorder="1" applyAlignment="1">
      <alignment horizontal="right" vertical="center" wrapText="1"/>
    </xf>
    <xf numFmtId="0" fontId="163" fillId="2" borderId="35" xfId="488" applyFont="1" applyFill="1" applyBorder="1"/>
    <xf numFmtId="0" fontId="171" fillId="2" borderId="35" xfId="642" applyFont="1" applyFill="1" applyBorder="1" applyAlignment="1">
      <alignment horizontal="left" vertical="center" shrinkToFit="1"/>
    </xf>
    <xf numFmtId="1" fontId="9" fillId="2" borderId="35" xfId="642" applyNumberFormat="1" applyFont="1" applyFill="1" applyBorder="1" applyAlignment="1">
      <alignment horizontal="center" vertical="center" shrinkToFit="1"/>
    </xf>
    <xf numFmtId="0" fontId="9" fillId="2" borderId="35" xfId="642" applyFont="1" applyFill="1" applyBorder="1" applyAlignment="1">
      <alignment vertical="center" shrinkToFit="1"/>
    </xf>
    <xf numFmtId="188" fontId="9" fillId="2" borderId="35" xfId="645" applyNumberFormat="1" applyFont="1" applyFill="1" applyBorder="1" applyAlignment="1">
      <alignment horizontal="center" vertical="center" shrinkToFit="1"/>
    </xf>
    <xf numFmtId="1" fontId="15" fillId="2" borderId="38" xfId="642" applyNumberFormat="1" applyFont="1" applyFill="1" applyBorder="1" applyAlignment="1">
      <alignment horizontal="center" vertical="center" shrinkToFit="1"/>
    </xf>
    <xf numFmtId="223" fontId="15" fillId="2" borderId="38" xfId="703" applyNumberFormat="1" applyFont="1" applyFill="1" applyBorder="1" applyAlignment="1">
      <alignment horizontal="left" vertical="center" shrinkToFit="1"/>
    </xf>
    <xf numFmtId="0" fontId="15" fillId="2" borderId="38" xfId="642" applyFont="1" applyFill="1" applyBorder="1" applyAlignment="1">
      <alignment horizontal="center" vertical="center" shrinkToFit="1"/>
    </xf>
    <xf numFmtId="4" fontId="176" fillId="2" borderId="38" xfId="703" applyNumberFormat="1" applyFont="1" applyFill="1" applyBorder="1" applyAlignment="1">
      <alignment horizontal="center" vertical="center" wrapText="1" shrinkToFit="1"/>
    </xf>
    <xf numFmtId="4" fontId="176" fillId="2" borderId="38" xfId="642" applyNumberFormat="1" applyFont="1" applyFill="1" applyBorder="1" applyAlignment="1">
      <alignment horizontal="center" vertical="center" shrinkToFit="1"/>
    </xf>
    <xf numFmtId="188" fontId="15" fillId="2" borderId="38" xfId="645" applyNumberFormat="1" applyFont="1" applyFill="1" applyBorder="1" applyAlignment="1">
      <alignment horizontal="center" vertical="center" shrinkToFit="1"/>
    </xf>
    <xf numFmtId="0" fontId="171" fillId="2" borderId="38" xfId="642" applyFont="1" applyFill="1" applyBorder="1" applyAlignment="1">
      <alignment horizontal="left" vertical="center" shrinkToFit="1"/>
    </xf>
    <xf numFmtId="43" fontId="173" fillId="2" borderId="0" xfId="703" applyNumberFormat="1" applyFont="1" applyFill="1" applyBorder="1" applyAlignment="1">
      <alignment vertical="center" shrinkToFit="1"/>
    </xf>
    <xf numFmtId="223" fontId="173" fillId="2" borderId="0" xfId="703" applyNumberFormat="1" applyFont="1" applyFill="1" applyBorder="1" applyAlignment="1">
      <alignment horizontal="center" vertical="center" shrinkToFit="1"/>
    </xf>
    <xf numFmtId="0" fontId="173" fillId="2" borderId="0" xfId="488" applyFont="1" applyFill="1" applyBorder="1"/>
    <xf numFmtId="0" fontId="213" fillId="2" borderId="0" xfId="488" applyFont="1" applyFill="1"/>
    <xf numFmtId="0" fontId="214" fillId="2" borderId="0" xfId="643" applyFont="1" applyFill="1"/>
    <xf numFmtId="43" fontId="9" fillId="2" borderId="35" xfId="1" applyFont="1" applyFill="1" applyBorder="1" applyAlignment="1">
      <alignment horizontal="center" vertical="center" shrinkToFit="1"/>
    </xf>
    <xf numFmtId="43" fontId="9" fillId="2" borderId="35" xfId="1" applyFont="1" applyFill="1" applyBorder="1" applyAlignment="1">
      <alignment horizontal="right" vertical="center" shrinkToFit="1"/>
    </xf>
    <xf numFmtId="3" fontId="9" fillId="3" borderId="35" xfId="705" applyNumberFormat="1" applyFont="1" applyFill="1" applyBorder="1" applyAlignment="1">
      <alignment shrinkToFit="1"/>
    </xf>
    <xf numFmtId="0" fontId="49" fillId="3" borderId="35" xfId="705" applyFont="1" applyFill="1" applyBorder="1" applyAlignment="1">
      <alignment horizontal="center" shrinkToFit="1"/>
    </xf>
    <xf numFmtId="0" fontId="48" fillId="3" borderId="35" xfId="705" applyFont="1" applyFill="1" applyBorder="1" applyAlignment="1">
      <alignment horizontal="center" shrinkToFit="1"/>
    </xf>
    <xf numFmtId="3" fontId="198" fillId="2" borderId="0" xfId="705" applyNumberFormat="1" applyFont="1" applyFill="1" applyAlignment="1">
      <alignment shrinkToFit="1"/>
    </xf>
    <xf numFmtId="187" fontId="45" fillId="2" borderId="0" xfId="622" applyNumberFormat="1" applyFont="1" applyFill="1"/>
    <xf numFmtId="0" fontId="23" fillId="2" borderId="35" xfId="623" applyFont="1" applyFill="1" applyBorder="1" applyAlignment="1">
      <alignment horizontal="center" vertical="center"/>
    </xf>
    <xf numFmtId="0" fontId="23" fillId="2" borderId="41" xfId="622" applyFont="1" applyFill="1" applyBorder="1" applyAlignment="1">
      <alignment horizontal="center" vertical="center"/>
    </xf>
    <xf numFmtId="0" fontId="23" fillId="2" borderId="39" xfId="622" applyFont="1" applyFill="1" applyBorder="1" applyAlignment="1">
      <alignment horizontal="center" vertical="center"/>
    </xf>
    <xf numFmtId="0" fontId="23" fillId="2" borderId="1" xfId="622" applyFont="1" applyFill="1" applyBorder="1" applyAlignment="1">
      <alignment horizontal="center" vertical="center"/>
    </xf>
    <xf numFmtId="0" fontId="23" fillId="2" borderId="10" xfId="622" applyFont="1" applyFill="1" applyBorder="1" applyAlignment="1">
      <alignment horizontal="center" vertical="center"/>
    </xf>
    <xf numFmtId="0" fontId="23" fillId="2" borderId="40" xfId="622" applyFont="1" applyFill="1" applyBorder="1" applyAlignment="1">
      <alignment horizontal="center" vertical="center"/>
    </xf>
    <xf numFmtId="0" fontId="44" fillId="2" borderId="0" xfId="622" applyFont="1" applyFill="1" applyBorder="1" applyAlignment="1">
      <alignment horizontal="center"/>
    </xf>
    <xf numFmtId="0" fontId="44" fillId="2" borderId="0" xfId="622" applyFont="1" applyFill="1" applyAlignment="1">
      <alignment horizontal="center"/>
    </xf>
    <xf numFmtId="0" fontId="4" fillId="2" borderId="1" xfId="622" applyFont="1" applyFill="1" applyBorder="1" applyAlignment="1">
      <alignment horizontal="center" vertical="center"/>
    </xf>
    <xf numFmtId="0" fontId="12" fillId="2" borderId="35" xfId="623" applyFont="1" applyFill="1" applyBorder="1" applyAlignment="1">
      <alignment horizontal="center" vertical="center" shrinkToFit="1"/>
    </xf>
    <xf numFmtId="0" fontId="5" fillId="2" borderId="35" xfId="622" applyFont="1" applyFill="1" applyBorder="1" applyAlignment="1">
      <alignment horizontal="center" vertical="center" shrinkToFit="1"/>
    </xf>
    <xf numFmtId="0" fontId="23" fillId="2" borderId="35" xfId="622" applyFont="1" applyFill="1" applyBorder="1" applyAlignment="1">
      <alignment horizontal="center" vertical="center"/>
    </xf>
    <xf numFmtId="0" fontId="190" fillId="2" borderId="35" xfId="622" applyFont="1" applyFill="1" applyBorder="1" applyAlignment="1">
      <alignment horizontal="center" vertical="center"/>
    </xf>
    <xf numFmtId="0" fontId="3" fillId="2" borderId="0" xfId="622" applyFont="1" applyFill="1" applyAlignment="1">
      <alignment horizontal="center" vertical="center" wrapText="1"/>
    </xf>
    <xf numFmtId="227" fontId="45" fillId="2" borderId="39" xfId="626" applyNumberFormat="1" applyFont="1" applyFill="1" applyBorder="1" applyAlignment="1">
      <alignment horizontal="center" vertical="center" shrinkToFit="1"/>
    </xf>
    <xf numFmtId="229" fontId="45" fillId="2" borderId="39" xfId="626" applyNumberFormat="1" applyFont="1" applyFill="1" applyBorder="1" applyAlignment="1">
      <alignment horizontal="center" vertical="center" shrinkToFit="1"/>
    </xf>
    <xf numFmtId="0" fontId="210" fillId="2" borderId="35" xfId="0" applyFont="1" applyFill="1" applyBorder="1" applyAlignment="1">
      <alignment horizontal="center" vertical="center"/>
    </xf>
    <xf numFmtId="0" fontId="6" fillId="2" borderId="0" xfId="622" applyFont="1" applyFill="1"/>
    <xf numFmtId="0" fontId="12" fillId="2" borderId="0" xfId="623" quotePrefix="1" applyFont="1" applyFill="1" applyAlignment="1"/>
    <xf numFmtId="43" fontId="12" fillId="2" borderId="38" xfId="716" applyFont="1" applyFill="1" applyBorder="1" applyAlignment="1">
      <alignment horizontal="center" vertical="top" wrapText="1"/>
    </xf>
    <xf numFmtId="187" fontId="44" fillId="2" borderId="0" xfId="622" applyNumberFormat="1" applyFont="1" applyFill="1" applyBorder="1" applyAlignment="1">
      <alignment horizontal="center" shrinkToFit="1"/>
    </xf>
    <xf numFmtId="187" fontId="146" fillId="2" borderId="0" xfId="622" applyNumberFormat="1" applyFont="1" applyFill="1" applyAlignment="1">
      <alignment horizontal="center" shrinkToFit="1"/>
    </xf>
    <xf numFmtId="188" fontId="42" fillId="2" borderId="45" xfId="0" applyNumberFormat="1" applyFont="1" applyFill="1" applyBorder="1" applyAlignment="1">
      <alignment horizontal="center" vertical="center"/>
    </xf>
    <xf numFmtId="0" fontId="23" fillId="2" borderId="0" xfId="627" applyFont="1" applyFill="1" applyAlignment="1"/>
    <xf numFmtId="0" fontId="192" fillId="2" borderId="35" xfId="623" applyFont="1" applyFill="1" applyBorder="1" applyAlignment="1">
      <alignment horizontal="center" vertical="center" shrinkToFit="1"/>
    </xf>
    <xf numFmtId="43" fontId="44" fillId="2" borderId="35" xfId="1" applyFont="1" applyFill="1" applyBorder="1" applyAlignment="1">
      <alignment horizontal="center" vertical="center" shrinkToFit="1"/>
    </xf>
    <xf numFmtId="220" fontId="4" fillId="2" borderId="0" xfId="622" applyNumberFormat="1" applyFont="1" applyFill="1" applyAlignment="1">
      <alignment vertical="center"/>
    </xf>
    <xf numFmtId="191" fontId="4" fillId="2" borderId="0" xfId="622" applyNumberFormat="1" applyFont="1" applyFill="1" applyAlignment="1">
      <alignment vertical="center"/>
    </xf>
    <xf numFmtId="3" fontId="26" fillId="0" borderId="0" xfId="0" applyNumberFormat="1" applyFont="1"/>
    <xf numFmtId="216" fontId="22" fillId="2" borderId="0" xfId="0" applyNumberFormat="1" applyFont="1" applyFill="1" applyAlignment="1">
      <alignment horizontal="center"/>
    </xf>
    <xf numFmtId="217" fontId="22" fillId="2" borderId="0" xfId="0" applyNumberFormat="1" applyFont="1" applyFill="1" applyAlignment="1">
      <alignment horizontal="center"/>
    </xf>
    <xf numFmtId="0" fontId="5" fillId="2" borderId="0" xfId="0" applyFont="1" applyFill="1" applyAlignment="1">
      <alignment horizontal="center"/>
    </xf>
    <xf numFmtId="0" fontId="9" fillId="2" borderId="0" xfId="0" applyFont="1" applyFill="1" applyAlignment="1">
      <alignment horizontal="center"/>
    </xf>
    <xf numFmtId="0" fontId="12" fillId="2" borderId="0" xfId="0" applyFont="1" applyFill="1" applyAlignment="1">
      <alignment horizontal="center"/>
    </xf>
    <xf numFmtId="0" fontId="33" fillId="2" borderId="0" xfId="0" applyFont="1" applyFill="1" applyAlignment="1">
      <alignment horizontal="center" vertical="center"/>
    </xf>
    <xf numFmtId="0" fontId="23" fillId="2" borderId="35" xfId="623" applyFont="1" applyFill="1" applyBorder="1" applyAlignment="1">
      <alignment horizontal="center" vertical="center"/>
    </xf>
    <xf numFmtId="0" fontId="44" fillId="2" borderId="0" xfId="622" applyFont="1" applyFill="1" applyAlignment="1">
      <alignment horizontal="center"/>
    </xf>
    <xf numFmtId="0" fontId="146" fillId="2" borderId="0" xfId="622" applyFont="1" applyFill="1" applyAlignment="1">
      <alignment horizontal="center"/>
    </xf>
    <xf numFmtId="0" fontId="5" fillId="2" borderId="0" xfId="0" applyFont="1" applyFill="1" applyAlignment="1">
      <alignment horizontal="center"/>
    </xf>
    <xf numFmtId="0" fontId="45" fillId="2" borderId="0" xfId="0" applyFont="1" applyFill="1" applyAlignment="1">
      <alignment horizontal="center"/>
    </xf>
    <xf numFmtId="0" fontId="12" fillId="2" borderId="0" xfId="0" applyFont="1" applyFill="1" applyAlignment="1">
      <alignment horizontal="center" vertical="center"/>
    </xf>
    <xf numFmtId="0" fontId="33" fillId="2" borderId="0" xfId="0" applyFont="1" applyFill="1" applyAlignment="1">
      <alignment horizontal="center"/>
    </xf>
    <xf numFmtId="43" fontId="22" fillId="2" borderId="0" xfId="1" applyFont="1" applyFill="1" applyAlignment="1">
      <alignment horizontal="center"/>
    </xf>
    <xf numFmtId="217" fontId="22" fillId="2" borderId="0" xfId="0" applyNumberFormat="1" applyFont="1" applyFill="1" applyAlignment="1">
      <alignment horizontal="center"/>
    </xf>
    <xf numFmtId="0" fontId="12" fillId="2" borderId="0" xfId="0" applyFont="1" applyFill="1" applyAlignment="1">
      <alignment horizontal="center"/>
    </xf>
    <xf numFmtId="0" fontId="18" fillId="2" borderId="3"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18" fillId="2" borderId="0" xfId="0" applyFont="1" applyFill="1" applyAlignment="1">
      <alignment horizontal="center" vertical="center"/>
    </xf>
    <xf numFmtId="0" fontId="33" fillId="2" borderId="0" xfId="0" applyFont="1" applyFill="1" applyAlignment="1">
      <alignment horizontal="center" vertical="center"/>
    </xf>
    <xf numFmtId="0" fontId="12" fillId="2" borderId="0" xfId="639" applyFont="1" applyFill="1" applyAlignment="1">
      <alignment horizontal="center" vertical="center"/>
    </xf>
    <xf numFmtId="0" fontId="3" fillId="2" borderId="0" xfId="622" applyFont="1" applyFill="1" applyAlignment="1">
      <alignment vertical="center" wrapText="1"/>
    </xf>
    <xf numFmtId="0" fontId="146" fillId="2" borderId="0" xfId="622" applyFont="1" applyFill="1" applyAlignment="1">
      <alignment horizontal="left"/>
    </xf>
    <xf numFmtId="0" fontId="146" fillId="2" borderId="0" xfId="622" applyFont="1" applyFill="1" applyAlignment="1">
      <alignment vertical="center" wrapText="1"/>
    </xf>
    <xf numFmtId="0" fontId="44" fillId="2" borderId="0" xfId="622" applyFont="1" applyFill="1" applyAlignment="1">
      <alignment vertical="center" wrapText="1"/>
    </xf>
    <xf numFmtId="216" fontId="22" fillId="2" borderId="0" xfId="0" applyNumberFormat="1" applyFont="1" applyFill="1" applyAlignment="1"/>
    <xf numFmtId="0" fontId="12" fillId="2" borderId="0" xfId="0" applyFont="1" applyFill="1"/>
    <xf numFmtId="216" fontId="12" fillId="2" borderId="3" xfId="1" applyNumberFormat="1" applyFont="1" applyFill="1" applyBorder="1" applyAlignment="1">
      <alignment horizontal="center" vertical="center" wrapText="1"/>
    </xf>
    <xf numFmtId="0" fontId="12" fillId="2" borderId="3" xfId="0" applyFont="1" applyFill="1" applyBorder="1" applyAlignment="1">
      <alignment horizontal="center" vertical="center" wrapText="1"/>
    </xf>
    <xf numFmtId="198" fontId="18" fillId="2" borderId="3" xfId="1" applyNumberFormat="1" applyFont="1" applyFill="1" applyBorder="1" applyAlignment="1">
      <alignment horizontal="center" vertical="center" wrapText="1"/>
    </xf>
    <xf numFmtId="188" fontId="18" fillId="2" borderId="3" xfId="1" applyNumberFormat="1" applyFont="1" applyFill="1" applyBorder="1" applyAlignment="1">
      <alignment horizontal="center" vertical="center" wrapText="1"/>
    </xf>
    <xf numFmtId="217" fontId="18" fillId="2" borderId="3" xfId="1" applyNumberFormat="1" applyFont="1" applyFill="1" applyBorder="1" applyAlignment="1">
      <alignment horizontal="center" vertical="center" wrapText="1"/>
    </xf>
    <xf numFmtId="0" fontId="18" fillId="2" borderId="3" xfId="1" applyNumberFormat="1" applyFont="1" applyFill="1" applyBorder="1" applyAlignment="1">
      <alignment horizontal="center" vertical="center" wrapText="1"/>
    </xf>
    <xf numFmtId="0" fontId="18" fillId="2" borderId="3" xfId="1" applyNumberFormat="1" applyFont="1" applyFill="1" applyBorder="1" applyAlignment="1">
      <alignment horizontal="center" vertical="center" wrapText="1" shrinkToFit="1"/>
    </xf>
    <xf numFmtId="0" fontId="18" fillId="2" borderId="35" xfId="1" applyNumberFormat="1" applyFont="1" applyFill="1" applyBorder="1" applyAlignment="1">
      <alignment horizontal="center" vertical="center" wrapText="1"/>
    </xf>
    <xf numFmtId="216" fontId="12" fillId="2" borderId="0" xfId="1" applyNumberFormat="1" applyFont="1" applyFill="1" applyAlignment="1">
      <alignment horizontal="center" vertical="center"/>
    </xf>
    <xf numFmtId="216" fontId="12" fillId="2" borderId="0" xfId="0" applyNumberFormat="1" applyFont="1" applyFill="1" applyAlignment="1">
      <alignment vertical="center"/>
    </xf>
    <xf numFmtId="217" fontId="12" fillId="2" borderId="0" xfId="0" applyNumberFormat="1" applyFont="1" applyFill="1" applyAlignment="1">
      <alignment horizontal="center" vertical="center"/>
    </xf>
    <xf numFmtId="0" fontId="5" fillId="2" borderId="0" xfId="0" applyFont="1" applyFill="1" applyAlignment="1">
      <alignment vertical="center"/>
    </xf>
    <xf numFmtId="0" fontId="5" fillId="2" borderId="0" xfId="0" applyFont="1" applyFill="1" applyAlignment="1">
      <alignment horizontal="center" vertical="center"/>
    </xf>
    <xf numFmtId="0" fontId="8" fillId="2" borderId="0" xfId="0" applyFont="1" applyFill="1"/>
    <xf numFmtId="0" fontId="45" fillId="2" borderId="0" xfId="0" applyFont="1" applyFill="1" applyAlignment="1"/>
    <xf numFmtId="0" fontId="5" fillId="2" borderId="0" xfId="0" applyFont="1" applyFill="1"/>
    <xf numFmtId="0" fontId="5" fillId="2" borderId="3" xfId="0" applyFont="1" applyFill="1" applyBorder="1" applyAlignment="1">
      <alignment horizontal="center" vertical="center"/>
    </xf>
    <xf numFmtId="0" fontId="5" fillId="2" borderId="3" xfId="0" applyFont="1" applyFill="1" applyBorder="1" applyAlignment="1">
      <alignment horizontal="center" vertical="center" wrapText="1"/>
    </xf>
    <xf numFmtId="0" fontId="5" fillId="2" borderId="35" xfId="0" applyFont="1" applyFill="1" applyBorder="1" applyAlignment="1">
      <alignment horizontal="center" vertical="center" wrapText="1"/>
    </xf>
    <xf numFmtId="0" fontId="5" fillId="2" borderId="2" xfId="0" applyFont="1" applyFill="1" applyBorder="1" applyAlignment="1">
      <alignment horizontal="center" vertical="center" wrapText="1"/>
    </xf>
    <xf numFmtId="217" fontId="5" fillId="2" borderId="3" xfId="93" applyNumberFormat="1" applyFont="1" applyFill="1" applyBorder="1" applyAlignment="1">
      <alignment horizontal="center" vertical="center"/>
    </xf>
    <xf numFmtId="43" fontId="5" fillId="2" borderId="3" xfId="1" applyFont="1" applyFill="1" applyBorder="1" applyAlignment="1">
      <alignment horizontal="center" vertical="center"/>
    </xf>
    <xf numFmtId="43" fontId="5" fillId="2" borderId="3" xfId="1" applyFont="1" applyFill="1" applyBorder="1" applyAlignment="1">
      <alignment vertical="center"/>
    </xf>
    <xf numFmtId="43" fontId="5" fillId="2" borderId="35" xfId="1" applyFont="1" applyFill="1" applyBorder="1" applyAlignment="1">
      <alignment vertical="center"/>
    </xf>
    <xf numFmtId="225" fontId="5" fillId="2" borderId="3" xfId="1" applyNumberFormat="1" applyFont="1" applyFill="1" applyBorder="1" applyAlignment="1">
      <alignment vertical="center"/>
    </xf>
    <xf numFmtId="225" fontId="5" fillId="2" borderId="35" xfId="1" applyNumberFormat="1" applyFont="1" applyFill="1" applyBorder="1" applyAlignment="1">
      <alignment vertical="center"/>
    </xf>
    <xf numFmtId="228" fontId="5" fillId="2" borderId="3" xfId="1" applyNumberFormat="1" applyFont="1" applyFill="1" applyBorder="1" applyAlignment="1">
      <alignment vertical="center"/>
    </xf>
    <xf numFmtId="0" fontId="45" fillId="2" borderId="3" xfId="0" applyFont="1" applyFill="1" applyBorder="1" applyAlignment="1">
      <alignment horizontal="center" vertical="center"/>
    </xf>
    <xf numFmtId="0" fontId="33" fillId="2" borderId="3" xfId="514" applyFont="1" applyFill="1" applyBorder="1" applyAlignment="1">
      <alignment horizontal="left" vertical="center"/>
    </xf>
    <xf numFmtId="0" fontId="33" fillId="2" borderId="3" xfId="514" applyFont="1" applyFill="1" applyBorder="1" applyAlignment="1">
      <alignment horizontal="center" vertical="center"/>
    </xf>
    <xf numFmtId="225" fontId="45" fillId="2" borderId="3" xfId="1" applyNumberFormat="1" applyFont="1" applyFill="1" applyBorder="1" applyAlignment="1">
      <alignment horizontal="center" vertical="center"/>
    </xf>
    <xf numFmtId="225" fontId="33" fillId="2" borderId="3" xfId="1" applyNumberFormat="1" applyFont="1" applyFill="1" applyBorder="1" applyAlignment="1">
      <alignment horizontal="center" vertical="center"/>
    </xf>
    <xf numFmtId="239" fontId="33" fillId="2" borderId="3" xfId="1" applyNumberFormat="1" applyFont="1" applyFill="1" applyBorder="1" applyAlignment="1">
      <alignment vertical="center"/>
    </xf>
    <xf numFmtId="10" fontId="33" fillId="2" borderId="3" xfId="2" applyNumberFormat="1" applyFont="1" applyFill="1" applyBorder="1" applyAlignment="1">
      <alignment horizontal="center" vertical="center"/>
    </xf>
    <xf numFmtId="0" fontId="33" fillId="2" borderId="35" xfId="2" applyNumberFormat="1" applyFont="1" applyFill="1" applyBorder="1" applyAlignment="1">
      <alignment horizontal="center" vertical="center"/>
    </xf>
    <xf numFmtId="198" fontId="33" fillId="2" borderId="35" xfId="2" applyNumberFormat="1" applyFont="1" applyFill="1" applyBorder="1" applyAlignment="1">
      <alignment horizontal="center" vertical="center"/>
    </xf>
    <xf numFmtId="10" fontId="33" fillId="2" borderId="35" xfId="2" applyNumberFormat="1" applyFont="1" applyFill="1" applyBorder="1" applyAlignment="1">
      <alignment horizontal="center" vertical="center"/>
    </xf>
    <xf numFmtId="43" fontId="45" fillId="2" borderId="3" xfId="1" applyFont="1" applyFill="1" applyBorder="1" applyAlignment="1">
      <alignment horizontal="center" vertical="center"/>
    </xf>
    <xf numFmtId="225" fontId="33" fillId="2" borderId="3" xfId="1" applyNumberFormat="1" applyFont="1" applyFill="1" applyBorder="1" applyAlignment="1">
      <alignment vertical="center"/>
    </xf>
    <xf numFmtId="228" fontId="33" fillId="2" borderId="3" xfId="1" applyNumberFormat="1" applyFont="1" applyFill="1" applyBorder="1" applyAlignment="1">
      <alignment vertical="center"/>
    </xf>
    <xf numFmtId="0" fontId="45" fillId="2" borderId="35" xfId="0" applyFont="1" applyFill="1" applyBorder="1" applyAlignment="1">
      <alignment horizontal="center" vertical="center"/>
    </xf>
    <xf numFmtId="0" fontId="33" fillId="2" borderId="35" xfId="514" applyFont="1" applyFill="1" applyBorder="1" applyAlignment="1">
      <alignment horizontal="left" vertical="center"/>
    </xf>
    <xf numFmtId="0" fontId="33" fillId="2" borderId="35" xfId="514" applyFont="1" applyFill="1" applyBorder="1" applyAlignment="1">
      <alignment horizontal="center" vertical="center"/>
    </xf>
    <xf numFmtId="225" fontId="45" fillId="2" borderId="35" xfId="1" applyNumberFormat="1" applyFont="1" applyFill="1" applyBorder="1" applyAlignment="1">
      <alignment horizontal="center" vertical="center"/>
    </xf>
    <xf numFmtId="43" fontId="45" fillId="2" borderId="35" xfId="1" applyFont="1" applyFill="1" applyBorder="1" applyAlignment="1">
      <alignment horizontal="center" vertical="center"/>
    </xf>
    <xf numFmtId="228" fontId="33" fillId="2" borderId="35" xfId="1" applyNumberFormat="1" applyFont="1" applyFill="1" applyBorder="1" applyAlignment="1">
      <alignment vertical="center"/>
    </xf>
    <xf numFmtId="0" fontId="12" fillId="2" borderId="0" xfId="495" applyFont="1" applyFill="1" applyAlignment="1">
      <alignment horizontal="center" vertical="center"/>
    </xf>
    <xf numFmtId="0" fontId="22" fillId="2" borderId="3" xfId="495" applyFont="1" applyFill="1" applyBorder="1" applyAlignment="1" applyProtection="1">
      <alignment horizontal="center" vertical="center"/>
      <protection hidden="1"/>
    </xf>
    <xf numFmtId="0" fontId="22" fillId="2" borderId="3" xfId="495" applyFont="1" applyFill="1" applyBorder="1" applyAlignment="1">
      <alignment horizontal="center" vertical="center"/>
    </xf>
    <xf numFmtId="0" fontId="12" fillId="2" borderId="0" xfId="0" applyFont="1" applyFill="1" applyAlignment="1">
      <alignment horizontal="right" vertical="center"/>
    </xf>
    <xf numFmtId="43" fontId="38" fillId="2" borderId="0" xfId="0" applyNumberFormat="1" applyFont="1" applyFill="1"/>
    <xf numFmtId="0" fontId="12" fillId="2" borderId="4" xfId="0" applyFont="1" applyFill="1" applyBorder="1" applyAlignment="1">
      <alignment horizontal="center" vertical="center"/>
    </xf>
    <xf numFmtId="0" fontId="12" fillId="2" borderId="16" xfId="0" applyFont="1" applyFill="1" applyBorder="1" applyAlignment="1">
      <alignment vertical="center"/>
    </xf>
    <xf numFmtId="0" fontId="12" fillId="2" borderId="3" xfId="0" applyFont="1" applyFill="1" applyBorder="1" applyAlignment="1">
      <alignment vertical="center"/>
    </xf>
    <xf numFmtId="0" fontId="12" fillId="2" borderId="6" xfId="0" applyFont="1" applyFill="1" applyBorder="1" applyAlignment="1">
      <alignment horizontal="center" vertical="center"/>
    </xf>
    <xf numFmtId="0" fontId="12" fillId="2" borderId="3" xfId="0" applyFont="1" applyFill="1" applyBorder="1" applyAlignment="1">
      <alignment horizontal="center" vertical="center"/>
    </xf>
    <xf numFmtId="215" fontId="12" fillId="2" borderId="3" xfId="0" applyNumberFormat="1" applyFont="1" applyFill="1" applyBorder="1" applyAlignment="1">
      <alignment vertical="center" wrapText="1"/>
    </xf>
    <xf numFmtId="0" fontId="12" fillId="2" borderId="6" xfId="0" applyFont="1" applyFill="1" applyBorder="1" applyAlignment="1">
      <alignment horizontal="center" vertical="center" wrapText="1"/>
    </xf>
    <xf numFmtId="0" fontId="33" fillId="2" borderId="3" xfId="0" applyFont="1" applyFill="1" applyBorder="1" applyAlignment="1">
      <alignment horizontal="center" vertical="center" wrapText="1"/>
    </xf>
    <xf numFmtId="0" fontId="33" fillId="2" borderId="3" xfId="0" applyFont="1" applyFill="1" applyBorder="1" applyAlignment="1">
      <alignment horizontal="left" vertical="center"/>
    </xf>
    <xf numFmtId="218" fontId="33" fillId="2" borderId="3" xfId="0" applyNumberFormat="1" applyFont="1" applyFill="1" applyBorder="1" applyAlignment="1">
      <alignment horizontal="center" vertical="center"/>
    </xf>
    <xf numFmtId="215" fontId="33" fillId="2" borderId="3" xfId="0" applyNumberFormat="1" applyFont="1" applyFill="1" applyBorder="1" applyAlignment="1">
      <alignment horizontal="right" vertical="center"/>
    </xf>
    <xf numFmtId="3" fontId="33" fillId="2" borderId="3" xfId="93" applyNumberFormat="1" applyFont="1" applyFill="1" applyBorder="1" applyAlignment="1">
      <alignment horizontal="right" vertical="center"/>
    </xf>
    <xf numFmtId="187" fontId="33" fillId="2" borderId="3" xfId="93" applyNumberFormat="1" applyFont="1" applyFill="1" applyBorder="1" applyAlignment="1">
      <alignment horizontal="right" vertical="center"/>
    </xf>
    <xf numFmtId="220" fontId="33" fillId="2" borderId="3" xfId="0" applyNumberFormat="1" applyFont="1" applyFill="1" applyBorder="1" applyAlignment="1">
      <alignment horizontal="left" vertical="center"/>
    </xf>
    <xf numFmtId="3" fontId="12" fillId="2" borderId="3" xfId="0" applyNumberFormat="1" applyFont="1" applyFill="1" applyBorder="1" applyAlignment="1">
      <alignment horizontal="center" vertical="center"/>
    </xf>
    <xf numFmtId="0" fontId="12" fillId="2" borderId="3" xfId="0" applyFont="1" applyFill="1" applyBorder="1" applyAlignment="1">
      <alignment horizontal="left" vertical="center"/>
    </xf>
    <xf numFmtId="0" fontId="12" fillId="2" borderId="3" xfId="495" applyFont="1" applyFill="1" applyBorder="1" applyAlignment="1">
      <alignment vertical="center"/>
    </xf>
    <xf numFmtId="218" fontId="12" fillId="2" borderId="3" xfId="0" applyNumberFormat="1" applyFont="1" applyFill="1" applyBorder="1" applyAlignment="1">
      <alignment horizontal="center" vertical="center"/>
    </xf>
    <xf numFmtId="43" fontId="12" fillId="2" borderId="3" xfId="1" applyFont="1" applyFill="1" applyBorder="1" applyAlignment="1">
      <alignment horizontal="right" vertical="center"/>
    </xf>
    <xf numFmtId="3" fontId="12" fillId="2" borderId="3" xfId="93" applyNumberFormat="1" applyFont="1" applyFill="1" applyBorder="1" applyAlignment="1">
      <alignment horizontal="right" vertical="center"/>
    </xf>
    <xf numFmtId="187" fontId="12" fillId="2" borderId="3" xfId="93" applyNumberFormat="1" applyFont="1" applyFill="1" applyBorder="1" applyAlignment="1">
      <alignment horizontal="right" vertical="center"/>
    </xf>
    <xf numFmtId="220" fontId="12" fillId="2" borderId="3" xfId="0" applyNumberFormat="1" applyFont="1" applyFill="1" applyBorder="1" applyAlignment="1">
      <alignment horizontal="left" vertical="center"/>
    </xf>
    <xf numFmtId="215" fontId="12" fillId="2" borderId="3" xfId="0" applyNumberFormat="1" applyFont="1" applyFill="1" applyBorder="1" applyAlignment="1">
      <alignment horizontal="right" vertical="center"/>
    </xf>
    <xf numFmtId="187" fontId="12" fillId="2" borderId="3" xfId="0" applyNumberFormat="1" applyFont="1" applyFill="1" applyBorder="1" applyAlignment="1">
      <alignment horizontal="right" vertical="center"/>
    </xf>
    <xf numFmtId="0" fontId="33" fillId="2" borderId="0" xfId="0" applyFont="1" applyFill="1"/>
    <xf numFmtId="0" fontId="33" fillId="2" borderId="0" xfId="0" applyFont="1" applyFill="1" applyAlignment="1">
      <alignment shrinkToFit="1"/>
    </xf>
    <xf numFmtId="219" fontId="33" fillId="2" borderId="0" xfId="93" applyNumberFormat="1" applyFont="1" applyFill="1"/>
    <xf numFmtId="216" fontId="33" fillId="2" borderId="0" xfId="1" applyNumberFormat="1" applyFont="1" applyFill="1" applyAlignment="1">
      <alignment vertical="center"/>
    </xf>
    <xf numFmtId="0" fontId="18" fillId="2" borderId="41" xfId="0" applyFont="1" applyFill="1" applyBorder="1" applyAlignment="1">
      <alignment horizontal="center" vertical="center" wrapText="1"/>
    </xf>
    <xf numFmtId="0" fontId="18" fillId="2" borderId="41" xfId="0" applyFont="1" applyFill="1" applyBorder="1" applyAlignment="1">
      <alignment horizontal="center" vertical="center" shrinkToFit="1"/>
    </xf>
    <xf numFmtId="0" fontId="18" fillId="2" borderId="35" xfId="0" applyFont="1" applyFill="1" applyBorder="1" applyAlignment="1">
      <alignment horizontal="center" vertical="center" wrapText="1"/>
    </xf>
    <xf numFmtId="0" fontId="33" fillId="2" borderId="3" xfId="0" applyFont="1" applyFill="1" applyBorder="1" applyAlignment="1">
      <alignment horizontal="center" vertical="center" shrinkToFit="1"/>
    </xf>
    <xf numFmtId="4" fontId="33" fillId="2" borderId="3" xfId="1" applyNumberFormat="1" applyFont="1" applyFill="1" applyBorder="1" applyAlignment="1">
      <alignment horizontal="center" vertical="center" shrinkToFit="1"/>
    </xf>
    <xf numFmtId="227" fontId="33" fillId="2" borderId="35" xfId="1" applyNumberFormat="1" applyFont="1" applyFill="1" applyBorder="1" applyAlignment="1">
      <alignment vertical="center" shrinkToFit="1"/>
    </xf>
    <xf numFmtId="3" fontId="33" fillId="2" borderId="35" xfId="0" applyNumberFormat="1" applyFont="1" applyFill="1" applyBorder="1" applyAlignment="1">
      <alignment horizontal="right" vertical="center" shrinkToFit="1"/>
    </xf>
    <xf numFmtId="3" fontId="33" fillId="2" borderId="3" xfId="0" applyNumberFormat="1" applyFont="1" applyFill="1" applyBorder="1" applyAlignment="1">
      <alignment horizontal="center" vertical="center" shrinkToFit="1"/>
    </xf>
    <xf numFmtId="3" fontId="33" fillId="2" borderId="6" xfId="0" applyNumberFormat="1" applyFont="1" applyFill="1" applyBorder="1" applyAlignment="1">
      <alignment horizontal="center" vertical="center" shrinkToFit="1"/>
    </xf>
    <xf numFmtId="3" fontId="33" fillId="2" borderId="6" xfId="0" applyNumberFormat="1" applyFont="1" applyFill="1" applyBorder="1" applyAlignment="1">
      <alignment horizontal="right" vertical="center" shrinkToFit="1"/>
    </xf>
    <xf numFmtId="217" fontId="33" fillId="2" borderId="3" xfId="1" applyNumberFormat="1" applyFont="1" applyFill="1" applyBorder="1" applyAlignment="1">
      <alignment horizontal="center" vertical="center" shrinkToFit="1"/>
    </xf>
    <xf numFmtId="3" fontId="33" fillId="2" borderId="3" xfId="1" applyNumberFormat="1" applyFont="1" applyFill="1" applyBorder="1" applyAlignment="1">
      <alignment horizontal="center" vertical="center" shrinkToFit="1"/>
    </xf>
    <xf numFmtId="3" fontId="33" fillId="2" borderId="35" xfId="1" applyNumberFormat="1" applyFont="1" applyFill="1" applyBorder="1" applyAlignment="1">
      <alignment horizontal="right" vertical="center" shrinkToFit="1"/>
    </xf>
    <xf numFmtId="0" fontId="33" fillId="2" borderId="35" xfId="0" applyFont="1" applyFill="1" applyBorder="1" applyAlignment="1">
      <alignment horizontal="center" vertical="center" shrinkToFit="1"/>
    </xf>
    <xf numFmtId="4" fontId="33" fillId="2" borderId="35" xfId="1" applyNumberFormat="1" applyFont="1" applyFill="1" applyBorder="1" applyAlignment="1">
      <alignment horizontal="center" vertical="center" shrinkToFit="1"/>
    </xf>
    <xf numFmtId="3" fontId="33" fillId="2" borderId="3" xfId="0" applyNumberFormat="1" applyFont="1" applyFill="1" applyBorder="1" applyAlignment="1">
      <alignment horizontal="right" vertical="center" shrinkToFit="1"/>
    </xf>
    <xf numFmtId="3" fontId="12" fillId="2" borderId="3" xfId="0" applyNumberFormat="1" applyFont="1" applyFill="1" applyBorder="1" applyAlignment="1">
      <alignment horizontal="center" vertical="center" shrinkToFit="1"/>
    </xf>
    <xf numFmtId="4" fontId="12" fillId="2" borderId="3" xfId="0" applyNumberFormat="1" applyFont="1" applyFill="1" applyBorder="1" applyAlignment="1">
      <alignment horizontal="center" vertical="center" shrinkToFit="1"/>
    </xf>
    <xf numFmtId="4" fontId="12" fillId="2" borderId="0" xfId="0" applyNumberFormat="1" applyFont="1" applyFill="1" applyAlignment="1">
      <alignment horizontal="center" vertical="center"/>
    </xf>
    <xf numFmtId="3" fontId="12" fillId="2" borderId="0" xfId="0" applyNumberFormat="1" applyFont="1" applyFill="1" applyAlignment="1">
      <alignment horizontal="right" vertical="center"/>
    </xf>
    <xf numFmtId="0" fontId="12" fillId="2" borderId="0" xfId="489" applyFont="1" applyFill="1"/>
    <xf numFmtId="4" fontId="12" fillId="2" borderId="0" xfId="489" applyNumberFormat="1" applyFont="1" applyFill="1" applyAlignment="1">
      <alignment horizontal="center"/>
    </xf>
    <xf numFmtId="3" fontId="12" fillId="2" borderId="0" xfId="489" applyNumberFormat="1" applyFont="1" applyFill="1"/>
    <xf numFmtId="3" fontId="12" fillId="2" borderId="0" xfId="489" applyNumberFormat="1" applyFont="1" applyFill="1" applyAlignment="1">
      <alignment horizontal="center"/>
    </xf>
    <xf numFmtId="4" fontId="33" fillId="2" borderId="0" xfId="91" applyNumberFormat="1" applyFont="1" applyFill="1" applyAlignment="1">
      <alignment horizontal="center"/>
    </xf>
    <xf numFmtId="216" fontId="33" fillId="2" borderId="0" xfId="1" applyNumberFormat="1" applyFont="1" applyFill="1" applyAlignment="1">
      <alignment horizontal="center"/>
    </xf>
    <xf numFmtId="3" fontId="33" fillId="2" borderId="0" xfId="489" applyNumberFormat="1" applyFont="1" applyFill="1" applyAlignment="1">
      <alignment horizontal="center"/>
    </xf>
    <xf numFmtId="0" fontId="12" fillId="2" borderId="3" xfId="489" applyFont="1" applyFill="1" applyBorder="1" applyAlignment="1">
      <alignment horizontal="center" vertical="center" wrapText="1"/>
    </xf>
    <xf numFmtId="4" fontId="12" fillId="2" borderId="3" xfId="489" applyNumberFormat="1" applyFont="1" applyFill="1" applyBorder="1" applyAlignment="1">
      <alignment horizontal="center" vertical="center" wrapText="1"/>
    </xf>
    <xf numFmtId="3" fontId="12" fillId="2" borderId="3" xfId="489" applyNumberFormat="1" applyFont="1" applyFill="1" applyBorder="1" applyAlignment="1">
      <alignment horizontal="center" vertical="center" wrapText="1"/>
    </xf>
    <xf numFmtId="0" fontId="33" fillId="2" borderId="0" xfId="489" applyFont="1" applyFill="1" applyAlignment="1">
      <alignment vertical="center" wrapText="1"/>
    </xf>
    <xf numFmtId="216" fontId="33" fillId="3" borderId="0" xfId="489" applyNumberFormat="1" applyFont="1" applyFill="1" applyAlignment="1">
      <alignment vertical="center" wrapText="1"/>
    </xf>
    <xf numFmtId="0" fontId="5" fillId="0" borderId="3" xfId="431" applyFont="1" applyBorder="1" applyAlignment="1">
      <alignment horizontal="center" vertical="center"/>
    </xf>
    <xf numFmtId="0" fontId="12" fillId="2" borderId="3" xfId="560" applyFont="1" applyFill="1" applyBorder="1" applyAlignment="1">
      <alignment horizontal="left" vertical="center"/>
    </xf>
    <xf numFmtId="4" fontId="12" fillId="2" borderId="3" xfId="91" applyNumberFormat="1" applyFont="1" applyFill="1" applyBorder="1" applyAlignment="1">
      <alignment horizontal="center" vertical="center"/>
    </xf>
    <xf numFmtId="216" fontId="12" fillId="2" borderId="3" xfId="1" applyNumberFormat="1" applyFont="1" applyFill="1" applyBorder="1" applyAlignment="1">
      <alignment horizontal="center" vertical="center"/>
    </xf>
    <xf numFmtId="43" fontId="12" fillId="2" borderId="3" xfId="1" applyFont="1" applyFill="1" applyBorder="1" applyAlignment="1">
      <alignment horizontal="center"/>
    </xf>
    <xf numFmtId="0" fontId="33" fillId="2" borderId="3" xfId="560" applyFont="1" applyFill="1" applyBorder="1" applyAlignment="1">
      <alignment horizontal="center" vertical="center"/>
    </xf>
    <xf numFmtId="0" fontId="33" fillId="2" borderId="3" xfId="560" applyFont="1" applyFill="1" applyBorder="1" applyAlignment="1">
      <alignment horizontal="left" vertical="center"/>
    </xf>
    <xf numFmtId="3" fontId="33" fillId="2" borderId="3" xfId="91" applyNumberFormat="1" applyFont="1" applyFill="1" applyBorder="1" applyAlignment="1">
      <alignment horizontal="center" vertical="center"/>
    </xf>
    <xf numFmtId="216" fontId="33" fillId="2" borderId="3" xfId="1" applyNumberFormat="1" applyFont="1" applyFill="1" applyBorder="1" applyAlignment="1">
      <alignment horizontal="center" vertical="center"/>
    </xf>
    <xf numFmtId="43" fontId="33" fillId="2" borderId="3" xfId="1" applyFont="1" applyFill="1" applyBorder="1" applyAlignment="1">
      <alignment horizontal="center"/>
    </xf>
    <xf numFmtId="3" fontId="33" fillId="2" borderId="3" xfId="489" applyNumberFormat="1" applyFont="1" applyFill="1" applyBorder="1" applyAlignment="1">
      <alignment horizontal="center" vertical="center"/>
    </xf>
    <xf numFmtId="221" fontId="33" fillId="2" borderId="3" xfId="489" applyNumberFormat="1" applyFont="1" applyFill="1" applyBorder="1" applyAlignment="1">
      <alignment horizontal="center" vertical="center"/>
    </xf>
    <xf numFmtId="216" fontId="33" fillId="2" borderId="35" xfId="1" applyNumberFormat="1" applyFont="1" applyFill="1" applyBorder="1" applyAlignment="1">
      <alignment horizontal="center" vertical="center"/>
    </xf>
    <xf numFmtId="216" fontId="33" fillId="2" borderId="3" xfId="1" applyNumberFormat="1" applyFont="1" applyFill="1" applyBorder="1" applyAlignment="1">
      <alignment vertical="center"/>
    </xf>
    <xf numFmtId="4" fontId="33" fillId="2" borderId="3" xfId="91" applyNumberFormat="1" applyFont="1" applyFill="1" applyBorder="1" applyAlignment="1">
      <alignment horizontal="center" vertical="center"/>
    </xf>
    <xf numFmtId="0" fontId="33" fillId="2" borderId="35" xfId="560" applyFont="1" applyFill="1" applyBorder="1" applyAlignment="1">
      <alignment horizontal="center" vertical="center"/>
    </xf>
    <xf numFmtId="0" fontId="33" fillId="2" borderId="35" xfId="560" applyFont="1" applyFill="1" applyBorder="1" applyAlignment="1">
      <alignment horizontal="left" vertical="center"/>
    </xf>
    <xf numFmtId="43" fontId="33" fillId="2" borderId="35" xfId="1" applyFont="1" applyFill="1" applyBorder="1" applyAlignment="1">
      <alignment horizontal="center"/>
    </xf>
    <xf numFmtId="43" fontId="33" fillId="2" borderId="3" xfId="1" applyNumberFormat="1" applyFont="1" applyFill="1" applyBorder="1" applyAlignment="1">
      <alignment horizontal="center" vertical="center"/>
    </xf>
    <xf numFmtId="0" fontId="12" fillId="2" borderId="3" xfId="560" applyFont="1" applyFill="1" applyBorder="1" applyAlignment="1">
      <alignment horizontal="center" vertical="center"/>
    </xf>
    <xf numFmtId="43" fontId="12" fillId="2" borderId="3" xfId="1" applyFont="1" applyFill="1" applyBorder="1" applyAlignment="1">
      <alignment horizontal="center" vertical="center"/>
    </xf>
    <xf numFmtId="0" fontId="12" fillId="2" borderId="35" xfId="560" applyFont="1" applyFill="1" applyBorder="1" applyAlignment="1">
      <alignment horizontal="left" vertical="center"/>
    </xf>
    <xf numFmtId="4" fontId="33" fillId="2" borderId="3" xfId="489" applyNumberFormat="1" applyFont="1" applyFill="1" applyBorder="1" applyAlignment="1">
      <alignment horizontal="center" vertical="center"/>
    </xf>
    <xf numFmtId="0" fontId="216" fillId="2" borderId="0" xfId="527" applyFont="1" applyFill="1"/>
    <xf numFmtId="216" fontId="216" fillId="2" borderId="0" xfId="1" applyNumberFormat="1" applyFont="1" applyFill="1" applyAlignment="1">
      <alignment horizontal="center"/>
    </xf>
    <xf numFmtId="0" fontId="216" fillId="2" borderId="0" xfId="527" applyFont="1" applyFill="1" applyAlignment="1">
      <alignment horizontal="center"/>
    </xf>
    <xf numFmtId="0" fontId="36" fillId="0" borderId="0" xfId="638" applyFont="1" applyFill="1"/>
    <xf numFmtId="0" fontId="218" fillId="0" borderId="0" xfId="638" applyFont="1" applyFill="1" applyAlignment="1"/>
    <xf numFmtId="0" fontId="33" fillId="0" borderId="0" xfId="638" applyFont="1" applyFill="1" applyAlignment="1"/>
    <xf numFmtId="0" fontId="33" fillId="0" borderId="35" xfId="638" applyFont="1" applyFill="1" applyBorder="1" applyAlignment="1">
      <alignment horizontal="center" vertical="center"/>
    </xf>
    <xf numFmtId="0" fontId="33" fillId="0" borderId="35" xfId="638" applyFont="1" applyFill="1" applyBorder="1" applyAlignment="1">
      <alignment horizontal="left" vertical="center"/>
    </xf>
    <xf numFmtId="224" fontId="33" fillId="0" borderId="35" xfId="633" applyNumberFormat="1" applyFont="1" applyFill="1" applyBorder="1" applyAlignment="1">
      <alignment horizontal="center" vertical="center" wrapText="1"/>
    </xf>
    <xf numFmtId="3" fontId="219" fillId="0" borderId="35" xfId="636" applyNumberFormat="1" applyFont="1" applyFill="1" applyBorder="1" applyAlignment="1">
      <alignment horizontal="center" vertical="center"/>
    </xf>
    <xf numFmtId="0" fontId="12" fillId="0" borderId="35" xfId="638" applyFont="1" applyFill="1" applyBorder="1" applyAlignment="1">
      <alignment horizontal="center" vertical="center"/>
    </xf>
    <xf numFmtId="3" fontId="12" fillId="0" borderId="35" xfId="638" applyNumberFormat="1" applyFont="1" applyFill="1" applyBorder="1" applyAlignment="1">
      <alignment horizontal="center" vertical="center"/>
    </xf>
    <xf numFmtId="0" fontId="36" fillId="0" borderId="0" xfId="638" applyFont="1"/>
    <xf numFmtId="0" fontId="216" fillId="0" borderId="0" xfId="638" applyFont="1" applyAlignment="1">
      <alignment horizontal="center" vertical="center"/>
    </xf>
    <xf numFmtId="0" fontId="35" fillId="0" borderId="0" xfId="638" applyFont="1" applyAlignment="1">
      <alignment horizontal="center" vertical="center"/>
    </xf>
    <xf numFmtId="0" fontId="31" fillId="0" borderId="0" xfId="638" applyFont="1" applyAlignment="1">
      <alignment horizontal="center" vertical="center"/>
    </xf>
    <xf numFmtId="0" fontId="217" fillId="0" borderId="0" xfId="638" applyFont="1" applyAlignment="1">
      <alignment horizontal="center" vertical="center"/>
    </xf>
    <xf numFmtId="0" fontId="33" fillId="0" borderId="35" xfId="0" applyFont="1" applyBorder="1" applyAlignment="1">
      <alignment horizontal="center" vertical="center"/>
    </xf>
    <xf numFmtId="0" fontId="33" fillId="0" borderId="35" xfId="0" applyFont="1" applyBorder="1" applyAlignment="1">
      <alignment vertical="center"/>
    </xf>
    <xf numFmtId="0" fontId="33" fillId="0" borderId="35" xfId="0" applyFont="1" applyBorder="1" applyAlignment="1">
      <alignment horizontal="left" vertical="center" wrapText="1"/>
    </xf>
    <xf numFmtId="221" fontId="33" fillId="0" borderId="35" xfId="0" applyNumberFormat="1" applyFont="1" applyBorder="1" applyAlignment="1">
      <alignment horizontal="center" vertical="center" wrapText="1"/>
    </xf>
    <xf numFmtId="3" fontId="33" fillId="0" borderId="3" xfId="1" applyNumberFormat="1" applyFont="1" applyFill="1" applyBorder="1" applyAlignment="1">
      <alignment horizontal="right" vertical="center"/>
    </xf>
    <xf numFmtId="0" fontId="33" fillId="0" borderId="35" xfId="0" applyFont="1" applyBorder="1" applyAlignment="1">
      <alignment horizontal="left" vertical="center"/>
    </xf>
    <xf numFmtId="221" fontId="12" fillId="0" borderId="3" xfId="0" applyNumberFormat="1" applyFont="1" applyBorder="1" applyAlignment="1">
      <alignment horizontal="center" vertical="center"/>
    </xf>
    <xf numFmtId="3" fontId="12" fillId="0" borderId="3" xfId="0" applyNumberFormat="1" applyFont="1" applyBorder="1" applyAlignment="1">
      <alignment horizontal="right" vertical="center"/>
    </xf>
    <xf numFmtId="0" fontId="12" fillId="0" borderId="0" xfId="0" applyFont="1"/>
    <xf numFmtId="0" fontId="38" fillId="0" borderId="0" xfId="0" applyFont="1" applyAlignment="1">
      <alignment horizontal="center"/>
    </xf>
    <xf numFmtId="0" fontId="12" fillId="0" borderId="0" xfId="0" applyFont="1" applyAlignment="1">
      <alignment vertical="center"/>
    </xf>
    <xf numFmtId="0" fontId="12" fillId="0" borderId="0" xfId="0" applyFont="1" applyAlignment="1">
      <alignment horizontal="center" vertical="center"/>
    </xf>
    <xf numFmtId="4" fontId="12" fillId="0" borderId="0" xfId="0" applyNumberFormat="1" applyFont="1" applyAlignment="1">
      <alignment horizontal="center" vertical="center"/>
    </xf>
    <xf numFmtId="0" fontId="33" fillId="0" borderId="0" xfId="0" applyFont="1" applyAlignment="1">
      <alignment horizontal="center"/>
    </xf>
    <xf numFmtId="4" fontId="33" fillId="0" borderId="0" xfId="0" applyNumberFormat="1" applyFont="1" applyAlignment="1">
      <alignment horizontal="center"/>
    </xf>
    <xf numFmtId="4" fontId="33" fillId="0" borderId="0" xfId="0" applyNumberFormat="1" applyFont="1" applyAlignment="1">
      <alignment horizontal="right"/>
    </xf>
    <xf numFmtId="3" fontId="12" fillId="0" borderId="2" xfId="0" applyNumberFormat="1" applyFont="1" applyBorder="1" applyAlignment="1">
      <alignment horizontal="center" vertical="center" wrapText="1"/>
    </xf>
    <xf numFmtId="0" fontId="33" fillId="0" borderId="3" xfId="0" applyFont="1" applyBorder="1" applyAlignment="1">
      <alignment horizontal="left" vertical="center"/>
    </xf>
    <xf numFmtId="3" fontId="33" fillId="0" borderId="3" xfId="1" applyNumberFormat="1" applyFont="1" applyFill="1" applyBorder="1" applyAlignment="1">
      <alignment horizontal="center" vertical="center"/>
    </xf>
    <xf numFmtId="3" fontId="12" fillId="0" borderId="35" xfId="0" applyNumberFormat="1" applyFont="1" applyBorder="1" applyAlignment="1">
      <alignment horizontal="center" vertical="center" wrapText="1"/>
    </xf>
    <xf numFmtId="0" fontId="12" fillId="0" borderId="3" xfId="0" applyFont="1" applyBorder="1" applyAlignment="1">
      <alignment horizontal="center" vertical="center"/>
    </xf>
    <xf numFmtId="4" fontId="12" fillId="0" borderId="3" xfId="0" applyNumberFormat="1" applyFont="1" applyBorder="1" applyAlignment="1">
      <alignment horizontal="center" vertical="center"/>
    </xf>
    <xf numFmtId="4" fontId="12" fillId="0" borderId="3" xfId="0" applyNumberFormat="1" applyFont="1" applyBorder="1" applyAlignment="1">
      <alignment horizontal="right" vertical="center"/>
    </xf>
    <xf numFmtId="0" fontId="222" fillId="0" borderId="0" xfId="0" applyFont="1" applyAlignment="1">
      <alignment vertical="center"/>
    </xf>
    <xf numFmtId="0" fontId="223" fillId="0" borderId="0" xfId="0" applyFont="1"/>
    <xf numFmtId="0" fontId="222" fillId="0" borderId="0" xfId="0" applyFont="1" applyAlignment="1">
      <alignment horizontal="center"/>
    </xf>
    <xf numFmtId="2" fontId="223" fillId="0" borderId="0" xfId="0" applyNumberFormat="1" applyFont="1"/>
    <xf numFmtId="0" fontId="222" fillId="0" borderId="0" xfId="0" applyFont="1"/>
    <xf numFmtId="3" fontId="222" fillId="0" borderId="0" xfId="0" applyNumberFormat="1" applyFont="1"/>
    <xf numFmtId="0" fontId="222" fillId="0" borderId="0" xfId="0" applyFont="1" applyAlignment="1">
      <alignment horizontal="center" vertical="center"/>
    </xf>
    <xf numFmtId="0" fontId="223" fillId="0" borderId="0" xfId="0" applyFont="1" applyAlignment="1">
      <alignment horizontal="center" vertical="center"/>
    </xf>
    <xf numFmtId="0" fontId="223" fillId="0" borderId="0" xfId="0" applyFont="1" applyAlignment="1">
      <alignment vertical="center"/>
    </xf>
    <xf numFmtId="4" fontId="222" fillId="0" borderId="0" xfId="0" applyNumberFormat="1" applyFont="1" applyAlignment="1">
      <alignment horizontal="center" vertical="center"/>
    </xf>
    <xf numFmtId="0" fontId="10" fillId="0" borderId="0" xfId="0" applyFont="1" applyAlignment="1">
      <alignment horizontal="right" vertical="center"/>
    </xf>
    <xf numFmtId="0" fontId="10" fillId="0" borderId="0" xfId="0" applyFont="1" applyAlignment="1">
      <alignment horizontal="center" vertical="center"/>
    </xf>
    <xf numFmtId="43" fontId="10" fillId="0" borderId="0" xfId="0" applyNumberFormat="1" applyFont="1" applyAlignment="1">
      <alignment horizontal="center" vertical="center"/>
    </xf>
    <xf numFmtId="4" fontId="10" fillId="0" borderId="0" xfId="0" applyNumberFormat="1" applyFont="1" applyAlignment="1">
      <alignment horizontal="center" vertical="center"/>
    </xf>
    <xf numFmtId="0" fontId="133" fillId="0" borderId="0" xfId="0" applyFont="1" applyAlignment="1">
      <alignment horizontal="center" vertical="center"/>
    </xf>
    <xf numFmtId="0" fontId="9" fillId="0" borderId="0" xfId="0" applyFont="1" applyAlignment="1">
      <alignment horizontal="center" vertical="center"/>
    </xf>
    <xf numFmtId="0" fontId="15" fillId="0" borderId="0" xfId="0" applyFont="1" applyAlignment="1">
      <alignment vertical="center"/>
    </xf>
    <xf numFmtId="0" fontId="12" fillId="2" borderId="3" xfId="0" applyFont="1" applyFill="1" applyBorder="1" applyAlignment="1">
      <alignment horizontal="center" vertical="center" wrapText="1"/>
    </xf>
    <xf numFmtId="0" fontId="12" fillId="2" borderId="3" xfId="0" applyFont="1" applyFill="1" applyBorder="1" applyAlignment="1">
      <alignment horizontal="center" vertical="center"/>
    </xf>
    <xf numFmtId="0" fontId="141" fillId="2" borderId="0" xfId="622" applyFont="1" applyFill="1" applyAlignment="1">
      <alignment horizontal="center" vertical="center"/>
    </xf>
    <xf numFmtId="0" fontId="141" fillId="0" borderId="0" xfId="622" applyFont="1" applyFill="1" applyAlignment="1">
      <alignment vertical="center" shrinkToFit="1"/>
    </xf>
    <xf numFmtId="0" fontId="141" fillId="0" borderId="0" xfId="622" applyFont="1" applyFill="1" applyAlignment="1">
      <alignment vertical="center"/>
    </xf>
    <xf numFmtId="0" fontId="141" fillId="2" borderId="0" xfId="622" applyFont="1" applyFill="1" applyAlignment="1">
      <alignment vertical="center" shrinkToFit="1"/>
    </xf>
    <xf numFmtId="0" fontId="141" fillId="2" borderId="0" xfId="622" applyFont="1" applyFill="1" applyAlignment="1">
      <alignment vertical="center"/>
    </xf>
    <xf numFmtId="0" fontId="189" fillId="2" borderId="0" xfId="622" applyFont="1" applyFill="1" applyAlignment="1">
      <alignment vertical="center" wrapText="1"/>
    </xf>
    <xf numFmtId="0" fontId="151" fillId="2" borderId="0" xfId="627" applyFont="1" applyFill="1" applyAlignment="1">
      <alignment vertical="center"/>
    </xf>
    <xf numFmtId="0" fontId="141" fillId="2" borderId="0" xfId="622" applyFont="1" applyFill="1" applyAlignment="1">
      <alignment horizontal="left" vertical="center"/>
    </xf>
    <xf numFmtId="0" fontId="22" fillId="2" borderId="0" xfId="249" applyFont="1" applyFill="1" applyAlignment="1">
      <alignment vertical="center"/>
    </xf>
    <xf numFmtId="233" fontId="33" fillId="0" borderId="0" xfId="635" applyNumberFormat="1" applyFont="1" applyFill="1" applyBorder="1" applyAlignment="1">
      <alignment vertical="center"/>
    </xf>
    <xf numFmtId="233" fontId="218" fillId="0" borderId="0" xfId="635" applyNumberFormat="1" applyFont="1" applyFill="1" applyBorder="1" applyAlignment="1">
      <alignment vertical="center"/>
    </xf>
    <xf numFmtId="0" fontId="33" fillId="0" borderId="0" xfId="638" applyFont="1" applyFill="1" applyBorder="1"/>
    <xf numFmtId="0" fontId="18" fillId="2" borderId="0" xfId="640" applyFont="1" applyFill="1"/>
    <xf numFmtId="1" fontId="18" fillId="2" borderId="0" xfId="640" applyNumberFormat="1" applyFont="1" applyFill="1" applyAlignment="1">
      <alignment horizontal="center"/>
    </xf>
    <xf numFmtId="1" fontId="18" fillId="2" borderId="0" xfId="640" applyNumberFormat="1" applyFont="1" applyFill="1"/>
    <xf numFmtId="0" fontId="18" fillId="2" borderId="0" xfId="249" applyFont="1" applyFill="1"/>
    <xf numFmtId="0" fontId="18" fillId="2" borderId="0" xfId="249" applyFont="1" applyFill="1" applyAlignment="1">
      <alignment horizontal="center"/>
    </xf>
    <xf numFmtId="242" fontId="33" fillId="2" borderId="3" xfId="0" applyNumberFormat="1" applyFont="1" applyFill="1" applyBorder="1" applyAlignment="1">
      <alignment horizontal="center" vertical="center"/>
    </xf>
    <xf numFmtId="43" fontId="12" fillId="2" borderId="3" xfId="1" applyFont="1" applyFill="1" applyBorder="1" applyAlignment="1">
      <alignment vertical="center" wrapText="1"/>
    </xf>
    <xf numFmtId="0" fontId="48" fillId="2" borderId="0" xfId="705" applyFont="1" applyFill="1" applyAlignment="1">
      <alignment horizontal="right" shrinkToFit="1"/>
    </xf>
    <xf numFmtId="3" fontId="48" fillId="2" borderId="0" xfId="705" applyNumberFormat="1" applyFont="1" applyFill="1" applyAlignment="1">
      <alignment shrinkToFit="1"/>
    </xf>
    <xf numFmtId="3" fontId="48" fillId="2" borderId="0" xfId="705" applyNumberFormat="1" applyFont="1" applyFill="1" applyBorder="1" applyAlignment="1">
      <alignment horizontal="left" shrinkToFit="1"/>
    </xf>
    <xf numFmtId="3" fontId="9" fillId="2" borderId="0" xfId="705" applyNumberFormat="1" applyFont="1" applyFill="1" applyAlignment="1">
      <alignment horizontal="center" shrinkToFit="1"/>
    </xf>
    <xf numFmtId="0" fontId="12" fillId="2" borderId="0" xfId="0" applyFont="1" applyFill="1" applyAlignment="1">
      <alignment horizontal="center"/>
    </xf>
    <xf numFmtId="216" fontId="22" fillId="2" borderId="0" xfId="0" applyNumberFormat="1" applyFont="1" applyFill="1" applyAlignment="1">
      <alignment horizontal="center"/>
    </xf>
    <xf numFmtId="198" fontId="22" fillId="2" borderId="0" xfId="0" applyNumberFormat="1" applyFont="1" applyFill="1" applyAlignment="1">
      <alignment horizontal="center"/>
    </xf>
    <xf numFmtId="0" fontId="12" fillId="2" borderId="3" xfId="0" applyFont="1" applyFill="1" applyBorder="1" applyAlignment="1">
      <alignment horizontal="center" vertical="center" wrapText="1"/>
    </xf>
    <xf numFmtId="0" fontId="33" fillId="2" borderId="0" xfId="0" applyFont="1" applyFill="1" applyAlignment="1">
      <alignment horizontal="center" vertical="center"/>
    </xf>
    <xf numFmtId="0" fontId="206" fillId="2" borderId="35" xfId="639" applyFont="1" applyFill="1" applyBorder="1" applyAlignment="1">
      <alignment horizontal="center" vertical="center"/>
    </xf>
    <xf numFmtId="216" fontId="33" fillId="2" borderId="35" xfId="1" applyNumberFormat="1" applyFont="1" applyFill="1" applyBorder="1" applyAlignment="1">
      <alignment horizontal="right" vertical="center"/>
    </xf>
    <xf numFmtId="41" fontId="33" fillId="2" borderId="35" xfId="1" applyNumberFormat="1" applyFont="1" applyFill="1" applyBorder="1" applyAlignment="1">
      <alignment horizontal="center" vertical="center"/>
    </xf>
    <xf numFmtId="0" fontId="147" fillId="3" borderId="0" xfId="622" applyFont="1" applyFill="1"/>
    <xf numFmtId="0" fontId="3" fillId="3" borderId="0" xfId="622" applyFont="1" applyFill="1"/>
    <xf numFmtId="0" fontId="190" fillId="3" borderId="35" xfId="623" applyFont="1" applyFill="1" applyBorder="1" applyAlignment="1">
      <alignment horizontal="center" vertical="center" shrinkToFit="1"/>
    </xf>
    <xf numFmtId="0" fontId="190" fillId="3" borderId="35" xfId="622" applyFont="1" applyFill="1" applyBorder="1" applyAlignment="1">
      <alignment horizontal="center" vertical="center" shrinkToFit="1"/>
    </xf>
    <xf numFmtId="0" fontId="146" fillId="3" borderId="35" xfId="627" applyFont="1" applyFill="1" applyBorder="1" applyAlignment="1">
      <alignment horizontal="center" vertical="center" shrinkToFit="1"/>
    </xf>
    <xf numFmtId="187" fontId="44" fillId="3" borderId="35" xfId="622" applyNumberFormat="1" applyFont="1" applyFill="1" applyBorder="1" applyAlignment="1">
      <alignment vertical="center" shrinkToFit="1"/>
    </xf>
    <xf numFmtId="0" fontId="45" fillId="3" borderId="0" xfId="622" applyFont="1" applyFill="1"/>
    <xf numFmtId="0" fontId="6" fillId="3" borderId="0" xfId="622" applyFont="1" applyFill="1"/>
    <xf numFmtId="3" fontId="12" fillId="2" borderId="35" xfId="0" applyNumberFormat="1" applyFont="1" applyFill="1" applyBorder="1" applyAlignment="1">
      <alignment horizontal="center" vertical="center"/>
    </xf>
    <xf numFmtId="0" fontId="12" fillId="2" borderId="35" xfId="0" applyFont="1" applyFill="1" applyBorder="1" applyAlignment="1">
      <alignment horizontal="left" vertical="center"/>
    </xf>
    <xf numFmtId="187" fontId="12" fillId="2" borderId="35" xfId="93" applyNumberFormat="1" applyFont="1" applyFill="1" applyBorder="1" applyAlignment="1">
      <alignment horizontal="right" vertical="center"/>
    </xf>
    <xf numFmtId="220" fontId="12" fillId="2" borderId="35" xfId="0" applyNumberFormat="1" applyFont="1" applyFill="1" applyBorder="1" applyAlignment="1">
      <alignment horizontal="left" vertical="center"/>
    </xf>
    <xf numFmtId="0" fontId="33" fillId="2" borderId="35" xfId="0" applyFont="1" applyFill="1" applyBorder="1" applyAlignment="1">
      <alignment horizontal="center" vertical="center" wrapText="1"/>
    </xf>
    <xf numFmtId="0" fontId="33" fillId="2" borderId="35" xfId="495" applyFont="1" applyFill="1" applyBorder="1" applyAlignment="1">
      <alignment vertical="center"/>
    </xf>
    <xf numFmtId="215" fontId="12" fillId="2" borderId="3" xfId="0" applyNumberFormat="1" applyFont="1" applyFill="1" applyBorder="1" applyAlignment="1">
      <alignment horizontal="center" vertical="center" wrapText="1"/>
    </xf>
    <xf numFmtId="243" fontId="12" fillId="2" borderId="3" xfId="0" applyNumberFormat="1" applyFont="1" applyFill="1" applyBorder="1" applyAlignment="1">
      <alignment horizontal="center" vertical="center" wrapText="1"/>
    </xf>
    <xf numFmtId="242" fontId="33" fillId="2" borderId="35" xfId="0" applyNumberFormat="1" applyFont="1" applyFill="1" applyBorder="1" applyAlignment="1">
      <alignment horizontal="center" vertical="center"/>
    </xf>
    <xf numFmtId="215" fontId="33" fillId="2" borderId="35" xfId="0" applyNumberFormat="1" applyFont="1" applyFill="1" applyBorder="1" applyAlignment="1">
      <alignment vertical="center" wrapText="1"/>
    </xf>
    <xf numFmtId="3" fontId="33" fillId="2" borderId="35" xfId="93" applyNumberFormat="1" applyFont="1" applyFill="1" applyBorder="1" applyAlignment="1">
      <alignment horizontal="right" vertical="center"/>
    </xf>
    <xf numFmtId="215" fontId="12" fillId="2" borderId="3" xfId="0" applyNumberFormat="1" applyFont="1" applyFill="1" applyBorder="1" applyAlignment="1">
      <alignment horizontal="right" vertical="center" wrapText="1"/>
    </xf>
    <xf numFmtId="215" fontId="12" fillId="2" borderId="3" xfId="0" applyNumberFormat="1" applyFont="1" applyFill="1" applyBorder="1" applyAlignment="1">
      <alignment horizontal="center" vertical="center"/>
    </xf>
    <xf numFmtId="215" fontId="225" fillId="2" borderId="3" xfId="0" applyNumberFormat="1" applyFont="1" applyFill="1" applyBorder="1" applyAlignment="1">
      <alignment horizontal="right" vertical="center"/>
    </xf>
    <xf numFmtId="0" fontId="33" fillId="2" borderId="35" xfId="495" applyFont="1" applyFill="1" applyBorder="1" applyAlignment="1">
      <alignment horizontal="left" vertical="center"/>
    </xf>
    <xf numFmtId="0" fontId="33" fillId="2" borderId="3" xfId="495" applyFont="1" applyFill="1" applyBorder="1" applyAlignment="1">
      <alignment horizontal="left" vertical="center"/>
    </xf>
    <xf numFmtId="3" fontId="33" fillId="2" borderId="35" xfId="0" applyNumberFormat="1" applyFont="1" applyFill="1" applyBorder="1" applyAlignment="1">
      <alignment horizontal="center" vertical="center" shrinkToFit="1"/>
    </xf>
    <xf numFmtId="3" fontId="22" fillId="2" borderId="0" xfId="0" applyNumberFormat="1" applyFont="1" applyFill="1" applyAlignment="1">
      <alignment vertical="center"/>
    </xf>
    <xf numFmtId="43" fontId="22" fillId="2" borderId="0" xfId="1" applyFont="1" applyFill="1" applyAlignment="1">
      <alignment vertical="center"/>
    </xf>
    <xf numFmtId="2" fontId="23" fillId="2" borderId="40" xfId="622" applyNumberFormat="1" applyFont="1" applyFill="1" applyBorder="1" applyAlignment="1">
      <alignment vertical="center"/>
    </xf>
    <xf numFmtId="2" fontId="23" fillId="2" borderId="41" xfId="622" applyNumberFormat="1" applyFont="1" applyFill="1" applyBorder="1" applyAlignment="1">
      <alignment vertical="center"/>
    </xf>
    <xf numFmtId="0" fontId="23" fillId="2" borderId="45" xfId="622" applyFont="1" applyFill="1" applyBorder="1" applyAlignment="1">
      <alignment vertical="center"/>
    </xf>
    <xf numFmtId="0" fontId="23" fillId="2" borderId="1" xfId="622" applyFont="1" applyFill="1" applyBorder="1" applyAlignment="1">
      <alignment vertical="center"/>
    </xf>
    <xf numFmtId="0" fontId="190" fillId="2" borderId="41" xfId="622" applyFont="1" applyFill="1" applyBorder="1" applyAlignment="1">
      <alignment vertical="center"/>
    </xf>
    <xf numFmtId="0" fontId="190" fillId="2" borderId="39" xfId="622" applyFont="1" applyFill="1" applyBorder="1" applyAlignment="1">
      <alignment vertical="center"/>
    </xf>
    <xf numFmtId="0" fontId="23" fillId="2" borderId="41" xfId="622" applyFont="1" applyFill="1" applyBorder="1" applyAlignment="1">
      <alignment vertical="center"/>
    </xf>
    <xf numFmtId="0" fontId="23" fillId="2" borderId="39" xfId="622" applyFont="1" applyFill="1" applyBorder="1" applyAlignment="1">
      <alignment vertical="center"/>
    </xf>
    <xf numFmtId="0" fontId="44" fillId="2" borderId="0" xfId="622" applyFont="1" applyFill="1" applyAlignment="1">
      <alignment horizontal="center"/>
    </xf>
    <xf numFmtId="0" fontId="12" fillId="2" borderId="35" xfId="623" applyFont="1" applyFill="1" applyBorder="1" applyAlignment="1">
      <alignment horizontal="center" vertical="center" shrinkToFit="1"/>
    </xf>
    <xf numFmtId="0" fontId="23" fillId="2" borderId="41" xfId="622" applyFont="1" applyFill="1" applyBorder="1" applyAlignment="1">
      <alignment horizontal="center" vertical="center"/>
    </xf>
    <xf numFmtId="0" fontId="227" fillId="0" borderId="0" xfId="717" applyFont="1" applyFill="1" applyAlignment="1"/>
    <xf numFmtId="0" fontId="228" fillId="0" borderId="0" xfId="0" applyFont="1" applyFill="1"/>
    <xf numFmtId="0" fontId="228" fillId="0" borderId="0" xfId="717" applyFont="1" applyFill="1" applyAlignment="1"/>
    <xf numFmtId="0" fontId="229" fillId="0" borderId="0" xfId="717" applyFont="1" applyFill="1" applyAlignment="1"/>
    <xf numFmtId="0" fontId="231" fillId="0" borderId="1" xfId="717" applyFont="1" applyFill="1" applyBorder="1" applyAlignment="1">
      <alignment vertical="center"/>
    </xf>
    <xf numFmtId="0" fontId="227" fillId="0" borderId="35" xfId="0" applyFont="1" applyFill="1" applyBorder="1"/>
    <xf numFmtId="10" fontId="228" fillId="0" borderId="35" xfId="718" applyNumberFormat="1" applyFont="1" applyFill="1" applyBorder="1" applyAlignment="1"/>
    <xf numFmtId="3" fontId="227" fillId="0" borderId="0" xfId="0" applyNumberFormat="1" applyFont="1" applyFill="1"/>
    <xf numFmtId="0" fontId="227" fillId="0" borderId="0" xfId="0" applyFont="1" applyFill="1"/>
    <xf numFmtId="0" fontId="227" fillId="0" borderId="35" xfId="717" applyFont="1" applyFill="1" applyBorder="1" applyAlignment="1">
      <alignment horizontal="center" vertical="center"/>
    </xf>
    <xf numFmtId="0" fontId="228" fillId="0" borderId="35" xfId="0" applyFont="1" applyFill="1" applyBorder="1"/>
    <xf numFmtId="3" fontId="228" fillId="0" borderId="0" xfId="0" applyNumberFormat="1" applyFont="1" applyFill="1"/>
    <xf numFmtId="10" fontId="227" fillId="0" borderId="0" xfId="0" applyNumberFormat="1" applyFont="1" applyFill="1"/>
    <xf numFmtId="0" fontId="227" fillId="0" borderId="35" xfId="717" applyFont="1" applyFill="1" applyBorder="1" applyAlignment="1">
      <alignment vertical="center"/>
    </xf>
    <xf numFmtId="1" fontId="227" fillId="0" borderId="35" xfId="719" applyNumberFormat="1" applyFont="1" applyFill="1" applyBorder="1" applyAlignment="1">
      <alignment horizontal="center" vertical="center" wrapText="1"/>
    </xf>
    <xf numFmtId="3" fontId="227" fillId="0" borderId="35" xfId="719" applyNumberFormat="1" applyFont="1" applyFill="1" applyBorder="1" applyAlignment="1">
      <alignment horizontal="center" vertical="center" wrapText="1"/>
    </xf>
    <xf numFmtId="10" fontId="228" fillId="0" borderId="0" xfId="0" applyNumberFormat="1" applyFont="1" applyFill="1"/>
    <xf numFmtId="0" fontId="228" fillId="0" borderId="35" xfId="717" applyFont="1" applyFill="1" applyBorder="1" applyAlignment="1">
      <alignment horizontal="center" vertical="center"/>
    </xf>
    <xf numFmtId="3" fontId="228" fillId="0" borderId="35" xfId="0" applyNumberFormat="1" applyFont="1" applyFill="1" applyBorder="1" applyAlignment="1">
      <alignment horizontal="right" vertical="center"/>
    </xf>
    <xf numFmtId="3" fontId="228" fillId="0" borderId="35" xfId="0" applyNumberFormat="1" applyFont="1" applyFill="1" applyBorder="1"/>
    <xf numFmtId="3" fontId="228" fillId="0" borderId="35" xfId="717" applyNumberFormat="1" applyFont="1" applyFill="1" applyBorder="1" applyAlignment="1">
      <alignment horizontal="center" vertical="center"/>
    </xf>
    <xf numFmtId="3" fontId="227" fillId="0" borderId="35" xfId="719" applyNumberFormat="1" applyFont="1" applyFill="1" applyBorder="1" applyAlignment="1">
      <alignment horizontal="right" wrapText="1"/>
    </xf>
    <xf numFmtId="1" fontId="228" fillId="0" borderId="0" xfId="0" applyNumberFormat="1" applyFont="1" applyFill="1"/>
    <xf numFmtId="0" fontId="227" fillId="0" borderId="0" xfId="717" applyFont="1" applyFill="1" applyAlignment="1">
      <alignment horizontal="center"/>
    </xf>
    <xf numFmtId="3" fontId="227" fillId="0" borderId="0" xfId="719" applyNumberFormat="1" applyFont="1" applyFill="1" applyBorder="1" applyAlignment="1">
      <alignment horizontal="right" wrapText="1"/>
    </xf>
    <xf numFmtId="221" fontId="227" fillId="0" borderId="0" xfId="719" applyNumberFormat="1" applyFont="1" applyFill="1" applyBorder="1" applyAlignment="1">
      <alignment horizontal="right" wrapText="1"/>
    </xf>
    <xf numFmtId="0" fontId="228" fillId="0" borderId="0" xfId="717" applyFont="1" applyFill="1"/>
    <xf numFmtId="0" fontId="228" fillId="0" borderId="0" xfId="717" applyFont="1" applyFill="1" applyAlignment="1">
      <alignment horizontal="left"/>
    </xf>
    <xf numFmtId="0" fontId="228" fillId="0" borderId="0" xfId="717" applyFont="1" applyFill="1" applyAlignment="1">
      <alignment horizontal="center"/>
    </xf>
    <xf numFmtId="3" fontId="228" fillId="0" borderId="0" xfId="717" applyNumberFormat="1" applyFont="1" applyFill="1" applyAlignment="1">
      <alignment horizontal="center"/>
    </xf>
    <xf numFmtId="0" fontId="231" fillId="0" borderId="0" xfId="717" applyFont="1" applyFill="1"/>
    <xf numFmtId="0" fontId="231" fillId="0" borderId="0" xfId="717" applyFont="1" applyFill="1" applyAlignment="1"/>
    <xf numFmtId="0" fontId="227" fillId="0" borderId="0" xfId="0" applyFont="1" applyFill="1" applyAlignment="1"/>
    <xf numFmtId="0" fontId="234" fillId="0" borderId="0" xfId="717" applyFont="1" applyFill="1" applyAlignment="1">
      <alignment horizontal="center"/>
    </xf>
    <xf numFmtId="217" fontId="227" fillId="0" borderId="0" xfId="0" applyNumberFormat="1" applyFont="1" applyFill="1" applyAlignment="1"/>
    <xf numFmtId="0" fontId="234" fillId="0" borderId="0" xfId="0" applyFont="1" applyFill="1"/>
    <xf numFmtId="3" fontId="228" fillId="0" borderId="35" xfId="0" applyNumberFormat="1" applyFont="1" applyFill="1" applyBorder="1" applyAlignment="1">
      <alignment horizontal="center" vertical="center"/>
    </xf>
    <xf numFmtId="0" fontId="141" fillId="2" borderId="0" xfId="622" applyFont="1" applyFill="1" applyAlignment="1">
      <alignment horizontal="center" vertical="center"/>
    </xf>
    <xf numFmtId="0" fontId="147" fillId="2" borderId="0" xfId="622" applyFont="1" applyFill="1" applyAlignment="1">
      <alignment horizontal="center"/>
    </xf>
    <xf numFmtId="0" fontId="228" fillId="0" borderId="0" xfId="717" applyFont="1" applyFill="1" applyAlignment="1">
      <alignment horizontal="center"/>
    </xf>
    <xf numFmtId="0" fontId="44" fillId="2" borderId="0" xfId="622" applyFont="1" applyFill="1" applyAlignment="1">
      <alignment horizontal="center"/>
    </xf>
    <xf numFmtId="0" fontId="12" fillId="2" borderId="0" xfId="623" quotePrefix="1" applyFont="1" applyFill="1" applyAlignment="1">
      <alignment horizontal="center"/>
    </xf>
    <xf numFmtId="0" fontId="23" fillId="2" borderId="38" xfId="623" applyFont="1" applyFill="1" applyBorder="1" applyAlignment="1">
      <alignment horizontal="center" vertical="center"/>
    </xf>
    <xf numFmtId="0" fontId="23" fillId="2" borderId="0" xfId="627" applyFont="1" applyFill="1" applyAlignment="1">
      <alignment horizontal="center"/>
    </xf>
    <xf numFmtId="216" fontId="22" fillId="2" borderId="0" xfId="0" applyNumberFormat="1" applyFont="1" applyFill="1" applyAlignment="1">
      <alignment horizontal="center"/>
    </xf>
    <xf numFmtId="198" fontId="22" fillId="2" borderId="0" xfId="0" applyNumberFormat="1" applyFont="1" applyFill="1" applyAlignment="1">
      <alignment horizontal="center"/>
    </xf>
    <xf numFmtId="0" fontId="195" fillId="2" borderId="0" xfId="622" applyFont="1" applyFill="1" applyAlignment="1">
      <alignment horizontal="center"/>
    </xf>
    <xf numFmtId="0" fontId="18" fillId="0" borderId="0" xfId="717" applyFont="1" applyFill="1"/>
    <xf numFmtId="0" fontId="18" fillId="0" borderId="0" xfId="717" applyFont="1" applyFill="1" applyAlignment="1">
      <alignment horizontal="center"/>
    </xf>
    <xf numFmtId="0" fontId="18" fillId="0" borderId="0" xfId="0" applyFont="1" applyFill="1"/>
    <xf numFmtId="0" fontId="22" fillId="0" borderId="35" xfId="717" applyFont="1" applyFill="1" applyBorder="1" applyAlignment="1">
      <alignment horizontal="center" vertical="center"/>
    </xf>
    <xf numFmtId="0" fontId="151" fillId="2" borderId="0" xfId="627" applyFont="1" applyFill="1" applyAlignment="1">
      <alignment horizontal="left" vertical="center"/>
    </xf>
    <xf numFmtId="0" fontId="140" fillId="2" borderId="0" xfId="622" applyFont="1" applyFill="1" applyAlignment="1">
      <alignment vertical="center" wrapText="1"/>
    </xf>
    <xf numFmtId="0" fontId="192" fillId="2" borderId="38" xfId="623" applyFont="1" applyFill="1" applyBorder="1" applyAlignment="1">
      <alignment horizontal="center" vertical="center"/>
    </xf>
    <xf numFmtId="3" fontId="225" fillId="2" borderId="3" xfId="0" applyNumberFormat="1" applyFont="1" applyFill="1" applyBorder="1" applyAlignment="1">
      <alignment horizontal="center" vertical="center" shrinkToFit="1"/>
    </xf>
    <xf numFmtId="229" fontId="18" fillId="2" borderId="0" xfId="489" applyNumberFormat="1" applyFont="1" applyFill="1" applyAlignment="1">
      <alignment horizontal="center"/>
    </xf>
    <xf numFmtId="0" fontId="206" fillId="2" borderId="3" xfId="0" applyFont="1" applyFill="1" applyBorder="1" applyAlignment="1">
      <alignment horizontal="center" vertical="center"/>
    </xf>
    <xf numFmtId="0" fontId="206" fillId="2" borderId="35" xfId="0" applyFont="1" applyFill="1" applyBorder="1" applyAlignment="1">
      <alignment horizontal="center" vertical="center"/>
    </xf>
    <xf numFmtId="3" fontId="206" fillId="2" borderId="35" xfId="0" quotePrefix="1" applyNumberFormat="1" applyFont="1" applyFill="1" applyBorder="1" applyAlignment="1">
      <alignment horizontal="center" vertical="center"/>
    </xf>
    <xf numFmtId="3" fontId="206" fillId="2" borderId="3" xfId="0" applyNumberFormat="1" applyFont="1" applyFill="1" applyBorder="1" applyAlignment="1">
      <alignment horizontal="left" vertical="center" shrinkToFit="1"/>
    </xf>
    <xf numFmtId="3" fontId="206" fillId="2" borderId="35" xfId="0" applyNumberFormat="1" applyFont="1" applyFill="1" applyBorder="1" applyAlignment="1">
      <alignment horizontal="left" vertical="center"/>
    </xf>
    <xf numFmtId="43" fontId="206" fillId="2" borderId="35" xfId="1" applyFont="1" applyFill="1" applyBorder="1" applyAlignment="1">
      <alignment horizontal="center" vertical="center"/>
    </xf>
    <xf numFmtId="216" fontId="206" fillId="2" borderId="3" xfId="1" applyNumberFormat="1" applyFont="1" applyFill="1" applyBorder="1" applyAlignment="1">
      <alignment horizontal="right" vertical="center"/>
    </xf>
    <xf numFmtId="3" fontId="206" fillId="2" borderId="3" xfId="1" applyNumberFormat="1" applyFont="1" applyFill="1" applyBorder="1" applyAlignment="1">
      <alignment horizontal="center" vertical="center"/>
    </xf>
    <xf numFmtId="216" fontId="206" fillId="2" borderId="35" xfId="1" applyNumberFormat="1" applyFont="1" applyFill="1" applyBorder="1" applyAlignment="1">
      <alignment horizontal="center" vertical="center"/>
    </xf>
    <xf numFmtId="3" fontId="206" fillId="2" borderId="35" xfId="1" applyNumberFormat="1" applyFont="1" applyFill="1" applyBorder="1" applyAlignment="1">
      <alignment horizontal="center" vertical="center"/>
    </xf>
    <xf numFmtId="217" fontId="206" fillId="2" borderId="3" xfId="1" applyNumberFormat="1" applyFont="1" applyFill="1" applyBorder="1" applyAlignment="1">
      <alignment horizontal="right" vertical="center"/>
    </xf>
    <xf numFmtId="41" fontId="206" fillId="2" borderId="3" xfId="1" applyNumberFormat="1" applyFont="1" applyFill="1" applyBorder="1" applyAlignment="1">
      <alignment horizontal="center" vertical="center"/>
    </xf>
    <xf numFmtId="3" fontId="206" fillId="2" borderId="3" xfId="1" applyNumberFormat="1" applyFont="1" applyFill="1" applyBorder="1" applyAlignment="1">
      <alignment horizontal="right" vertical="center" shrinkToFit="1"/>
    </xf>
    <xf numFmtId="217" fontId="206" fillId="2" borderId="35" xfId="1" applyNumberFormat="1" applyFont="1" applyFill="1" applyBorder="1" applyAlignment="1">
      <alignment vertical="center" shrinkToFit="1"/>
    </xf>
    <xf numFmtId="217" fontId="206" fillId="2" borderId="3" xfId="1" applyNumberFormat="1" applyFont="1" applyFill="1" applyBorder="1" applyAlignment="1">
      <alignment vertical="center" shrinkToFit="1"/>
    </xf>
    <xf numFmtId="0" fontId="236" fillId="2" borderId="0" xfId="0" applyFont="1" applyFill="1" applyAlignment="1">
      <alignment vertical="center"/>
    </xf>
    <xf numFmtId="3" fontId="206" fillId="2" borderId="3" xfId="0" applyNumberFormat="1" applyFont="1" applyFill="1" applyBorder="1" applyAlignment="1">
      <alignment horizontal="left" vertical="center"/>
    </xf>
    <xf numFmtId="43" fontId="206" fillId="2" borderId="3" xfId="1" applyFont="1" applyFill="1" applyBorder="1" applyAlignment="1">
      <alignment horizontal="center" vertical="center"/>
    </xf>
    <xf numFmtId="3" fontId="206" fillId="2" borderId="3" xfId="0" quotePrefix="1" applyNumberFormat="1" applyFont="1" applyFill="1" applyBorder="1" applyAlignment="1">
      <alignment horizontal="center" vertical="center"/>
    </xf>
    <xf numFmtId="217" fontId="236" fillId="2" borderId="0" xfId="0" applyNumberFormat="1" applyFont="1" applyFill="1" applyAlignment="1">
      <alignment vertical="center"/>
    </xf>
    <xf numFmtId="0" fontId="237" fillId="2" borderId="35" xfId="622" applyFont="1" applyFill="1" applyBorder="1" applyAlignment="1">
      <alignment horizontal="center" vertical="center" shrinkToFit="1"/>
    </xf>
    <xf numFmtId="0" fontId="237" fillId="2" borderId="35" xfId="622" applyFont="1" applyFill="1" applyBorder="1" applyAlignment="1">
      <alignment vertical="center" shrinkToFit="1"/>
    </xf>
    <xf numFmtId="0" fontId="237" fillId="2" borderId="35" xfId="627" applyFont="1" applyFill="1" applyBorder="1" applyAlignment="1">
      <alignment horizontal="center" vertical="center" shrinkToFit="1"/>
    </xf>
    <xf numFmtId="187" fontId="237" fillId="2" borderId="35" xfId="623" applyNumberFormat="1" applyFont="1" applyFill="1" applyBorder="1" applyAlignment="1">
      <alignment horizontal="center" vertical="center" shrinkToFit="1"/>
    </xf>
    <xf numFmtId="0" fontId="237" fillId="2" borderId="35" xfId="622" applyFont="1" applyFill="1" applyBorder="1" applyAlignment="1">
      <alignment shrinkToFit="1"/>
    </xf>
    <xf numFmtId="0" fontId="237" fillId="2" borderId="0" xfId="622" applyFont="1" applyFill="1" applyBorder="1" applyAlignment="1">
      <alignment shrinkToFit="1"/>
    </xf>
    <xf numFmtId="0" fontId="237" fillId="2" borderId="0" xfId="622" applyFont="1" applyFill="1" applyAlignment="1">
      <alignment shrinkToFit="1"/>
    </xf>
    <xf numFmtId="0" fontId="23" fillId="3" borderId="38" xfId="623" applyFont="1" applyFill="1" applyBorder="1" applyAlignment="1">
      <alignment horizontal="center" vertical="center"/>
    </xf>
    <xf numFmtId="0" fontId="237" fillId="3" borderId="35" xfId="627" applyFont="1" applyFill="1" applyBorder="1" applyAlignment="1">
      <alignment horizontal="center" vertical="center" shrinkToFit="1"/>
    </xf>
    <xf numFmtId="3" fontId="225" fillId="0" borderId="35" xfId="638" applyNumberFormat="1" applyFont="1" applyFill="1" applyBorder="1" applyAlignment="1">
      <alignment horizontal="center" vertical="center"/>
    </xf>
    <xf numFmtId="0" fontId="9" fillId="3" borderId="0" xfId="489" applyFont="1" applyFill="1"/>
    <xf numFmtId="0" fontId="238" fillId="2" borderId="0" xfId="0" applyFont="1" applyFill="1" applyAlignment="1">
      <alignment horizontal="center"/>
    </xf>
    <xf numFmtId="216" fontId="18" fillId="3" borderId="0" xfId="489" applyNumberFormat="1" applyFont="1" applyFill="1"/>
    <xf numFmtId="3" fontId="18" fillId="3" borderId="0" xfId="489" applyNumberFormat="1" applyFont="1" applyFill="1"/>
    <xf numFmtId="3" fontId="225" fillId="2" borderId="3" xfId="1" applyNumberFormat="1" applyFont="1" applyFill="1" applyBorder="1" applyAlignment="1">
      <alignment horizontal="right" vertical="center" shrinkToFit="1"/>
    </xf>
    <xf numFmtId="0" fontId="173" fillId="2" borderId="0" xfId="642" applyFont="1" applyFill="1" applyBorder="1" applyAlignment="1">
      <alignment horizontal="center" vertical="center"/>
    </xf>
    <xf numFmtId="0" fontId="171" fillId="2" borderId="0" xfId="702" applyFont="1" applyFill="1" applyAlignment="1">
      <alignment horizontal="center"/>
    </xf>
    <xf numFmtId="0" fontId="163" fillId="2" borderId="0" xfId="642" applyFont="1" applyFill="1" applyBorder="1" applyAlignment="1">
      <alignment horizontal="center" vertical="center"/>
    </xf>
    <xf numFmtId="2" fontId="176" fillId="2" borderId="21" xfId="703" applyNumberFormat="1" applyFont="1" applyFill="1" applyBorder="1" applyAlignment="1">
      <alignment horizontal="center" vertical="center" shrinkToFit="1"/>
    </xf>
    <xf numFmtId="2" fontId="176" fillId="2" borderId="43" xfId="703" applyNumberFormat="1" applyFont="1" applyFill="1" applyBorder="1" applyAlignment="1">
      <alignment horizontal="center" vertical="center" shrinkToFit="1"/>
    </xf>
    <xf numFmtId="2" fontId="176" fillId="2" borderId="19" xfId="703" applyNumberFormat="1" applyFont="1" applyFill="1" applyBorder="1" applyAlignment="1">
      <alignment horizontal="center" vertical="center" shrinkToFit="1"/>
    </xf>
    <xf numFmtId="2" fontId="9" fillId="2" borderId="35" xfId="642" applyNumberFormat="1" applyFont="1" applyFill="1" applyBorder="1" applyAlignment="1">
      <alignment horizontal="center" vertical="center" shrinkToFit="1"/>
    </xf>
    <xf numFmtId="2" fontId="9" fillId="2" borderId="38" xfId="642" applyNumberFormat="1" applyFont="1" applyFill="1" applyBorder="1" applyAlignment="1">
      <alignment horizontal="center" vertical="center" shrinkToFit="1"/>
    </xf>
    <xf numFmtId="0" fontId="171" fillId="2" borderId="35" xfId="642" applyFont="1" applyFill="1" applyBorder="1" applyAlignment="1">
      <alignment horizontal="center" vertical="center" shrinkToFit="1"/>
    </xf>
    <xf numFmtId="0" fontId="171" fillId="2" borderId="38" xfId="642" applyFont="1" applyFill="1" applyBorder="1" applyAlignment="1">
      <alignment horizontal="center" vertical="center" shrinkToFit="1"/>
    </xf>
    <xf numFmtId="43" fontId="171" fillId="2" borderId="35" xfId="703" applyNumberFormat="1" applyFont="1" applyFill="1" applyBorder="1" applyAlignment="1">
      <alignment horizontal="center" vertical="center" wrapText="1" shrinkToFit="1"/>
    </xf>
    <xf numFmtId="43" fontId="171" fillId="2" borderId="38" xfId="703" applyNumberFormat="1" applyFont="1" applyFill="1" applyBorder="1" applyAlignment="1">
      <alignment horizontal="center" vertical="center" wrapText="1" shrinkToFit="1"/>
    </xf>
    <xf numFmtId="2" fontId="171" fillId="2" borderId="35" xfId="703" applyNumberFormat="1" applyFont="1" applyFill="1" applyBorder="1" applyAlignment="1">
      <alignment horizontal="center" vertical="center" shrinkToFit="1"/>
    </xf>
    <xf numFmtId="198" fontId="171" fillId="2" borderId="35" xfId="703" applyNumberFormat="1" applyFont="1" applyFill="1" applyBorder="1" applyAlignment="1">
      <alignment horizontal="center" vertical="center" wrapText="1" shrinkToFit="1"/>
    </xf>
    <xf numFmtId="198" fontId="171" fillId="2" borderId="38" xfId="703" applyNumberFormat="1" applyFont="1" applyFill="1" applyBorder="1" applyAlignment="1">
      <alignment horizontal="center" vertical="center" wrapText="1" shrinkToFit="1"/>
    </xf>
    <xf numFmtId="198" fontId="171" fillId="2" borderId="6" xfId="703" applyNumberFormat="1" applyFont="1" applyFill="1" applyBorder="1" applyAlignment="1">
      <alignment horizontal="center" vertical="center" wrapText="1" shrinkToFit="1"/>
    </xf>
    <xf numFmtId="2" fontId="176" fillId="2" borderId="12" xfId="703" applyNumberFormat="1" applyFont="1" applyFill="1" applyBorder="1" applyAlignment="1">
      <alignment horizontal="center" vertical="center" shrinkToFit="1"/>
    </xf>
    <xf numFmtId="2" fontId="176" fillId="2" borderId="20" xfId="703" applyNumberFormat="1" applyFont="1" applyFill="1" applyBorder="1" applyAlignment="1">
      <alignment horizontal="center" vertical="center" shrinkToFit="1"/>
    </xf>
    <xf numFmtId="198" fontId="9" fillId="2" borderId="38" xfId="643" applyNumberFormat="1" applyFont="1" applyFill="1" applyBorder="1" applyAlignment="1">
      <alignment horizontal="center" vertical="center"/>
    </xf>
    <xf numFmtId="198" fontId="9" fillId="2" borderId="6" xfId="643" applyNumberFormat="1" applyFont="1" applyFill="1" applyBorder="1" applyAlignment="1">
      <alignment horizontal="center" vertical="center"/>
    </xf>
    <xf numFmtId="4" fontId="176" fillId="2" borderId="35" xfId="642" applyNumberFormat="1" applyFont="1" applyFill="1" applyBorder="1" applyAlignment="1">
      <alignment horizontal="center" vertical="center" shrinkToFit="1"/>
    </xf>
    <xf numFmtId="43" fontId="181" fillId="2" borderId="45" xfId="703" applyNumberFormat="1" applyFont="1" applyFill="1" applyBorder="1" applyAlignment="1">
      <alignment horizontal="center" vertical="center" shrinkToFit="1"/>
    </xf>
    <xf numFmtId="2" fontId="173" fillId="2" borderId="0" xfId="642" applyNumberFormat="1" applyFont="1" applyFill="1" applyBorder="1" applyAlignment="1">
      <alignment horizontal="center" vertical="center"/>
    </xf>
    <xf numFmtId="2" fontId="182" fillId="2" borderId="0" xfId="642" applyNumberFormat="1" applyFont="1" applyFill="1" applyBorder="1" applyAlignment="1">
      <alignment horizontal="center" vertical="center"/>
    </xf>
    <xf numFmtId="2" fontId="18" fillId="2" borderId="0" xfId="642" applyNumberFormat="1" applyFont="1" applyFill="1" applyBorder="1" applyAlignment="1">
      <alignment horizontal="left" vertical="center" indent="6"/>
    </xf>
    <xf numFmtId="0" fontId="173" fillId="2" borderId="0" xfId="642" applyFont="1" applyFill="1" applyBorder="1" applyAlignment="1">
      <alignment horizontal="left" vertical="center"/>
    </xf>
    <xf numFmtId="43" fontId="173" fillId="2" borderId="0" xfId="703" applyNumberFormat="1" applyFont="1" applyFill="1" applyBorder="1" applyAlignment="1">
      <alignment horizontal="center" vertical="center"/>
    </xf>
    <xf numFmtId="200" fontId="173" fillId="2" borderId="0" xfId="642" applyNumberFormat="1" applyFont="1" applyFill="1" applyBorder="1" applyAlignment="1">
      <alignment horizontal="center" vertical="center"/>
    </xf>
    <xf numFmtId="1" fontId="158" fillId="2" borderId="0" xfId="640" applyNumberFormat="1" applyFont="1" applyFill="1" applyAlignment="1">
      <alignment horizontal="center"/>
    </xf>
    <xf numFmtId="1" fontId="168" fillId="2" borderId="0" xfId="249" applyNumberFormat="1" applyFont="1" applyFill="1" applyAlignment="1">
      <alignment horizontal="center"/>
    </xf>
    <xf numFmtId="217" fontId="12" fillId="2" borderId="35" xfId="635" applyNumberFormat="1" applyFont="1" applyFill="1" applyBorder="1" applyAlignment="1">
      <alignment horizontal="center" vertical="center"/>
    </xf>
    <xf numFmtId="0" fontId="150" fillId="2" borderId="40" xfId="640" applyFont="1" applyFill="1" applyBorder="1" applyAlignment="1">
      <alignment horizontal="center" vertical="center"/>
    </xf>
    <xf numFmtId="0" fontId="150" fillId="2" borderId="41" xfId="640" applyFont="1" applyFill="1" applyBorder="1" applyAlignment="1">
      <alignment horizontal="center" vertical="center"/>
    </xf>
    <xf numFmtId="0" fontId="150" fillId="2" borderId="39" xfId="640" applyFont="1" applyFill="1" applyBorder="1" applyAlignment="1">
      <alignment horizontal="center" vertical="center"/>
    </xf>
    <xf numFmtId="1" fontId="38" fillId="2" borderId="0" xfId="640" applyNumberFormat="1" applyFont="1" applyFill="1" applyAlignment="1">
      <alignment horizontal="right"/>
    </xf>
    <xf numFmtId="1" fontId="18" fillId="0" borderId="0" xfId="635" applyNumberFormat="1" applyFont="1" applyFill="1" applyBorder="1" applyAlignment="1">
      <alignment horizontal="center" vertical="center"/>
    </xf>
    <xf numFmtId="0" fontId="12" fillId="2" borderId="35" xfId="249" applyFont="1" applyFill="1" applyBorder="1" applyAlignment="1">
      <alignment horizontal="center" vertical="center" wrapText="1"/>
    </xf>
    <xf numFmtId="0" fontId="12" fillId="2" borderId="35" xfId="249" applyFont="1" applyFill="1" applyBorder="1" applyAlignment="1">
      <alignment horizontal="center" vertical="center"/>
    </xf>
    <xf numFmtId="0" fontId="23" fillId="2" borderId="0" xfId="640" applyFont="1" applyFill="1" applyBorder="1" applyAlignment="1">
      <alignment horizontal="center" vertical="center"/>
    </xf>
    <xf numFmtId="233" fontId="12" fillId="0" borderId="0" xfId="635" applyNumberFormat="1" applyFont="1" applyFill="1" applyBorder="1" applyAlignment="1">
      <alignment horizontal="center" vertical="center"/>
    </xf>
    <xf numFmtId="0" fontId="224" fillId="0" borderId="0" xfId="638" quotePrefix="1" applyFont="1" applyFill="1" applyBorder="1" applyAlignment="1">
      <alignment horizontal="center"/>
    </xf>
    <xf numFmtId="0" fontId="33" fillId="0" borderId="0" xfId="638" applyFont="1" applyFill="1" applyBorder="1" applyAlignment="1">
      <alignment horizontal="center" vertical="center"/>
    </xf>
    <xf numFmtId="0" fontId="12" fillId="0" borderId="0" xfId="638" applyFont="1" applyFill="1" applyBorder="1" applyAlignment="1">
      <alignment horizontal="center" vertical="center"/>
    </xf>
    <xf numFmtId="0" fontId="12" fillId="2" borderId="35" xfId="640" applyFont="1" applyFill="1" applyBorder="1" applyAlignment="1">
      <alignment horizontal="center" vertical="center"/>
    </xf>
    <xf numFmtId="1" fontId="12" fillId="2" borderId="35" xfId="640" applyNumberFormat="1" applyFont="1" applyFill="1" applyBorder="1" applyAlignment="1">
      <alignment horizontal="center" vertical="center"/>
    </xf>
    <xf numFmtId="0" fontId="202" fillId="0" borderId="38" xfId="638" applyFont="1" applyFill="1" applyBorder="1" applyAlignment="1">
      <alignment horizontal="center" vertical="center" wrapText="1"/>
    </xf>
    <xf numFmtId="0" fontId="202" fillId="0" borderId="44" xfId="638" applyFont="1" applyFill="1" applyBorder="1" applyAlignment="1">
      <alignment horizontal="center" vertical="center" wrapText="1"/>
    </xf>
    <xf numFmtId="0" fontId="141" fillId="2" borderId="0" xfId="622" applyFont="1" applyFill="1" applyAlignment="1">
      <alignment horizontal="center" vertical="center"/>
    </xf>
    <xf numFmtId="0" fontId="141" fillId="2" borderId="0" xfId="622" applyFont="1" applyFill="1" applyAlignment="1">
      <alignment horizontal="center" vertical="center" shrinkToFit="1"/>
    </xf>
    <xf numFmtId="0" fontId="147" fillId="2" borderId="0" xfId="622" applyFont="1" applyFill="1" applyAlignment="1">
      <alignment horizontal="center"/>
    </xf>
    <xf numFmtId="0" fontId="156" fillId="2" borderId="0" xfId="622" applyFont="1" applyFill="1" applyAlignment="1">
      <alignment horizontal="center"/>
    </xf>
    <xf numFmtId="0" fontId="137" fillId="2" borderId="0" xfId="622" applyFont="1" applyFill="1" applyAlignment="1">
      <alignment horizontal="center"/>
    </xf>
    <xf numFmtId="0" fontId="147" fillId="2" borderId="0" xfId="622" applyFont="1" applyFill="1" applyBorder="1" applyAlignment="1">
      <alignment horizontal="center"/>
    </xf>
    <xf numFmtId="0" fontId="142" fillId="2" borderId="0" xfId="623" quotePrefix="1" applyFont="1" applyFill="1" applyAlignment="1">
      <alignment horizontal="center"/>
    </xf>
    <xf numFmtId="0" fontId="191" fillId="2" borderId="0" xfId="622" applyFont="1" applyFill="1" applyAlignment="1">
      <alignment horizontal="right"/>
    </xf>
    <xf numFmtId="0" fontId="149" fillId="2" borderId="0" xfId="622" applyFont="1" applyFill="1" applyAlignment="1">
      <alignment horizontal="right"/>
    </xf>
    <xf numFmtId="0" fontId="141" fillId="2" borderId="1" xfId="622" applyFont="1" applyFill="1" applyBorder="1" applyAlignment="1">
      <alignment horizontal="center" vertical="center"/>
    </xf>
    <xf numFmtId="0" fontId="23" fillId="2" borderId="36" xfId="623" applyFont="1" applyFill="1" applyBorder="1" applyAlignment="1">
      <alignment horizontal="center" vertical="center"/>
    </xf>
    <xf numFmtId="0" fontId="23" fillId="2" borderId="9" xfId="623" applyFont="1" applyFill="1" applyBorder="1" applyAlignment="1">
      <alignment horizontal="center" vertical="center"/>
    </xf>
    <xf numFmtId="0" fontId="23" fillId="2" borderId="35" xfId="623" applyFont="1" applyFill="1" applyBorder="1" applyAlignment="1">
      <alignment horizontal="center" vertical="center"/>
    </xf>
    <xf numFmtId="0" fontId="23" fillId="2" borderId="35" xfId="623" applyFont="1" applyFill="1" applyBorder="1" applyAlignment="1">
      <alignment horizontal="center" vertical="center" shrinkToFit="1"/>
    </xf>
    <xf numFmtId="43" fontId="23" fillId="2" borderId="35" xfId="624" applyFont="1" applyFill="1" applyBorder="1" applyAlignment="1">
      <alignment horizontal="center" vertical="center" wrapText="1"/>
    </xf>
    <xf numFmtId="43" fontId="23" fillId="2" borderId="38" xfId="624" applyFont="1" applyFill="1" applyBorder="1" applyAlignment="1">
      <alignment horizontal="center" vertical="center" wrapText="1"/>
    </xf>
    <xf numFmtId="43" fontId="23" fillId="2" borderId="15" xfId="624" applyFont="1" applyFill="1" applyBorder="1" applyAlignment="1">
      <alignment horizontal="center" vertical="center" wrapText="1"/>
    </xf>
    <xf numFmtId="0" fontId="44" fillId="2" borderId="35" xfId="622" applyFont="1" applyFill="1" applyBorder="1" applyAlignment="1">
      <alignment horizontal="center" vertical="center" wrapText="1"/>
    </xf>
    <xf numFmtId="0" fontId="151" fillId="2" borderId="0" xfId="627" applyFont="1" applyFill="1" applyAlignment="1">
      <alignment horizontal="center" vertical="center"/>
    </xf>
    <xf numFmtId="0" fontId="18" fillId="0" borderId="0" xfId="717" applyFont="1" applyFill="1" applyAlignment="1">
      <alignment horizontal="center"/>
    </xf>
    <xf numFmtId="0" fontId="231" fillId="0" borderId="0" xfId="717" applyFont="1" applyFill="1" applyAlignment="1">
      <alignment horizontal="right"/>
    </xf>
    <xf numFmtId="0" fontId="227" fillId="0" borderId="0" xfId="717" applyFont="1" applyFill="1" applyAlignment="1">
      <alignment horizontal="center"/>
    </xf>
    <xf numFmtId="243" fontId="227" fillId="0" borderId="0" xfId="0" applyNumberFormat="1" applyFont="1" applyFill="1" applyAlignment="1">
      <alignment horizontal="center"/>
    </xf>
    <xf numFmtId="0" fontId="231" fillId="0" borderId="1" xfId="717" applyFont="1" applyFill="1" applyBorder="1" applyAlignment="1">
      <alignment horizontal="center" vertical="center"/>
    </xf>
    <xf numFmtId="0" fontId="227" fillId="0" borderId="38" xfId="717" applyFont="1" applyFill="1" applyBorder="1" applyAlignment="1">
      <alignment horizontal="center" vertical="center"/>
    </xf>
    <xf numFmtId="0" fontId="227" fillId="0" borderId="15" xfId="717" applyFont="1" applyFill="1" applyBorder="1" applyAlignment="1">
      <alignment horizontal="center" vertical="center"/>
    </xf>
    <xf numFmtId="0" fontId="227" fillId="0" borderId="35" xfId="717" applyFont="1" applyFill="1" applyBorder="1" applyAlignment="1">
      <alignment horizontal="center" vertical="center"/>
    </xf>
    <xf numFmtId="1" fontId="227" fillId="0" borderId="35" xfId="717" applyNumberFormat="1" applyFont="1" applyFill="1" applyBorder="1" applyAlignment="1">
      <alignment horizontal="center" vertical="center" wrapText="1"/>
    </xf>
    <xf numFmtId="1" fontId="227" fillId="0" borderId="38" xfId="717" applyNumberFormat="1" applyFont="1" applyFill="1" applyBorder="1" applyAlignment="1">
      <alignment horizontal="center" vertical="center" wrapText="1"/>
    </xf>
    <xf numFmtId="1" fontId="227" fillId="0" borderId="15" xfId="717" applyNumberFormat="1" applyFont="1" applyFill="1" applyBorder="1" applyAlignment="1">
      <alignment horizontal="center" vertical="center" wrapText="1"/>
    </xf>
    <xf numFmtId="0" fontId="227" fillId="0" borderId="0" xfId="0" applyFont="1" applyFill="1" applyAlignment="1">
      <alignment horizontal="center"/>
    </xf>
    <xf numFmtId="0" fontId="230" fillId="0" borderId="0" xfId="717" applyFont="1" applyFill="1" applyAlignment="1">
      <alignment horizontal="center"/>
    </xf>
    <xf numFmtId="0" fontId="227" fillId="0" borderId="0" xfId="717" quotePrefix="1" applyFont="1" applyFill="1" applyAlignment="1">
      <alignment horizontal="center"/>
    </xf>
    <xf numFmtId="0" fontId="228" fillId="0" borderId="0" xfId="717" applyFont="1" applyFill="1" applyAlignment="1">
      <alignment horizontal="center"/>
    </xf>
    <xf numFmtId="0" fontId="44" fillId="2" borderId="0" xfId="622" applyFont="1" applyFill="1" applyAlignment="1">
      <alignment horizontal="center" vertical="center" wrapText="1"/>
    </xf>
    <xf numFmtId="0" fontId="195" fillId="2" borderId="0" xfId="622" applyFont="1" applyFill="1" applyAlignment="1">
      <alignment horizontal="right" vertical="center"/>
    </xf>
    <xf numFmtId="0" fontId="44" fillId="2" borderId="0" xfId="622" applyFont="1" applyFill="1" applyAlignment="1">
      <alignment horizontal="right"/>
    </xf>
    <xf numFmtId="0" fontId="44" fillId="2" borderId="0" xfId="622" applyFont="1" applyFill="1" applyAlignment="1">
      <alignment horizontal="center"/>
    </xf>
    <xf numFmtId="0" fontId="23" fillId="2" borderId="0" xfId="627" applyFont="1" applyFill="1" applyAlignment="1">
      <alignment horizontal="left"/>
    </xf>
    <xf numFmtId="43" fontId="23" fillId="2" borderId="38" xfId="716" applyFont="1" applyFill="1" applyBorder="1" applyAlignment="1">
      <alignment horizontal="center" vertical="center" wrapText="1"/>
    </xf>
    <xf numFmtId="43" fontId="23" fillId="2" borderId="6" xfId="716" applyFont="1" applyFill="1" applyBorder="1" applyAlignment="1">
      <alignment horizontal="center" vertical="center" wrapText="1"/>
    </xf>
    <xf numFmtId="0" fontId="12" fillId="2" borderId="0" xfId="623" quotePrefix="1" applyFont="1" applyFill="1" applyAlignment="1">
      <alignment horizontal="center"/>
    </xf>
    <xf numFmtId="0" fontId="44" fillId="2" borderId="0" xfId="622" applyFont="1" applyFill="1" applyAlignment="1">
      <alignment horizontal="center" vertical="center"/>
    </xf>
    <xf numFmtId="0" fontId="194" fillId="2" borderId="45" xfId="623" applyFont="1" applyFill="1" applyBorder="1" applyAlignment="1">
      <alignment horizontal="left"/>
    </xf>
    <xf numFmtId="0" fontId="6" fillId="2" borderId="0" xfId="622" applyFont="1" applyFill="1" applyAlignment="1">
      <alignment horizontal="center" wrapText="1"/>
    </xf>
    <xf numFmtId="0" fontId="4" fillId="2" borderId="1" xfId="622" applyFont="1" applyFill="1" applyBorder="1" applyAlignment="1">
      <alignment horizontal="center" vertical="center"/>
    </xf>
    <xf numFmtId="0" fontId="23" fillId="2" borderId="37" xfId="623" applyFont="1" applyFill="1" applyBorder="1" applyAlignment="1">
      <alignment horizontal="center" vertical="center"/>
    </xf>
    <xf numFmtId="0" fontId="23" fillId="2" borderId="11" xfId="623" applyFont="1" applyFill="1" applyBorder="1" applyAlignment="1">
      <alignment horizontal="center" vertical="center"/>
    </xf>
    <xf numFmtId="0" fontId="23" fillId="2" borderId="17" xfId="623" applyFont="1" applyFill="1" applyBorder="1" applyAlignment="1">
      <alignment horizontal="center" vertical="center"/>
    </xf>
    <xf numFmtId="0" fontId="23" fillId="2" borderId="38" xfId="623" applyFont="1" applyFill="1" applyBorder="1" applyAlignment="1">
      <alignment horizontal="center" vertical="center"/>
    </xf>
    <xf numFmtId="43" fontId="23" fillId="2" borderId="40" xfId="716" applyFont="1" applyFill="1" applyBorder="1" applyAlignment="1">
      <alignment horizontal="center" vertical="center" wrapText="1"/>
    </xf>
    <xf numFmtId="43" fontId="23" fillId="2" borderId="41" xfId="716" applyFont="1" applyFill="1" applyBorder="1" applyAlignment="1">
      <alignment horizontal="center" vertical="center" wrapText="1"/>
    </xf>
    <xf numFmtId="43" fontId="23" fillId="2" borderId="39" xfId="716" applyFont="1" applyFill="1" applyBorder="1" applyAlignment="1">
      <alignment horizontal="center" vertical="center" wrapText="1"/>
    </xf>
    <xf numFmtId="0" fontId="44" fillId="2" borderId="38" xfId="622" applyFont="1" applyFill="1" applyBorder="1" applyAlignment="1">
      <alignment horizontal="center" vertical="center" wrapText="1"/>
    </xf>
    <xf numFmtId="0" fontId="23" fillId="2" borderId="0" xfId="627" applyFont="1" applyFill="1" applyAlignment="1">
      <alignment horizontal="center"/>
    </xf>
    <xf numFmtId="2" fontId="190" fillId="2" borderId="40" xfId="622" applyNumberFormat="1" applyFont="1" applyFill="1" applyBorder="1" applyAlignment="1">
      <alignment horizontal="center" vertical="center"/>
    </xf>
    <xf numFmtId="2" fontId="190" fillId="2" borderId="41" xfId="622" applyNumberFormat="1" applyFont="1" applyFill="1" applyBorder="1" applyAlignment="1">
      <alignment horizontal="center" vertical="center"/>
    </xf>
    <xf numFmtId="2" fontId="190" fillId="2" borderId="39" xfId="622" applyNumberFormat="1" applyFont="1" applyFill="1" applyBorder="1" applyAlignment="1">
      <alignment horizontal="center" vertical="center"/>
    </xf>
    <xf numFmtId="0" fontId="190" fillId="2" borderId="40" xfId="622" applyFont="1" applyFill="1" applyBorder="1" applyAlignment="1">
      <alignment horizontal="center" vertical="center"/>
    </xf>
    <xf numFmtId="0" fontId="190" fillId="2" borderId="41" xfId="622" applyFont="1" applyFill="1" applyBorder="1" applyAlignment="1">
      <alignment horizontal="center" vertical="center"/>
    </xf>
    <xf numFmtId="0" fontId="190" fillId="2" borderId="39" xfId="622" applyFont="1" applyFill="1" applyBorder="1" applyAlignment="1">
      <alignment horizontal="center" vertical="center"/>
    </xf>
    <xf numFmtId="0" fontId="190" fillId="2" borderId="35" xfId="622" applyFont="1" applyFill="1" applyBorder="1" applyAlignment="1">
      <alignment horizontal="center" vertical="center"/>
    </xf>
    <xf numFmtId="237" fontId="190" fillId="2" borderId="35" xfId="2" applyNumberFormat="1" applyFont="1" applyFill="1" applyBorder="1" applyAlignment="1">
      <alignment horizontal="center" vertical="center"/>
    </xf>
    <xf numFmtId="3" fontId="190" fillId="2" borderId="40" xfId="626" applyNumberFormat="1" applyFont="1" applyFill="1" applyBorder="1" applyAlignment="1">
      <alignment horizontal="center" vertical="center"/>
    </xf>
    <xf numFmtId="3" fontId="190" fillId="2" borderId="41" xfId="626" applyNumberFormat="1" applyFont="1" applyFill="1" applyBorder="1" applyAlignment="1">
      <alignment horizontal="center" vertical="center"/>
    </xf>
    <xf numFmtId="3" fontId="190" fillId="2" borderId="39" xfId="626" applyNumberFormat="1" applyFont="1" applyFill="1" applyBorder="1" applyAlignment="1">
      <alignment horizontal="center" vertical="center"/>
    </xf>
    <xf numFmtId="0" fontId="141" fillId="2" borderId="0" xfId="622" applyFont="1" applyFill="1" applyAlignment="1">
      <alignment horizontal="center" vertical="center" wrapText="1"/>
    </xf>
    <xf numFmtId="237" fontId="190" fillId="2" borderId="40" xfId="2" applyNumberFormat="1" applyFont="1" applyFill="1" applyBorder="1" applyAlignment="1">
      <alignment horizontal="center" vertical="center"/>
    </xf>
    <xf numFmtId="237" fontId="190" fillId="2" borderId="41" xfId="2" applyNumberFormat="1" applyFont="1" applyFill="1" applyBorder="1" applyAlignment="1">
      <alignment horizontal="center" vertical="center"/>
    </xf>
    <xf numFmtId="237" fontId="190" fillId="2" borderId="39" xfId="2" applyNumberFormat="1" applyFont="1" applyFill="1" applyBorder="1" applyAlignment="1">
      <alignment horizontal="center" vertical="center"/>
    </xf>
    <xf numFmtId="1" fontId="23" fillId="2" borderId="40" xfId="622" applyNumberFormat="1" applyFont="1" applyFill="1" applyBorder="1" applyAlignment="1">
      <alignment horizontal="center" vertical="center"/>
    </xf>
    <xf numFmtId="1" fontId="23" fillId="2" borderId="41" xfId="622" applyNumberFormat="1" applyFont="1" applyFill="1" applyBorder="1" applyAlignment="1">
      <alignment horizontal="center" vertical="center"/>
    </xf>
    <xf numFmtId="1" fontId="23" fillId="2" borderId="39" xfId="622" applyNumberFormat="1" applyFont="1" applyFill="1" applyBorder="1" applyAlignment="1">
      <alignment horizontal="center" vertical="center"/>
    </xf>
    <xf numFmtId="0" fontId="235" fillId="2" borderId="18" xfId="622" applyFont="1" applyFill="1" applyBorder="1" applyAlignment="1">
      <alignment horizontal="right" vertical="center"/>
    </xf>
    <xf numFmtId="0" fontId="23" fillId="2" borderId="40" xfId="622" applyFont="1" applyFill="1" applyBorder="1" applyAlignment="1">
      <alignment horizontal="center" vertical="center"/>
    </xf>
    <xf numFmtId="0" fontId="23" fillId="2" borderId="41" xfId="622" applyFont="1" applyFill="1" applyBorder="1" applyAlignment="1">
      <alignment horizontal="center" vertical="center"/>
    </xf>
    <xf numFmtId="0" fontId="23" fillId="2" borderId="39" xfId="622" applyFont="1" applyFill="1" applyBorder="1" applyAlignment="1">
      <alignment horizontal="center" vertical="center"/>
    </xf>
    <xf numFmtId="9" fontId="23" fillId="2" borderId="35" xfId="2" applyFont="1" applyFill="1" applyBorder="1" applyAlignment="1">
      <alignment horizontal="center" vertical="center"/>
    </xf>
    <xf numFmtId="43" fontId="23" fillId="2" borderId="40" xfId="1" applyFont="1" applyFill="1" applyBorder="1" applyAlignment="1">
      <alignment horizontal="center" vertical="center"/>
    </xf>
    <xf numFmtId="43" fontId="23" fillId="2" borderId="41" xfId="1" applyFont="1" applyFill="1" applyBorder="1" applyAlignment="1">
      <alignment horizontal="center" vertical="center"/>
    </xf>
    <xf numFmtId="43" fontId="23" fillId="2" borderId="39" xfId="1" applyFont="1" applyFill="1" applyBorder="1" applyAlignment="1">
      <alignment horizontal="center" vertical="center"/>
    </xf>
    <xf numFmtId="9" fontId="23" fillId="2" borderId="40" xfId="2" applyFont="1" applyFill="1" applyBorder="1" applyAlignment="1">
      <alignment horizontal="center" vertical="center"/>
    </xf>
    <xf numFmtId="9" fontId="23" fillId="2" borderId="41" xfId="2" applyFont="1" applyFill="1" applyBorder="1" applyAlignment="1">
      <alignment horizontal="center" vertical="center"/>
    </xf>
    <xf numFmtId="9" fontId="23" fillId="2" borderId="39" xfId="2" applyFont="1" applyFill="1" applyBorder="1" applyAlignment="1">
      <alignment horizontal="center" vertical="center"/>
    </xf>
    <xf numFmtId="3" fontId="23" fillId="2" borderId="40" xfId="626" applyNumberFormat="1" applyFont="1" applyFill="1" applyBorder="1" applyAlignment="1">
      <alignment horizontal="center" vertical="center"/>
    </xf>
    <xf numFmtId="3" fontId="23" fillId="2" borderId="41" xfId="626" applyNumberFormat="1" applyFont="1" applyFill="1" applyBorder="1" applyAlignment="1">
      <alignment horizontal="center" vertical="center"/>
    </xf>
    <xf numFmtId="3" fontId="23" fillId="2" borderId="39" xfId="626" applyNumberFormat="1" applyFont="1" applyFill="1" applyBorder="1" applyAlignment="1">
      <alignment horizontal="center" vertical="center"/>
    </xf>
    <xf numFmtId="237" fontId="23" fillId="2" borderId="40" xfId="622" applyNumberFormat="1" applyFont="1" applyFill="1" applyBorder="1" applyAlignment="1">
      <alignment horizontal="center" vertical="center"/>
    </xf>
    <xf numFmtId="3" fontId="23" fillId="2" borderId="40" xfId="622" applyNumberFormat="1" applyFont="1" applyFill="1" applyBorder="1" applyAlignment="1">
      <alignment horizontal="center" vertical="center"/>
    </xf>
    <xf numFmtId="217" fontId="4" fillId="2" borderId="40" xfId="622" applyNumberFormat="1" applyFont="1" applyFill="1" applyBorder="1" applyAlignment="1">
      <alignment horizontal="center" vertical="center"/>
    </xf>
    <xf numFmtId="217" fontId="4" fillId="2" borderId="39" xfId="622" applyNumberFormat="1" applyFont="1" applyFill="1" applyBorder="1" applyAlignment="1">
      <alignment horizontal="center" vertical="center"/>
    </xf>
    <xf numFmtId="0" fontId="23" fillId="2" borderId="35" xfId="622" applyFont="1" applyFill="1" applyBorder="1" applyAlignment="1">
      <alignment horizontal="center" vertical="center"/>
    </xf>
    <xf numFmtId="2" fontId="23" fillId="2" borderId="40" xfId="622" applyNumberFormat="1" applyFont="1" applyFill="1" applyBorder="1" applyAlignment="1">
      <alignment horizontal="center" vertical="center"/>
    </xf>
    <xf numFmtId="2" fontId="23" fillId="2" borderId="41" xfId="622" applyNumberFormat="1" applyFont="1" applyFill="1" applyBorder="1" applyAlignment="1">
      <alignment horizontal="center" vertical="center"/>
    </xf>
    <xf numFmtId="2" fontId="23" fillId="2" borderId="39" xfId="622" applyNumberFormat="1" applyFont="1" applyFill="1" applyBorder="1" applyAlignment="1">
      <alignment horizontal="center" vertical="center"/>
    </xf>
    <xf numFmtId="0" fontId="23" fillId="2" borderId="38" xfId="622" applyFont="1" applyFill="1" applyBorder="1" applyAlignment="1">
      <alignment horizontal="center" vertical="center"/>
    </xf>
    <xf numFmtId="0" fontId="23" fillId="2" borderId="6" xfId="622" applyFont="1" applyFill="1" applyBorder="1" applyAlignment="1">
      <alignment horizontal="center" vertical="center"/>
    </xf>
    <xf numFmtId="0" fontId="23" fillId="2" borderId="36" xfId="622" applyFont="1" applyFill="1" applyBorder="1" applyAlignment="1">
      <alignment horizontal="center" vertical="center"/>
    </xf>
    <xf numFmtId="0" fontId="23" fillId="2" borderId="45" xfId="622" applyFont="1" applyFill="1" applyBorder="1" applyAlignment="1">
      <alignment horizontal="center" vertical="center"/>
    </xf>
    <xf numFmtId="0" fontId="23" fillId="2" borderId="37" xfId="622" applyFont="1" applyFill="1" applyBorder="1" applyAlignment="1">
      <alignment horizontal="center" vertical="center"/>
    </xf>
    <xf numFmtId="0" fontId="23" fillId="2" borderId="9" xfId="622" applyFont="1" applyFill="1" applyBorder="1" applyAlignment="1">
      <alignment horizontal="center" vertical="center"/>
    </xf>
    <xf numFmtId="0" fontId="23" fillId="2" borderId="1" xfId="622" applyFont="1" applyFill="1" applyBorder="1" applyAlignment="1">
      <alignment horizontal="center" vertical="center"/>
    </xf>
    <xf numFmtId="0" fontId="23" fillId="2" borderId="10" xfId="622" applyFont="1" applyFill="1" applyBorder="1" applyAlignment="1">
      <alignment horizontal="center" vertical="center"/>
    </xf>
    <xf numFmtId="0" fontId="5" fillId="2" borderId="40" xfId="622" applyFont="1" applyFill="1" applyBorder="1" applyAlignment="1">
      <alignment horizontal="center" vertical="center" shrinkToFit="1"/>
    </xf>
    <xf numFmtId="0" fontId="5" fillId="2" borderId="41" xfId="622" applyFont="1" applyFill="1" applyBorder="1" applyAlignment="1">
      <alignment horizontal="center" vertical="center" shrinkToFit="1"/>
    </xf>
    <xf numFmtId="0" fontId="5" fillId="2" borderId="39" xfId="622" applyFont="1" applyFill="1" applyBorder="1" applyAlignment="1">
      <alignment horizontal="center" vertical="center" shrinkToFit="1"/>
    </xf>
    <xf numFmtId="0" fontId="23" fillId="2" borderId="18" xfId="622" applyFont="1" applyFill="1" applyBorder="1" applyAlignment="1">
      <alignment horizontal="center" vertical="center"/>
    </xf>
    <xf numFmtId="0" fontId="147" fillId="2" borderId="0" xfId="622" applyFont="1" applyFill="1" applyAlignment="1">
      <alignment horizontal="center" vertical="center"/>
    </xf>
    <xf numFmtId="0" fontId="12" fillId="2" borderId="36" xfId="623" applyFont="1" applyFill="1" applyBorder="1" applyAlignment="1">
      <alignment horizontal="center" vertical="center" shrinkToFit="1"/>
    </xf>
    <xf numFmtId="0" fontId="12" fillId="2" borderId="37" xfId="623" applyFont="1" applyFill="1" applyBorder="1" applyAlignment="1">
      <alignment horizontal="center" vertical="center" shrinkToFit="1"/>
    </xf>
    <xf numFmtId="0" fontId="12" fillId="2" borderId="9" xfId="623" applyFont="1" applyFill="1" applyBorder="1" applyAlignment="1">
      <alignment horizontal="center" vertical="center" shrinkToFit="1"/>
    </xf>
    <xf numFmtId="0" fontId="12" fillId="2" borderId="10" xfId="623" applyFont="1" applyFill="1" applyBorder="1" applyAlignment="1">
      <alignment horizontal="center" vertical="center" shrinkToFit="1"/>
    </xf>
    <xf numFmtId="0" fontId="12" fillId="2" borderId="35" xfId="623" applyFont="1" applyFill="1" applyBorder="1" applyAlignment="1">
      <alignment horizontal="center" vertical="center" shrinkToFit="1"/>
    </xf>
    <xf numFmtId="43" fontId="12" fillId="2" borderId="35" xfId="716" applyFont="1" applyFill="1" applyBorder="1" applyAlignment="1">
      <alignment horizontal="center" vertical="center" wrapText="1" shrinkToFit="1"/>
    </xf>
    <xf numFmtId="43" fontId="12" fillId="2" borderId="38" xfId="716" applyFont="1" applyFill="1" applyBorder="1" applyAlignment="1">
      <alignment horizontal="center" vertical="center" wrapText="1" shrinkToFit="1"/>
    </xf>
    <xf numFmtId="43" fontId="12" fillId="2" borderId="15" xfId="716" applyFont="1" applyFill="1" applyBorder="1" applyAlignment="1">
      <alignment horizontal="center" vertical="center" wrapText="1" shrinkToFit="1"/>
    </xf>
    <xf numFmtId="43" fontId="12" fillId="2" borderId="6" xfId="716" applyFont="1" applyFill="1" applyBorder="1" applyAlignment="1">
      <alignment horizontal="center" vertical="center" wrapText="1" shrinkToFit="1"/>
    </xf>
    <xf numFmtId="0" fontId="5" fillId="2" borderId="35" xfId="622" applyFont="1" applyFill="1" applyBorder="1" applyAlignment="1">
      <alignment horizontal="center" vertical="center" shrinkToFit="1"/>
    </xf>
    <xf numFmtId="0" fontId="44" fillId="2" borderId="0" xfId="622" applyFont="1" applyFill="1" applyBorder="1" applyAlignment="1">
      <alignment horizontal="center"/>
    </xf>
    <xf numFmtId="0" fontId="146" fillId="2" borderId="0" xfId="622" applyFont="1" applyFill="1" applyAlignment="1">
      <alignment horizontal="center"/>
    </xf>
    <xf numFmtId="216" fontId="12" fillId="2" borderId="0" xfId="0" applyNumberFormat="1" applyFont="1" applyFill="1" applyAlignment="1">
      <alignment horizontal="center" vertical="center"/>
    </xf>
    <xf numFmtId="0" fontId="12" fillId="2" borderId="0" xfId="0" applyFont="1" applyFill="1" applyAlignment="1">
      <alignment horizontal="center"/>
    </xf>
    <xf numFmtId="2" fontId="12" fillId="2" borderId="0" xfId="0" applyNumberFormat="1" applyFont="1" applyFill="1" applyAlignment="1">
      <alignment horizontal="center" vertical="center"/>
    </xf>
    <xf numFmtId="3" fontId="12" fillId="2" borderId="0" xfId="0" applyNumberFormat="1" applyFont="1" applyFill="1" applyAlignment="1">
      <alignment horizontal="center" vertical="center"/>
    </xf>
    <xf numFmtId="217" fontId="12" fillId="2" borderId="0" xfId="0" applyNumberFormat="1" applyFont="1" applyFill="1" applyAlignment="1">
      <alignment horizontal="center" vertical="center"/>
    </xf>
    <xf numFmtId="216" fontId="18" fillId="2" borderId="0" xfId="0" applyNumberFormat="1" applyFont="1" applyFill="1" applyAlignment="1">
      <alignment horizontal="center"/>
    </xf>
    <xf numFmtId="216" fontId="22" fillId="2" borderId="0" xfId="0" applyNumberFormat="1" applyFont="1" applyFill="1" applyAlignment="1">
      <alignment horizontal="center"/>
    </xf>
    <xf numFmtId="43" fontId="22" fillId="2" borderId="0" xfId="1" applyFont="1" applyFill="1" applyAlignment="1">
      <alignment horizontal="center"/>
    </xf>
    <xf numFmtId="198" fontId="22" fillId="2" borderId="0" xfId="0" applyNumberFormat="1" applyFont="1" applyFill="1" applyAlignment="1">
      <alignment horizontal="center"/>
    </xf>
    <xf numFmtId="217" fontId="22" fillId="2" borderId="0" xfId="0" applyNumberFormat="1" applyFont="1" applyFill="1" applyAlignment="1">
      <alignment horizontal="center"/>
    </xf>
    <xf numFmtId="0" fontId="5" fillId="2" borderId="0" xfId="0" applyFont="1" applyFill="1" applyAlignment="1">
      <alignment horizontal="center"/>
    </xf>
    <xf numFmtId="0" fontId="5" fillId="2" borderId="0" xfId="0" quotePrefix="1" applyFont="1" applyFill="1" applyAlignment="1">
      <alignment horizontal="center"/>
    </xf>
    <xf numFmtId="0" fontId="45" fillId="2" borderId="0" xfId="0" quotePrefix="1" applyFont="1" applyFill="1" applyAlignment="1">
      <alignment horizontal="center"/>
    </xf>
    <xf numFmtId="0" fontId="45" fillId="2" borderId="0" xfId="0" applyFont="1" applyFill="1" applyAlignment="1">
      <alignment horizontal="center"/>
    </xf>
    <xf numFmtId="0" fontId="12" fillId="2" borderId="0" xfId="0" applyFont="1" applyFill="1" applyAlignment="1">
      <alignment horizontal="center" vertical="center"/>
    </xf>
    <xf numFmtId="0" fontId="151" fillId="2" borderId="0" xfId="0" applyFont="1" applyFill="1" applyAlignment="1">
      <alignment horizontal="center" vertical="center"/>
    </xf>
    <xf numFmtId="0" fontId="33" fillId="2" borderId="0" xfId="0" applyFont="1" applyFill="1" applyAlignment="1">
      <alignment horizontal="center"/>
    </xf>
    <xf numFmtId="217" fontId="18" fillId="2" borderId="4" xfId="1" applyNumberFormat="1" applyFont="1" applyFill="1" applyBorder="1" applyAlignment="1">
      <alignment horizontal="center"/>
    </xf>
    <xf numFmtId="217" fontId="18" fillId="2" borderId="16" xfId="1" applyNumberFormat="1" applyFont="1" applyFill="1" applyBorder="1" applyAlignment="1">
      <alignment horizontal="center"/>
    </xf>
    <xf numFmtId="217" fontId="18" fillId="2" borderId="41" xfId="1" applyNumberFormat="1" applyFont="1" applyFill="1" applyBorder="1" applyAlignment="1">
      <alignment horizontal="center"/>
    </xf>
    <xf numFmtId="217" fontId="18" fillId="2" borderId="5" xfId="1" applyNumberFormat="1" applyFont="1" applyFill="1" applyBorder="1" applyAlignment="1">
      <alignment horizontal="center"/>
    </xf>
    <xf numFmtId="0" fontId="18" fillId="2" borderId="3" xfId="0" applyFont="1" applyFill="1" applyBorder="1" applyAlignment="1">
      <alignment horizontal="center" vertical="center" wrapText="1"/>
    </xf>
    <xf numFmtId="217" fontId="18" fillId="2" borderId="3" xfId="1" applyNumberFormat="1" applyFont="1" applyFill="1" applyBorder="1" applyAlignment="1">
      <alignment horizontal="center" vertical="center" wrapText="1"/>
    </xf>
    <xf numFmtId="217" fontId="18" fillId="2" borderId="35" xfId="1" applyNumberFormat="1" applyFont="1" applyFill="1" applyBorder="1" applyAlignment="1">
      <alignment horizontal="center" vertical="center" wrapText="1"/>
    </xf>
    <xf numFmtId="0" fontId="18" fillId="2" borderId="3" xfId="1" applyNumberFormat="1" applyFont="1" applyFill="1" applyBorder="1" applyAlignment="1">
      <alignment horizontal="center" vertical="center" wrapText="1"/>
    </xf>
    <xf numFmtId="0" fontId="18" fillId="2" borderId="35" xfId="1" applyNumberFormat="1" applyFont="1" applyFill="1" applyBorder="1" applyAlignment="1">
      <alignment horizontal="center" vertical="center" wrapText="1"/>
    </xf>
    <xf numFmtId="217" fontId="18" fillId="2" borderId="2" xfId="1" applyNumberFormat="1" applyFont="1" applyFill="1" applyBorder="1" applyAlignment="1">
      <alignment horizontal="center" vertical="center" wrapText="1"/>
    </xf>
    <xf numFmtId="217" fontId="18" fillId="2" borderId="15" xfId="1" applyNumberFormat="1" applyFont="1" applyFill="1" applyBorder="1" applyAlignment="1">
      <alignment horizontal="center" vertical="center" wrapText="1"/>
    </xf>
    <xf numFmtId="217" fontId="18" fillId="2" borderId="6" xfId="1" applyNumberFormat="1" applyFont="1" applyFill="1" applyBorder="1" applyAlignment="1">
      <alignment horizontal="center" vertical="center" wrapText="1"/>
    </xf>
    <xf numFmtId="0" fontId="18" fillId="2" borderId="7" xfId="0" applyFont="1" applyFill="1" applyBorder="1" applyAlignment="1">
      <alignment horizontal="center" vertical="center" wrapText="1"/>
    </xf>
    <xf numFmtId="0" fontId="18" fillId="2" borderId="8"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8" fillId="2" borderId="17" xfId="0" applyFont="1" applyFill="1" applyBorder="1" applyAlignment="1">
      <alignment horizontal="center" vertical="center" wrapText="1"/>
    </xf>
    <xf numFmtId="0" fontId="18" fillId="2" borderId="9" xfId="0" applyFont="1" applyFill="1" applyBorder="1" applyAlignment="1">
      <alignment horizontal="center" vertical="center" wrapText="1"/>
    </xf>
    <xf numFmtId="0" fontId="18" fillId="2" borderId="10" xfId="0" applyFont="1" applyFill="1" applyBorder="1" applyAlignment="1">
      <alignment horizontal="center" vertical="center" wrapText="1"/>
    </xf>
    <xf numFmtId="0" fontId="18" fillId="2" borderId="2" xfId="0" applyFont="1" applyFill="1" applyBorder="1" applyAlignment="1">
      <alignment horizontal="center" vertical="center" shrinkToFit="1"/>
    </xf>
    <xf numFmtId="0" fontId="18" fillId="2" borderId="15" xfId="0" applyFont="1" applyFill="1" applyBorder="1" applyAlignment="1">
      <alignment horizontal="center" vertical="center" shrinkToFit="1"/>
    </xf>
    <xf numFmtId="0" fontId="18" fillId="2" borderId="6" xfId="0" applyFont="1" applyFill="1" applyBorder="1" applyAlignment="1">
      <alignment horizontal="center" vertical="center" shrinkToFit="1"/>
    </xf>
    <xf numFmtId="0" fontId="22" fillId="2" borderId="3" xfId="0" applyFont="1" applyFill="1" applyBorder="1" applyAlignment="1">
      <alignment horizontal="center" vertical="center" wrapText="1"/>
    </xf>
    <xf numFmtId="0" fontId="18" fillId="2" borderId="0" xfId="0" applyFont="1" applyFill="1" applyAlignment="1">
      <alignment horizontal="center"/>
    </xf>
    <xf numFmtId="0" fontId="12" fillId="2" borderId="4" xfId="0" applyFont="1" applyFill="1" applyBorder="1" applyAlignment="1">
      <alignment horizontal="center" vertical="center" shrinkToFit="1"/>
    </xf>
    <xf numFmtId="0" fontId="12" fillId="2" borderId="16" xfId="0" applyFont="1" applyFill="1" applyBorder="1" applyAlignment="1">
      <alignment horizontal="center" vertical="center" shrinkToFit="1"/>
    </xf>
    <xf numFmtId="0" fontId="12" fillId="2" borderId="5" xfId="0" applyFont="1" applyFill="1" applyBorder="1" applyAlignment="1">
      <alignment horizontal="center" vertical="center" shrinkToFit="1"/>
    </xf>
    <xf numFmtId="0" fontId="150" fillId="2" borderId="3" xfId="0" applyFont="1" applyFill="1" applyBorder="1" applyAlignment="1">
      <alignment horizontal="center" vertical="center" shrinkToFit="1"/>
    </xf>
    <xf numFmtId="0" fontId="150" fillId="2" borderId="35" xfId="0" applyFont="1" applyFill="1" applyBorder="1" applyAlignment="1">
      <alignment horizontal="center" vertical="center" shrinkToFit="1"/>
    </xf>
    <xf numFmtId="217" fontId="38" fillId="2" borderId="18" xfId="0" applyNumberFormat="1" applyFont="1" applyFill="1" applyBorder="1" applyAlignment="1">
      <alignment horizontal="right" vertical="center"/>
    </xf>
    <xf numFmtId="3" fontId="15" fillId="2" borderId="40" xfId="705" applyNumberFormat="1" applyFont="1" applyFill="1" applyBorder="1" applyAlignment="1">
      <alignment horizontal="left" vertical="center" shrinkToFit="1"/>
    </xf>
    <xf numFmtId="3" fontId="15" fillId="2" borderId="39" xfId="705" applyNumberFormat="1" applyFont="1" applyFill="1" applyBorder="1" applyAlignment="1">
      <alignment horizontal="left" vertical="center" shrinkToFit="1"/>
    </xf>
    <xf numFmtId="3" fontId="9" fillId="2" borderId="35" xfId="705" applyNumberFormat="1" applyFont="1" applyFill="1" applyBorder="1" applyAlignment="1">
      <alignment horizontal="center" vertical="center" shrinkToFit="1"/>
    </xf>
    <xf numFmtId="0" fontId="84" fillId="3" borderId="0" xfId="705" applyFont="1" applyFill="1" applyAlignment="1">
      <alignment horizontal="center" vertical="center" shrinkToFit="1"/>
    </xf>
    <xf numFmtId="0" fontId="48" fillId="3" borderId="35" xfId="705" applyFont="1" applyFill="1" applyBorder="1" applyAlignment="1">
      <alignment horizontal="center" vertical="center" shrinkToFit="1"/>
    </xf>
    <xf numFmtId="0" fontId="5" fillId="2" borderId="0" xfId="0" applyFont="1" applyFill="1" applyAlignment="1">
      <alignment horizontal="center" vertical="center"/>
    </xf>
    <xf numFmtId="0" fontId="141" fillId="2" borderId="0" xfId="0" applyFont="1" applyFill="1" applyAlignment="1">
      <alignment horizontal="center" vertical="center"/>
    </xf>
    <xf numFmtId="0" fontId="149" fillId="2" borderId="0" xfId="0" applyFont="1" applyFill="1" applyAlignment="1">
      <alignment horizontal="right" vertical="center"/>
    </xf>
    <xf numFmtId="0" fontId="46" fillId="2" borderId="18" xfId="0" applyFont="1" applyFill="1" applyBorder="1" applyAlignment="1">
      <alignment horizontal="center"/>
    </xf>
    <xf numFmtId="0" fontId="46" fillId="2" borderId="45" xfId="0" applyFont="1" applyFill="1" applyBorder="1" applyAlignment="1">
      <alignment horizontal="center"/>
    </xf>
    <xf numFmtId="0" fontId="12" fillId="2" borderId="0" xfId="495" applyFont="1" applyFill="1" applyAlignment="1">
      <alignment horizontal="center" vertical="center"/>
    </xf>
    <xf numFmtId="0" fontId="12" fillId="2" borderId="0" xfId="495" quotePrefix="1" applyFont="1" applyFill="1" applyAlignment="1">
      <alignment horizontal="center" vertical="center"/>
    </xf>
    <xf numFmtId="0" fontId="33" fillId="2" borderId="0" xfId="495" applyFont="1" applyFill="1" applyAlignment="1">
      <alignment horizontal="center" vertical="center"/>
    </xf>
    <xf numFmtId="0" fontId="151" fillId="2" borderId="0" xfId="495" applyFont="1" applyFill="1" applyAlignment="1">
      <alignment horizontal="center" vertical="center"/>
    </xf>
    <xf numFmtId="0" fontId="18" fillId="2" borderId="0" xfId="495" applyFont="1" applyFill="1" applyAlignment="1">
      <alignment horizontal="center" vertical="center"/>
    </xf>
    <xf numFmtId="0" fontId="24" fillId="2" borderId="0" xfId="495" applyFont="1" applyFill="1" applyAlignment="1">
      <alignment horizontal="center" vertical="center"/>
    </xf>
    <xf numFmtId="0" fontId="18" fillId="2" borderId="1" xfId="495" applyFont="1" applyFill="1" applyBorder="1" applyAlignment="1">
      <alignment horizontal="center" vertical="center"/>
    </xf>
    <xf numFmtId="0" fontId="12" fillId="2" borderId="4" xfId="495" applyFont="1" applyFill="1" applyBorder="1" applyAlignment="1">
      <alignment horizontal="center" vertical="center"/>
    </xf>
    <xf numFmtId="0" fontId="12" fillId="2" borderId="5" xfId="495" applyFont="1" applyFill="1" applyBorder="1" applyAlignment="1">
      <alignment horizontal="center" vertical="center"/>
    </xf>
    <xf numFmtId="0" fontId="12" fillId="2" borderId="2" xfId="495" applyFont="1" applyFill="1" applyBorder="1" applyAlignment="1">
      <alignment horizontal="center" vertical="center"/>
    </xf>
    <xf numFmtId="0" fontId="12" fillId="2" borderId="6" xfId="495" applyFont="1" applyFill="1" applyBorder="1" applyAlignment="1">
      <alignment horizontal="center" vertical="center"/>
    </xf>
    <xf numFmtId="0" fontId="12" fillId="2" borderId="2" xfId="495" applyFont="1" applyFill="1" applyBorder="1" applyAlignment="1">
      <alignment horizontal="center" vertical="center" wrapText="1"/>
    </xf>
    <xf numFmtId="0" fontId="12" fillId="2" borderId="6" xfId="495" applyFont="1" applyFill="1" applyBorder="1" applyAlignment="1">
      <alignment horizontal="center" vertical="center" wrapText="1"/>
    </xf>
    <xf numFmtId="0" fontId="12" fillId="2" borderId="0" xfId="495" applyFont="1" applyFill="1" applyAlignment="1">
      <alignment horizontal="center"/>
    </xf>
    <xf numFmtId="0" fontId="38" fillId="2" borderId="0" xfId="0" applyFont="1" applyFill="1" applyAlignment="1">
      <alignment horizontal="center"/>
    </xf>
    <xf numFmtId="0" fontId="12" fillId="2" borderId="0" xfId="0" applyFont="1" applyFill="1" applyAlignment="1">
      <alignment horizontal="left" vertical="center"/>
    </xf>
    <xf numFmtId="0" fontId="23" fillId="2" borderId="0" xfId="0" applyFont="1" applyFill="1" applyAlignment="1">
      <alignment horizontal="center"/>
    </xf>
    <xf numFmtId="0" fontId="12" fillId="2" borderId="3" xfId="0" applyFont="1" applyFill="1" applyBorder="1" applyAlignment="1">
      <alignment horizontal="center" vertical="center"/>
    </xf>
    <xf numFmtId="0" fontId="150" fillId="2" borderId="40" xfId="0" applyFont="1" applyFill="1" applyBorder="1" applyAlignment="1">
      <alignment horizontal="center" vertical="center"/>
    </xf>
    <xf numFmtId="0" fontId="150" fillId="2" borderId="41" xfId="0" applyFont="1" applyFill="1" applyBorder="1" applyAlignment="1">
      <alignment horizontal="center" vertical="center"/>
    </xf>
    <xf numFmtId="0" fontId="150" fillId="2" borderId="16" xfId="0" applyFont="1" applyFill="1" applyBorder="1" applyAlignment="1">
      <alignment horizontal="center" vertical="center"/>
    </xf>
    <xf numFmtId="0" fontId="150" fillId="2" borderId="39" xfId="0" applyFont="1" applyFill="1" applyBorder="1" applyAlignment="1">
      <alignment horizontal="center" vertical="center"/>
    </xf>
    <xf numFmtId="0" fontId="12" fillId="2" borderId="3" xfId="0" applyFont="1" applyFill="1" applyBorder="1" applyAlignment="1">
      <alignment horizontal="center" vertical="center" wrapText="1"/>
    </xf>
    <xf numFmtId="0" fontId="12" fillId="2" borderId="7" xfId="0" applyFont="1" applyFill="1" applyBorder="1" applyAlignment="1">
      <alignment horizontal="center" vertical="center"/>
    </xf>
    <xf numFmtId="0" fontId="12" fillId="2" borderId="8" xfId="0" applyFont="1" applyFill="1" applyBorder="1" applyAlignment="1">
      <alignment horizontal="center" vertical="center"/>
    </xf>
    <xf numFmtId="0" fontId="12" fillId="2" borderId="9" xfId="0" applyFont="1" applyFill="1" applyBorder="1" applyAlignment="1">
      <alignment horizontal="center" vertical="center"/>
    </xf>
    <xf numFmtId="0" fontId="12" fillId="2" borderId="10"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6" xfId="0" applyFont="1" applyFill="1" applyBorder="1" applyAlignment="1">
      <alignment horizontal="center" vertical="center"/>
    </xf>
    <xf numFmtId="0" fontId="33" fillId="2" borderId="0" xfId="0" applyFont="1" applyFill="1" applyAlignment="1">
      <alignment horizontal="center" vertical="center"/>
    </xf>
    <xf numFmtId="217" fontId="42" fillId="2" borderId="0" xfId="0" applyNumberFormat="1" applyFont="1" applyFill="1" applyAlignment="1">
      <alignment horizontal="center"/>
    </xf>
    <xf numFmtId="0" fontId="12" fillId="2" borderId="7" xfId="0" applyFont="1" applyFill="1" applyBorder="1" applyAlignment="1">
      <alignment horizontal="center" vertical="center" wrapText="1"/>
    </xf>
    <xf numFmtId="0" fontId="12" fillId="2" borderId="18" xfId="0" applyFont="1" applyFill="1" applyBorder="1" applyAlignment="1">
      <alignment horizontal="center" vertical="center" wrapText="1"/>
    </xf>
    <xf numFmtId="0" fontId="12" fillId="2" borderId="8"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2" fillId="2" borderId="6" xfId="0" applyFont="1" applyFill="1" applyBorder="1" applyAlignment="1">
      <alignment horizontal="center" vertical="center" wrapText="1"/>
    </xf>
    <xf numFmtId="0" fontId="38" fillId="2" borderId="0" xfId="0" applyFont="1" applyFill="1" applyAlignment="1">
      <alignment horizontal="right"/>
    </xf>
    <xf numFmtId="0" fontId="18" fillId="2" borderId="0" xfId="0" applyFont="1" applyFill="1" applyAlignment="1">
      <alignment horizontal="center" vertical="center"/>
    </xf>
    <xf numFmtId="216" fontId="12" fillId="2" borderId="0" xfId="1" applyNumberFormat="1" applyFont="1" applyFill="1" applyAlignment="1">
      <alignment horizontal="center"/>
    </xf>
    <xf numFmtId="0" fontId="215" fillId="2" borderId="40" xfId="0" applyFont="1" applyFill="1" applyBorder="1" applyAlignment="1">
      <alignment horizontal="center" vertical="center"/>
    </xf>
    <xf numFmtId="0" fontId="215" fillId="2" borderId="41" xfId="0" applyFont="1" applyFill="1" applyBorder="1" applyAlignment="1">
      <alignment horizontal="center" vertical="center"/>
    </xf>
    <xf numFmtId="0" fontId="215" fillId="2" borderId="39" xfId="0" applyFont="1" applyFill="1" applyBorder="1" applyAlignment="1">
      <alignment horizontal="center" vertical="center"/>
    </xf>
    <xf numFmtId="0" fontId="38" fillId="2" borderId="0" xfId="0" applyFont="1" applyFill="1" applyAlignment="1">
      <alignment horizontal="center" vertical="center"/>
    </xf>
    <xf numFmtId="0" fontId="33" fillId="2" borderId="40" xfId="0" applyFont="1" applyFill="1" applyBorder="1" applyAlignment="1">
      <alignment horizontal="left" vertical="center"/>
    </xf>
    <xf numFmtId="0" fontId="33" fillId="2" borderId="41" xfId="0" applyFont="1" applyFill="1" applyBorder="1" applyAlignment="1">
      <alignment horizontal="left" vertical="center"/>
    </xf>
    <xf numFmtId="0" fontId="33" fillId="2" borderId="39" xfId="0" applyFont="1" applyFill="1" applyBorder="1" applyAlignment="1">
      <alignment horizontal="left" vertical="center"/>
    </xf>
    <xf numFmtId="0" fontId="12" fillId="2" borderId="0" xfId="0" quotePrefix="1" applyFont="1" applyFill="1" applyAlignment="1">
      <alignment horizontal="center" vertical="center"/>
    </xf>
    <xf numFmtId="0" fontId="18" fillId="2" borderId="40" xfId="0" applyFont="1" applyFill="1" applyBorder="1" applyAlignment="1">
      <alignment horizontal="center" vertical="center" shrinkToFit="1"/>
    </xf>
    <xf numFmtId="0" fontId="18" fillId="2" borderId="40" xfId="0" applyFont="1" applyFill="1" applyBorder="1" applyAlignment="1">
      <alignment horizontal="center" vertical="center" wrapText="1"/>
    </xf>
    <xf numFmtId="0" fontId="18" fillId="2" borderId="39" xfId="0" applyFont="1" applyFill="1" applyBorder="1" applyAlignment="1">
      <alignment horizontal="center" vertical="center" wrapText="1"/>
    </xf>
    <xf numFmtId="0" fontId="18" fillId="2" borderId="41" xfId="0" applyFont="1" applyFill="1" applyBorder="1" applyAlignment="1">
      <alignment horizontal="center" vertical="center" wrapText="1"/>
    </xf>
    <xf numFmtId="0" fontId="18" fillId="2" borderId="36" xfId="0" applyFont="1" applyFill="1" applyBorder="1" applyAlignment="1">
      <alignment horizontal="center" vertical="center"/>
    </xf>
    <xf numFmtId="0" fontId="18" fillId="2" borderId="45" xfId="0" applyFont="1" applyFill="1" applyBorder="1" applyAlignment="1">
      <alignment horizontal="center" vertical="center"/>
    </xf>
    <xf numFmtId="0" fontId="18" fillId="2" borderId="11" xfId="0" applyFont="1" applyFill="1" applyBorder="1" applyAlignment="1">
      <alignment horizontal="center" vertical="center"/>
    </xf>
    <xf numFmtId="0" fontId="18" fillId="2" borderId="0" xfId="0" applyFont="1" applyFill="1" applyBorder="1" applyAlignment="1">
      <alignment horizontal="center" vertical="center"/>
    </xf>
    <xf numFmtId="0" fontId="18" fillId="2" borderId="9" xfId="0" applyFont="1" applyFill="1" applyBorder="1" applyAlignment="1">
      <alignment horizontal="center" vertical="center"/>
    </xf>
    <xf numFmtId="0" fontId="18" fillId="2" borderId="1" xfId="0" applyFont="1" applyFill="1" applyBorder="1" applyAlignment="1">
      <alignment horizontal="center" vertical="center"/>
    </xf>
    <xf numFmtId="0" fontId="18" fillId="2" borderId="38" xfId="0" applyFont="1" applyFill="1" applyBorder="1" applyAlignment="1">
      <alignment horizontal="center" vertical="center"/>
    </xf>
    <xf numFmtId="0" fontId="18" fillId="2" borderId="15" xfId="0" applyFont="1" applyFill="1" applyBorder="1" applyAlignment="1">
      <alignment horizontal="center" vertical="center"/>
    </xf>
    <xf numFmtId="0" fontId="18" fillId="2" borderId="6" xfId="0" applyFont="1" applyFill="1" applyBorder="1" applyAlignment="1">
      <alignment horizontal="center" vertical="center"/>
    </xf>
    <xf numFmtId="0" fontId="18" fillId="2" borderId="38" xfId="0" applyFont="1" applyFill="1" applyBorder="1" applyAlignment="1">
      <alignment horizontal="center" vertical="center" wrapText="1"/>
    </xf>
    <xf numFmtId="0" fontId="18" fillId="2" borderId="15"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18" fillId="2" borderId="37" xfId="0" applyFont="1" applyFill="1" applyBorder="1" applyAlignment="1">
      <alignment horizontal="center" vertical="center"/>
    </xf>
    <xf numFmtId="217" fontId="18" fillId="2" borderId="38" xfId="1" applyNumberFormat="1" applyFont="1" applyFill="1" applyBorder="1" applyAlignment="1">
      <alignment horizontal="center" vertical="center" wrapText="1"/>
    </xf>
    <xf numFmtId="0" fontId="33" fillId="2" borderId="4" xfId="0" applyFont="1" applyFill="1" applyBorder="1" applyAlignment="1">
      <alignment horizontal="left" vertical="center"/>
    </xf>
    <xf numFmtId="0" fontId="33" fillId="2" borderId="16" xfId="0" applyFont="1" applyFill="1" applyBorder="1" applyAlignment="1">
      <alignment horizontal="left" vertical="center"/>
    </xf>
    <xf numFmtId="4" fontId="12" fillId="2" borderId="0" xfId="489" applyNumberFormat="1" applyFont="1" applyFill="1" applyAlignment="1">
      <alignment horizontal="center"/>
    </xf>
    <xf numFmtId="0" fontId="12" fillId="2" borderId="0" xfId="489" applyFont="1" applyFill="1" applyAlignment="1">
      <alignment horizontal="center"/>
    </xf>
    <xf numFmtId="0" fontId="12" fillId="2" borderId="0" xfId="489" quotePrefix="1" applyFont="1" applyFill="1" applyAlignment="1">
      <alignment horizontal="center"/>
    </xf>
    <xf numFmtId="0" fontId="33" fillId="2" borderId="0" xfId="489" applyFont="1" applyFill="1" applyAlignment="1">
      <alignment horizontal="center"/>
    </xf>
    <xf numFmtId="0" fontId="15" fillId="2" borderId="0" xfId="489" applyFill="1" applyAlignment="1">
      <alignment horizontal="center"/>
    </xf>
    <xf numFmtId="216" fontId="18" fillId="2" borderId="0" xfId="1" applyNumberFormat="1" applyFont="1" applyFill="1" applyAlignment="1">
      <alignment horizontal="center"/>
    </xf>
    <xf numFmtId="216" fontId="18" fillId="2" borderId="0" xfId="1" applyNumberFormat="1" applyFont="1" applyFill="1" applyBorder="1" applyAlignment="1" applyProtection="1">
      <alignment horizontal="center"/>
    </xf>
    <xf numFmtId="0" fontId="23" fillId="2" borderId="0" xfId="489" applyFont="1" applyFill="1" applyAlignment="1">
      <alignment horizontal="center"/>
    </xf>
    <xf numFmtId="0" fontId="12" fillId="2" borderId="3" xfId="489" applyFont="1" applyFill="1" applyBorder="1" applyAlignment="1">
      <alignment horizontal="center" vertical="center"/>
    </xf>
    <xf numFmtId="0" fontId="150" fillId="2" borderId="40" xfId="489" applyFont="1" applyFill="1" applyBorder="1" applyAlignment="1">
      <alignment horizontal="center" vertical="center"/>
    </xf>
    <xf numFmtId="0" fontId="150" fillId="2" borderId="41" xfId="489" applyFont="1" applyFill="1" applyBorder="1" applyAlignment="1">
      <alignment horizontal="center" vertical="center"/>
    </xf>
    <xf numFmtId="0" fontId="150" fillId="2" borderId="39" xfId="489" applyFont="1" applyFill="1" applyBorder="1" applyAlignment="1">
      <alignment horizontal="center" vertical="center"/>
    </xf>
    <xf numFmtId="0" fontId="38" fillId="2" borderId="0" xfId="527" applyFont="1" applyFill="1" applyAlignment="1">
      <alignment horizontal="right"/>
    </xf>
    <xf numFmtId="0" fontId="216" fillId="2" borderId="0" xfId="527" applyFont="1" applyFill="1" applyAlignment="1">
      <alignment horizontal="center"/>
    </xf>
    <xf numFmtId="0" fontId="23" fillId="0" borderId="0" xfId="638" applyFont="1" applyFill="1" applyAlignment="1">
      <alignment horizontal="center" vertical="center" wrapText="1"/>
    </xf>
    <xf numFmtId="0" fontId="23" fillId="0" borderId="0" xfId="638" applyFont="1" applyFill="1" applyAlignment="1">
      <alignment horizontal="center" vertical="center"/>
    </xf>
    <xf numFmtId="0" fontId="12" fillId="0" borderId="35" xfId="638" applyFont="1" applyFill="1" applyBorder="1" applyAlignment="1">
      <alignment horizontal="center" vertical="center"/>
    </xf>
    <xf numFmtId="0" fontId="12" fillId="0" borderId="35" xfId="638" applyFont="1" applyFill="1" applyBorder="1" applyAlignment="1">
      <alignment horizontal="center" vertical="center" wrapText="1"/>
    </xf>
    <xf numFmtId="187" fontId="12" fillId="0" borderId="35" xfId="633" applyNumberFormat="1" applyFont="1" applyFill="1" applyBorder="1" applyAlignment="1">
      <alignment horizontal="center" vertical="center" wrapText="1"/>
    </xf>
    <xf numFmtId="223" fontId="12" fillId="0" borderId="0" xfId="633" applyNumberFormat="1" applyFont="1" applyFill="1" applyAlignment="1">
      <alignment horizontal="center"/>
    </xf>
    <xf numFmtId="223" fontId="12" fillId="0" borderId="0" xfId="633" quotePrefix="1" applyNumberFormat="1" applyFont="1" applyFill="1" applyAlignment="1">
      <alignment horizontal="center"/>
    </xf>
    <xf numFmtId="0" fontId="33" fillId="0" borderId="0" xfId="638" applyFont="1" applyFill="1" applyAlignment="1">
      <alignment horizontal="center"/>
    </xf>
    <xf numFmtId="0" fontId="12" fillId="0" borderId="0" xfId="638" applyFont="1" applyFill="1" applyAlignment="1">
      <alignment horizontal="center"/>
    </xf>
    <xf numFmtId="0" fontId="216" fillId="0" borderId="0" xfId="638" applyFont="1" applyAlignment="1">
      <alignment horizontal="center" vertical="center"/>
    </xf>
    <xf numFmtId="0" fontId="221" fillId="0" borderId="18" xfId="638" applyFont="1" applyBorder="1" applyAlignment="1">
      <alignment horizontal="center" vertical="center"/>
    </xf>
    <xf numFmtId="0" fontId="31" fillId="0" borderId="0" xfId="638" applyFont="1" applyAlignment="1">
      <alignment horizontal="center" vertical="center"/>
    </xf>
    <xf numFmtId="0" fontId="220" fillId="2" borderId="40" xfId="638" applyFont="1" applyFill="1" applyBorder="1" applyAlignment="1">
      <alignment horizontal="center" vertical="center"/>
    </xf>
    <xf numFmtId="0" fontId="216" fillId="2" borderId="41" xfId="638" applyFont="1" applyFill="1" applyBorder="1" applyAlignment="1">
      <alignment horizontal="center" vertical="center"/>
    </xf>
    <xf numFmtId="0" fontId="216" fillId="2" borderId="39" xfId="638" applyFont="1" applyFill="1" applyBorder="1" applyAlignment="1">
      <alignment horizontal="center" vertical="center"/>
    </xf>
    <xf numFmtId="0" fontId="165" fillId="0" borderId="0" xfId="638" applyFont="1" applyAlignment="1">
      <alignment horizontal="center"/>
    </xf>
    <xf numFmtId="0" fontId="23" fillId="0" borderId="0" xfId="0" applyFont="1" applyAlignment="1">
      <alignment horizontal="center" vertical="center" wrapText="1"/>
    </xf>
    <xf numFmtId="0" fontId="18" fillId="0" borderId="1" xfId="0" applyFont="1" applyBorder="1" applyAlignment="1">
      <alignment horizontal="center" vertical="center"/>
    </xf>
    <xf numFmtId="0" fontId="12" fillId="0" borderId="3" xfId="0" applyFont="1" applyBorder="1" applyAlignment="1">
      <alignment horizontal="center" vertical="center"/>
    </xf>
    <xf numFmtId="0" fontId="150" fillId="0" borderId="40" xfId="0" applyFont="1" applyBorder="1" applyAlignment="1">
      <alignment horizontal="center" vertical="center"/>
    </xf>
    <xf numFmtId="0" fontId="150" fillId="0" borderId="41" xfId="0" applyFont="1" applyBorder="1" applyAlignment="1">
      <alignment horizontal="center" vertical="center"/>
    </xf>
    <xf numFmtId="0" fontId="150" fillId="0" borderId="39" xfId="0" applyFont="1" applyBorder="1" applyAlignment="1">
      <alignment horizontal="center" vertical="center"/>
    </xf>
    <xf numFmtId="0" fontId="38" fillId="0" borderId="0" xfId="0" applyFont="1" applyAlignment="1">
      <alignment horizontal="right"/>
    </xf>
    <xf numFmtId="3" fontId="12" fillId="0" borderId="36" xfId="0" applyNumberFormat="1" applyFont="1" applyBorder="1" applyAlignment="1">
      <alignment horizontal="center" vertical="center" wrapText="1"/>
    </xf>
    <xf numFmtId="3" fontId="12" fillId="0" borderId="37" xfId="0" applyNumberFormat="1" applyFont="1" applyBorder="1" applyAlignment="1">
      <alignment horizontal="center" vertical="center" wrapText="1"/>
    </xf>
    <xf numFmtId="3" fontId="12" fillId="0" borderId="9" xfId="0" applyNumberFormat="1" applyFont="1" applyBorder="1" applyAlignment="1">
      <alignment horizontal="center" vertical="center" wrapText="1"/>
    </xf>
    <xf numFmtId="3" fontId="12" fillId="0" borderId="10" xfId="0" applyNumberFormat="1" applyFont="1" applyBorder="1" applyAlignment="1">
      <alignment horizontal="center" vertical="center" wrapText="1"/>
    </xf>
    <xf numFmtId="3" fontId="12" fillId="0" borderId="40" xfId="0" applyNumberFormat="1" applyFont="1" applyBorder="1" applyAlignment="1">
      <alignment horizontal="center" vertical="center" wrapText="1"/>
    </xf>
    <xf numFmtId="3" fontId="12" fillId="0" borderId="39" xfId="0" applyNumberFormat="1" applyFont="1" applyBorder="1" applyAlignment="1">
      <alignment horizontal="center" vertical="center" wrapText="1"/>
    </xf>
    <xf numFmtId="4" fontId="12" fillId="0" borderId="40" xfId="0" applyNumberFormat="1" applyFont="1" applyBorder="1" applyAlignment="1">
      <alignment horizontal="center" vertical="center"/>
    </xf>
    <xf numFmtId="4" fontId="12" fillId="0" borderId="39" xfId="0" applyNumberFormat="1" applyFont="1" applyBorder="1" applyAlignment="1">
      <alignment horizontal="center" vertical="center"/>
    </xf>
    <xf numFmtId="0" fontId="5" fillId="0" borderId="0" xfId="0" applyFont="1" applyAlignment="1">
      <alignment horizontal="center"/>
    </xf>
    <xf numFmtId="0" fontId="5" fillId="0" borderId="0" xfId="0" quotePrefix="1" applyFont="1" applyAlignment="1">
      <alignment horizontal="center"/>
    </xf>
    <xf numFmtId="0" fontId="10" fillId="0" borderId="0" xfId="0" applyFont="1" applyAlignment="1">
      <alignment horizontal="center"/>
    </xf>
    <xf numFmtId="4" fontId="10" fillId="0" borderId="0" xfId="0" applyNumberFormat="1" applyFont="1" applyAlignment="1">
      <alignment horizontal="center"/>
    </xf>
    <xf numFmtId="3" fontId="12" fillId="0" borderId="3" xfId="0" applyNumberFormat="1" applyFont="1" applyBorder="1" applyAlignment="1">
      <alignment horizontal="center" vertical="center" wrapText="1"/>
    </xf>
    <xf numFmtId="0" fontId="18" fillId="0" borderId="0" xfId="0" applyFont="1" applyAlignment="1">
      <alignment horizontal="center"/>
    </xf>
    <xf numFmtId="4" fontId="18" fillId="0" borderId="0" xfId="0" applyNumberFormat="1" applyFont="1" applyAlignment="1">
      <alignment horizontal="center"/>
    </xf>
    <xf numFmtId="0" fontId="12" fillId="0" borderId="0" xfId="0" applyFont="1" applyAlignment="1">
      <alignment horizontal="center" vertical="center"/>
    </xf>
    <xf numFmtId="4" fontId="12" fillId="0" borderId="0" xfId="0" applyNumberFormat="1" applyFont="1" applyAlignment="1">
      <alignment horizontal="center" vertical="center"/>
    </xf>
    <xf numFmtId="0" fontId="222" fillId="0" borderId="0" xfId="0" applyFont="1" applyAlignment="1">
      <alignment horizontal="center" vertical="center"/>
    </xf>
    <xf numFmtId="0" fontId="9" fillId="0" borderId="0" xfId="0" applyFont="1" applyAlignment="1">
      <alignment horizontal="left"/>
    </xf>
    <xf numFmtId="4" fontId="9" fillId="0" borderId="0" xfId="0" applyNumberFormat="1" applyFont="1" applyAlignment="1">
      <alignment horizontal="center"/>
    </xf>
    <xf numFmtId="0" fontId="222" fillId="0" borderId="0" xfId="0" applyFont="1" applyAlignment="1">
      <alignment horizontal="center"/>
    </xf>
    <xf numFmtId="4" fontId="222" fillId="0" borderId="0" xfId="0" applyNumberFormat="1" applyFont="1" applyAlignment="1">
      <alignment horizontal="center" vertical="center"/>
    </xf>
    <xf numFmtId="0" fontId="12" fillId="0" borderId="2" xfId="0" applyFont="1" applyBorder="1" applyAlignment="1">
      <alignment horizontal="center" vertical="center"/>
    </xf>
    <xf numFmtId="0" fontId="12" fillId="0" borderId="6" xfId="0" applyFont="1" applyBorder="1" applyAlignment="1">
      <alignment horizontal="center" vertical="center"/>
    </xf>
    <xf numFmtId="0" fontId="12" fillId="0" borderId="4" xfId="0" applyFont="1" applyBorder="1" applyAlignment="1">
      <alignment horizontal="center" vertical="center"/>
    </xf>
    <xf numFmtId="0" fontId="12" fillId="0" borderId="16" xfId="0" applyFont="1" applyBorder="1" applyAlignment="1">
      <alignment horizontal="center" vertical="center"/>
    </xf>
    <xf numFmtId="0" fontId="12" fillId="0" borderId="5" xfId="0" applyFont="1" applyBorder="1" applyAlignment="1">
      <alignment horizontal="center" vertical="center"/>
    </xf>
    <xf numFmtId="0" fontId="150" fillId="0" borderId="16" xfId="0" applyFont="1" applyBorder="1" applyAlignment="1">
      <alignment horizontal="center" vertical="center"/>
    </xf>
    <xf numFmtId="0" fontId="38" fillId="0" borderId="45" xfId="0" applyFont="1" applyBorder="1" applyAlignment="1">
      <alignment horizontal="right" vertical="center"/>
    </xf>
    <xf numFmtId="0" fontId="33" fillId="0" borderId="1" xfId="0" applyFont="1" applyBorder="1" applyAlignment="1">
      <alignment horizontal="center" vertical="center"/>
    </xf>
    <xf numFmtId="0" fontId="5" fillId="0" borderId="0" xfId="0" applyFont="1" applyAlignment="1">
      <alignment horizontal="center" vertical="center"/>
    </xf>
    <xf numFmtId="0" fontId="12" fillId="2" borderId="0" xfId="639" applyFont="1" applyFill="1" applyAlignment="1">
      <alignment horizontal="center" vertical="center"/>
    </xf>
    <xf numFmtId="0" fontId="151" fillId="2" borderId="0" xfId="639" applyFont="1" applyFill="1" applyAlignment="1">
      <alignment horizontal="center" vertical="center"/>
    </xf>
    <xf numFmtId="0" fontId="12" fillId="2" borderId="0" xfId="639" quotePrefix="1" applyFont="1" applyFill="1" applyAlignment="1">
      <alignment horizontal="center" vertical="center"/>
    </xf>
    <xf numFmtId="0" fontId="33" fillId="2" borderId="0" xfId="639" applyFont="1" applyFill="1" applyAlignment="1">
      <alignment horizontal="center" vertical="center"/>
    </xf>
    <xf numFmtId="0" fontId="12" fillId="2" borderId="38" xfId="639" applyFont="1" applyFill="1" applyBorder="1" applyAlignment="1">
      <alignment horizontal="center" vertical="center" wrapText="1"/>
    </xf>
    <xf numFmtId="0" fontId="12" fillId="2" borderId="6" xfId="639" applyFont="1" applyFill="1" applyBorder="1" applyAlignment="1">
      <alignment horizontal="center" vertical="center" wrapText="1"/>
    </xf>
    <xf numFmtId="0" fontId="12" fillId="2" borderId="40" xfId="639" applyFont="1" applyFill="1" applyBorder="1" applyAlignment="1">
      <alignment horizontal="center" vertical="center"/>
    </xf>
    <xf numFmtId="0" fontId="12" fillId="2" borderId="39" xfId="639" applyFont="1" applyFill="1" applyBorder="1" applyAlignment="1">
      <alignment horizontal="center" vertical="center"/>
    </xf>
    <xf numFmtId="0" fontId="33" fillId="2" borderId="0" xfId="639" applyFont="1" applyFill="1" applyAlignment="1">
      <alignment horizontal="right" vertical="center"/>
    </xf>
    <xf numFmtId="0" fontId="38" fillId="2" borderId="0" xfId="639" applyFont="1" applyFill="1" applyAlignment="1">
      <alignment horizontal="center" vertical="center"/>
    </xf>
    <xf numFmtId="0" fontId="12" fillId="2" borderId="1" xfId="639" applyFont="1" applyFill="1" applyBorder="1" applyAlignment="1">
      <alignment horizontal="center" vertical="center"/>
    </xf>
    <xf numFmtId="0" fontId="12" fillId="2" borderId="38" xfId="639" applyFont="1" applyFill="1" applyBorder="1" applyAlignment="1">
      <alignment horizontal="center" vertical="center"/>
    </xf>
    <xf numFmtId="0" fontId="12" fillId="2" borderId="6" xfId="639" applyFont="1" applyFill="1" applyBorder="1" applyAlignment="1">
      <alignment horizontal="center" vertical="center"/>
    </xf>
    <xf numFmtId="0" fontId="12" fillId="2" borderId="0" xfId="638" applyFont="1" applyFill="1" applyAlignment="1">
      <alignment horizontal="center" vertical="center"/>
    </xf>
    <xf numFmtId="0" fontId="38" fillId="2" borderId="0" xfId="638" applyFont="1" applyFill="1" applyAlignment="1">
      <alignment horizontal="center" vertical="center"/>
    </xf>
    <xf numFmtId="0" fontId="1" fillId="2" borderId="0" xfId="0" applyFont="1" applyFill="1" applyAlignment="1">
      <alignment horizontal="center"/>
    </xf>
    <xf numFmtId="0" fontId="1" fillId="2" borderId="0" xfId="0" quotePrefix="1" applyFont="1" applyFill="1" applyAlignment="1">
      <alignment horizontal="center"/>
    </xf>
    <xf numFmtId="0" fontId="15" fillId="2" borderId="0" xfId="0" applyFont="1" applyFill="1" applyAlignment="1">
      <alignment horizontal="center" vertical="center"/>
    </xf>
    <xf numFmtId="0" fontId="9" fillId="2" borderId="0" xfId="0" applyFont="1" applyFill="1" applyAlignment="1">
      <alignment horizontal="center" vertical="center"/>
    </xf>
    <xf numFmtId="0" fontId="9" fillId="2" borderId="0" xfId="0" applyFont="1" applyFill="1" applyAlignment="1">
      <alignment horizontal="right"/>
    </xf>
    <xf numFmtId="0" fontId="18" fillId="2" borderId="3" xfId="0" applyFont="1" applyFill="1" applyBorder="1" applyAlignment="1">
      <alignment horizontal="center" vertical="center"/>
    </xf>
    <xf numFmtId="0" fontId="25" fillId="2" borderId="40" xfId="0" applyFont="1" applyFill="1" applyBorder="1" applyAlignment="1">
      <alignment horizontal="center" vertical="center"/>
    </xf>
    <xf numFmtId="0" fontId="25" fillId="2" borderId="41" xfId="0" applyFont="1" applyFill="1" applyBorder="1" applyAlignment="1">
      <alignment horizontal="center" vertical="center"/>
    </xf>
    <xf numFmtId="0" fontId="25" fillId="2" borderId="39" xfId="0" applyFont="1" applyFill="1" applyBorder="1" applyAlignment="1">
      <alignment horizontal="center" vertical="center"/>
    </xf>
    <xf numFmtId="0" fontId="24" fillId="2" borderId="0" xfId="0" applyFont="1" applyFill="1" applyAlignment="1">
      <alignment horizontal="right"/>
    </xf>
    <xf numFmtId="0" fontId="10" fillId="2" borderId="0" xfId="0" applyFont="1" applyFill="1" applyAlignment="1">
      <alignment horizontal="center"/>
    </xf>
    <xf numFmtId="0" fontId="18" fillId="2" borderId="2" xfId="0" applyFont="1" applyFill="1" applyBorder="1" applyAlignment="1">
      <alignment horizontal="center" vertical="center"/>
    </xf>
    <xf numFmtId="0" fontId="18" fillId="2" borderId="2" xfId="0" applyFont="1" applyFill="1" applyBorder="1" applyAlignment="1">
      <alignment horizontal="center" vertical="center" wrapText="1"/>
    </xf>
    <xf numFmtId="0" fontId="18" fillId="2" borderId="7" xfId="0" applyFont="1" applyFill="1" applyBorder="1" applyAlignment="1">
      <alignment horizontal="center" vertical="center"/>
    </xf>
    <xf numFmtId="0" fontId="18" fillId="2" borderId="8" xfId="0" applyFont="1" applyFill="1" applyBorder="1" applyAlignment="1">
      <alignment horizontal="center" vertical="center"/>
    </xf>
    <xf numFmtId="0" fontId="18" fillId="2" borderId="10" xfId="0" applyFont="1" applyFill="1" applyBorder="1" applyAlignment="1">
      <alignment horizontal="center" vertical="center"/>
    </xf>
    <xf numFmtId="0" fontId="17" fillId="2" borderId="0" xfId="0" applyFont="1" applyFill="1" applyAlignment="1">
      <alignment horizontal="center"/>
    </xf>
    <xf numFmtId="0" fontId="9" fillId="2" borderId="0" xfId="0" applyFont="1" applyFill="1" applyAlignment="1">
      <alignment horizontal="center"/>
    </xf>
    <xf numFmtId="0" fontId="158" fillId="0" borderId="35" xfId="634" applyFont="1" applyFill="1" applyBorder="1" applyAlignment="1">
      <alignment horizontal="center" vertical="center"/>
    </xf>
    <xf numFmtId="0" fontId="164" fillId="2" borderId="40" xfId="634" applyFont="1" applyFill="1" applyBorder="1" applyAlignment="1">
      <alignment horizontal="center" vertical="center"/>
    </xf>
    <xf numFmtId="0" fontId="165" fillId="2" borderId="41" xfId="634" applyFont="1" applyFill="1" applyBorder="1" applyAlignment="1">
      <alignment horizontal="center" vertical="center"/>
    </xf>
    <xf numFmtId="0" fontId="165" fillId="2" borderId="39" xfId="634" applyFont="1" applyFill="1" applyBorder="1" applyAlignment="1">
      <alignment horizontal="center" vertical="center"/>
    </xf>
    <xf numFmtId="0" fontId="12" fillId="0" borderId="0" xfId="634" applyFont="1" applyFill="1" applyAlignment="1">
      <alignment horizontal="center" vertical="center" wrapText="1"/>
    </xf>
    <xf numFmtId="0" fontId="142" fillId="0" borderId="0" xfId="634" applyFont="1" applyFill="1" applyAlignment="1">
      <alignment horizontal="center" vertical="center"/>
    </xf>
    <xf numFmtId="223" fontId="158" fillId="0" borderId="0" xfId="633" applyNumberFormat="1" applyFont="1" applyFill="1" applyAlignment="1">
      <alignment horizontal="center"/>
    </xf>
    <xf numFmtId="223" fontId="158" fillId="0" borderId="0" xfId="633" quotePrefix="1" applyNumberFormat="1" applyFont="1" applyFill="1" applyAlignment="1">
      <alignment horizontal="center"/>
    </xf>
    <xf numFmtId="0" fontId="163" fillId="0" borderId="0" xfId="634" applyFont="1" applyFill="1" applyAlignment="1">
      <alignment horizontal="center"/>
    </xf>
    <xf numFmtId="0" fontId="18" fillId="0" borderId="0" xfId="634" applyFont="1" applyFill="1" applyAlignment="1">
      <alignment horizontal="center"/>
    </xf>
    <xf numFmtId="0" fontId="166" fillId="0" borderId="45" xfId="634" applyFont="1" applyBorder="1" applyAlignment="1">
      <alignment horizontal="right"/>
    </xf>
    <xf numFmtId="0" fontId="165" fillId="0" borderId="0" xfId="634" applyFont="1" applyAlignment="1">
      <alignment horizontal="center"/>
    </xf>
    <xf numFmtId="0" fontId="158" fillId="0" borderId="1" xfId="634" applyFont="1" applyFill="1" applyBorder="1" applyAlignment="1">
      <alignment horizontal="center" vertical="center"/>
    </xf>
    <xf numFmtId="0" fontId="158" fillId="0" borderId="38" xfId="634" applyFont="1" applyFill="1" applyBorder="1" applyAlignment="1">
      <alignment horizontal="center" vertical="center" wrapText="1"/>
    </xf>
    <xf numFmtId="0" fontId="158" fillId="0" borderId="6" xfId="634" applyFont="1" applyFill="1" applyBorder="1" applyAlignment="1">
      <alignment horizontal="center" vertical="center" wrapText="1"/>
    </xf>
    <xf numFmtId="0" fontId="158" fillId="0" borderId="35" xfId="634" applyFont="1" applyFill="1" applyBorder="1" applyAlignment="1">
      <alignment horizontal="center" vertical="center" wrapText="1"/>
    </xf>
    <xf numFmtId="187" fontId="158" fillId="0" borderId="35" xfId="633" applyNumberFormat="1" applyFont="1" applyFill="1" applyBorder="1" applyAlignment="1">
      <alignment horizontal="center" vertical="center" wrapText="1"/>
    </xf>
    <xf numFmtId="0" fontId="4" fillId="0" borderId="0" xfId="0" applyFont="1" applyAlignment="1">
      <alignment horizontal="center"/>
    </xf>
    <xf numFmtId="0" fontId="4" fillId="0" borderId="0" xfId="0" quotePrefix="1" applyFont="1" applyAlignment="1">
      <alignment horizontal="center"/>
    </xf>
    <xf numFmtId="0" fontId="131" fillId="2" borderId="0" xfId="0" applyFont="1" applyFill="1" applyAlignment="1">
      <alignment horizontal="center" vertical="center"/>
    </xf>
    <xf numFmtId="0" fontId="11" fillId="2" borderId="0" xfId="0" applyFont="1" applyFill="1" applyAlignment="1">
      <alignment horizontal="center" vertical="center"/>
    </xf>
    <xf numFmtId="0" fontId="158" fillId="2" borderId="0" xfId="0" applyFont="1" applyFill="1" applyAlignment="1">
      <alignment horizontal="center" vertical="center"/>
    </xf>
    <xf numFmtId="0" fontId="12" fillId="0" borderId="0" xfId="0" applyFont="1" applyAlignment="1">
      <alignment horizontal="center" vertical="center" wrapText="1"/>
    </xf>
    <xf numFmtId="0" fontId="9" fillId="0" borderId="3" xfId="0" applyFont="1" applyBorder="1" applyAlignment="1">
      <alignment horizontal="center" vertical="center"/>
    </xf>
    <xf numFmtId="0" fontId="27" fillId="0" borderId="3" xfId="0" applyFont="1" applyBorder="1" applyAlignment="1">
      <alignment horizontal="center" vertical="center"/>
    </xf>
    <xf numFmtId="0" fontId="133" fillId="0" borderId="0" xfId="0" applyFont="1" applyAlignment="1">
      <alignment horizontal="center"/>
    </xf>
    <xf numFmtId="0" fontId="9" fillId="0" borderId="0" xfId="0" applyFont="1" applyAlignment="1">
      <alignment horizontal="center"/>
    </xf>
    <xf numFmtId="3" fontId="9" fillId="0" borderId="3" xfId="0" applyNumberFormat="1" applyFont="1" applyBorder="1" applyAlignment="1">
      <alignment horizontal="center" vertical="center" wrapText="1"/>
    </xf>
    <xf numFmtId="3" fontId="133" fillId="0" borderId="3" xfId="0" applyNumberFormat="1" applyFont="1" applyBorder="1" applyAlignment="1">
      <alignment horizontal="center" vertical="center" wrapText="1"/>
    </xf>
    <xf numFmtId="217" fontId="16" fillId="0" borderId="18" xfId="0" applyNumberFormat="1" applyFont="1" applyBorder="1" applyAlignment="1">
      <alignment horizontal="right"/>
    </xf>
    <xf numFmtId="0" fontId="9" fillId="0" borderId="3" xfId="0" applyFont="1" applyBorder="1" applyAlignment="1">
      <alignment horizontal="center" vertical="center" wrapText="1"/>
    </xf>
    <xf numFmtId="217" fontId="16" fillId="0" borderId="0" xfId="0" applyNumberFormat="1" applyFont="1" applyAlignment="1">
      <alignment horizontal="right"/>
    </xf>
    <xf numFmtId="0" fontId="133" fillId="0" borderId="0" xfId="0" applyFont="1" applyAlignment="1">
      <alignment horizontal="right" vertical="center"/>
    </xf>
    <xf numFmtId="0" fontId="9" fillId="0" borderId="0" xfId="0" applyFont="1" applyAlignment="1">
      <alignment horizontal="right" vertical="center"/>
    </xf>
  </cellXfs>
  <cellStyles count="720">
    <cellStyle name=" Task]_x000d__x000a_TaskName=Scan At_x000d__x000a_TaskID=3_x000d__x000a_WorkstationName=SmarTone_x000d__x000a_LastExecuted=0_x000d__x000a_LastSt" xfId="3"/>
    <cellStyle name="%" xfId="4"/>
    <cellStyle name="0,0_x000d__x000a_NA_x000d__x000a_" xfId="5"/>
    <cellStyle name="20% - Accent1 2" xfId="6"/>
    <cellStyle name="20% - Accent1 3" xfId="7"/>
    <cellStyle name="20% - Accent2 2" xfId="8"/>
    <cellStyle name="20% - Accent2 3" xfId="9"/>
    <cellStyle name="20% - Accent3 2" xfId="10"/>
    <cellStyle name="20% - Accent3 3" xfId="11"/>
    <cellStyle name="20% - Accent4 2" xfId="12"/>
    <cellStyle name="20% - Accent4 3" xfId="13"/>
    <cellStyle name="20% - Accent5 2" xfId="14"/>
    <cellStyle name="20% - Accent5 3" xfId="15"/>
    <cellStyle name="20% - Accent6 2" xfId="16"/>
    <cellStyle name="20% - Accent6 3" xfId="17"/>
    <cellStyle name="40% - Accent1 2" xfId="18"/>
    <cellStyle name="40% - Accent1 3" xfId="19"/>
    <cellStyle name="40% - Accent2 2" xfId="20"/>
    <cellStyle name="40% - Accent2 3" xfId="21"/>
    <cellStyle name="40% - Accent3 2" xfId="22"/>
    <cellStyle name="40% - Accent3 3" xfId="23"/>
    <cellStyle name="40% - Accent4 2" xfId="24"/>
    <cellStyle name="40% - Accent4 3" xfId="25"/>
    <cellStyle name="40% - Accent5 2" xfId="26"/>
    <cellStyle name="40% - Accent5 3" xfId="27"/>
    <cellStyle name="40% - Accent6 2" xfId="28"/>
    <cellStyle name="40% - Accent6 3" xfId="29"/>
    <cellStyle name="60% - Accent1 2" xfId="30"/>
    <cellStyle name="60% - Accent1 3" xfId="31"/>
    <cellStyle name="60% - Accent2 2" xfId="32"/>
    <cellStyle name="60% - Accent2 3" xfId="33"/>
    <cellStyle name="60% - Accent3 2" xfId="34"/>
    <cellStyle name="60% - Accent3 3" xfId="35"/>
    <cellStyle name="60% - Accent4 2" xfId="36"/>
    <cellStyle name="60% - Accent4 3" xfId="37"/>
    <cellStyle name="60% - Accent5 2" xfId="38"/>
    <cellStyle name="60% - Accent5 3" xfId="39"/>
    <cellStyle name="60% - Accent6 2" xfId="40"/>
    <cellStyle name="60% - Accent6 3" xfId="41"/>
    <cellStyle name="9" xfId="648"/>
    <cellStyle name="Accent1 2" xfId="42"/>
    <cellStyle name="Accent1 3" xfId="43"/>
    <cellStyle name="Accent2 2" xfId="44"/>
    <cellStyle name="Accent2 3" xfId="45"/>
    <cellStyle name="Accent3 2" xfId="46"/>
    <cellStyle name="Accent3 3" xfId="47"/>
    <cellStyle name="Accent4 2" xfId="48"/>
    <cellStyle name="Accent4 3" xfId="49"/>
    <cellStyle name="Accent5 2" xfId="50"/>
    <cellStyle name="Accent5 3" xfId="51"/>
    <cellStyle name="Accent6 2" xfId="52"/>
    <cellStyle name="Accent6 3" xfId="53"/>
    <cellStyle name="args.style" xfId="54"/>
    <cellStyle name="ÄÞ¸¶ [0]_±âÅ¸" xfId="55"/>
    <cellStyle name="AÞ¸¶ [0]_INQUIRY ¿?¾÷AßAø " xfId="56"/>
    <cellStyle name="ÄÞ¸¶ [0]_ÿÿÿÿÿÿ" xfId="57"/>
    <cellStyle name="ÄÞ¸¶_±âÅ¸" xfId="58"/>
    <cellStyle name="AÞ¸¶_INQUIRY ¿?¾÷AßAø " xfId="59"/>
    <cellStyle name="ÄÞ¸¶_ÿÿÿÿÿÿ" xfId="60"/>
    <cellStyle name="Bad 2" xfId="61"/>
    <cellStyle name="Bad 3" xfId="62"/>
    <cellStyle name="Body" xfId="63"/>
    <cellStyle name="C?AØ_¿?¾÷CoE² " xfId="64"/>
    <cellStyle name="Ç¥ÁØ_¿ù°£¿ä¾àº¸°í" xfId="65"/>
    <cellStyle name="C￥AØ_¿μ¾÷CoE² " xfId="66"/>
    <cellStyle name="Ç¥ÁØ_°èÈ¹" xfId="67"/>
    <cellStyle name="Calc Currency (0)" xfId="68"/>
    <cellStyle name="Calculation 2" xfId="69"/>
    <cellStyle name="Calculation 2 2" xfId="70"/>
    <cellStyle name="Calculation 3" xfId="71"/>
    <cellStyle name="Comma" xfId="1" builtinId="3"/>
    <cellStyle name="Comma  - Style1" xfId="74"/>
    <cellStyle name="Comma  - Style2" xfId="75"/>
    <cellStyle name="Comma  - Style3" xfId="76"/>
    <cellStyle name="Comma  - Style4" xfId="77"/>
    <cellStyle name="Comma  - Style5" xfId="78"/>
    <cellStyle name="Comma  - Style6" xfId="79"/>
    <cellStyle name="Comma  - Style7" xfId="80"/>
    <cellStyle name="Comma  - Style8" xfId="81"/>
    <cellStyle name="Comma [0] 2" xfId="82"/>
    <cellStyle name="Comma [0] 3" xfId="711"/>
    <cellStyle name="Comma 10" xfId="83"/>
    <cellStyle name="Comma 10 2" xfId="649"/>
    <cellStyle name="Comma 10 3" xfId="650"/>
    <cellStyle name="Comma 11" xfId="84"/>
    <cellStyle name="Comma 11 2" xfId="651"/>
    <cellStyle name="Comma 11 3" xfId="652"/>
    <cellStyle name="Comma 12" xfId="85"/>
    <cellStyle name="Comma 12 2" xfId="653"/>
    <cellStyle name="Comma 12 3" xfId="654"/>
    <cellStyle name="Comma 13" xfId="86"/>
    <cellStyle name="Comma 13 2" xfId="655"/>
    <cellStyle name="Comma 13 3" xfId="656"/>
    <cellStyle name="Comma 14" xfId="87"/>
    <cellStyle name="Comma 14 2" xfId="657"/>
    <cellStyle name="Comma 14 3" xfId="658"/>
    <cellStyle name="Comma 15" xfId="88"/>
    <cellStyle name="Comma 15 2" xfId="659"/>
    <cellStyle name="Comma 15 3" xfId="660"/>
    <cellStyle name="Comma 16" xfId="89"/>
    <cellStyle name="Comma 16 2" xfId="661"/>
    <cellStyle name="Comma 17" xfId="90"/>
    <cellStyle name="Comma 18" xfId="91"/>
    <cellStyle name="Comma 18 2" xfId="707"/>
    <cellStyle name="Comma 19" xfId="92"/>
    <cellStyle name="Comma 2" xfId="93"/>
    <cellStyle name="Comma 2 10" xfId="94"/>
    <cellStyle name="Comma 2 11" xfId="710"/>
    <cellStyle name="Comma 2 2" xfId="95"/>
    <cellStyle name="Comma 2 2 2" xfId="96"/>
    <cellStyle name="Comma 2 2 2 2" xfId="97"/>
    <cellStyle name="Comma 2 2 3" xfId="98"/>
    <cellStyle name="Comma 2 2 4" xfId="99"/>
    <cellStyle name="Comma 2 2 5" xfId="100"/>
    <cellStyle name="Comma 2 2 6" xfId="101"/>
    <cellStyle name="Comma 2 2 6 2" xfId="635"/>
    <cellStyle name="Comma 2 2 6 2 2" xfId="706"/>
    <cellStyle name="Comma 2 2 7" xfId="102"/>
    <cellStyle name="Comma 2 2 8" xfId="636"/>
    <cellStyle name="Comma 2 3" xfId="103"/>
    <cellStyle name="Comma 2 3 2" xfId="104"/>
    <cellStyle name="Comma 2 3 3" xfId="662"/>
    <cellStyle name="Comma 2 4" xfId="105"/>
    <cellStyle name="Comma 2 4 2" xfId="663"/>
    <cellStyle name="Comma 2 4 3" xfId="664"/>
    <cellStyle name="Comma 2 5" xfId="106"/>
    <cellStyle name="Comma 2 5 2" xfId="665"/>
    <cellStyle name="Comma 2 5 3" xfId="666"/>
    <cellStyle name="Comma 2 6" xfId="107"/>
    <cellStyle name="Comma 2 6 2" xfId="667"/>
    <cellStyle name="Comma 2 6 3" xfId="668"/>
    <cellStyle name="Comma 2 7" xfId="108"/>
    <cellStyle name="Comma 2 8" xfId="109"/>
    <cellStyle name="Comma 2 9" xfId="110"/>
    <cellStyle name="Comma 2_NL T12" xfId="669"/>
    <cellStyle name="Comma 20" xfId="111"/>
    <cellStyle name="Comma 21" xfId="112"/>
    <cellStyle name="Comma 21 2" xfId="113"/>
    <cellStyle name="Comma 21 3" xfId="670"/>
    <cellStyle name="Comma 21 4" xfId="671"/>
    <cellStyle name="Comma 22" xfId="626"/>
    <cellStyle name="Comma 23" xfId="645"/>
    <cellStyle name="Comma 24" xfId="672"/>
    <cellStyle name="Comma 25" xfId="637"/>
    <cellStyle name="Comma 25 2" xfId="703"/>
    <cellStyle name="Comma 26" xfId="712"/>
    <cellStyle name="Comma 27" xfId="713"/>
    <cellStyle name="Comma 3" xfId="114"/>
    <cellStyle name="Comma 3 2" xfId="115"/>
    <cellStyle name="Comma 3 2 2" xfId="673"/>
    <cellStyle name="Comma 3 2 3" xfId="674"/>
    <cellStyle name="Comma 3 2 4" xfId="675"/>
    <cellStyle name="Comma 3 2 5" xfId="676"/>
    <cellStyle name="Comma 3 3" xfId="116"/>
    <cellStyle name="Comma 3 4" xfId="117"/>
    <cellStyle name="Comma 3 5" xfId="118"/>
    <cellStyle name="Comma 3 6" xfId="119"/>
    <cellStyle name="Comma 3 7" xfId="633"/>
    <cellStyle name="Comma 3_BÓN PHÂN  2016" xfId="677"/>
    <cellStyle name="Comma 4" xfId="120"/>
    <cellStyle name="Comma 4 2" xfId="121"/>
    <cellStyle name="Comma 4 2 2" xfId="678"/>
    <cellStyle name="Comma 4 2 3" xfId="679"/>
    <cellStyle name="Comma 4 3" xfId="122"/>
    <cellStyle name="Comma 4 3 2" xfId="680"/>
    <cellStyle name="Comma 4 3 3" xfId="681"/>
    <cellStyle name="Comma 4 4" xfId="682"/>
    <cellStyle name="Comma 4 5" xfId="683"/>
    <cellStyle name="Comma 49" xfId="714"/>
    <cellStyle name="Comma 5" xfId="123"/>
    <cellStyle name="Comma 5 2" xfId="684"/>
    <cellStyle name="Comma 5 3" xfId="685"/>
    <cellStyle name="Comma 6" xfId="124"/>
    <cellStyle name="Comma 6 2" xfId="125"/>
    <cellStyle name="Comma 6 3" xfId="686"/>
    <cellStyle name="Comma 60" xfId="704"/>
    <cellStyle name="Comma 7" xfId="126"/>
    <cellStyle name="Comma 7 2" xfId="687"/>
    <cellStyle name="Comma 7 3" xfId="688"/>
    <cellStyle name="Comma 8" xfId="127"/>
    <cellStyle name="Comma 8 2" xfId="128"/>
    <cellStyle name="Comma 8 2 2" xfId="689"/>
    <cellStyle name="Comma 8 2 3" xfId="690"/>
    <cellStyle name="Comma 8 3" xfId="129"/>
    <cellStyle name="Comma 8 3 2" xfId="691"/>
    <cellStyle name="Comma 8 3 3" xfId="692"/>
    <cellStyle name="Comma 8 4" xfId="130"/>
    <cellStyle name="Comma 8 4 2" xfId="693"/>
    <cellStyle name="Comma 8 4 3" xfId="694"/>
    <cellStyle name="Comma 8 5" xfId="695"/>
    <cellStyle name="Comma 8 6" xfId="696"/>
    <cellStyle name="Comma 9" xfId="131"/>
    <cellStyle name="Comma 9 2" xfId="697"/>
    <cellStyle name="Comma 9 3" xfId="698"/>
    <cellStyle name="Comma_Sheet1" xfId="719"/>
    <cellStyle name="Comma_Sheet1 2" xfId="624"/>
    <cellStyle name="Comma_Sheet1 2 2" xfId="716"/>
    <cellStyle name="Comma0" xfId="132"/>
    <cellStyle name="Comma0 2" xfId="628"/>
    <cellStyle name="Copied" xfId="133"/>
    <cellStyle name="Currency 10" xfId="134"/>
    <cellStyle name="Currency 2" xfId="135"/>
    <cellStyle name="Currency 3" xfId="136"/>
    <cellStyle name="Currency 3 2" xfId="137"/>
    <cellStyle name="Currency 4" xfId="138"/>
    <cellStyle name="Currency 4 2" xfId="139"/>
    <cellStyle name="Currency 5" xfId="140"/>
    <cellStyle name="Currency 5 2" xfId="141"/>
    <cellStyle name="Currency 6" xfId="142"/>
    <cellStyle name="Currency 7" xfId="143"/>
    <cellStyle name="Currency 8" xfId="144"/>
    <cellStyle name="Currency 8 2" xfId="145"/>
    <cellStyle name="Currency 9" xfId="146"/>
    <cellStyle name="Currency0" xfId="147"/>
    <cellStyle name="Currency0 2" xfId="629"/>
    <cellStyle name="Check Cell 2" xfId="72"/>
    <cellStyle name="Check Cell 3" xfId="73"/>
    <cellStyle name="Date" xfId="148"/>
    <cellStyle name="Date 2" xfId="630"/>
    <cellStyle name="Dấu_phảy 2" xfId="631"/>
    <cellStyle name="Dezimal [0]_NEGS" xfId="149"/>
    <cellStyle name="Dezimal_NEGS" xfId="150"/>
    <cellStyle name="Entered" xfId="151"/>
    <cellStyle name="Explanatory Text 2" xfId="152"/>
    <cellStyle name="Explanatory Text 3" xfId="153"/>
    <cellStyle name="Fixed" xfId="154"/>
    <cellStyle name="Fixed 2" xfId="632"/>
    <cellStyle name="Good 2" xfId="155"/>
    <cellStyle name="Good 3" xfId="156"/>
    <cellStyle name="Grey" xfId="157"/>
    <cellStyle name="Head 1" xfId="158"/>
    <cellStyle name="Header1" xfId="159"/>
    <cellStyle name="Header2" xfId="160"/>
    <cellStyle name="Heading 1 2" xfId="161"/>
    <cellStyle name="Heading 1 3" xfId="162"/>
    <cellStyle name="Heading 2 2" xfId="163"/>
    <cellStyle name="Heading 2 3" xfId="164"/>
    <cellStyle name="Heading 3 2" xfId="165"/>
    <cellStyle name="Heading 3 3" xfId="166"/>
    <cellStyle name="Heading 4 2" xfId="167"/>
    <cellStyle name="Heading 4 3" xfId="168"/>
    <cellStyle name="HEADINGS" xfId="169"/>
    <cellStyle name="HEADINGSTOP" xfId="170"/>
    <cellStyle name="Hoa-Scholl" xfId="699"/>
    <cellStyle name="Hyperlink 2" xfId="171"/>
    <cellStyle name="Hyperlink 2 2" xfId="172"/>
    <cellStyle name="Hyperlink 3" xfId="173"/>
    <cellStyle name="Hyperlink 4" xfId="174"/>
    <cellStyle name="Hyperlink 5" xfId="175"/>
    <cellStyle name="Input [yellow]" xfId="176"/>
    <cellStyle name="Input 2" xfId="177"/>
    <cellStyle name="Input 2 2" xfId="178"/>
    <cellStyle name="Input 3" xfId="179"/>
    <cellStyle name="Linked Cell 2" xfId="180"/>
    <cellStyle name="Linked Cell 3" xfId="181"/>
    <cellStyle name="Milliers [0]_      " xfId="182"/>
    <cellStyle name="Milliers_      " xfId="183"/>
    <cellStyle name="Monétaire [0]_      " xfId="184"/>
    <cellStyle name="Monétaire_      " xfId="185"/>
    <cellStyle name="Neutral 2" xfId="186"/>
    <cellStyle name="Neutral 3" xfId="187"/>
    <cellStyle name="Normal" xfId="0" builtinId="0"/>
    <cellStyle name="Normal - Style1" xfId="188"/>
    <cellStyle name="Normal 10" xfId="189"/>
    <cellStyle name="Normal 10 2" xfId="190"/>
    <cellStyle name="Normal 10 3" xfId="647"/>
    <cellStyle name="Normal 11" xfId="191"/>
    <cellStyle name="Normal 11 2" xfId="192"/>
    <cellStyle name="Normal 11 3" xfId="193"/>
    <cellStyle name="Normal 12" xfId="194"/>
    <cellStyle name="Normal 12 2" xfId="195"/>
    <cellStyle name="Normal 12 2 2" xfId="196"/>
    <cellStyle name="Normal 12 3" xfId="197"/>
    <cellStyle name="Normal 12 4" xfId="198"/>
    <cellStyle name="Normal 13" xfId="199"/>
    <cellStyle name="Normal 13 2" xfId="200"/>
    <cellStyle name="Normal 14" xfId="201"/>
    <cellStyle name="Normal 15" xfId="202"/>
    <cellStyle name="Normal 15 2" xfId="203"/>
    <cellStyle name="Normal 15 3" xfId="204"/>
    <cellStyle name="Normal 154" xfId="205"/>
    <cellStyle name="Normal 155" xfId="206"/>
    <cellStyle name="Normal 157" xfId="207"/>
    <cellStyle name="Normal 159" xfId="208"/>
    <cellStyle name="Normal 16" xfId="209"/>
    <cellStyle name="Normal 16 2" xfId="700"/>
    <cellStyle name="Normal 160" xfId="210"/>
    <cellStyle name="Normal 161" xfId="211"/>
    <cellStyle name="Normal 163" xfId="212"/>
    <cellStyle name="Normal 164" xfId="213"/>
    <cellStyle name="Normal 165" xfId="214"/>
    <cellStyle name="Normal 166" xfId="215"/>
    <cellStyle name="Normal 167" xfId="216"/>
    <cellStyle name="Normal 168" xfId="217"/>
    <cellStyle name="Normal 169" xfId="218"/>
    <cellStyle name="Normal 17" xfId="219"/>
    <cellStyle name="Normal 170" xfId="220"/>
    <cellStyle name="Normal 171" xfId="221"/>
    <cellStyle name="Normal 172" xfId="222"/>
    <cellStyle name="Normal 173" xfId="223"/>
    <cellStyle name="Normal 174" xfId="224"/>
    <cellStyle name="Normal 175" xfId="225"/>
    <cellStyle name="Normal 176" xfId="226"/>
    <cellStyle name="Normal 177" xfId="227"/>
    <cellStyle name="Normal 178" xfId="228"/>
    <cellStyle name="Normal 179" xfId="229"/>
    <cellStyle name="Normal 18" xfId="230"/>
    <cellStyle name="Normal 180" xfId="231"/>
    <cellStyle name="Normal 181" xfId="232"/>
    <cellStyle name="Normal 182" xfId="233"/>
    <cellStyle name="Normal 183" xfId="234"/>
    <cellStyle name="Normal 184" xfId="235"/>
    <cellStyle name="Normal 185" xfId="236"/>
    <cellStyle name="Normal 186" xfId="237"/>
    <cellStyle name="Normal 187" xfId="238"/>
    <cellStyle name="Normal 188" xfId="239"/>
    <cellStyle name="Normal 189" xfId="240"/>
    <cellStyle name="Normal 19" xfId="241"/>
    <cellStyle name="Normal 190" xfId="242"/>
    <cellStyle name="Normal 191" xfId="243"/>
    <cellStyle name="Normal 192" xfId="244"/>
    <cellStyle name="Normal 193" xfId="245"/>
    <cellStyle name="Normal 194" xfId="246"/>
    <cellStyle name="Normal 195" xfId="247"/>
    <cellStyle name="Normal 196" xfId="248"/>
    <cellStyle name="Normal 2" xfId="249"/>
    <cellStyle name="Normal 2 10" xfId="250"/>
    <cellStyle name="Normal 2 11" xfId="251"/>
    <cellStyle name="Normal 2 12" xfId="627"/>
    <cellStyle name="Normal 2 2" xfId="252"/>
    <cellStyle name="Normal 2 2 10" xfId="253"/>
    <cellStyle name="Normal 2 2 11" xfId="254"/>
    <cellStyle name="Normal 2 2 12" xfId="255"/>
    <cellStyle name="Normal 2 2 13" xfId="638"/>
    <cellStyle name="Normal 2 2 2" xfId="256"/>
    <cellStyle name="Normal 2 2 2 2" xfId="257"/>
    <cellStyle name="Normal 2 2 2 2 2" xfId="258"/>
    <cellStyle name="Normal 2 2 2 2 2 2" xfId="259"/>
    <cellStyle name="Normal 2 2 2 2 2 2 2" xfId="260"/>
    <cellStyle name="Normal 2 2 2 2 2 2 2 2" xfId="261"/>
    <cellStyle name="Normal 2 2 2 2 2 2 2 2 2" xfId="262"/>
    <cellStyle name="Normal 2 2 2 2 2 2 2 2 2 2" xfId="263"/>
    <cellStyle name="Normal 2 2 2 2 2 2 2 2 2 2 2" xfId="264"/>
    <cellStyle name="Normal 2 2 2 2 2 2 2 2 3" xfId="265"/>
    <cellStyle name="Normal 2 2 2 2 2 2 2 2 4" xfId="266"/>
    <cellStyle name="Normal 2 2 2 2 2 2 2 3" xfId="267"/>
    <cellStyle name="Normal 2 2 2 2 2 2 2 3 2" xfId="268"/>
    <cellStyle name="Normal 2 2 2 2 2 2 2 3 2 2" xfId="269"/>
    <cellStyle name="Normal 2 2 2 2 2 2 2 4" xfId="270"/>
    <cellStyle name="Normal 2 2 2 2 2 2 3" xfId="271"/>
    <cellStyle name="Normal 2 2 2 2 2 2 4" xfId="272"/>
    <cellStyle name="Normal 2 2 2 2 2 2 4 2" xfId="273"/>
    <cellStyle name="Normal 2 2 2 2 2 2 4 2 2" xfId="274"/>
    <cellStyle name="Normal 2 2 2 2 2 2 5" xfId="275"/>
    <cellStyle name="Normal 2 2 2 2 2 2 6" xfId="276"/>
    <cellStyle name="Normal 2 2 2 2 2 3" xfId="277"/>
    <cellStyle name="Normal 2 2 2 2 2 3 2" xfId="278"/>
    <cellStyle name="Normal 2 2 2 2 2 3 2 2" xfId="279"/>
    <cellStyle name="Normal 2 2 2 2 2 3 2 2 2" xfId="280"/>
    <cellStyle name="Normal 2 2 2 2 2 3 2 2 2 2" xfId="281"/>
    <cellStyle name="Normal 2 2 2 2 2 3 2 3" xfId="282"/>
    <cellStyle name="Normal 2 2 2 2 2 3 2 4" xfId="283"/>
    <cellStyle name="Normal 2 2 2 2 2 3 3" xfId="284"/>
    <cellStyle name="Normal 2 2 2 2 2 3 3 2" xfId="285"/>
    <cellStyle name="Normal 2 2 2 2 2 3 3 2 2" xfId="286"/>
    <cellStyle name="Normal 2 2 2 2 2 3 4" xfId="287"/>
    <cellStyle name="Normal 2 2 2 2 2 4" xfId="288"/>
    <cellStyle name="Normal 2 2 2 2 2 4 2" xfId="289"/>
    <cellStyle name="Normal 2 2 2 2 2 4 2 2" xfId="290"/>
    <cellStyle name="Normal 2 2 2 2 2 5" xfId="291"/>
    <cellStyle name="Normal 2 2 2 2 2 6" xfId="292"/>
    <cellStyle name="Normal 2 2 2 2 3" xfId="293"/>
    <cellStyle name="Normal 2 2 2 2 3 2" xfId="294"/>
    <cellStyle name="Normal 2 2 2 2 3 2 2" xfId="295"/>
    <cellStyle name="Normal 2 2 2 2 3 2 2 2" xfId="296"/>
    <cellStyle name="Normal 2 2 2 2 3 2 2 2 2" xfId="297"/>
    <cellStyle name="Normal 2 2 2 2 3 2 3" xfId="298"/>
    <cellStyle name="Normal 2 2 2 2 3 2 4" xfId="299"/>
    <cellStyle name="Normal 2 2 2 2 3 3" xfId="300"/>
    <cellStyle name="Normal 2 2 2 2 3 3 2" xfId="301"/>
    <cellStyle name="Normal 2 2 2 2 3 3 2 2" xfId="302"/>
    <cellStyle name="Normal 2 2 2 2 3 4" xfId="303"/>
    <cellStyle name="Normal 2 2 2 2 4" xfId="304"/>
    <cellStyle name="Normal 2 2 2 2 5" xfId="305"/>
    <cellStyle name="Normal 2 2 2 2 5 2" xfId="306"/>
    <cellStyle name="Normal 2 2 2 2 5 2 2" xfId="307"/>
    <cellStyle name="Normal 2 2 2 2 6" xfId="308"/>
    <cellStyle name="Normal 2 2 2 2 7" xfId="309"/>
    <cellStyle name="Normal 2 2 2 3" xfId="310"/>
    <cellStyle name="Normal 2 2 2 3 2" xfId="311"/>
    <cellStyle name="Normal 2 2 2 3 2 2" xfId="312"/>
    <cellStyle name="Normal 2 2 2 3 2 2 2" xfId="313"/>
    <cellStyle name="Normal 2 2 2 3 2 2 2 2" xfId="314"/>
    <cellStyle name="Normal 2 2 2 3 2 2 2 2 2" xfId="315"/>
    <cellStyle name="Normal 2 2 2 3 2 2 3" xfId="316"/>
    <cellStyle name="Normal 2 2 2 3 2 2 4" xfId="317"/>
    <cellStyle name="Normal 2 2 2 3 2 3" xfId="318"/>
    <cellStyle name="Normal 2 2 2 3 2 3 2" xfId="319"/>
    <cellStyle name="Normal 2 2 2 3 2 3 2 2" xfId="320"/>
    <cellStyle name="Normal 2 2 2 3 2 4" xfId="321"/>
    <cellStyle name="Normal 2 2 2 3 3" xfId="322"/>
    <cellStyle name="Normal 2 2 2 3 4" xfId="323"/>
    <cellStyle name="Normal 2 2 2 3 4 2" xfId="324"/>
    <cellStyle name="Normal 2 2 2 3 4 2 2" xfId="325"/>
    <cellStyle name="Normal 2 2 2 3 5" xfId="326"/>
    <cellStyle name="Normal 2 2 2 3 6" xfId="327"/>
    <cellStyle name="Normal 2 2 2 4" xfId="328"/>
    <cellStyle name="Normal 2 2 2 4 2" xfId="329"/>
    <cellStyle name="Normal 2 2 2 4 2 2" xfId="330"/>
    <cellStyle name="Normal 2 2 2 4 2 2 2" xfId="331"/>
    <cellStyle name="Normal 2 2 2 4 2 2 2 2" xfId="332"/>
    <cellStyle name="Normal 2 2 2 4 2 3" xfId="333"/>
    <cellStyle name="Normal 2 2 2 4 2 4" xfId="334"/>
    <cellStyle name="Normal 2 2 2 4 3" xfId="335"/>
    <cellStyle name="Normal 2 2 2 4 3 2" xfId="336"/>
    <cellStyle name="Normal 2 2 2 4 3 2 2" xfId="337"/>
    <cellStyle name="Normal 2 2 2 4 4" xfId="338"/>
    <cellStyle name="Normal 2 2 2 5" xfId="339"/>
    <cellStyle name="Normal 2 2 2 5 2" xfId="340"/>
    <cellStyle name="Normal 2 2 2 5 2 2" xfId="341"/>
    <cellStyle name="Normal 2 2 2 6" xfId="342"/>
    <cellStyle name="Normal 2 2 2 7" xfId="343"/>
    <cellStyle name="Normal 2 2 3" xfId="344"/>
    <cellStyle name="Normal 2 2 3 2" xfId="345"/>
    <cellStyle name="Normal 2 2 3 2 2" xfId="346"/>
    <cellStyle name="Normal 2 2 3 2 2 2" xfId="347"/>
    <cellStyle name="Normal 2 2 3 2 2 2 2" xfId="348"/>
    <cellStyle name="Normal 2 2 3 2 2 2 2 2" xfId="349"/>
    <cellStyle name="Normal 2 2 3 2 2 2 2 2 2" xfId="350"/>
    <cellStyle name="Normal 2 2 3 2 2 2 3" xfId="351"/>
    <cellStyle name="Normal 2 2 3 2 2 2 4" xfId="352"/>
    <cellStyle name="Normal 2 2 3 2 2 3" xfId="353"/>
    <cellStyle name="Normal 2 2 3 2 2 3 2" xfId="354"/>
    <cellStyle name="Normal 2 2 3 2 2 3 2 2" xfId="355"/>
    <cellStyle name="Normal 2 2 3 2 2 4" xfId="356"/>
    <cellStyle name="Normal 2 2 3 2 3" xfId="357"/>
    <cellStyle name="Normal 2 2 3 2 4" xfId="358"/>
    <cellStyle name="Normal 2 2 3 2 4 2" xfId="359"/>
    <cellStyle name="Normal 2 2 3 2 4 2 2" xfId="360"/>
    <cellStyle name="Normal 2 2 3 2 5" xfId="361"/>
    <cellStyle name="Normal 2 2 3 2 6" xfId="362"/>
    <cellStyle name="Normal 2 2 3 3" xfId="363"/>
    <cellStyle name="Normal 2 2 3 3 2" xfId="364"/>
    <cellStyle name="Normal 2 2 3 3 2 2" xfId="365"/>
    <cellStyle name="Normal 2 2 3 3 2 2 2" xfId="366"/>
    <cellStyle name="Normal 2 2 3 3 2 2 2 2" xfId="367"/>
    <cellStyle name="Normal 2 2 3 3 2 3" xfId="368"/>
    <cellStyle name="Normal 2 2 3 3 2 4" xfId="369"/>
    <cellStyle name="Normal 2 2 3 3 3" xfId="370"/>
    <cellStyle name="Normal 2 2 3 3 3 2" xfId="371"/>
    <cellStyle name="Normal 2 2 3 3 3 2 2" xfId="372"/>
    <cellStyle name="Normal 2 2 3 3 4" xfId="373"/>
    <cellStyle name="Normal 2 2 3 4" xfId="374"/>
    <cellStyle name="Normal 2 2 3 4 2" xfId="375"/>
    <cellStyle name="Normal 2 2 3 4 2 2" xfId="376"/>
    <cellStyle name="Normal 2 2 3 5" xfId="377"/>
    <cellStyle name="Normal 2 2 3 6" xfId="378"/>
    <cellStyle name="Normal 2 2 4" xfId="379"/>
    <cellStyle name="Normal 2 2 4 2" xfId="380"/>
    <cellStyle name="Normal 2 2 4 2 2" xfId="381"/>
    <cellStyle name="Normal 2 2 4 2 2 2" xfId="382"/>
    <cellStyle name="Normal 2 2 4 2 2 2 2" xfId="383"/>
    <cellStyle name="Normal 2 2 4 2 3" xfId="384"/>
    <cellStyle name="Normal 2 2 4 2 4" xfId="385"/>
    <cellStyle name="Normal 2 2 4 3" xfId="386"/>
    <cellStyle name="Normal 2 2 4 3 2" xfId="387"/>
    <cellStyle name="Normal 2 2 4 3 2 2" xfId="388"/>
    <cellStyle name="Normal 2 2 4 4" xfId="389"/>
    <cellStyle name="Normal 2 2 5" xfId="390"/>
    <cellStyle name="Normal 2 2 5 2" xfId="391"/>
    <cellStyle name="Normal 2 2 6" xfId="392"/>
    <cellStyle name="Normal 2 2 6 2" xfId="393"/>
    <cellStyle name="Normal 2 2 6 2 2" xfId="394"/>
    <cellStyle name="Normal 2 2 7" xfId="395"/>
    <cellStyle name="Normal 2 2 8" xfId="396"/>
    <cellStyle name="Normal 2 2 9" xfId="397"/>
    <cellStyle name="Normal 2 2_BAO CAO 0 GIO 2016 HOÀI" xfId="398"/>
    <cellStyle name="Normal 2 21" xfId="399"/>
    <cellStyle name="Normal 2 3" xfId="400"/>
    <cellStyle name="Normal 2 3 2" xfId="401"/>
    <cellStyle name="Normal 2 3 2 2" xfId="402"/>
    <cellStyle name="Normal 2 3 2 2 2" xfId="403"/>
    <cellStyle name="Normal 2 3 2 2 2 2" xfId="404"/>
    <cellStyle name="Normal 2 3 2 2 2 2 2" xfId="405"/>
    <cellStyle name="Normal 2 3 2 2 2 2 2 2" xfId="406"/>
    <cellStyle name="Normal 2 3 2 2 2 2 2 2 2" xfId="407"/>
    <cellStyle name="Normal 2 3 2 2 2 2 3" xfId="408"/>
    <cellStyle name="Normal 2 3 2 2 2 2 4" xfId="409"/>
    <cellStyle name="Normal 2 3 2 2 2 3" xfId="410"/>
    <cellStyle name="Normal 2 3 2 2 2 3 2" xfId="411"/>
    <cellStyle name="Normal 2 3 2 2 2 3 2 2" xfId="412"/>
    <cellStyle name="Normal 2 3 2 2 2 4" xfId="413"/>
    <cellStyle name="Normal 2 3 2 2 3" xfId="414"/>
    <cellStyle name="Normal 2 3 2 2 4" xfId="415"/>
    <cellStyle name="Normal 2 3 2 2 4 2" xfId="416"/>
    <cellStyle name="Normal 2 3 2 2 4 2 2" xfId="417"/>
    <cellStyle name="Normal 2 3 2 2 5" xfId="418"/>
    <cellStyle name="Normal 2 3 2 2 6" xfId="419"/>
    <cellStyle name="Normal 2 3 2 3" xfId="420"/>
    <cellStyle name="Normal 2 3 2 3 2" xfId="421"/>
    <cellStyle name="Normal 2 3 2 3 2 2" xfId="422"/>
    <cellStyle name="Normal 2 3 2 3 2 2 2" xfId="423"/>
    <cellStyle name="Normal 2 3 2 3 2 2 2 2" xfId="424"/>
    <cellStyle name="Normal 2 3 2 3 2 3" xfId="425"/>
    <cellStyle name="Normal 2 3 2 3 2 4" xfId="426"/>
    <cellStyle name="Normal 2 3 2 3 3" xfId="427"/>
    <cellStyle name="Normal 2 3 2 3 3 2" xfId="428"/>
    <cellStyle name="Normal 2 3 2 3 3 2 2" xfId="429"/>
    <cellStyle name="Normal 2 3 2 3 4" xfId="430"/>
    <cellStyle name="Normal 2 3 2 4" xfId="431"/>
    <cellStyle name="Normal 2 3 2 4 2" xfId="432"/>
    <cellStyle name="Normal 2 3 2 4 2 2" xfId="433"/>
    <cellStyle name="Normal 2 3 2 5" xfId="434"/>
    <cellStyle name="Normal 2 3 2 6" xfId="435"/>
    <cellStyle name="Normal 2 3 3" xfId="436"/>
    <cellStyle name="Normal 2 3 3 2" xfId="437"/>
    <cellStyle name="Normal 2 3 3 2 2" xfId="438"/>
    <cellStyle name="Normal 2 3 3 2 2 2" xfId="439"/>
    <cellStyle name="Normal 2 3 3 2 2 2 2" xfId="440"/>
    <cellStyle name="Normal 2 3 3 2 3" xfId="441"/>
    <cellStyle name="Normal 2 3 3 2 4" xfId="442"/>
    <cellStyle name="Normal 2 3 3 3" xfId="443"/>
    <cellStyle name="Normal 2 3 3 3 2" xfId="444"/>
    <cellStyle name="Normal 2 3 3 3 2 2" xfId="445"/>
    <cellStyle name="Normal 2 3 3 4" xfId="446"/>
    <cellStyle name="Normal 2 3 4" xfId="447"/>
    <cellStyle name="Normal 2 3 5" xfId="448"/>
    <cellStyle name="Normal 2 3 5 2" xfId="449"/>
    <cellStyle name="Normal 2 3 5 2 2" xfId="450"/>
    <cellStyle name="Normal 2 3 6" xfId="451"/>
    <cellStyle name="Normal 2 3 7" xfId="452"/>
    <cellStyle name="Normal 2 4" xfId="453"/>
    <cellStyle name="Normal 2 4 2" xfId="454"/>
    <cellStyle name="Normal 2 4 2 2" xfId="455"/>
    <cellStyle name="Normal 2 4 2 2 2" xfId="456"/>
    <cellStyle name="Normal 2 4 2 2 2 2" xfId="457"/>
    <cellStyle name="Normal 2 4 2 2 2 2 2" xfId="458"/>
    <cellStyle name="Normal 2 4 2 2 3" xfId="459"/>
    <cellStyle name="Normal 2 4 2 2 4" xfId="460"/>
    <cellStyle name="Normal 2 4 2 3" xfId="461"/>
    <cellStyle name="Normal 2 4 2 3 2" xfId="462"/>
    <cellStyle name="Normal 2 4 2 3 2 2" xfId="463"/>
    <cellStyle name="Normal 2 4 2 4" xfId="464"/>
    <cellStyle name="Normal 2 4 3" xfId="465"/>
    <cellStyle name="Normal 2 4 4" xfId="466"/>
    <cellStyle name="Normal 2 4 4 2" xfId="467"/>
    <cellStyle name="Normal 2 4 4 2 2" xfId="468"/>
    <cellStyle name="Normal 2 4 5" xfId="469"/>
    <cellStyle name="Normal 2 4 6" xfId="470"/>
    <cellStyle name="Normal 2 5" xfId="471"/>
    <cellStyle name="Normal 2 5 2" xfId="472"/>
    <cellStyle name="Normal 2 5 2 2" xfId="473"/>
    <cellStyle name="Normal 2 5 2 2 2" xfId="474"/>
    <cellStyle name="Normal 2 5 2 2 2 2" xfId="475"/>
    <cellStyle name="Normal 2 5 2 3" xfId="476"/>
    <cellStyle name="Normal 2 5 2 4" xfId="477"/>
    <cellStyle name="Normal 2 5 3" xfId="478"/>
    <cellStyle name="Normal 2 5 3 2" xfId="479"/>
    <cellStyle name="Normal 2 5 3 2 2" xfId="480"/>
    <cellStyle name="Normal 2 5 4" xfId="481"/>
    <cellStyle name="Normal 2 6" xfId="482"/>
    <cellStyle name="Normal 2 6 2" xfId="483"/>
    <cellStyle name="Normal 2 6 2 2" xfId="484"/>
    <cellStyle name="Normal 2 7" xfId="485"/>
    <cellStyle name="Normal 2 8" xfId="486"/>
    <cellStyle name="Normal 2 9" xfId="487"/>
    <cellStyle name="Normal 2_BAO CAO VAT TU KHAI THAC TO7" xfId="701"/>
    <cellStyle name="Normal 20" xfId="488"/>
    <cellStyle name="Normal 20 2" xfId="646"/>
    <cellStyle name="Normal 21" xfId="489"/>
    <cellStyle name="Normal 21 2" xfId="708"/>
    <cellStyle name="Normal 22" xfId="490"/>
    <cellStyle name="Normal 23" xfId="491"/>
    <cellStyle name="Normal 24" xfId="492"/>
    <cellStyle name="Normal 25" xfId="493"/>
    <cellStyle name="Normal 25 2" xfId="494"/>
    <cellStyle name="Normal 26" xfId="495"/>
    <cellStyle name="Normal 26 2" xfId="639"/>
    <cellStyle name="Normal 27" xfId="622"/>
    <cellStyle name="Normal 28" xfId="634"/>
    <cellStyle name="Normal 29" xfId="643"/>
    <cellStyle name="Normal 3" xfId="496"/>
    <cellStyle name="Normal 3 10" xfId="497"/>
    <cellStyle name="Normal 3 2" xfId="498"/>
    <cellStyle name="Normal 3 2 2" xfId="499"/>
    <cellStyle name="Normal 3 2 2 2" xfId="500"/>
    <cellStyle name="Normal 3 2 3" xfId="501"/>
    <cellStyle name="Normal 3 2 4" xfId="502"/>
    <cellStyle name="Normal 3 3" xfId="503"/>
    <cellStyle name="Normal 3 3 2" xfId="504"/>
    <cellStyle name="Normal 3 4" xfId="505"/>
    <cellStyle name="Normal 3 4 2" xfId="506"/>
    <cellStyle name="Normal 3 5" xfId="507"/>
    <cellStyle name="Normal 3 6" xfId="508"/>
    <cellStyle name="Normal 3 7" xfId="509"/>
    <cellStyle name="Normal 3 8" xfId="510"/>
    <cellStyle name="Normal 3 9" xfId="511"/>
    <cellStyle name="Normal 3_BAO CAO 0 GIO 2016 HOÀI" xfId="512"/>
    <cellStyle name="Normal 30" xfId="705"/>
    <cellStyle name="Normal 31" xfId="715"/>
    <cellStyle name="Normal 38" xfId="513"/>
    <cellStyle name="Normal 4" xfId="514"/>
    <cellStyle name="Normal 4 10" xfId="641"/>
    <cellStyle name="Normal 4 2" xfId="515"/>
    <cellStyle name="Normal 4 2 2" xfId="516"/>
    <cellStyle name="Normal 4 2 2 2" xfId="517"/>
    <cellStyle name="Normal 4 2 3" xfId="518"/>
    <cellStyle name="Normal 4 2 4" xfId="519"/>
    <cellStyle name="Normal 4 2 5" xfId="644"/>
    <cellStyle name="Normal 4 2 6" xfId="702"/>
    <cellStyle name="Normal 4 3" xfId="520"/>
    <cellStyle name="Normal 4 3 2" xfId="521"/>
    <cellStyle name="Normal 4 4" xfId="522"/>
    <cellStyle name="Normal 4 4 2" xfId="523"/>
    <cellStyle name="Normal 4 5" xfId="524"/>
    <cellStyle name="Normal 4 6" xfId="525"/>
    <cellStyle name="Normal 4 7" xfId="526"/>
    <cellStyle name="Normal 4 7 2" xfId="527"/>
    <cellStyle name="Normal 4 7 3" xfId="709"/>
    <cellStyle name="Normal 4 8" xfId="528"/>
    <cellStyle name="Normal 4 9" xfId="529"/>
    <cellStyle name="Normal 4_BAO CAO 0 GIO 2016 HOÀI" xfId="530"/>
    <cellStyle name="Normal 45" xfId="531"/>
    <cellStyle name="Normal 5" xfId="532"/>
    <cellStyle name="Normal 5 2" xfId="533"/>
    <cellStyle name="Normal 5 2 2" xfId="534"/>
    <cellStyle name="Normal 5 3" xfId="535"/>
    <cellStyle name="Normal 5 4" xfId="536"/>
    <cellStyle name="Normal 5 5" xfId="537"/>
    <cellStyle name="Normal 5 6" xfId="538"/>
    <cellStyle name="Normal 5 7" xfId="539"/>
    <cellStyle name="Normal 6" xfId="540"/>
    <cellStyle name="Normal 6 2" xfId="541"/>
    <cellStyle name="Normal 6 2 2" xfId="542"/>
    <cellStyle name="Normal 6 2 3" xfId="543"/>
    <cellStyle name="Normal 6 3" xfId="544"/>
    <cellStyle name="Normal 6 4" xfId="545"/>
    <cellStyle name="Normal 6 5" xfId="546"/>
    <cellStyle name="Normal 6 6" xfId="547"/>
    <cellStyle name="Normal 7" xfId="548"/>
    <cellStyle name="Normal 7 2" xfId="549"/>
    <cellStyle name="Normal 7 3" xfId="550"/>
    <cellStyle name="Normal 7 4" xfId="551"/>
    <cellStyle name="Normal 7 5" xfId="552"/>
    <cellStyle name="Normal 8" xfId="553"/>
    <cellStyle name="Normal 8 2" xfId="554"/>
    <cellStyle name="Normal 8 2 2" xfId="555"/>
    <cellStyle name="Normal 8 3" xfId="556"/>
    <cellStyle name="Normal 9" xfId="557"/>
    <cellStyle name="Normal 9 2" xfId="558"/>
    <cellStyle name="Normal 9_BAO CAO 0 GIO 2016 HOÀI" xfId="559"/>
    <cellStyle name="Normal_KE HOACH SAN XUAT HANG THANG NAM 2016" xfId="560"/>
    <cellStyle name="Normal_KE HOACH SAN XUAT HANG THANG NAM 2016 2" xfId="642"/>
    <cellStyle name="Normal_Sheet1 2" xfId="717"/>
    <cellStyle name="Normal_Sheet1 3" xfId="623"/>
    <cellStyle name="Normal_Sheet1 4" xfId="640"/>
    <cellStyle name="Note 2" xfId="561"/>
    <cellStyle name="Note 2 2" xfId="562"/>
    <cellStyle name="Note 2 3" xfId="563"/>
    <cellStyle name="Note 3" xfId="564"/>
    <cellStyle name="Output 2" xfId="565"/>
    <cellStyle name="Output 2 2" xfId="566"/>
    <cellStyle name="Output 3" xfId="567"/>
    <cellStyle name="per.style" xfId="568"/>
    <cellStyle name="Percent" xfId="2" builtinId="5"/>
    <cellStyle name="Percent [2]" xfId="569"/>
    <cellStyle name="Percent 10" xfId="570"/>
    <cellStyle name="Percent 11" xfId="571"/>
    <cellStyle name="Percent 12" xfId="572"/>
    <cellStyle name="Percent 13" xfId="573"/>
    <cellStyle name="Percent 14" xfId="625"/>
    <cellStyle name="Percent 15" xfId="718"/>
    <cellStyle name="Percent 2" xfId="574"/>
    <cellStyle name="Percent 2 2" xfId="575"/>
    <cellStyle name="Percent 2 3" xfId="576"/>
    <cellStyle name="Percent 2 4" xfId="577"/>
    <cellStyle name="Percent 3" xfId="578"/>
    <cellStyle name="Percent 4" xfId="579"/>
    <cellStyle name="Percent 5" xfId="580"/>
    <cellStyle name="Percent 6" xfId="581"/>
    <cellStyle name="Percent 7" xfId="582"/>
    <cellStyle name="Percent 8" xfId="583"/>
    <cellStyle name="Percent 9" xfId="584"/>
    <cellStyle name="PERCENTAGE" xfId="585"/>
    <cellStyle name="regstoresfromspecstores" xfId="586"/>
    <cellStyle name="RevList" xfId="587"/>
    <cellStyle name="ri" xfId="588"/>
    <cellStyle name="ri 2" xfId="589"/>
    <cellStyle name="ri_tb2_1" xfId="590"/>
    <cellStyle name="SHADEDSTORES" xfId="591"/>
    <cellStyle name="specstores" xfId="592"/>
    <cellStyle name="Standard_NEGS" xfId="593"/>
    <cellStyle name="Style 1" xfId="594"/>
    <cellStyle name="Style 1 2" xfId="595"/>
    <cellStyle name="Subtotal" xfId="596"/>
    <cellStyle name="Title 2" xfId="597"/>
    <cellStyle name="Title 3" xfId="598"/>
    <cellStyle name="Total 2" xfId="599"/>
    <cellStyle name="Total 2 2" xfId="600"/>
    <cellStyle name="Total 3" xfId="601"/>
    <cellStyle name="trang" xfId="602"/>
    <cellStyle name="Warning Text 2" xfId="603"/>
    <cellStyle name="Warning Text 3" xfId="604"/>
    <cellStyle name="똿뗦먛귟 [0.00]_PRODUCT DETAIL Q1" xfId="605"/>
    <cellStyle name="똿뗦먛귟_PRODUCT DETAIL Q1" xfId="606"/>
    <cellStyle name="믅됞 [0.00]_PRODUCT DETAIL Q1" xfId="607"/>
    <cellStyle name="믅됞_PRODUCT DETAIL Q1" xfId="608"/>
    <cellStyle name="백분율_95" xfId="609"/>
    <cellStyle name="뷭?_BOOKSHIP" xfId="610"/>
    <cellStyle name="콤마 [0]_1202" xfId="611"/>
    <cellStyle name="콤마_1202" xfId="612"/>
    <cellStyle name="통화 [0]_1202" xfId="613"/>
    <cellStyle name="통화_1202" xfId="614"/>
    <cellStyle name="표준_(정보부문)월별인원계획" xfId="615"/>
    <cellStyle name="一般_Book1" xfId="616"/>
    <cellStyle name="千分位[0]_Book1" xfId="617"/>
    <cellStyle name="千分位_Book1" xfId="618"/>
    <cellStyle name="貨幣 [0]_Book1" xfId="619"/>
    <cellStyle name="貨幣_Book1" xfId="620"/>
    <cellStyle name="㼿㼿㼿㼿㼿㼿㼿㼿㼿㼿㼿㼿㼿㼿㼿㼿㼿㼿?" xfId="621"/>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1143487</xdr:colOff>
      <xdr:row>4</xdr:row>
      <xdr:rowOff>190500</xdr:rowOff>
    </xdr:from>
    <xdr:to>
      <xdr:col>1</xdr:col>
      <xdr:colOff>2452140</xdr:colOff>
      <xdr:row>4</xdr:row>
      <xdr:rowOff>190500</xdr:rowOff>
    </xdr:to>
    <xdr:cxnSp macro="">
      <xdr:nvCxnSpPr>
        <xdr:cNvPr id="2" name="Straight Connector 1"/>
        <xdr:cNvCxnSpPr/>
      </xdr:nvCxnSpPr>
      <xdr:spPr>
        <a:xfrm>
          <a:off x="1553062" y="1019175"/>
          <a:ext cx="130865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21</xdr:col>
      <xdr:colOff>238125</xdr:colOff>
      <xdr:row>2</xdr:row>
      <xdr:rowOff>31750</xdr:rowOff>
    </xdr:from>
    <xdr:to>
      <xdr:col>25</xdr:col>
      <xdr:colOff>301625</xdr:colOff>
      <xdr:row>2</xdr:row>
      <xdr:rowOff>31750</xdr:rowOff>
    </xdr:to>
    <xdr:cxnSp macro="">
      <xdr:nvCxnSpPr>
        <xdr:cNvPr id="3" name="Straight Connector 2">
          <a:extLst>
            <a:ext uri="{FF2B5EF4-FFF2-40B4-BE49-F238E27FC236}">
              <a16:creationId xmlns:a16="http://schemas.microsoft.com/office/drawing/2014/main" xmlns="" id="{00000000-0008-0000-1600-000003000000}"/>
            </a:ext>
          </a:extLst>
        </xdr:cNvPr>
        <xdr:cNvCxnSpPr/>
      </xdr:nvCxnSpPr>
      <xdr:spPr>
        <a:xfrm>
          <a:off x="12639675" y="412750"/>
          <a:ext cx="24257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848876</xdr:colOff>
      <xdr:row>5</xdr:row>
      <xdr:rowOff>29307</xdr:rowOff>
    </xdr:from>
    <xdr:to>
      <xdr:col>1</xdr:col>
      <xdr:colOff>1779394</xdr:colOff>
      <xdr:row>5</xdr:row>
      <xdr:rowOff>29307</xdr:rowOff>
    </xdr:to>
    <xdr:cxnSp macro="">
      <xdr:nvCxnSpPr>
        <xdr:cNvPr id="4" name="Straight Connector 3"/>
        <xdr:cNvCxnSpPr/>
      </xdr:nvCxnSpPr>
      <xdr:spPr>
        <a:xfrm>
          <a:off x="1665305" y="1049843"/>
          <a:ext cx="9305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95254</xdr:colOff>
      <xdr:row>5</xdr:row>
      <xdr:rowOff>54428</xdr:rowOff>
    </xdr:from>
    <xdr:to>
      <xdr:col>6</xdr:col>
      <xdr:colOff>108861</xdr:colOff>
      <xdr:row>5</xdr:row>
      <xdr:rowOff>54428</xdr:rowOff>
    </xdr:to>
    <xdr:cxnSp macro="">
      <xdr:nvCxnSpPr>
        <xdr:cNvPr id="2" name="Straight Connector 1"/>
        <xdr:cNvCxnSpPr/>
      </xdr:nvCxnSpPr>
      <xdr:spPr>
        <a:xfrm>
          <a:off x="3167067" y="2149928"/>
          <a:ext cx="137091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11206</xdr:colOff>
      <xdr:row>5</xdr:row>
      <xdr:rowOff>56029</xdr:rowOff>
    </xdr:from>
    <xdr:to>
      <xdr:col>6</xdr:col>
      <xdr:colOff>56029</xdr:colOff>
      <xdr:row>5</xdr:row>
      <xdr:rowOff>56029</xdr:rowOff>
    </xdr:to>
    <xdr:cxnSp macro="">
      <xdr:nvCxnSpPr>
        <xdr:cNvPr id="4" name="Straight Connector 3"/>
        <xdr:cNvCxnSpPr/>
      </xdr:nvCxnSpPr>
      <xdr:spPr>
        <a:xfrm>
          <a:off x="1490382" y="1512794"/>
          <a:ext cx="125505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152807</xdr:colOff>
      <xdr:row>5</xdr:row>
      <xdr:rowOff>10187</xdr:rowOff>
    </xdr:from>
    <xdr:to>
      <xdr:col>6</xdr:col>
      <xdr:colOff>264866</xdr:colOff>
      <xdr:row>5</xdr:row>
      <xdr:rowOff>10187</xdr:rowOff>
    </xdr:to>
    <xdr:cxnSp macro="">
      <xdr:nvCxnSpPr>
        <xdr:cNvPr id="2" name="Straight Connector 1"/>
        <xdr:cNvCxnSpPr/>
      </xdr:nvCxnSpPr>
      <xdr:spPr>
        <a:xfrm>
          <a:off x="2619782" y="1553237"/>
          <a:ext cx="1397934"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109682</xdr:colOff>
      <xdr:row>5</xdr:row>
      <xdr:rowOff>18762</xdr:rowOff>
    </xdr:from>
    <xdr:to>
      <xdr:col>7</xdr:col>
      <xdr:colOff>127000</xdr:colOff>
      <xdr:row>5</xdr:row>
      <xdr:rowOff>18762</xdr:rowOff>
    </xdr:to>
    <xdr:cxnSp macro="">
      <xdr:nvCxnSpPr>
        <xdr:cNvPr id="2" name="Straight Connector 1"/>
        <xdr:cNvCxnSpPr/>
      </xdr:nvCxnSpPr>
      <xdr:spPr>
        <a:xfrm>
          <a:off x="2624282" y="1571337"/>
          <a:ext cx="15413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4</xdr:col>
      <xdr:colOff>234536</xdr:colOff>
      <xdr:row>5</xdr:row>
      <xdr:rowOff>27215</xdr:rowOff>
    </xdr:from>
    <xdr:to>
      <xdr:col>7</xdr:col>
      <xdr:colOff>174454</xdr:colOff>
      <xdr:row>5</xdr:row>
      <xdr:rowOff>27215</xdr:rowOff>
    </xdr:to>
    <xdr:cxnSp macro="">
      <xdr:nvCxnSpPr>
        <xdr:cNvPr id="2" name="Straight Connector 1"/>
        <xdr:cNvCxnSpPr/>
      </xdr:nvCxnSpPr>
      <xdr:spPr>
        <a:xfrm>
          <a:off x="2796761" y="1341665"/>
          <a:ext cx="11972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8.xml><?xml version="1.0" encoding="utf-8"?>
<xdr:wsDr xmlns:xdr="http://schemas.openxmlformats.org/drawingml/2006/spreadsheetDrawing" xmlns:a="http://schemas.openxmlformats.org/drawingml/2006/main">
  <xdr:twoCellAnchor>
    <xdr:from>
      <xdr:col>4</xdr:col>
      <xdr:colOff>938893</xdr:colOff>
      <xdr:row>5</xdr:row>
      <xdr:rowOff>27214</xdr:rowOff>
    </xdr:from>
    <xdr:to>
      <xdr:col>6</xdr:col>
      <xdr:colOff>190500</xdr:colOff>
      <xdr:row>5</xdr:row>
      <xdr:rowOff>27214</xdr:rowOff>
    </xdr:to>
    <xdr:cxnSp macro="">
      <xdr:nvCxnSpPr>
        <xdr:cNvPr id="2" name="Straight Connector 1"/>
        <xdr:cNvCxnSpPr/>
      </xdr:nvCxnSpPr>
      <xdr:spPr>
        <a:xfrm>
          <a:off x="2843893" y="1047750"/>
          <a:ext cx="1129393"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488259</xdr:colOff>
      <xdr:row>5</xdr:row>
      <xdr:rowOff>17610</xdr:rowOff>
    </xdr:from>
    <xdr:to>
      <xdr:col>2</xdr:col>
      <xdr:colOff>118464</xdr:colOff>
      <xdr:row>5</xdr:row>
      <xdr:rowOff>17610</xdr:rowOff>
    </xdr:to>
    <xdr:cxnSp macro="">
      <xdr:nvCxnSpPr>
        <xdr:cNvPr id="2" name="Straight Connector 1"/>
        <xdr:cNvCxnSpPr/>
      </xdr:nvCxnSpPr>
      <xdr:spPr>
        <a:xfrm>
          <a:off x="855652" y="1078967"/>
          <a:ext cx="108616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0.xml><?xml version="1.0" encoding="utf-8"?>
<xdr:wsDr xmlns:xdr="http://schemas.openxmlformats.org/drawingml/2006/spreadsheetDrawing" xmlns:a="http://schemas.openxmlformats.org/drawingml/2006/main">
  <xdr:twoCellAnchor>
    <xdr:from>
      <xdr:col>3</xdr:col>
      <xdr:colOff>246452</xdr:colOff>
      <xdr:row>5</xdr:row>
      <xdr:rowOff>22409</xdr:rowOff>
    </xdr:from>
    <xdr:to>
      <xdr:col>5</xdr:col>
      <xdr:colOff>273426</xdr:colOff>
      <xdr:row>5</xdr:row>
      <xdr:rowOff>22409</xdr:rowOff>
    </xdr:to>
    <xdr:cxnSp macro="">
      <xdr:nvCxnSpPr>
        <xdr:cNvPr id="2" name="Straight Connector 1"/>
        <xdr:cNvCxnSpPr/>
      </xdr:nvCxnSpPr>
      <xdr:spPr>
        <a:xfrm>
          <a:off x="1759246" y="1142997"/>
          <a:ext cx="1046709"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1.xml><?xml version="1.0" encoding="utf-8"?>
<xdr:wsDr xmlns:xdr="http://schemas.openxmlformats.org/drawingml/2006/spreadsheetDrawing" xmlns:a="http://schemas.openxmlformats.org/drawingml/2006/main">
  <xdr:twoCellAnchor>
    <xdr:from>
      <xdr:col>3</xdr:col>
      <xdr:colOff>1079046</xdr:colOff>
      <xdr:row>5</xdr:row>
      <xdr:rowOff>9525</xdr:rowOff>
    </xdr:from>
    <xdr:to>
      <xdr:col>5</xdr:col>
      <xdr:colOff>421821</xdr:colOff>
      <xdr:row>5</xdr:row>
      <xdr:rowOff>9525</xdr:rowOff>
    </xdr:to>
    <xdr:cxnSp macro="">
      <xdr:nvCxnSpPr>
        <xdr:cNvPr id="2" name="Straight Connector 1"/>
        <xdr:cNvCxnSpPr/>
      </xdr:nvCxnSpPr>
      <xdr:spPr>
        <a:xfrm>
          <a:off x="1473653" y="1234168"/>
          <a:ext cx="11525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2.xml><?xml version="1.0" encoding="utf-8"?>
<xdr:wsDr xmlns:xdr="http://schemas.openxmlformats.org/drawingml/2006/spreadsheetDrawing" xmlns:a="http://schemas.openxmlformats.org/drawingml/2006/main">
  <xdr:twoCellAnchor>
    <xdr:from>
      <xdr:col>4</xdr:col>
      <xdr:colOff>794908</xdr:colOff>
      <xdr:row>5</xdr:row>
      <xdr:rowOff>237</xdr:rowOff>
    </xdr:from>
    <xdr:to>
      <xdr:col>6</xdr:col>
      <xdr:colOff>340177</xdr:colOff>
      <xdr:row>5</xdr:row>
      <xdr:rowOff>237</xdr:rowOff>
    </xdr:to>
    <xdr:cxnSp macro="">
      <xdr:nvCxnSpPr>
        <xdr:cNvPr id="2" name="Straight Connector 1"/>
        <xdr:cNvCxnSpPr/>
      </xdr:nvCxnSpPr>
      <xdr:spPr>
        <a:xfrm>
          <a:off x="1529694" y="1360951"/>
          <a:ext cx="1042054"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1521278</xdr:colOff>
      <xdr:row>5</xdr:row>
      <xdr:rowOff>25853</xdr:rowOff>
    </xdr:from>
    <xdr:to>
      <xdr:col>1</xdr:col>
      <xdr:colOff>2705100</xdr:colOff>
      <xdr:row>5</xdr:row>
      <xdr:rowOff>25853</xdr:rowOff>
    </xdr:to>
    <xdr:cxnSp macro="">
      <xdr:nvCxnSpPr>
        <xdr:cNvPr id="3" name="Straight Connector 2"/>
        <xdr:cNvCxnSpPr/>
      </xdr:nvCxnSpPr>
      <xdr:spPr>
        <a:xfrm>
          <a:off x="1968953" y="1168853"/>
          <a:ext cx="1183822"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1181100</xdr:colOff>
      <xdr:row>6</xdr:row>
      <xdr:rowOff>9525</xdr:rowOff>
    </xdr:from>
    <xdr:to>
      <xdr:col>2</xdr:col>
      <xdr:colOff>158993</xdr:colOff>
      <xdr:row>6</xdr:row>
      <xdr:rowOff>9525</xdr:rowOff>
    </xdr:to>
    <xdr:cxnSp macro="">
      <xdr:nvCxnSpPr>
        <xdr:cNvPr id="3" name="Straight Connector 2"/>
        <xdr:cNvCxnSpPr/>
      </xdr:nvCxnSpPr>
      <xdr:spPr>
        <a:xfrm>
          <a:off x="1647825" y="1266825"/>
          <a:ext cx="9305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5.xml><?xml version="1.0" encoding="utf-8"?>
<xdr:wsDr xmlns:xdr="http://schemas.openxmlformats.org/drawingml/2006/spreadsheetDrawing" xmlns:a="http://schemas.openxmlformats.org/drawingml/2006/main">
  <xdr:twoCellAnchor>
    <xdr:from>
      <xdr:col>2</xdr:col>
      <xdr:colOff>1099857</xdr:colOff>
      <xdr:row>4</xdr:row>
      <xdr:rowOff>235323</xdr:rowOff>
    </xdr:from>
    <xdr:to>
      <xdr:col>2</xdr:col>
      <xdr:colOff>2319057</xdr:colOff>
      <xdr:row>4</xdr:row>
      <xdr:rowOff>235323</xdr:rowOff>
    </xdr:to>
    <xdr:cxnSp macro="">
      <xdr:nvCxnSpPr>
        <xdr:cNvPr id="4" name="Straight Connector 3"/>
        <xdr:cNvCxnSpPr/>
      </xdr:nvCxnSpPr>
      <xdr:spPr>
        <a:xfrm>
          <a:off x="1693769" y="1120588"/>
          <a:ext cx="12192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6.xml><?xml version="1.0" encoding="utf-8"?>
<xdr:wsDr xmlns:xdr="http://schemas.openxmlformats.org/drawingml/2006/spreadsheetDrawing" xmlns:a="http://schemas.openxmlformats.org/drawingml/2006/main">
  <xdr:twoCellAnchor>
    <xdr:from>
      <xdr:col>1</xdr:col>
      <xdr:colOff>696443</xdr:colOff>
      <xdr:row>4</xdr:row>
      <xdr:rowOff>235323</xdr:rowOff>
    </xdr:from>
    <xdr:to>
      <xdr:col>2</xdr:col>
      <xdr:colOff>470084</xdr:colOff>
      <xdr:row>4</xdr:row>
      <xdr:rowOff>235323</xdr:rowOff>
    </xdr:to>
    <xdr:cxnSp macro="">
      <xdr:nvCxnSpPr>
        <xdr:cNvPr id="2" name="Straight Connector 1"/>
        <xdr:cNvCxnSpPr/>
      </xdr:nvCxnSpPr>
      <xdr:spPr>
        <a:xfrm>
          <a:off x="1178296" y="1120588"/>
          <a:ext cx="121920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7.xml><?xml version="1.0" encoding="utf-8"?>
<xdr:wsDr xmlns:xdr="http://schemas.openxmlformats.org/drawingml/2006/spreadsheetDrawing" xmlns:a="http://schemas.openxmlformats.org/drawingml/2006/main">
  <xdr:twoCellAnchor>
    <xdr:from>
      <xdr:col>3</xdr:col>
      <xdr:colOff>476250</xdr:colOff>
      <xdr:row>5</xdr:row>
      <xdr:rowOff>3</xdr:rowOff>
    </xdr:from>
    <xdr:to>
      <xdr:col>4</xdr:col>
      <xdr:colOff>5232</xdr:colOff>
      <xdr:row>5</xdr:row>
      <xdr:rowOff>3</xdr:rowOff>
    </xdr:to>
    <xdr:cxnSp macro="">
      <xdr:nvCxnSpPr>
        <xdr:cNvPr id="3" name="Straight Connector 2"/>
        <xdr:cNvCxnSpPr/>
      </xdr:nvCxnSpPr>
      <xdr:spPr>
        <a:xfrm>
          <a:off x="2462893" y="1347110"/>
          <a:ext cx="1012160"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8.xml><?xml version="1.0" encoding="utf-8"?>
<xdr:wsDr xmlns:xdr="http://schemas.openxmlformats.org/drawingml/2006/spreadsheetDrawing" xmlns:a="http://schemas.openxmlformats.org/drawingml/2006/main">
  <xdr:twoCellAnchor>
    <xdr:from>
      <xdr:col>3</xdr:col>
      <xdr:colOff>809625</xdr:colOff>
      <xdr:row>5</xdr:row>
      <xdr:rowOff>19050</xdr:rowOff>
    </xdr:from>
    <xdr:to>
      <xdr:col>5</xdr:col>
      <xdr:colOff>609600</xdr:colOff>
      <xdr:row>5</xdr:row>
      <xdr:rowOff>19050</xdr:rowOff>
    </xdr:to>
    <xdr:cxnSp macro="">
      <xdr:nvCxnSpPr>
        <xdr:cNvPr id="4" name="Straight Connector 3"/>
        <xdr:cNvCxnSpPr/>
      </xdr:nvCxnSpPr>
      <xdr:spPr>
        <a:xfrm>
          <a:off x="1209675" y="1047750"/>
          <a:ext cx="10763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19.xml><?xml version="1.0" encoding="utf-8"?>
<xdr:wsDr xmlns:xdr="http://schemas.openxmlformats.org/drawingml/2006/spreadsheetDrawing" xmlns:a="http://schemas.openxmlformats.org/drawingml/2006/main">
  <xdr:twoCellAnchor>
    <xdr:from>
      <xdr:col>1</xdr:col>
      <xdr:colOff>1466850</xdr:colOff>
      <xdr:row>6</xdr:row>
      <xdr:rowOff>19050</xdr:rowOff>
    </xdr:from>
    <xdr:to>
      <xdr:col>2</xdr:col>
      <xdr:colOff>806693</xdr:colOff>
      <xdr:row>6</xdr:row>
      <xdr:rowOff>19050</xdr:rowOff>
    </xdr:to>
    <xdr:cxnSp macro="">
      <xdr:nvCxnSpPr>
        <xdr:cNvPr id="2" name="Straight Connector 1"/>
        <xdr:cNvCxnSpPr/>
      </xdr:nvCxnSpPr>
      <xdr:spPr>
        <a:xfrm>
          <a:off x="1838325" y="1276350"/>
          <a:ext cx="930518"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0.xml><?xml version="1.0" encoding="utf-8"?>
<xdr:wsDr xmlns:xdr="http://schemas.openxmlformats.org/drawingml/2006/spreadsheetDrawing" xmlns:a="http://schemas.openxmlformats.org/drawingml/2006/main">
  <xdr:twoCellAnchor>
    <xdr:from>
      <xdr:col>2</xdr:col>
      <xdr:colOff>304800</xdr:colOff>
      <xdr:row>5</xdr:row>
      <xdr:rowOff>28575</xdr:rowOff>
    </xdr:from>
    <xdr:to>
      <xdr:col>2</xdr:col>
      <xdr:colOff>1343025</xdr:colOff>
      <xdr:row>5</xdr:row>
      <xdr:rowOff>28575</xdr:rowOff>
    </xdr:to>
    <xdr:cxnSp macro="">
      <xdr:nvCxnSpPr>
        <xdr:cNvPr id="3" name="Straight Connector 2"/>
        <xdr:cNvCxnSpPr/>
      </xdr:nvCxnSpPr>
      <xdr:spPr>
        <a:xfrm>
          <a:off x="1819275" y="1133475"/>
          <a:ext cx="10382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2</xdr:col>
      <xdr:colOff>466725</xdr:colOff>
      <xdr:row>5</xdr:row>
      <xdr:rowOff>9525</xdr:rowOff>
    </xdr:from>
    <xdr:to>
      <xdr:col>2</xdr:col>
      <xdr:colOff>1504950</xdr:colOff>
      <xdr:row>5</xdr:row>
      <xdr:rowOff>9525</xdr:rowOff>
    </xdr:to>
    <xdr:cxnSp macro="">
      <xdr:nvCxnSpPr>
        <xdr:cNvPr id="2" name="Straight Connector 1"/>
        <xdr:cNvCxnSpPr/>
      </xdr:nvCxnSpPr>
      <xdr:spPr>
        <a:xfrm>
          <a:off x="2143125" y="1038225"/>
          <a:ext cx="1038225"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87E9DAA\Phi&#7871;u%20X-N%20T%20n&#259;m%20201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INH%20NN/N&#259;m%202023/Luong%202023/Luong%202023/Th&#225;ng%201/th&#225;ng%201/C&#244;ng%20Vi&#7879;c/XNT/Phi&#7871;u%20X-N%20T%20n&#259;m%2020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72;&#7896;I%206%20C&#212;NG%20VI&#7878;C%202025/H&#7890;%20S&#416;%20DUY&#7878;T%20K&#7870;%20HO&#7840;CH%20H&#192;NG%20TH&#193;NG/TH&#193;NG%2011/1.%20BCSX%20T10.25%20in%20k&#253;%20%20cdc.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Admin/AppData/Local/Temp/Zalo%20Temp/TempDownloads/SL%20M&#7910;%20TH&#193;NG%2012-%20&#272;&#7896;I%208.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272;&#7896;I%206%20C&#212;NG%20VI&#7878;C%202025/&#272;&#7896;I%206%20S&#7892;%20M&#7910;%202025/TR&#7840;M%201/M&#7910;%20T12%20-%20&#272;6%20%20TR&#7840;M%20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72;&#7896;I%206%20C&#212;NG%20VI&#7878;C%202025/&#272;&#7896;I%206%20S&#7892;%20M&#7910;%202025/TR&#7840;M%202/M&#7910;%20T12%20-%20&#272;&#7896;I%206%20TR&#7840;M%202.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272;&#7896;I%206%20C&#212;NG%20VI&#7878;C%202025/&#272;&#7896;I%206%20S&#7892;%20M&#7910;%202025/TR&#7840;M%202/M&#7910;%20T11%20-%20&#272;&#7896;I%206%20TR&#7840;M%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ATSINH"/>
      <sheetName val="THONG TIN"/>
      <sheetName val="MA HANG"/>
      <sheetName val="XNT"/>
      <sheetName val="THE HANG"/>
      <sheetName val="Phieu nhap kho Viet"/>
      <sheetName val="PHIEU XUAT KHO"/>
      <sheetName val="Phieu nhap kho Lao 2"/>
      <sheetName val="Chart1"/>
      <sheetName val="Sheet1"/>
      <sheetName val="NT1"/>
      <sheetName val="Phieu nhap kho La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ATSINH"/>
      <sheetName val="THONG TIN"/>
      <sheetName val="MA HANG"/>
      <sheetName val="XNT"/>
      <sheetName val="THE HANG"/>
      <sheetName val="Phieu nhap kho Viet"/>
      <sheetName val="PHIEU XUAT KHO"/>
      <sheetName val="Phieu nhap kho Lao 2"/>
      <sheetName val="Chart1"/>
      <sheetName val="Sheet1"/>
      <sheetName val="NT1"/>
      <sheetName val="Phieu nhap kho Lao"/>
    </sheetNames>
    <sheetDataSet>
      <sheetData sheetId="0" refreshError="1">
        <row r="6">
          <cell r="B6" t="str">
            <v>PX.0001NN</v>
          </cell>
        </row>
        <row r="7">
          <cell r="B7" t="str">
            <v>PN.0001</v>
          </cell>
        </row>
        <row r="8">
          <cell r="B8" t="str">
            <v>PN.0001</v>
          </cell>
        </row>
        <row r="9">
          <cell r="B9" t="str">
            <v>PN.0002</v>
          </cell>
        </row>
        <row r="10">
          <cell r="B10" t="str">
            <v>PN.0002</v>
          </cell>
        </row>
        <row r="11">
          <cell r="B11" t="str">
            <v>PN.0003</v>
          </cell>
        </row>
        <row r="12">
          <cell r="B12" t="str">
            <v>PN.0004</v>
          </cell>
        </row>
        <row r="13">
          <cell r="B13" t="str">
            <v>PN.0005</v>
          </cell>
        </row>
        <row r="14">
          <cell r="B14" t="str">
            <v>PN.0006</v>
          </cell>
        </row>
        <row r="15">
          <cell r="B15" t="str">
            <v>PN.0006</v>
          </cell>
        </row>
        <row r="16">
          <cell r="B16" t="str">
            <v>PN.0006</v>
          </cell>
        </row>
        <row r="17">
          <cell r="B17" t="str">
            <v>PN.0007</v>
          </cell>
        </row>
        <row r="18">
          <cell r="B18" t="str">
            <v>PN.0007</v>
          </cell>
        </row>
        <row r="19">
          <cell r="B19" t="str">
            <v>PX.0001XM</v>
          </cell>
        </row>
        <row r="20">
          <cell r="B20" t="str">
            <v>PX.0001XM</v>
          </cell>
        </row>
        <row r="21">
          <cell r="B21" t="str">
            <v>PX.0002XM</v>
          </cell>
        </row>
        <row r="22">
          <cell r="B22" t="str">
            <v>PX.0002XM</v>
          </cell>
        </row>
        <row r="23">
          <cell r="B23" t="str">
            <v>PX.0003XM</v>
          </cell>
        </row>
        <row r="24">
          <cell r="B24" t="str">
            <v>PX.0003XM</v>
          </cell>
        </row>
        <row r="25">
          <cell r="B25" t="str">
            <v>PN.0008</v>
          </cell>
        </row>
        <row r="26">
          <cell r="B26" t="str">
            <v>PX.0001NL</v>
          </cell>
        </row>
        <row r="27">
          <cell r="B27" t="str">
            <v>PX.0003NL</v>
          </cell>
        </row>
        <row r="28">
          <cell r="B28" t="str">
            <v>PX.0002NL</v>
          </cell>
        </row>
        <row r="29">
          <cell r="B29" t="str">
            <v>PN.0009</v>
          </cell>
        </row>
        <row r="30">
          <cell r="B30" t="str">
            <v>PN.0010</v>
          </cell>
        </row>
        <row r="31">
          <cell r="B31" t="str">
            <v>PX.0004NL</v>
          </cell>
        </row>
        <row r="32">
          <cell r="B32" t="str">
            <v>PX.0004NL</v>
          </cell>
        </row>
        <row r="33">
          <cell r="B33" t="str">
            <v>PX.0004NL</v>
          </cell>
        </row>
        <row r="34">
          <cell r="B34" t="str">
            <v>PX.0005NL</v>
          </cell>
        </row>
        <row r="35">
          <cell r="B35" t="str">
            <v>PX.0005NL</v>
          </cell>
        </row>
        <row r="36">
          <cell r="B36" t="str">
            <v>PX.0006NL</v>
          </cell>
        </row>
        <row r="37">
          <cell r="B37" t="str">
            <v>PX.0006NL</v>
          </cell>
        </row>
        <row r="38">
          <cell r="B38" t="str">
            <v>PX.0006NL</v>
          </cell>
        </row>
        <row r="39">
          <cell r="B39" t="str">
            <v>PX.0007NL</v>
          </cell>
        </row>
        <row r="40">
          <cell r="B40" t="str">
            <v>PX.0007NL</v>
          </cell>
        </row>
        <row r="41">
          <cell r="B41" t="str">
            <v>PX.0007NL</v>
          </cell>
        </row>
        <row r="42">
          <cell r="B42" t="str">
            <v>PX.0008NL</v>
          </cell>
        </row>
        <row r="43">
          <cell r="B43" t="str">
            <v>PX.0008NL</v>
          </cell>
        </row>
        <row r="44">
          <cell r="B44" t="str">
            <v>PX.0009NL</v>
          </cell>
        </row>
        <row r="45">
          <cell r="B45" t="str">
            <v>PX.0009NL</v>
          </cell>
        </row>
        <row r="46">
          <cell r="B46" t="str">
            <v>PX.0009NL</v>
          </cell>
        </row>
        <row r="47">
          <cell r="B47" t="str">
            <v>PX.0001PB</v>
          </cell>
        </row>
        <row r="48">
          <cell r="B48" t="str">
            <v>PX.0001PB</v>
          </cell>
        </row>
        <row r="49">
          <cell r="B49" t="str">
            <v>PX.0001PB</v>
          </cell>
        </row>
        <row r="50">
          <cell r="B50" t="str">
            <v>PX.0001PB</v>
          </cell>
        </row>
        <row r="51">
          <cell r="B51" t="str">
            <v>PX.0001PB</v>
          </cell>
        </row>
        <row r="52">
          <cell r="B52" t="str">
            <v>PX.0002NN</v>
          </cell>
        </row>
        <row r="53">
          <cell r="B53" t="str">
            <v>PX.0002PB</v>
          </cell>
        </row>
        <row r="54">
          <cell r="B54" t="str">
            <v>PX.0002PB</v>
          </cell>
        </row>
        <row r="55">
          <cell r="B55" t="str">
            <v>PX.0002PB</v>
          </cell>
        </row>
        <row r="56">
          <cell r="B56" t="str">
            <v>PN.10A</v>
          </cell>
        </row>
        <row r="57">
          <cell r="B57" t="str">
            <v>PN.0011</v>
          </cell>
        </row>
        <row r="58">
          <cell r="B58" t="str">
            <v>PN.0011</v>
          </cell>
        </row>
        <row r="59">
          <cell r="B59" t="str">
            <v>PN.0011</v>
          </cell>
        </row>
        <row r="60">
          <cell r="B60" t="str">
            <v>PN.0012</v>
          </cell>
        </row>
        <row r="61">
          <cell r="B61" t="str">
            <v>PN.0012</v>
          </cell>
        </row>
        <row r="62">
          <cell r="B62" t="str">
            <v>PN.0012</v>
          </cell>
        </row>
        <row r="63">
          <cell r="B63" t="str">
            <v>PN.0013</v>
          </cell>
        </row>
        <row r="64">
          <cell r="B64" t="str">
            <v>PN.0014</v>
          </cell>
        </row>
        <row r="65">
          <cell r="B65" t="str">
            <v>PN.0014</v>
          </cell>
        </row>
        <row r="66">
          <cell r="B66" t="str">
            <v>PN.0015</v>
          </cell>
        </row>
        <row r="67">
          <cell r="B67" t="str">
            <v>PN.0016</v>
          </cell>
        </row>
        <row r="68">
          <cell r="B68" t="str">
            <v>PN.0017</v>
          </cell>
        </row>
        <row r="69">
          <cell r="B69" t="str">
            <v>PX.0010NL</v>
          </cell>
        </row>
        <row r="70">
          <cell r="B70" t="str">
            <v>PX.0010NL</v>
          </cell>
        </row>
        <row r="71">
          <cell r="B71" t="str">
            <v>PX.0010NL</v>
          </cell>
        </row>
        <row r="72">
          <cell r="B72" t="str">
            <v>PX.0011NL</v>
          </cell>
        </row>
        <row r="73">
          <cell r="B73" t="str">
            <v>PX.0012NL</v>
          </cell>
        </row>
        <row r="74">
          <cell r="B74" t="str">
            <v>PX.0012NL</v>
          </cell>
        </row>
        <row r="75">
          <cell r="B75" t="str">
            <v>PX.0012NL</v>
          </cell>
        </row>
        <row r="76">
          <cell r="B76" t="str">
            <v>PX.0013NL</v>
          </cell>
        </row>
        <row r="77">
          <cell r="B77" t="str">
            <v>PX.0013NL</v>
          </cell>
        </row>
        <row r="78">
          <cell r="B78" t="str">
            <v>PX.0013NL</v>
          </cell>
        </row>
        <row r="79">
          <cell r="B79" t="str">
            <v>PX.0014NL</v>
          </cell>
        </row>
        <row r="80">
          <cell r="B80" t="str">
            <v>PX.0014NL</v>
          </cell>
        </row>
        <row r="81">
          <cell r="B81" t="str">
            <v>PX.0015NL</v>
          </cell>
        </row>
        <row r="82">
          <cell r="B82" t="str">
            <v>PX.0016NL</v>
          </cell>
        </row>
        <row r="83">
          <cell r="B83" t="str">
            <v>PX.0017NL</v>
          </cell>
        </row>
        <row r="84">
          <cell r="B84" t="str">
            <v>PX.0018NL</v>
          </cell>
        </row>
        <row r="85">
          <cell r="B85" t="str">
            <v>PX.0018NL</v>
          </cell>
        </row>
        <row r="86">
          <cell r="B86" t="str">
            <v>PX.0018NL</v>
          </cell>
        </row>
        <row r="87">
          <cell r="B87" t="str">
            <v>PX.0003PB</v>
          </cell>
        </row>
        <row r="88">
          <cell r="B88" t="str">
            <v>PX.0003PB</v>
          </cell>
        </row>
        <row r="89">
          <cell r="B89" t="str">
            <v>PX.0004PB</v>
          </cell>
        </row>
        <row r="90">
          <cell r="B90" t="str">
            <v>PX.0004PB</v>
          </cell>
        </row>
        <row r="91">
          <cell r="B91" t="str">
            <v>PN.0018</v>
          </cell>
        </row>
        <row r="92">
          <cell r="B92" t="str">
            <v>PN.0019</v>
          </cell>
        </row>
        <row r="93">
          <cell r="B93" t="str">
            <v>PN.0019</v>
          </cell>
        </row>
        <row r="94">
          <cell r="B94" t="str">
            <v>PN.0020</v>
          </cell>
        </row>
        <row r="95">
          <cell r="B95" t="str">
            <v>PN.0020</v>
          </cell>
        </row>
        <row r="96">
          <cell r="B96" t="str">
            <v>PN.0021</v>
          </cell>
        </row>
        <row r="97">
          <cell r="B97" t="str">
            <v>PN.0021</v>
          </cell>
        </row>
        <row r="98">
          <cell r="B98" t="str">
            <v>PN.0021</v>
          </cell>
        </row>
        <row r="99">
          <cell r="B99" t="str">
            <v>PN.0022</v>
          </cell>
        </row>
        <row r="100">
          <cell r="B100" t="str">
            <v>PN.0022</v>
          </cell>
        </row>
        <row r="101">
          <cell r="B101" t="str">
            <v>PN.0022</v>
          </cell>
        </row>
        <row r="102">
          <cell r="B102" t="str">
            <v>PN.0023</v>
          </cell>
        </row>
        <row r="103">
          <cell r="B103" t="str">
            <v>PN.0023</v>
          </cell>
        </row>
        <row r="104">
          <cell r="B104" t="str">
            <v>PN.0023</v>
          </cell>
        </row>
        <row r="105">
          <cell r="B105" t="str">
            <v>PN.0024</v>
          </cell>
        </row>
        <row r="106">
          <cell r="B106" t="str">
            <v>PN.0025</v>
          </cell>
        </row>
        <row r="107">
          <cell r="B107" t="str">
            <v>PN.0026</v>
          </cell>
        </row>
        <row r="108">
          <cell r="B108" t="str">
            <v>PN.0027</v>
          </cell>
        </row>
        <row r="109">
          <cell r="B109" t="str">
            <v>PX.0001VP</v>
          </cell>
        </row>
        <row r="110">
          <cell r="B110" t="str">
            <v>PX.0003NN</v>
          </cell>
        </row>
        <row r="111">
          <cell r="B111" t="str">
            <v>PX.0004XM</v>
          </cell>
        </row>
        <row r="112">
          <cell r="B112" t="str">
            <v>PX.0004XM</v>
          </cell>
        </row>
        <row r="113">
          <cell r="B113" t="str">
            <v>PX.0005XM</v>
          </cell>
        </row>
        <row r="114">
          <cell r="B114" t="str">
            <v>PX.0019NL</v>
          </cell>
        </row>
        <row r="115">
          <cell r="B115" t="str">
            <v>PX.0019NL</v>
          </cell>
        </row>
        <row r="116">
          <cell r="B116" t="str">
            <v>PX.0019NL</v>
          </cell>
        </row>
        <row r="117">
          <cell r="B117" t="str">
            <v>PX.0020NL</v>
          </cell>
        </row>
        <row r="118">
          <cell r="B118" t="str">
            <v>PX.0021NL</v>
          </cell>
        </row>
        <row r="119">
          <cell r="B119" t="str">
            <v>PX.0022NL</v>
          </cell>
        </row>
        <row r="120">
          <cell r="B120" t="str">
            <v>PX.0023NL</v>
          </cell>
        </row>
        <row r="121">
          <cell r="B121" t="str">
            <v>PX.0006XM</v>
          </cell>
        </row>
        <row r="122">
          <cell r="B122" t="str">
            <v>PX.0006XM</v>
          </cell>
        </row>
        <row r="123">
          <cell r="B123" t="str">
            <v>PX.0006XM</v>
          </cell>
        </row>
        <row r="124">
          <cell r="B124" t="str">
            <v>PX.0006XM</v>
          </cell>
        </row>
        <row r="125">
          <cell r="B125" t="str">
            <v>PX.0006XM</v>
          </cell>
        </row>
        <row r="126">
          <cell r="B126" t="str">
            <v>PX.0006XM</v>
          </cell>
        </row>
        <row r="127">
          <cell r="B127" t="str">
            <v>PX.0006XM</v>
          </cell>
        </row>
        <row r="128">
          <cell r="B128" t="str">
            <v>PX.0006XM</v>
          </cell>
        </row>
        <row r="129">
          <cell r="B129" t="str">
            <v>PX.0006XM</v>
          </cell>
        </row>
        <row r="130">
          <cell r="B130" t="str">
            <v>PX.0006XM</v>
          </cell>
        </row>
        <row r="131">
          <cell r="B131" t="str">
            <v>PX.0004NN</v>
          </cell>
        </row>
        <row r="132">
          <cell r="B132" t="str">
            <v>PX.0004NN</v>
          </cell>
        </row>
        <row r="133">
          <cell r="B133" t="str">
            <v>PX.0004NN</v>
          </cell>
        </row>
        <row r="134">
          <cell r="B134" t="str">
            <v>PX.0004NN</v>
          </cell>
        </row>
        <row r="135">
          <cell r="B135" t="str">
            <v>PX.0004PB</v>
          </cell>
        </row>
        <row r="136">
          <cell r="B136" t="str">
            <v>PX.0004PB</v>
          </cell>
        </row>
        <row r="137">
          <cell r="B137" t="str">
            <v>PX.0004PB</v>
          </cell>
        </row>
        <row r="138">
          <cell r="B138" t="str">
            <v>PX.0004PB</v>
          </cell>
        </row>
        <row r="139">
          <cell r="B139" t="str">
            <v>PX.0002VP</v>
          </cell>
        </row>
        <row r="140">
          <cell r="B140" t="str">
            <v>PX.0006PB</v>
          </cell>
        </row>
        <row r="141">
          <cell r="B141" t="str">
            <v>PX.0006PB</v>
          </cell>
        </row>
        <row r="142">
          <cell r="B142" t="str">
            <v>PX.0006PB</v>
          </cell>
        </row>
        <row r="143">
          <cell r="B143" t="str">
            <v>PX.0006PB</v>
          </cell>
        </row>
        <row r="144">
          <cell r="B144" t="str">
            <v>PX.0024NL</v>
          </cell>
        </row>
        <row r="145">
          <cell r="B145" t="str">
            <v>PX.0024NL</v>
          </cell>
        </row>
        <row r="146">
          <cell r="B146" t="str">
            <v>PX.0024NL</v>
          </cell>
        </row>
        <row r="147">
          <cell r="B147" t="str">
            <v>PX.0005NN</v>
          </cell>
        </row>
        <row r="148">
          <cell r="B148" t="str">
            <v>PX.0025NL</v>
          </cell>
        </row>
        <row r="149">
          <cell r="B149" t="str">
            <v>PX.0025NL</v>
          </cell>
        </row>
        <row r="150">
          <cell r="B150" t="str">
            <v>PX.0025NL</v>
          </cell>
        </row>
        <row r="151">
          <cell r="B151" t="str">
            <v>PX.0007PB</v>
          </cell>
        </row>
        <row r="152">
          <cell r="B152" t="str">
            <v>PX.0007PB</v>
          </cell>
        </row>
        <row r="153">
          <cell r="B153" t="str">
            <v>PX.0026NL</v>
          </cell>
        </row>
        <row r="154">
          <cell r="B154" t="str">
            <v>PX.0026NL</v>
          </cell>
        </row>
        <row r="155">
          <cell r="B155" t="str">
            <v>PX.0026NL</v>
          </cell>
        </row>
        <row r="156">
          <cell r="B156" t="str">
            <v>PX.0008PB</v>
          </cell>
        </row>
        <row r="157">
          <cell r="B157" t="str">
            <v>PX.0008PB</v>
          </cell>
        </row>
        <row r="158">
          <cell r="B158" t="str">
            <v>PX.0008PB</v>
          </cell>
        </row>
        <row r="159">
          <cell r="B159" t="str">
            <v>PX.0008PB</v>
          </cell>
        </row>
        <row r="160">
          <cell r="B160" t="str">
            <v>PX.0006NN</v>
          </cell>
        </row>
        <row r="161">
          <cell r="B161" t="str">
            <v>PX.0006NN</v>
          </cell>
        </row>
        <row r="162">
          <cell r="B162" t="str">
            <v>PX.0007NN</v>
          </cell>
        </row>
        <row r="163">
          <cell r="B163" t="str">
            <v>PX.0027NL</v>
          </cell>
        </row>
        <row r="164">
          <cell r="B164" t="str">
            <v>PX.0027NL</v>
          </cell>
        </row>
        <row r="165">
          <cell r="B165" t="str">
            <v>PN.0028</v>
          </cell>
        </row>
        <row r="166">
          <cell r="B166" t="str">
            <v>PN.0028</v>
          </cell>
        </row>
        <row r="167">
          <cell r="B167" t="str">
            <v>PN.0028</v>
          </cell>
        </row>
        <row r="168">
          <cell r="B168" t="str">
            <v>PN.0029</v>
          </cell>
        </row>
        <row r="169">
          <cell r="B169" t="str">
            <v>PN.0030</v>
          </cell>
        </row>
        <row r="170">
          <cell r="B170" t="str">
            <v>PN.0030</v>
          </cell>
        </row>
        <row r="171">
          <cell r="B171" t="str">
            <v>PN.0031</v>
          </cell>
        </row>
        <row r="172">
          <cell r="B172" t="str">
            <v>PN.0031</v>
          </cell>
        </row>
        <row r="173">
          <cell r="B173" t="str">
            <v>PN.0031</v>
          </cell>
        </row>
        <row r="174">
          <cell r="B174" t="str">
            <v>PN.0032</v>
          </cell>
        </row>
        <row r="175">
          <cell r="B175" t="str">
            <v>PN.0033</v>
          </cell>
        </row>
        <row r="176">
          <cell r="B176" t="str">
            <v>PN.0034</v>
          </cell>
        </row>
        <row r="177">
          <cell r="B177" t="str">
            <v>PX.0008NN</v>
          </cell>
        </row>
        <row r="178">
          <cell r="B178" t="str">
            <v>PX.0009NN</v>
          </cell>
        </row>
        <row r="179">
          <cell r="B179" t="str">
            <v>PX.0028NL</v>
          </cell>
        </row>
        <row r="180">
          <cell r="B180" t="str">
            <v>PX.0029NL</v>
          </cell>
        </row>
        <row r="181">
          <cell r="B181" t="str">
            <v>PX.0030NL</v>
          </cell>
        </row>
        <row r="182">
          <cell r="B182" t="str">
            <v>PX.0031NL</v>
          </cell>
        </row>
        <row r="183">
          <cell r="B183" t="str">
            <v>PX.0031NL</v>
          </cell>
        </row>
        <row r="184">
          <cell r="B184" t="str">
            <v>PX.0031NL</v>
          </cell>
        </row>
        <row r="185">
          <cell r="B185" t="str">
            <v>PX.0032NL</v>
          </cell>
        </row>
        <row r="186">
          <cell r="B186" t="str">
            <v>PX.0033NL</v>
          </cell>
        </row>
        <row r="187">
          <cell r="B187" t="str">
            <v>PX.0033NL</v>
          </cell>
        </row>
        <row r="188">
          <cell r="B188" t="str">
            <v>PX.0033NL</v>
          </cell>
        </row>
        <row r="189">
          <cell r="B189" t="str">
            <v>PX.0034NL</v>
          </cell>
        </row>
        <row r="190">
          <cell r="B190" t="str">
            <v>PX.0034NL</v>
          </cell>
        </row>
        <row r="191">
          <cell r="B191" t="str">
            <v>PX.0034NL</v>
          </cell>
        </row>
        <row r="192">
          <cell r="B192" t="str">
            <v>PX.0009PB</v>
          </cell>
        </row>
        <row r="193">
          <cell r="B193" t="str">
            <v>PX.0010NN</v>
          </cell>
        </row>
        <row r="194">
          <cell r="B194" t="str">
            <v>PX.0010NN</v>
          </cell>
        </row>
        <row r="195">
          <cell r="B195" t="str">
            <v>PX.0010NN</v>
          </cell>
        </row>
        <row r="196">
          <cell r="B196" t="str">
            <v>PX.0010PB</v>
          </cell>
        </row>
        <row r="197">
          <cell r="B197" t="str">
            <v>PX.0010PB</v>
          </cell>
        </row>
        <row r="198">
          <cell r="B198" t="str">
            <v>PX.0011PB</v>
          </cell>
        </row>
        <row r="199">
          <cell r="B199" t="str">
            <v>PX.0011PB</v>
          </cell>
        </row>
        <row r="200">
          <cell r="B200" t="str">
            <v>PX.0011PB</v>
          </cell>
        </row>
        <row r="201">
          <cell r="B201" t="str">
            <v>PN.0035</v>
          </cell>
        </row>
        <row r="202">
          <cell r="B202" t="str">
            <v>PN.0036</v>
          </cell>
        </row>
        <row r="203">
          <cell r="B203" t="str">
            <v>PN.0036</v>
          </cell>
        </row>
        <row r="204">
          <cell r="B204" t="str">
            <v>PN.0037</v>
          </cell>
        </row>
        <row r="205">
          <cell r="B205" t="str">
            <v>PN.0037</v>
          </cell>
        </row>
        <row r="206">
          <cell r="B206" t="str">
            <v>PN.0037</v>
          </cell>
        </row>
        <row r="207">
          <cell r="B207" t="str">
            <v>PN.0038</v>
          </cell>
        </row>
        <row r="208">
          <cell r="B208" t="str">
            <v>PN.0038</v>
          </cell>
        </row>
        <row r="209">
          <cell r="B209" t="str">
            <v>PN.0039</v>
          </cell>
        </row>
        <row r="210">
          <cell r="B210" t="str">
            <v>PN.0039</v>
          </cell>
        </row>
        <row r="211">
          <cell r="B211" t="str">
            <v>PN.0039</v>
          </cell>
        </row>
        <row r="212">
          <cell r="B212" t="str">
            <v>PN.0040</v>
          </cell>
        </row>
        <row r="213">
          <cell r="B213" t="str">
            <v>PN.0040</v>
          </cell>
        </row>
        <row r="214">
          <cell r="B214" t="str">
            <v>PN.0040</v>
          </cell>
        </row>
        <row r="215">
          <cell r="B215" t="str">
            <v>PN.0041</v>
          </cell>
        </row>
        <row r="216">
          <cell r="B216" t="str">
            <v>PN.0042</v>
          </cell>
        </row>
        <row r="217">
          <cell r="B217" t="str">
            <v>PN.0043</v>
          </cell>
        </row>
        <row r="218">
          <cell r="B218" t="str">
            <v>PN.0044</v>
          </cell>
        </row>
        <row r="219">
          <cell r="B219" t="str">
            <v>PN.0045</v>
          </cell>
        </row>
        <row r="220">
          <cell r="B220" t="str">
            <v>PN.0045</v>
          </cell>
        </row>
        <row r="221">
          <cell r="B221" t="str">
            <v>PX.0011NN</v>
          </cell>
        </row>
        <row r="222">
          <cell r="B222" t="str">
            <v>PX.0035NL</v>
          </cell>
        </row>
        <row r="223">
          <cell r="B223" t="str">
            <v>PX.0036NL</v>
          </cell>
        </row>
        <row r="224">
          <cell r="B224" t="str">
            <v>PX.0037NL</v>
          </cell>
        </row>
        <row r="225">
          <cell r="B225" t="str">
            <v>PN.0046</v>
          </cell>
        </row>
        <row r="226">
          <cell r="B226" t="str">
            <v>PN.0046</v>
          </cell>
        </row>
        <row r="227">
          <cell r="B227" t="str">
            <v>PN.0047</v>
          </cell>
        </row>
        <row r="228">
          <cell r="B228" t="str">
            <v>PN.0047</v>
          </cell>
        </row>
        <row r="229">
          <cell r="B229" t="str">
            <v>PX.0012NN</v>
          </cell>
        </row>
        <row r="230">
          <cell r="B230" t="str">
            <v>PX.0012NN</v>
          </cell>
        </row>
        <row r="231">
          <cell r="B231" t="str">
            <v>PX.0038NL</v>
          </cell>
        </row>
        <row r="232">
          <cell r="B232" t="str">
            <v>PX.0039NL</v>
          </cell>
        </row>
        <row r="233">
          <cell r="B233" t="str">
            <v>PX.0040NL</v>
          </cell>
        </row>
        <row r="234">
          <cell r="B234" t="str">
            <v>PX.0041NL</v>
          </cell>
        </row>
        <row r="235">
          <cell r="B235" t="str">
            <v>PX.0041NL</v>
          </cell>
        </row>
        <row r="236">
          <cell r="B236" t="str">
            <v>PX.0041NL</v>
          </cell>
        </row>
        <row r="237">
          <cell r="B237" t="str">
            <v>PX.0012PB</v>
          </cell>
        </row>
        <row r="238">
          <cell r="B238" t="str">
            <v>PX.0012PB</v>
          </cell>
        </row>
        <row r="239">
          <cell r="B239" t="str">
            <v>PX.0042NL</v>
          </cell>
        </row>
        <row r="240">
          <cell r="B240" t="str">
            <v>PX.0042NL</v>
          </cell>
        </row>
        <row r="241">
          <cell r="B241" t="str">
            <v>PX.0042NL</v>
          </cell>
        </row>
        <row r="242">
          <cell r="B242" t="str">
            <v>PX.0013NN</v>
          </cell>
        </row>
        <row r="243">
          <cell r="B243" t="str">
            <v>PX.0013NN</v>
          </cell>
        </row>
        <row r="244">
          <cell r="B244" t="str">
            <v>PX.0013NN</v>
          </cell>
        </row>
        <row r="245">
          <cell r="B245" t="str">
            <v>PX.0013NN</v>
          </cell>
        </row>
        <row r="246">
          <cell r="B246" t="str">
            <v>PX.0013NN</v>
          </cell>
        </row>
        <row r="247">
          <cell r="B247" t="str">
            <v>PX.0013NN</v>
          </cell>
        </row>
        <row r="248">
          <cell r="B248" t="str">
            <v>PX.0013NN</v>
          </cell>
        </row>
        <row r="249">
          <cell r="B249" t="str">
            <v>PX.0013NN</v>
          </cell>
        </row>
        <row r="250">
          <cell r="B250" t="str">
            <v>PX.0013PB</v>
          </cell>
        </row>
        <row r="251">
          <cell r="B251" t="str">
            <v>PX.0013PB</v>
          </cell>
        </row>
        <row r="252">
          <cell r="B252" t="str">
            <v>PX.0013PB</v>
          </cell>
        </row>
        <row r="253">
          <cell r="B253" t="str">
            <v>PX.0013PB</v>
          </cell>
        </row>
        <row r="254">
          <cell r="B254" t="str">
            <v>PX.0013PB</v>
          </cell>
        </row>
        <row r="255">
          <cell r="B255" t="str">
            <v/>
          </cell>
        </row>
        <row r="256">
          <cell r="B256" t="str">
            <v/>
          </cell>
        </row>
        <row r="976">
          <cell r="B976" t="str">
            <v/>
          </cell>
        </row>
        <row r="978">
          <cell r="B978" t="str">
            <v/>
          </cell>
        </row>
        <row r="979">
          <cell r="B979" t="str">
            <v/>
          </cell>
        </row>
        <row r="980">
          <cell r="B980" t="str">
            <v/>
          </cell>
        </row>
        <row r="981">
          <cell r="B981" t="str">
            <v/>
          </cell>
        </row>
        <row r="982">
          <cell r="B982" t="str">
            <v/>
          </cell>
        </row>
        <row r="983">
          <cell r="B983" t="str">
            <v/>
          </cell>
        </row>
        <row r="984">
          <cell r="B984" t="str">
            <v/>
          </cell>
        </row>
        <row r="985">
          <cell r="B985" t="str">
            <v/>
          </cell>
        </row>
        <row r="986">
          <cell r="B986" t="str">
            <v/>
          </cell>
        </row>
        <row r="987">
          <cell r="B987" t="str">
            <v/>
          </cell>
        </row>
        <row r="988">
          <cell r="B988" t="str">
            <v/>
          </cell>
        </row>
        <row r="989">
          <cell r="B989" t="str">
            <v/>
          </cell>
        </row>
        <row r="990">
          <cell r="B990" t="str">
            <v/>
          </cell>
        </row>
        <row r="991">
          <cell r="B991" t="str">
            <v/>
          </cell>
        </row>
        <row r="992">
          <cell r="B992" t="str">
            <v/>
          </cell>
        </row>
        <row r="993">
          <cell r="B993" t="str">
            <v/>
          </cell>
        </row>
        <row r="994">
          <cell r="B994" t="str">
            <v/>
          </cell>
        </row>
        <row r="995">
          <cell r="B995" t="str">
            <v/>
          </cell>
        </row>
        <row r="996">
          <cell r="B996" t="str">
            <v/>
          </cell>
        </row>
        <row r="997">
          <cell r="B997" t="str">
            <v/>
          </cell>
        </row>
        <row r="998">
          <cell r="B998" t="str">
            <v/>
          </cell>
        </row>
        <row r="999">
          <cell r="B999" t="str">
            <v/>
          </cell>
        </row>
        <row r="1000">
          <cell r="B1000" t="str">
            <v/>
          </cell>
        </row>
        <row r="1001">
          <cell r="B1001" t="str">
            <v/>
          </cell>
        </row>
        <row r="1002">
          <cell r="B1002" t="str">
            <v/>
          </cell>
        </row>
        <row r="1003">
          <cell r="B1003" t="str">
            <v/>
          </cell>
        </row>
        <row r="1004">
          <cell r="B1004" t="str">
            <v/>
          </cell>
        </row>
        <row r="1005">
          <cell r="B1005" t="str">
            <v/>
          </cell>
        </row>
        <row r="1006">
          <cell r="B1006" t="str">
            <v/>
          </cell>
        </row>
        <row r="1007">
          <cell r="B1007" t="str">
            <v/>
          </cell>
        </row>
        <row r="1008">
          <cell r="B1008" t="str">
            <v/>
          </cell>
        </row>
        <row r="1009">
          <cell r="B1009" t="str">
            <v/>
          </cell>
        </row>
        <row r="1010">
          <cell r="B1010" t="str">
            <v/>
          </cell>
        </row>
        <row r="1011">
          <cell r="B1011" t="str">
            <v/>
          </cell>
        </row>
        <row r="1012">
          <cell r="B1012" t="str">
            <v/>
          </cell>
        </row>
        <row r="1013">
          <cell r="B1013" t="str">
            <v/>
          </cell>
        </row>
        <row r="1014">
          <cell r="B1014" t="str">
            <v/>
          </cell>
        </row>
        <row r="1015">
          <cell r="B1015" t="str">
            <v/>
          </cell>
        </row>
        <row r="1016">
          <cell r="B1016" t="str">
            <v/>
          </cell>
        </row>
        <row r="1017">
          <cell r="B1017" t="str">
            <v/>
          </cell>
        </row>
        <row r="1018">
          <cell r="B1018" t="str">
            <v/>
          </cell>
        </row>
        <row r="1019">
          <cell r="B1019" t="str">
            <v/>
          </cell>
        </row>
        <row r="1020">
          <cell r="B1020" t="str">
            <v/>
          </cell>
        </row>
        <row r="1021">
          <cell r="B1021" t="str">
            <v/>
          </cell>
        </row>
        <row r="1022">
          <cell r="B1022" t="str">
            <v/>
          </cell>
        </row>
        <row r="1023">
          <cell r="B1023" t="str">
            <v/>
          </cell>
        </row>
        <row r="1024">
          <cell r="B1024" t="str">
            <v/>
          </cell>
        </row>
        <row r="1025">
          <cell r="B1025" t="str">
            <v/>
          </cell>
        </row>
        <row r="1026">
          <cell r="B1026" t="str">
            <v/>
          </cell>
        </row>
        <row r="1027">
          <cell r="B1027" t="str">
            <v/>
          </cell>
        </row>
        <row r="1028">
          <cell r="B1028" t="str">
            <v/>
          </cell>
        </row>
        <row r="1029">
          <cell r="B1029" t="str">
            <v/>
          </cell>
        </row>
        <row r="1030">
          <cell r="B1030" t="str">
            <v/>
          </cell>
        </row>
        <row r="1031">
          <cell r="B1031" t="str">
            <v/>
          </cell>
        </row>
        <row r="1032">
          <cell r="B1032" t="str">
            <v/>
          </cell>
        </row>
        <row r="1033">
          <cell r="B1033" t="str">
            <v/>
          </cell>
        </row>
        <row r="1034">
          <cell r="B1034" t="str">
            <v/>
          </cell>
        </row>
        <row r="1035">
          <cell r="B1035" t="str">
            <v/>
          </cell>
        </row>
        <row r="1036">
          <cell r="B1036" t="str">
            <v/>
          </cell>
        </row>
        <row r="1037">
          <cell r="B1037" t="str">
            <v/>
          </cell>
        </row>
        <row r="1038">
          <cell r="B1038" t="str">
            <v/>
          </cell>
        </row>
        <row r="1039">
          <cell r="B1039" t="str">
            <v/>
          </cell>
        </row>
        <row r="1040">
          <cell r="B1040" t="str">
            <v/>
          </cell>
        </row>
        <row r="1041">
          <cell r="B1041" t="str">
            <v/>
          </cell>
        </row>
        <row r="1042">
          <cell r="B1042" t="str">
            <v/>
          </cell>
        </row>
        <row r="1043">
          <cell r="B1043" t="str">
            <v/>
          </cell>
        </row>
        <row r="1044">
          <cell r="B1044" t="str">
            <v/>
          </cell>
        </row>
        <row r="1045">
          <cell r="B1045" t="str">
            <v/>
          </cell>
        </row>
        <row r="1046">
          <cell r="B1046" t="str">
            <v/>
          </cell>
        </row>
        <row r="1047">
          <cell r="B1047" t="str">
            <v/>
          </cell>
        </row>
        <row r="1048">
          <cell r="B1048" t="str">
            <v/>
          </cell>
        </row>
        <row r="1049">
          <cell r="B1049" t="str">
            <v/>
          </cell>
        </row>
        <row r="1050">
          <cell r="B1050" t="str">
            <v/>
          </cell>
        </row>
        <row r="1051">
          <cell r="B1051" t="str">
            <v/>
          </cell>
        </row>
        <row r="1052">
          <cell r="B1052" t="str">
            <v/>
          </cell>
        </row>
        <row r="1053">
          <cell r="B1053" t="str">
            <v/>
          </cell>
        </row>
        <row r="1054">
          <cell r="B1054" t="str">
            <v/>
          </cell>
        </row>
        <row r="1055">
          <cell r="B1055" t="str">
            <v/>
          </cell>
        </row>
        <row r="1056">
          <cell r="B1056" t="str">
            <v/>
          </cell>
        </row>
        <row r="1057">
          <cell r="B1057" t="str">
            <v/>
          </cell>
        </row>
        <row r="1058">
          <cell r="B1058" t="str">
            <v/>
          </cell>
        </row>
        <row r="1059">
          <cell r="B1059" t="str">
            <v/>
          </cell>
        </row>
        <row r="1060">
          <cell r="B1060" t="str">
            <v/>
          </cell>
        </row>
        <row r="1061">
          <cell r="B1061" t="str">
            <v/>
          </cell>
        </row>
        <row r="1062">
          <cell r="B1062" t="str">
            <v/>
          </cell>
        </row>
        <row r="1063">
          <cell r="B1063" t="str">
            <v/>
          </cell>
        </row>
        <row r="1064">
          <cell r="B1064" t="str">
            <v/>
          </cell>
        </row>
        <row r="1065">
          <cell r="B1065" t="str">
            <v/>
          </cell>
        </row>
        <row r="1066">
          <cell r="B1066" t="str">
            <v/>
          </cell>
        </row>
        <row r="1067">
          <cell r="B1067" t="str">
            <v/>
          </cell>
        </row>
        <row r="1068">
          <cell r="B1068" t="str">
            <v/>
          </cell>
        </row>
        <row r="1069">
          <cell r="B1069" t="str">
            <v/>
          </cell>
        </row>
        <row r="1070">
          <cell r="B1070" t="str">
            <v/>
          </cell>
        </row>
        <row r="1071">
          <cell r="B1071" t="str">
            <v/>
          </cell>
        </row>
        <row r="1072">
          <cell r="B1072" t="str">
            <v/>
          </cell>
        </row>
        <row r="1073">
          <cell r="B1073" t="str">
            <v/>
          </cell>
        </row>
        <row r="1074">
          <cell r="B1074" t="str">
            <v/>
          </cell>
        </row>
        <row r="1075">
          <cell r="B1075" t="str">
            <v/>
          </cell>
        </row>
        <row r="1076">
          <cell r="B1076" t="str">
            <v/>
          </cell>
        </row>
        <row r="1077">
          <cell r="B1077" t="str">
            <v/>
          </cell>
        </row>
        <row r="1078">
          <cell r="B1078" t="str">
            <v/>
          </cell>
        </row>
        <row r="1079">
          <cell r="B1079" t="str">
            <v/>
          </cell>
        </row>
        <row r="1080">
          <cell r="B1080" t="str">
            <v/>
          </cell>
        </row>
        <row r="1081">
          <cell r="B1081" t="str">
            <v/>
          </cell>
        </row>
        <row r="1082">
          <cell r="B1082" t="str">
            <v/>
          </cell>
        </row>
        <row r="1083">
          <cell r="B1083" t="str">
            <v/>
          </cell>
        </row>
        <row r="1084">
          <cell r="B1084" t="str">
            <v/>
          </cell>
        </row>
        <row r="1085">
          <cell r="B1085" t="str">
            <v/>
          </cell>
        </row>
        <row r="1086">
          <cell r="B1086" t="str">
            <v/>
          </cell>
        </row>
        <row r="1087">
          <cell r="B1087" t="str">
            <v/>
          </cell>
        </row>
        <row r="1088">
          <cell r="B1088" t="str">
            <v/>
          </cell>
        </row>
        <row r="1089">
          <cell r="B1089" t="str">
            <v/>
          </cell>
        </row>
        <row r="1090">
          <cell r="B1090" t="str">
            <v/>
          </cell>
        </row>
        <row r="1091">
          <cell r="B1091" t="str">
            <v/>
          </cell>
        </row>
        <row r="1092">
          <cell r="B1092" t="str">
            <v/>
          </cell>
        </row>
        <row r="1093">
          <cell r="B1093" t="str">
            <v/>
          </cell>
        </row>
        <row r="1094">
          <cell r="B1094" t="str">
            <v/>
          </cell>
        </row>
        <row r="1095">
          <cell r="B1095" t="str">
            <v/>
          </cell>
        </row>
        <row r="1096">
          <cell r="B1096" t="str">
            <v/>
          </cell>
        </row>
        <row r="1097">
          <cell r="B1097" t="str">
            <v/>
          </cell>
        </row>
        <row r="1098">
          <cell r="B1098" t="str">
            <v/>
          </cell>
        </row>
        <row r="1099">
          <cell r="B1099" t="str">
            <v/>
          </cell>
        </row>
        <row r="1100">
          <cell r="B1100" t="str">
            <v/>
          </cell>
        </row>
        <row r="1101">
          <cell r="B1101" t="str">
            <v/>
          </cell>
        </row>
        <row r="1102">
          <cell r="B1102" t="str">
            <v/>
          </cell>
        </row>
        <row r="1103">
          <cell r="B1103" t="str">
            <v/>
          </cell>
        </row>
        <row r="1104">
          <cell r="B1104" t="str">
            <v/>
          </cell>
        </row>
        <row r="1105">
          <cell r="B1105" t="str">
            <v/>
          </cell>
        </row>
        <row r="1106">
          <cell r="B1106" t="str">
            <v/>
          </cell>
        </row>
        <row r="1107">
          <cell r="B1107" t="str">
            <v/>
          </cell>
        </row>
        <row r="1108">
          <cell r="B1108" t="str">
            <v/>
          </cell>
        </row>
        <row r="1109">
          <cell r="B1109" t="str">
            <v/>
          </cell>
        </row>
        <row r="1110">
          <cell r="B1110" t="str">
            <v/>
          </cell>
        </row>
        <row r="1111">
          <cell r="B1111" t="str">
            <v/>
          </cell>
        </row>
        <row r="1112">
          <cell r="B1112" t="str">
            <v/>
          </cell>
        </row>
        <row r="1113">
          <cell r="B1113" t="str">
            <v/>
          </cell>
        </row>
        <row r="1114">
          <cell r="B1114" t="str">
            <v/>
          </cell>
        </row>
        <row r="1115">
          <cell r="B1115" t="str">
            <v/>
          </cell>
        </row>
        <row r="1116">
          <cell r="B1116" t="str">
            <v/>
          </cell>
        </row>
        <row r="1117">
          <cell r="B1117" t="str">
            <v/>
          </cell>
        </row>
        <row r="1118">
          <cell r="B1118" t="str">
            <v/>
          </cell>
        </row>
        <row r="1119">
          <cell r="B1119" t="str">
            <v/>
          </cell>
        </row>
        <row r="1120">
          <cell r="B1120" t="str">
            <v/>
          </cell>
        </row>
        <row r="1121">
          <cell r="B1121" t="str">
            <v/>
          </cell>
        </row>
        <row r="1122">
          <cell r="B1122" t="str">
            <v/>
          </cell>
        </row>
        <row r="1123">
          <cell r="B1123" t="str">
            <v/>
          </cell>
        </row>
        <row r="1124">
          <cell r="B1124" t="str">
            <v/>
          </cell>
        </row>
        <row r="1125">
          <cell r="B1125" t="str">
            <v/>
          </cell>
        </row>
        <row r="1126">
          <cell r="B1126" t="str">
            <v/>
          </cell>
        </row>
        <row r="1127">
          <cell r="B1127" t="str">
            <v/>
          </cell>
        </row>
        <row r="1128">
          <cell r="B1128" t="str">
            <v/>
          </cell>
        </row>
        <row r="1129">
          <cell r="B1129" t="str">
            <v/>
          </cell>
        </row>
        <row r="1130">
          <cell r="B1130" t="str">
            <v/>
          </cell>
        </row>
        <row r="1131">
          <cell r="B1131" t="str">
            <v/>
          </cell>
        </row>
        <row r="1132">
          <cell r="B1132" t="str">
            <v/>
          </cell>
        </row>
        <row r="1133">
          <cell r="B1133" t="str">
            <v/>
          </cell>
        </row>
        <row r="1134">
          <cell r="B1134" t="str">
            <v/>
          </cell>
        </row>
        <row r="1135">
          <cell r="B1135" t="str">
            <v/>
          </cell>
        </row>
        <row r="1136">
          <cell r="B1136" t="str">
            <v/>
          </cell>
        </row>
        <row r="1137">
          <cell r="B1137" t="str">
            <v/>
          </cell>
        </row>
        <row r="1138">
          <cell r="B1138" t="str">
            <v/>
          </cell>
        </row>
        <row r="1139">
          <cell r="B1139" t="str">
            <v/>
          </cell>
        </row>
        <row r="1140">
          <cell r="B1140" t="str">
            <v/>
          </cell>
        </row>
        <row r="1141">
          <cell r="B1141" t="str">
            <v/>
          </cell>
        </row>
        <row r="1142">
          <cell r="B1142" t="str">
            <v/>
          </cell>
        </row>
        <row r="1143">
          <cell r="B1143" t="str">
            <v/>
          </cell>
        </row>
        <row r="1144">
          <cell r="B1144" t="str">
            <v/>
          </cell>
        </row>
        <row r="1145">
          <cell r="B1145" t="str">
            <v/>
          </cell>
        </row>
        <row r="1146">
          <cell r="B1146" t="str">
            <v/>
          </cell>
        </row>
        <row r="1147">
          <cell r="B1147" t="str">
            <v/>
          </cell>
        </row>
        <row r="1148">
          <cell r="B1148" t="str">
            <v/>
          </cell>
        </row>
        <row r="1149">
          <cell r="B1149" t="str">
            <v/>
          </cell>
        </row>
        <row r="1150">
          <cell r="B1150" t="str">
            <v/>
          </cell>
        </row>
        <row r="1151">
          <cell r="B1151" t="str">
            <v/>
          </cell>
        </row>
        <row r="1152">
          <cell r="B1152" t="str">
            <v/>
          </cell>
        </row>
        <row r="1153">
          <cell r="B1153" t="str">
            <v/>
          </cell>
        </row>
        <row r="1154">
          <cell r="B1154" t="str">
            <v/>
          </cell>
        </row>
        <row r="1155">
          <cell r="B1155" t="str">
            <v/>
          </cell>
        </row>
        <row r="1156">
          <cell r="B1156" t="str">
            <v/>
          </cell>
        </row>
        <row r="1157">
          <cell r="B1157" t="str">
            <v/>
          </cell>
        </row>
        <row r="1158">
          <cell r="B1158" t="str">
            <v/>
          </cell>
        </row>
        <row r="1159">
          <cell r="B1159" t="str">
            <v/>
          </cell>
        </row>
        <row r="1160">
          <cell r="B1160" t="str">
            <v/>
          </cell>
        </row>
        <row r="1161">
          <cell r="B1161" t="str">
            <v/>
          </cell>
        </row>
        <row r="1162">
          <cell r="B1162" t="str">
            <v/>
          </cell>
        </row>
        <row r="1163">
          <cell r="B1163" t="str">
            <v/>
          </cell>
        </row>
        <row r="1164">
          <cell r="B1164" t="str">
            <v/>
          </cell>
        </row>
        <row r="1165">
          <cell r="B1165" t="str">
            <v/>
          </cell>
        </row>
        <row r="1166">
          <cell r="B1166" t="str">
            <v/>
          </cell>
        </row>
        <row r="1167">
          <cell r="B1167" t="str">
            <v/>
          </cell>
        </row>
        <row r="1168">
          <cell r="B1168" t="str">
            <v/>
          </cell>
        </row>
        <row r="1169">
          <cell r="B1169" t="str">
            <v/>
          </cell>
        </row>
        <row r="1170">
          <cell r="B1170" t="str">
            <v/>
          </cell>
        </row>
        <row r="1171">
          <cell r="B1171" t="str">
            <v/>
          </cell>
        </row>
        <row r="1172">
          <cell r="B1172" t="str">
            <v/>
          </cell>
        </row>
        <row r="1173">
          <cell r="B1173" t="str">
            <v/>
          </cell>
        </row>
        <row r="1174">
          <cell r="B1174" t="str">
            <v/>
          </cell>
        </row>
        <row r="1175">
          <cell r="B1175" t="str">
            <v/>
          </cell>
        </row>
        <row r="1176">
          <cell r="B1176" t="str">
            <v/>
          </cell>
        </row>
        <row r="1177">
          <cell r="B1177" t="str">
            <v/>
          </cell>
        </row>
        <row r="1178">
          <cell r="B1178" t="str">
            <v/>
          </cell>
        </row>
        <row r="1179">
          <cell r="B1179" t="str">
            <v/>
          </cell>
        </row>
        <row r="1180">
          <cell r="B1180" t="str">
            <v/>
          </cell>
        </row>
        <row r="1181">
          <cell r="B1181" t="str">
            <v/>
          </cell>
        </row>
        <row r="1182">
          <cell r="B1182" t="str">
            <v/>
          </cell>
        </row>
        <row r="1183">
          <cell r="B1183" t="str">
            <v/>
          </cell>
        </row>
        <row r="1184">
          <cell r="B1184" t="str">
            <v/>
          </cell>
        </row>
        <row r="1185">
          <cell r="B1185" t="str">
            <v/>
          </cell>
        </row>
        <row r="1186">
          <cell r="B1186" t="str">
            <v/>
          </cell>
        </row>
        <row r="1187">
          <cell r="B1187" t="str">
            <v/>
          </cell>
        </row>
        <row r="1188">
          <cell r="B1188" t="str">
            <v/>
          </cell>
        </row>
        <row r="1189">
          <cell r="B1189" t="str">
            <v/>
          </cell>
        </row>
        <row r="1190">
          <cell r="B1190" t="str">
            <v/>
          </cell>
        </row>
        <row r="1191">
          <cell r="B1191" t="str">
            <v/>
          </cell>
        </row>
        <row r="1192">
          <cell r="B1192" t="str">
            <v/>
          </cell>
        </row>
        <row r="1193">
          <cell r="B1193" t="str">
            <v/>
          </cell>
        </row>
        <row r="1194">
          <cell r="B1194" t="str">
            <v/>
          </cell>
        </row>
        <row r="1195">
          <cell r="B1195" t="str">
            <v/>
          </cell>
        </row>
        <row r="1196">
          <cell r="B1196" t="str">
            <v/>
          </cell>
        </row>
        <row r="1197">
          <cell r="B1197" t="str">
            <v/>
          </cell>
        </row>
        <row r="1198">
          <cell r="B1198" t="str">
            <v/>
          </cell>
        </row>
        <row r="1199">
          <cell r="B1199" t="str">
            <v/>
          </cell>
        </row>
        <row r="1200">
          <cell r="B1200" t="str">
            <v/>
          </cell>
        </row>
        <row r="1201">
          <cell r="B1201" t="str">
            <v/>
          </cell>
        </row>
        <row r="1202">
          <cell r="B1202" t="str">
            <v/>
          </cell>
        </row>
        <row r="1203">
          <cell r="B1203" t="str">
            <v/>
          </cell>
        </row>
        <row r="1204">
          <cell r="B1204" t="str">
            <v/>
          </cell>
        </row>
        <row r="1205">
          <cell r="B1205" t="str">
            <v/>
          </cell>
        </row>
        <row r="1206">
          <cell r="B1206" t="str">
            <v/>
          </cell>
        </row>
        <row r="1207">
          <cell r="B1207" t="str">
            <v/>
          </cell>
        </row>
        <row r="1208">
          <cell r="B1208" t="str">
            <v/>
          </cell>
        </row>
        <row r="1209">
          <cell r="B1209" t="str">
            <v/>
          </cell>
        </row>
        <row r="1210">
          <cell r="B1210" t="str">
            <v/>
          </cell>
        </row>
        <row r="1211">
          <cell r="B1211" t="str">
            <v/>
          </cell>
        </row>
        <row r="1212">
          <cell r="B1212" t="str">
            <v/>
          </cell>
        </row>
        <row r="1213">
          <cell r="B1213" t="str">
            <v/>
          </cell>
        </row>
        <row r="1214">
          <cell r="B1214" t="str">
            <v/>
          </cell>
        </row>
        <row r="1215">
          <cell r="B1215" t="str">
            <v/>
          </cell>
        </row>
        <row r="1216">
          <cell r="B1216" t="str">
            <v/>
          </cell>
        </row>
        <row r="1217">
          <cell r="B1217" t="str">
            <v/>
          </cell>
        </row>
        <row r="1218">
          <cell r="B1218" t="str">
            <v/>
          </cell>
        </row>
        <row r="1219">
          <cell r="B1219" t="str">
            <v/>
          </cell>
        </row>
        <row r="1220">
          <cell r="B1220" t="str">
            <v/>
          </cell>
        </row>
        <row r="1221">
          <cell r="B1221" t="str">
            <v/>
          </cell>
        </row>
        <row r="1222">
          <cell r="B1222" t="str">
            <v/>
          </cell>
        </row>
        <row r="1223">
          <cell r="B1223" t="str">
            <v/>
          </cell>
        </row>
        <row r="1224">
          <cell r="B1224" t="str">
            <v/>
          </cell>
        </row>
        <row r="1225">
          <cell r="B1225" t="str">
            <v/>
          </cell>
        </row>
        <row r="1226">
          <cell r="B1226" t="str">
            <v/>
          </cell>
        </row>
        <row r="1227">
          <cell r="B1227" t="str">
            <v/>
          </cell>
        </row>
        <row r="1228">
          <cell r="B1228" t="str">
            <v/>
          </cell>
        </row>
        <row r="1229">
          <cell r="B1229" t="str">
            <v/>
          </cell>
        </row>
        <row r="1230">
          <cell r="B1230" t="str">
            <v/>
          </cell>
        </row>
        <row r="1231">
          <cell r="B1231" t="str">
            <v/>
          </cell>
        </row>
        <row r="1232">
          <cell r="B1232" t="str">
            <v/>
          </cell>
        </row>
        <row r="1233">
          <cell r="B1233" t="str">
            <v/>
          </cell>
        </row>
        <row r="1234">
          <cell r="B1234" t="str">
            <v/>
          </cell>
        </row>
        <row r="1235">
          <cell r="B1235" t="str">
            <v/>
          </cell>
        </row>
        <row r="1236">
          <cell r="B1236" t="str">
            <v/>
          </cell>
        </row>
        <row r="1237">
          <cell r="B1237" t="str">
            <v/>
          </cell>
        </row>
        <row r="1238">
          <cell r="B1238" t="str">
            <v/>
          </cell>
        </row>
        <row r="1239">
          <cell r="B1239" t="str">
            <v/>
          </cell>
        </row>
        <row r="1240">
          <cell r="B1240" t="str">
            <v/>
          </cell>
        </row>
        <row r="1241">
          <cell r="B1241" t="str">
            <v/>
          </cell>
        </row>
        <row r="1242">
          <cell r="B1242" t="str">
            <v/>
          </cell>
        </row>
        <row r="1243">
          <cell r="B1243" t="str">
            <v/>
          </cell>
        </row>
        <row r="1244">
          <cell r="B1244" t="str">
            <v/>
          </cell>
        </row>
        <row r="1245">
          <cell r="B1245" t="str">
            <v/>
          </cell>
        </row>
        <row r="1246">
          <cell r="B1246" t="str">
            <v/>
          </cell>
        </row>
        <row r="1247">
          <cell r="B1247" t="str">
            <v/>
          </cell>
        </row>
        <row r="1248">
          <cell r="B1248" t="str">
            <v/>
          </cell>
        </row>
        <row r="1249">
          <cell r="B1249" t="str">
            <v/>
          </cell>
        </row>
        <row r="1250">
          <cell r="B1250" t="str">
            <v/>
          </cell>
        </row>
        <row r="1251">
          <cell r="B1251" t="str">
            <v/>
          </cell>
        </row>
        <row r="1252">
          <cell r="B1252" t="str">
            <v/>
          </cell>
        </row>
        <row r="1253">
          <cell r="B1253" t="str">
            <v/>
          </cell>
        </row>
        <row r="1254">
          <cell r="B1254" t="str">
            <v/>
          </cell>
        </row>
        <row r="1255">
          <cell r="B1255" t="str">
            <v/>
          </cell>
        </row>
        <row r="1256">
          <cell r="B1256" t="str">
            <v/>
          </cell>
        </row>
        <row r="1257">
          <cell r="B1257" t="str">
            <v/>
          </cell>
        </row>
        <row r="1258">
          <cell r="B1258" t="str">
            <v/>
          </cell>
        </row>
        <row r="1259">
          <cell r="B1259" t="str">
            <v/>
          </cell>
        </row>
        <row r="1260">
          <cell r="B1260" t="str">
            <v/>
          </cell>
        </row>
        <row r="1261">
          <cell r="B1261" t="str">
            <v/>
          </cell>
        </row>
        <row r="1262">
          <cell r="B1262" t="str">
            <v/>
          </cell>
        </row>
        <row r="1263">
          <cell r="B1263" t="str">
            <v/>
          </cell>
        </row>
        <row r="1264">
          <cell r="B1264" t="str">
            <v/>
          </cell>
        </row>
        <row r="1265">
          <cell r="B1265" t="str">
            <v/>
          </cell>
        </row>
        <row r="1266">
          <cell r="B1266" t="str">
            <v/>
          </cell>
        </row>
        <row r="1267">
          <cell r="B1267" t="str">
            <v/>
          </cell>
        </row>
        <row r="1268">
          <cell r="B1268" t="str">
            <v/>
          </cell>
        </row>
        <row r="1269">
          <cell r="B1269" t="str">
            <v/>
          </cell>
        </row>
        <row r="1270">
          <cell r="B1270" t="str">
            <v/>
          </cell>
        </row>
        <row r="1271">
          <cell r="B1271" t="str">
            <v/>
          </cell>
        </row>
        <row r="1272">
          <cell r="B1272" t="str">
            <v/>
          </cell>
        </row>
        <row r="1273">
          <cell r="B1273" t="str">
            <v/>
          </cell>
        </row>
        <row r="1274">
          <cell r="B1274" t="str">
            <v/>
          </cell>
        </row>
        <row r="1275">
          <cell r="B1275" t="str">
            <v/>
          </cell>
        </row>
        <row r="1276">
          <cell r="B1276" t="str">
            <v/>
          </cell>
        </row>
        <row r="1277">
          <cell r="B1277" t="str">
            <v/>
          </cell>
        </row>
        <row r="1278">
          <cell r="B1278" t="str">
            <v/>
          </cell>
        </row>
        <row r="1279">
          <cell r="B1279" t="str">
            <v/>
          </cell>
        </row>
        <row r="1280">
          <cell r="B1280" t="str">
            <v/>
          </cell>
        </row>
        <row r="1281">
          <cell r="B1281" t="str">
            <v/>
          </cell>
        </row>
        <row r="1282">
          <cell r="B1282" t="str">
            <v/>
          </cell>
        </row>
        <row r="1283">
          <cell r="B1283" t="str">
            <v/>
          </cell>
        </row>
        <row r="1284">
          <cell r="B1284" t="str">
            <v/>
          </cell>
        </row>
        <row r="1285">
          <cell r="B1285" t="str">
            <v/>
          </cell>
        </row>
        <row r="1286">
          <cell r="B1286" t="str">
            <v/>
          </cell>
        </row>
        <row r="1287">
          <cell r="B1287" t="str">
            <v/>
          </cell>
        </row>
        <row r="1288">
          <cell r="B1288" t="str">
            <v/>
          </cell>
        </row>
        <row r="1289">
          <cell r="B1289" t="str">
            <v/>
          </cell>
        </row>
        <row r="1290">
          <cell r="B1290" t="str">
            <v/>
          </cell>
        </row>
        <row r="1291">
          <cell r="B1291" t="str">
            <v/>
          </cell>
        </row>
        <row r="1292">
          <cell r="B1292" t="str">
            <v/>
          </cell>
        </row>
        <row r="1293">
          <cell r="B1293" t="str">
            <v/>
          </cell>
        </row>
        <row r="1294">
          <cell r="B1294" t="str">
            <v/>
          </cell>
        </row>
        <row r="1295">
          <cell r="B1295" t="str">
            <v/>
          </cell>
        </row>
        <row r="1296">
          <cell r="B1296" t="str">
            <v/>
          </cell>
        </row>
        <row r="1297">
          <cell r="B1297" t="str">
            <v/>
          </cell>
        </row>
        <row r="1298">
          <cell r="B1298" t="str">
            <v/>
          </cell>
        </row>
        <row r="1299">
          <cell r="B1299" t="str">
            <v/>
          </cell>
        </row>
        <row r="1300">
          <cell r="B1300" t="str">
            <v/>
          </cell>
        </row>
        <row r="1301">
          <cell r="B1301" t="str">
            <v/>
          </cell>
        </row>
        <row r="1302">
          <cell r="B1302" t="str">
            <v/>
          </cell>
        </row>
        <row r="1303">
          <cell r="B1303" t="str">
            <v/>
          </cell>
        </row>
        <row r="1304">
          <cell r="B1304" t="str">
            <v/>
          </cell>
        </row>
        <row r="1305">
          <cell r="B1305" t="str">
            <v/>
          </cell>
        </row>
        <row r="1306">
          <cell r="B1306" t="str">
            <v/>
          </cell>
        </row>
        <row r="1307">
          <cell r="B1307" t="str">
            <v/>
          </cell>
        </row>
        <row r="1308">
          <cell r="B1308" t="str">
            <v/>
          </cell>
        </row>
        <row r="1309">
          <cell r="B1309" t="str">
            <v/>
          </cell>
        </row>
        <row r="1310">
          <cell r="B1310" t="str">
            <v/>
          </cell>
        </row>
        <row r="1311">
          <cell r="B1311" t="str">
            <v/>
          </cell>
        </row>
        <row r="1312">
          <cell r="B1312" t="str">
            <v/>
          </cell>
        </row>
        <row r="1313">
          <cell r="B1313" t="str">
            <v/>
          </cell>
        </row>
        <row r="1314">
          <cell r="B1314" t="str">
            <v/>
          </cell>
        </row>
        <row r="1315">
          <cell r="B1315" t="str">
            <v/>
          </cell>
        </row>
        <row r="1316">
          <cell r="B1316" t="str">
            <v/>
          </cell>
        </row>
        <row r="1317">
          <cell r="B1317" t="str">
            <v/>
          </cell>
        </row>
        <row r="1318">
          <cell r="B1318" t="str">
            <v/>
          </cell>
        </row>
        <row r="1319">
          <cell r="B1319" t="str">
            <v/>
          </cell>
        </row>
        <row r="1320">
          <cell r="B1320" t="str">
            <v/>
          </cell>
        </row>
        <row r="1321">
          <cell r="B1321" t="str">
            <v/>
          </cell>
        </row>
        <row r="1322">
          <cell r="B1322" t="str">
            <v/>
          </cell>
        </row>
        <row r="1323">
          <cell r="B1323" t="str">
            <v/>
          </cell>
        </row>
        <row r="1324">
          <cell r="B1324" t="str">
            <v/>
          </cell>
        </row>
        <row r="1325">
          <cell r="B1325" t="str">
            <v/>
          </cell>
        </row>
        <row r="1326">
          <cell r="B1326" t="str">
            <v/>
          </cell>
        </row>
        <row r="1327">
          <cell r="B1327" t="str">
            <v/>
          </cell>
        </row>
        <row r="1328">
          <cell r="B1328" t="str">
            <v/>
          </cell>
        </row>
        <row r="1329">
          <cell r="B1329" t="str">
            <v/>
          </cell>
        </row>
        <row r="1330">
          <cell r="B1330" t="str">
            <v/>
          </cell>
        </row>
        <row r="1331">
          <cell r="B1331" t="str">
            <v/>
          </cell>
        </row>
        <row r="1332">
          <cell r="B1332" t="str">
            <v/>
          </cell>
        </row>
        <row r="1333">
          <cell r="B1333" t="str">
            <v/>
          </cell>
        </row>
        <row r="1334">
          <cell r="B1334" t="str">
            <v/>
          </cell>
        </row>
        <row r="1335">
          <cell r="B1335" t="str">
            <v/>
          </cell>
        </row>
        <row r="1336">
          <cell r="B1336" t="str">
            <v/>
          </cell>
        </row>
        <row r="1337">
          <cell r="B1337" t="str">
            <v/>
          </cell>
        </row>
        <row r="1338">
          <cell r="B1338" t="str">
            <v/>
          </cell>
        </row>
        <row r="1339">
          <cell r="B1339" t="str">
            <v/>
          </cell>
        </row>
        <row r="1340">
          <cell r="B1340" t="str">
            <v/>
          </cell>
        </row>
        <row r="1341">
          <cell r="B1341" t="str">
            <v/>
          </cell>
        </row>
        <row r="1342">
          <cell r="B1342" t="str">
            <v/>
          </cell>
        </row>
        <row r="1343">
          <cell r="B1343" t="str">
            <v/>
          </cell>
        </row>
        <row r="1344">
          <cell r="B1344" t="str">
            <v/>
          </cell>
        </row>
        <row r="1345">
          <cell r="B1345" t="str">
            <v/>
          </cell>
        </row>
        <row r="1346">
          <cell r="B1346" t="str">
            <v/>
          </cell>
        </row>
        <row r="1347">
          <cell r="B1347" t="str">
            <v/>
          </cell>
        </row>
        <row r="1348">
          <cell r="B1348" t="str">
            <v/>
          </cell>
        </row>
        <row r="1349">
          <cell r="B1349" t="str">
            <v/>
          </cell>
        </row>
        <row r="1350">
          <cell r="B1350" t="str">
            <v/>
          </cell>
        </row>
        <row r="1351">
          <cell r="B1351" t="str">
            <v/>
          </cell>
        </row>
        <row r="1352">
          <cell r="B1352" t="str">
            <v/>
          </cell>
        </row>
        <row r="1353">
          <cell r="B1353" t="str">
            <v/>
          </cell>
        </row>
        <row r="1354">
          <cell r="B1354" t="str">
            <v/>
          </cell>
        </row>
        <row r="1355">
          <cell r="B1355" t="str">
            <v/>
          </cell>
        </row>
        <row r="1356">
          <cell r="B1356" t="str">
            <v/>
          </cell>
        </row>
        <row r="1357">
          <cell r="B1357" t="str">
            <v/>
          </cell>
        </row>
        <row r="1358">
          <cell r="B1358" t="str">
            <v/>
          </cell>
        </row>
        <row r="1359">
          <cell r="B1359" t="str">
            <v/>
          </cell>
        </row>
        <row r="1360">
          <cell r="B1360" t="str">
            <v/>
          </cell>
        </row>
        <row r="1361">
          <cell r="B1361" t="str">
            <v/>
          </cell>
        </row>
        <row r="1362">
          <cell r="B1362" t="str">
            <v/>
          </cell>
        </row>
        <row r="1363">
          <cell r="B1363" t="str">
            <v/>
          </cell>
        </row>
        <row r="1364">
          <cell r="B1364" t="str">
            <v/>
          </cell>
        </row>
        <row r="1365">
          <cell r="B1365" t="str">
            <v/>
          </cell>
        </row>
        <row r="1366">
          <cell r="B1366" t="str">
            <v/>
          </cell>
        </row>
        <row r="1367">
          <cell r="B1367" t="str">
            <v/>
          </cell>
        </row>
        <row r="1368">
          <cell r="B1368" t="str">
            <v/>
          </cell>
        </row>
        <row r="1369">
          <cell r="B1369" t="str">
            <v/>
          </cell>
        </row>
        <row r="1370">
          <cell r="B1370" t="str">
            <v/>
          </cell>
        </row>
        <row r="1371">
          <cell r="B1371" t="str">
            <v/>
          </cell>
        </row>
        <row r="1372">
          <cell r="B1372" t="str">
            <v/>
          </cell>
        </row>
        <row r="1373">
          <cell r="B1373" t="str">
            <v/>
          </cell>
        </row>
        <row r="1374">
          <cell r="B1374" t="str">
            <v/>
          </cell>
        </row>
        <row r="1375">
          <cell r="B1375" t="str">
            <v/>
          </cell>
        </row>
        <row r="1376">
          <cell r="B1376" t="str">
            <v/>
          </cell>
        </row>
        <row r="1377">
          <cell r="B1377" t="str">
            <v/>
          </cell>
        </row>
        <row r="1378">
          <cell r="B1378" t="str">
            <v/>
          </cell>
        </row>
        <row r="1379">
          <cell r="B1379" t="str">
            <v/>
          </cell>
        </row>
        <row r="1380">
          <cell r="B1380" t="str">
            <v/>
          </cell>
        </row>
        <row r="1381">
          <cell r="B1381" t="str">
            <v/>
          </cell>
        </row>
        <row r="1382">
          <cell r="B1382" t="str">
            <v/>
          </cell>
        </row>
        <row r="1383">
          <cell r="B1383" t="str">
            <v/>
          </cell>
        </row>
        <row r="1384">
          <cell r="B1384" t="str">
            <v/>
          </cell>
        </row>
        <row r="1385">
          <cell r="B1385" t="str">
            <v/>
          </cell>
        </row>
        <row r="1386">
          <cell r="B1386" t="str">
            <v/>
          </cell>
        </row>
        <row r="1387">
          <cell r="B1387" t="str">
            <v/>
          </cell>
        </row>
        <row r="1388">
          <cell r="B1388" t="str">
            <v/>
          </cell>
        </row>
        <row r="1389">
          <cell r="B1389" t="str">
            <v/>
          </cell>
        </row>
        <row r="1390">
          <cell r="B1390" t="str">
            <v/>
          </cell>
        </row>
        <row r="1391">
          <cell r="B1391" t="str">
            <v/>
          </cell>
        </row>
        <row r="1392">
          <cell r="B1392" t="str">
            <v/>
          </cell>
        </row>
        <row r="1393">
          <cell r="B1393" t="str">
            <v/>
          </cell>
        </row>
        <row r="1394">
          <cell r="B1394" t="str">
            <v/>
          </cell>
        </row>
        <row r="1395">
          <cell r="B1395" t="str">
            <v/>
          </cell>
        </row>
        <row r="1396">
          <cell r="B1396" t="str">
            <v/>
          </cell>
        </row>
        <row r="1397">
          <cell r="B1397" t="str">
            <v/>
          </cell>
        </row>
        <row r="1398">
          <cell r="B1398" t="str">
            <v/>
          </cell>
        </row>
        <row r="1399">
          <cell r="B1399" t="str">
            <v/>
          </cell>
        </row>
        <row r="1400">
          <cell r="B1400" t="str">
            <v/>
          </cell>
        </row>
        <row r="1401">
          <cell r="B1401" t="str">
            <v/>
          </cell>
        </row>
        <row r="1402">
          <cell r="B1402" t="str">
            <v/>
          </cell>
        </row>
        <row r="1403">
          <cell r="B1403" t="str">
            <v/>
          </cell>
        </row>
        <row r="1404">
          <cell r="B1404" t="str">
            <v/>
          </cell>
        </row>
        <row r="1405">
          <cell r="B1405" t="str">
            <v/>
          </cell>
        </row>
        <row r="1406">
          <cell r="B1406" t="str">
            <v/>
          </cell>
        </row>
        <row r="1407">
          <cell r="B1407" t="str">
            <v/>
          </cell>
        </row>
        <row r="1408">
          <cell r="B1408" t="str">
            <v/>
          </cell>
        </row>
        <row r="1409">
          <cell r="B1409" t="str">
            <v/>
          </cell>
        </row>
        <row r="1410">
          <cell r="B1410" t="str">
            <v/>
          </cell>
        </row>
        <row r="1411">
          <cell r="B1411" t="str">
            <v/>
          </cell>
        </row>
        <row r="1412">
          <cell r="B1412" t="str">
            <v/>
          </cell>
        </row>
        <row r="1413">
          <cell r="B1413" t="str">
            <v/>
          </cell>
        </row>
        <row r="1414">
          <cell r="B1414" t="str">
            <v/>
          </cell>
        </row>
        <row r="1415">
          <cell r="B1415" t="str">
            <v/>
          </cell>
        </row>
        <row r="1416">
          <cell r="B1416" t="str">
            <v/>
          </cell>
        </row>
        <row r="1417">
          <cell r="B1417" t="str">
            <v/>
          </cell>
        </row>
        <row r="1418">
          <cell r="B1418" t="str">
            <v/>
          </cell>
        </row>
        <row r="1419">
          <cell r="B1419" t="str">
            <v/>
          </cell>
        </row>
        <row r="1420">
          <cell r="B1420" t="str">
            <v/>
          </cell>
        </row>
        <row r="1421">
          <cell r="B1421" t="str">
            <v/>
          </cell>
        </row>
        <row r="1422">
          <cell r="B1422" t="str">
            <v/>
          </cell>
        </row>
        <row r="1423">
          <cell r="B1423" t="str">
            <v/>
          </cell>
        </row>
        <row r="1424">
          <cell r="B1424" t="str">
            <v/>
          </cell>
        </row>
        <row r="1425">
          <cell r="B1425" t="str">
            <v/>
          </cell>
        </row>
        <row r="1426">
          <cell r="B1426" t="str">
            <v/>
          </cell>
        </row>
        <row r="1427">
          <cell r="B1427" t="str">
            <v/>
          </cell>
        </row>
        <row r="1428">
          <cell r="B1428" t="str">
            <v/>
          </cell>
        </row>
        <row r="1429">
          <cell r="B1429" t="str">
            <v/>
          </cell>
        </row>
        <row r="1430">
          <cell r="B1430" t="str">
            <v/>
          </cell>
        </row>
        <row r="1431">
          <cell r="B1431" t="str">
            <v/>
          </cell>
        </row>
        <row r="1432">
          <cell r="B1432" t="str">
            <v/>
          </cell>
        </row>
        <row r="1433">
          <cell r="B1433" t="str">
            <v/>
          </cell>
        </row>
        <row r="1434">
          <cell r="B1434" t="str">
            <v/>
          </cell>
        </row>
        <row r="1435">
          <cell r="B1435" t="str">
            <v/>
          </cell>
        </row>
        <row r="1436">
          <cell r="B1436" t="str">
            <v/>
          </cell>
        </row>
        <row r="1437">
          <cell r="B1437" t="str">
            <v/>
          </cell>
        </row>
        <row r="1438">
          <cell r="B1438" t="str">
            <v/>
          </cell>
        </row>
        <row r="1439">
          <cell r="B1439" t="str">
            <v/>
          </cell>
        </row>
        <row r="1440">
          <cell r="B1440" t="str">
            <v/>
          </cell>
        </row>
        <row r="1441">
          <cell r="B1441" t="str">
            <v/>
          </cell>
        </row>
        <row r="1442">
          <cell r="B1442" t="str">
            <v/>
          </cell>
        </row>
        <row r="1443">
          <cell r="B1443" t="str">
            <v/>
          </cell>
        </row>
        <row r="1444">
          <cell r="B1444" t="str">
            <v/>
          </cell>
        </row>
        <row r="1445">
          <cell r="B1445" t="str">
            <v/>
          </cell>
        </row>
        <row r="1446">
          <cell r="B1446" t="str">
            <v/>
          </cell>
        </row>
        <row r="1447">
          <cell r="B1447" t="str">
            <v/>
          </cell>
        </row>
        <row r="1448">
          <cell r="B1448" t="str">
            <v/>
          </cell>
        </row>
        <row r="1449">
          <cell r="B1449" t="str">
            <v/>
          </cell>
        </row>
        <row r="1450">
          <cell r="B1450" t="str">
            <v/>
          </cell>
        </row>
        <row r="1451">
          <cell r="B1451" t="str">
            <v/>
          </cell>
        </row>
        <row r="1452">
          <cell r="B1452" t="str">
            <v/>
          </cell>
        </row>
        <row r="1453">
          <cell r="B1453" t="str">
            <v/>
          </cell>
        </row>
        <row r="1454">
          <cell r="B1454" t="str">
            <v/>
          </cell>
        </row>
        <row r="1455">
          <cell r="B1455" t="str">
            <v/>
          </cell>
        </row>
        <row r="1456">
          <cell r="B1456" t="str">
            <v/>
          </cell>
        </row>
        <row r="1457">
          <cell r="B1457" t="str">
            <v/>
          </cell>
        </row>
        <row r="1458">
          <cell r="B1458" t="str">
            <v/>
          </cell>
        </row>
        <row r="1459">
          <cell r="B1459" t="str">
            <v/>
          </cell>
        </row>
        <row r="1460">
          <cell r="B1460" t="str">
            <v/>
          </cell>
        </row>
        <row r="1461">
          <cell r="B1461" t="str">
            <v/>
          </cell>
        </row>
        <row r="1462">
          <cell r="B1462" t="str">
            <v/>
          </cell>
        </row>
        <row r="1463">
          <cell r="B1463" t="str">
            <v/>
          </cell>
        </row>
        <row r="1464">
          <cell r="B1464" t="str">
            <v/>
          </cell>
        </row>
        <row r="1465">
          <cell r="B1465" t="str">
            <v/>
          </cell>
        </row>
        <row r="1466">
          <cell r="B1466" t="str">
            <v/>
          </cell>
        </row>
        <row r="1467">
          <cell r="B1467" t="str">
            <v/>
          </cell>
        </row>
        <row r="1468">
          <cell r="B1468" t="str">
            <v/>
          </cell>
        </row>
        <row r="1469">
          <cell r="B1469" t="str">
            <v/>
          </cell>
        </row>
        <row r="1470">
          <cell r="B1470" t="str">
            <v/>
          </cell>
        </row>
        <row r="1471">
          <cell r="B1471" t="str">
            <v/>
          </cell>
        </row>
        <row r="1472">
          <cell r="B1472" t="str">
            <v/>
          </cell>
        </row>
        <row r="1473">
          <cell r="B1473" t="str">
            <v/>
          </cell>
        </row>
        <row r="1474">
          <cell r="B1474" t="str">
            <v/>
          </cell>
        </row>
        <row r="1475">
          <cell r="B1475" t="str">
            <v/>
          </cell>
        </row>
        <row r="1476">
          <cell r="B1476" t="str">
            <v/>
          </cell>
        </row>
        <row r="1477">
          <cell r="B1477" t="str">
            <v/>
          </cell>
        </row>
        <row r="1478">
          <cell r="B1478" t="str">
            <v/>
          </cell>
        </row>
        <row r="1479">
          <cell r="B1479" t="str">
            <v/>
          </cell>
        </row>
        <row r="1480">
          <cell r="B1480" t="str">
            <v/>
          </cell>
        </row>
        <row r="1481">
          <cell r="B1481" t="str">
            <v/>
          </cell>
        </row>
        <row r="1482">
          <cell r="B1482" t="str">
            <v/>
          </cell>
        </row>
        <row r="1483">
          <cell r="B1483" t="str">
            <v/>
          </cell>
        </row>
        <row r="1484">
          <cell r="B1484" t="str">
            <v/>
          </cell>
        </row>
        <row r="1485">
          <cell r="B1485" t="str">
            <v/>
          </cell>
        </row>
        <row r="1486">
          <cell r="B1486" t="str">
            <v/>
          </cell>
        </row>
        <row r="1487">
          <cell r="B1487" t="str">
            <v/>
          </cell>
        </row>
        <row r="1488">
          <cell r="B1488" t="str">
            <v/>
          </cell>
        </row>
        <row r="1489">
          <cell r="B1489" t="str">
            <v/>
          </cell>
        </row>
        <row r="1490">
          <cell r="B1490" t="str">
            <v/>
          </cell>
        </row>
        <row r="1491">
          <cell r="B1491" t="str">
            <v/>
          </cell>
        </row>
        <row r="1492">
          <cell r="B1492" t="str">
            <v/>
          </cell>
        </row>
        <row r="1493">
          <cell r="B1493" t="str">
            <v/>
          </cell>
        </row>
        <row r="1494">
          <cell r="B1494" t="str">
            <v/>
          </cell>
        </row>
        <row r="1495">
          <cell r="B1495" t="str">
            <v/>
          </cell>
        </row>
        <row r="1496">
          <cell r="B1496" t="str">
            <v/>
          </cell>
        </row>
        <row r="1497">
          <cell r="B1497" t="str">
            <v/>
          </cell>
        </row>
        <row r="1498">
          <cell r="B1498" t="str">
            <v/>
          </cell>
        </row>
        <row r="1499">
          <cell r="B1499" t="str">
            <v/>
          </cell>
        </row>
        <row r="1500">
          <cell r="B1500" t="str">
            <v/>
          </cell>
        </row>
        <row r="1501">
          <cell r="B1501" t="str">
            <v/>
          </cell>
        </row>
        <row r="1502">
          <cell r="B1502" t="str">
            <v/>
          </cell>
        </row>
        <row r="1503">
          <cell r="B1503" t="str">
            <v/>
          </cell>
        </row>
        <row r="1504">
          <cell r="B1504" t="str">
            <v/>
          </cell>
        </row>
        <row r="1505">
          <cell r="B1505" t="str">
            <v/>
          </cell>
        </row>
        <row r="1506">
          <cell r="B1506" t="str">
            <v/>
          </cell>
        </row>
        <row r="1507">
          <cell r="B1507" t="str">
            <v/>
          </cell>
        </row>
        <row r="1508">
          <cell r="B1508" t="str">
            <v/>
          </cell>
        </row>
        <row r="1509">
          <cell r="B1509" t="str">
            <v/>
          </cell>
        </row>
        <row r="1510">
          <cell r="B1510" t="str">
            <v/>
          </cell>
        </row>
        <row r="1511">
          <cell r="B1511" t="str">
            <v/>
          </cell>
        </row>
        <row r="1512">
          <cell r="B1512" t="str">
            <v/>
          </cell>
        </row>
        <row r="1513">
          <cell r="B1513" t="str">
            <v/>
          </cell>
        </row>
        <row r="1514">
          <cell r="B1514" t="str">
            <v/>
          </cell>
        </row>
        <row r="1515">
          <cell r="B1515" t="str">
            <v/>
          </cell>
        </row>
        <row r="1516">
          <cell r="B1516" t="str">
            <v/>
          </cell>
        </row>
        <row r="1517">
          <cell r="B1517" t="str">
            <v/>
          </cell>
        </row>
        <row r="1518">
          <cell r="B1518" t="str">
            <v/>
          </cell>
        </row>
        <row r="1519">
          <cell r="B1519" t="str">
            <v/>
          </cell>
        </row>
        <row r="1520">
          <cell r="B1520" t="str">
            <v/>
          </cell>
        </row>
        <row r="1521">
          <cell r="B1521" t="str">
            <v/>
          </cell>
        </row>
        <row r="1522">
          <cell r="B1522" t="str">
            <v/>
          </cell>
        </row>
        <row r="1523">
          <cell r="B1523" t="str">
            <v/>
          </cell>
        </row>
        <row r="1524">
          <cell r="B1524" t="str">
            <v/>
          </cell>
        </row>
        <row r="1525">
          <cell r="B1525" t="str">
            <v/>
          </cell>
        </row>
        <row r="1526">
          <cell r="B1526" t="str">
            <v/>
          </cell>
        </row>
        <row r="1527">
          <cell r="B1527" t="str">
            <v/>
          </cell>
        </row>
        <row r="1528">
          <cell r="B1528" t="str">
            <v/>
          </cell>
        </row>
        <row r="1529">
          <cell r="B1529" t="str">
            <v/>
          </cell>
        </row>
        <row r="1530">
          <cell r="B1530" t="str">
            <v/>
          </cell>
        </row>
        <row r="1531">
          <cell r="B1531" t="str">
            <v/>
          </cell>
        </row>
        <row r="1532">
          <cell r="B1532" t="str">
            <v/>
          </cell>
        </row>
        <row r="1533">
          <cell r="B1533" t="str">
            <v/>
          </cell>
        </row>
        <row r="1534">
          <cell r="B1534" t="str">
            <v/>
          </cell>
        </row>
        <row r="1535">
          <cell r="B1535" t="str">
            <v/>
          </cell>
        </row>
        <row r="1536">
          <cell r="B1536" t="str">
            <v/>
          </cell>
        </row>
        <row r="1537">
          <cell r="B1537" t="str">
            <v/>
          </cell>
        </row>
        <row r="1538">
          <cell r="B1538" t="str">
            <v/>
          </cell>
        </row>
        <row r="1539">
          <cell r="B1539" t="str">
            <v/>
          </cell>
        </row>
        <row r="1540">
          <cell r="B1540" t="str">
            <v/>
          </cell>
        </row>
        <row r="1541">
          <cell r="B1541" t="str">
            <v/>
          </cell>
        </row>
        <row r="1542">
          <cell r="B1542" t="str">
            <v/>
          </cell>
        </row>
        <row r="1543">
          <cell r="B1543" t="str">
            <v/>
          </cell>
        </row>
        <row r="1544">
          <cell r="B1544" t="str">
            <v/>
          </cell>
        </row>
        <row r="1545">
          <cell r="B1545" t="str">
            <v/>
          </cell>
        </row>
        <row r="1546">
          <cell r="B1546" t="str">
            <v/>
          </cell>
        </row>
        <row r="1547">
          <cell r="B1547" t="str">
            <v/>
          </cell>
        </row>
        <row r="1548">
          <cell r="B1548" t="str">
            <v/>
          </cell>
        </row>
        <row r="1549">
          <cell r="B1549" t="str">
            <v/>
          </cell>
        </row>
        <row r="1550">
          <cell r="B1550" t="str">
            <v/>
          </cell>
        </row>
        <row r="1551">
          <cell r="B1551" t="str">
            <v/>
          </cell>
        </row>
        <row r="1552">
          <cell r="B1552" t="str">
            <v/>
          </cell>
        </row>
        <row r="1553">
          <cell r="B1553" t="str">
            <v/>
          </cell>
        </row>
        <row r="1554">
          <cell r="B1554" t="str">
            <v/>
          </cell>
        </row>
        <row r="1555">
          <cell r="B1555" t="str">
            <v/>
          </cell>
        </row>
        <row r="1556">
          <cell r="B1556" t="str">
            <v/>
          </cell>
        </row>
        <row r="1557">
          <cell r="B1557" t="str">
            <v/>
          </cell>
        </row>
        <row r="1558">
          <cell r="B1558" t="str">
            <v/>
          </cell>
        </row>
        <row r="1559">
          <cell r="B1559" t="str">
            <v/>
          </cell>
        </row>
        <row r="1560">
          <cell r="B1560" t="str">
            <v/>
          </cell>
        </row>
        <row r="1561">
          <cell r="B1561" t="str">
            <v/>
          </cell>
        </row>
        <row r="1562">
          <cell r="B1562" t="str">
            <v/>
          </cell>
        </row>
        <row r="1563">
          <cell r="B1563" t="str">
            <v/>
          </cell>
        </row>
        <row r="1564">
          <cell r="B1564" t="str">
            <v/>
          </cell>
        </row>
        <row r="1565">
          <cell r="B1565" t="str">
            <v/>
          </cell>
        </row>
        <row r="1566">
          <cell r="B1566" t="str">
            <v/>
          </cell>
        </row>
        <row r="1567">
          <cell r="B1567" t="str">
            <v/>
          </cell>
        </row>
        <row r="1568">
          <cell r="B1568" t="str">
            <v/>
          </cell>
        </row>
        <row r="1569">
          <cell r="B1569" t="str">
            <v/>
          </cell>
        </row>
        <row r="1570">
          <cell r="B1570" t="str">
            <v/>
          </cell>
        </row>
        <row r="1571">
          <cell r="B1571" t="str">
            <v/>
          </cell>
        </row>
        <row r="1572">
          <cell r="B1572" t="str">
            <v/>
          </cell>
        </row>
        <row r="1573">
          <cell r="B1573" t="str">
            <v/>
          </cell>
        </row>
        <row r="1574">
          <cell r="B1574" t="str">
            <v/>
          </cell>
        </row>
        <row r="1575">
          <cell r="B1575" t="str">
            <v/>
          </cell>
        </row>
        <row r="1576">
          <cell r="B1576" t="str">
            <v/>
          </cell>
        </row>
        <row r="1577">
          <cell r="B1577" t="str">
            <v/>
          </cell>
        </row>
        <row r="1578">
          <cell r="B1578" t="str">
            <v/>
          </cell>
        </row>
        <row r="1579">
          <cell r="B1579" t="str">
            <v/>
          </cell>
        </row>
        <row r="1580">
          <cell r="B1580" t="str">
            <v/>
          </cell>
        </row>
        <row r="1581">
          <cell r="B1581" t="str">
            <v/>
          </cell>
        </row>
        <row r="1582">
          <cell r="B1582" t="str">
            <v/>
          </cell>
        </row>
        <row r="1583">
          <cell r="B1583" t="str">
            <v/>
          </cell>
        </row>
        <row r="1584">
          <cell r="B1584" t="str">
            <v/>
          </cell>
        </row>
        <row r="1585">
          <cell r="B1585" t="str">
            <v/>
          </cell>
        </row>
        <row r="1586">
          <cell r="B1586" t="str">
            <v/>
          </cell>
        </row>
        <row r="1587">
          <cell r="B1587" t="str">
            <v/>
          </cell>
        </row>
        <row r="1588">
          <cell r="B1588" t="str">
            <v/>
          </cell>
        </row>
        <row r="1589">
          <cell r="B1589" t="str">
            <v/>
          </cell>
        </row>
        <row r="1590">
          <cell r="B1590" t="str">
            <v/>
          </cell>
        </row>
        <row r="1591">
          <cell r="B1591" t="str">
            <v/>
          </cell>
        </row>
        <row r="1592">
          <cell r="B1592" t="str">
            <v/>
          </cell>
        </row>
        <row r="1593">
          <cell r="B1593" t="str">
            <v/>
          </cell>
        </row>
        <row r="1594">
          <cell r="B1594" t="str">
            <v/>
          </cell>
        </row>
        <row r="1595">
          <cell r="B1595" t="str">
            <v/>
          </cell>
        </row>
        <row r="1596">
          <cell r="B1596" t="str">
            <v/>
          </cell>
        </row>
        <row r="1597">
          <cell r="B1597" t="str">
            <v/>
          </cell>
        </row>
        <row r="1598">
          <cell r="B1598" t="str">
            <v/>
          </cell>
        </row>
        <row r="1599">
          <cell r="B1599" t="str">
            <v/>
          </cell>
        </row>
        <row r="1600">
          <cell r="B1600" t="str">
            <v/>
          </cell>
        </row>
        <row r="1601">
          <cell r="B1601" t="str">
            <v/>
          </cell>
        </row>
        <row r="1602">
          <cell r="B1602" t="str">
            <v/>
          </cell>
        </row>
        <row r="1603">
          <cell r="B1603" t="str">
            <v/>
          </cell>
        </row>
        <row r="1604">
          <cell r="B1604" t="str">
            <v/>
          </cell>
        </row>
        <row r="1605">
          <cell r="B1605" t="str">
            <v/>
          </cell>
        </row>
        <row r="1606">
          <cell r="B1606" t="str">
            <v/>
          </cell>
        </row>
        <row r="1607">
          <cell r="B1607" t="str">
            <v/>
          </cell>
        </row>
        <row r="1608">
          <cell r="B1608" t="str">
            <v/>
          </cell>
        </row>
        <row r="1609">
          <cell r="B1609" t="str">
            <v/>
          </cell>
        </row>
        <row r="1610">
          <cell r="B1610" t="str">
            <v/>
          </cell>
        </row>
        <row r="1611">
          <cell r="B1611" t="str">
            <v/>
          </cell>
        </row>
        <row r="1612">
          <cell r="B1612" t="str">
            <v/>
          </cell>
        </row>
        <row r="1613">
          <cell r="B1613" t="str">
            <v/>
          </cell>
        </row>
        <row r="1614">
          <cell r="B1614" t="str">
            <v/>
          </cell>
        </row>
        <row r="1615">
          <cell r="B1615" t="str">
            <v/>
          </cell>
        </row>
        <row r="1616">
          <cell r="B1616" t="str">
            <v/>
          </cell>
        </row>
        <row r="1617">
          <cell r="B1617" t="str">
            <v/>
          </cell>
        </row>
        <row r="1618">
          <cell r="B1618" t="str">
            <v/>
          </cell>
        </row>
        <row r="1619">
          <cell r="B1619" t="str">
            <v/>
          </cell>
        </row>
        <row r="1620">
          <cell r="B1620" t="str">
            <v/>
          </cell>
        </row>
        <row r="1621">
          <cell r="B1621" t="str">
            <v/>
          </cell>
        </row>
        <row r="1622">
          <cell r="B1622" t="str">
            <v/>
          </cell>
        </row>
        <row r="1623">
          <cell r="B1623" t="str">
            <v/>
          </cell>
        </row>
        <row r="1624">
          <cell r="B1624" t="str">
            <v/>
          </cell>
        </row>
        <row r="1625">
          <cell r="B1625" t="str">
            <v/>
          </cell>
        </row>
        <row r="1626">
          <cell r="B1626" t="str">
            <v/>
          </cell>
        </row>
        <row r="1627">
          <cell r="B1627" t="str">
            <v/>
          </cell>
        </row>
        <row r="1628">
          <cell r="B1628" t="str">
            <v/>
          </cell>
        </row>
        <row r="1629">
          <cell r="B1629" t="str">
            <v/>
          </cell>
        </row>
        <row r="1630">
          <cell r="B1630" t="str">
            <v/>
          </cell>
        </row>
        <row r="1631">
          <cell r="B1631" t="str">
            <v/>
          </cell>
        </row>
        <row r="1632">
          <cell r="B1632" t="str">
            <v/>
          </cell>
        </row>
        <row r="1633">
          <cell r="B1633" t="str">
            <v/>
          </cell>
        </row>
        <row r="1634">
          <cell r="B1634" t="str">
            <v/>
          </cell>
        </row>
        <row r="1635">
          <cell r="B1635" t="str">
            <v/>
          </cell>
        </row>
        <row r="1636">
          <cell r="B1636" t="str">
            <v/>
          </cell>
        </row>
        <row r="1637">
          <cell r="B1637" t="str">
            <v/>
          </cell>
        </row>
        <row r="1638">
          <cell r="B1638" t="str">
            <v/>
          </cell>
        </row>
        <row r="1639">
          <cell r="B1639" t="str">
            <v/>
          </cell>
        </row>
        <row r="1640">
          <cell r="B1640" t="str">
            <v/>
          </cell>
        </row>
        <row r="1641">
          <cell r="B1641" t="str">
            <v/>
          </cell>
        </row>
        <row r="1642">
          <cell r="B1642" t="str">
            <v/>
          </cell>
        </row>
        <row r="1643">
          <cell r="B1643" t="str">
            <v/>
          </cell>
        </row>
        <row r="1644">
          <cell r="B1644" t="str">
            <v/>
          </cell>
        </row>
        <row r="1645">
          <cell r="B1645" t="str">
            <v/>
          </cell>
        </row>
        <row r="1646">
          <cell r="B1646" t="str">
            <v/>
          </cell>
        </row>
        <row r="1647">
          <cell r="B1647" t="str">
            <v/>
          </cell>
        </row>
        <row r="1648">
          <cell r="B1648" t="str">
            <v/>
          </cell>
        </row>
        <row r="1649">
          <cell r="B1649" t="str">
            <v/>
          </cell>
        </row>
        <row r="1650">
          <cell r="B1650" t="str">
            <v/>
          </cell>
        </row>
        <row r="1651">
          <cell r="B1651" t="str">
            <v/>
          </cell>
        </row>
        <row r="1652">
          <cell r="B1652" t="str">
            <v/>
          </cell>
        </row>
        <row r="1653">
          <cell r="B1653" t="str">
            <v/>
          </cell>
        </row>
        <row r="1654">
          <cell r="B1654" t="str">
            <v/>
          </cell>
        </row>
        <row r="1655">
          <cell r="B1655" t="str">
            <v/>
          </cell>
        </row>
        <row r="1656">
          <cell r="B1656" t="str">
            <v/>
          </cell>
        </row>
        <row r="1657">
          <cell r="B1657" t="str">
            <v/>
          </cell>
        </row>
        <row r="1658">
          <cell r="B1658" t="str">
            <v/>
          </cell>
        </row>
        <row r="1659">
          <cell r="B1659" t="str">
            <v/>
          </cell>
        </row>
        <row r="1660">
          <cell r="B1660" t="str">
            <v/>
          </cell>
        </row>
        <row r="1661">
          <cell r="B1661" t="str">
            <v/>
          </cell>
        </row>
        <row r="1662">
          <cell r="B1662" t="str">
            <v/>
          </cell>
        </row>
        <row r="1663">
          <cell r="B1663" t="str">
            <v/>
          </cell>
        </row>
        <row r="1664">
          <cell r="B1664" t="str">
            <v/>
          </cell>
        </row>
        <row r="1665">
          <cell r="B1665" t="str">
            <v/>
          </cell>
        </row>
        <row r="1666">
          <cell r="B1666" t="str">
            <v/>
          </cell>
        </row>
        <row r="1667">
          <cell r="B1667" t="str">
            <v/>
          </cell>
        </row>
        <row r="1668">
          <cell r="B1668" t="str">
            <v/>
          </cell>
        </row>
        <row r="1669">
          <cell r="B1669" t="str">
            <v/>
          </cell>
        </row>
        <row r="1670">
          <cell r="B1670" t="str">
            <v/>
          </cell>
        </row>
        <row r="1671">
          <cell r="B1671" t="str">
            <v/>
          </cell>
        </row>
        <row r="1672">
          <cell r="B1672" t="str">
            <v/>
          </cell>
        </row>
        <row r="1673">
          <cell r="B1673" t="str">
            <v/>
          </cell>
        </row>
        <row r="1674">
          <cell r="B1674" t="str">
            <v/>
          </cell>
        </row>
        <row r="1675">
          <cell r="B1675" t="str">
            <v/>
          </cell>
        </row>
        <row r="1676">
          <cell r="B1676" t="str">
            <v/>
          </cell>
        </row>
        <row r="1677">
          <cell r="B1677" t="str">
            <v/>
          </cell>
        </row>
        <row r="1678">
          <cell r="B1678" t="str">
            <v/>
          </cell>
        </row>
        <row r="1679">
          <cell r="B1679" t="str">
            <v/>
          </cell>
        </row>
        <row r="1680">
          <cell r="B1680" t="str">
            <v/>
          </cell>
        </row>
        <row r="1681">
          <cell r="B1681" t="str">
            <v/>
          </cell>
        </row>
        <row r="1682">
          <cell r="B1682" t="str">
            <v/>
          </cell>
        </row>
        <row r="1683">
          <cell r="B1683" t="str">
            <v/>
          </cell>
        </row>
        <row r="1684">
          <cell r="B1684" t="str">
            <v/>
          </cell>
        </row>
        <row r="1685">
          <cell r="B1685" t="str">
            <v/>
          </cell>
        </row>
        <row r="1686">
          <cell r="B1686" t="str">
            <v/>
          </cell>
        </row>
        <row r="1687">
          <cell r="B1687" t="str">
            <v/>
          </cell>
        </row>
        <row r="1688">
          <cell r="B1688" t="str">
            <v/>
          </cell>
        </row>
        <row r="1689">
          <cell r="B1689" t="str">
            <v/>
          </cell>
        </row>
        <row r="1690">
          <cell r="B1690" t="str">
            <v/>
          </cell>
        </row>
        <row r="1691">
          <cell r="B1691" t="str">
            <v/>
          </cell>
        </row>
        <row r="1692">
          <cell r="B1692" t="str">
            <v/>
          </cell>
        </row>
        <row r="1693">
          <cell r="B1693" t="str">
            <v/>
          </cell>
        </row>
        <row r="1694">
          <cell r="B1694" t="str">
            <v/>
          </cell>
        </row>
        <row r="1695">
          <cell r="B1695" t="str">
            <v/>
          </cell>
        </row>
        <row r="1696">
          <cell r="B1696" t="str">
            <v/>
          </cell>
        </row>
        <row r="1697">
          <cell r="B1697" t="str">
            <v/>
          </cell>
        </row>
        <row r="1698">
          <cell r="B1698" t="str">
            <v/>
          </cell>
        </row>
        <row r="1699">
          <cell r="B1699" t="str">
            <v/>
          </cell>
        </row>
        <row r="1700">
          <cell r="B1700" t="str">
            <v/>
          </cell>
        </row>
        <row r="1701">
          <cell r="B1701" t="str">
            <v/>
          </cell>
        </row>
        <row r="1702">
          <cell r="B1702" t="str">
            <v/>
          </cell>
        </row>
        <row r="1703">
          <cell r="B1703" t="str">
            <v/>
          </cell>
        </row>
        <row r="1704">
          <cell r="B1704" t="str">
            <v/>
          </cell>
        </row>
        <row r="1705">
          <cell r="B1705" t="str">
            <v/>
          </cell>
        </row>
        <row r="1706">
          <cell r="B1706" t="str">
            <v/>
          </cell>
        </row>
        <row r="1707">
          <cell r="B1707" t="str">
            <v/>
          </cell>
        </row>
        <row r="1708">
          <cell r="B1708" t="str">
            <v/>
          </cell>
        </row>
        <row r="1709">
          <cell r="B1709" t="str">
            <v/>
          </cell>
        </row>
        <row r="1710">
          <cell r="B1710" t="str">
            <v/>
          </cell>
        </row>
        <row r="1711">
          <cell r="B1711" t="str">
            <v/>
          </cell>
        </row>
        <row r="1712">
          <cell r="B1712" t="str">
            <v/>
          </cell>
        </row>
        <row r="1713">
          <cell r="B1713" t="str">
            <v/>
          </cell>
        </row>
        <row r="1714">
          <cell r="B1714" t="str">
            <v/>
          </cell>
        </row>
        <row r="1715">
          <cell r="B1715" t="str">
            <v/>
          </cell>
        </row>
        <row r="1716">
          <cell r="B1716" t="str">
            <v/>
          </cell>
        </row>
        <row r="1717">
          <cell r="B1717" t="str">
            <v/>
          </cell>
        </row>
        <row r="1718">
          <cell r="B1718" t="str">
            <v/>
          </cell>
        </row>
        <row r="1719">
          <cell r="B1719" t="str">
            <v/>
          </cell>
        </row>
        <row r="1720">
          <cell r="B1720" t="str">
            <v/>
          </cell>
        </row>
        <row r="1721">
          <cell r="B1721" t="str">
            <v/>
          </cell>
        </row>
        <row r="1722">
          <cell r="B1722" t="str">
            <v/>
          </cell>
        </row>
        <row r="1723">
          <cell r="B1723" t="str">
            <v/>
          </cell>
        </row>
        <row r="1724">
          <cell r="B1724" t="str">
            <v/>
          </cell>
        </row>
        <row r="1725">
          <cell r="B1725" t="str">
            <v/>
          </cell>
        </row>
        <row r="1726">
          <cell r="B1726" t="str">
            <v/>
          </cell>
        </row>
        <row r="1727">
          <cell r="B1727" t="str">
            <v/>
          </cell>
        </row>
        <row r="1728">
          <cell r="B1728" t="str">
            <v/>
          </cell>
        </row>
        <row r="1729">
          <cell r="B1729" t="str">
            <v/>
          </cell>
        </row>
        <row r="1730">
          <cell r="B1730" t="str">
            <v/>
          </cell>
        </row>
        <row r="1731">
          <cell r="B1731" t="str">
            <v/>
          </cell>
        </row>
        <row r="1732">
          <cell r="B1732" t="str">
            <v/>
          </cell>
        </row>
        <row r="1733">
          <cell r="B1733" t="str">
            <v/>
          </cell>
        </row>
        <row r="1734">
          <cell r="B1734" t="str">
            <v/>
          </cell>
        </row>
        <row r="1735">
          <cell r="B1735" t="str">
            <v/>
          </cell>
        </row>
        <row r="1736">
          <cell r="B1736" t="str">
            <v/>
          </cell>
        </row>
        <row r="1737">
          <cell r="B1737" t="str">
            <v/>
          </cell>
        </row>
        <row r="1738">
          <cell r="B1738" t="str">
            <v/>
          </cell>
        </row>
        <row r="1739">
          <cell r="B1739" t="str">
            <v/>
          </cell>
        </row>
        <row r="1740">
          <cell r="B1740" t="str">
            <v/>
          </cell>
        </row>
        <row r="1741">
          <cell r="B1741" t="str">
            <v/>
          </cell>
        </row>
        <row r="1742">
          <cell r="B1742" t="str">
            <v/>
          </cell>
        </row>
        <row r="1743">
          <cell r="B1743" t="str">
            <v/>
          </cell>
        </row>
        <row r="1744">
          <cell r="B1744" t="str">
            <v/>
          </cell>
        </row>
        <row r="1745">
          <cell r="B1745" t="str">
            <v/>
          </cell>
        </row>
        <row r="1746">
          <cell r="B1746" t="str">
            <v/>
          </cell>
        </row>
        <row r="1747">
          <cell r="B1747" t="str">
            <v/>
          </cell>
        </row>
        <row r="1748">
          <cell r="B1748" t="str">
            <v/>
          </cell>
        </row>
        <row r="1749">
          <cell r="B1749" t="str">
            <v/>
          </cell>
        </row>
        <row r="1750">
          <cell r="B1750" t="str">
            <v/>
          </cell>
        </row>
        <row r="1751">
          <cell r="B1751" t="str">
            <v/>
          </cell>
        </row>
        <row r="1752">
          <cell r="B1752" t="str">
            <v/>
          </cell>
        </row>
        <row r="1753">
          <cell r="B1753" t="str">
            <v/>
          </cell>
        </row>
        <row r="1754">
          <cell r="B1754" t="str">
            <v/>
          </cell>
        </row>
        <row r="1755">
          <cell r="B1755" t="str">
            <v/>
          </cell>
        </row>
        <row r="1756">
          <cell r="B1756" t="str">
            <v/>
          </cell>
        </row>
        <row r="1757">
          <cell r="B1757" t="str">
            <v/>
          </cell>
        </row>
        <row r="1758">
          <cell r="B1758" t="str">
            <v/>
          </cell>
        </row>
        <row r="1759">
          <cell r="B1759" t="str">
            <v/>
          </cell>
        </row>
        <row r="1760">
          <cell r="B1760" t="str">
            <v/>
          </cell>
        </row>
        <row r="1761">
          <cell r="B1761" t="str">
            <v/>
          </cell>
        </row>
        <row r="1762">
          <cell r="B1762" t="str">
            <v/>
          </cell>
        </row>
        <row r="1763">
          <cell r="B1763" t="str">
            <v/>
          </cell>
        </row>
        <row r="1764">
          <cell r="B1764" t="str">
            <v/>
          </cell>
        </row>
        <row r="1765">
          <cell r="B1765" t="str">
            <v/>
          </cell>
        </row>
        <row r="1766">
          <cell r="B1766" t="str">
            <v/>
          </cell>
        </row>
        <row r="1767">
          <cell r="B1767" t="str">
            <v/>
          </cell>
        </row>
        <row r="1768">
          <cell r="B1768" t="str">
            <v/>
          </cell>
        </row>
        <row r="1769">
          <cell r="B1769" t="str">
            <v/>
          </cell>
        </row>
        <row r="1770">
          <cell r="B1770" t="str">
            <v/>
          </cell>
        </row>
        <row r="1771">
          <cell r="B1771" t="str">
            <v/>
          </cell>
        </row>
        <row r="1772">
          <cell r="B1772" t="str">
            <v/>
          </cell>
        </row>
        <row r="1773">
          <cell r="B1773" t="str">
            <v/>
          </cell>
        </row>
        <row r="1774">
          <cell r="B1774" t="str">
            <v/>
          </cell>
        </row>
        <row r="1775">
          <cell r="B1775" t="str">
            <v/>
          </cell>
        </row>
        <row r="1776">
          <cell r="B1776" t="str">
            <v/>
          </cell>
        </row>
        <row r="1777">
          <cell r="B1777" t="str">
            <v/>
          </cell>
        </row>
        <row r="1778">
          <cell r="B1778" t="str">
            <v/>
          </cell>
        </row>
        <row r="1779">
          <cell r="B1779" t="str">
            <v/>
          </cell>
        </row>
        <row r="1780">
          <cell r="B1780" t="str">
            <v/>
          </cell>
        </row>
        <row r="1781">
          <cell r="B1781" t="str">
            <v/>
          </cell>
        </row>
        <row r="1782">
          <cell r="B1782" t="str">
            <v/>
          </cell>
        </row>
        <row r="1783">
          <cell r="B1783" t="str">
            <v/>
          </cell>
        </row>
        <row r="1784">
          <cell r="B1784" t="str">
            <v/>
          </cell>
        </row>
        <row r="1785">
          <cell r="B1785" t="str">
            <v/>
          </cell>
        </row>
        <row r="1786">
          <cell r="B1786" t="str">
            <v/>
          </cell>
        </row>
        <row r="1787">
          <cell r="B1787" t="str">
            <v/>
          </cell>
        </row>
        <row r="1788">
          <cell r="B1788" t="str">
            <v/>
          </cell>
        </row>
        <row r="1789">
          <cell r="B1789" t="str">
            <v/>
          </cell>
        </row>
        <row r="1790">
          <cell r="B1790" t="str">
            <v/>
          </cell>
        </row>
        <row r="1791">
          <cell r="B1791" t="str">
            <v/>
          </cell>
        </row>
        <row r="1792">
          <cell r="B1792" t="str">
            <v/>
          </cell>
        </row>
        <row r="1793">
          <cell r="B1793" t="str">
            <v/>
          </cell>
        </row>
        <row r="1794">
          <cell r="B1794" t="str">
            <v/>
          </cell>
        </row>
        <row r="1795">
          <cell r="B1795" t="str">
            <v/>
          </cell>
        </row>
        <row r="1796">
          <cell r="B1796" t="str">
            <v/>
          </cell>
        </row>
        <row r="1797">
          <cell r="B1797" t="str">
            <v/>
          </cell>
        </row>
        <row r="1798">
          <cell r="B1798" t="str">
            <v/>
          </cell>
        </row>
        <row r="1799">
          <cell r="B1799" t="str">
            <v/>
          </cell>
        </row>
        <row r="1800">
          <cell r="B1800" t="str">
            <v/>
          </cell>
        </row>
        <row r="1801">
          <cell r="B1801" t="str">
            <v/>
          </cell>
        </row>
        <row r="1802">
          <cell r="B1802" t="str">
            <v/>
          </cell>
        </row>
        <row r="1803">
          <cell r="B1803" t="str">
            <v/>
          </cell>
        </row>
        <row r="1804">
          <cell r="B1804" t="str">
            <v/>
          </cell>
        </row>
        <row r="1805">
          <cell r="B1805" t="str">
            <v/>
          </cell>
        </row>
        <row r="1806">
          <cell r="B1806" t="str">
            <v/>
          </cell>
        </row>
        <row r="1807">
          <cell r="B1807" t="str">
            <v/>
          </cell>
        </row>
        <row r="1808">
          <cell r="B1808" t="str">
            <v/>
          </cell>
        </row>
        <row r="1809">
          <cell r="B1809" t="str">
            <v/>
          </cell>
        </row>
        <row r="1810">
          <cell r="B1810" t="str">
            <v/>
          </cell>
        </row>
        <row r="1811">
          <cell r="B1811" t="str">
            <v/>
          </cell>
        </row>
        <row r="1812">
          <cell r="B1812" t="str">
            <v/>
          </cell>
        </row>
        <row r="1813">
          <cell r="B1813" t="str">
            <v/>
          </cell>
        </row>
        <row r="1814">
          <cell r="B1814" t="str">
            <v/>
          </cell>
        </row>
        <row r="1815">
          <cell r="B1815" t="str">
            <v/>
          </cell>
        </row>
        <row r="1816">
          <cell r="B1816" t="str">
            <v/>
          </cell>
        </row>
        <row r="1817">
          <cell r="B1817" t="str">
            <v/>
          </cell>
        </row>
        <row r="1818">
          <cell r="B1818" t="str">
            <v/>
          </cell>
        </row>
        <row r="1819">
          <cell r="B1819" t="str">
            <v/>
          </cell>
        </row>
        <row r="1820">
          <cell r="B1820" t="str">
            <v/>
          </cell>
        </row>
        <row r="1821">
          <cell r="B1821" t="str">
            <v/>
          </cell>
        </row>
        <row r="1822">
          <cell r="B1822" t="str">
            <v/>
          </cell>
        </row>
        <row r="1823">
          <cell r="B1823" t="str">
            <v/>
          </cell>
        </row>
        <row r="1824">
          <cell r="B1824" t="str">
            <v/>
          </cell>
        </row>
        <row r="1825">
          <cell r="B1825" t="str">
            <v/>
          </cell>
        </row>
        <row r="1826">
          <cell r="B1826" t="str">
            <v/>
          </cell>
        </row>
        <row r="1827">
          <cell r="B1827" t="str">
            <v/>
          </cell>
        </row>
        <row r="1828">
          <cell r="B1828" t="str">
            <v/>
          </cell>
        </row>
        <row r="1829">
          <cell r="B1829" t="str">
            <v/>
          </cell>
        </row>
        <row r="1830">
          <cell r="B1830" t="str">
            <v/>
          </cell>
        </row>
        <row r="1831">
          <cell r="B1831" t="str">
            <v/>
          </cell>
        </row>
        <row r="1832">
          <cell r="B1832" t="str">
            <v/>
          </cell>
        </row>
        <row r="1833">
          <cell r="B1833" t="str">
            <v/>
          </cell>
        </row>
        <row r="1834">
          <cell r="B1834" t="str">
            <v/>
          </cell>
        </row>
        <row r="1835">
          <cell r="B1835" t="str">
            <v/>
          </cell>
        </row>
        <row r="1836">
          <cell r="B1836" t="str">
            <v/>
          </cell>
        </row>
        <row r="1837">
          <cell r="B1837" t="str">
            <v/>
          </cell>
        </row>
        <row r="1838">
          <cell r="B1838" t="str">
            <v/>
          </cell>
        </row>
        <row r="1839">
          <cell r="B1839" t="str">
            <v/>
          </cell>
        </row>
        <row r="1840">
          <cell r="B1840" t="str">
            <v/>
          </cell>
        </row>
        <row r="1841">
          <cell r="B1841" t="str">
            <v/>
          </cell>
        </row>
        <row r="1842">
          <cell r="B1842" t="str">
            <v/>
          </cell>
        </row>
        <row r="1843">
          <cell r="B1843" t="str">
            <v/>
          </cell>
        </row>
        <row r="1844">
          <cell r="B1844" t="str">
            <v/>
          </cell>
        </row>
        <row r="1845">
          <cell r="B1845" t="str">
            <v/>
          </cell>
        </row>
        <row r="1846">
          <cell r="B1846" t="str">
            <v/>
          </cell>
        </row>
        <row r="1847">
          <cell r="B1847" t="str">
            <v/>
          </cell>
        </row>
        <row r="1848">
          <cell r="B1848" t="str">
            <v/>
          </cell>
        </row>
        <row r="1849">
          <cell r="B1849" t="str">
            <v/>
          </cell>
        </row>
        <row r="1850">
          <cell r="B1850" t="str">
            <v/>
          </cell>
        </row>
        <row r="1851">
          <cell r="B1851" t="str">
            <v/>
          </cell>
        </row>
        <row r="1852">
          <cell r="B1852" t="str">
            <v/>
          </cell>
        </row>
        <row r="1853">
          <cell r="B1853" t="str">
            <v/>
          </cell>
        </row>
        <row r="1854">
          <cell r="B1854" t="str">
            <v/>
          </cell>
        </row>
        <row r="1855">
          <cell r="B1855" t="str">
            <v/>
          </cell>
        </row>
        <row r="1856">
          <cell r="B1856" t="str">
            <v/>
          </cell>
        </row>
        <row r="1857">
          <cell r="B1857" t="str">
            <v/>
          </cell>
        </row>
        <row r="1858">
          <cell r="B1858" t="str">
            <v/>
          </cell>
        </row>
        <row r="1859">
          <cell r="B1859" t="str">
            <v/>
          </cell>
        </row>
        <row r="1860">
          <cell r="B1860" t="str">
            <v/>
          </cell>
        </row>
        <row r="1861">
          <cell r="B1861" t="str">
            <v/>
          </cell>
        </row>
        <row r="1862">
          <cell r="B1862" t="str">
            <v/>
          </cell>
        </row>
        <row r="1863">
          <cell r="B1863" t="str">
            <v/>
          </cell>
        </row>
        <row r="1864">
          <cell r="B1864" t="str">
            <v/>
          </cell>
        </row>
        <row r="1865">
          <cell r="B1865" t="str">
            <v/>
          </cell>
        </row>
        <row r="1866">
          <cell r="B1866" t="str">
            <v/>
          </cell>
        </row>
        <row r="1867">
          <cell r="B1867" t="str">
            <v/>
          </cell>
        </row>
        <row r="1868">
          <cell r="B1868" t="str">
            <v/>
          </cell>
        </row>
        <row r="1869">
          <cell r="B1869" t="str">
            <v/>
          </cell>
        </row>
        <row r="1870">
          <cell r="B1870" t="str">
            <v/>
          </cell>
        </row>
        <row r="1871">
          <cell r="B1871" t="str">
            <v/>
          </cell>
        </row>
        <row r="1872">
          <cell r="B1872" t="str">
            <v/>
          </cell>
        </row>
        <row r="1873">
          <cell r="B1873" t="str">
            <v/>
          </cell>
        </row>
        <row r="1874">
          <cell r="B1874" t="str">
            <v/>
          </cell>
        </row>
        <row r="1875">
          <cell r="B1875" t="str">
            <v/>
          </cell>
        </row>
        <row r="1876">
          <cell r="B1876" t="str">
            <v/>
          </cell>
        </row>
        <row r="1877">
          <cell r="B1877" t="str">
            <v/>
          </cell>
        </row>
        <row r="1878">
          <cell r="B1878" t="str">
            <v/>
          </cell>
        </row>
        <row r="1879">
          <cell r="B1879" t="str">
            <v/>
          </cell>
        </row>
        <row r="1880">
          <cell r="B1880" t="str">
            <v/>
          </cell>
        </row>
        <row r="1881">
          <cell r="B1881" t="str">
            <v/>
          </cell>
        </row>
        <row r="1882">
          <cell r="B1882" t="str">
            <v/>
          </cell>
        </row>
        <row r="1883">
          <cell r="B1883" t="str">
            <v/>
          </cell>
        </row>
        <row r="1884">
          <cell r="B1884" t="str">
            <v/>
          </cell>
        </row>
        <row r="1885">
          <cell r="B1885" t="str">
            <v/>
          </cell>
        </row>
        <row r="1886">
          <cell r="B1886" t="str">
            <v/>
          </cell>
        </row>
        <row r="1887">
          <cell r="B1887" t="str">
            <v/>
          </cell>
        </row>
        <row r="1888">
          <cell r="B1888" t="str">
            <v/>
          </cell>
        </row>
        <row r="1889">
          <cell r="B1889" t="str">
            <v/>
          </cell>
        </row>
        <row r="1890">
          <cell r="B1890" t="str">
            <v/>
          </cell>
        </row>
        <row r="1891">
          <cell r="B1891" t="str">
            <v/>
          </cell>
        </row>
        <row r="1892">
          <cell r="B1892" t="str">
            <v/>
          </cell>
        </row>
        <row r="1893">
          <cell r="B1893" t="str">
            <v/>
          </cell>
        </row>
        <row r="1894">
          <cell r="B1894" t="str">
            <v/>
          </cell>
        </row>
        <row r="1895">
          <cell r="B1895" t="str">
            <v/>
          </cell>
        </row>
        <row r="1896">
          <cell r="B1896" t="str">
            <v/>
          </cell>
        </row>
        <row r="1897">
          <cell r="B1897" t="str">
            <v/>
          </cell>
        </row>
        <row r="1898">
          <cell r="B1898" t="str">
            <v/>
          </cell>
        </row>
        <row r="1899">
          <cell r="B1899" t="str">
            <v/>
          </cell>
        </row>
        <row r="1900">
          <cell r="B1900" t="str">
            <v/>
          </cell>
        </row>
        <row r="1901">
          <cell r="B1901" t="str">
            <v/>
          </cell>
        </row>
        <row r="1902">
          <cell r="B1902" t="str">
            <v/>
          </cell>
        </row>
        <row r="1903">
          <cell r="B1903" t="str">
            <v/>
          </cell>
        </row>
        <row r="1904">
          <cell r="B1904" t="str">
            <v/>
          </cell>
        </row>
        <row r="1905">
          <cell r="B1905" t="str">
            <v/>
          </cell>
        </row>
        <row r="1906">
          <cell r="B1906" t="str">
            <v/>
          </cell>
        </row>
        <row r="1907">
          <cell r="B1907" t="str">
            <v/>
          </cell>
        </row>
        <row r="1908">
          <cell r="B1908" t="str">
            <v/>
          </cell>
        </row>
        <row r="1909">
          <cell r="B1909" t="str">
            <v/>
          </cell>
        </row>
        <row r="1910">
          <cell r="B1910" t="str">
            <v/>
          </cell>
        </row>
        <row r="1911">
          <cell r="B1911" t="str">
            <v/>
          </cell>
        </row>
        <row r="1912">
          <cell r="B1912" t="str">
            <v/>
          </cell>
        </row>
        <row r="1913">
          <cell r="B1913" t="str">
            <v/>
          </cell>
        </row>
        <row r="1914">
          <cell r="B1914" t="str">
            <v/>
          </cell>
        </row>
        <row r="1915">
          <cell r="B1915" t="str">
            <v/>
          </cell>
        </row>
        <row r="1916">
          <cell r="B1916" t="str">
            <v/>
          </cell>
        </row>
        <row r="1917">
          <cell r="B1917" t="str">
            <v/>
          </cell>
        </row>
        <row r="1918">
          <cell r="B1918" t="str">
            <v/>
          </cell>
        </row>
        <row r="1919">
          <cell r="B1919" t="str">
            <v/>
          </cell>
        </row>
        <row r="1920">
          <cell r="B1920" t="str">
            <v/>
          </cell>
        </row>
        <row r="1921">
          <cell r="B1921" t="str">
            <v/>
          </cell>
        </row>
        <row r="1922">
          <cell r="B1922" t="str">
            <v/>
          </cell>
        </row>
        <row r="1923">
          <cell r="B1923" t="str">
            <v/>
          </cell>
        </row>
        <row r="1924">
          <cell r="B1924" t="str">
            <v/>
          </cell>
        </row>
        <row r="1925">
          <cell r="B1925" t="str">
            <v/>
          </cell>
        </row>
        <row r="1926">
          <cell r="B1926" t="str">
            <v/>
          </cell>
        </row>
        <row r="1927">
          <cell r="B1927" t="str">
            <v/>
          </cell>
        </row>
        <row r="1928">
          <cell r="B1928" t="str">
            <v/>
          </cell>
        </row>
        <row r="1929">
          <cell r="B1929" t="str">
            <v/>
          </cell>
        </row>
        <row r="1930">
          <cell r="B1930" t="str">
            <v/>
          </cell>
        </row>
        <row r="1931">
          <cell r="B1931" t="str">
            <v/>
          </cell>
        </row>
        <row r="1932">
          <cell r="B1932" t="str">
            <v/>
          </cell>
        </row>
        <row r="1933">
          <cell r="B1933" t="str">
            <v/>
          </cell>
        </row>
        <row r="1934">
          <cell r="B1934" t="str">
            <v/>
          </cell>
        </row>
        <row r="1935">
          <cell r="B1935" t="str">
            <v/>
          </cell>
        </row>
        <row r="1936">
          <cell r="B1936" t="str">
            <v/>
          </cell>
        </row>
        <row r="1937">
          <cell r="B1937" t="str">
            <v/>
          </cell>
        </row>
        <row r="1938">
          <cell r="B1938" t="str">
            <v/>
          </cell>
        </row>
        <row r="1939">
          <cell r="B1939" t="str">
            <v/>
          </cell>
        </row>
        <row r="1940">
          <cell r="B1940" t="str">
            <v/>
          </cell>
        </row>
        <row r="1941">
          <cell r="B1941" t="str">
            <v/>
          </cell>
        </row>
        <row r="1942">
          <cell r="B1942" t="str">
            <v/>
          </cell>
        </row>
        <row r="1943">
          <cell r="B1943" t="str">
            <v/>
          </cell>
        </row>
        <row r="1944">
          <cell r="B1944" t="str">
            <v/>
          </cell>
        </row>
        <row r="1945">
          <cell r="B1945" t="str">
            <v/>
          </cell>
        </row>
        <row r="1946">
          <cell r="B1946" t="str">
            <v/>
          </cell>
        </row>
        <row r="1947">
          <cell r="B1947" t="str">
            <v/>
          </cell>
        </row>
        <row r="1948">
          <cell r="B1948" t="str">
            <v/>
          </cell>
        </row>
        <row r="1949">
          <cell r="B1949" t="str">
            <v/>
          </cell>
        </row>
        <row r="1950">
          <cell r="B1950" t="str">
            <v/>
          </cell>
        </row>
        <row r="1951">
          <cell r="B1951" t="str">
            <v/>
          </cell>
        </row>
        <row r="1952">
          <cell r="B1952" t="str">
            <v/>
          </cell>
        </row>
        <row r="1953">
          <cell r="B1953" t="str">
            <v/>
          </cell>
        </row>
        <row r="1954">
          <cell r="B1954" t="str">
            <v/>
          </cell>
        </row>
        <row r="1955">
          <cell r="B1955" t="str">
            <v/>
          </cell>
        </row>
        <row r="1956">
          <cell r="B1956" t="str">
            <v/>
          </cell>
        </row>
        <row r="1957">
          <cell r="B1957" t="str">
            <v/>
          </cell>
        </row>
        <row r="1958">
          <cell r="B1958" t="str">
            <v/>
          </cell>
        </row>
        <row r="1959">
          <cell r="B1959" t="str">
            <v/>
          </cell>
        </row>
        <row r="1960">
          <cell r="B1960" t="str">
            <v/>
          </cell>
        </row>
        <row r="1961">
          <cell r="B1961" t="str">
            <v/>
          </cell>
        </row>
        <row r="1962">
          <cell r="B1962" t="str">
            <v/>
          </cell>
        </row>
        <row r="1963">
          <cell r="B1963" t="str">
            <v/>
          </cell>
        </row>
        <row r="1964">
          <cell r="B1964" t="str">
            <v/>
          </cell>
        </row>
        <row r="1965">
          <cell r="B1965" t="str">
            <v/>
          </cell>
        </row>
        <row r="1966">
          <cell r="B1966" t="str">
            <v/>
          </cell>
        </row>
        <row r="1967">
          <cell r="B1967" t="str">
            <v/>
          </cell>
        </row>
        <row r="1968">
          <cell r="B1968" t="str">
            <v/>
          </cell>
        </row>
        <row r="1969">
          <cell r="B1969" t="str">
            <v/>
          </cell>
        </row>
        <row r="1970">
          <cell r="B1970" t="str">
            <v/>
          </cell>
        </row>
        <row r="1971">
          <cell r="B1971" t="str">
            <v/>
          </cell>
        </row>
        <row r="1972">
          <cell r="B1972" t="str">
            <v/>
          </cell>
        </row>
        <row r="1973">
          <cell r="B1973" t="str">
            <v/>
          </cell>
        </row>
        <row r="1974">
          <cell r="B1974" t="str">
            <v/>
          </cell>
        </row>
        <row r="1975">
          <cell r="B1975" t="str">
            <v/>
          </cell>
        </row>
        <row r="1976">
          <cell r="B1976" t="str">
            <v/>
          </cell>
        </row>
        <row r="1977">
          <cell r="B1977" t="str">
            <v/>
          </cell>
        </row>
        <row r="1978">
          <cell r="B1978" t="str">
            <v/>
          </cell>
        </row>
        <row r="1979">
          <cell r="B1979" t="str">
            <v/>
          </cell>
        </row>
        <row r="1980">
          <cell r="B1980" t="str">
            <v/>
          </cell>
        </row>
        <row r="1981">
          <cell r="B1981" t="str">
            <v/>
          </cell>
        </row>
        <row r="1982">
          <cell r="B1982" t="str">
            <v/>
          </cell>
        </row>
        <row r="1983">
          <cell r="B1983" t="str">
            <v/>
          </cell>
        </row>
        <row r="1984">
          <cell r="B1984" t="str">
            <v/>
          </cell>
        </row>
        <row r="1985">
          <cell r="B1985" t="str">
            <v/>
          </cell>
        </row>
        <row r="1986">
          <cell r="B1986" t="str">
            <v/>
          </cell>
        </row>
        <row r="1987">
          <cell r="B1987" t="str">
            <v/>
          </cell>
        </row>
        <row r="1988">
          <cell r="B1988" t="str">
            <v/>
          </cell>
        </row>
        <row r="1989">
          <cell r="B1989" t="str">
            <v/>
          </cell>
        </row>
        <row r="1990">
          <cell r="B1990" t="str">
            <v/>
          </cell>
        </row>
        <row r="1991">
          <cell r="B1991" t="str">
            <v/>
          </cell>
        </row>
        <row r="1992">
          <cell r="B1992" t="str">
            <v/>
          </cell>
        </row>
        <row r="1993">
          <cell r="B1993" t="str">
            <v/>
          </cell>
        </row>
        <row r="1994">
          <cell r="B1994" t="str">
            <v/>
          </cell>
        </row>
        <row r="1995">
          <cell r="B1995" t="str">
            <v/>
          </cell>
        </row>
        <row r="1996">
          <cell r="B1996" t="str">
            <v/>
          </cell>
        </row>
        <row r="1997">
          <cell r="B1997" t="str">
            <v/>
          </cell>
        </row>
        <row r="1998">
          <cell r="B1998" t="str">
            <v/>
          </cell>
        </row>
        <row r="1999">
          <cell r="B1999" t="str">
            <v/>
          </cell>
        </row>
        <row r="2000">
          <cell r="B2000" t="str">
            <v/>
          </cell>
        </row>
        <row r="2001">
          <cell r="B2001" t="str">
            <v/>
          </cell>
        </row>
        <row r="2002">
          <cell r="B2002" t="str">
            <v/>
          </cell>
        </row>
        <row r="2003">
          <cell r="B2003" t="str">
            <v/>
          </cell>
        </row>
        <row r="2004">
          <cell r="B2004" t="str">
            <v/>
          </cell>
        </row>
        <row r="2005">
          <cell r="B2005" t="str">
            <v/>
          </cell>
        </row>
        <row r="2006">
          <cell r="B2006" t="str">
            <v/>
          </cell>
        </row>
        <row r="2007">
          <cell r="B2007" t="str">
            <v/>
          </cell>
        </row>
        <row r="2008">
          <cell r="B2008" t="str">
            <v/>
          </cell>
        </row>
        <row r="2009">
          <cell r="B2009" t="str">
            <v/>
          </cell>
        </row>
        <row r="2010">
          <cell r="B2010" t="str">
            <v/>
          </cell>
        </row>
        <row r="2011">
          <cell r="B2011" t="str">
            <v/>
          </cell>
        </row>
        <row r="2012">
          <cell r="B2012" t="str">
            <v/>
          </cell>
        </row>
        <row r="2013">
          <cell r="B2013" t="str">
            <v/>
          </cell>
        </row>
        <row r="2014">
          <cell r="B2014" t="str">
            <v/>
          </cell>
        </row>
        <row r="2015">
          <cell r="B2015" t="str">
            <v/>
          </cell>
        </row>
        <row r="2016">
          <cell r="B2016" t="str">
            <v/>
          </cell>
        </row>
        <row r="2017">
          <cell r="B2017" t="str">
            <v/>
          </cell>
        </row>
        <row r="2018">
          <cell r="B2018" t="str">
            <v/>
          </cell>
        </row>
        <row r="2019">
          <cell r="B2019" t="str">
            <v/>
          </cell>
        </row>
        <row r="2020">
          <cell r="B2020" t="str">
            <v/>
          </cell>
        </row>
        <row r="2021">
          <cell r="B2021" t="str">
            <v/>
          </cell>
        </row>
        <row r="2022">
          <cell r="B2022" t="str">
            <v/>
          </cell>
        </row>
        <row r="2023">
          <cell r="B2023" t="str">
            <v/>
          </cell>
        </row>
        <row r="2024">
          <cell r="B2024" t="str">
            <v/>
          </cell>
        </row>
        <row r="2025">
          <cell r="B2025" t="str">
            <v/>
          </cell>
        </row>
        <row r="2026">
          <cell r="B2026" t="str">
            <v/>
          </cell>
        </row>
        <row r="2027">
          <cell r="B2027" t="str">
            <v/>
          </cell>
        </row>
        <row r="2028">
          <cell r="B2028" t="str">
            <v/>
          </cell>
        </row>
        <row r="2029">
          <cell r="B2029" t="str">
            <v/>
          </cell>
        </row>
        <row r="2030">
          <cell r="B2030" t="str">
            <v/>
          </cell>
        </row>
        <row r="2031">
          <cell r="B2031" t="str">
            <v/>
          </cell>
        </row>
        <row r="2032">
          <cell r="B2032" t="str">
            <v/>
          </cell>
        </row>
        <row r="2033">
          <cell r="B2033" t="str">
            <v/>
          </cell>
        </row>
        <row r="2034">
          <cell r="B2034" t="str">
            <v/>
          </cell>
        </row>
        <row r="2035">
          <cell r="B2035" t="str">
            <v/>
          </cell>
        </row>
        <row r="2036">
          <cell r="B2036" t="str">
            <v/>
          </cell>
        </row>
        <row r="2037">
          <cell r="B2037" t="str">
            <v/>
          </cell>
        </row>
        <row r="2038">
          <cell r="B2038" t="str">
            <v/>
          </cell>
        </row>
        <row r="2039">
          <cell r="B2039" t="str">
            <v/>
          </cell>
        </row>
        <row r="2040">
          <cell r="B2040" t="str">
            <v/>
          </cell>
        </row>
        <row r="2041">
          <cell r="B2041" t="str">
            <v/>
          </cell>
        </row>
        <row r="2042">
          <cell r="B2042" t="str">
            <v/>
          </cell>
        </row>
        <row r="2043">
          <cell r="B2043" t="str">
            <v/>
          </cell>
        </row>
        <row r="2044">
          <cell r="B2044" t="str">
            <v/>
          </cell>
        </row>
        <row r="2045">
          <cell r="B2045" t="str">
            <v/>
          </cell>
        </row>
        <row r="2046">
          <cell r="B2046" t="str">
            <v/>
          </cell>
        </row>
        <row r="2047">
          <cell r="B2047" t="str">
            <v/>
          </cell>
        </row>
        <row r="2048">
          <cell r="B2048" t="str">
            <v/>
          </cell>
        </row>
        <row r="2049">
          <cell r="B2049" t="str">
            <v/>
          </cell>
        </row>
        <row r="2050">
          <cell r="B2050" t="str">
            <v/>
          </cell>
        </row>
        <row r="2051">
          <cell r="B2051" t="str">
            <v/>
          </cell>
        </row>
        <row r="2052">
          <cell r="B2052" t="str">
            <v/>
          </cell>
        </row>
        <row r="2053">
          <cell r="B2053" t="str">
            <v/>
          </cell>
        </row>
        <row r="2054">
          <cell r="B2054" t="str">
            <v/>
          </cell>
        </row>
        <row r="2055">
          <cell r="B2055" t="str">
            <v/>
          </cell>
        </row>
        <row r="2056">
          <cell r="B2056" t="str">
            <v/>
          </cell>
        </row>
        <row r="2057">
          <cell r="B2057" t="str">
            <v/>
          </cell>
        </row>
        <row r="2058">
          <cell r="B2058" t="str">
            <v/>
          </cell>
        </row>
        <row r="2059">
          <cell r="B2059" t="str">
            <v/>
          </cell>
        </row>
        <row r="2060">
          <cell r="B2060" t="str">
            <v/>
          </cell>
        </row>
        <row r="2061">
          <cell r="B2061" t="str">
            <v/>
          </cell>
        </row>
        <row r="2062">
          <cell r="B2062" t="str">
            <v/>
          </cell>
        </row>
        <row r="2063">
          <cell r="B2063" t="str">
            <v/>
          </cell>
        </row>
        <row r="2064">
          <cell r="B2064" t="str">
            <v/>
          </cell>
        </row>
        <row r="2065">
          <cell r="B2065" t="str">
            <v/>
          </cell>
        </row>
        <row r="2066">
          <cell r="B2066" t="str">
            <v/>
          </cell>
        </row>
        <row r="2067">
          <cell r="B2067" t="str">
            <v/>
          </cell>
        </row>
        <row r="2068">
          <cell r="B2068" t="str">
            <v/>
          </cell>
        </row>
        <row r="2069">
          <cell r="B2069" t="str">
            <v/>
          </cell>
        </row>
        <row r="2070">
          <cell r="B2070" t="str">
            <v/>
          </cell>
        </row>
        <row r="2071">
          <cell r="B2071" t="str">
            <v/>
          </cell>
        </row>
        <row r="2072">
          <cell r="B2072" t="str">
            <v/>
          </cell>
        </row>
        <row r="2073">
          <cell r="B2073" t="str">
            <v/>
          </cell>
        </row>
        <row r="2074">
          <cell r="B2074" t="str">
            <v/>
          </cell>
        </row>
        <row r="2075">
          <cell r="B2075" t="str">
            <v/>
          </cell>
        </row>
        <row r="2076">
          <cell r="B2076" t="str">
            <v/>
          </cell>
        </row>
        <row r="2077">
          <cell r="B2077" t="str">
            <v/>
          </cell>
        </row>
        <row r="2078">
          <cell r="B2078" t="str">
            <v/>
          </cell>
        </row>
        <row r="2079">
          <cell r="B2079" t="str">
            <v/>
          </cell>
        </row>
        <row r="2080">
          <cell r="B2080" t="str">
            <v/>
          </cell>
        </row>
        <row r="2081">
          <cell r="B2081" t="str">
            <v/>
          </cell>
        </row>
        <row r="2082">
          <cell r="B2082" t="str">
            <v/>
          </cell>
        </row>
        <row r="2083">
          <cell r="B2083" t="str">
            <v/>
          </cell>
        </row>
        <row r="2084">
          <cell r="B2084" t="str">
            <v/>
          </cell>
        </row>
        <row r="2085">
          <cell r="B2085" t="str">
            <v/>
          </cell>
        </row>
        <row r="2086">
          <cell r="B2086" t="str">
            <v/>
          </cell>
        </row>
        <row r="2087">
          <cell r="B2087" t="str">
            <v/>
          </cell>
        </row>
        <row r="2088">
          <cell r="B2088" t="str">
            <v/>
          </cell>
        </row>
        <row r="2089">
          <cell r="B2089" t="str">
            <v/>
          </cell>
        </row>
        <row r="2090">
          <cell r="B2090" t="str">
            <v/>
          </cell>
        </row>
        <row r="2091">
          <cell r="B2091" t="str">
            <v/>
          </cell>
        </row>
        <row r="2092">
          <cell r="B2092" t="str">
            <v/>
          </cell>
        </row>
        <row r="2093">
          <cell r="B2093" t="st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csx  t10 gốc"/>
      <sheetName val="chuỷen doi"/>
      <sheetName val="bcsx  t10 + cdc IN KÝ"/>
      <sheetName val="bcsx  t10 cdc in"/>
      <sheetName val="Sheet2"/>
      <sheetName val="Sheet3"/>
    </sheetNames>
    <sheetDataSet>
      <sheetData sheetId="0">
        <row r="69">
          <cell r="O69">
            <v>3271.1019999999994</v>
          </cell>
        </row>
      </sheetData>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ẢN LƯỢNG CHỐT"/>
      <sheetName val="CHẤM CÔNG T12 "/>
      <sheetName val="CHẤM CÔNG  (2)"/>
      <sheetName val="SẢN LƯỢNG  THÁNG 12"/>
      <sheetName val="SL THÁNG 9 XUẤT TRẠM CÁN"/>
      <sheetName val="SL THÁNG 9 40%"/>
      <sheetName val="TRUY LĨNH SL THÁNG 8"/>
      <sheetName val="SẢN LƯỢNG  SERUM THÁNG 11"/>
      <sheetName val="mủ dây"/>
      <sheetName val="Sheet1"/>
      <sheetName val="sản lượng TRUY SL"/>
      <sheetName val="Sheet2"/>
    </sheetNames>
    <sheetDataSet>
      <sheetData sheetId="0" refreshError="1"/>
      <sheetData sheetId="1" refreshError="1"/>
      <sheetData sheetId="2" refreshError="1"/>
      <sheetData sheetId="3" refreshError="1"/>
      <sheetData sheetId="4" refreshError="1"/>
      <sheetData sheetId="5" refreshError="1"/>
      <sheetData sheetId="6">
        <row r="73">
          <cell r="AL73">
            <v>3355.9839999999999</v>
          </cell>
        </row>
      </sheetData>
      <sheetData sheetId="7"/>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ÁT A"/>
      <sheetName val="LÁT B"/>
      <sheetName val="LÁT C"/>
      <sheetName val="LÁT D"/>
      <sheetName val="TỔNG MỦ TẠP"/>
      <sheetName val="CHẤM CÔNG"/>
      <sheetName val="MỦ DÂY"/>
      <sheetName val="Axit đánh đông"/>
      <sheetName val="TH LÔ TRẠM 1"/>
    </sheetNames>
    <sheetDataSet>
      <sheetData sheetId="0" refreshError="1"/>
      <sheetData sheetId="1" refreshError="1"/>
      <sheetData sheetId="2" refreshError="1"/>
      <sheetData sheetId="3" refreshError="1"/>
      <sheetData sheetId="4">
        <row r="9">
          <cell r="B9" t="str">
            <v>Phò Thưng</v>
          </cell>
        </row>
        <row r="10">
          <cell r="B10" t="str">
            <v>A Nhợp</v>
          </cell>
        </row>
        <row r="11">
          <cell r="B11" t="str">
            <v>Van</v>
          </cell>
        </row>
        <row r="12">
          <cell r="B12" t="str">
            <v>Thảo Khọt</v>
          </cell>
        </row>
        <row r="13">
          <cell r="B13" t="str">
            <v>A Cơ</v>
          </cell>
        </row>
        <row r="14">
          <cell r="B14" t="str">
            <v>Phơ</v>
          </cell>
        </row>
        <row r="15">
          <cell r="B15" t="str">
            <v>A phơ</v>
          </cell>
        </row>
        <row r="16">
          <cell r="B16" t="str">
            <v>Nang Đăm</v>
          </cell>
        </row>
        <row r="17">
          <cell r="B17" t="str">
            <v>Nang Sun</v>
          </cell>
        </row>
        <row r="18">
          <cell r="B18" t="str">
            <v>A Nghen</v>
          </cell>
        </row>
        <row r="19">
          <cell r="B19" t="str">
            <v>Nguyễn Thị Thanh Trà</v>
          </cell>
        </row>
        <row r="20">
          <cell r="B20" t="str">
            <v>Phò Thít</v>
          </cell>
        </row>
        <row r="21">
          <cell r="B21" t="str">
            <v>A Bợp</v>
          </cell>
        </row>
        <row r="22">
          <cell r="B22" t="str">
            <v>A Khai</v>
          </cell>
        </row>
        <row r="23">
          <cell r="B23" t="str">
            <v>Võ Thị Nguyên</v>
          </cell>
        </row>
        <row r="24">
          <cell r="B24" t="str">
            <v>Tà Lọt</v>
          </cell>
        </row>
        <row r="25">
          <cell r="B25" t="str">
            <v>A Han</v>
          </cell>
        </row>
        <row r="26">
          <cell r="B26" t="str">
            <v>A Nút</v>
          </cell>
        </row>
        <row r="27">
          <cell r="B27" t="str">
            <v>Thảo Buôn</v>
          </cell>
        </row>
        <row r="28">
          <cell r="B28" t="str">
            <v>Phò Lấp</v>
          </cell>
        </row>
        <row r="29">
          <cell r="B29" t="str">
            <v>Phò Nhạc</v>
          </cell>
        </row>
        <row r="30">
          <cell r="B30" t="str">
            <v>Nang Nọi</v>
          </cell>
        </row>
        <row r="31">
          <cell r="B31" t="str">
            <v>Húc</v>
          </cell>
        </row>
        <row r="32">
          <cell r="B32" t="str">
            <v>A Côm</v>
          </cell>
        </row>
        <row r="33">
          <cell r="B33" t="str">
            <v>Nang Phen</v>
          </cell>
        </row>
        <row r="34">
          <cell r="B34" t="str">
            <v>Thảo Đuôn</v>
          </cell>
        </row>
        <row r="35">
          <cell r="B35" t="str">
            <v>A Rơ</v>
          </cell>
        </row>
        <row r="36">
          <cell r="B36" t="str">
            <v>Thảo Xâm</v>
          </cell>
        </row>
        <row r="37">
          <cell r="B37" t="str">
            <v>Thảo Anh</v>
          </cell>
        </row>
        <row r="38">
          <cell r="B38" t="str">
            <v>Nang Banh</v>
          </cell>
        </row>
        <row r="39">
          <cell r="B39" t="str">
            <v>Thảo Boi</v>
          </cell>
        </row>
        <row r="40">
          <cell r="B40" t="str">
            <v>Cha Lơ</v>
          </cell>
        </row>
        <row r="41">
          <cell r="B41" t="str">
            <v>Nang Cung</v>
          </cell>
        </row>
        <row r="42">
          <cell r="B42" t="str">
            <v>Thảo Xen</v>
          </cell>
        </row>
        <row r="43">
          <cell r="B43" t="str">
            <v>Phò Nhuận</v>
          </cell>
        </row>
      </sheetData>
      <sheetData sheetId="5" refreshError="1"/>
      <sheetData sheetId="6" refreshError="1"/>
      <sheetData sheetId="7" refreshError="1"/>
      <sheetData sheetId="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ÁT A"/>
      <sheetName val="LÁT B"/>
      <sheetName val="LÁT C"/>
      <sheetName val="LÁT D"/>
      <sheetName val="CHẤM CÔNG"/>
      <sheetName val="TỔNG MỦ TẠP"/>
      <sheetName val="MỦ DÂY"/>
      <sheetName val="Axit đánh đông"/>
      <sheetName val="TH LÔ 2 TRẠM"/>
      <sheetName val="TH LÔ TRẠM 1"/>
    </sheetNames>
    <sheetDataSet>
      <sheetData sheetId="0"/>
      <sheetData sheetId="1"/>
      <sheetData sheetId="2"/>
      <sheetData sheetId="3"/>
      <sheetData sheetId="4">
        <row r="9">
          <cell r="B9" t="str">
            <v>Nàng Pong</v>
          </cell>
        </row>
        <row r="10">
          <cell r="B10" t="str">
            <v>Thảo Ơ</v>
          </cell>
        </row>
        <row r="11">
          <cell r="B11" t="str">
            <v>Thảo Ui</v>
          </cell>
        </row>
        <row r="12">
          <cell r="B12" t="str">
            <v>Thảo Xoan Chay</v>
          </cell>
        </row>
        <row r="13">
          <cell r="B13" t="str">
            <v>Nàng Út</v>
          </cell>
        </row>
        <row r="14">
          <cell r="B14" t="str">
            <v>Thảo Phôn Xay</v>
          </cell>
        </row>
        <row r="15">
          <cell r="B15" t="str">
            <v>Nàng Phêng</v>
          </cell>
        </row>
        <row r="16">
          <cell r="B16" t="str">
            <v>Thảo Phíc</v>
          </cell>
        </row>
        <row r="17">
          <cell r="B17" t="str">
            <v>Nàng Chai</v>
          </cell>
        </row>
        <row r="18">
          <cell r="B18" t="str">
            <v>Thảo Viêng</v>
          </cell>
        </row>
        <row r="19">
          <cell r="B19" t="str">
            <v>Thảo Xượm</v>
          </cell>
        </row>
        <row r="20">
          <cell r="B20" t="str">
            <v>Thảo Tích</v>
          </cell>
        </row>
        <row r="21">
          <cell r="B21" t="str">
            <v>Nàng Thoong</v>
          </cell>
        </row>
        <row r="22">
          <cell r="B22" t="str">
            <v>Thảo Tý 2</v>
          </cell>
        </row>
        <row r="23">
          <cell r="B23" t="str">
            <v>Nàng Mui</v>
          </cell>
        </row>
        <row r="24">
          <cell r="B24" t="str">
            <v>Thảo Xay Phôn</v>
          </cell>
        </row>
        <row r="25">
          <cell r="B25" t="str">
            <v>Ning Dung 2</v>
          </cell>
        </row>
        <row r="26">
          <cell r="B26" t="str">
            <v>Ning Dung</v>
          </cell>
        </row>
        <row r="27">
          <cell r="B27" t="str">
            <v>Mua Chăn</v>
          </cell>
        </row>
        <row r="28">
          <cell r="B28" t="str">
            <v>Thảo Chọi 2</v>
          </cell>
        </row>
        <row r="29">
          <cell r="B29" t="str">
            <v>Thảo Sing</v>
          </cell>
        </row>
        <row r="30">
          <cell r="B30" t="str">
            <v>Thảo Phu</v>
          </cell>
        </row>
        <row r="31">
          <cell r="B31" t="str">
            <v>Nàng Tịa</v>
          </cell>
        </row>
        <row r="32">
          <cell r="B32" t="str">
            <v>Thảo Tý</v>
          </cell>
        </row>
        <row r="33">
          <cell r="B33" t="str">
            <v>Nàng Lếc</v>
          </cell>
        </row>
        <row r="34">
          <cell r="B34" t="str">
            <v>Nàng Veo</v>
          </cell>
        </row>
        <row r="35">
          <cell r="B35" t="str">
            <v>Thảo Chọi</v>
          </cell>
        </row>
        <row r="36">
          <cell r="B36" t="str">
            <v>Nàng Nọi</v>
          </cell>
        </row>
        <row r="37">
          <cell r="B37" t="str">
            <v>Thảo Uổn</v>
          </cell>
        </row>
        <row r="38">
          <cell r="B38" t="str">
            <v>Nàng Văn</v>
          </cell>
        </row>
        <row r="39">
          <cell r="B39" t="str">
            <v>Thảo Chòi</v>
          </cell>
        </row>
        <row r="40">
          <cell r="B40" t="str">
            <v>Thảo Chanh</v>
          </cell>
        </row>
        <row r="41">
          <cell r="B41" t="str">
            <v>Thảo Sa</v>
          </cell>
        </row>
        <row r="42">
          <cell r="B42" t="str">
            <v>Nàng Phôn</v>
          </cell>
        </row>
        <row r="43">
          <cell r="B43" t="str">
            <v>Thảo Mon</v>
          </cell>
        </row>
        <row r="44">
          <cell r="B44" t="str">
            <v>Thảo Vông Xay</v>
          </cell>
        </row>
        <row r="45">
          <cell r="B45" t="str">
            <v>Nàng Lun</v>
          </cell>
        </row>
        <row r="46">
          <cell r="B46" t="str">
            <v>Thảo Vong</v>
          </cell>
        </row>
        <row r="47">
          <cell r="B47" t="str">
            <v>Nàng Veng</v>
          </cell>
        </row>
        <row r="48">
          <cell r="B48" t="str">
            <v>Thảo Đuông Chăn</v>
          </cell>
        </row>
        <row r="49">
          <cell r="B49" t="str">
            <v>Nàng Peng</v>
          </cell>
        </row>
        <row r="50">
          <cell r="B50" t="str">
            <v>Thảo Xay Tho</v>
          </cell>
        </row>
        <row r="51">
          <cell r="B51" t="str">
            <v>Nàng Xia Lô</v>
          </cell>
        </row>
      </sheetData>
      <sheetData sheetId="5"/>
      <sheetData sheetId="6"/>
      <sheetData sheetId="7"/>
      <sheetData sheetId="8"/>
      <sheetData sheetId="9"/>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ÁT A"/>
      <sheetName val="LÁT B"/>
      <sheetName val="LÁT C"/>
      <sheetName val="LÁT D"/>
      <sheetName val="CHẤM CÔNG"/>
      <sheetName val="TỔNG MỦ TẠP"/>
      <sheetName val="MỦ DÂY"/>
      <sheetName val="Axit đánh đông"/>
      <sheetName val="TH LÔ 2 TRẠM"/>
      <sheetName val="TH LÔ TRẠM 1"/>
    </sheetNames>
    <sheetDataSet>
      <sheetData sheetId="0"/>
      <sheetData sheetId="1"/>
      <sheetData sheetId="2"/>
      <sheetData sheetId="3"/>
      <sheetData sheetId="4">
        <row r="9">
          <cell r="B9" t="str">
            <v>Nàng Pong</v>
          </cell>
        </row>
        <row r="52">
          <cell r="B52" t="str">
            <v>A Cơ</v>
          </cell>
        </row>
        <row r="53">
          <cell r="B53" t="str">
            <v>A Beo</v>
          </cell>
        </row>
        <row r="54">
          <cell r="B54" t="str">
            <v>A Bốt</v>
          </cell>
        </row>
      </sheetData>
      <sheetData sheetId="5"/>
      <sheetData sheetId="6"/>
      <sheetData sheetId="7"/>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U99"/>
  <sheetViews>
    <sheetView topLeftCell="A5" zoomScale="70" zoomScaleNormal="70" zoomScaleSheetLayoutView="70" workbookViewId="0">
      <selection activeCell="R61" sqref="R61"/>
    </sheetView>
  </sheetViews>
  <sheetFormatPr defaultRowHeight="15.75"/>
  <cols>
    <col min="1" max="1" width="6.140625" style="417" customWidth="1"/>
    <col min="2" max="2" width="44.28515625" style="291" customWidth="1"/>
    <col min="3" max="3" width="9" style="291" customWidth="1"/>
    <col min="4" max="4" width="7.85546875" style="291" customWidth="1"/>
    <col min="5" max="6" width="8" style="291" customWidth="1"/>
    <col min="7" max="7" width="8.42578125" style="291" customWidth="1"/>
    <col min="8" max="8" width="8.7109375" style="291" customWidth="1"/>
    <col min="9" max="9" width="9.140625" style="291" customWidth="1"/>
    <col min="10" max="10" width="9.5703125" style="291" customWidth="1"/>
    <col min="11" max="11" width="9.140625" style="291" customWidth="1"/>
    <col min="12" max="12" width="9" style="291" customWidth="1"/>
    <col min="13" max="13" width="8.5703125" style="311" customWidth="1"/>
    <col min="14" max="14" width="6.5703125" style="311" customWidth="1"/>
    <col min="15" max="15" width="13.140625" style="333" customWidth="1"/>
    <col min="16" max="16" width="14.140625" style="804" customWidth="1"/>
    <col min="17" max="17" width="9.140625" style="291"/>
    <col min="18" max="18" width="27.5703125" style="291" customWidth="1"/>
    <col min="19" max="19" width="18.85546875" style="527" customWidth="1"/>
    <col min="20" max="20" width="21.28515625" style="291" customWidth="1"/>
    <col min="21" max="21" width="11.5703125" style="291" bestFit="1" customWidth="1"/>
    <col min="22" max="16384" width="9.140625" style="291"/>
  </cols>
  <sheetData>
    <row r="1" spans="1:16" ht="16.5">
      <c r="A1" s="1221" t="s">
        <v>0</v>
      </c>
      <c r="B1" s="1221"/>
      <c r="C1" s="1221"/>
      <c r="D1" s="1221"/>
      <c r="E1" s="1221"/>
      <c r="F1" s="1221"/>
      <c r="G1" s="1221"/>
      <c r="H1" s="1221"/>
      <c r="I1" s="1221"/>
      <c r="J1" s="1221"/>
      <c r="K1" s="1221"/>
      <c r="L1" s="1221"/>
      <c r="M1" s="1221"/>
      <c r="N1" s="1221"/>
      <c r="O1" s="1221"/>
      <c r="P1" s="1221"/>
    </row>
    <row r="2" spans="1:16" ht="16.5">
      <c r="A2" s="1221" t="s">
        <v>66</v>
      </c>
      <c r="B2" s="1221"/>
      <c r="C2" s="1221"/>
      <c r="D2" s="1221"/>
      <c r="E2" s="1221"/>
      <c r="F2" s="1221"/>
      <c r="G2" s="1221"/>
      <c r="H2" s="1221"/>
      <c r="I2" s="1221"/>
      <c r="J2" s="1221"/>
      <c r="K2" s="1221"/>
      <c r="L2" s="1221"/>
      <c r="M2" s="1221"/>
      <c r="N2" s="1221"/>
      <c r="O2" s="1221"/>
      <c r="P2" s="1221"/>
    </row>
    <row r="3" spans="1:16">
      <c r="A3" s="1222" t="s">
        <v>67</v>
      </c>
      <c r="B3" s="1222"/>
      <c r="C3" s="1222"/>
      <c r="D3" s="1222"/>
      <c r="E3" s="1222"/>
      <c r="F3" s="1222"/>
      <c r="G3" s="1222"/>
      <c r="H3" s="1222"/>
      <c r="I3" s="1222"/>
      <c r="J3" s="1222"/>
      <c r="K3" s="1222"/>
      <c r="L3" s="1222"/>
      <c r="M3" s="1222"/>
      <c r="N3" s="1222"/>
      <c r="O3" s="1222"/>
      <c r="P3" s="1222"/>
    </row>
    <row r="4" spans="1:16" ht="16.5">
      <c r="A4" s="1223" t="s">
        <v>68</v>
      </c>
      <c r="B4" s="1223"/>
      <c r="C4" s="1223"/>
      <c r="D4" s="1223"/>
      <c r="E4" s="758"/>
      <c r="F4" s="758"/>
      <c r="G4" s="365"/>
      <c r="H4" s="365"/>
      <c r="I4" s="365"/>
      <c r="J4" s="365"/>
      <c r="K4" s="365"/>
      <c r="L4" s="365"/>
      <c r="M4" s="366"/>
      <c r="N4" s="366"/>
      <c r="O4" s="292"/>
      <c r="P4" s="365"/>
    </row>
    <row r="5" spans="1:16" ht="16.5">
      <c r="A5" s="1221" t="s">
        <v>292</v>
      </c>
      <c r="B5" s="1221"/>
      <c r="C5" s="1221"/>
      <c r="D5" s="1221"/>
      <c r="E5" s="758"/>
      <c r="F5" s="758"/>
      <c r="G5" s="365"/>
      <c r="H5" s="365"/>
      <c r="I5" s="365"/>
      <c r="J5" s="365"/>
      <c r="K5" s="365"/>
      <c r="L5" s="365"/>
      <c r="M5" s="366"/>
      <c r="N5" s="366"/>
      <c r="O5" s="292"/>
      <c r="P5" s="365"/>
    </row>
    <row r="6" spans="1:16" ht="9" customHeight="1">
      <c r="A6" s="367"/>
      <c r="B6" s="759"/>
      <c r="C6" s="759"/>
      <c r="D6" s="759"/>
      <c r="E6" s="758"/>
      <c r="F6" s="758"/>
      <c r="G6" s="365"/>
      <c r="H6" s="365"/>
      <c r="I6" s="365"/>
      <c r="J6" s="365"/>
      <c r="K6" s="365"/>
      <c r="L6" s="365"/>
      <c r="M6" s="366"/>
      <c r="N6" s="366"/>
      <c r="O6" s="292"/>
      <c r="P6" s="365"/>
    </row>
    <row r="7" spans="1:16" ht="17.25" customHeight="1">
      <c r="A7" s="1221" t="s">
        <v>441</v>
      </c>
      <c r="B7" s="1221"/>
      <c r="C7" s="1221"/>
      <c r="D7" s="1221"/>
      <c r="E7" s="1221"/>
      <c r="F7" s="1221"/>
      <c r="G7" s="1221"/>
      <c r="H7" s="1221"/>
      <c r="I7" s="1221"/>
      <c r="J7" s="1221"/>
      <c r="K7" s="1221"/>
      <c r="L7" s="1221"/>
      <c r="M7" s="1221"/>
      <c r="N7" s="1221"/>
      <c r="O7" s="1221"/>
      <c r="P7" s="1221"/>
    </row>
    <row r="8" spans="1:16" ht="16.5">
      <c r="A8" s="1223" t="s">
        <v>442</v>
      </c>
      <c r="B8" s="1223"/>
      <c r="C8" s="1223"/>
      <c r="D8" s="1223"/>
      <c r="E8" s="1223"/>
      <c r="F8" s="1223"/>
      <c r="G8" s="1223"/>
      <c r="H8" s="1223"/>
      <c r="I8" s="1223"/>
      <c r="J8" s="1223"/>
      <c r="K8" s="1223"/>
      <c r="L8" s="1223"/>
      <c r="M8" s="1223"/>
      <c r="N8" s="1223"/>
      <c r="O8" s="1223"/>
      <c r="P8" s="1223"/>
    </row>
    <row r="9" spans="1:16" ht="9.75" customHeight="1">
      <c r="A9" s="368"/>
      <c r="B9" s="760"/>
      <c r="C9" s="760"/>
      <c r="D9" s="293"/>
      <c r="E9" s="294"/>
      <c r="F9" s="294"/>
      <c r="G9" s="294"/>
      <c r="H9" s="294"/>
      <c r="I9" s="294"/>
      <c r="J9" s="294"/>
      <c r="K9" s="294"/>
      <c r="L9" s="294"/>
      <c r="M9" s="295"/>
      <c r="N9" s="295"/>
      <c r="O9" s="296"/>
      <c r="P9" s="759"/>
    </row>
    <row r="10" spans="1:16" ht="18" customHeight="1">
      <c r="A10" s="1227" t="s">
        <v>3</v>
      </c>
      <c r="B10" s="1229" t="s">
        <v>69</v>
      </c>
      <c r="C10" s="1229" t="s">
        <v>70</v>
      </c>
      <c r="D10" s="1231" t="s">
        <v>71</v>
      </c>
      <c r="E10" s="1233" t="s">
        <v>367</v>
      </c>
      <c r="F10" s="1233"/>
      <c r="G10" s="1233"/>
      <c r="H10" s="1233"/>
      <c r="I10" s="1233"/>
      <c r="J10" s="1233"/>
      <c r="K10" s="1233"/>
      <c r="L10" s="1233"/>
      <c r="M10" s="1234" t="s">
        <v>72</v>
      </c>
      <c r="N10" s="1235" t="s">
        <v>443</v>
      </c>
      <c r="O10" s="297" t="s">
        <v>28</v>
      </c>
      <c r="P10" s="1229" t="s">
        <v>5</v>
      </c>
    </row>
    <row r="11" spans="1:16" ht="46.5" customHeight="1">
      <c r="A11" s="1228"/>
      <c r="B11" s="1230"/>
      <c r="C11" s="1230"/>
      <c r="D11" s="1232"/>
      <c r="E11" s="713" t="s">
        <v>73</v>
      </c>
      <c r="F11" s="713" t="s">
        <v>74</v>
      </c>
      <c r="G11" s="713" t="s">
        <v>73</v>
      </c>
      <c r="H11" s="713" t="s">
        <v>74</v>
      </c>
      <c r="I11" s="713" t="s">
        <v>73</v>
      </c>
      <c r="J11" s="713" t="s">
        <v>74</v>
      </c>
      <c r="K11" s="713" t="s">
        <v>73</v>
      </c>
      <c r="L11" s="713" t="s">
        <v>74</v>
      </c>
      <c r="M11" s="1235"/>
      <c r="N11" s="1236"/>
      <c r="O11" s="298" t="s">
        <v>75</v>
      </c>
      <c r="P11" s="1230"/>
    </row>
    <row r="12" spans="1:16" ht="33.75" customHeight="1">
      <c r="A12" s="763" t="s">
        <v>63</v>
      </c>
      <c r="B12" s="299" t="s">
        <v>76</v>
      </c>
      <c r="C12" s="300"/>
      <c r="D12" s="714"/>
      <c r="E12" s="715"/>
      <c r="F12" s="715"/>
      <c r="G12" s="715"/>
      <c r="H12" s="715"/>
      <c r="I12" s="715"/>
      <c r="J12" s="715"/>
      <c r="K12" s="715"/>
      <c r="L12" s="715"/>
      <c r="M12" s="716"/>
      <c r="N12" s="716"/>
      <c r="O12" s="297">
        <f>SUBTOTAL(9,O13:O58)</f>
        <v>8706.6712400000015</v>
      </c>
      <c r="P12" s="767"/>
    </row>
    <row r="13" spans="1:16" ht="33.75" customHeight="1">
      <c r="A13" s="369" t="s">
        <v>77</v>
      </c>
      <c r="B13" s="301" t="s">
        <v>78</v>
      </c>
      <c r="C13" s="370" t="s">
        <v>79</v>
      </c>
      <c r="D13" s="371"/>
      <c r="E13" s="371"/>
      <c r="F13" s="372"/>
      <c r="G13" s="371"/>
      <c r="H13" s="371"/>
      <c r="I13" s="371"/>
      <c r="J13" s="371"/>
      <c r="K13" s="371"/>
      <c r="L13" s="371"/>
      <c r="M13" s="373"/>
      <c r="N13" s="373"/>
      <c r="O13" s="302"/>
      <c r="P13" s="303"/>
    </row>
    <row r="14" spans="1:16" ht="33.75" customHeight="1">
      <c r="A14" s="374" t="s">
        <v>80</v>
      </c>
      <c r="B14" s="455" t="s">
        <v>81</v>
      </c>
      <c r="C14" s="375" t="s">
        <v>82</v>
      </c>
      <c r="D14" s="376"/>
      <c r="E14" s="376"/>
      <c r="F14" s="377"/>
      <c r="G14" s="376"/>
      <c r="H14" s="376"/>
      <c r="I14" s="376"/>
      <c r="J14" s="376"/>
      <c r="K14" s="378"/>
      <c r="L14" s="717"/>
      <c r="M14" s="750">
        <v>90.872</v>
      </c>
      <c r="N14" s="397" t="s">
        <v>474</v>
      </c>
      <c r="O14" s="304"/>
      <c r="P14" s="305"/>
    </row>
    <row r="15" spans="1:16" ht="33.75" customHeight="1">
      <c r="A15" s="374" t="s">
        <v>83</v>
      </c>
      <c r="B15" s="455" t="s">
        <v>84</v>
      </c>
      <c r="C15" s="375" t="s">
        <v>79</v>
      </c>
      <c r="D15" s="376"/>
      <c r="E15" s="376"/>
      <c r="F15" s="377"/>
      <c r="G15" s="376"/>
      <c r="H15" s="376"/>
      <c r="I15" s="376"/>
      <c r="J15" s="376"/>
      <c r="K15" s="376"/>
      <c r="L15" s="376"/>
      <c r="M15" s="379"/>
      <c r="N15" s="379"/>
      <c r="O15" s="304"/>
      <c r="P15" s="305"/>
    </row>
    <row r="16" spans="1:16" ht="33.75" customHeight="1">
      <c r="A16" s="374" t="s">
        <v>85</v>
      </c>
      <c r="B16" s="455" t="s">
        <v>86</v>
      </c>
      <c r="C16" s="375" t="s">
        <v>79</v>
      </c>
      <c r="D16" s="376"/>
      <c r="E16" s="376"/>
      <c r="F16" s="377"/>
      <c r="G16" s="376"/>
      <c r="H16" s="376"/>
      <c r="I16" s="376"/>
      <c r="J16" s="376"/>
      <c r="K16" s="376"/>
      <c r="L16" s="376"/>
      <c r="M16" s="379"/>
      <c r="N16" s="379"/>
      <c r="O16" s="304"/>
      <c r="P16" s="305"/>
    </row>
    <row r="17" spans="1:19" ht="33.75" customHeight="1">
      <c r="A17" s="380" t="s">
        <v>87</v>
      </c>
      <c r="B17" s="306" t="s">
        <v>88</v>
      </c>
      <c r="C17" s="375" t="s">
        <v>89</v>
      </c>
      <c r="D17" s="376"/>
      <c r="E17" s="376"/>
      <c r="F17" s="377"/>
      <c r="G17" s="376"/>
      <c r="H17" s="376"/>
      <c r="I17" s="376"/>
      <c r="J17" s="376"/>
      <c r="K17" s="376"/>
      <c r="L17" s="376"/>
      <c r="M17" s="381"/>
      <c r="N17" s="381"/>
      <c r="O17" s="307">
        <f>SUBTOTAL(9,O18:O23)</f>
        <v>5827.039240000001</v>
      </c>
      <c r="P17" s="305"/>
    </row>
    <row r="18" spans="1:19" ht="33.75" customHeight="1">
      <c r="A18" s="374" t="s">
        <v>90</v>
      </c>
      <c r="B18" s="455" t="s">
        <v>91</v>
      </c>
      <c r="C18" s="375" t="s">
        <v>89</v>
      </c>
      <c r="D18" s="383"/>
      <c r="E18" s="1237"/>
      <c r="F18" s="1237"/>
      <c r="G18" s="1238"/>
      <c r="H18" s="1238"/>
      <c r="I18" s="1238"/>
      <c r="J18" s="1238"/>
      <c r="K18" s="1237"/>
      <c r="L18" s="1237"/>
      <c r="M18" s="453"/>
      <c r="N18" s="379"/>
      <c r="O18" s="308">
        <v>2452.18696</v>
      </c>
      <c r="P18" s="305"/>
    </row>
    <row r="19" spans="1:19" ht="33.75" customHeight="1">
      <c r="A19" s="374" t="s">
        <v>93</v>
      </c>
      <c r="B19" s="455" t="s">
        <v>94</v>
      </c>
      <c r="C19" s="375" t="s">
        <v>89</v>
      </c>
      <c r="D19" s="384"/>
      <c r="E19" s="1237"/>
      <c r="F19" s="1237"/>
      <c r="G19" s="1237"/>
      <c r="H19" s="1237"/>
      <c r="I19" s="1237"/>
      <c r="J19" s="1237"/>
      <c r="K19" s="1237"/>
      <c r="L19" s="1237"/>
      <c r="M19" s="453"/>
      <c r="N19" s="379"/>
      <c r="O19" s="308">
        <v>357.28652</v>
      </c>
      <c r="P19" s="768"/>
    </row>
    <row r="20" spans="1:19" ht="33.75" customHeight="1">
      <c r="A20" s="374" t="s">
        <v>95</v>
      </c>
      <c r="B20" s="455" t="s">
        <v>368</v>
      </c>
      <c r="C20" s="375" t="s">
        <v>89</v>
      </c>
      <c r="D20" s="383"/>
      <c r="E20" s="1237"/>
      <c r="F20" s="1237"/>
      <c r="G20" s="1237"/>
      <c r="H20" s="1237"/>
      <c r="I20" s="1237"/>
      <c r="J20" s="1237"/>
      <c r="K20" s="1237"/>
      <c r="L20" s="1237"/>
      <c r="M20" s="453"/>
      <c r="N20" s="379"/>
      <c r="O20" s="308">
        <v>1876</v>
      </c>
      <c r="P20" s="305"/>
    </row>
    <row r="21" spans="1:19" ht="33.75" customHeight="1">
      <c r="A21" s="374" t="s">
        <v>331</v>
      </c>
      <c r="B21" s="455" t="s">
        <v>369</v>
      </c>
      <c r="C21" s="375" t="s">
        <v>89</v>
      </c>
      <c r="D21" s="386"/>
      <c r="E21" s="1237"/>
      <c r="F21" s="1237"/>
      <c r="G21" s="1237"/>
      <c r="H21" s="1237"/>
      <c r="I21" s="1237"/>
      <c r="J21" s="1237"/>
      <c r="K21" s="1237"/>
      <c r="L21" s="1237"/>
      <c r="M21" s="453"/>
      <c r="N21" s="379"/>
      <c r="O21" s="308">
        <v>150.74016</v>
      </c>
      <c r="P21" s="305"/>
    </row>
    <row r="22" spans="1:19" ht="33.75" customHeight="1">
      <c r="A22" s="374" t="s">
        <v>370</v>
      </c>
      <c r="B22" s="455" t="s">
        <v>399</v>
      </c>
      <c r="C22" s="375" t="s">
        <v>89</v>
      </c>
      <c r="D22" s="386"/>
      <c r="E22" s="1224"/>
      <c r="F22" s="1225"/>
      <c r="G22" s="1225"/>
      <c r="H22" s="1225"/>
      <c r="I22" s="1225"/>
      <c r="J22" s="1225"/>
      <c r="K22" s="1225"/>
      <c r="L22" s="1226"/>
      <c r="M22" s="453"/>
      <c r="N22" s="379"/>
      <c r="O22" s="308">
        <v>374.82560000000001</v>
      </c>
      <c r="P22" s="305"/>
    </row>
    <row r="23" spans="1:19" ht="33.75" customHeight="1">
      <c r="A23" s="374" t="s">
        <v>432</v>
      </c>
      <c r="B23" s="455" t="s">
        <v>444</v>
      </c>
      <c r="C23" s="375" t="s">
        <v>89</v>
      </c>
      <c r="D23" s="386"/>
      <c r="E23" s="1224"/>
      <c r="F23" s="1225"/>
      <c r="G23" s="1225"/>
      <c r="H23" s="1225"/>
      <c r="I23" s="1225"/>
      <c r="J23" s="1225"/>
      <c r="K23" s="1225"/>
      <c r="L23" s="1226"/>
      <c r="M23" s="453"/>
      <c r="N23" s="379"/>
      <c r="O23" s="308">
        <v>616</v>
      </c>
      <c r="P23" s="305"/>
    </row>
    <row r="24" spans="1:19" ht="33.75" customHeight="1">
      <c r="A24" s="380" t="s">
        <v>96</v>
      </c>
      <c r="B24" s="306" t="s">
        <v>97</v>
      </c>
      <c r="C24" s="375"/>
      <c r="D24" s="384"/>
      <c r="E24" s="309"/>
      <c r="F24" s="309"/>
      <c r="G24" s="765"/>
      <c r="H24" s="309"/>
      <c r="I24" s="309"/>
      <c r="J24" s="309"/>
      <c r="K24" s="309"/>
      <c r="L24" s="309"/>
      <c r="M24" s="379"/>
      <c r="N24" s="379"/>
      <c r="O24" s="307">
        <f>SUBTOTAL(9,O25:O58)</f>
        <v>2879.6319999999996</v>
      </c>
      <c r="P24" s="305"/>
    </row>
    <row r="25" spans="1:19" ht="33.75" customHeight="1">
      <c r="A25" s="387">
        <v>1</v>
      </c>
      <c r="B25" s="310" t="s">
        <v>400</v>
      </c>
      <c r="C25" s="375"/>
      <c r="D25" s="384"/>
      <c r="E25" s="309"/>
      <c r="F25" s="309"/>
      <c r="G25" s="765"/>
      <c r="H25" s="309"/>
      <c r="I25" s="309"/>
      <c r="J25" s="309"/>
      <c r="K25" s="309"/>
      <c r="L25" s="309"/>
      <c r="M25" s="379"/>
      <c r="N25" s="379"/>
      <c r="O25" s="388">
        <f>+SUBTOTAL(9,O26:O34)</f>
        <v>799.3839999999999</v>
      </c>
      <c r="P25" s="305"/>
    </row>
    <row r="26" spans="1:19" ht="33.75" customHeight="1">
      <c r="A26" s="374" t="s">
        <v>80</v>
      </c>
      <c r="B26" s="455" t="s">
        <v>98</v>
      </c>
      <c r="C26" s="375" t="s">
        <v>332</v>
      </c>
      <c r="D26" s="389">
        <f>25/20</f>
        <v>1.25</v>
      </c>
      <c r="E26" s="376"/>
      <c r="F26" s="376"/>
      <c r="G26" s="377"/>
      <c r="H26" s="376"/>
      <c r="I26" s="376"/>
      <c r="J26" s="376"/>
      <c r="K26" s="376"/>
      <c r="L26" s="376"/>
      <c r="M26" s="390">
        <f>23+33-18</f>
        <v>38</v>
      </c>
      <c r="N26" s="390">
        <v>1</v>
      </c>
      <c r="O26" s="391">
        <f>+M26/D26</f>
        <v>30.4</v>
      </c>
      <c r="P26" s="305"/>
      <c r="R26" s="718">
        <f>+O26+O36+O43</f>
        <v>216</v>
      </c>
    </row>
    <row r="27" spans="1:19" ht="33.75" customHeight="1">
      <c r="A27" s="392" t="s">
        <v>83</v>
      </c>
      <c r="B27" s="455" t="s">
        <v>445</v>
      </c>
      <c r="C27" s="375" t="s">
        <v>332</v>
      </c>
      <c r="D27" s="389">
        <f>1/2</f>
        <v>0.5</v>
      </c>
      <c r="E27" s="376"/>
      <c r="F27" s="376"/>
      <c r="G27" s="376"/>
      <c r="H27" s="376"/>
      <c r="I27" s="376"/>
      <c r="J27" s="376"/>
      <c r="K27" s="376"/>
      <c r="L27" s="314"/>
      <c r="M27" s="390">
        <v>56</v>
      </c>
      <c r="N27" s="395"/>
      <c r="O27" s="391">
        <f>+M27/D27</f>
        <v>112</v>
      </c>
      <c r="P27" s="305"/>
    </row>
    <row r="28" spans="1:19" ht="33.75" customHeight="1">
      <c r="A28" s="392" t="s">
        <v>85</v>
      </c>
      <c r="B28" s="455" t="s">
        <v>336</v>
      </c>
      <c r="C28" s="375" t="s">
        <v>337</v>
      </c>
      <c r="D28" s="454">
        <f>1/16</f>
        <v>6.25E-2</v>
      </c>
      <c r="E28" s="312"/>
      <c r="F28" s="312"/>
      <c r="G28" s="377"/>
      <c r="H28" s="376"/>
      <c r="I28" s="376"/>
      <c r="J28" s="376"/>
      <c r="K28" s="376"/>
      <c r="L28" s="376"/>
      <c r="M28" s="393">
        <f>+SUM(E29:L29)</f>
        <v>20.85</v>
      </c>
      <c r="N28" s="393"/>
      <c r="O28" s="391">
        <f>+M28/D28</f>
        <v>333.6</v>
      </c>
      <c r="P28" s="305"/>
    </row>
    <row r="29" spans="1:19" ht="33.75" customHeight="1">
      <c r="A29" s="392"/>
      <c r="B29" s="394"/>
      <c r="C29" s="375"/>
      <c r="D29" s="313"/>
      <c r="E29" s="528" t="s">
        <v>333</v>
      </c>
      <c r="F29" s="376">
        <v>8.76</v>
      </c>
      <c r="G29" s="528" t="s">
        <v>404</v>
      </c>
      <c r="H29" s="376">
        <f>12.18*0.5</f>
        <v>6.09</v>
      </c>
      <c r="I29" s="528" t="s">
        <v>338</v>
      </c>
      <c r="J29" s="376">
        <v>6</v>
      </c>
      <c r="K29" s="314"/>
      <c r="L29" s="314"/>
      <c r="M29" s="395"/>
      <c r="N29" s="395"/>
      <c r="O29" s="391"/>
      <c r="P29" s="305"/>
    </row>
    <row r="30" spans="1:19" ht="33.75" customHeight="1">
      <c r="A30" s="392"/>
      <c r="B30" s="769" t="s">
        <v>475</v>
      </c>
      <c r="C30" s="770" t="s">
        <v>337</v>
      </c>
      <c r="D30" s="771">
        <f>1/20</f>
        <v>0.05</v>
      </c>
      <c r="E30" s="772"/>
      <c r="F30" s="772"/>
      <c r="G30" s="764"/>
      <c r="H30" s="530"/>
      <c r="I30" s="530"/>
      <c r="J30" s="530"/>
      <c r="K30" s="530"/>
      <c r="L30" s="530"/>
      <c r="M30" s="773">
        <f>+SUM(E31:L31)</f>
        <v>7.9660000000000002</v>
      </c>
      <c r="N30" s="719"/>
      <c r="O30" s="746">
        <f>+M30/D30</f>
        <v>159.32</v>
      </c>
      <c r="P30" s="305"/>
    </row>
    <row r="31" spans="1:19" ht="33.75" customHeight="1">
      <c r="A31" s="392"/>
      <c r="B31" s="774"/>
      <c r="C31" s="770"/>
      <c r="D31" s="775"/>
      <c r="E31" s="530" t="s">
        <v>405</v>
      </c>
      <c r="F31" s="530">
        <v>7.9660000000000002</v>
      </c>
      <c r="G31" s="770"/>
      <c r="H31" s="770"/>
      <c r="I31" s="770"/>
      <c r="J31" s="770"/>
      <c r="K31" s="531"/>
      <c r="L31" s="531"/>
      <c r="M31" s="719"/>
      <c r="N31" s="719"/>
      <c r="O31" s="746"/>
      <c r="P31" s="305"/>
    </row>
    <row r="32" spans="1:19" s="721" customFormat="1" ht="33.75" customHeight="1">
      <c r="A32" s="776" t="s">
        <v>335</v>
      </c>
      <c r="B32" s="769" t="s">
        <v>476</v>
      </c>
      <c r="C32" s="770" t="s">
        <v>337</v>
      </c>
      <c r="D32" s="777">
        <f>1/4.8</f>
        <v>0.20833333333333334</v>
      </c>
      <c r="E32" s="530"/>
      <c r="F32" s="530"/>
      <c r="G32" s="530"/>
      <c r="H32" s="530"/>
      <c r="I32" s="530"/>
      <c r="J32" s="778"/>
      <c r="K32" s="309"/>
      <c r="L32" s="309"/>
      <c r="M32" s="779">
        <f>+SUM(E33:L34)</f>
        <v>34.18</v>
      </c>
      <c r="N32" s="780"/>
      <c r="O32" s="746">
        <f>+M32/D32</f>
        <v>164.06399999999999</v>
      </c>
      <c r="P32" s="720"/>
      <c r="R32" s="781">
        <f>+L33+L34</f>
        <v>20.2</v>
      </c>
      <c r="S32" s="722"/>
    </row>
    <row r="33" spans="1:20" s="721" customFormat="1" ht="33.75" customHeight="1">
      <c r="A33" s="776"/>
      <c r="B33" s="774"/>
      <c r="C33" s="770"/>
      <c r="D33" s="775"/>
      <c r="E33" s="375" t="s">
        <v>402</v>
      </c>
      <c r="F33" s="376">
        <v>2.2799999999999998</v>
      </c>
      <c r="G33" s="375" t="s">
        <v>339</v>
      </c>
      <c r="H33" s="376">
        <v>2</v>
      </c>
      <c r="I33" s="375" t="s">
        <v>405</v>
      </c>
      <c r="J33" s="376">
        <v>1.5</v>
      </c>
      <c r="K33" s="770" t="s">
        <v>334</v>
      </c>
      <c r="L33" s="530">
        <f>2+10.65</f>
        <v>12.65</v>
      </c>
      <c r="M33" s="719"/>
      <c r="N33" s="719"/>
      <c r="O33" s="746"/>
      <c r="P33" s="720"/>
      <c r="S33" s="722"/>
    </row>
    <row r="34" spans="1:20" s="721" customFormat="1" ht="33.75" customHeight="1">
      <c r="A34" s="776"/>
      <c r="B34" s="774"/>
      <c r="C34" s="770"/>
      <c r="D34" s="775"/>
      <c r="E34" s="375" t="s">
        <v>406</v>
      </c>
      <c r="F34" s="376">
        <v>1.2</v>
      </c>
      <c r="G34" s="375" t="s">
        <v>338</v>
      </c>
      <c r="H34" s="376">
        <v>3</v>
      </c>
      <c r="I34" s="375" t="s">
        <v>403</v>
      </c>
      <c r="J34" s="376">
        <v>4</v>
      </c>
      <c r="K34" s="770" t="s">
        <v>401</v>
      </c>
      <c r="L34" s="530">
        <v>7.55</v>
      </c>
      <c r="M34" s="719"/>
      <c r="N34" s="719"/>
      <c r="O34" s="746"/>
      <c r="P34" s="720"/>
      <c r="S34" s="722"/>
    </row>
    <row r="35" spans="1:20" s="527" customFormat="1" ht="33.75" customHeight="1">
      <c r="A35" s="387">
        <v>2</v>
      </c>
      <c r="B35" s="310" t="s">
        <v>407</v>
      </c>
      <c r="C35" s="375"/>
      <c r="D35" s="384"/>
      <c r="E35" s="309"/>
      <c r="F35" s="309"/>
      <c r="G35" s="765"/>
      <c r="H35" s="309"/>
      <c r="I35" s="309"/>
      <c r="J35" s="765"/>
      <c r="K35" s="765"/>
      <c r="L35" s="309"/>
      <c r="M35" s="379"/>
      <c r="N35" s="379"/>
      <c r="O35" s="388">
        <f>+SUBTOTAL(9,O36:O41)</f>
        <v>510.68</v>
      </c>
      <c r="P35" s="305"/>
      <c r="Q35" s="291"/>
      <c r="R35" s="291"/>
      <c r="T35" s="291"/>
    </row>
    <row r="36" spans="1:20" s="527" customFormat="1" ht="33.75" customHeight="1">
      <c r="A36" s="392" t="s">
        <v>90</v>
      </c>
      <c r="B36" s="455" t="s">
        <v>98</v>
      </c>
      <c r="C36" s="375" t="s">
        <v>332</v>
      </c>
      <c r="D36" s="389">
        <f>25/20</f>
        <v>1.25</v>
      </c>
      <c r="E36" s="309"/>
      <c r="F36" s="309"/>
      <c r="G36" s="765"/>
      <c r="H36" s="309"/>
      <c r="I36" s="309"/>
      <c r="J36" s="309"/>
      <c r="K36" s="309"/>
      <c r="L36" s="309"/>
      <c r="M36" s="397">
        <v>64</v>
      </c>
      <c r="N36" s="397">
        <v>2</v>
      </c>
      <c r="O36" s="391">
        <f>+M36/D36*2</f>
        <v>102.4</v>
      </c>
      <c r="P36" s="305"/>
      <c r="Q36" s="291"/>
      <c r="R36" s="291">
        <f>+M26+M36*2+M43*2</f>
        <v>270</v>
      </c>
      <c r="T36" s="291"/>
    </row>
    <row r="37" spans="1:20" s="527" customFormat="1" ht="33.75" customHeight="1">
      <c r="A37" s="392" t="s">
        <v>93</v>
      </c>
      <c r="B37" s="455" t="s">
        <v>445</v>
      </c>
      <c r="C37" s="375" t="s">
        <v>332</v>
      </c>
      <c r="D37" s="389">
        <f>1/2</f>
        <v>0.5</v>
      </c>
      <c r="E37" s="376"/>
      <c r="F37" s="376"/>
      <c r="G37" s="376"/>
      <c r="H37" s="376"/>
      <c r="I37" s="376"/>
      <c r="J37" s="376"/>
      <c r="K37" s="376"/>
      <c r="L37" s="314"/>
      <c r="M37" s="397">
        <v>64</v>
      </c>
      <c r="N37" s="395"/>
      <c r="O37" s="391">
        <f>+M37/D37</f>
        <v>128</v>
      </c>
      <c r="P37" s="305"/>
      <c r="Q37" s="291"/>
      <c r="R37" s="291"/>
      <c r="T37" s="291"/>
    </row>
    <row r="38" spans="1:20" s="527" customFormat="1" ht="33.75" customHeight="1">
      <c r="A38" s="392" t="s">
        <v>95</v>
      </c>
      <c r="B38" s="455" t="s">
        <v>336</v>
      </c>
      <c r="C38" s="375" t="s">
        <v>337</v>
      </c>
      <c r="D38" s="389">
        <f>1/16</f>
        <v>6.25E-2</v>
      </c>
      <c r="E38" s="377"/>
      <c r="F38" s="377"/>
      <c r="G38" s="394"/>
      <c r="H38" s="377"/>
      <c r="I38" s="377"/>
      <c r="J38" s="377"/>
      <c r="K38" s="377"/>
      <c r="L38" s="377"/>
      <c r="M38" s="393">
        <f>+SUM(E39:L39)</f>
        <v>11</v>
      </c>
      <c r="N38" s="376"/>
      <c r="O38" s="391">
        <f>+M38/D38</f>
        <v>176</v>
      </c>
      <c r="P38" s="305"/>
      <c r="Q38" s="291"/>
      <c r="R38" s="291"/>
      <c r="T38" s="291"/>
    </row>
    <row r="39" spans="1:20" s="527" customFormat="1" ht="33.75" customHeight="1">
      <c r="A39" s="392"/>
      <c r="B39" s="455" t="s">
        <v>336</v>
      </c>
      <c r="C39" s="375"/>
      <c r="D39" s="389"/>
      <c r="E39" s="376" t="s">
        <v>408</v>
      </c>
      <c r="F39" s="376">
        <v>11</v>
      </c>
      <c r="G39" s="376"/>
      <c r="H39" s="376"/>
      <c r="I39" s="376"/>
      <c r="J39" s="376"/>
      <c r="K39" s="376"/>
      <c r="L39" s="314"/>
      <c r="M39" s="397"/>
      <c r="N39" s="395"/>
      <c r="O39" s="391"/>
      <c r="P39" s="305"/>
      <c r="Q39" s="291"/>
      <c r="R39" s="291"/>
      <c r="S39" s="532" t="e">
        <f>+M28+M38+M40+#REF!+#REF!</f>
        <v>#REF!</v>
      </c>
      <c r="T39" s="291"/>
    </row>
    <row r="40" spans="1:20" s="527" customFormat="1" ht="33.75" customHeight="1">
      <c r="A40" s="392"/>
      <c r="B40" s="455"/>
      <c r="C40" s="375" t="s">
        <v>337</v>
      </c>
      <c r="D40" s="389">
        <f>1/12</f>
        <v>8.3333333333333329E-2</v>
      </c>
      <c r="E40" s="376"/>
      <c r="F40" s="376"/>
      <c r="G40" s="376"/>
      <c r="H40" s="376"/>
      <c r="I40" s="376"/>
      <c r="J40" s="376"/>
      <c r="K40" s="376"/>
      <c r="L40" s="314"/>
      <c r="M40" s="393">
        <f>+SUM(E41:L41)</f>
        <v>8.6900000000000013</v>
      </c>
      <c r="N40" s="395"/>
      <c r="O40" s="391">
        <f>+M40/D40</f>
        <v>104.28000000000002</v>
      </c>
      <c r="P40" s="305"/>
      <c r="Q40" s="291"/>
      <c r="R40" s="291"/>
      <c r="S40" s="723" t="e">
        <f>+O28+O38+O40+#REF!+#REF!</f>
        <v>#REF!</v>
      </c>
      <c r="T40" s="291"/>
    </row>
    <row r="41" spans="1:20" s="527" customFormat="1" ht="33.75" customHeight="1">
      <c r="A41" s="392"/>
      <c r="B41" s="455"/>
      <c r="C41" s="375"/>
      <c r="D41" s="389"/>
      <c r="E41" s="376" t="s">
        <v>340</v>
      </c>
      <c r="F41" s="376">
        <v>3</v>
      </c>
      <c r="G41" s="376" t="s">
        <v>402</v>
      </c>
      <c r="H41" s="376">
        <v>5.69</v>
      </c>
      <c r="I41" s="376"/>
      <c r="J41" s="376"/>
      <c r="K41" s="376"/>
      <c r="L41" s="314"/>
      <c r="M41" s="397"/>
      <c r="N41" s="395"/>
      <c r="O41" s="391"/>
      <c r="P41" s="305"/>
      <c r="Q41" s="291"/>
      <c r="R41" s="291"/>
      <c r="T41" s="291"/>
    </row>
    <row r="42" spans="1:20" s="527" customFormat="1" ht="33.75" customHeight="1">
      <c r="A42" s="402">
        <v>3</v>
      </c>
      <c r="B42" s="310" t="s">
        <v>411</v>
      </c>
      <c r="C42" s="400"/>
      <c r="D42" s="316"/>
      <c r="E42" s="376"/>
      <c r="F42" s="376"/>
      <c r="G42" s="377"/>
      <c r="H42" s="376"/>
      <c r="I42" s="315"/>
      <c r="J42" s="399"/>
      <c r="K42" s="315"/>
      <c r="L42" s="315"/>
      <c r="M42" s="401"/>
      <c r="N42" s="401"/>
      <c r="O42" s="388">
        <f>+SUBTOTAL(9,O43:O47)</f>
        <v>254.16</v>
      </c>
      <c r="P42" s="782"/>
      <c r="Q42" s="291"/>
      <c r="R42" s="291"/>
      <c r="T42" s="291"/>
    </row>
    <row r="43" spans="1:20" s="527" customFormat="1" ht="33.75" customHeight="1">
      <c r="A43" s="375" t="s">
        <v>100</v>
      </c>
      <c r="B43" s="455" t="s">
        <v>98</v>
      </c>
      <c r="C43" s="375" t="s">
        <v>332</v>
      </c>
      <c r="D43" s="389">
        <f>25/20</f>
        <v>1.25</v>
      </c>
      <c r="E43" s="376"/>
      <c r="F43" s="376"/>
      <c r="G43" s="377"/>
      <c r="H43" s="376"/>
      <c r="I43" s="315"/>
      <c r="J43" s="399"/>
      <c r="K43" s="315"/>
      <c r="L43" s="403"/>
      <c r="M43" s="390">
        <v>52</v>
      </c>
      <c r="N43" s="390">
        <v>2</v>
      </c>
      <c r="O43" s="391">
        <f>+M43/D43*2</f>
        <v>83.2</v>
      </c>
      <c r="P43" s="782"/>
      <c r="Q43" s="291"/>
      <c r="R43" s="291"/>
      <c r="T43" s="291"/>
    </row>
    <row r="44" spans="1:20" s="527" customFormat="1" ht="33.75" customHeight="1">
      <c r="A44" s="392" t="s">
        <v>101</v>
      </c>
      <c r="B44" s="455" t="s">
        <v>445</v>
      </c>
      <c r="C44" s="375" t="s">
        <v>332</v>
      </c>
      <c r="D44" s="389">
        <f>1/2</f>
        <v>0.5</v>
      </c>
      <c r="E44" s="376"/>
      <c r="F44" s="376"/>
      <c r="G44" s="376"/>
      <c r="H44" s="376"/>
      <c r="I44" s="376"/>
      <c r="J44" s="376"/>
      <c r="K44" s="376"/>
      <c r="L44" s="314"/>
      <c r="M44" s="390">
        <v>52</v>
      </c>
      <c r="N44" s="395"/>
      <c r="O44" s="391">
        <f>+M44/D44</f>
        <v>104</v>
      </c>
      <c r="P44" s="305"/>
      <c r="Q44" s="291"/>
      <c r="R44" s="291"/>
      <c r="T44" s="291"/>
    </row>
    <row r="45" spans="1:20" s="722" customFormat="1" ht="33.75" customHeight="1">
      <c r="A45" s="776" t="s">
        <v>102</v>
      </c>
      <c r="B45" s="769" t="s">
        <v>477</v>
      </c>
      <c r="C45" s="770" t="s">
        <v>337</v>
      </c>
      <c r="D45" s="777">
        <f>1/4.8</f>
        <v>0.20833333333333334</v>
      </c>
      <c r="E45" s="778"/>
      <c r="F45" s="783"/>
      <c r="G45" s="784"/>
      <c r="H45" s="778"/>
      <c r="I45" s="778"/>
      <c r="J45" s="778"/>
      <c r="K45" s="778"/>
      <c r="L45" s="778"/>
      <c r="M45" s="779">
        <f>+SUM(E46:L47)</f>
        <v>13.950000000000001</v>
      </c>
      <c r="N45" s="780"/>
      <c r="O45" s="746">
        <f>+M45/D45</f>
        <v>66.960000000000008</v>
      </c>
      <c r="P45" s="785"/>
      <c r="Q45" s="721"/>
      <c r="R45" s="721"/>
      <c r="T45" s="721"/>
    </row>
    <row r="46" spans="1:20" s="722" customFormat="1" ht="33.75" customHeight="1">
      <c r="A46" s="776"/>
      <c r="B46" s="769"/>
      <c r="C46" s="770"/>
      <c r="D46" s="777"/>
      <c r="E46" s="530" t="s">
        <v>372</v>
      </c>
      <c r="F46" s="530">
        <v>2</v>
      </c>
      <c r="G46" s="530" t="s">
        <v>412</v>
      </c>
      <c r="H46" s="530">
        <v>1</v>
      </c>
      <c r="I46" s="530" t="s">
        <v>413</v>
      </c>
      <c r="J46" s="530">
        <v>1</v>
      </c>
      <c r="K46" s="530" t="s">
        <v>478</v>
      </c>
      <c r="L46" s="771">
        <v>0.5</v>
      </c>
      <c r="M46" s="780"/>
      <c r="N46" s="719"/>
      <c r="O46" s="746"/>
      <c r="P46" s="785"/>
      <c r="Q46" s="721"/>
      <c r="R46" s="721"/>
      <c r="T46" s="721"/>
    </row>
    <row r="47" spans="1:20" s="722" customFormat="1" ht="33.75" customHeight="1">
      <c r="A47" s="776"/>
      <c r="B47" s="769"/>
      <c r="C47" s="770"/>
      <c r="D47" s="777"/>
      <c r="E47" s="530" t="s">
        <v>410</v>
      </c>
      <c r="F47" s="530">
        <v>1.1000000000000001</v>
      </c>
      <c r="G47" s="530" t="s">
        <v>409</v>
      </c>
      <c r="H47" s="530">
        <v>4.7</v>
      </c>
      <c r="I47" s="770" t="s">
        <v>349</v>
      </c>
      <c r="J47" s="770">
        <v>1.75</v>
      </c>
      <c r="K47" s="770" t="s">
        <v>341</v>
      </c>
      <c r="L47" s="530">
        <v>1.9</v>
      </c>
      <c r="M47" s="780"/>
      <c r="N47" s="719"/>
      <c r="O47" s="746"/>
      <c r="P47" s="785"/>
      <c r="Q47" s="721"/>
      <c r="R47" s="721"/>
      <c r="T47" s="721"/>
    </row>
    <row r="48" spans="1:20" ht="33.75" customHeight="1">
      <c r="A48" s="402">
        <v>4</v>
      </c>
      <c r="B48" s="310" t="s">
        <v>414</v>
      </c>
      <c r="C48" s="400"/>
      <c r="D48" s="317"/>
      <c r="E48" s="318"/>
      <c r="F48" s="404"/>
      <c r="G48" s="404"/>
      <c r="H48" s="404"/>
      <c r="I48" s="319"/>
      <c r="J48" s="404"/>
      <c r="K48" s="315"/>
      <c r="L48" s="315"/>
      <c r="M48" s="401"/>
      <c r="N48" s="401"/>
      <c r="O48" s="405">
        <f>+SUBTOTAL(9,O49:O58)</f>
        <v>1315.4079999999999</v>
      </c>
      <c r="P48" s="786"/>
    </row>
    <row r="49" spans="1:21" ht="33.75" customHeight="1">
      <c r="A49" s="392" t="s">
        <v>103</v>
      </c>
      <c r="B49" s="455" t="s">
        <v>98</v>
      </c>
      <c r="C49" s="375" t="s">
        <v>332</v>
      </c>
      <c r="D49" s="389">
        <f>25/20</f>
        <v>1.25</v>
      </c>
      <c r="E49" s="376"/>
      <c r="F49" s="376"/>
      <c r="G49" s="377"/>
      <c r="H49" s="376"/>
      <c r="I49" s="315"/>
      <c r="J49" s="399"/>
      <c r="K49" s="315"/>
      <c r="L49" s="403"/>
      <c r="M49" s="390">
        <v>136</v>
      </c>
      <c r="N49" s="390">
        <v>2</v>
      </c>
      <c r="O49" s="391">
        <f>+M49/D49*N49</f>
        <v>217.6</v>
      </c>
      <c r="P49" s="305"/>
      <c r="R49" s="533" t="s">
        <v>446</v>
      </c>
      <c r="S49" s="533" t="s">
        <v>99</v>
      </c>
      <c r="T49" s="533"/>
    </row>
    <row r="50" spans="1:21" ht="33.75" customHeight="1">
      <c r="A50" s="392" t="s">
        <v>104</v>
      </c>
      <c r="B50" s="455" t="s">
        <v>415</v>
      </c>
      <c r="C50" s="375" t="s">
        <v>337</v>
      </c>
      <c r="D50" s="389">
        <f>1/4.8</f>
        <v>0.20833333333333334</v>
      </c>
      <c r="E50" s="724"/>
      <c r="F50" s="725"/>
      <c r="G50" s="787"/>
      <c r="H50" s="724"/>
      <c r="I50" s="724"/>
      <c r="J50" s="724"/>
      <c r="K50" s="724"/>
      <c r="L50" s="724"/>
      <c r="M50" s="390">
        <f>+SUM(E51:L53)</f>
        <v>133.76</v>
      </c>
      <c r="N50" s="390"/>
      <c r="O50" s="391">
        <f>+M50/D50</f>
        <v>642.04799999999989</v>
      </c>
      <c r="P50" s="305"/>
      <c r="R50" s="726" t="s">
        <v>420</v>
      </c>
      <c r="S50" s="727">
        <f>+M57</f>
        <v>25.95</v>
      </c>
      <c r="T50" s="762"/>
      <c r="U50" s="529">
        <f>+O57</f>
        <v>415.2</v>
      </c>
    </row>
    <row r="51" spans="1:21" ht="33.75" customHeight="1">
      <c r="A51" s="392"/>
      <c r="B51" s="394"/>
      <c r="C51" s="375"/>
      <c r="D51" s="389"/>
      <c r="E51" s="375" t="s">
        <v>447</v>
      </c>
      <c r="F51" s="389">
        <f>18.46</f>
        <v>18.46</v>
      </c>
      <c r="G51" s="375" t="s">
        <v>448</v>
      </c>
      <c r="H51" s="389">
        <f>16.09</f>
        <v>16.09</v>
      </c>
      <c r="I51" s="375" t="s">
        <v>417</v>
      </c>
      <c r="J51" s="389">
        <f>6.64</f>
        <v>6.64</v>
      </c>
      <c r="K51" s="375" t="s">
        <v>350</v>
      </c>
      <c r="L51" s="389">
        <f>13.45</f>
        <v>13.45</v>
      </c>
      <c r="M51" s="390"/>
      <c r="N51" s="390"/>
      <c r="O51" s="391"/>
      <c r="P51" s="305"/>
      <c r="R51" s="726" t="s">
        <v>421</v>
      </c>
      <c r="S51" s="727">
        <f>+M50</f>
        <v>133.76</v>
      </c>
      <c r="T51" s="1239" t="e">
        <f>+S51+S52</f>
        <v>#REF!</v>
      </c>
      <c r="U51" s="718">
        <f>+O50+O54</f>
        <v>682.60799999999983</v>
      </c>
    </row>
    <row r="52" spans="1:21" ht="33.75" customHeight="1">
      <c r="A52" s="392"/>
      <c r="B52" s="385"/>
      <c r="C52" s="375"/>
      <c r="D52" s="389"/>
      <c r="E52" s="375" t="s">
        <v>449</v>
      </c>
      <c r="F52" s="389">
        <f>21.8</f>
        <v>21.8</v>
      </c>
      <c r="G52" s="375" t="s">
        <v>416</v>
      </c>
      <c r="H52" s="389">
        <f>15.88</f>
        <v>15.88</v>
      </c>
      <c r="I52" s="375" t="s">
        <v>419</v>
      </c>
      <c r="J52" s="389">
        <f>9.61</f>
        <v>9.61</v>
      </c>
      <c r="K52" s="375" t="s">
        <v>450</v>
      </c>
      <c r="L52" s="389">
        <f>11.7</f>
        <v>11.7</v>
      </c>
      <c r="M52" s="390"/>
      <c r="N52" s="390"/>
      <c r="O52" s="391"/>
      <c r="P52" s="305"/>
      <c r="R52" s="726" t="s">
        <v>451</v>
      </c>
      <c r="S52" s="727" t="e">
        <f>+#REF!</f>
        <v>#REF!</v>
      </c>
      <c r="T52" s="1240"/>
      <c r="U52" s="529" t="e">
        <f>+#REF!</f>
        <v>#REF!</v>
      </c>
    </row>
    <row r="53" spans="1:21" ht="33.75" customHeight="1">
      <c r="A53" s="392"/>
      <c r="B53" s="385"/>
      <c r="C53" s="375"/>
      <c r="D53" s="389"/>
      <c r="E53" s="375" t="s">
        <v>418</v>
      </c>
      <c r="F53" s="389">
        <f>9.13</f>
        <v>9.1300000000000008</v>
      </c>
      <c r="G53" s="375" t="s">
        <v>452</v>
      </c>
      <c r="H53" s="389">
        <f>11</f>
        <v>11</v>
      </c>
      <c r="I53" s="375"/>
      <c r="J53" s="389"/>
      <c r="K53" s="375"/>
      <c r="L53" s="389"/>
      <c r="M53" s="375"/>
      <c r="N53" s="390"/>
      <c r="O53" s="391"/>
      <c r="P53" s="305"/>
      <c r="R53" s="726" t="s">
        <v>422</v>
      </c>
      <c r="S53" s="728">
        <f>+M54</f>
        <v>8.4499999999999993</v>
      </c>
      <c r="T53" s="728">
        <f>+S53</f>
        <v>8.4499999999999993</v>
      </c>
    </row>
    <row r="54" spans="1:21" ht="33.75" customHeight="1">
      <c r="A54" s="392" t="s">
        <v>453</v>
      </c>
      <c r="B54" s="455" t="s">
        <v>454</v>
      </c>
      <c r="C54" s="375" t="s">
        <v>337</v>
      </c>
      <c r="D54" s="389">
        <f>1/4.8</f>
        <v>0.20833333333333334</v>
      </c>
      <c r="E54" s="729"/>
      <c r="F54" s="371"/>
      <c r="G54" s="371"/>
      <c r="H54" s="730"/>
      <c r="I54" s="371"/>
      <c r="J54" s="371"/>
      <c r="K54" s="371"/>
      <c r="L54" s="371"/>
      <c r="M54" s="371">
        <f>+SUM(E55:L56)</f>
        <v>8.4499999999999993</v>
      </c>
      <c r="N54" s="390"/>
      <c r="O54" s="391">
        <f>+M54/D54</f>
        <v>40.559999999999995</v>
      </c>
      <c r="P54" s="305"/>
      <c r="U54" s="718" t="e">
        <f>+O27+O37+O44+#REF!</f>
        <v>#REF!</v>
      </c>
    </row>
    <row r="55" spans="1:21" ht="33.75" customHeight="1">
      <c r="A55" s="392"/>
      <c r="B55" s="455"/>
      <c r="C55" s="375"/>
      <c r="D55" s="389"/>
      <c r="E55" s="731" t="s">
        <v>342</v>
      </c>
      <c r="F55" s="376">
        <v>1.2</v>
      </c>
      <c r="G55" s="376" t="s">
        <v>455</v>
      </c>
      <c r="H55" s="732">
        <v>1.35</v>
      </c>
      <c r="I55" s="376" t="s">
        <v>456</v>
      </c>
      <c r="J55" s="376">
        <v>2</v>
      </c>
      <c r="K55" s="371" t="s">
        <v>457</v>
      </c>
      <c r="L55" s="371">
        <v>1.1000000000000001</v>
      </c>
      <c r="M55" s="371"/>
      <c r="N55" s="390"/>
      <c r="O55" s="391"/>
      <c r="P55" s="305"/>
    </row>
    <row r="56" spans="1:21" ht="33.75" customHeight="1">
      <c r="A56" s="392"/>
      <c r="B56" s="455"/>
      <c r="C56" s="375"/>
      <c r="D56" s="389"/>
      <c r="E56" s="731" t="s">
        <v>458</v>
      </c>
      <c r="F56" s="376">
        <v>2.8</v>
      </c>
      <c r="G56" s="376"/>
      <c r="H56" s="732"/>
      <c r="I56" s="376"/>
      <c r="J56" s="376"/>
      <c r="K56" s="371"/>
      <c r="L56" s="371"/>
      <c r="M56" s="371"/>
      <c r="N56" s="390"/>
      <c r="O56" s="391"/>
      <c r="P56" s="305"/>
    </row>
    <row r="57" spans="1:21" ht="33.75" customHeight="1">
      <c r="A57" s="392" t="s">
        <v>459</v>
      </c>
      <c r="B57" s="455" t="s">
        <v>336</v>
      </c>
      <c r="C57" s="375" t="s">
        <v>337</v>
      </c>
      <c r="D57" s="389">
        <f>1/16</f>
        <v>6.25E-2</v>
      </c>
      <c r="E57" s="377"/>
      <c r="F57" s="377"/>
      <c r="G57" s="377"/>
      <c r="H57" s="377"/>
      <c r="I57" s="377"/>
      <c r="J57" s="377"/>
      <c r="K57" s="377"/>
      <c r="L57" s="377"/>
      <c r="M57" s="393">
        <f>+SUM(E58:L58)</f>
        <v>25.95</v>
      </c>
      <c r="N57" s="376"/>
      <c r="O57" s="391">
        <f>+M57/D57</f>
        <v>415.2</v>
      </c>
      <c r="P57" s="305"/>
    </row>
    <row r="58" spans="1:21" ht="33.75" customHeight="1">
      <c r="A58" s="385"/>
      <c r="B58" s="455"/>
      <c r="C58" s="385"/>
      <c r="D58" s="385"/>
      <c r="E58" s="377" t="s">
        <v>455</v>
      </c>
      <c r="F58" s="377">
        <v>5</v>
      </c>
      <c r="G58" s="377" t="s">
        <v>456</v>
      </c>
      <c r="H58" s="377">
        <v>4</v>
      </c>
      <c r="I58" s="377" t="s">
        <v>460</v>
      </c>
      <c r="J58" s="377">
        <v>7.63</v>
      </c>
      <c r="K58" s="377" t="s">
        <v>458</v>
      </c>
      <c r="L58" s="377">
        <v>9.32</v>
      </c>
      <c r="M58" s="376"/>
      <c r="N58" s="376"/>
      <c r="O58" s="376"/>
      <c r="P58" s="305"/>
    </row>
    <row r="59" spans="1:21" ht="33.75" customHeight="1">
      <c r="A59" s="763" t="s">
        <v>61</v>
      </c>
      <c r="B59" s="299" t="s">
        <v>105</v>
      </c>
      <c r="C59" s="733"/>
      <c r="D59" s="734"/>
      <c r="E59" s="788"/>
      <c r="F59" s="788"/>
      <c r="G59" s="715"/>
      <c r="H59" s="715"/>
      <c r="I59" s="735"/>
      <c r="J59" s="735"/>
      <c r="K59" s="735"/>
      <c r="L59" s="735"/>
      <c r="M59" s="736"/>
      <c r="N59" s="736"/>
      <c r="O59" s="297">
        <f>+SUBTOTAL(9,O60:O60)</f>
        <v>312</v>
      </c>
      <c r="P59" s="767"/>
    </row>
    <row r="60" spans="1:21" ht="33.75" customHeight="1">
      <c r="A60" s="737">
        <v>1</v>
      </c>
      <c r="B60" s="455" t="s">
        <v>106</v>
      </c>
      <c r="C60" s="733" t="s">
        <v>89</v>
      </c>
      <c r="D60" s="734"/>
      <c r="E60" s="1241" t="s">
        <v>371</v>
      </c>
      <c r="F60" s="1241"/>
      <c r="G60" s="1241"/>
      <c r="H60" s="1241"/>
      <c r="I60" s="1241"/>
      <c r="J60" s="1241"/>
      <c r="K60" s="1241"/>
      <c r="L60" s="1241"/>
      <c r="M60" s="1241"/>
      <c r="N60" s="757"/>
      <c r="O60" s="320">
        <f>3*2600000/25000</f>
        <v>312</v>
      </c>
      <c r="P60" s="789"/>
    </row>
    <row r="61" spans="1:21" ht="33.75" customHeight="1">
      <c r="A61" s="790" t="s">
        <v>62</v>
      </c>
      <c r="B61" s="791" t="s">
        <v>107</v>
      </c>
      <c r="C61" s="733"/>
      <c r="D61" s="734"/>
      <c r="E61" s="757"/>
      <c r="F61" s="757"/>
      <c r="G61" s="757"/>
      <c r="H61" s="757"/>
      <c r="I61" s="757"/>
      <c r="J61" s="757"/>
      <c r="K61" s="757"/>
      <c r="L61" s="757"/>
      <c r="M61" s="757"/>
      <c r="N61" s="757"/>
      <c r="O61" s="792">
        <f>SUBTOTAL(9,O62:O62)</f>
        <v>80</v>
      </c>
      <c r="P61" s="789"/>
    </row>
    <row r="62" spans="1:21" ht="33.75" customHeight="1">
      <c r="A62" s="793">
        <v>1</v>
      </c>
      <c r="B62" s="794" t="s">
        <v>479</v>
      </c>
      <c r="C62" s="795" t="s">
        <v>89</v>
      </c>
      <c r="D62" s="796"/>
      <c r="E62" s="797"/>
      <c r="F62" s="797"/>
      <c r="G62" s="797"/>
      <c r="H62" s="797"/>
      <c r="I62" s="797"/>
      <c r="J62" s="797"/>
      <c r="K62" s="797"/>
      <c r="L62" s="797"/>
      <c r="M62" s="797"/>
      <c r="N62" s="797"/>
      <c r="O62" s="798">
        <v>80</v>
      </c>
      <c r="P62" s="799"/>
    </row>
    <row r="63" spans="1:21" ht="33.75" customHeight="1">
      <c r="A63" s="1229" t="s">
        <v>480</v>
      </c>
      <c r="B63" s="1229"/>
      <c r="C63" s="761"/>
      <c r="D63" s="738"/>
      <c r="E63" s="739"/>
      <c r="F63" s="739"/>
      <c r="G63" s="739"/>
      <c r="H63" s="739"/>
      <c r="I63" s="739"/>
      <c r="J63" s="739"/>
      <c r="K63" s="739"/>
      <c r="L63" s="739"/>
      <c r="M63" s="716"/>
      <c r="N63" s="716"/>
      <c r="O63" s="297">
        <f>SUBTOTAL(9,O12:O62)</f>
        <v>9098.6712400000015</v>
      </c>
      <c r="P63" s="761"/>
      <c r="R63" s="291">
        <f>+'[3]bcsx  t10 gốc'!O69</f>
        <v>3271.1019999999994</v>
      </c>
    </row>
    <row r="64" spans="1:21" ht="34.5" customHeight="1">
      <c r="A64" s="406"/>
      <c r="B64" s="321"/>
      <c r="C64" s="321"/>
      <c r="D64" s="322"/>
      <c r="E64" s="323"/>
      <c r="F64" s="323"/>
      <c r="G64" s="323"/>
      <c r="H64" s="323"/>
      <c r="I64" s="1242" t="s">
        <v>423</v>
      </c>
      <c r="J64" s="1242"/>
      <c r="K64" s="1242"/>
      <c r="L64" s="1242"/>
      <c r="M64" s="1242"/>
      <c r="N64" s="1242"/>
      <c r="O64" s="1242"/>
      <c r="P64" s="1242"/>
    </row>
    <row r="65" spans="1:16" ht="18.75" customHeight="1">
      <c r="A65" s="1243" t="s">
        <v>296</v>
      </c>
      <c r="B65" s="1243"/>
      <c r="C65" s="324"/>
      <c r="D65" s="1221" t="s">
        <v>108</v>
      </c>
      <c r="E65" s="1221"/>
      <c r="F65" s="1221"/>
      <c r="G65" s="1221"/>
      <c r="H65" s="1221"/>
      <c r="I65" s="1221" t="s">
        <v>109</v>
      </c>
      <c r="J65" s="1221"/>
      <c r="K65" s="1221"/>
      <c r="L65" s="1221"/>
      <c r="M65" s="1221"/>
      <c r="N65" s="1221"/>
      <c r="O65" s="1221"/>
      <c r="P65" s="1221"/>
    </row>
    <row r="66" spans="1:16" ht="16.5">
      <c r="A66" s="368"/>
      <c r="B66" s="759"/>
      <c r="C66" s="759"/>
      <c r="D66" s="325"/>
      <c r="E66" s="758"/>
      <c r="F66" s="758"/>
      <c r="G66" s="758"/>
      <c r="H66" s="758"/>
      <c r="I66" s="758"/>
      <c r="J66" s="326"/>
      <c r="K66" s="326"/>
      <c r="L66" s="326"/>
      <c r="M66" s="407"/>
      <c r="N66" s="407"/>
      <c r="O66" s="327"/>
      <c r="P66" s="321"/>
    </row>
    <row r="67" spans="1:16" ht="16.5">
      <c r="A67" s="368"/>
      <c r="B67" s="759"/>
      <c r="C67" s="759"/>
      <c r="D67" s="325"/>
      <c r="E67" s="758"/>
      <c r="F67" s="758"/>
      <c r="G67" s="758"/>
      <c r="H67" s="758"/>
      <c r="I67" s="758"/>
      <c r="J67" s="758"/>
      <c r="K67" s="758"/>
      <c r="L67" s="758"/>
      <c r="M67" s="407"/>
      <c r="N67" s="407"/>
      <c r="O67" s="327"/>
      <c r="P67" s="321"/>
    </row>
    <row r="68" spans="1:16" ht="16.5">
      <c r="A68" s="368"/>
      <c r="B68" s="759"/>
      <c r="C68" s="759"/>
      <c r="D68" s="325"/>
      <c r="E68" s="758"/>
      <c r="F68" s="758"/>
      <c r="G68" s="758"/>
      <c r="H68" s="758"/>
      <c r="I68" s="758"/>
      <c r="J68" s="758"/>
      <c r="K68" s="758"/>
      <c r="L68" s="758"/>
      <c r="M68" s="407"/>
      <c r="N68" s="407"/>
      <c r="O68" s="327"/>
      <c r="P68" s="321"/>
    </row>
    <row r="69" spans="1:16" ht="16.5">
      <c r="A69" s="368"/>
      <c r="B69" s="759"/>
      <c r="C69" s="759"/>
      <c r="D69" s="325"/>
      <c r="E69" s="758"/>
      <c r="F69" s="758"/>
      <c r="G69" s="758"/>
      <c r="H69" s="758"/>
      <c r="I69" s="758"/>
      <c r="J69" s="758"/>
      <c r="K69" s="758"/>
      <c r="L69" s="758"/>
      <c r="M69" s="407"/>
      <c r="N69" s="407"/>
      <c r="O69" s="327"/>
      <c r="P69" s="321"/>
    </row>
    <row r="70" spans="1:16" ht="16.5">
      <c r="A70" s="368"/>
      <c r="B70" s="759"/>
      <c r="C70" s="759"/>
      <c r="D70" s="325"/>
      <c r="E70" s="758"/>
      <c r="F70" s="758"/>
      <c r="G70" s="758"/>
      <c r="H70" s="758"/>
      <c r="I70" s="758"/>
      <c r="J70" s="758"/>
      <c r="K70" s="758"/>
      <c r="L70" s="758"/>
      <c r="M70" s="407"/>
      <c r="N70" s="407"/>
      <c r="O70" s="327"/>
      <c r="P70" s="321"/>
    </row>
    <row r="71" spans="1:16" ht="16.5">
      <c r="A71" s="368"/>
      <c r="B71" s="759"/>
      <c r="C71" s="759"/>
      <c r="D71" s="325"/>
      <c r="E71" s="758"/>
      <c r="F71" s="758"/>
      <c r="G71" s="758"/>
      <c r="H71" s="758"/>
      <c r="I71" s="758"/>
      <c r="J71" s="758"/>
      <c r="K71" s="758"/>
      <c r="L71" s="758"/>
      <c r="M71" s="407"/>
      <c r="N71" s="407"/>
      <c r="O71" s="327"/>
      <c r="P71" s="321"/>
    </row>
    <row r="72" spans="1:16" ht="16.5">
      <c r="A72" s="368"/>
      <c r="B72" s="324"/>
      <c r="C72" s="759"/>
      <c r="D72" s="328"/>
      <c r="E72" s="408"/>
      <c r="F72" s="408"/>
      <c r="G72" s="408"/>
      <c r="H72" s="408"/>
      <c r="I72" s="408"/>
      <c r="J72" s="408"/>
      <c r="K72" s="408"/>
      <c r="L72" s="408"/>
      <c r="M72" s="407"/>
      <c r="N72" s="407"/>
      <c r="O72" s="327"/>
      <c r="P72" s="800"/>
    </row>
    <row r="73" spans="1:16" ht="16.5">
      <c r="A73" s="368"/>
      <c r="B73" s="756"/>
      <c r="C73" s="759"/>
      <c r="D73" s="325"/>
      <c r="E73" s="758"/>
      <c r="F73" s="758"/>
      <c r="G73" s="758"/>
      <c r="H73" s="758"/>
      <c r="I73" s="758"/>
      <c r="J73" s="758"/>
      <c r="K73" s="758"/>
      <c r="L73" s="758"/>
      <c r="M73" s="407"/>
      <c r="N73" s="407"/>
      <c r="O73" s="327"/>
      <c r="P73" s="801"/>
    </row>
    <row r="74" spans="1:16" ht="16.5">
      <c r="A74" s="1244" t="s">
        <v>111</v>
      </c>
      <c r="B74" s="1244"/>
      <c r="C74" s="1244"/>
      <c r="D74" s="1244"/>
      <c r="E74" s="1244"/>
      <c r="F74" s="1244"/>
      <c r="G74" s="1244"/>
      <c r="H74" s="1244"/>
      <c r="I74" s="1244"/>
      <c r="J74" s="1244"/>
      <c r="K74" s="1244"/>
      <c r="L74" s="1244"/>
      <c r="M74" s="1244"/>
      <c r="N74" s="1244"/>
      <c r="O74" s="1244"/>
      <c r="P74" s="1244"/>
    </row>
    <row r="75" spans="1:16" ht="16.5">
      <c r="A75" s="368"/>
      <c r="B75" s="324"/>
      <c r="C75" s="760"/>
      <c r="D75" s="328"/>
      <c r="E75" s="758"/>
      <c r="F75" s="329"/>
      <c r="G75" s="758"/>
      <c r="H75" s="329"/>
      <c r="I75" s="409"/>
      <c r="J75" s="409"/>
      <c r="K75" s="409"/>
      <c r="L75" s="409"/>
      <c r="M75" s="407"/>
      <c r="N75" s="407"/>
      <c r="O75" s="296"/>
      <c r="P75" s="321"/>
    </row>
    <row r="76" spans="1:16" ht="18.75" customHeight="1">
      <c r="A76" s="1245" t="s">
        <v>343</v>
      </c>
      <c r="B76" s="1245"/>
      <c r="C76" s="1246" t="s">
        <v>112</v>
      </c>
      <c r="D76" s="1246"/>
      <c r="E76" s="1246"/>
      <c r="F76" s="330"/>
      <c r="G76" s="326" t="s">
        <v>113</v>
      </c>
      <c r="H76" s="326"/>
      <c r="I76" s="326"/>
      <c r="J76" s="1247" t="s">
        <v>114</v>
      </c>
      <c r="K76" s="1247"/>
      <c r="L76" s="1247"/>
      <c r="M76" s="1248" t="s">
        <v>351</v>
      </c>
      <c r="N76" s="1248"/>
      <c r="O76" s="1248"/>
      <c r="P76" s="1248"/>
    </row>
    <row r="77" spans="1:16" ht="16.5">
      <c r="A77" s="410"/>
      <c r="B77" s="411"/>
      <c r="C77" s="412"/>
      <c r="D77" s="413"/>
      <c r="E77" s="414"/>
      <c r="F77" s="414"/>
      <c r="G77" s="414"/>
      <c r="H77" s="414"/>
      <c r="I77" s="414"/>
      <c r="J77" s="414"/>
      <c r="K77" s="414"/>
      <c r="L77" s="414"/>
      <c r="M77" s="415"/>
      <c r="N77" s="415"/>
      <c r="O77" s="331"/>
      <c r="P77" s="802"/>
    </row>
    <row r="78" spans="1:16" ht="16.5">
      <c r="A78" s="410"/>
      <c r="B78" s="411"/>
      <c r="C78" s="412"/>
      <c r="D78" s="413"/>
      <c r="E78" s="414"/>
      <c r="F78" s="414"/>
      <c r="G78" s="414"/>
      <c r="H78" s="414"/>
      <c r="I78" s="414"/>
      <c r="J78" s="414"/>
      <c r="K78" s="414"/>
      <c r="L78" s="414"/>
      <c r="M78" s="415"/>
      <c r="N78" s="415"/>
      <c r="O78" s="331"/>
      <c r="P78" s="802"/>
    </row>
    <row r="79" spans="1:16" ht="16.5">
      <c r="A79" s="410"/>
      <c r="B79" s="411"/>
      <c r="C79" s="412"/>
      <c r="D79" s="413"/>
      <c r="E79" s="414"/>
      <c r="F79" s="414"/>
      <c r="G79" s="414"/>
      <c r="H79" s="414"/>
      <c r="I79" s="414"/>
      <c r="J79" s="414"/>
      <c r="K79" s="414"/>
      <c r="L79" s="414"/>
      <c r="M79" s="415"/>
      <c r="N79" s="415"/>
      <c r="O79" s="331"/>
      <c r="P79" s="802"/>
    </row>
    <row r="80" spans="1:16" ht="16.5">
      <c r="A80" s="410"/>
      <c r="B80" s="411"/>
      <c r="C80" s="412"/>
      <c r="D80" s="413"/>
      <c r="E80" s="414"/>
      <c r="F80" s="414"/>
      <c r="G80" s="414"/>
      <c r="H80" s="414"/>
      <c r="I80" s="414"/>
      <c r="J80" s="414"/>
      <c r="K80" s="414"/>
      <c r="L80" s="414"/>
      <c r="M80" s="415"/>
      <c r="N80" s="415"/>
      <c r="O80" s="331"/>
      <c r="P80" s="802"/>
    </row>
    <row r="81" spans="1:20" ht="16.5">
      <c r="A81" s="410"/>
      <c r="B81" s="411"/>
      <c r="C81" s="412"/>
      <c r="D81" s="413"/>
      <c r="E81" s="414"/>
      <c r="F81" s="414"/>
      <c r="G81" s="414"/>
      <c r="H81" s="414"/>
      <c r="I81" s="414"/>
      <c r="J81" s="414"/>
      <c r="K81" s="414"/>
      <c r="L81" s="414"/>
      <c r="M81" s="415"/>
      <c r="N81" s="415"/>
      <c r="O81" s="331"/>
      <c r="P81" s="802"/>
    </row>
    <row r="82" spans="1:20" ht="16.5">
      <c r="A82" s="410"/>
      <c r="B82" s="411"/>
      <c r="C82" s="412"/>
      <c r="D82" s="413"/>
      <c r="E82" s="414"/>
      <c r="F82" s="414"/>
      <c r="G82" s="414"/>
      <c r="H82" s="414"/>
      <c r="I82" s="414"/>
      <c r="J82" s="414"/>
      <c r="K82" s="414"/>
      <c r="L82" s="414"/>
      <c r="M82" s="415"/>
      <c r="N82" s="415"/>
      <c r="O82" s="331"/>
      <c r="P82" s="802"/>
    </row>
    <row r="83" spans="1:20" ht="16.5">
      <c r="A83" s="410"/>
      <c r="B83" s="411"/>
      <c r="C83" s="412"/>
      <c r="D83" s="413"/>
      <c r="E83" s="414"/>
      <c r="F83" s="414"/>
      <c r="G83" s="414"/>
      <c r="H83" s="414"/>
      <c r="I83" s="414"/>
      <c r="J83" s="414"/>
      <c r="K83" s="414"/>
      <c r="L83" s="414"/>
      <c r="M83" s="415"/>
      <c r="N83" s="415"/>
      <c r="O83" s="331"/>
      <c r="P83" s="802"/>
    </row>
    <row r="84" spans="1:20" ht="16.5">
      <c r="A84" s="410"/>
      <c r="B84" s="411"/>
      <c r="C84" s="412"/>
      <c r="D84" s="413"/>
      <c r="E84" s="414"/>
      <c r="F84" s="414"/>
      <c r="G84" s="414"/>
      <c r="H84" s="414"/>
      <c r="I84" s="414"/>
      <c r="J84" s="414"/>
      <c r="K84" s="414"/>
      <c r="L84" s="414"/>
      <c r="M84" s="415"/>
      <c r="N84" s="415"/>
      <c r="O84" s="331"/>
      <c r="P84" s="802"/>
    </row>
    <row r="90" spans="1:20" ht="16.5">
      <c r="A90" s="416"/>
      <c r="B90" s="382"/>
      <c r="C90" s="396"/>
      <c r="D90" s="396"/>
      <c r="E90" s="396"/>
      <c r="F90" s="396"/>
      <c r="G90" s="396"/>
      <c r="H90" s="396"/>
      <c r="I90" s="396"/>
      <c r="J90" s="396"/>
      <c r="K90" s="396"/>
      <c r="L90" s="396"/>
      <c r="M90" s="398"/>
      <c r="N90" s="398"/>
      <c r="O90" s="332"/>
      <c r="P90" s="803"/>
    </row>
    <row r="91" spans="1:20" ht="16.5">
      <c r="A91" s="416"/>
      <c r="B91" s="382"/>
      <c r="C91" s="396"/>
      <c r="D91" s="396"/>
      <c r="E91" s="396"/>
      <c r="F91" s="396"/>
      <c r="G91" s="396"/>
      <c r="H91" s="396"/>
      <c r="I91" s="396"/>
      <c r="J91" s="396"/>
      <c r="K91" s="396"/>
      <c r="L91" s="396"/>
      <c r="M91" s="398"/>
      <c r="N91" s="398"/>
      <c r="O91" s="332"/>
      <c r="P91" s="803"/>
    </row>
    <row r="92" spans="1:20" ht="16.5">
      <c r="A92" s="416"/>
      <c r="B92" s="382"/>
      <c r="C92" s="396"/>
      <c r="D92" s="396"/>
      <c r="E92" s="396"/>
      <c r="F92" s="396"/>
      <c r="G92" s="396"/>
      <c r="H92" s="396"/>
      <c r="I92" s="396"/>
      <c r="J92" s="396"/>
      <c r="K92" s="396"/>
      <c r="L92" s="396"/>
      <c r="M92" s="398"/>
      <c r="N92" s="398"/>
    </row>
    <row r="93" spans="1:20" ht="16.5">
      <c r="A93" s="416"/>
      <c r="B93" s="382"/>
      <c r="C93" s="396"/>
      <c r="D93" s="396"/>
      <c r="E93" s="396"/>
      <c r="F93" s="396"/>
      <c r="G93" s="396"/>
      <c r="H93" s="396"/>
      <c r="I93" s="396"/>
      <c r="J93" s="396"/>
      <c r="K93" s="396"/>
      <c r="L93" s="396"/>
      <c r="M93" s="398"/>
      <c r="N93" s="398"/>
    </row>
    <row r="94" spans="1:20" ht="16.5">
      <c r="A94" s="416"/>
      <c r="B94" s="382"/>
      <c r="C94" s="396"/>
      <c r="D94" s="396"/>
      <c r="E94" s="396"/>
      <c r="F94" s="396"/>
      <c r="G94" s="396"/>
      <c r="H94" s="396"/>
      <c r="I94" s="396"/>
      <c r="J94" s="396"/>
      <c r="K94" s="396"/>
      <c r="L94" s="396"/>
      <c r="M94" s="398"/>
      <c r="N94" s="398"/>
    </row>
    <row r="95" spans="1:20" ht="16.5">
      <c r="A95" s="416"/>
      <c r="B95" s="382"/>
      <c r="C95" s="396"/>
      <c r="D95" s="396"/>
      <c r="E95" s="396"/>
      <c r="F95" s="396"/>
      <c r="G95" s="396"/>
      <c r="H95" s="396"/>
      <c r="I95" s="396"/>
      <c r="J95" s="396"/>
      <c r="K95" s="396"/>
      <c r="L95" s="396"/>
      <c r="M95" s="398"/>
      <c r="N95" s="398"/>
    </row>
    <row r="96" spans="1:20" s="333" customFormat="1" ht="16.5">
      <c r="A96" s="416"/>
      <c r="B96" s="382"/>
      <c r="C96" s="396"/>
      <c r="D96" s="396"/>
      <c r="E96" s="396"/>
      <c r="F96" s="396"/>
      <c r="G96" s="396"/>
      <c r="H96" s="396"/>
      <c r="I96" s="396"/>
      <c r="J96" s="396"/>
      <c r="K96" s="396"/>
      <c r="L96" s="396"/>
      <c r="M96" s="398"/>
      <c r="N96" s="398"/>
      <c r="P96" s="804"/>
      <c r="Q96" s="291"/>
      <c r="R96" s="291"/>
      <c r="S96" s="527"/>
      <c r="T96" s="291"/>
    </row>
    <row r="97" spans="1:20" s="333" customFormat="1" ht="16.5">
      <c r="A97" s="416"/>
      <c r="B97" s="382"/>
      <c r="C97" s="396"/>
      <c r="D97" s="396"/>
      <c r="E97" s="396"/>
      <c r="F97" s="396"/>
      <c r="G97" s="396"/>
      <c r="H97" s="396"/>
      <c r="I97" s="396"/>
      <c r="J97" s="396"/>
      <c r="K97" s="396"/>
      <c r="L97" s="396"/>
      <c r="M97" s="398"/>
      <c r="N97" s="398"/>
      <c r="P97" s="804"/>
      <c r="Q97" s="291"/>
      <c r="R97" s="291"/>
      <c r="S97" s="527"/>
      <c r="T97" s="291"/>
    </row>
    <row r="98" spans="1:20" s="333" customFormat="1" ht="16.5">
      <c r="A98" s="416"/>
      <c r="B98" s="382"/>
      <c r="C98" s="396"/>
      <c r="D98" s="396"/>
      <c r="E98" s="396"/>
      <c r="F98" s="396"/>
      <c r="G98" s="396"/>
      <c r="H98" s="396"/>
      <c r="I98" s="396"/>
      <c r="J98" s="396"/>
      <c r="K98" s="396"/>
      <c r="L98" s="396"/>
      <c r="M98" s="398"/>
      <c r="N98" s="398"/>
      <c r="P98" s="804"/>
      <c r="Q98" s="291"/>
      <c r="R98" s="291"/>
      <c r="S98" s="527"/>
      <c r="T98" s="291"/>
    </row>
    <row r="99" spans="1:20" s="333" customFormat="1" ht="16.5">
      <c r="A99" s="416"/>
      <c r="B99" s="382"/>
      <c r="C99" s="396"/>
      <c r="D99" s="396"/>
      <c r="E99" s="396"/>
      <c r="F99" s="396"/>
      <c r="G99" s="396"/>
      <c r="H99" s="396"/>
      <c r="I99" s="396"/>
      <c r="J99" s="396"/>
      <c r="K99" s="396"/>
      <c r="L99" s="396"/>
      <c r="M99" s="398"/>
      <c r="N99" s="398"/>
      <c r="P99" s="804"/>
      <c r="Q99" s="291"/>
      <c r="R99" s="291"/>
      <c r="S99" s="527"/>
      <c r="T99" s="291"/>
    </row>
  </sheetData>
  <mergeCells count="33">
    <mergeCell ref="A74:P74"/>
    <mergeCell ref="A76:B76"/>
    <mergeCell ref="C76:E76"/>
    <mergeCell ref="J76:L76"/>
    <mergeCell ref="M76:P76"/>
    <mergeCell ref="T51:T52"/>
    <mergeCell ref="E60:M60"/>
    <mergeCell ref="A63:B63"/>
    <mergeCell ref="I64:P64"/>
    <mergeCell ref="A65:B65"/>
    <mergeCell ref="D65:H65"/>
    <mergeCell ref="I65:P65"/>
    <mergeCell ref="E23:L23"/>
    <mergeCell ref="A8:P8"/>
    <mergeCell ref="A10:A11"/>
    <mergeCell ref="B10:B11"/>
    <mergeCell ref="C10:C11"/>
    <mergeCell ref="D10:D11"/>
    <mergeCell ref="E10:L10"/>
    <mergeCell ref="M10:M11"/>
    <mergeCell ref="N10:N11"/>
    <mergeCell ref="P10:P11"/>
    <mergeCell ref="E18:L18"/>
    <mergeCell ref="E19:L19"/>
    <mergeCell ref="E20:L20"/>
    <mergeCell ref="E21:L21"/>
    <mergeCell ref="E22:L22"/>
    <mergeCell ref="A7:P7"/>
    <mergeCell ref="A1:P1"/>
    <mergeCell ref="A2:P2"/>
    <mergeCell ref="A3:P3"/>
    <mergeCell ref="A4:D4"/>
    <mergeCell ref="A5:D5"/>
  </mergeCells>
  <pageMargins left="0.3" right="0.19685039370078741" top="0.47244094488188981" bottom="0.23622047244094491" header="0.19685039370078741" footer="0.19685039370078741"/>
  <pageSetup paperSize="9" scale="85"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Q446"/>
  <sheetViews>
    <sheetView topLeftCell="A45" zoomScale="70" zoomScaleNormal="70" zoomScaleSheetLayoutView="85" workbookViewId="0">
      <selection activeCell="AG58" sqref="AG58"/>
    </sheetView>
  </sheetViews>
  <sheetFormatPr defaultColWidth="8.85546875" defaultRowHeight="16.5"/>
  <cols>
    <col min="1" max="1" width="12.140625" style="269" customWidth="1"/>
    <col min="2" max="2" width="28.140625" style="269" customWidth="1"/>
    <col min="3" max="30" width="5.7109375" style="270" hidden="1" customWidth="1"/>
    <col min="31" max="31" width="2" style="270" hidden="1" customWidth="1"/>
    <col min="32" max="32" width="15.7109375" style="270" hidden="1" customWidth="1"/>
    <col min="33" max="33" width="25.85546875" style="346" customWidth="1"/>
    <col min="34" max="34" width="20.28515625" style="269" customWidth="1"/>
    <col min="35" max="35" width="27.28515625" style="269" customWidth="1"/>
    <col min="36" max="36" width="35.7109375" style="269" customWidth="1"/>
    <col min="37" max="37" width="14.5703125" style="269" bestFit="1" customWidth="1"/>
    <col min="38" max="38" width="8.85546875" style="269"/>
    <col min="39" max="39" width="10.28515625" style="269" bestFit="1" customWidth="1"/>
    <col min="40" max="244" width="8.85546875" style="269"/>
    <col min="245" max="245" width="4.28515625" style="269" customWidth="1"/>
    <col min="246" max="246" width="9.140625" style="269" customWidth="1"/>
    <col min="247" max="247" width="16.7109375" style="269" customWidth="1"/>
    <col min="248" max="249" width="3.28515625" style="269" customWidth="1"/>
    <col min="250" max="255" width="3.85546875" style="269" customWidth="1"/>
    <col min="256" max="256" width="4.28515625" style="269" customWidth="1"/>
    <col min="257" max="260" width="4.140625" style="269" customWidth="1"/>
    <col min="261" max="262" width="3.85546875" style="269" customWidth="1"/>
    <col min="263" max="264" width="3.28515625" style="269" customWidth="1"/>
    <col min="265" max="267" width="3.85546875" style="269" customWidth="1"/>
    <col min="268" max="268" width="4" style="269" customWidth="1"/>
    <col min="269" max="269" width="3.85546875" style="269" customWidth="1"/>
    <col min="270" max="270" width="3.28515625" style="269" customWidth="1"/>
    <col min="271" max="276" width="3.85546875" style="269" customWidth="1"/>
    <col min="277" max="278" width="3.28515625" style="269" customWidth="1"/>
    <col min="279" max="279" width="8" style="269" customWidth="1"/>
    <col min="280" max="280" width="7.5703125" style="269" customWidth="1"/>
    <col min="281" max="281" width="7.140625" style="269" customWidth="1"/>
    <col min="282" max="282" width="9.28515625" style="269" bestFit="1" customWidth="1"/>
    <col min="283" max="283" width="9.42578125" style="269" bestFit="1" customWidth="1"/>
    <col min="284" max="500" width="8.85546875" style="269"/>
    <col min="501" max="501" width="4.28515625" style="269" customWidth="1"/>
    <col min="502" max="502" width="9.140625" style="269" customWidth="1"/>
    <col min="503" max="503" width="16.7109375" style="269" customWidth="1"/>
    <col min="504" max="505" width="3.28515625" style="269" customWidth="1"/>
    <col min="506" max="511" width="3.85546875" style="269" customWidth="1"/>
    <col min="512" max="512" width="4.28515625" style="269" customWidth="1"/>
    <col min="513" max="516" width="4.140625" style="269" customWidth="1"/>
    <col min="517" max="518" width="3.85546875" style="269" customWidth="1"/>
    <col min="519" max="520" width="3.28515625" style="269" customWidth="1"/>
    <col min="521" max="523" width="3.85546875" style="269" customWidth="1"/>
    <col min="524" max="524" width="4" style="269" customWidth="1"/>
    <col min="525" max="525" width="3.85546875" style="269" customWidth="1"/>
    <col min="526" max="526" width="3.28515625" style="269" customWidth="1"/>
    <col min="527" max="532" width="3.85546875" style="269" customWidth="1"/>
    <col min="533" max="534" width="3.28515625" style="269" customWidth="1"/>
    <col min="535" max="535" width="8" style="269" customWidth="1"/>
    <col min="536" max="536" width="7.5703125" style="269" customWidth="1"/>
    <col min="537" max="537" width="7.140625" style="269" customWidth="1"/>
    <col min="538" max="538" width="9.28515625" style="269" bestFit="1" customWidth="1"/>
    <col min="539" max="539" width="9.42578125" style="269" bestFit="1" customWidth="1"/>
    <col min="540" max="756" width="8.85546875" style="269"/>
    <col min="757" max="757" width="4.28515625" style="269" customWidth="1"/>
    <col min="758" max="758" width="9.140625" style="269" customWidth="1"/>
    <col min="759" max="759" width="16.7109375" style="269" customWidth="1"/>
    <col min="760" max="761" width="3.28515625" style="269" customWidth="1"/>
    <col min="762" max="767" width="3.85546875" style="269" customWidth="1"/>
    <col min="768" max="768" width="4.28515625" style="269" customWidth="1"/>
    <col min="769" max="772" width="4.140625" style="269" customWidth="1"/>
    <col min="773" max="774" width="3.85546875" style="269" customWidth="1"/>
    <col min="775" max="776" width="3.28515625" style="269" customWidth="1"/>
    <col min="777" max="779" width="3.85546875" style="269" customWidth="1"/>
    <col min="780" max="780" width="4" style="269" customWidth="1"/>
    <col min="781" max="781" width="3.85546875" style="269" customWidth="1"/>
    <col min="782" max="782" width="3.28515625" style="269" customWidth="1"/>
    <col min="783" max="788" width="3.85546875" style="269" customWidth="1"/>
    <col min="789" max="790" width="3.28515625" style="269" customWidth="1"/>
    <col min="791" max="791" width="8" style="269" customWidth="1"/>
    <col min="792" max="792" width="7.5703125" style="269" customWidth="1"/>
    <col min="793" max="793" width="7.140625" style="269" customWidth="1"/>
    <col min="794" max="794" width="9.28515625" style="269" bestFit="1" customWidth="1"/>
    <col min="795" max="795" width="9.42578125" style="269" bestFit="1" customWidth="1"/>
    <col min="796" max="1012" width="8.85546875" style="269"/>
    <col min="1013" max="1013" width="4.28515625" style="269" customWidth="1"/>
    <col min="1014" max="1014" width="9.140625" style="269" customWidth="1"/>
    <col min="1015" max="1015" width="16.7109375" style="269" customWidth="1"/>
    <col min="1016" max="1017" width="3.28515625" style="269" customWidth="1"/>
    <col min="1018" max="1023" width="3.85546875" style="269" customWidth="1"/>
    <col min="1024" max="1024" width="4.28515625" style="269" customWidth="1"/>
    <col min="1025" max="1028" width="4.140625" style="269" customWidth="1"/>
    <col min="1029" max="1030" width="3.85546875" style="269" customWidth="1"/>
    <col min="1031" max="1032" width="3.28515625" style="269" customWidth="1"/>
    <col min="1033" max="1035" width="3.85546875" style="269" customWidth="1"/>
    <col min="1036" max="1036" width="4" style="269" customWidth="1"/>
    <col min="1037" max="1037" width="3.85546875" style="269" customWidth="1"/>
    <col min="1038" max="1038" width="3.28515625" style="269" customWidth="1"/>
    <col min="1039" max="1044" width="3.85546875" style="269" customWidth="1"/>
    <col min="1045" max="1046" width="3.28515625" style="269" customWidth="1"/>
    <col min="1047" max="1047" width="8" style="269" customWidth="1"/>
    <col min="1048" max="1048" width="7.5703125" style="269" customWidth="1"/>
    <col min="1049" max="1049" width="7.140625" style="269" customWidth="1"/>
    <col min="1050" max="1050" width="9.28515625" style="269" bestFit="1" customWidth="1"/>
    <col min="1051" max="1051" width="9.42578125" style="269" bestFit="1" customWidth="1"/>
    <col min="1052" max="1268" width="8.85546875" style="269"/>
    <col min="1269" max="1269" width="4.28515625" style="269" customWidth="1"/>
    <col min="1270" max="1270" width="9.140625" style="269" customWidth="1"/>
    <col min="1271" max="1271" width="16.7109375" style="269" customWidth="1"/>
    <col min="1272" max="1273" width="3.28515625" style="269" customWidth="1"/>
    <col min="1274" max="1279" width="3.85546875" style="269" customWidth="1"/>
    <col min="1280" max="1280" width="4.28515625" style="269" customWidth="1"/>
    <col min="1281" max="1284" width="4.140625" style="269" customWidth="1"/>
    <col min="1285" max="1286" width="3.85546875" style="269" customWidth="1"/>
    <col min="1287" max="1288" width="3.28515625" style="269" customWidth="1"/>
    <col min="1289" max="1291" width="3.85546875" style="269" customWidth="1"/>
    <col min="1292" max="1292" width="4" style="269" customWidth="1"/>
    <col min="1293" max="1293" width="3.85546875" style="269" customWidth="1"/>
    <col min="1294" max="1294" width="3.28515625" style="269" customWidth="1"/>
    <col min="1295" max="1300" width="3.85546875" style="269" customWidth="1"/>
    <col min="1301" max="1302" width="3.28515625" style="269" customWidth="1"/>
    <col min="1303" max="1303" width="8" style="269" customWidth="1"/>
    <col min="1304" max="1304" width="7.5703125" style="269" customWidth="1"/>
    <col min="1305" max="1305" width="7.140625" style="269" customWidth="1"/>
    <col min="1306" max="1306" width="9.28515625" style="269" bestFit="1" customWidth="1"/>
    <col min="1307" max="1307" width="9.42578125" style="269" bestFit="1" customWidth="1"/>
    <col min="1308" max="1524" width="8.85546875" style="269"/>
    <col min="1525" max="1525" width="4.28515625" style="269" customWidth="1"/>
    <col min="1526" max="1526" width="9.140625" style="269" customWidth="1"/>
    <col min="1527" max="1527" width="16.7109375" style="269" customWidth="1"/>
    <col min="1528" max="1529" width="3.28515625" style="269" customWidth="1"/>
    <col min="1530" max="1535" width="3.85546875" style="269" customWidth="1"/>
    <col min="1536" max="1536" width="4.28515625" style="269" customWidth="1"/>
    <col min="1537" max="1540" width="4.140625" style="269" customWidth="1"/>
    <col min="1541" max="1542" width="3.85546875" style="269" customWidth="1"/>
    <col min="1543" max="1544" width="3.28515625" style="269" customWidth="1"/>
    <col min="1545" max="1547" width="3.85546875" style="269" customWidth="1"/>
    <col min="1548" max="1548" width="4" style="269" customWidth="1"/>
    <col min="1549" max="1549" width="3.85546875" style="269" customWidth="1"/>
    <col min="1550" max="1550" width="3.28515625" style="269" customWidth="1"/>
    <col min="1551" max="1556" width="3.85546875" style="269" customWidth="1"/>
    <col min="1557" max="1558" width="3.28515625" style="269" customWidth="1"/>
    <col min="1559" max="1559" width="8" style="269" customWidth="1"/>
    <col min="1560" max="1560" width="7.5703125" style="269" customWidth="1"/>
    <col min="1561" max="1561" width="7.140625" style="269" customWidth="1"/>
    <col min="1562" max="1562" width="9.28515625" style="269" bestFit="1" customWidth="1"/>
    <col min="1563" max="1563" width="9.42578125" style="269" bestFit="1" customWidth="1"/>
    <col min="1564" max="1780" width="8.85546875" style="269"/>
    <col min="1781" max="1781" width="4.28515625" style="269" customWidth="1"/>
    <col min="1782" max="1782" width="9.140625" style="269" customWidth="1"/>
    <col min="1783" max="1783" width="16.7109375" style="269" customWidth="1"/>
    <col min="1784" max="1785" width="3.28515625" style="269" customWidth="1"/>
    <col min="1786" max="1791" width="3.85546875" style="269" customWidth="1"/>
    <col min="1792" max="1792" width="4.28515625" style="269" customWidth="1"/>
    <col min="1793" max="1796" width="4.140625" style="269" customWidth="1"/>
    <col min="1797" max="1798" width="3.85546875" style="269" customWidth="1"/>
    <col min="1799" max="1800" width="3.28515625" style="269" customWidth="1"/>
    <col min="1801" max="1803" width="3.85546875" style="269" customWidth="1"/>
    <col min="1804" max="1804" width="4" style="269" customWidth="1"/>
    <col min="1805" max="1805" width="3.85546875" style="269" customWidth="1"/>
    <col min="1806" max="1806" width="3.28515625" style="269" customWidth="1"/>
    <col min="1807" max="1812" width="3.85546875" style="269" customWidth="1"/>
    <col min="1813" max="1814" width="3.28515625" style="269" customWidth="1"/>
    <col min="1815" max="1815" width="8" style="269" customWidth="1"/>
    <col min="1816" max="1816" width="7.5703125" style="269" customWidth="1"/>
    <col min="1817" max="1817" width="7.140625" style="269" customWidth="1"/>
    <col min="1818" max="1818" width="9.28515625" style="269" bestFit="1" customWidth="1"/>
    <col min="1819" max="1819" width="9.42578125" style="269" bestFit="1" customWidth="1"/>
    <col min="1820" max="2036" width="8.85546875" style="269"/>
    <col min="2037" max="2037" width="4.28515625" style="269" customWidth="1"/>
    <col min="2038" max="2038" width="9.140625" style="269" customWidth="1"/>
    <col min="2039" max="2039" width="16.7109375" style="269" customWidth="1"/>
    <col min="2040" max="2041" width="3.28515625" style="269" customWidth="1"/>
    <col min="2042" max="2047" width="3.85546875" style="269" customWidth="1"/>
    <col min="2048" max="2048" width="4.28515625" style="269" customWidth="1"/>
    <col min="2049" max="2052" width="4.140625" style="269" customWidth="1"/>
    <col min="2053" max="2054" width="3.85546875" style="269" customWidth="1"/>
    <col min="2055" max="2056" width="3.28515625" style="269" customWidth="1"/>
    <col min="2057" max="2059" width="3.85546875" style="269" customWidth="1"/>
    <col min="2060" max="2060" width="4" style="269" customWidth="1"/>
    <col min="2061" max="2061" width="3.85546875" style="269" customWidth="1"/>
    <col min="2062" max="2062" width="3.28515625" style="269" customWidth="1"/>
    <col min="2063" max="2068" width="3.85546875" style="269" customWidth="1"/>
    <col min="2069" max="2070" width="3.28515625" style="269" customWidth="1"/>
    <col min="2071" max="2071" width="8" style="269" customWidth="1"/>
    <col min="2072" max="2072" width="7.5703125" style="269" customWidth="1"/>
    <col min="2073" max="2073" width="7.140625" style="269" customWidth="1"/>
    <col min="2074" max="2074" width="9.28515625" style="269" bestFit="1" customWidth="1"/>
    <col min="2075" max="2075" width="9.42578125" style="269" bestFit="1" customWidth="1"/>
    <col min="2076" max="2292" width="8.85546875" style="269"/>
    <col min="2293" max="2293" width="4.28515625" style="269" customWidth="1"/>
    <col min="2294" max="2294" width="9.140625" style="269" customWidth="1"/>
    <col min="2295" max="2295" width="16.7109375" style="269" customWidth="1"/>
    <col min="2296" max="2297" width="3.28515625" style="269" customWidth="1"/>
    <col min="2298" max="2303" width="3.85546875" style="269" customWidth="1"/>
    <col min="2304" max="2304" width="4.28515625" style="269" customWidth="1"/>
    <col min="2305" max="2308" width="4.140625" style="269" customWidth="1"/>
    <col min="2309" max="2310" width="3.85546875" style="269" customWidth="1"/>
    <col min="2311" max="2312" width="3.28515625" style="269" customWidth="1"/>
    <col min="2313" max="2315" width="3.85546875" style="269" customWidth="1"/>
    <col min="2316" max="2316" width="4" style="269" customWidth="1"/>
    <col min="2317" max="2317" width="3.85546875" style="269" customWidth="1"/>
    <col min="2318" max="2318" width="3.28515625" style="269" customWidth="1"/>
    <col min="2319" max="2324" width="3.85546875" style="269" customWidth="1"/>
    <col min="2325" max="2326" width="3.28515625" style="269" customWidth="1"/>
    <col min="2327" max="2327" width="8" style="269" customWidth="1"/>
    <col min="2328" max="2328" width="7.5703125" style="269" customWidth="1"/>
    <col min="2329" max="2329" width="7.140625" style="269" customWidth="1"/>
    <col min="2330" max="2330" width="9.28515625" style="269" bestFit="1" customWidth="1"/>
    <col min="2331" max="2331" width="9.42578125" style="269" bestFit="1" customWidth="1"/>
    <col min="2332" max="2548" width="8.85546875" style="269"/>
    <col min="2549" max="2549" width="4.28515625" style="269" customWidth="1"/>
    <col min="2550" max="2550" width="9.140625" style="269" customWidth="1"/>
    <col min="2551" max="2551" width="16.7109375" style="269" customWidth="1"/>
    <col min="2552" max="2553" width="3.28515625" style="269" customWidth="1"/>
    <col min="2554" max="2559" width="3.85546875" style="269" customWidth="1"/>
    <col min="2560" max="2560" width="4.28515625" style="269" customWidth="1"/>
    <col min="2561" max="2564" width="4.140625" style="269" customWidth="1"/>
    <col min="2565" max="2566" width="3.85546875" style="269" customWidth="1"/>
    <col min="2567" max="2568" width="3.28515625" style="269" customWidth="1"/>
    <col min="2569" max="2571" width="3.85546875" style="269" customWidth="1"/>
    <col min="2572" max="2572" width="4" style="269" customWidth="1"/>
    <col min="2573" max="2573" width="3.85546875" style="269" customWidth="1"/>
    <col min="2574" max="2574" width="3.28515625" style="269" customWidth="1"/>
    <col min="2575" max="2580" width="3.85546875" style="269" customWidth="1"/>
    <col min="2581" max="2582" width="3.28515625" style="269" customWidth="1"/>
    <col min="2583" max="2583" width="8" style="269" customWidth="1"/>
    <col min="2584" max="2584" width="7.5703125" style="269" customWidth="1"/>
    <col min="2585" max="2585" width="7.140625" style="269" customWidth="1"/>
    <col min="2586" max="2586" width="9.28515625" style="269" bestFit="1" customWidth="1"/>
    <col min="2587" max="2587" width="9.42578125" style="269" bestFit="1" customWidth="1"/>
    <col min="2588" max="2804" width="8.85546875" style="269"/>
    <col min="2805" max="2805" width="4.28515625" style="269" customWidth="1"/>
    <col min="2806" max="2806" width="9.140625" style="269" customWidth="1"/>
    <col min="2807" max="2807" width="16.7109375" style="269" customWidth="1"/>
    <col min="2808" max="2809" width="3.28515625" style="269" customWidth="1"/>
    <col min="2810" max="2815" width="3.85546875" style="269" customWidth="1"/>
    <col min="2816" max="2816" width="4.28515625" style="269" customWidth="1"/>
    <col min="2817" max="2820" width="4.140625" style="269" customWidth="1"/>
    <col min="2821" max="2822" width="3.85546875" style="269" customWidth="1"/>
    <col min="2823" max="2824" width="3.28515625" style="269" customWidth="1"/>
    <col min="2825" max="2827" width="3.85546875" style="269" customWidth="1"/>
    <col min="2828" max="2828" width="4" style="269" customWidth="1"/>
    <col min="2829" max="2829" width="3.85546875" style="269" customWidth="1"/>
    <col min="2830" max="2830" width="3.28515625" style="269" customWidth="1"/>
    <col min="2831" max="2836" width="3.85546875" style="269" customWidth="1"/>
    <col min="2837" max="2838" width="3.28515625" style="269" customWidth="1"/>
    <col min="2839" max="2839" width="8" style="269" customWidth="1"/>
    <col min="2840" max="2840" width="7.5703125" style="269" customWidth="1"/>
    <col min="2841" max="2841" width="7.140625" style="269" customWidth="1"/>
    <col min="2842" max="2842" width="9.28515625" style="269" bestFit="1" customWidth="1"/>
    <col min="2843" max="2843" width="9.42578125" style="269" bestFit="1" customWidth="1"/>
    <col min="2844" max="3060" width="8.85546875" style="269"/>
    <col min="3061" max="3061" width="4.28515625" style="269" customWidth="1"/>
    <col min="3062" max="3062" width="9.140625" style="269" customWidth="1"/>
    <col min="3063" max="3063" width="16.7109375" style="269" customWidth="1"/>
    <col min="3064" max="3065" width="3.28515625" style="269" customWidth="1"/>
    <col min="3066" max="3071" width="3.85546875" style="269" customWidth="1"/>
    <col min="3072" max="3072" width="4.28515625" style="269" customWidth="1"/>
    <col min="3073" max="3076" width="4.140625" style="269" customWidth="1"/>
    <col min="3077" max="3078" width="3.85546875" style="269" customWidth="1"/>
    <col min="3079" max="3080" width="3.28515625" style="269" customWidth="1"/>
    <col min="3081" max="3083" width="3.85546875" style="269" customWidth="1"/>
    <col min="3084" max="3084" width="4" style="269" customWidth="1"/>
    <col min="3085" max="3085" width="3.85546875" style="269" customWidth="1"/>
    <col min="3086" max="3086" width="3.28515625" style="269" customWidth="1"/>
    <col min="3087" max="3092" width="3.85546875" style="269" customWidth="1"/>
    <col min="3093" max="3094" width="3.28515625" style="269" customWidth="1"/>
    <col min="3095" max="3095" width="8" style="269" customWidth="1"/>
    <col min="3096" max="3096" width="7.5703125" style="269" customWidth="1"/>
    <col min="3097" max="3097" width="7.140625" style="269" customWidth="1"/>
    <col min="3098" max="3098" width="9.28515625" style="269" bestFit="1" customWidth="1"/>
    <col min="3099" max="3099" width="9.42578125" style="269" bestFit="1" customWidth="1"/>
    <col min="3100" max="3316" width="8.85546875" style="269"/>
    <col min="3317" max="3317" width="4.28515625" style="269" customWidth="1"/>
    <col min="3318" max="3318" width="9.140625" style="269" customWidth="1"/>
    <col min="3319" max="3319" width="16.7109375" style="269" customWidth="1"/>
    <col min="3320" max="3321" width="3.28515625" style="269" customWidth="1"/>
    <col min="3322" max="3327" width="3.85546875" style="269" customWidth="1"/>
    <col min="3328" max="3328" width="4.28515625" style="269" customWidth="1"/>
    <col min="3329" max="3332" width="4.140625" style="269" customWidth="1"/>
    <col min="3333" max="3334" width="3.85546875" style="269" customWidth="1"/>
    <col min="3335" max="3336" width="3.28515625" style="269" customWidth="1"/>
    <col min="3337" max="3339" width="3.85546875" style="269" customWidth="1"/>
    <col min="3340" max="3340" width="4" style="269" customWidth="1"/>
    <col min="3341" max="3341" width="3.85546875" style="269" customWidth="1"/>
    <col min="3342" max="3342" width="3.28515625" style="269" customWidth="1"/>
    <col min="3343" max="3348" width="3.85546875" style="269" customWidth="1"/>
    <col min="3349" max="3350" width="3.28515625" style="269" customWidth="1"/>
    <col min="3351" max="3351" width="8" style="269" customWidth="1"/>
    <col min="3352" max="3352" width="7.5703125" style="269" customWidth="1"/>
    <col min="3353" max="3353" width="7.140625" style="269" customWidth="1"/>
    <col min="3354" max="3354" width="9.28515625" style="269" bestFit="1" customWidth="1"/>
    <col min="3355" max="3355" width="9.42578125" style="269" bestFit="1" customWidth="1"/>
    <col min="3356" max="3572" width="8.85546875" style="269"/>
    <col min="3573" max="3573" width="4.28515625" style="269" customWidth="1"/>
    <col min="3574" max="3574" width="9.140625" style="269" customWidth="1"/>
    <col min="3575" max="3575" width="16.7109375" style="269" customWidth="1"/>
    <col min="3576" max="3577" width="3.28515625" style="269" customWidth="1"/>
    <col min="3578" max="3583" width="3.85546875" style="269" customWidth="1"/>
    <col min="3584" max="3584" width="4.28515625" style="269" customWidth="1"/>
    <col min="3585" max="3588" width="4.140625" style="269" customWidth="1"/>
    <col min="3589" max="3590" width="3.85546875" style="269" customWidth="1"/>
    <col min="3591" max="3592" width="3.28515625" style="269" customWidth="1"/>
    <col min="3593" max="3595" width="3.85546875" style="269" customWidth="1"/>
    <col min="3596" max="3596" width="4" style="269" customWidth="1"/>
    <col min="3597" max="3597" width="3.85546875" style="269" customWidth="1"/>
    <col min="3598" max="3598" width="3.28515625" style="269" customWidth="1"/>
    <col min="3599" max="3604" width="3.85546875" style="269" customWidth="1"/>
    <col min="3605" max="3606" width="3.28515625" style="269" customWidth="1"/>
    <col min="3607" max="3607" width="8" style="269" customWidth="1"/>
    <col min="3608" max="3608" width="7.5703125" style="269" customWidth="1"/>
    <col min="3609" max="3609" width="7.140625" style="269" customWidth="1"/>
    <col min="3610" max="3610" width="9.28515625" style="269" bestFit="1" customWidth="1"/>
    <col min="3611" max="3611" width="9.42578125" style="269" bestFit="1" customWidth="1"/>
    <col min="3612" max="3828" width="8.85546875" style="269"/>
    <col min="3829" max="3829" width="4.28515625" style="269" customWidth="1"/>
    <col min="3830" max="3830" width="9.140625" style="269" customWidth="1"/>
    <col min="3831" max="3831" width="16.7109375" style="269" customWidth="1"/>
    <col min="3832" max="3833" width="3.28515625" style="269" customWidth="1"/>
    <col min="3834" max="3839" width="3.85546875" style="269" customWidth="1"/>
    <col min="3840" max="3840" width="4.28515625" style="269" customWidth="1"/>
    <col min="3841" max="3844" width="4.140625" style="269" customWidth="1"/>
    <col min="3845" max="3846" width="3.85546875" style="269" customWidth="1"/>
    <col min="3847" max="3848" width="3.28515625" style="269" customWidth="1"/>
    <col min="3849" max="3851" width="3.85546875" style="269" customWidth="1"/>
    <col min="3852" max="3852" width="4" style="269" customWidth="1"/>
    <col min="3853" max="3853" width="3.85546875" style="269" customWidth="1"/>
    <col min="3854" max="3854" width="3.28515625" style="269" customWidth="1"/>
    <col min="3855" max="3860" width="3.85546875" style="269" customWidth="1"/>
    <col min="3861" max="3862" width="3.28515625" style="269" customWidth="1"/>
    <col min="3863" max="3863" width="8" style="269" customWidth="1"/>
    <col min="3864" max="3864" width="7.5703125" style="269" customWidth="1"/>
    <col min="3865" max="3865" width="7.140625" style="269" customWidth="1"/>
    <col min="3866" max="3866" width="9.28515625" style="269" bestFit="1" customWidth="1"/>
    <col min="3867" max="3867" width="9.42578125" style="269" bestFit="1" customWidth="1"/>
    <col min="3868" max="4084" width="8.85546875" style="269"/>
    <col min="4085" max="4085" width="4.28515625" style="269" customWidth="1"/>
    <col min="4086" max="4086" width="9.140625" style="269" customWidth="1"/>
    <col min="4087" max="4087" width="16.7109375" style="269" customWidth="1"/>
    <col min="4088" max="4089" width="3.28515625" style="269" customWidth="1"/>
    <col min="4090" max="4095" width="3.85546875" style="269" customWidth="1"/>
    <col min="4096" max="4096" width="4.28515625" style="269" customWidth="1"/>
    <col min="4097" max="4100" width="4.140625" style="269" customWidth="1"/>
    <col min="4101" max="4102" width="3.85546875" style="269" customWidth="1"/>
    <col min="4103" max="4104" width="3.28515625" style="269" customWidth="1"/>
    <col min="4105" max="4107" width="3.85546875" style="269" customWidth="1"/>
    <col min="4108" max="4108" width="4" style="269" customWidth="1"/>
    <col min="4109" max="4109" width="3.85546875" style="269" customWidth="1"/>
    <col min="4110" max="4110" width="3.28515625" style="269" customWidth="1"/>
    <col min="4111" max="4116" width="3.85546875" style="269" customWidth="1"/>
    <col min="4117" max="4118" width="3.28515625" style="269" customWidth="1"/>
    <col min="4119" max="4119" width="8" style="269" customWidth="1"/>
    <col min="4120" max="4120" width="7.5703125" style="269" customWidth="1"/>
    <col min="4121" max="4121" width="7.140625" style="269" customWidth="1"/>
    <col min="4122" max="4122" width="9.28515625" style="269" bestFit="1" customWidth="1"/>
    <col min="4123" max="4123" width="9.42578125" style="269" bestFit="1" customWidth="1"/>
    <col min="4124" max="4340" width="8.85546875" style="269"/>
    <col min="4341" max="4341" width="4.28515625" style="269" customWidth="1"/>
    <col min="4342" max="4342" width="9.140625" style="269" customWidth="1"/>
    <col min="4343" max="4343" width="16.7109375" style="269" customWidth="1"/>
    <col min="4344" max="4345" width="3.28515625" style="269" customWidth="1"/>
    <col min="4346" max="4351" width="3.85546875" style="269" customWidth="1"/>
    <col min="4352" max="4352" width="4.28515625" style="269" customWidth="1"/>
    <col min="4353" max="4356" width="4.140625" style="269" customWidth="1"/>
    <col min="4357" max="4358" width="3.85546875" style="269" customWidth="1"/>
    <col min="4359" max="4360" width="3.28515625" style="269" customWidth="1"/>
    <col min="4361" max="4363" width="3.85546875" style="269" customWidth="1"/>
    <col min="4364" max="4364" width="4" style="269" customWidth="1"/>
    <col min="4365" max="4365" width="3.85546875" style="269" customWidth="1"/>
    <col min="4366" max="4366" width="3.28515625" style="269" customWidth="1"/>
    <col min="4367" max="4372" width="3.85546875" style="269" customWidth="1"/>
    <col min="4373" max="4374" width="3.28515625" style="269" customWidth="1"/>
    <col min="4375" max="4375" width="8" style="269" customWidth="1"/>
    <col min="4376" max="4376" width="7.5703125" style="269" customWidth="1"/>
    <col min="4377" max="4377" width="7.140625" style="269" customWidth="1"/>
    <col min="4378" max="4378" width="9.28515625" style="269" bestFit="1" customWidth="1"/>
    <col min="4379" max="4379" width="9.42578125" style="269" bestFit="1" customWidth="1"/>
    <col min="4380" max="4596" width="8.85546875" style="269"/>
    <col min="4597" max="4597" width="4.28515625" style="269" customWidth="1"/>
    <col min="4598" max="4598" width="9.140625" style="269" customWidth="1"/>
    <col min="4599" max="4599" width="16.7109375" style="269" customWidth="1"/>
    <col min="4600" max="4601" width="3.28515625" style="269" customWidth="1"/>
    <col min="4602" max="4607" width="3.85546875" style="269" customWidth="1"/>
    <col min="4608" max="4608" width="4.28515625" style="269" customWidth="1"/>
    <col min="4609" max="4612" width="4.140625" style="269" customWidth="1"/>
    <col min="4613" max="4614" width="3.85546875" style="269" customWidth="1"/>
    <col min="4615" max="4616" width="3.28515625" style="269" customWidth="1"/>
    <col min="4617" max="4619" width="3.85546875" style="269" customWidth="1"/>
    <col min="4620" max="4620" width="4" style="269" customWidth="1"/>
    <col min="4621" max="4621" width="3.85546875" style="269" customWidth="1"/>
    <col min="4622" max="4622" width="3.28515625" style="269" customWidth="1"/>
    <col min="4623" max="4628" width="3.85546875" style="269" customWidth="1"/>
    <col min="4629" max="4630" width="3.28515625" style="269" customWidth="1"/>
    <col min="4631" max="4631" width="8" style="269" customWidth="1"/>
    <col min="4632" max="4632" width="7.5703125" style="269" customWidth="1"/>
    <col min="4633" max="4633" width="7.140625" style="269" customWidth="1"/>
    <col min="4634" max="4634" width="9.28515625" style="269" bestFit="1" customWidth="1"/>
    <col min="4635" max="4635" width="9.42578125" style="269" bestFit="1" customWidth="1"/>
    <col min="4636" max="4852" width="8.85546875" style="269"/>
    <col min="4853" max="4853" width="4.28515625" style="269" customWidth="1"/>
    <col min="4854" max="4854" width="9.140625" style="269" customWidth="1"/>
    <col min="4855" max="4855" width="16.7109375" style="269" customWidth="1"/>
    <col min="4856" max="4857" width="3.28515625" style="269" customWidth="1"/>
    <col min="4858" max="4863" width="3.85546875" style="269" customWidth="1"/>
    <col min="4864" max="4864" width="4.28515625" style="269" customWidth="1"/>
    <col min="4865" max="4868" width="4.140625" style="269" customWidth="1"/>
    <col min="4869" max="4870" width="3.85546875" style="269" customWidth="1"/>
    <col min="4871" max="4872" width="3.28515625" style="269" customWidth="1"/>
    <col min="4873" max="4875" width="3.85546875" style="269" customWidth="1"/>
    <col min="4876" max="4876" width="4" style="269" customWidth="1"/>
    <col min="4877" max="4877" width="3.85546875" style="269" customWidth="1"/>
    <col min="4878" max="4878" width="3.28515625" style="269" customWidth="1"/>
    <col min="4879" max="4884" width="3.85546875" style="269" customWidth="1"/>
    <col min="4885" max="4886" width="3.28515625" style="269" customWidth="1"/>
    <col min="4887" max="4887" width="8" style="269" customWidth="1"/>
    <col min="4888" max="4888" width="7.5703125" style="269" customWidth="1"/>
    <col min="4889" max="4889" width="7.140625" style="269" customWidth="1"/>
    <col min="4890" max="4890" width="9.28515625" style="269" bestFit="1" customWidth="1"/>
    <col min="4891" max="4891" width="9.42578125" style="269" bestFit="1" customWidth="1"/>
    <col min="4892" max="5108" width="8.85546875" style="269"/>
    <col min="5109" max="5109" width="4.28515625" style="269" customWidth="1"/>
    <col min="5110" max="5110" width="9.140625" style="269" customWidth="1"/>
    <col min="5111" max="5111" width="16.7109375" style="269" customWidth="1"/>
    <col min="5112" max="5113" width="3.28515625" style="269" customWidth="1"/>
    <col min="5114" max="5119" width="3.85546875" style="269" customWidth="1"/>
    <col min="5120" max="5120" width="4.28515625" style="269" customWidth="1"/>
    <col min="5121" max="5124" width="4.140625" style="269" customWidth="1"/>
    <col min="5125" max="5126" width="3.85546875" style="269" customWidth="1"/>
    <col min="5127" max="5128" width="3.28515625" style="269" customWidth="1"/>
    <col min="5129" max="5131" width="3.85546875" style="269" customWidth="1"/>
    <col min="5132" max="5132" width="4" style="269" customWidth="1"/>
    <col min="5133" max="5133" width="3.85546875" style="269" customWidth="1"/>
    <col min="5134" max="5134" width="3.28515625" style="269" customWidth="1"/>
    <col min="5135" max="5140" width="3.85546875" style="269" customWidth="1"/>
    <col min="5141" max="5142" width="3.28515625" style="269" customWidth="1"/>
    <col min="5143" max="5143" width="8" style="269" customWidth="1"/>
    <col min="5144" max="5144" width="7.5703125" style="269" customWidth="1"/>
    <col min="5145" max="5145" width="7.140625" style="269" customWidth="1"/>
    <col min="5146" max="5146" width="9.28515625" style="269" bestFit="1" customWidth="1"/>
    <col min="5147" max="5147" width="9.42578125" style="269" bestFit="1" customWidth="1"/>
    <col min="5148" max="5364" width="8.85546875" style="269"/>
    <col min="5365" max="5365" width="4.28515625" style="269" customWidth="1"/>
    <col min="5366" max="5366" width="9.140625" style="269" customWidth="1"/>
    <col min="5367" max="5367" width="16.7109375" style="269" customWidth="1"/>
    <col min="5368" max="5369" width="3.28515625" style="269" customWidth="1"/>
    <col min="5370" max="5375" width="3.85546875" style="269" customWidth="1"/>
    <col min="5376" max="5376" width="4.28515625" style="269" customWidth="1"/>
    <col min="5377" max="5380" width="4.140625" style="269" customWidth="1"/>
    <col min="5381" max="5382" width="3.85546875" style="269" customWidth="1"/>
    <col min="5383" max="5384" width="3.28515625" style="269" customWidth="1"/>
    <col min="5385" max="5387" width="3.85546875" style="269" customWidth="1"/>
    <col min="5388" max="5388" width="4" style="269" customWidth="1"/>
    <col min="5389" max="5389" width="3.85546875" style="269" customWidth="1"/>
    <col min="5390" max="5390" width="3.28515625" style="269" customWidth="1"/>
    <col min="5391" max="5396" width="3.85546875" style="269" customWidth="1"/>
    <col min="5397" max="5398" width="3.28515625" style="269" customWidth="1"/>
    <col min="5399" max="5399" width="8" style="269" customWidth="1"/>
    <col min="5400" max="5400" width="7.5703125" style="269" customWidth="1"/>
    <col min="5401" max="5401" width="7.140625" style="269" customWidth="1"/>
    <col min="5402" max="5402" width="9.28515625" style="269" bestFit="1" customWidth="1"/>
    <col min="5403" max="5403" width="9.42578125" style="269" bestFit="1" customWidth="1"/>
    <col min="5404" max="5620" width="8.85546875" style="269"/>
    <col min="5621" max="5621" width="4.28515625" style="269" customWidth="1"/>
    <col min="5622" max="5622" width="9.140625" style="269" customWidth="1"/>
    <col min="5623" max="5623" width="16.7109375" style="269" customWidth="1"/>
    <col min="5624" max="5625" width="3.28515625" style="269" customWidth="1"/>
    <col min="5626" max="5631" width="3.85546875" style="269" customWidth="1"/>
    <col min="5632" max="5632" width="4.28515625" style="269" customWidth="1"/>
    <col min="5633" max="5636" width="4.140625" style="269" customWidth="1"/>
    <col min="5637" max="5638" width="3.85546875" style="269" customWidth="1"/>
    <col min="5639" max="5640" width="3.28515625" style="269" customWidth="1"/>
    <col min="5641" max="5643" width="3.85546875" style="269" customWidth="1"/>
    <col min="5644" max="5644" width="4" style="269" customWidth="1"/>
    <col min="5645" max="5645" width="3.85546875" style="269" customWidth="1"/>
    <col min="5646" max="5646" width="3.28515625" style="269" customWidth="1"/>
    <col min="5647" max="5652" width="3.85546875" style="269" customWidth="1"/>
    <col min="5653" max="5654" width="3.28515625" style="269" customWidth="1"/>
    <col min="5655" max="5655" width="8" style="269" customWidth="1"/>
    <col min="5656" max="5656" width="7.5703125" style="269" customWidth="1"/>
    <col min="5657" max="5657" width="7.140625" style="269" customWidth="1"/>
    <col min="5658" max="5658" width="9.28515625" style="269" bestFit="1" customWidth="1"/>
    <col min="5659" max="5659" width="9.42578125" style="269" bestFit="1" customWidth="1"/>
    <col min="5660" max="5876" width="8.85546875" style="269"/>
    <col min="5877" max="5877" width="4.28515625" style="269" customWidth="1"/>
    <col min="5878" max="5878" width="9.140625" style="269" customWidth="1"/>
    <col min="5879" max="5879" width="16.7109375" style="269" customWidth="1"/>
    <col min="5880" max="5881" width="3.28515625" style="269" customWidth="1"/>
    <col min="5882" max="5887" width="3.85546875" style="269" customWidth="1"/>
    <col min="5888" max="5888" width="4.28515625" style="269" customWidth="1"/>
    <col min="5889" max="5892" width="4.140625" style="269" customWidth="1"/>
    <col min="5893" max="5894" width="3.85546875" style="269" customWidth="1"/>
    <col min="5895" max="5896" width="3.28515625" style="269" customWidth="1"/>
    <col min="5897" max="5899" width="3.85546875" style="269" customWidth="1"/>
    <col min="5900" max="5900" width="4" style="269" customWidth="1"/>
    <col min="5901" max="5901" width="3.85546875" style="269" customWidth="1"/>
    <col min="5902" max="5902" width="3.28515625" style="269" customWidth="1"/>
    <col min="5903" max="5908" width="3.85546875" style="269" customWidth="1"/>
    <col min="5909" max="5910" width="3.28515625" style="269" customWidth="1"/>
    <col min="5911" max="5911" width="8" style="269" customWidth="1"/>
    <col min="5912" max="5912" width="7.5703125" style="269" customWidth="1"/>
    <col min="5913" max="5913" width="7.140625" style="269" customWidth="1"/>
    <col min="5914" max="5914" width="9.28515625" style="269" bestFit="1" customWidth="1"/>
    <col min="5915" max="5915" width="9.42578125" style="269" bestFit="1" customWidth="1"/>
    <col min="5916" max="6132" width="8.85546875" style="269"/>
    <col min="6133" max="6133" width="4.28515625" style="269" customWidth="1"/>
    <col min="6134" max="6134" width="9.140625" style="269" customWidth="1"/>
    <col min="6135" max="6135" width="16.7109375" style="269" customWidth="1"/>
    <col min="6136" max="6137" width="3.28515625" style="269" customWidth="1"/>
    <col min="6138" max="6143" width="3.85546875" style="269" customWidth="1"/>
    <col min="6144" max="6144" width="4.28515625" style="269" customWidth="1"/>
    <col min="6145" max="6148" width="4.140625" style="269" customWidth="1"/>
    <col min="6149" max="6150" width="3.85546875" style="269" customWidth="1"/>
    <col min="6151" max="6152" width="3.28515625" style="269" customWidth="1"/>
    <col min="6153" max="6155" width="3.85546875" style="269" customWidth="1"/>
    <col min="6156" max="6156" width="4" style="269" customWidth="1"/>
    <col min="6157" max="6157" width="3.85546875" style="269" customWidth="1"/>
    <col min="6158" max="6158" width="3.28515625" style="269" customWidth="1"/>
    <col min="6159" max="6164" width="3.85546875" style="269" customWidth="1"/>
    <col min="6165" max="6166" width="3.28515625" style="269" customWidth="1"/>
    <col min="6167" max="6167" width="8" style="269" customWidth="1"/>
    <col min="6168" max="6168" width="7.5703125" style="269" customWidth="1"/>
    <col min="6169" max="6169" width="7.140625" style="269" customWidth="1"/>
    <col min="6170" max="6170" width="9.28515625" style="269" bestFit="1" customWidth="1"/>
    <col min="6171" max="6171" width="9.42578125" style="269" bestFit="1" customWidth="1"/>
    <col min="6172" max="6388" width="8.85546875" style="269"/>
    <col min="6389" max="6389" width="4.28515625" style="269" customWidth="1"/>
    <col min="6390" max="6390" width="9.140625" style="269" customWidth="1"/>
    <col min="6391" max="6391" width="16.7109375" style="269" customWidth="1"/>
    <col min="6392" max="6393" width="3.28515625" style="269" customWidth="1"/>
    <col min="6394" max="6399" width="3.85546875" style="269" customWidth="1"/>
    <col min="6400" max="6400" width="4.28515625" style="269" customWidth="1"/>
    <col min="6401" max="6404" width="4.140625" style="269" customWidth="1"/>
    <col min="6405" max="6406" width="3.85546875" style="269" customWidth="1"/>
    <col min="6407" max="6408" width="3.28515625" style="269" customWidth="1"/>
    <col min="6409" max="6411" width="3.85546875" style="269" customWidth="1"/>
    <col min="6412" max="6412" width="4" style="269" customWidth="1"/>
    <col min="6413" max="6413" width="3.85546875" style="269" customWidth="1"/>
    <col min="6414" max="6414" width="3.28515625" style="269" customWidth="1"/>
    <col min="6415" max="6420" width="3.85546875" style="269" customWidth="1"/>
    <col min="6421" max="6422" width="3.28515625" style="269" customWidth="1"/>
    <col min="6423" max="6423" width="8" style="269" customWidth="1"/>
    <col min="6424" max="6424" width="7.5703125" style="269" customWidth="1"/>
    <col min="6425" max="6425" width="7.140625" style="269" customWidth="1"/>
    <col min="6426" max="6426" width="9.28515625" style="269" bestFit="1" customWidth="1"/>
    <col min="6427" max="6427" width="9.42578125" style="269" bestFit="1" customWidth="1"/>
    <col min="6428" max="6644" width="8.85546875" style="269"/>
    <col min="6645" max="6645" width="4.28515625" style="269" customWidth="1"/>
    <col min="6646" max="6646" width="9.140625" style="269" customWidth="1"/>
    <col min="6647" max="6647" width="16.7109375" style="269" customWidth="1"/>
    <col min="6648" max="6649" width="3.28515625" style="269" customWidth="1"/>
    <col min="6650" max="6655" width="3.85546875" style="269" customWidth="1"/>
    <col min="6656" max="6656" width="4.28515625" style="269" customWidth="1"/>
    <col min="6657" max="6660" width="4.140625" style="269" customWidth="1"/>
    <col min="6661" max="6662" width="3.85546875" style="269" customWidth="1"/>
    <col min="6663" max="6664" width="3.28515625" style="269" customWidth="1"/>
    <col min="6665" max="6667" width="3.85546875" style="269" customWidth="1"/>
    <col min="6668" max="6668" width="4" style="269" customWidth="1"/>
    <col min="6669" max="6669" width="3.85546875" style="269" customWidth="1"/>
    <col min="6670" max="6670" width="3.28515625" style="269" customWidth="1"/>
    <col min="6671" max="6676" width="3.85546875" style="269" customWidth="1"/>
    <col min="6677" max="6678" width="3.28515625" style="269" customWidth="1"/>
    <col min="6679" max="6679" width="8" style="269" customWidth="1"/>
    <col min="6680" max="6680" width="7.5703125" style="269" customWidth="1"/>
    <col min="6681" max="6681" width="7.140625" style="269" customWidth="1"/>
    <col min="6682" max="6682" width="9.28515625" style="269" bestFit="1" customWidth="1"/>
    <col min="6683" max="6683" width="9.42578125" style="269" bestFit="1" customWidth="1"/>
    <col min="6684" max="6900" width="8.85546875" style="269"/>
    <col min="6901" max="6901" width="4.28515625" style="269" customWidth="1"/>
    <col min="6902" max="6902" width="9.140625" style="269" customWidth="1"/>
    <col min="6903" max="6903" width="16.7109375" style="269" customWidth="1"/>
    <col min="6904" max="6905" width="3.28515625" style="269" customWidth="1"/>
    <col min="6906" max="6911" width="3.85546875" style="269" customWidth="1"/>
    <col min="6912" max="6912" width="4.28515625" style="269" customWidth="1"/>
    <col min="6913" max="6916" width="4.140625" style="269" customWidth="1"/>
    <col min="6917" max="6918" width="3.85546875" style="269" customWidth="1"/>
    <col min="6919" max="6920" width="3.28515625" style="269" customWidth="1"/>
    <col min="6921" max="6923" width="3.85546875" style="269" customWidth="1"/>
    <col min="6924" max="6924" width="4" style="269" customWidth="1"/>
    <col min="6925" max="6925" width="3.85546875" style="269" customWidth="1"/>
    <col min="6926" max="6926" width="3.28515625" style="269" customWidth="1"/>
    <col min="6927" max="6932" width="3.85546875" style="269" customWidth="1"/>
    <col min="6933" max="6934" width="3.28515625" style="269" customWidth="1"/>
    <col min="6935" max="6935" width="8" style="269" customWidth="1"/>
    <col min="6936" max="6936" width="7.5703125" style="269" customWidth="1"/>
    <col min="6937" max="6937" width="7.140625" style="269" customWidth="1"/>
    <col min="6938" max="6938" width="9.28515625" style="269" bestFit="1" customWidth="1"/>
    <col min="6939" max="6939" width="9.42578125" style="269" bestFit="1" customWidth="1"/>
    <col min="6940" max="7156" width="8.85546875" style="269"/>
    <col min="7157" max="7157" width="4.28515625" style="269" customWidth="1"/>
    <col min="7158" max="7158" width="9.140625" style="269" customWidth="1"/>
    <col min="7159" max="7159" width="16.7109375" style="269" customWidth="1"/>
    <col min="7160" max="7161" width="3.28515625" style="269" customWidth="1"/>
    <col min="7162" max="7167" width="3.85546875" style="269" customWidth="1"/>
    <col min="7168" max="7168" width="4.28515625" style="269" customWidth="1"/>
    <col min="7169" max="7172" width="4.140625" style="269" customWidth="1"/>
    <col min="7173" max="7174" width="3.85546875" style="269" customWidth="1"/>
    <col min="7175" max="7176" width="3.28515625" style="269" customWidth="1"/>
    <col min="7177" max="7179" width="3.85546875" style="269" customWidth="1"/>
    <col min="7180" max="7180" width="4" style="269" customWidth="1"/>
    <col min="7181" max="7181" width="3.85546875" style="269" customWidth="1"/>
    <col min="7182" max="7182" width="3.28515625" style="269" customWidth="1"/>
    <col min="7183" max="7188" width="3.85546875" style="269" customWidth="1"/>
    <col min="7189" max="7190" width="3.28515625" style="269" customWidth="1"/>
    <col min="7191" max="7191" width="8" style="269" customWidth="1"/>
    <col min="7192" max="7192" width="7.5703125" style="269" customWidth="1"/>
    <col min="7193" max="7193" width="7.140625" style="269" customWidth="1"/>
    <col min="7194" max="7194" width="9.28515625" style="269" bestFit="1" customWidth="1"/>
    <col min="7195" max="7195" width="9.42578125" style="269" bestFit="1" customWidth="1"/>
    <col min="7196" max="7412" width="8.85546875" style="269"/>
    <col min="7413" max="7413" width="4.28515625" style="269" customWidth="1"/>
    <col min="7414" max="7414" width="9.140625" style="269" customWidth="1"/>
    <col min="7415" max="7415" width="16.7109375" style="269" customWidth="1"/>
    <col min="7416" max="7417" width="3.28515625" style="269" customWidth="1"/>
    <col min="7418" max="7423" width="3.85546875" style="269" customWidth="1"/>
    <col min="7424" max="7424" width="4.28515625" style="269" customWidth="1"/>
    <col min="7425" max="7428" width="4.140625" style="269" customWidth="1"/>
    <col min="7429" max="7430" width="3.85546875" style="269" customWidth="1"/>
    <col min="7431" max="7432" width="3.28515625" style="269" customWidth="1"/>
    <col min="7433" max="7435" width="3.85546875" style="269" customWidth="1"/>
    <col min="7436" max="7436" width="4" style="269" customWidth="1"/>
    <col min="7437" max="7437" width="3.85546875" style="269" customWidth="1"/>
    <col min="7438" max="7438" width="3.28515625" style="269" customWidth="1"/>
    <col min="7439" max="7444" width="3.85546875" style="269" customWidth="1"/>
    <col min="7445" max="7446" width="3.28515625" style="269" customWidth="1"/>
    <col min="7447" max="7447" width="8" style="269" customWidth="1"/>
    <col min="7448" max="7448" width="7.5703125" style="269" customWidth="1"/>
    <col min="7449" max="7449" width="7.140625" style="269" customWidth="1"/>
    <col min="7450" max="7450" width="9.28515625" style="269" bestFit="1" customWidth="1"/>
    <col min="7451" max="7451" width="9.42578125" style="269" bestFit="1" customWidth="1"/>
    <col min="7452" max="7668" width="8.85546875" style="269"/>
    <col min="7669" max="7669" width="4.28515625" style="269" customWidth="1"/>
    <col min="7670" max="7670" width="9.140625" style="269" customWidth="1"/>
    <col min="7671" max="7671" width="16.7109375" style="269" customWidth="1"/>
    <col min="7672" max="7673" width="3.28515625" style="269" customWidth="1"/>
    <col min="7674" max="7679" width="3.85546875" style="269" customWidth="1"/>
    <col min="7680" max="7680" width="4.28515625" style="269" customWidth="1"/>
    <col min="7681" max="7684" width="4.140625" style="269" customWidth="1"/>
    <col min="7685" max="7686" width="3.85546875" style="269" customWidth="1"/>
    <col min="7687" max="7688" width="3.28515625" style="269" customWidth="1"/>
    <col min="7689" max="7691" width="3.85546875" style="269" customWidth="1"/>
    <col min="7692" max="7692" width="4" style="269" customWidth="1"/>
    <col min="7693" max="7693" width="3.85546875" style="269" customWidth="1"/>
    <col min="7694" max="7694" width="3.28515625" style="269" customWidth="1"/>
    <col min="7695" max="7700" width="3.85546875" style="269" customWidth="1"/>
    <col min="7701" max="7702" width="3.28515625" style="269" customWidth="1"/>
    <col min="7703" max="7703" width="8" style="269" customWidth="1"/>
    <col min="7704" max="7704" width="7.5703125" style="269" customWidth="1"/>
    <col min="7705" max="7705" width="7.140625" style="269" customWidth="1"/>
    <col min="7706" max="7706" width="9.28515625" style="269" bestFit="1" customWidth="1"/>
    <col min="7707" max="7707" width="9.42578125" style="269" bestFit="1" customWidth="1"/>
    <col min="7708" max="7924" width="8.85546875" style="269"/>
    <col min="7925" max="7925" width="4.28515625" style="269" customWidth="1"/>
    <col min="7926" max="7926" width="9.140625" style="269" customWidth="1"/>
    <col min="7927" max="7927" width="16.7109375" style="269" customWidth="1"/>
    <col min="7928" max="7929" width="3.28515625" style="269" customWidth="1"/>
    <col min="7930" max="7935" width="3.85546875" style="269" customWidth="1"/>
    <col min="7936" max="7936" width="4.28515625" style="269" customWidth="1"/>
    <col min="7937" max="7940" width="4.140625" style="269" customWidth="1"/>
    <col min="7941" max="7942" width="3.85546875" style="269" customWidth="1"/>
    <col min="7943" max="7944" width="3.28515625" style="269" customWidth="1"/>
    <col min="7945" max="7947" width="3.85546875" style="269" customWidth="1"/>
    <col min="7948" max="7948" width="4" style="269" customWidth="1"/>
    <col min="7949" max="7949" width="3.85546875" style="269" customWidth="1"/>
    <col min="7950" max="7950" width="3.28515625" style="269" customWidth="1"/>
    <col min="7951" max="7956" width="3.85546875" style="269" customWidth="1"/>
    <col min="7957" max="7958" width="3.28515625" style="269" customWidth="1"/>
    <col min="7959" max="7959" width="8" style="269" customWidth="1"/>
    <col min="7960" max="7960" width="7.5703125" style="269" customWidth="1"/>
    <col min="7961" max="7961" width="7.140625" style="269" customWidth="1"/>
    <col min="7962" max="7962" width="9.28515625" style="269" bestFit="1" customWidth="1"/>
    <col min="7963" max="7963" width="9.42578125" style="269" bestFit="1" customWidth="1"/>
    <col min="7964" max="8180" width="8.85546875" style="269"/>
    <col min="8181" max="8181" width="4.28515625" style="269" customWidth="1"/>
    <col min="8182" max="8182" width="9.140625" style="269" customWidth="1"/>
    <col min="8183" max="8183" width="16.7109375" style="269" customWidth="1"/>
    <col min="8184" max="8185" width="3.28515625" style="269" customWidth="1"/>
    <col min="8186" max="8191" width="3.85546875" style="269" customWidth="1"/>
    <col min="8192" max="8192" width="4.28515625" style="269" customWidth="1"/>
    <col min="8193" max="8196" width="4.140625" style="269" customWidth="1"/>
    <col min="8197" max="8198" width="3.85546875" style="269" customWidth="1"/>
    <col min="8199" max="8200" width="3.28515625" style="269" customWidth="1"/>
    <col min="8201" max="8203" width="3.85546875" style="269" customWidth="1"/>
    <col min="8204" max="8204" width="4" style="269" customWidth="1"/>
    <col min="8205" max="8205" width="3.85546875" style="269" customWidth="1"/>
    <col min="8206" max="8206" width="3.28515625" style="269" customWidth="1"/>
    <col min="8207" max="8212" width="3.85546875" style="269" customWidth="1"/>
    <col min="8213" max="8214" width="3.28515625" style="269" customWidth="1"/>
    <col min="8215" max="8215" width="8" style="269" customWidth="1"/>
    <col min="8216" max="8216" width="7.5703125" style="269" customWidth="1"/>
    <col min="8217" max="8217" width="7.140625" style="269" customWidth="1"/>
    <col min="8218" max="8218" width="9.28515625" style="269" bestFit="1" customWidth="1"/>
    <col min="8219" max="8219" width="9.42578125" style="269" bestFit="1" customWidth="1"/>
    <col min="8220" max="8436" width="8.85546875" style="269"/>
    <col min="8437" max="8437" width="4.28515625" style="269" customWidth="1"/>
    <col min="8438" max="8438" width="9.140625" style="269" customWidth="1"/>
    <col min="8439" max="8439" width="16.7109375" style="269" customWidth="1"/>
    <col min="8440" max="8441" width="3.28515625" style="269" customWidth="1"/>
    <col min="8442" max="8447" width="3.85546875" style="269" customWidth="1"/>
    <col min="8448" max="8448" width="4.28515625" style="269" customWidth="1"/>
    <col min="8449" max="8452" width="4.140625" style="269" customWidth="1"/>
    <col min="8453" max="8454" width="3.85546875" style="269" customWidth="1"/>
    <col min="8455" max="8456" width="3.28515625" style="269" customWidth="1"/>
    <col min="8457" max="8459" width="3.85546875" style="269" customWidth="1"/>
    <col min="8460" max="8460" width="4" style="269" customWidth="1"/>
    <col min="8461" max="8461" width="3.85546875" style="269" customWidth="1"/>
    <col min="8462" max="8462" width="3.28515625" style="269" customWidth="1"/>
    <col min="8463" max="8468" width="3.85546875" style="269" customWidth="1"/>
    <col min="8469" max="8470" width="3.28515625" style="269" customWidth="1"/>
    <col min="8471" max="8471" width="8" style="269" customWidth="1"/>
    <col min="8472" max="8472" width="7.5703125" style="269" customWidth="1"/>
    <col min="8473" max="8473" width="7.140625" style="269" customWidth="1"/>
    <col min="8474" max="8474" width="9.28515625" style="269" bestFit="1" customWidth="1"/>
    <col min="8475" max="8475" width="9.42578125" style="269" bestFit="1" customWidth="1"/>
    <col min="8476" max="8692" width="8.85546875" style="269"/>
    <col min="8693" max="8693" width="4.28515625" style="269" customWidth="1"/>
    <col min="8694" max="8694" width="9.140625" style="269" customWidth="1"/>
    <col min="8695" max="8695" width="16.7109375" style="269" customWidth="1"/>
    <col min="8696" max="8697" width="3.28515625" style="269" customWidth="1"/>
    <col min="8698" max="8703" width="3.85546875" style="269" customWidth="1"/>
    <col min="8704" max="8704" width="4.28515625" style="269" customWidth="1"/>
    <col min="8705" max="8708" width="4.140625" style="269" customWidth="1"/>
    <col min="8709" max="8710" width="3.85546875" style="269" customWidth="1"/>
    <col min="8711" max="8712" width="3.28515625" style="269" customWidth="1"/>
    <col min="8713" max="8715" width="3.85546875" style="269" customWidth="1"/>
    <col min="8716" max="8716" width="4" style="269" customWidth="1"/>
    <col min="8717" max="8717" width="3.85546875" style="269" customWidth="1"/>
    <col min="8718" max="8718" width="3.28515625" style="269" customWidth="1"/>
    <col min="8719" max="8724" width="3.85546875" style="269" customWidth="1"/>
    <col min="8725" max="8726" width="3.28515625" style="269" customWidth="1"/>
    <col min="8727" max="8727" width="8" style="269" customWidth="1"/>
    <col min="8728" max="8728" width="7.5703125" style="269" customWidth="1"/>
    <col min="8729" max="8729" width="7.140625" style="269" customWidth="1"/>
    <col min="8730" max="8730" width="9.28515625" style="269" bestFit="1" customWidth="1"/>
    <col min="8731" max="8731" width="9.42578125" style="269" bestFit="1" customWidth="1"/>
    <col min="8732" max="8948" width="8.85546875" style="269"/>
    <col min="8949" max="8949" width="4.28515625" style="269" customWidth="1"/>
    <col min="8950" max="8950" width="9.140625" style="269" customWidth="1"/>
    <col min="8951" max="8951" width="16.7109375" style="269" customWidth="1"/>
    <col min="8952" max="8953" width="3.28515625" style="269" customWidth="1"/>
    <col min="8954" max="8959" width="3.85546875" style="269" customWidth="1"/>
    <col min="8960" max="8960" width="4.28515625" style="269" customWidth="1"/>
    <col min="8961" max="8964" width="4.140625" style="269" customWidth="1"/>
    <col min="8965" max="8966" width="3.85546875" style="269" customWidth="1"/>
    <col min="8967" max="8968" width="3.28515625" style="269" customWidth="1"/>
    <col min="8969" max="8971" width="3.85546875" style="269" customWidth="1"/>
    <col min="8972" max="8972" width="4" style="269" customWidth="1"/>
    <col min="8973" max="8973" width="3.85546875" style="269" customWidth="1"/>
    <col min="8974" max="8974" width="3.28515625" style="269" customWidth="1"/>
    <col min="8975" max="8980" width="3.85546875" style="269" customWidth="1"/>
    <col min="8981" max="8982" width="3.28515625" style="269" customWidth="1"/>
    <col min="8983" max="8983" width="8" style="269" customWidth="1"/>
    <col min="8984" max="8984" width="7.5703125" style="269" customWidth="1"/>
    <col min="8985" max="8985" width="7.140625" style="269" customWidth="1"/>
    <col min="8986" max="8986" width="9.28515625" style="269" bestFit="1" customWidth="1"/>
    <col min="8987" max="8987" width="9.42578125" style="269" bestFit="1" customWidth="1"/>
    <col min="8988" max="9204" width="8.85546875" style="269"/>
    <col min="9205" max="9205" width="4.28515625" style="269" customWidth="1"/>
    <col min="9206" max="9206" width="9.140625" style="269" customWidth="1"/>
    <col min="9207" max="9207" width="16.7109375" style="269" customWidth="1"/>
    <col min="9208" max="9209" width="3.28515625" style="269" customWidth="1"/>
    <col min="9210" max="9215" width="3.85546875" style="269" customWidth="1"/>
    <col min="9216" max="9216" width="4.28515625" style="269" customWidth="1"/>
    <col min="9217" max="9220" width="4.140625" style="269" customWidth="1"/>
    <col min="9221" max="9222" width="3.85546875" style="269" customWidth="1"/>
    <col min="9223" max="9224" width="3.28515625" style="269" customWidth="1"/>
    <col min="9225" max="9227" width="3.85546875" style="269" customWidth="1"/>
    <col min="9228" max="9228" width="4" style="269" customWidth="1"/>
    <col min="9229" max="9229" width="3.85546875" style="269" customWidth="1"/>
    <col min="9230" max="9230" width="3.28515625" style="269" customWidth="1"/>
    <col min="9231" max="9236" width="3.85546875" style="269" customWidth="1"/>
    <col min="9237" max="9238" width="3.28515625" style="269" customWidth="1"/>
    <col min="9239" max="9239" width="8" style="269" customWidth="1"/>
    <col min="9240" max="9240" width="7.5703125" style="269" customWidth="1"/>
    <col min="9241" max="9241" width="7.140625" style="269" customWidth="1"/>
    <col min="9242" max="9242" width="9.28515625" style="269" bestFit="1" customWidth="1"/>
    <col min="9243" max="9243" width="9.42578125" style="269" bestFit="1" customWidth="1"/>
    <col min="9244" max="9460" width="8.85546875" style="269"/>
    <col min="9461" max="9461" width="4.28515625" style="269" customWidth="1"/>
    <col min="9462" max="9462" width="9.140625" style="269" customWidth="1"/>
    <col min="9463" max="9463" width="16.7109375" style="269" customWidth="1"/>
    <col min="9464" max="9465" width="3.28515625" style="269" customWidth="1"/>
    <col min="9466" max="9471" width="3.85546875" style="269" customWidth="1"/>
    <col min="9472" max="9472" width="4.28515625" style="269" customWidth="1"/>
    <col min="9473" max="9476" width="4.140625" style="269" customWidth="1"/>
    <col min="9477" max="9478" width="3.85546875" style="269" customWidth="1"/>
    <col min="9479" max="9480" width="3.28515625" style="269" customWidth="1"/>
    <col min="9481" max="9483" width="3.85546875" style="269" customWidth="1"/>
    <col min="9484" max="9484" width="4" style="269" customWidth="1"/>
    <col min="9485" max="9485" width="3.85546875" style="269" customWidth="1"/>
    <col min="9486" max="9486" width="3.28515625" style="269" customWidth="1"/>
    <col min="9487" max="9492" width="3.85546875" style="269" customWidth="1"/>
    <col min="9493" max="9494" width="3.28515625" style="269" customWidth="1"/>
    <col min="9495" max="9495" width="8" style="269" customWidth="1"/>
    <col min="9496" max="9496" width="7.5703125" style="269" customWidth="1"/>
    <col min="9497" max="9497" width="7.140625" style="269" customWidth="1"/>
    <col min="9498" max="9498" width="9.28515625" style="269" bestFit="1" customWidth="1"/>
    <col min="9499" max="9499" width="9.42578125" style="269" bestFit="1" customWidth="1"/>
    <col min="9500" max="9716" width="8.85546875" style="269"/>
    <col min="9717" max="9717" width="4.28515625" style="269" customWidth="1"/>
    <col min="9718" max="9718" width="9.140625" style="269" customWidth="1"/>
    <col min="9719" max="9719" width="16.7109375" style="269" customWidth="1"/>
    <col min="9720" max="9721" width="3.28515625" style="269" customWidth="1"/>
    <col min="9722" max="9727" width="3.85546875" style="269" customWidth="1"/>
    <col min="9728" max="9728" width="4.28515625" style="269" customWidth="1"/>
    <col min="9729" max="9732" width="4.140625" style="269" customWidth="1"/>
    <col min="9733" max="9734" width="3.85546875" style="269" customWidth="1"/>
    <col min="9735" max="9736" width="3.28515625" style="269" customWidth="1"/>
    <col min="9737" max="9739" width="3.85546875" style="269" customWidth="1"/>
    <col min="9740" max="9740" width="4" style="269" customWidth="1"/>
    <col min="9741" max="9741" width="3.85546875" style="269" customWidth="1"/>
    <col min="9742" max="9742" width="3.28515625" style="269" customWidth="1"/>
    <col min="9743" max="9748" width="3.85546875" style="269" customWidth="1"/>
    <col min="9749" max="9750" width="3.28515625" style="269" customWidth="1"/>
    <col min="9751" max="9751" width="8" style="269" customWidth="1"/>
    <col min="9752" max="9752" width="7.5703125" style="269" customWidth="1"/>
    <col min="9753" max="9753" width="7.140625" style="269" customWidth="1"/>
    <col min="9754" max="9754" width="9.28515625" style="269" bestFit="1" customWidth="1"/>
    <col min="9755" max="9755" width="9.42578125" style="269" bestFit="1" customWidth="1"/>
    <col min="9756" max="9972" width="8.85546875" style="269"/>
    <col min="9973" max="9973" width="4.28515625" style="269" customWidth="1"/>
    <col min="9974" max="9974" width="9.140625" style="269" customWidth="1"/>
    <col min="9975" max="9975" width="16.7109375" style="269" customWidth="1"/>
    <col min="9976" max="9977" width="3.28515625" style="269" customWidth="1"/>
    <col min="9978" max="9983" width="3.85546875" style="269" customWidth="1"/>
    <col min="9984" max="9984" width="4.28515625" style="269" customWidth="1"/>
    <col min="9985" max="9988" width="4.140625" style="269" customWidth="1"/>
    <col min="9989" max="9990" width="3.85546875" style="269" customWidth="1"/>
    <col min="9991" max="9992" width="3.28515625" style="269" customWidth="1"/>
    <col min="9993" max="9995" width="3.85546875" style="269" customWidth="1"/>
    <col min="9996" max="9996" width="4" style="269" customWidth="1"/>
    <col min="9997" max="9997" width="3.85546875" style="269" customWidth="1"/>
    <col min="9998" max="9998" width="3.28515625" style="269" customWidth="1"/>
    <col min="9999" max="10004" width="3.85546875" style="269" customWidth="1"/>
    <col min="10005" max="10006" width="3.28515625" style="269" customWidth="1"/>
    <col min="10007" max="10007" width="8" style="269" customWidth="1"/>
    <col min="10008" max="10008" width="7.5703125" style="269" customWidth="1"/>
    <col min="10009" max="10009" width="7.140625" style="269" customWidth="1"/>
    <col min="10010" max="10010" width="9.28515625" style="269" bestFit="1" customWidth="1"/>
    <col min="10011" max="10011" width="9.42578125" style="269" bestFit="1" customWidth="1"/>
    <col min="10012" max="10228" width="8.85546875" style="269"/>
    <col min="10229" max="10229" width="4.28515625" style="269" customWidth="1"/>
    <col min="10230" max="10230" width="9.140625" style="269" customWidth="1"/>
    <col min="10231" max="10231" width="16.7109375" style="269" customWidth="1"/>
    <col min="10232" max="10233" width="3.28515625" style="269" customWidth="1"/>
    <col min="10234" max="10239" width="3.85546875" style="269" customWidth="1"/>
    <col min="10240" max="10240" width="4.28515625" style="269" customWidth="1"/>
    <col min="10241" max="10244" width="4.140625" style="269" customWidth="1"/>
    <col min="10245" max="10246" width="3.85546875" style="269" customWidth="1"/>
    <col min="10247" max="10248" width="3.28515625" style="269" customWidth="1"/>
    <col min="10249" max="10251" width="3.85546875" style="269" customWidth="1"/>
    <col min="10252" max="10252" width="4" style="269" customWidth="1"/>
    <col min="10253" max="10253" width="3.85546875" style="269" customWidth="1"/>
    <col min="10254" max="10254" width="3.28515625" style="269" customWidth="1"/>
    <col min="10255" max="10260" width="3.85546875" style="269" customWidth="1"/>
    <col min="10261" max="10262" width="3.28515625" style="269" customWidth="1"/>
    <col min="10263" max="10263" width="8" style="269" customWidth="1"/>
    <col min="10264" max="10264" width="7.5703125" style="269" customWidth="1"/>
    <col min="10265" max="10265" width="7.140625" style="269" customWidth="1"/>
    <col min="10266" max="10266" width="9.28515625" style="269" bestFit="1" customWidth="1"/>
    <col min="10267" max="10267" width="9.42578125" style="269" bestFit="1" customWidth="1"/>
    <col min="10268" max="10484" width="8.85546875" style="269"/>
    <col min="10485" max="10485" width="4.28515625" style="269" customWidth="1"/>
    <col min="10486" max="10486" width="9.140625" style="269" customWidth="1"/>
    <col min="10487" max="10487" width="16.7109375" style="269" customWidth="1"/>
    <col min="10488" max="10489" width="3.28515625" style="269" customWidth="1"/>
    <col min="10490" max="10495" width="3.85546875" style="269" customWidth="1"/>
    <col min="10496" max="10496" width="4.28515625" style="269" customWidth="1"/>
    <col min="10497" max="10500" width="4.140625" style="269" customWidth="1"/>
    <col min="10501" max="10502" width="3.85546875" style="269" customWidth="1"/>
    <col min="10503" max="10504" width="3.28515625" style="269" customWidth="1"/>
    <col min="10505" max="10507" width="3.85546875" style="269" customWidth="1"/>
    <col min="10508" max="10508" width="4" style="269" customWidth="1"/>
    <col min="10509" max="10509" width="3.85546875" style="269" customWidth="1"/>
    <col min="10510" max="10510" width="3.28515625" style="269" customWidth="1"/>
    <col min="10511" max="10516" width="3.85546875" style="269" customWidth="1"/>
    <col min="10517" max="10518" width="3.28515625" style="269" customWidth="1"/>
    <col min="10519" max="10519" width="8" style="269" customWidth="1"/>
    <col min="10520" max="10520" width="7.5703125" style="269" customWidth="1"/>
    <col min="10521" max="10521" width="7.140625" style="269" customWidth="1"/>
    <col min="10522" max="10522" width="9.28515625" style="269" bestFit="1" customWidth="1"/>
    <col min="10523" max="10523" width="9.42578125" style="269" bestFit="1" customWidth="1"/>
    <col min="10524" max="10740" width="8.85546875" style="269"/>
    <col min="10741" max="10741" width="4.28515625" style="269" customWidth="1"/>
    <col min="10742" max="10742" width="9.140625" style="269" customWidth="1"/>
    <col min="10743" max="10743" width="16.7109375" style="269" customWidth="1"/>
    <col min="10744" max="10745" width="3.28515625" style="269" customWidth="1"/>
    <col min="10746" max="10751" width="3.85546875" style="269" customWidth="1"/>
    <col min="10752" max="10752" width="4.28515625" style="269" customWidth="1"/>
    <col min="10753" max="10756" width="4.140625" style="269" customWidth="1"/>
    <col min="10757" max="10758" width="3.85546875" style="269" customWidth="1"/>
    <col min="10759" max="10760" width="3.28515625" style="269" customWidth="1"/>
    <col min="10761" max="10763" width="3.85546875" style="269" customWidth="1"/>
    <col min="10764" max="10764" width="4" style="269" customWidth="1"/>
    <col min="10765" max="10765" width="3.85546875" style="269" customWidth="1"/>
    <col min="10766" max="10766" width="3.28515625" style="269" customWidth="1"/>
    <col min="10767" max="10772" width="3.85546875" style="269" customWidth="1"/>
    <col min="10773" max="10774" width="3.28515625" style="269" customWidth="1"/>
    <col min="10775" max="10775" width="8" style="269" customWidth="1"/>
    <col min="10776" max="10776" width="7.5703125" style="269" customWidth="1"/>
    <col min="10777" max="10777" width="7.140625" style="269" customWidth="1"/>
    <col min="10778" max="10778" width="9.28515625" style="269" bestFit="1" customWidth="1"/>
    <col min="10779" max="10779" width="9.42578125" style="269" bestFit="1" customWidth="1"/>
    <col min="10780" max="10996" width="8.85546875" style="269"/>
    <col min="10997" max="10997" width="4.28515625" style="269" customWidth="1"/>
    <col min="10998" max="10998" width="9.140625" style="269" customWidth="1"/>
    <col min="10999" max="10999" width="16.7109375" style="269" customWidth="1"/>
    <col min="11000" max="11001" width="3.28515625" style="269" customWidth="1"/>
    <col min="11002" max="11007" width="3.85546875" style="269" customWidth="1"/>
    <col min="11008" max="11008" width="4.28515625" style="269" customWidth="1"/>
    <col min="11009" max="11012" width="4.140625" style="269" customWidth="1"/>
    <col min="11013" max="11014" width="3.85546875" style="269" customWidth="1"/>
    <col min="11015" max="11016" width="3.28515625" style="269" customWidth="1"/>
    <col min="11017" max="11019" width="3.85546875" style="269" customWidth="1"/>
    <col min="11020" max="11020" width="4" style="269" customWidth="1"/>
    <col min="11021" max="11021" width="3.85546875" style="269" customWidth="1"/>
    <col min="11022" max="11022" width="3.28515625" style="269" customWidth="1"/>
    <col min="11023" max="11028" width="3.85546875" style="269" customWidth="1"/>
    <col min="11029" max="11030" width="3.28515625" style="269" customWidth="1"/>
    <col min="11031" max="11031" width="8" style="269" customWidth="1"/>
    <col min="11032" max="11032" width="7.5703125" style="269" customWidth="1"/>
    <col min="11033" max="11033" width="7.140625" style="269" customWidth="1"/>
    <col min="11034" max="11034" width="9.28515625" style="269" bestFit="1" customWidth="1"/>
    <col min="11035" max="11035" width="9.42578125" style="269" bestFit="1" customWidth="1"/>
    <col min="11036" max="11252" width="8.85546875" style="269"/>
    <col min="11253" max="11253" width="4.28515625" style="269" customWidth="1"/>
    <col min="11254" max="11254" width="9.140625" style="269" customWidth="1"/>
    <col min="11255" max="11255" width="16.7109375" style="269" customWidth="1"/>
    <col min="11256" max="11257" width="3.28515625" style="269" customWidth="1"/>
    <col min="11258" max="11263" width="3.85546875" style="269" customWidth="1"/>
    <col min="11264" max="11264" width="4.28515625" style="269" customWidth="1"/>
    <col min="11265" max="11268" width="4.140625" style="269" customWidth="1"/>
    <col min="11269" max="11270" width="3.85546875" style="269" customWidth="1"/>
    <col min="11271" max="11272" width="3.28515625" style="269" customWidth="1"/>
    <col min="11273" max="11275" width="3.85546875" style="269" customWidth="1"/>
    <col min="11276" max="11276" width="4" style="269" customWidth="1"/>
    <col min="11277" max="11277" width="3.85546875" style="269" customWidth="1"/>
    <col min="11278" max="11278" width="3.28515625" style="269" customWidth="1"/>
    <col min="11279" max="11284" width="3.85546875" style="269" customWidth="1"/>
    <col min="11285" max="11286" width="3.28515625" style="269" customWidth="1"/>
    <col min="11287" max="11287" width="8" style="269" customWidth="1"/>
    <col min="11288" max="11288" width="7.5703125" style="269" customWidth="1"/>
    <col min="11289" max="11289" width="7.140625" style="269" customWidth="1"/>
    <col min="11290" max="11290" width="9.28515625" style="269" bestFit="1" customWidth="1"/>
    <col min="11291" max="11291" width="9.42578125" style="269" bestFit="1" customWidth="1"/>
    <col min="11292" max="11508" width="8.85546875" style="269"/>
    <col min="11509" max="11509" width="4.28515625" style="269" customWidth="1"/>
    <col min="11510" max="11510" width="9.140625" style="269" customWidth="1"/>
    <col min="11511" max="11511" width="16.7109375" style="269" customWidth="1"/>
    <col min="11512" max="11513" width="3.28515625" style="269" customWidth="1"/>
    <col min="11514" max="11519" width="3.85546875" style="269" customWidth="1"/>
    <col min="11520" max="11520" width="4.28515625" style="269" customWidth="1"/>
    <col min="11521" max="11524" width="4.140625" style="269" customWidth="1"/>
    <col min="11525" max="11526" width="3.85546875" style="269" customWidth="1"/>
    <col min="11527" max="11528" width="3.28515625" style="269" customWidth="1"/>
    <col min="11529" max="11531" width="3.85546875" style="269" customWidth="1"/>
    <col min="11532" max="11532" width="4" style="269" customWidth="1"/>
    <col min="11533" max="11533" width="3.85546875" style="269" customWidth="1"/>
    <col min="11534" max="11534" width="3.28515625" style="269" customWidth="1"/>
    <col min="11535" max="11540" width="3.85546875" style="269" customWidth="1"/>
    <col min="11541" max="11542" width="3.28515625" style="269" customWidth="1"/>
    <col min="11543" max="11543" width="8" style="269" customWidth="1"/>
    <col min="11544" max="11544" width="7.5703125" style="269" customWidth="1"/>
    <col min="11545" max="11545" width="7.140625" style="269" customWidth="1"/>
    <col min="11546" max="11546" width="9.28515625" style="269" bestFit="1" customWidth="1"/>
    <col min="11547" max="11547" width="9.42578125" style="269" bestFit="1" customWidth="1"/>
    <col min="11548" max="11764" width="8.85546875" style="269"/>
    <col min="11765" max="11765" width="4.28515625" style="269" customWidth="1"/>
    <col min="11766" max="11766" width="9.140625" style="269" customWidth="1"/>
    <col min="11767" max="11767" width="16.7109375" style="269" customWidth="1"/>
    <col min="11768" max="11769" width="3.28515625" style="269" customWidth="1"/>
    <col min="11770" max="11775" width="3.85546875" style="269" customWidth="1"/>
    <col min="11776" max="11776" width="4.28515625" style="269" customWidth="1"/>
    <col min="11777" max="11780" width="4.140625" style="269" customWidth="1"/>
    <col min="11781" max="11782" width="3.85546875" style="269" customWidth="1"/>
    <col min="11783" max="11784" width="3.28515625" style="269" customWidth="1"/>
    <col min="11785" max="11787" width="3.85546875" style="269" customWidth="1"/>
    <col min="11788" max="11788" width="4" style="269" customWidth="1"/>
    <col min="11789" max="11789" width="3.85546875" style="269" customWidth="1"/>
    <col min="11790" max="11790" width="3.28515625" style="269" customWidth="1"/>
    <col min="11791" max="11796" width="3.85546875" style="269" customWidth="1"/>
    <col min="11797" max="11798" width="3.28515625" style="269" customWidth="1"/>
    <col min="11799" max="11799" width="8" style="269" customWidth="1"/>
    <col min="11800" max="11800" width="7.5703125" style="269" customWidth="1"/>
    <col min="11801" max="11801" width="7.140625" style="269" customWidth="1"/>
    <col min="11802" max="11802" width="9.28515625" style="269" bestFit="1" customWidth="1"/>
    <col min="11803" max="11803" width="9.42578125" style="269" bestFit="1" customWidth="1"/>
    <col min="11804" max="12020" width="8.85546875" style="269"/>
    <col min="12021" max="12021" width="4.28515625" style="269" customWidth="1"/>
    <col min="12022" max="12022" width="9.140625" style="269" customWidth="1"/>
    <col min="12023" max="12023" width="16.7109375" style="269" customWidth="1"/>
    <col min="12024" max="12025" width="3.28515625" style="269" customWidth="1"/>
    <col min="12026" max="12031" width="3.85546875" style="269" customWidth="1"/>
    <col min="12032" max="12032" width="4.28515625" style="269" customWidth="1"/>
    <col min="12033" max="12036" width="4.140625" style="269" customWidth="1"/>
    <col min="12037" max="12038" width="3.85546875" style="269" customWidth="1"/>
    <col min="12039" max="12040" width="3.28515625" style="269" customWidth="1"/>
    <col min="12041" max="12043" width="3.85546875" style="269" customWidth="1"/>
    <col min="12044" max="12044" width="4" style="269" customWidth="1"/>
    <col min="12045" max="12045" width="3.85546875" style="269" customWidth="1"/>
    <col min="12046" max="12046" width="3.28515625" style="269" customWidth="1"/>
    <col min="12047" max="12052" width="3.85546875" style="269" customWidth="1"/>
    <col min="12053" max="12054" width="3.28515625" style="269" customWidth="1"/>
    <col min="12055" max="12055" width="8" style="269" customWidth="1"/>
    <col min="12056" max="12056" width="7.5703125" style="269" customWidth="1"/>
    <col min="12057" max="12057" width="7.140625" style="269" customWidth="1"/>
    <col min="12058" max="12058" width="9.28515625" style="269" bestFit="1" customWidth="1"/>
    <col min="12059" max="12059" width="9.42578125" style="269" bestFit="1" customWidth="1"/>
    <col min="12060" max="12276" width="8.85546875" style="269"/>
    <col min="12277" max="12277" width="4.28515625" style="269" customWidth="1"/>
    <col min="12278" max="12278" width="9.140625" style="269" customWidth="1"/>
    <col min="12279" max="12279" width="16.7109375" style="269" customWidth="1"/>
    <col min="12280" max="12281" width="3.28515625" style="269" customWidth="1"/>
    <col min="12282" max="12287" width="3.85546875" style="269" customWidth="1"/>
    <col min="12288" max="12288" width="4.28515625" style="269" customWidth="1"/>
    <col min="12289" max="12292" width="4.140625" style="269" customWidth="1"/>
    <col min="12293" max="12294" width="3.85546875" style="269" customWidth="1"/>
    <col min="12295" max="12296" width="3.28515625" style="269" customWidth="1"/>
    <col min="12297" max="12299" width="3.85546875" style="269" customWidth="1"/>
    <col min="12300" max="12300" width="4" style="269" customWidth="1"/>
    <col min="12301" max="12301" width="3.85546875" style="269" customWidth="1"/>
    <col min="12302" max="12302" width="3.28515625" style="269" customWidth="1"/>
    <col min="12303" max="12308" width="3.85546875" style="269" customWidth="1"/>
    <col min="12309" max="12310" width="3.28515625" style="269" customWidth="1"/>
    <col min="12311" max="12311" width="8" style="269" customWidth="1"/>
    <col min="12312" max="12312" width="7.5703125" style="269" customWidth="1"/>
    <col min="12313" max="12313" width="7.140625" style="269" customWidth="1"/>
    <col min="12314" max="12314" width="9.28515625" style="269" bestFit="1" customWidth="1"/>
    <col min="12315" max="12315" width="9.42578125" style="269" bestFit="1" customWidth="1"/>
    <col min="12316" max="12532" width="8.85546875" style="269"/>
    <col min="12533" max="12533" width="4.28515625" style="269" customWidth="1"/>
    <col min="12534" max="12534" width="9.140625" style="269" customWidth="1"/>
    <col min="12535" max="12535" width="16.7109375" style="269" customWidth="1"/>
    <col min="12536" max="12537" width="3.28515625" style="269" customWidth="1"/>
    <col min="12538" max="12543" width="3.85546875" style="269" customWidth="1"/>
    <col min="12544" max="12544" width="4.28515625" style="269" customWidth="1"/>
    <col min="12545" max="12548" width="4.140625" style="269" customWidth="1"/>
    <col min="12549" max="12550" width="3.85546875" style="269" customWidth="1"/>
    <col min="12551" max="12552" width="3.28515625" style="269" customWidth="1"/>
    <col min="12553" max="12555" width="3.85546875" style="269" customWidth="1"/>
    <col min="12556" max="12556" width="4" style="269" customWidth="1"/>
    <col min="12557" max="12557" width="3.85546875" style="269" customWidth="1"/>
    <col min="12558" max="12558" width="3.28515625" style="269" customWidth="1"/>
    <col min="12559" max="12564" width="3.85546875" style="269" customWidth="1"/>
    <col min="12565" max="12566" width="3.28515625" style="269" customWidth="1"/>
    <col min="12567" max="12567" width="8" style="269" customWidth="1"/>
    <col min="12568" max="12568" width="7.5703125" style="269" customWidth="1"/>
    <col min="12569" max="12569" width="7.140625" style="269" customWidth="1"/>
    <col min="12570" max="12570" width="9.28515625" style="269" bestFit="1" customWidth="1"/>
    <col min="12571" max="12571" width="9.42578125" style="269" bestFit="1" customWidth="1"/>
    <col min="12572" max="12788" width="8.85546875" style="269"/>
    <col min="12789" max="12789" width="4.28515625" style="269" customWidth="1"/>
    <col min="12790" max="12790" width="9.140625" style="269" customWidth="1"/>
    <col min="12791" max="12791" width="16.7109375" style="269" customWidth="1"/>
    <col min="12792" max="12793" width="3.28515625" style="269" customWidth="1"/>
    <col min="12794" max="12799" width="3.85546875" style="269" customWidth="1"/>
    <col min="12800" max="12800" width="4.28515625" style="269" customWidth="1"/>
    <col min="12801" max="12804" width="4.140625" style="269" customWidth="1"/>
    <col min="12805" max="12806" width="3.85546875" style="269" customWidth="1"/>
    <col min="12807" max="12808" width="3.28515625" style="269" customWidth="1"/>
    <col min="12809" max="12811" width="3.85546875" style="269" customWidth="1"/>
    <col min="12812" max="12812" width="4" style="269" customWidth="1"/>
    <col min="12813" max="12813" width="3.85546875" style="269" customWidth="1"/>
    <col min="12814" max="12814" width="3.28515625" style="269" customWidth="1"/>
    <col min="12815" max="12820" width="3.85546875" style="269" customWidth="1"/>
    <col min="12821" max="12822" width="3.28515625" style="269" customWidth="1"/>
    <col min="12823" max="12823" width="8" style="269" customWidth="1"/>
    <col min="12824" max="12824" width="7.5703125" style="269" customWidth="1"/>
    <col min="12825" max="12825" width="7.140625" style="269" customWidth="1"/>
    <col min="12826" max="12826" width="9.28515625" style="269" bestFit="1" customWidth="1"/>
    <col min="12827" max="12827" width="9.42578125" style="269" bestFit="1" customWidth="1"/>
    <col min="12828" max="13044" width="8.85546875" style="269"/>
    <col min="13045" max="13045" width="4.28515625" style="269" customWidth="1"/>
    <col min="13046" max="13046" width="9.140625" style="269" customWidth="1"/>
    <col min="13047" max="13047" width="16.7109375" style="269" customWidth="1"/>
    <col min="13048" max="13049" width="3.28515625" style="269" customWidth="1"/>
    <col min="13050" max="13055" width="3.85546875" style="269" customWidth="1"/>
    <col min="13056" max="13056" width="4.28515625" style="269" customWidth="1"/>
    <col min="13057" max="13060" width="4.140625" style="269" customWidth="1"/>
    <col min="13061" max="13062" width="3.85546875" style="269" customWidth="1"/>
    <col min="13063" max="13064" width="3.28515625" style="269" customWidth="1"/>
    <col min="13065" max="13067" width="3.85546875" style="269" customWidth="1"/>
    <col min="13068" max="13068" width="4" style="269" customWidth="1"/>
    <col min="13069" max="13069" width="3.85546875" style="269" customWidth="1"/>
    <col min="13070" max="13070" width="3.28515625" style="269" customWidth="1"/>
    <col min="13071" max="13076" width="3.85546875" style="269" customWidth="1"/>
    <col min="13077" max="13078" width="3.28515625" style="269" customWidth="1"/>
    <col min="13079" max="13079" width="8" style="269" customWidth="1"/>
    <col min="13080" max="13080" width="7.5703125" style="269" customWidth="1"/>
    <col min="13081" max="13081" width="7.140625" style="269" customWidth="1"/>
    <col min="13082" max="13082" width="9.28515625" style="269" bestFit="1" customWidth="1"/>
    <col min="13083" max="13083" width="9.42578125" style="269" bestFit="1" customWidth="1"/>
    <col min="13084" max="13300" width="8.85546875" style="269"/>
    <col min="13301" max="13301" width="4.28515625" style="269" customWidth="1"/>
    <col min="13302" max="13302" width="9.140625" style="269" customWidth="1"/>
    <col min="13303" max="13303" width="16.7109375" style="269" customWidth="1"/>
    <col min="13304" max="13305" width="3.28515625" style="269" customWidth="1"/>
    <col min="13306" max="13311" width="3.85546875" style="269" customWidth="1"/>
    <col min="13312" max="13312" width="4.28515625" style="269" customWidth="1"/>
    <col min="13313" max="13316" width="4.140625" style="269" customWidth="1"/>
    <col min="13317" max="13318" width="3.85546875" style="269" customWidth="1"/>
    <col min="13319" max="13320" width="3.28515625" style="269" customWidth="1"/>
    <col min="13321" max="13323" width="3.85546875" style="269" customWidth="1"/>
    <col min="13324" max="13324" width="4" style="269" customWidth="1"/>
    <col min="13325" max="13325" width="3.85546875" style="269" customWidth="1"/>
    <col min="13326" max="13326" width="3.28515625" style="269" customWidth="1"/>
    <col min="13327" max="13332" width="3.85546875" style="269" customWidth="1"/>
    <col min="13333" max="13334" width="3.28515625" style="269" customWidth="1"/>
    <col min="13335" max="13335" width="8" style="269" customWidth="1"/>
    <col min="13336" max="13336" width="7.5703125" style="269" customWidth="1"/>
    <col min="13337" max="13337" width="7.140625" style="269" customWidth="1"/>
    <col min="13338" max="13338" width="9.28515625" style="269" bestFit="1" customWidth="1"/>
    <col min="13339" max="13339" width="9.42578125" style="269" bestFit="1" customWidth="1"/>
    <col min="13340" max="13556" width="8.85546875" style="269"/>
    <col min="13557" max="13557" width="4.28515625" style="269" customWidth="1"/>
    <col min="13558" max="13558" width="9.140625" style="269" customWidth="1"/>
    <col min="13559" max="13559" width="16.7109375" style="269" customWidth="1"/>
    <col min="13560" max="13561" width="3.28515625" style="269" customWidth="1"/>
    <col min="13562" max="13567" width="3.85546875" style="269" customWidth="1"/>
    <col min="13568" max="13568" width="4.28515625" style="269" customWidth="1"/>
    <col min="13569" max="13572" width="4.140625" style="269" customWidth="1"/>
    <col min="13573" max="13574" width="3.85546875" style="269" customWidth="1"/>
    <col min="13575" max="13576" width="3.28515625" style="269" customWidth="1"/>
    <col min="13577" max="13579" width="3.85546875" style="269" customWidth="1"/>
    <col min="13580" max="13580" width="4" style="269" customWidth="1"/>
    <col min="13581" max="13581" width="3.85546875" style="269" customWidth="1"/>
    <col min="13582" max="13582" width="3.28515625" style="269" customWidth="1"/>
    <col min="13583" max="13588" width="3.85546875" style="269" customWidth="1"/>
    <col min="13589" max="13590" width="3.28515625" style="269" customWidth="1"/>
    <col min="13591" max="13591" width="8" style="269" customWidth="1"/>
    <col min="13592" max="13592" width="7.5703125" style="269" customWidth="1"/>
    <col min="13593" max="13593" width="7.140625" style="269" customWidth="1"/>
    <col min="13594" max="13594" width="9.28515625" style="269" bestFit="1" customWidth="1"/>
    <col min="13595" max="13595" width="9.42578125" style="269" bestFit="1" customWidth="1"/>
    <col min="13596" max="13812" width="8.85546875" style="269"/>
    <col min="13813" max="13813" width="4.28515625" style="269" customWidth="1"/>
    <col min="13814" max="13814" width="9.140625" style="269" customWidth="1"/>
    <col min="13815" max="13815" width="16.7109375" style="269" customWidth="1"/>
    <col min="13816" max="13817" width="3.28515625" style="269" customWidth="1"/>
    <col min="13818" max="13823" width="3.85546875" style="269" customWidth="1"/>
    <col min="13824" max="13824" width="4.28515625" style="269" customWidth="1"/>
    <col min="13825" max="13828" width="4.140625" style="269" customWidth="1"/>
    <col min="13829" max="13830" width="3.85546875" style="269" customWidth="1"/>
    <col min="13831" max="13832" width="3.28515625" style="269" customWidth="1"/>
    <col min="13833" max="13835" width="3.85546875" style="269" customWidth="1"/>
    <col min="13836" max="13836" width="4" style="269" customWidth="1"/>
    <col min="13837" max="13837" width="3.85546875" style="269" customWidth="1"/>
    <col min="13838" max="13838" width="3.28515625" style="269" customWidth="1"/>
    <col min="13839" max="13844" width="3.85546875" style="269" customWidth="1"/>
    <col min="13845" max="13846" width="3.28515625" style="269" customWidth="1"/>
    <col min="13847" max="13847" width="8" style="269" customWidth="1"/>
    <col min="13848" max="13848" width="7.5703125" style="269" customWidth="1"/>
    <col min="13849" max="13849" width="7.140625" style="269" customWidth="1"/>
    <col min="13850" max="13850" width="9.28515625" style="269" bestFit="1" customWidth="1"/>
    <col min="13851" max="13851" width="9.42578125" style="269" bestFit="1" customWidth="1"/>
    <col min="13852" max="14068" width="8.85546875" style="269"/>
    <col min="14069" max="14069" width="4.28515625" style="269" customWidth="1"/>
    <col min="14070" max="14070" width="9.140625" style="269" customWidth="1"/>
    <col min="14071" max="14071" width="16.7109375" style="269" customWidth="1"/>
    <col min="14072" max="14073" width="3.28515625" style="269" customWidth="1"/>
    <col min="14074" max="14079" width="3.85546875" style="269" customWidth="1"/>
    <col min="14080" max="14080" width="4.28515625" style="269" customWidth="1"/>
    <col min="14081" max="14084" width="4.140625" style="269" customWidth="1"/>
    <col min="14085" max="14086" width="3.85546875" style="269" customWidth="1"/>
    <col min="14087" max="14088" width="3.28515625" style="269" customWidth="1"/>
    <col min="14089" max="14091" width="3.85546875" style="269" customWidth="1"/>
    <col min="14092" max="14092" width="4" style="269" customWidth="1"/>
    <col min="14093" max="14093" width="3.85546875" style="269" customWidth="1"/>
    <col min="14094" max="14094" width="3.28515625" style="269" customWidth="1"/>
    <col min="14095" max="14100" width="3.85546875" style="269" customWidth="1"/>
    <col min="14101" max="14102" width="3.28515625" style="269" customWidth="1"/>
    <col min="14103" max="14103" width="8" style="269" customWidth="1"/>
    <col min="14104" max="14104" width="7.5703125" style="269" customWidth="1"/>
    <col min="14105" max="14105" width="7.140625" style="269" customWidth="1"/>
    <col min="14106" max="14106" width="9.28515625" style="269" bestFit="1" customWidth="1"/>
    <col min="14107" max="14107" width="9.42578125" style="269" bestFit="1" customWidth="1"/>
    <col min="14108" max="14324" width="8.85546875" style="269"/>
    <col min="14325" max="14325" width="4.28515625" style="269" customWidth="1"/>
    <col min="14326" max="14326" width="9.140625" style="269" customWidth="1"/>
    <col min="14327" max="14327" width="16.7109375" style="269" customWidth="1"/>
    <col min="14328" max="14329" width="3.28515625" style="269" customWidth="1"/>
    <col min="14330" max="14335" width="3.85546875" style="269" customWidth="1"/>
    <col min="14336" max="14336" width="4.28515625" style="269" customWidth="1"/>
    <col min="14337" max="14340" width="4.140625" style="269" customWidth="1"/>
    <col min="14341" max="14342" width="3.85546875" style="269" customWidth="1"/>
    <col min="14343" max="14344" width="3.28515625" style="269" customWidth="1"/>
    <col min="14345" max="14347" width="3.85546875" style="269" customWidth="1"/>
    <col min="14348" max="14348" width="4" style="269" customWidth="1"/>
    <col min="14349" max="14349" width="3.85546875" style="269" customWidth="1"/>
    <col min="14350" max="14350" width="3.28515625" style="269" customWidth="1"/>
    <col min="14351" max="14356" width="3.85546875" style="269" customWidth="1"/>
    <col min="14357" max="14358" width="3.28515625" style="269" customWidth="1"/>
    <col min="14359" max="14359" width="8" style="269" customWidth="1"/>
    <col min="14360" max="14360" width="7.5703125" style="269" customWidth="1"/>
    <col min="14361" max="14361" width="7.140625" style="269" customWidth="1"/>
    <col min="14362" max="14362" width="9.28515625" style="269" bestFit="1" customWidth="1"/>
    <col min="14363" max="14363" width="9.42578125" style="269" bestFit="1" customWidth="1"/>
    <col min="14364" max="14580" width="8.85546875" style="269"/>
    <col min="14581" max="14581" width="4.28515625" style="269" customWidth="1"/>
    <col min="14582" max="14582" width="9.140625" style="269" customWidth="1"/>
    <col min="14583" max="14583" width="16.7109375" style="269" customWidth="1"/>
    <col min="14584" max="14585" width="3.28515625" style="269" customWidth="1"/>
    <col min="14586" max="14591" width="3.85546875" style="269" customWidth="1"/>
    <col min="14592" max="14592" width="4.28515625" style="269" customWidth="1"/>
    <col min="14593" max="14596" width="4.140625" style="269" customWidth="1"/>
    <col min="14597" max="14598" width="3.85546875" style="269" customWidth="1"/>
    <col min="14599" max="14600" width="3.28515625" style="269" customWidth="1"/>
    <col min="14601" max="14603" width="3.85546875" style="269" customWidth="1"/>
    <col min="14604" max="14604" width="4" style="269" customWidth="1"/>
    <col min="14605" max="14605" width="3.85546875" style="269" customWidth="1"/>
    <col min="14606" max="14606" width="3.28515625" style="269" customWidth="1"/>
    <col min="14607" max="14612" width="3.85546875" style="269" customWidth="1"/>
    <col min="14613" max="14614" width="3.28515625" style="269" customWidth="1"/>
    <col min="14615" max="14615" width="8" style="269" customWidth="1"/>
    <col min="14616" max="14616" width="7.5703125" style="269" customWidth="1"/>
    <col min="14617" max="14617" width="7.140625" style="269" customWidth="1"/>
    <col min="14618" max="14618" width="9.28515625" style="269" bestFit="1" customWidth="1"/>
    <col min="14619" max="14619" width="9.42578125" style="269" bestFit="1" customWidth="1"/>
    <col min="14620" max="14836" width="8.85546875" style="269"/>
    <col min="14837" max="14837" width="4.28515625" style="269" customWidth="1"/>
    <col min="14838" max="14838" width="9.140625" style="269" customWidth="1"/>
    <col min="14839" max="14839" width="16.7109375" style="269" customWidth="1"/>
    <col min="14840" max="14841" width="3.28515625" style="269" customWidth="1"/>
    <col min="14842" max="14847" width="3.85546875" style="269" customWidth="1"/>
    <col min="14848" max="14848" width="4.28515625" style="269" customWidth="1"/>
    <col min="14849" max="14852" width="4.140625" style="269" customWidth="1"/>
    <col min="14853" max="14854" width="3.85546875" style="269" customWidth="1"/>
    <col min="14855" max="14856" width="3.28515625" style="269" customWidth="1"/>
    <col min="14857" max="14859" width="3.85546875" style="269" customWidth="1"/>
    <col min="14860" max="14860" width="4" style="269" customWidth="1"/>
    <col min="14861" max="14861" width="3.85546875" style="269" customWidth="1"/>
    <col min="14862" max="14862" width="3.28515625" style="269" customWidth="1"/>
    <col min="14863" max="14868" width="3.85546875" style="269" customWidth="1"/>
    <col min="14869" max="14870" width="3.28515625" style="269" customWidth="1"/>
    <col min="14871" max="14871" width="8" style="269" customWidth="1"/>
    <col min="14872" max="14872" width="7.5703125" style="269" customWidth="1"/>
    <col min="14873" max="14873" width="7.140625" style="269" customWidth="1"/>
    <col min="14874" max="14874" width="9.28515625" style="269" bestFit="1" customWidth="1"/>
    <col min="14875" max="14875" width="9.42578125" style="269" bestFit="1" customWidth="1"/>
    <col min="14876" max="15092" width="8.85546875" style="269"/>
    <col min="15093" max="15093" width="4.28515625" style="269" customWidth="1"/>
    <col min="15094" max="15094" width="9.140625" style="269" customWidth="1"/>
    <col min="15095" max="15095" width="16.7109375" style="269" customWidth="1"/>
    <col min="15096" max="15097" width="3.28515625" style="269" customWidth="1"/>
    <col min="15098" max="15103" width="3.85546875" style="269" customWidth="1"/>
    <col min="15104" max="15104" width="4.28515625" style="269" customWidth="1"/>
    <col min="15105" max="15108" width="4.140625" style="269" customWidth="1"/>
    <col min="15109" max="15110" width="3.85546875" style="269" customWidth="1"/>
    <col min="15111" max="15112" width="3.28515625" style="269" customWidth="1"/>
    <col min="15113" max="15115" width="3.85546875" style="269" customWidth="1"/>
    <col min="15116" max="15116" width="4" style="269" customWidth="1"/>
    <col min="15117" max="15117" width="3.85546875" style="269" customWidth="1"/>
    <col min="15118" max="15118" width="3.28515625" style="269" customWidth="1"/>
    <col min="15119" max="15124" width="3.85546875" style="269" customWidth="1"/>
    <col min="15125" max="15126" width="3.28515625" style="269" customWidth="1"/>
    <col min="15127" max="15127" width="8" style="269" customWidth="1"/>
    <col min="15128" max="15128" width="7.5703125" style="269" customWidth="1"/>
    <col min="15129" max="15129" width="7.140625" style="269" customWidth="1"/>
    <col min="15130" max="15130" width="9.28515625" style="269" bestFit="1" customWidth="1"/>
    <col min="15131" max="15131" width="9.42578125" style="269" bestFit="1" customWidth="1"/>
    <col min="15132" max="15348" width="8.85546875" style="269"/>
    <col min="15349" max="15349" width="4.28515625" style="269" customWidth="1"/>
    <col min="15350" max="15350" width="9.140625" style="269" customWidth="1"/>
    <col min="15351" max="15351" width="16.7109375" style="269" customWidth="1"/>
    <col min="15352" max="15353" width="3.28515625" style="269" customWidth="1"/>
    <col min="15354" max="15359" width="3.85546875" style="269" customWidth="1"/>
    <col min="15360" max="15360" width="4.28515625" style="269" customWidth="1"/>
    <col min="15361" max="15364" width="4.140625" style="269" customWidth="1"/>
    <col min="15365" max="15366" width="3.85546875" style="269" customWidth="1"/>
    <col min="15367" max="15368" width="3.28515625" style="269" customWidth="1"/>
    <col min="15369" max="15371" width="3.85546875" style="269" customWidth="1"/>
    <col min="15372" max="15372" width="4" style="269" customWidth="1"/>
    <col min="15373" max="15373" width="3.85546875" style="269" customWidth="1"/>
    <col min="15374" max="15374" width="3.28515625" style="269" customWidth="1"/>
    <col min="15375" max="15380" width="3.85546875" style="269" customWidth="1"/>
    <col min="15381" max="15382" width="3.28515625" style="269" customWidth="1"/>
    <col min="15383" max="15383" width="8" style="269" customWidth="1"/>
    <col min="15384" max="15384" width="7.5703125" style="269" customWidth="1"/>
    <col min="15385" max="15385" width="7.140625" style="269" customWidth="1"/>
    <col min="15386" max="15386" width="9.28515625" style="269" bestFit="1" customWidth="1"/>
    <col min="15387" max="15387" width="9.42578125" style="269" bestFit="1" customWidth="1"/>
    <col min="15388" max="15604" width="8.85546875" style="269"/>
    <col min="15605" max="15605" width="4.28515625" style="269" customWidth="1"/>
    <col min="15606" max="15606" width="9.140625" style="269" customWidth="1"/>
    <col min="15607" max="15607" width="16.7109375" style="269" customWidth="1"/>
    <col min="15608" max="15609" width="3.28515625" style="269" customWidth="1"/>
    <col min="15610" max="15615" width="3.85546875" style="269" customWidth="1"/>
    <col min="15616" max="15616" width="4.28515625" style="269" customWidth="1"/>
    <col min="15617" max="15620" width="4.140625" style="269" customWidth="1"/>
    <col min="15621" max="15622" width="3.85546875" style="269" customWidth="1"/>
    <col min="15623" max="15624" width="3.28515625" style="269" customWidth="1"/>
    <col min="15625" max="15627" width="3.85546875" style="269" customWidth="1"/>
    <col min="15628" max="15628" width="4" style="269" customWidth="1"/>
    <col min="15629" max="15629" width="3.85546875" style="269" customWidth="1"/>
    <col min="15630" max="15630" width="3.28515625" style="269" customWidth="1"/>
    <col min="15631" max="15636" width="3.85546875" style="269" customWidth="1"/>
    <col min="15637" max="15638" width="3.28515625" style="269" customWidth="1"/>
    <col min="15639" max="15639" width="8" style="269" customWidth="1"/>
    <col min="15640" max="15640" width="7.5703125" style="269" customWidth="1"/>
    <col min="15641" max="15641" width="7.140625" style="269" customWidth="1"/>
    <col min="15642" max="15642" width="9.28515625" style="269" bestFit="1" customWidth="1"/>
    <col min="15643" max="15643" width="9.42578125" style="269" bestFit="1" customWidth="1"/>
    <col min="15644" max="15860" width="8.85546875" style="269"/>
    <col min="15861" max="15861" width="4.28515625" style="269" customWidth="1"/>
    <col min="15862" max="15862" width="9.140625" style="269" customWidth="1"/>
    <col min="15863" max="15863" width="16.7109375" style="269" customWidth="1"/>
    <col min="15864" max="15865" width="3.28515625" style="269" customWidth="1"/>
    <col min="15866" max="15871" width="3.85546875" style="269" customWidth="1"/>
    <col min="15872" max="15872" width="4.28515625" style="269" customWidth="1"/>
    <col min="15873" max="15876" width="4.140625" style="269" customWidth="1"/>
    <col min="15877" max="15878" width="3.85546875" style="269" customWidth="1"/>
    <col min="15879" max="15880" width="3.28515625" style="269" customWidth="1"/>
    <col min="15881" max="15883" width="3.85546875" style="269" customWidth="1"/>
    <col min="15884" max="15884" width="4" style="269" customWidth="1"/>
    <col min="15885" max="15885" width="3.85546875" style="269" customWidth="1"/>
    <col min="15886" max="15886" width="3.28515625" style="269" customWidth="1"/>
    <col min="15887" max="15892" width="3.85546875" style="269" customWidth="1"/>
    <col min="15893" max="15894" width="3.28515625" style="269" customWidth="1"/>
    <col min="15895" max="15895" width="8" style="269" customWidth="1"/>
    <col min="15896" max="15896" width="7.5703125" style="269" customWidth="1"/>
    <col min="15897" max="15897" width="7.140625" style="269" customWidth="1"/>
    <col min="15898" max="15898" width="9.28515625" style="269" bestFit="1" customWidth="1"/>
    <col min="15899" max="15899" width="9.42578125" style="269" bestFit="1" customWidth="1"/>
    <col min="15900" max="16116" width="8.85546875" style="269"/>
    <col min="16117" max="16117" width="4.28515625" style="269" customWidth="1"/>
    <col min="16118" max="16118" width="9.140625" style="269" customWidth="1"/>
    <col min="16119" max="16119" width="16.7109375" style="269" customWidth="1"/>
    <col min="16120" max="16121" width="3.28515625" style="269" customWidth="1"/>
    <col min="16122" max="16127" width="3.85546875" style="269" customWidth="1"/>
    <col min="16128" max="16128" width="4.28515625" style="269" customWidth="1"/>
    <col min="16129" max="16132" width="4.140625" style="269" customWidth="1"/>
    <col min="16133" max="16134" width="3.85546875" style="269" customWidth="1"/>
    <col min="16135" max="16136" width="3.28515625" style="269" customWidth="1"/>
    <col min="16137" max="16139" width="3.85546875" style="269" customWidth="1"/>
    <col min="16140" max="16140" width="4" style="269" customWidth="1"/>
    <col min="16141" max="16141" width="3.85546875" style="269" customWidth="1"/>
    <col min="16142" max="16142" width="3.28515625" style="269" customWidth="1"/>
    <col min="16143" max="16148" width="3.85546875" style="269" customWidth="1"/>
    <col min="16149" max="16150" width="3.28515625" style="269" customWidth="1"/>
    <col min="16151" max="16151" width="8" style="269" customWidth="1"/>
    <col min="16152" max="16152" width="7.5703125" style="269" customWidth="1"/>
    <col min="16153" max="16153" width="7.140625" style="269" customWidth="1"/>
    <col min="16154" max="16154" width="9.28515625" style="269" bestFit="1" customWidth="1"/>
    <col min="16155" max="16155" width="9.42578125" style="269" bestFit="1" customWidth="1"/>
    <col min="16156" max="16384" width="8.85546875" style="269"/>
  </cols>
  <sheetData>
    <row r="1" spans="1:43" ht="19.5" customHeight="1">
      <c r="A1" s="1260" t="s">
        <v>0</v>
      </c>
      <c r="B1" s="1260"/>
      <c r="C1" s="1260"/>
      <c r="D1" s="1260"/>
      <c r="E1" s="1260"/>
      <c r="F1" s="1260"/>
      <c r="G1" s="1260"/>
      <c r="H1" s="1260"/>
      <c r="I1" s="1260"/>
      <c r="J1" s="1260"/>
      <c r="K1" s="1260"/>
      <c r="L1" s="1260"/>
      <c r="M1" s="1260"/>
      <c r="N1" s="1260"/>
      <c r="O1" s="1260"/>
      <c r="P1" s="1260"/>
      <c r="Q1" s="1260"/>
      <c r="R1" s="1260"/>
      <c r="S1" s="1260"/>
      <c r="T1" s="1260"/>
      <c r="U1" s="1260"/>
      <c r="V1" s="1260"/>
      <c r="W1" s="1260"/>
      <c r="X1" s="1260"/>
      <c r="Y1" s="1260"/>
      <c r="Z1" s="1260"/>
      <c r="AA1" s="1260"/>
      <c r="AB1" s="1260"/>
      <c r="AC1" s="1260"/>
      <c r="AD1" s="1260"/>
      <c r="AE1" s="1260"/>
      <c r="AF1" s="1260"/>
      <c r="AG1" s="1260"/>
      <c r="AH1" s="1260"/>
      <c r="AI1" s="1260"/>
      <c r="AJ1" s="1260"/>
    </row>
    <row r="2" spans="1:43" ht="18.75">
      <c r="A2" s="1260" t="s">
        <v>330</v>
      </c>
      <c r="B2" s="1260"/>
      <c r="C2" s="1260"/>
      <c r="D2" s="1260"/>
      <c r="E2" s="1260"/>
      <c r="F2" s="1260"/>
      <c r="G2" s="1260"/>
      <c r="H2" s="1260"/>
      <c r="I2" s="1260"/>
      <c r="J2" s="1260"/>
      <c r="K2" s="1260"/>
      <c r="L2" s="1260"/>
      <c r="M2" s="1260"/>
      <c r="N2" s="1260"/>
      <c r="O2" s="1260"/>
      <c r="P2" s="1260"/>
      <c r="Q2" s="1260"/>
      <c r="R2" s="1260"/>
      <c r="S2" s="1260"/>
      <c r="T2" s="1260"/>
      <c r="U2" s="1260"/>
      <c r="V2" s="1260"/>
      <c r="W2" s="1260"/>
      <c r="X2" s="1260"/>
      <c r="Y2" s="1260"/>
      <c r="Z2" s="1260"/>
      <c r="AA2" s="1260"/>
      <c r="AB2" s="1260"/>
      <c r="AC2" s="1260"/>
      <c r="AD2" s="1260"/>
      <c r="AE2" s="1260"/>
      <c r="AF2" s="1260"/>
      <c r="AG2" s="1260"/>
      <c r="AH2" s="1260"/>
      <c r="AI2" s="1260"/>
      <c r="AJ2" s="1260"/>
    </row>
    <row r="3" spans="1:43" ht="18.75">
      <c r="A3" s="1261" t="s">
        <v>2</v>
      </c>
      <c r="B3" s="1261"/>
      <c r="C3" s="1261"/>
      <c r="D3" s="1261"/>
      <c r="E3" s="1261"/>
      <c r="F3" s="1261"/>
      <c r="G3" s="1261"/>
      <c r="H3" s="1261"/>
      <c r="I3" s="1261"/>
      <c r="J3" s="1261"/>
      <c r="K3" s="1261"/>
      <c r="L3" s="1261"/>
      <c r="M3" s="1261"/>
      <c r="N3" s="1261"/>
      <c r="O3" s="1261"/>
      <c r="P3" s="1261"/>
      <c r="Q3" s="1261"/>
      <c r="R3" s="1261"/>
      <c r="S3" s="1261"/>
      <c r="T3" s="1261"/>
      <c r="U3" s="1261"/>
      <c r="V3" s="1261"/>
      <c r="W3" s="1261"/>
      <c r="X3" s="1261"/>
      <c r="Y3" s="1261"/>
      <c r="Z3" s="1261"/>
      <c r="AA3" s="1261"/>
      <c r="AB3" s="1261"/>
      <c r="AC3" s="1261"/>
      <c r="AD3" s="1261"/>
      <c r="AE3" s="1261"/>
      <c r="AF3" s="1261"/>
      <c r="AG3" s="1261"/>
      <c r="AH3" s="1261"/>
      <c r="AI3" s="1261"/>
      <c r="AJ3" s="1261"/>
      <c r="AK3" s="290"/>
      <c r="AL3" s="290"/>
      <c r="AM3" s="290"/>
      <c r="AN3" s="290"/>
      <c r="AO3" s="290"/>
      <c r="AP3" s="290"/>
      <c r="AQ3" s="290"/>
    </row>
    <row r="4" spans="1:43" ht="18.75">
      <c r="A4" s="1262" t="s">
        <v>130</v>
      </c>
      <c r="B4" s="1262"/>
      <c r="C4" s="1262"/>
      <c r="D4" s="1262"/>
      <c r="E4" s="1262"/>
      <c r="F4" s="1262"/>
      <c r="G4" s="1262"/>
      <c r="H4" s="1262"/>
      <c r="I4" s="1262"/>
      <c r="J4" s="1262"/>
      <c r="K4" s="1262"/>
      <c r="L4" s="1262"/>
      <c r="M4" s="1262"/>
      <c r="N4" s="1262"/>
      <c r="O4" s="1262"/>
      <c r="P4" s="1262"/>
      <c r="Q4" s="1262"/>
      <c r="R4" s="1262"/>
      <c r="S4" s="1262"/>
      <c r="T4" s="1262"/>
      <c r="U4" s="1262"/>
      <c r="V4" s="1262"/>
      <c r="W4" s="1262"/>
      <c r="X4" s="1262"/>
      <c r="Y4" s="1262"/>
      <c r="Z4" s="1262"/>
      <c r="AA4" s="1262"/>
      <c r="AB4" s="1262"/>
      <c r="AC4" s="1262"/>
      <c r="AD4" s="1262"/>
      <c r="AE4" s="1262"/>
      <c r="AF4" s="1262"/>
      <c r="AG4" s="1262"/>
      <c r="AH4" s="1070"/>
      <c r="AI4" s="1070"/>
      <c r="AJ4" s="1070"/>
      <c r="AK4" s="289"/>
      <c r="AL4" s="289"/>
      <c r="AM4" s="289"/>
      <c r="AN4" s="289"/>
      <c r="AO4" s="285"/>
    </row>
    <row r="5" spans="1:43" ht="18.75">
      <c r="A5" s="1263" t="s">
        <v>292</v>
      </c>
      <c r="B5" s="1263"/>
      <c r="C5" s="1263"/>
      <c r="D5" s="1263"/>
      <c r="E5" s="1263"/>
      <c r="F5" s="1263"/>
      <c r="G5" s="1263"/>
      <c r="H5" s="1263"/>
      <c r="I5" s="1263"/>
      <c r="J5" s="1263"/>
      <c r="K5" s="1263"/>
      <c r="L5" s="1263"/>
      <c r="M5" s="1263"/>
      <c r="N5" s="1263"/>
      <c r="O5" s="1263"/>
      <c r="P5" s="1263"/>
      <c r="Q5" s="1263"/>
      <c r="R5" s="1263"/>
      <c r="S5" s="1263"/>
      <c r="T5" s="1263"/>
      <c r="U5" s="1263"/>
      <c r="V5" s="1263"/>
      <c r="W5" s="1263"/>
      <c r="X5" s="1263"/>
      <c r="Y5" s="1263"/>
      <c r="Z5" s="1263"/>
      <c r="AA5" s="1263"/>
      <c r="AB5" s="1263"/>
      <c r="AC5" s="1263"/>
      <c r="AD5" s="1263"/>
      <c r="AE5" s="1263"/>
      <c r="AF5" s="1263"/>
      <c r="AG5" s="1263"/>
      <c r="AH5" s="1071"/>
      <c r="AI5" s="1072"/>
      <c r="AJ5" s="1072"/>
      <c r="AK5" s="285"/>
      <c r="AL5" s="285"/>
      <c r="AM5" s="285"/>
      <c r="AN5" s="285"/>
      <c r="AO5" s="285"/>
    </row>
    <row r="6" spans="1:43">
      <c r="A6" s="288"/>
      <c r="B6" s="288"/>
      <c r="C6" s="288"/>
      <c r="D6" s="288"/>
      <c r="E6" s="288"/>
      <c r="F6" s="288"/>
      <c r="G6" s="288"/>
      <c r="H6" s="288"/>
      <c r="I6" s="288"/>
      <c r="J6" s="288"/>
      <c r="K6" s="288"/>
      <c r="L6" s="288"/>
      <c r="M6" s="288"/>
      <c r="N6" s="288"/>
      <c r="O6" s="288"/>
      <c r="P6" s="288"/>
      <c r="Q6" s="288"/>
      <c r="R6" s="288"/>
      <c r="S6" s="288"/>
      <c r="T6" s="288"/>
      <c r="U6" s="288"/>
      <c r="V6" s="288"/>
      <c r="W6" s="288"/>
      <c r="X6" s="288"/>
      <c r="Y6" s="288"/>
      <c r="Z6" s="288"/>
      <c r="AA6" s="288"/>
      <c r="AB6" s="288"/>
      <c r="AC6" s="288"/>
      <c r="AD6" s="288"/>
      <c r="AE6" s="288"/>
      <c r="AF6" s="288"/>
      <c r="AG6" s="345"/>
      <c r="AH6" s="287"/>
      <c r="AI6" s="286"/>
      <c r="AJ6" s="286"/>
      <c r="AK6" s="285"/>
      <c r="AL6" s="285"/>
      <c r="AM6" s="285"/>
      <c r="AN6" s="285"/>
      <c r="AO6" s="285"/>
    </row>
    <row r="7" spans="1:43" ht="38.25" customHeight="1">
      <c r="A7" s="1259" t="s">
        <v>520</v>
      </c>
      <c r="B7" s="1259"/>
      <c r="C7" s="1259"/>
      <c r="D7" s="1259"/>
      <c r="E7" s="1259"/>
      <c r="F7" s="1259"/>
      <c r="G7" s="1259"/>
      <c r="H7" s="1259"/>
      <c r="I7" s="1259"/>
      <c r="J7" s="1259"/>
      <c r="K7" s="1259"/>
      <c r="L7" s="1259"/>
      <c r="M7" s="1259"/>
      <c r="N7" s="1259"/>
      <c r="O7" s="1259"/>
      <c r="P7" s="1259"/>
      <c r="Q7" s="1259"/>
      <c r="R7" s="1259"/>
      <c r="S7" s="1259"/>
      <c r="T7" s="1259"/>
      <c r="U7" s="1259"/>
      <c r="V7" s="1259"/>
      <c r="W7" s="1259"/>
      <c r="X7" s="1259"/>
      <c r="Y7" s="1259"/>
      <c r="Z7" s="1259"/>
      <c r="AA7" s="1259"/>
      <c r="AB7" s="1259"/>
      <c r="AC7" s="1259"/>
      <c r="AD7" s="1259"/>
      <c r="AE7" s="1259"/>
      <c r="AF7" s="1259"/>
      <c r="AG7" s="1259"/>
      <c r="AH7" s="1259"/>
      <c r="AI7" s="1259"/>
      <c r="AJ7" s="1259"/>
    </row>
    <row r="8" spans="1:43" ht="15.75" customHeight="1">
      <c r="A8" s="284"/>
      <c r="B8" s="284"/>
      <c r="C8" s="284"/>
      <c r="D8" s="284"/>
      <c r="E8" s="284"/>
      <c r="F8" s="284"/>
      <c r="G8" s="284"/>
      <c r="H8" s="284"/>
      <c r="I8" s="284"/>
      <c r="J8" s="284"/>
      <c r="K8" s="284"/>
      <c r="L8" s="284"/>
      <c r="M8" s="284"/>
      <c r="N8" s="284"/>
      <c r="O8" s="284"/>
      <c r="P8" s="284"/>
      <c r="Q8" s="284"/>
      <c r="R8" s="284"/>
      <c r="S8" s="284"/>
      <c r="T8" s="284"/>
      <c r="U8" s="284"/>
      <c r="V8" s="284"/>
      <c r="W8" s="284"/>
      <c r="X8" s="284"/>
      <c r="Y8" s="284"/>
      <c r="Z8" s="284"/>
      <c r="AA8" s="284"/>
      <c r="AB8" s="284"/>
      <c r="AC8" s="284"/>
      <c r="AD8" s="284"/>
      <c r="AE8" s="284"/>
      <c r="AF8" s="284"/>
      <c r="AG8" s="284"/>
      <c r="AH8" s="284"/>
      <c r="AI8" s="284"/>
      <c r="AJ8" s="284"/>
    </row>
    <row r="9" spans="1:43" ht="16.5" customHeight="1">
      <c r="A9" s="1264" t="s">
        <v>41</v>
      </c>
      <c r="B9" s="1264" t="s">
        <v>12</v>
      </c>
      <c r="C9" s="1265" t="s">
        <v>60</v>
      </c>
      <c r="D9" s="1265"/>
      <c r="E9" s="1265"/>
      <c r="F9" s="1265"/>
      <c r="G9" s="1265"/>
      <c r="H9" s="1265"/>
      <c r="I9" s="1265"/>
      <c r="J9" s="1265"/>
      <c r="K9" s="1265"/>
      <c r="L9" s="1265"/>
      <c r="M9" s="1265"/>
      <c r="N9" s="1265"/>
      <c r="O9" s="1265"/>
      <c r="P9" s="1265"/>
      <c r="Q9" s="1265"/>
      <c r="R9" s="1265"/>
      <c r="S9" s="1265"/>
      <c r="T9" s="1265"/>
      <c r="U9" s="1265"/>
      <c r="V9" s="1265"/>
      <c r="W9" s="1265"/>
      <c r="X9" s="1265"/>
      <c r="Y9" s="1265"/>
      <c r="Z9" s="1265"/>
      <c r="AA9" s="1265"/>
      <c r="AB9" s="1265"/>
      <c r="AC9" s="1265"/>
      <c r="AD9" s="1265"/>
      <c r="AE9" s="1265"/>
      <c r="AF9" s="1265"/>
      <c r="AG9" s="1266" t="s">
        <v>373</v>
      </c>
      <c r="AH9" s="1257" t="s">
        <v>329</v>
      </c>
      <c r="AI9" s="1257" t="s">
        <v>144</v>
      </c>
      <c r="AJ9" s="1258" t="s">
        <v>44</v>
      </c>
    </row>
    <row r="10" spans="1:43" ht="25.5" customHeight="1">
      <c r="A10" s="1264"/>
      <c r="B10" s="1264"/>
      <c r="C10" s="456">
        <v>1</v>
      </c>
      <c r="D10" s="456">
        <v>2</v>
      </c>
      <c r="E10" s="456">
        <v>3</v>
      </c>
      <c r="F10" s="456">
        <v>4</v>
      </c>
      <c r="G10" s="456">
        <v>5</v>
      </c>
      <c r="H10" s="456">
        <v>6</v>
      </c>
      <c r="I10" s="456">
        <v>7</v>
      </c>
      <c r="J10" s="456">
        <v>8</v>
      </c>
      <c r="K10" s="456">
        <v>9</v>
      </c>
      <c r="L10" s="456">
        <v>10</v>
      </c>
      <c r="M10" s="456">
        <v>11</v>
      </c>
      <c r="N10" s="456">
        <v>12</v>
      </c>
      <c r="O10" s="456">
        <v>13</v>
      </c>
      <c r="P10" s="456">
        <v>14</v>
      </c>
      <c r="Q10" s="456">
        <v>15</v>
      </c>
      <c r="R10" s="456">
        <v>16</v>
      </c>
      <c r="S10" s="456">
        <v>17</v>
      </c>
      <c r="T10" s="456">
        <v>18</v>
      </c>
      <c r="U10" s="456">
        <v>19</v>
      </c>
      <c r="V10" s="456">
        <v>20</v>
      </c>
      <c r="W10" s="456">
        <v>21</v>
      </c>
      <c r="X10" s="456">
        <v>22</v>
      </c>
      <c r="Y10" s="456">
        <v>23</v>
      </c>
      <c r="Z10" s="456">
        <v>24</v>
      </c>
      <c r="AA10" s="456">
        <v>25</v>
      </c>
      <c r="AB10" s="456">
        <v>26</v>
      </c>
      <c r="AC10" s="456">
        <v>27</v>
      </c>
      <c r="AD10" s="456">
        <v>28</v>
      </c>
      <c r="AE10" s="456">
        <v>29</v>
      </c>
      <c r="AF10" s="456">
        <v>30</v>
      </c>
      <c r="AG10" s="1267"/>
      <c r="AH10" s="1257"/>
      <c r="AI10" s="1257"/>
      <c r="AJ10" s="1258"/>
    </row>
    <row r="11" spans="1:43" s="464" customFormat="1" ht="36.75" customHeight="1">
      <c r="A11" s="460">
        <v>1</v>
      </c>
      <c r="B11" s="461" t="str">
        <f>+'Biểu 2 TH MỦ dây'!B10</f>
        <v>Phò Thưng</v>
      </c>
      <c r="C11" s="457"/>
      <c r="D11" s="457"/>
      <c r="E11" s="457"/>
      <c r="F11" s="457"/>
      <c r="G11" s="457"/>
      <c r="H11" s="457"/>
      <c r="I11" s="457"/>
      <c r="J11" s="457"/>
      <c r="K11" s="457"/>
      <c r="L11" s="457"/>
      <c r="M11" s="457"/>
      <c r="N11" s="458"/>
      <c r="O11" s="457"/>
      <c r="P11" s="457"/>
      <c r="Q11" s="457"/>
      <c r="R11" s="457"/>
      <c r="S11" s="457"/>
      <c r="T11" s="457">
        <v>20</v>
      </c>
      <c r="U11" s="457"/>
      <c r="V11" s="457"/>
      <c r="W11" s="457"/>
      <c r="X11" s="457"/>
      <c r="Y11" s="457"/>
      <c r="Z11" s="457"/>
      <c r="AA11" s="457"/>
      <c r="AB11" s="457"/>
      <c r="AC11" s="457"/>
      <c r="AD11" s="457"/>
      <c r="AE11" s="457"/>
      <c r="AF11" s="457"/>
      <c r="AG11" s="460">
        <f>+VLOOKUP(B11,'Biểu 2 TH MỦ dây'!$B$10:$AH$43,33,0)</f>
        <v>15</v>
      </c>
      <c r="AH11" s="462">
        <v>8000</v>
      </c>
      <c r="AI11" s="463">
        <f>+AG11*AH11</f>
        <v>120000</v>
      </c>
      <c r="AJ11" s="461"/>
    </row>
    <row r="12" spans="1:43" s="464" customFormat="1" ht="36.75" customHeight="1">
      <c r="A12" s="460">
        <v>2</v>
      </c>
      <c r="B12" s="461" t="str">
        <f>+'Biểu 2 TH MỦ dây'!B11</f>
        <v>A Nhợp</v>
      </c>
      <c r="C12" s="457"/>
      <c r="D12" s="457"/>
      <c r="E12" s="457"/>
      <c r="F12" s="457"/>
      <c r="G12" s="457"/>
      <c r="H12" s="457"/>
      <c r="I12" s="457"/>
      <c r="J12" s="457"/>
      <c r="K12" s="457"/>
      <c r="L12" s="457"/>
      <c r="M12" s="457"/>
      <c r="N12" s="458"/>
      <c r="O12" s="457"/>
      <c r="P12" s="457"/>
      <c r="Q12" s="457"/>
      <c r="R12" s="457">
        <v>20</v>
      </c>
      <c r="S12" s="457"/>
      <c r="T12" s="457"/>
      <c r="U12" s="457"/>
      <c r="V12" s="457"/>
      <c r="W12" s="457"/>
      <c r="X12" s="457"/>
      <c r="Y12" s="457"/>
      <c r="Z12" s="457"/>
      <c r="AA12" s="457"/>
      <c r="AB12" s="457"/>
      <c r="AC12" s="457"/>
      <c r="AD12" s="457"/>
      <c r="AE12" s="457"/>
      <c r="AF12" s="457"/>
      <c r="AG12" s="460">
        <f>+VLOOKUP(B12,'Biểu 2 TH MỦ dây'!$B$10:$AH$43,33,0)</f>
        <v>15</v>
      </c>
      <c r="AH12" s="462">
        <v>8000</v>
      </c>
      <c r="AI12" s="463">
        <f t="shared" ref="AI12:AI44" si="0">+AG12*AH12</f>
        <v>120000</v>
      </c>
      <c r="AJ12" s="461"/>
    </row>
    <row r="13" spans="1:43" s="464" customFormat="1" ht="36.75" customHeight="1">
      <c r="A13" s="460">
        <v>3</v>
      </c>
      <c r="B13" s="461" t="str">
        <f>+'Biểu 2 TH MỦ dây'!B12</f>
        <v>Van</v>
      </c>
      <c r="C13" s="457"/>
      <c r="D13" s="457"/>
      <c r="E13" s="457"/>
      <c r="F13" s="457"/>
      <c r="G13" s="457"/>
      <c r="H13" s="457"/>
      <c r="I13" s="457"/>
      <c r="J13" s="457"/>
      <c r="K13" s="457"/>
      <c r="L13" s="457"/>
      <c r="M13" s="457"/>
      <c r="N13" s="458"/>
      <c r="O13" s="457"/>
      <c r="P13" s="457"/>
      <c r="Q13" s="457">
        <v>15</v>
      </c>
      <c r="R13" s="457"/>
      <c r="S13" s="457"/>
      <c r="T13" s="457"/>
      <c r="U13" s="457"/>
      <c r="V13" s="457"/>
      <c r="W13" s="457"/>
      <c r="X13" s="457"/>
      <c r="Y13" s="457"/>
      <c r="Z13" s="457"/>
      <c r="AA13" s="457"/>
      <c r="AB13" s="457"/>
      <c r="AC13" s="457"/>
      <c r="AD13" s="457"/>
      <c r="AE13" s="457"/>
      <c r="AF13" s="457"/>
      <c r="AG13" s="460">
        <f>+VLOOKUP(B13,'Biểu 2 TH MỦ dây'!$B$10:$AH$43,33,0)</f>
        <v>15</v>
      </c>
      <c r="AH13" s="462">
        <v>8000</v>
      </c>
      <c r="AI13" s="463">
        <f t="shared" si="0"/>
        <v>120000</v>
      </c>
      <c r="AJ13" s="461"/>
    </row>
    <row r="14" spans="1:43" s="464" customFormat="1" ht="36.75" customHeight="1">
      <c r="A14" s="460">
        <v>4</v>
      </c>
      <c r="B14" s="461" t="str">
        <f>+'Biểu 2 TH MỦ dây'!B13</f>
        <v>Thảo Khọt</v>
      </c>
      <c r="C14" s="457"/>
      <c r="D14" s="457"/>
      <c r="E14" s="457"/>
      <c r="F14" s="457"/>
      <c r="G14" s="457"/>
      <c r="H14" s="457"/>
      <c r="I14" s="457"/>
      <c r="J14" s="457"/>
      <c r="K14" s="457"/>
      <c r="L14" s="457"/>
      <c r="M14" s="457"/>
      <c r="N14" s="458"/>
      <c r="O14" s="457"/>
      <c r="P14" s="457"/>
      <c r="Q14" s="457">
        <v>16</v>
      </c>
      <c r="R14" s="457"/>
      <c r="S14" s="457"/>
      <c r="T14" s="457"/>
      <c r="U14" s="457"/>
      <c r="V14" s="457"/>
      <c r="W14" s="457"/>
      <c r="X14" s="457"/>
      <c r="Y14" s="457"/>
      <c r="Z14" s="457"/>
      <c r="AA14" s="457"/>
      <c r="AB14" s="457"/>
      <c r="AC14" s="457"/>
      <c r="AD14" s="457"/>
      <c r="AE14" s="457"/>
      <c r="AF14" s="457"/>
      <c r="AG14" s="460">
        <f>+VLOOKUP(B14,'Biểu 2 TH MỦ dây'!$B$10:$AH$43,33,0)</f>
        <v>15</v>
      </c>
      <c r="AH14" s="462">
        <v>8000</v>
      </c>
      <c r="AI14" s="463">
        <f t="shared" si="0"/>
        <v>120000</v>
      </c>
      <c r="AJ14" s="461"/>
    </row>
    <row r="15" spans="1:43" s="464" customFormat="1" ht="36.75" customHeight="1">
      <c r="A15" s="460">
        <v>5</v>
      </c>
      <c r="B15" s="461" t="str">
        <f>+'Biểu 2 TH MỦ dây'!B14</f>
        <v>A Cơ</v>
      </c>
      <c r="C15" s="457"/>
      <c r="D15" s="457"/>
      <c r="E15" s="457"/>
      <c r="F15" s="457"/>
      <c r="G15" s="457"/>
      <c r="H15" s="457"/>
      <c r="I15" s="457"/>
      <c r="J15" s="457"/>
      <c r="K15" s="457"/>
      <c r="L15" s="457"/>
      <c r="M15" s="457"/>
      <c r="N15" s="458"/>
      <c r="O15" s="457"/>
      <c r="P15" s="457"/>
      <c r="Q15" s="457"/>
      <c r="R15" s="457"/>
      <c r="S15" s="457">
        <v>20</v>
      </c>
      <c r="T15" s="457"/>
      <c r="U15" s="457"/>
      <c r="V15" s="457"/>
      <c r="W15" s="457"/>
      <c r="X15" s="457"/>
      <c r="Y15" s="457"/>
      <c r="Z15" s="457"/>
      <c r="AA15" s="457"/>
      <c r="AB15" s="457"/>
      <c r="AC15" s="457"/>
      <c r="AD15" s="457"/>
      <c r="AE15" s="457"/>
      <c r="AF15" s="457"/>
      <c r="AG15" s="460">
        <f>+VLOOKUP(B15,'Biểu 2 TH MỦ dây'!$B$10:$AH$43,33,0)</f>
        <v>15</v>
      </c>
      <c r="AH15" s="462">
        <v>8000</v>
      </c>
      <c r="AI15" s="463">
        <f t="shared" si="0"/>
        <v>120000</v>
      </c>
      <c r="AJ15" s="461"/>
    </row>
    <row r="16" spans="1:43" s="464" customFormat="1" ht="36.75" customHeight="1">
      <c r="A16" s="460">
        <v>6</v>
      </c>
      <c r="B16" s="461" t="str">
        <f>+'Biểu 2 TH MỦ dây'!B15</f>
        <v>Phơ</v>
      </c>
      <c r="C16" s="457"/>
      <c r="D16" s="457"/>
      <c r="E16" s="457"/>
      <c r="F16" s="457"/>
      <c r="G16" s="457"/>
      <c r="H16" s="457"/>
      <c r="I16" s="457"/>
      <c r="J16" s="457"/>
      <c r="K16" s="457"/>
      <c r="L16" s="457"/>
      <c r="M16" s="457"/>
      <c r="N16" s="458"/>
      <c r="O16" s="457"/>
      <c r="P16" s="457"/>
      <c r="Q16" s="457"/>
      <c r="R16" s="457"/>
      <c r="S16" s="457">
        <v>12</v>
      </c>
      <c r="T16" s="457"/>
      <c r="U16" s="457"/>
      <c r="V16" s="457"/>
      <c r="W16" s="457"/>
      <c r="X16" s="457"/>
      <c r="Y16" s="457"/>
      <c r="Z16" s="457"/>
      <c r="AA16" s="457"/>
      <c r="AB16" s="457"/>
      <c r="AC16" s="457"/>
      <c r="AD16" s="457"/>
      <c r="AE16" s="457"/>
      <c r="AF16" s="457"/>
      <c r="AG16" s="460">
        <f>+VLOOKUP(B16,'Biểu 2 TH MỦ dây'!$B$10:$AH$43,33,0)</f>
        <v>15</v>
      </c>
      <c r="AH16" s="462">
        <v>8000</v>
      </c>
      <c r="AI16" s="463">
        <f t="shared" si="0"/>
        <v>120000</v>
      </c>
      <c r="AJ16" s="461"/>
    </row>
    <row r="17" spans="1:36" s="464" customFormat="1" ht="36.75" customHeight="1">
      <c r="A17" s="460">
        <v>7</v>
      </c>
      <c r="B17" s="461" t="str">
        <f>+'Biểu 2 TH MỦ dây'!B16</f>
        <v>A phơ</v>
      </c>
      <c r="C17" s="457"/>
      <c r="D17" s="457"/>
      <c r="E17" s="457"/>
      <c r="F17" s="457"/>
      <c r="G17" s="457"/>
      <c r="H17" s="457"/>
      <c r="I17" s="457"/>
      <c r="J17" s="457"/>
      <c r="K17" s="457"/>
      <c r="L17" s="457"/>
      <c r="M17" s="457"/>
      <c r="N17" s="458"/>
      <c r="O17" s="457"/>
      <c r="P17" s="457"/>
      <c r="Q17" s="457"/>
      <c r="R17" s="457"/>
      <c r="S17" s="457">
        <v>21</v>
      </c>
      <c r="T17" s="457"/>
      <c r="U17" s="457"/>
      <c r="V17" s="457"/>
      <c r="W17" s="457"/>
      <c r="X17" s="457"/>
      <c r="Y17" s="457"/>
      <c r="Z17" s="457"/>
      <c r="AA17" s="457"/>
      <c r="AB17" s="457"/>
      <c r="AC17" s="457"/>
      <c r="AD17" s="457"/>
      <c r="AE17" s="457"/>
      <c r="AF17" s="457"/>
      <c r="AG17" s="460">
        <f>+VLOOKUP(B17,'Biểu 2 TH MỦ dây'!$B$10:$AH$43,33,0)</f>
        <v>15</v>
      </c>
      <c r="AH17" s="462">
        <v>8000</v>
      </c>
      <c r="AI17" s="463">
        <f t="shared" si="0"/>
        <v>120000</v>
      </c>
      <c r="AJ17" s="461"/>
    </row>
    <row r="18" spans="1:36" s="464" customFormat="1" ht="36.75" customHeight="1">
      <c r="A18" s="460">
        <v>8</v>
      </c>
      <c r="B18" s="461" t="str">
        <f>+'Biểu 2 TH MỦ dây'!B17</f>
        <v>Nang Đăm</v>
      </c>
      <c r="C18" s="457"/>
      <c r="D18" s="457"/>
      <c r="E18" s="457"/>
      <c r="F18" s="457"/>
      <c r="G18" s="457"/>
      <c r="H18" s="457"/>
      <c r="I18" s="457"/>
      <c r="J18" s="457"/>
      <c r="K18" s="457"/>
      <c r="L18" s="457"/>
      <c r="M18" s="457"/>
      <c r="N18" s="458"/>
      <c r="O18" s="457"/>
      <c r="P18" s="457"/>
      <c r="Q18" s="457"/>
      <c r="R18" s="457"/>
      <c r="S18" s="457"/>
      <c r="T18" s="457">
        <v>17</v>
      </c>
      <c r="U18" s="457"/>
      <c r="V18" s="457"/>
      <c r="W18" s="457"/>
      <c r="X18" s="457"/>
      <c r="Y18" s="457"/>
      <c r="Z18" s="457"/>
      <c r="AA18" s="457"/>
      <c r="AB18" s="457"/>
      <c r="AC18" s="457"/>
      <c r="AD18" s="457"/>
      <c r="AE18" s="457"/>
      <c r="AF18" s="457"/>
      <c r="AG18" s="460">
        <f>+VLOOKUP(B18,'Biểu 2 TH MỦ dây'!$B$10:$AH$43,33,0)</f>
        <v>14</v>
      </c>
      <c r="AH18" s="462">
        <v>8000</v>
      </c>
      <c r="AI18" s="463">
        <f t="shared" si="0"/>
        <v>112000</v>
      </c>
      <c r="AJ18" s="461"/>
    </row>
    <row r="19" spans="1:36" s="464" customFormat="1" ht="36.75" customHeight="1">
      <c r="A19" s="460">
        <v>9</v>
      </c>
      <c r="B19" s="461" t="str">
        <f>+'Biểu 2 TH MỦ dây'!B18</f>
        <v>Nang Sun</v>
      </c>
      <c r="C19" s="457"/>
      <c r="D19" s="457"/>
      <c r="E19" s="457"/>
      <c r="F19" s="457"/>
      <c r="G19" s="457"/>
      <c r="H19" s="457"/>
      <c r="I19" s="457"/>
      <c r="J19" s="457"/>
      <c r="K19" s="457"/>
      <c r="L19" s="457"/>
      <c r="M19" s="457"/>
      <c r="N19" s="458"/>
      <c r="O19" s="457"/>
      <c r="P19" s="457"/>
      <c r="Q19" s="457"/>
      <c r="R19" s="457">
        <v>20</v>
      </c>
      <c r="S19" s="457"/>
      <c r="T19" s="457"/>
      <c r="U19" s="457"/>
      <c r="V19" s="457"/>
      <c r="W19" s="457"/>
      <c r="X19" s="457"/>
      <c r="Y19" s="457"/>
      <c r="Z19" s="457"/>
      <c r="AA19" s="457"/>
      <c r="AB19" s="457"/>
      <c r="AC19" s="457"/>
      <c r="AD19" s="457"/>
      <c r="AE19" s="457"/>
      <c r="AF19" s="457"/>
      <c r="AG19" s="460">
        <f>+VLOOKUP(B19,'Biểu 2 TH MỦ dây'!$B$10:$AH$43,33,0)</f>
        <v>14</v>
      </c>
      <c r="AH19" s="462">
        <v>8000</v>
      </c>
      <c r="AI19" s="463">
        <f t="shared" si="0"/>
        <v>112000</v>
      </c>
      <c r="AJ19" s="461"/>
    </row>
    <row r="20" spans="1:36" s="464" customFormat="1" ht="36.75" customHeight="1">
      <c r="A20" s="460">
        <v>10</v>
      </c>
      <c r="B20" s="461" t="str">
        <f>+'Biểu 2 TH MỦ dây'!B19</f>
        <v>A Nghen</v>
      </c>
      <c r="C20" s="457"/>
      <c r="D20" s="457"/>
      <c r="E20" s="457"/>
      <c r="F20" s="457"/>
      <c r="G20" s="457"/>
      <c r="H20" s="457"/>
      <c r="I20" s="457"/>
      <c r="J20" s="457"/>
      <c r="K20" s="457"/>
      <c r="L20" s="457"/>
      <c r="M20" s="457"/>
      <c r="N20" s="458"/>
      <c r="O20" s="457"/>
      <c r="P20" s="457"/>
      <c r="Q20" s="457"/>
      <c r="R20" s="457"/>
      <c r="S20" s="457">
        <v>10</v>
      </c>
      <c r="T20" s="457"/>
      <c r="U20" s="457"/>
      <c r="V20" s="457"/>
      <c r="W20" s="457"/>
      <c r="X20" s="457"/>
      <c r="Y20" s="457"/>
      <c r="Z20" s="457"/>
      <c r="AA20" s="457"/>
      <c r="AB20" s="457"/>
      <c r="AC20" s="457"/>
      <c r="AD20" s="457"/>
      <c r="AE20" s="457"/>
      <c r="AF20" s="457"/>
      <c r="AG20" s="460">
        <f>+VLOOKUP(B20,'Biểu 2 TH MỦ dây'!$B$10:$AH$43,33,0)</f>
        <v>14</v>
      </c>
      <c r="AH20" s="462">
        <v>8000</v>
      </c>
      <c r="AI20" s="463">
        <f t="shared" si="0"/>
        <v>112000</v>
      </c>
      <c r="AJ20" s="461"/>
    </row>
    <row r="21" spans="1:36" s="464" customFormat="1" ht="36.75" customHeight="1">
      <c r="A21" s="460">
        <v>11</v>
      </c>
      <c r="B21" s="461" t="str">
        <f>+'Biểu 2 TH MỦ dây'!B20</f>
        <v>Nguyễn Thị Thanh Trà</v>
      </c>
      <c r="C21" s="457"/>
      <c r="D21" s="457"/>
      <c r="E21" s="457"/>
      <c r="F21" s="457"/>
      <c r="G21" s="457"/>
      <c r="H21" s="457"/>
      <c r="I21" s="457"/>
      <c r="J21" s="457"/>
      <c r="K21" s="457"/>
      <c r="L21" s="457"/>
      <c r="M21" s="457"/>
      <c r="N21" s="458"/>
      <c r="O21" s="457"/>
      <c r="P21" s="457"/>
      <c r="Q21" s="457"/>
      <c r="R21" s="457">
        <v>18</v>
      </c>
      <c r="S21" s="457"/>
      <c r="T21" s="457"/>
      <c r="U21" s="457"/>
      <c r="V21" s="457"/>
      <c r="W21" s="457"/>
      <c r="X21" s="457"/>
      <c r="Y21" s="457"/>
      <c r="Z21" s="457"/>
      <c r="AA21" s="457"/>
      <c r="AB21" s="457"/>
      <c r="AC21" s="457"/>
      <c r="AD21" s="457"/>
      <c r="AE21" s="457"/>
      <c r="AF21" s="457"/>
      <c r="AG21" s="460">
        <f>+VLOOKUP(B21,'Biểu 2 TH MỦ dây'!$B$10:$AH$43,33,0)</f>
        <v>14</v>
      </c>
      <c r="AH21" s="462">
        <v>8000</v>
      </c>
      <c r="AI21" s="463">
        <f t="shared" si="0"/>
        <v>112000</v>
      </c>
      <c r="AJ21" s="461"/>
    </row>
    <row r="22" spans="1:36" s="464" customFormat="1" ht="36.75" customHeight="1">
      <c r="A22" s="460">
        <v>12</v>
      </c>
      <c r="B22" s="461" t="str">
        <f>+'Biểu 2 TH MỦ dây'!B21</f>
        <v>Phò Thít</v>
      </c>
      <c r="C22" s="457"/>
      <c r="D22" s="457"/>
      <c r="E22" s="457"/>
      <c r="F22" s="457"/>
      <c r="G22" s="457"/>
      <c r="H22" s="457"/>
      <c r="I22" s="457"/>
      <c r="J22" s="457"/>
      <c r="K22" s="457"/>
      <c r="L22" s="457"/>
      <c r="M22" s="457"/>
      <c r="N22" s="458"/>
      <c r="O22" s="457">
        <v>13</v>
      </c>
      <c r="P22" s="457"/>
      <c r="Q22" s="457"/>
      <c r="R22" s="457"/>
      <c r="S22" s="457">
        <v>6</v>
      </c>
      <c r="T22" s="457"/>
      <c r="U22" s="457"/>
      <c r="V22" s="457"/>
      <c r="W22" s="457"/>
      <c r="X22" s="457"/>
      <c r="Y22" s="457"/>
      <c r="Z22" s="457"/>
      <c r="AA22" s="457"/>
      <c r="AB22" s="457"/>
      <c r="AC22" s="457"/>
      <c r="AD22" s="457"/>
      <c r="AE22" s="457"/>
      <c r="AF22" s="457"/>
      <c r="AG22" s="460">
        <f>+VLOOKUP(B22,'Biểu 2 TH MỦ dây'!$B$10:$AH$43,33,0)</f>
        <v>14</v>
      </c>
      <c r="AH22" s="462">
        <v>8000</v>
      </c>
      <c r="AI22" s="463">
        <f t="shared" si="0"/>
        <v>112000</v>
      </c>
      <c r="AJ22" s="461"/>
    </row>
    <row r="23" spans="1:36" s="464" customFormat="1" ht="36.75" customHeight="1">
      <c r="A23" s="460">
        <v>13</v>
      </c>
      <c r="B23" s="461" t="str">
        <f>+'Biểu 2 TH MỦ dây'!B22</f>
        <v>A Bợp</v>
      </c>
      <c r="C23" s="457"/>
      <c r="D23" s="457"/>
      <c r="E23" s="457"/>
      <c r="F23" s="457"/>
      <c r="G23" s="457"/>
      <c r="H23" s="457"/>
      <c r="I23" s="457"/>
      <c r="J23" s="457"/>
      <c r="K23" s="457"/>
      <c r="L23" s="457"/>
      <c r="M23" s="457"/>
      <c r="N23" s="458"/>
      <c r="O23" s="457">
        <v>12</v>
      </c>
      <c r="P23" s="457"/>
      <c r="Q23" s="457"/>
      <c r="R23" s="457"/>
      <c r="S23" s="457"/>
      <c r="T23" s="457"/>
      <c r="U23" s="457"/>
      <c r="V23" s="457"/>
      <c r="W23" s="457"/>
      <c r="X23" s="457"/>
      <c r="Y23" s="457"/>
      <c r="Z23" s="457"/>
      <c r="AA23" s="457"/>
      <c r="AB23" s="457"/>
      <c r="AC23" s="457"/>
      <c r="AD23" s="457"/>
      <c r="AE23" s="457"/>
      <c r="AF23" s="457"/>
      <c r="AG23" s="460">
        <f>+VLOOKUP(B23,'Biểu 2 TH MỦ dây'!$B$10:$AH$43,33,0)</f>
        <v>14</v>
      </c>
      <c r="AH23" s="462">
        <v>8000</v>
      </c>
      <c r="AI23" s="463">
        <f t="shared" si="0"/>
        <v>112000</v>
      </c>
      <c r="AJ23" s="461"/>
    </row>
    <row r="24" spans="1:36" s="464" customFormat="1" ht="36.75" customHeight="1">
      <c r="A24" s="460">
        <v>14</v>
      </c>
      <c r="B24" s="461" t="str">
        <f>+'Biểu 2 TH MỦ dây'!B23</f>
        <v>A Khai</v>
      </c>
      <c r="C24" s="457"/>
      <c r="D24" s="457"/>
      <c r="E24" s="457"/>
      <c r="F24" s="457"/>
      <c r="G24" s="457"/>
      <c r="H24" s="457"/>
      <c r="I24" s="457"/>
      <c r="J24" s="457"/>
      <c r="K24" s="457"/>
      <c r="L24" s="457"/>
      <c r="M24" s="457"/>
      <c r="N24" s="458"/>
      <c r="O24" s="457"/>
      <c r="P24" s="457"/>
      <c r="Q24" s="457"/>
      <c r="R24" s="457"/>
      <c r="S24" s="457"/>
      <c r="T24" s="457"/>
      <c r="U24" s="457"/>
      <c r="V24" s="457"/>
      <c r="W24" s="457"/>
      <c r="X24" s="457"/>
      <c r="Y24" s="457"/>
      <c r="Z24" s="457"/>
      <c r="AA24" s="457"/>
      <c r="AB24" s="457"/>
      <c r="AC24" s="457"/>
      <c r="AD24" s="457"/>
      <c r="AE24" s="457"/>
      <c r="AF24" s="457"/>
      <c r="AG24" s="460">
        <f>+VLOOKUP(B24,'Biểu 2 TH MỦ dây'!$B$10:$AH$43,33,0)</f>
        <v>14</v>
      </c>
      <c r="AH24" s="462">
        <v>8000</v>
      </c>
      <c r="AI24" s="463">
        <f t="shared" si="0"/>
        <v>112000</v>
      </c>
      <c r="AJ24" s="461"/>
    </row>
    <row r="25" spans="1:36" s="464" customFormat="1" ht="36.75" customHeight="1">
      <c r="A25" s="460">
        <v>15</v>
      </c>
      <c r="B25" s="461" t="str">
        <f>+'Biểu 2 TH MỦ dây'!B24</f>
        <v>Võ Thị Nguyên</v>
      </c>
      <c r="C25" s="457"/>
      <c r="D25" s="457"/>
      <c r="E25" s="457"/>
      <c r="F25" s="457"/>
      <c r="G25" s="457"/>
      <c r="H25" s="457"/>
      <c r="I25" s="457"/>
      <c r="J25" s="457"/>
      <c r="K25" s="457"/>
      <c r="L25" s="457"/>
      <c r="M25" s="457"/>
      <c r="N25" s="458"/>
      <c r="O25" s="457"/>
      <c r="P25" s="457"/>
      <c r="Q25" s="457"/>
      <c r="R25" s="457"/>
      <c r="S25" s="457"/>
      <c r="T25" s="457"/>
      <c r="U25" s="457"/>
      <c r="V25" s="457"/>
      <c r="W25" s="457"/>
      <c r="X25" s="457"/>
      <c r="Y25" s="457"/>
      <c r="Z25" s="457"/>
      <c r="AA25" s="457"/>
      <c r="AB25" s="457"/>
      <c r="AC25" s="457"/>
      <c r="AD25" s="457"/>
      <c r="AE25" s="457"/>
      <c r="AF25" s="457"/>
      <c r="AG25" s="460">
        <f>+VLOOKUP(B25,'Biểu 2 TH MỦ dây'!$B$10:$AH$43,33,0)</f>
        <v>14</v>
      </c>
      <c r="AH25" s="462">
        <v>8000</v>
      </c>
      <c r="AI25" s="463">
        <f t="shared" si="0"/>
        <v>112000</v>
      </c>
      <c r="AJ25" s="461"/>
    </row>
    <row r="26" spans="1:36" s="464" customFormat="1" ht="36.75" customHeight="1">
      <c r="A26" s="460">
        <v>16</v>
      </c>
      <c r="B26" s="461" t="str">
        <f>+'Biểu 2 TH MỦ dây'!B25</f>
        <v>Tà Lọt</v>
      </c>
      <c r="C26" s="457"/>
      <c r="D26" s="457"/>
      <c r="E26" s="457"/>
      <c r="F26" s="457"/>
      <c r="G26" s="457"/>
      <c r="H26" s="457"/>
      <c r="I26" s="457"/>
      <c r="J26" s="457"/>
      <c r="K26" s="457"/>
      <c r="L26" s="457"/>
      <c r="M26" s="457"/>
      <c r="N26" s="458"/>
      <c r="O26" s="457"/>
      <c r="P26" s="457"/>
      <c r="Q26" s="457"/>
      <c r="R26" s="457"/>
      <c r="S26" s="457"/>
      <c r="T26" s="457"/>
      <c r="U26" s="457"/>
      <c r="V26" s="457"/>
      <c r="W26" s="457"/>
      <c r="X26" s="457"/>
      <c r="Y26" s="457"/>
      <c r="Z26" s="457"/>
      <c r="AA26" s="457"/>
      <c r="AB26" s="457"/>
      <c r="AC26" s="457"/>
      <c r="AD26" s="457"/>
      <c r="AE26" s="457"/>
      <c r="AF26" s="457"/>
      <c r="AG26" s="460">
        <f>+VLOOKUP(B26,'Biểu 2 TH MỦ dây'!$B$10:$AH$43,33,0)</f>
        <v>14</v>
      </c>
      <c r="AH26" s="462">
        <v>8000</v>
      </c>
      <c r="AI26" s="463">
        <f t="shared" si="0"/>
        <v>112000</v>
      </c>
      <c r="AJ26" s="461"/>
    </row>
    <row r="27" spans="1:36" s="464" customFormat="1" ht="36.75" customHeight="1">
      <c r="A27" s="460">
        <v>17</v>
      </c>
      <c r="B27" s="461" t="str">
        <f>+'Biểu 2 TH MỦ dây'!B26</f>
        <v>A Han</v>
      </c>
      <c r="C27" s="457"/>
      <c r="D27" s="457"/>
      <c r="E27" s="457"/>
      <c r="F27" s="457"/>
      <c r="G27" s="457"/>
      <c r="H27" s="457"/>
      <c r="I27" s="457"/>
      <c r="J27" s="457"/>
      <c r="K27" s="457"/>
      <c r="L27" s="457"/>
      <c r="M27" s="457"/>
      <c r="N27" s="458"/>
      <c r="O27" s="457"/>
      <c r="P27" s="457"/>
      <c r="Q27" s="457"/>
      <c r="R27" s="457"/>
      <c r="S27" s="457"/>
      <c r="T27" s="457"/>
      <c r="U27" s="457"/>
      <c r="V27" s="457"/>
      <c r="W27" s="457"/>
      <c r="X27" s="457"/>
      <c r="Y27" s="457"/>
      <c r="Z27" s="457"/>
      <c r="AA27" s="457"/>
      <c r="AB27" s="457"/>
      <c r="AC27" s="457"/>
      <c r="AD27" s="457"/>
      <c r="AE27" s="457"/>
      <c r="AF27" s="457"/>
      <c r="AG27" s="460">
        <f>+VLOOKUP(B27,'Biểu 2 TH MỦ dây'!$B$10:$AH$43,33,0)</f>
        <v>14</v>
      </c>
      <c r="AH27" s="462">
        <v>8000</v>
      </c>
      <c r="AI27" s="463">
        <f t="shared" si="0"/>
        <v>112000</v>
      </c>
      <c r="AJ27" s="461"/>
    </row>
    <row r="28" spans="1:36" s="464" customFormat="1" ht="36.75" customHeight="1">
      <c r="A28" s="460">
        <v>18</v>
      </c>
      <c r="B28" s="461" t="str">
        <f>+'Biểu 2 TH MỦ dây'!B27</f>
        <v>A Nút</v>
      </c>
      <c r="C28" s="457"/>
      <c r="D28" s="457"/>
      <c r="E28" s="457"/>
      <c r="F28" s="457"/>
      <c r="G28" s="457"/>
      <c r="H28" s="457"/>
      <c r="I28" s="457"/>
      <c r="J28" s="457"/>
      <c r="K28" s="457"/>
      <c r="L28" s="457"/>
      <c r="M28" s="457"/>
      <c r="N28" s="458"/>
      <c r="O28" s="457"/>
      <c r="P28" s="457"/>
      <c r="Q28" s="457"/>
      <c r="R28" s="457"/>
      <c r="S28" s="457"/>
      <c r="T28" s="457"/>
      <c r="U28" s="457"/>
      <c r="V28" s="457"/>
      <c r="W28" s="457"/>
      <c r="X28" s="457"/>
      <c r="Y28" s="457"/>
      <c r="Z28" s="457"/>
      <c r="AA28" s="457"/>
      <c r="AB28" s="457"/>
      <c r="AC28" s="457"/>
      <c r="AD28" s="457"/>
      <c r="AE28" s="457"/>
      <c r="AF28" s="457"/>
      <c r="AG28" s="460">
        <f>+VLOOKUP(B28,'Biểu 2 TH MỦ dây'!$B$10:$AH$43,33,0)</f>
        <v>14</v>
      </c>
      <c r="AH28" s="462">
        <v>8000</v>
      </c>
      <c r="AI28" s="463">
        <f t="shared" si="0"/>
        <v>112000</v>
      </c>
      <c r="AJ28" s="461"/>
    </row>
    <row r="29" spans="1:36" s="464" customFormat="1" ht="36.75" customHeight="1">
      <c r="A29" s="460">
        <v>19</v>
      </c>
      <c r="B29" s="461" t="str">
        <f>+'Biểu 2 TH MỦ dây'!B28</f>
        <v>Thảo Buôn</v>
      </c>
      <c r="C29" s="457"/>
      <c r="D29" s="457"/>
      <c r="E29" s="457"/>
      <c r="F29" s="457"/>
      <c r="G29" s="457"/>
      <c r="H29" s="457"/>
      <c r="I29" s="457"/>
      <c r="J29" s="457"/>
      <c r="K29" s="457"/>
      <c r="L29" s="457"/>
      <c r="M29" s="457"/>
      <c r="N29" s="458"/>
      <c r="O29" s="457"/>
      <c r="P29" s="457"/>
      <c r="Q29" s="457"/>
      <c r="R29" s="457"/>
      <c r="S29" s="457"/>
      <c r="T29" s="457"/>
      <c r="U29" s="457"/>
      <c r="V29" s="457"/>
      <c r="W29" s="457"/>
      <c r="X29" s="457"/>
      <c r="Y29" s="457"/>
      <c r="Z29" s="457"/>
      <c r="AA29" s="457"/>
      <c r="AB29" s="457"/>
      <c r="AC29" s="457"/>
      <c r="AD29" s="457"/>
      <c r="AE29" s="457"/>
      <c r="AF29" s="457"/>
      <c r="AG29" s="460">
        <f>+VLOOKUP(B29,'Biểu 2 TH MỦ dây'!$B$10:$AH$43,33,0)</f>
        <v>14</v>
      </c>
      <c r="AH29" s="462">
        <v>8000</v>
      </c>
      <c r="AI29" s="463">
        <f t="shared" si="0"/>
        <v>112000</v>
      </c>
      <c r="AJ29" s="461"/>
    </row>
    <row r="30" spans="1:36" s="464" customFormat="1" ht="36.75" customHeight="1">
      <c r="A30" s="460">
        <v>20</v>
      </c>
      <c r="B30" s="461" t="str">
        <f>+'Biểu 2 TH MỦ dây'!B29</f>
        <v>Phò Lấp</v>
      </c>
      <c r="C30" s="457"/>
      <c r="D30" s="457"/>
      <c r="E30" s="457"/>
      <c r="F30" s="457"/>
      <c r="G30" s="457"/>
      <c r="H30" s="457"/>
      <c r="I30" s="457"/>
      <c r="J30" s="457"/>
      <c r="K30" s="457"/>
      <c r="L30" s="457"/>
      <c r="M30" s="457"/>
      <c r="N30" s="458"/>
      <c r="O30" s="457"/>
      <c r="P30" s="457"/>
      <c r="Q30" s="457"/>
      <c r="R30" s="457"/>
      <c r="S30" s="457"/>
      <c r="T30" s="457"/>
      <c r="U30" s="457"/>
      <c r="V30" s="457"/>
      <c r="W30" s="457"/>
      <c r="X30" s="457"/>
      <c r="Y30" s="457"/>
      <c r="Z30" s="457"/>
      <c r="AA30" s="457"/>
      <c r="AB30" s="457"/>
      <c r="AC30" s="457"/>
      <c r="AD30" s="457"/>
      <c r="AE30" s="457"/>
      <c r="AF30" s="457"/>
      <c r="AG30" s="460">
        <f>+VLOOKUP(B30,'Biểu 2 TH MỦ dây'!$B$10:$AH$43,33,0)</f>
        <v>14</v>
      </c>
      <c r="AH30" s="462">
        <v>8000</v>
      </c>
      <c r="AI30" s="463">
        <f t="shared" si="0"/>
        <v>112000</v>
      </c>
      <c r="AJ30" s="461"/>
    </row>
    <row r="31" spans="1:36" s="464" customFormat="1" ht="36.75" customHeight="1">
      <c r="A31" s="460">
        <v>21</v>
      </c>
      <c r="B31" s="461" t="str">
        <f>+'Biểu 2 TH MỦ dây'!B30</f>
        <v>Phò Nhạc</v>
      </c>
      <c r="C31" s="457"/>
      <c r="D31" s="457"/>
      <c r="E31" s="457"/>
      <c r="F31" s="457"/>
      <c r="G31" s="457"/>
      <c r="H31" s="457"/>
      <c r="I31" s="457"/>
      <c r="J31" s="457"/>
      <c r="K31" s="457"/>
      <c r="L31" s="457"/>
      <c r="M31" s="457"/>
      <c r="N31" s="458"/>
      <c r="O31" s="457"/>
      <c r="P31" s="457"/>
      <c r="Q31" s="457"/>
      <c r="R31" s="457"/>
      <c r="S31" s="457"/>
      <c r="T31" s="457"/>
      <c r="U31" s="457"/>
      <c r="V31" s="457"/>
      <c r="W31" s="457"/>
      <c r="X31" s="457"/>
      <c r="Y31" s="457"/>
      <c r="Z31" s="457"/>
      <c r="AA31" s="457"/>
      <c r="AB31" s="457"/>
      <c r="AC31" s="457"/>
      <c r="AD31" s="457"/>
      <c r="AE31" s="457"/>
      <c r="AF31" s="457"/>
      <c r="AG31" s="460">
        <f>+VLOOKUP(B31,'Biểu 2 TH MỦ dây'!$B$10:$AH$43,33,0)</f>
        <v>14</v>
      </c>
      <c r="AH31" s="462">
        <v>8000</v>
      </c>
      <c r="AI31" s="463">
        <f t="shared" si="0"/>
        <v>112000</v>
      </c>
      <c r="AJ31" s="461"/>
    </row>
    <row r="32" spans="1:36" s="464" customFormat="1" ht="36.75" customHeight="1">
      <c r="A32" s="460">
        <v>22</v>
      </c>
      <c r="B32" s="461" t="str">
        <f>+'Biểu 2 TH MỦ dây'!B31</f>
        <v>Nang Nọi</v>
      </c>
      <c r="C32" s="457"/>
      <c r="D32" s="457"/>
      <c r="E32" s="457"/>
      <c r="F32" s="457"/>
      <c r="G32" s="457"/>
      <c r="H32" s="457"/>
      <c r="I32" s="457"/>
      <c r="J32" s="457"/>
      <c r="K32" s="457"/>
      <c r="L32" s="457"/>
      <c r="M32" s="457"/>
      <c r="N32" s="458"/>
      <c r="O32" s="457"/>
      <c r="P32" s="457"/>
      <c r="Q32" s="457"/>
      <c r="R32" s="457"/>
      <c r="S32" s="457"/>
      <c r="T32" s="457"/>
      <c r="U32" s="457"/>
      <c r="V32" s="457"/>
      <c r="W32" s="457"/>
      <c r="X32" s="457"/>
      <c r="Y32" s="457"/>
      <c r="Z32" s="457"/>
      <c r="AA32" s="457"/>
      <c r="AB32" s="457"/>
      <c r="AC32" s="457"/>
      <c r="AD32" s="457"/>
      <c r="AE32" s="457"/>
      <c r="AF32" s="457"/>
      <c r="AG32" s="460">
        <f>+VLOOKUP(B32,'Biểu 2 TH MỦ dây'!$B$10:$AH$43,33,0)</f>
        <v>14</v>
      </c>
      <c r="AH32" s="462">
        <v>8000</v>
      </c>
      <c r="AI32" s="463">
        <f t="shared" si="0"/>
        <v>112000</v>
      </c>
      <c r="AJ32" s="461"/>
    </row>
    <row r="33" spans="1:42" s="464" customFormat="1" ht="36.75" customHeight="1">
      <c r="A33" s="460">
        <v>23</v>
      </c>
      <c r="B33" s="461" t="str">
        <f>+'Biểu 2 TH MỦ dây'!B32</f>
        <v>Húc</v>
      </c>
      <c r="C33" s="457"/>
      <c r="D33" s="457"/>
      <c r="E33" s="457"/>
      <c r="F33" s="457"/>
      <c r="G33" s="457"/>
      <c r="H33" s="457"/>
      <c r="I33" s="457"/>
      <c r="J33" s="457"/>
      <c r="K33" s="457"/>
      <c r="L33" s="457"/>
      <c r="M33" s="457"/>
      <c r="N33" s="458"/>
      <c r="O33" s="457"/>
      <c r="P33" s="457"/>
      <c r="Q33" s="457"/>
      <c r="R33" s="457"/>
      <c r="S33" s="457"/>
      <c r="T33" s="457"/>
      <c r="U33" s="457"/>
      <c r="V33" s="457"/>
      <c r="W33" s="457"/>
      <c r="X33" s="457"/>
      <c r="Y33" s="457"/>
      <c r="Z33" s="457"/>
      <c r="AA33" s="457"/>
      <c r="AB33" s="457"/>
      <c r="AC33" s="457"/>
      <c r="AD33" s="457"/>
      <c r="AE33" s="457"/>
      <c r="AF33" s="457"/>
      <c r="AG33" s="460">
        <f>+VLOOKUP(B33,'Biểu 2 TH MỦ dây'!$B$10:$AH$43,33,0)</f>
        <v>14</v>
      </c>
      <c r="AH33" s="462">
        <v>8000</v>
      </c>
      <c r="AI33" s="463">
        <f t="shared" si="0"/>
        <v>112000</v>
      </c>
      <c r="AJ33" s="461"/>
    </row>
    <row r="34" spans="1:42" s="464" customFormat="1" ht="36.75" customHeight="1">
      <c r="A34" s="460">
        <v>24</v>
      </c>
      <c r="B34" s="461" t="str">
        <f>+'Biểu 2 TH MỦ dây'!B33</f>
        <v>A Côm</v>
      </c>
      <c r="C34" s="457"/>
      <c r="D34" s="457"/>
      <c r="E34" s="457"/>
      <c r="F34" s="457"/>
      <c r="G34" s="457"/>
      <c r="H34" s="457"/>
      <c r="I34" s="457"/>
      <c r="J34" s="457"/>
      <c r="K34" s="457"/>
      <c r="L34" s="457"/>
      <c r="M34" s="457"/>
      <c r="N34" s="458"/>
      <c r="O34" s="457"/>
      <c r="P34" s="457"/>
      <c r="Q34" s="457"/>
      <c r="R34" s="457"/>
      <c r="S34" s="457"/>
      <c r="T34" s="457"/>
      <c r="U34" s="457"/>
      <c r="V34" s="457"/>
      <c r="W34" s="457"/>
      <c r="X34" s="457"/>
      <c r="Y34" s="457"/>
      <c r="Z34" s="457"/>
      <c r="AA34" s="457"/>
      <c r="AB34" s="457"/>
      <c r="AC34" s="457"/>
      <c r="AD34" s="457"/>
      <c r="AE34" s="457"/>
      <c r="AF34" s="457"/>
      <c r="AG34" s="460">
        <f>+VLOOKUP(B34,'Biểu 2 TH MỦ dây'!$B$10:$AH$43,33,0)</f>
        <v>14</v>
      </c>
      <c r="AH34" s="462">
        <v>8000</v>
      </c>
      <c r="AI34" s="463">
        <f t="shared" si="0"/>
        <v>112000</v>
      </c>
      <c r="AJ34" s="461"/>
    </row>
    <row r="35" spans="1:42" s="464" customFormat="1" ht="36.75" customHeight="1">
      <c r="A35" s="460">
        <v>25</v>
      </c>
      <c r="B35" s="461" t="str">
        <f>+'Biểu 2 TH MỦ dây'!B34</f>
        <v>Nang Phen</v>
      </c>
      <c r="C35" s="457"/>
      <c r="D35" s="457"/>
      <c r="E35" s="457"/>
      <c r="F35" s="457"/>
      <c r="G35" s="457"/>
      <c r="H35" s="457"/>
      <c r="I35" s="457"/>
      <c r="J35" s="457"/>
      <c r="K35" s="457"/>
      <c r="L35" s="457"/>
      <c r="M35" s="457"/>
      <c r="N35" s="458"/>
      <c r="O35" s="457"/>
      <c r="P35" s="457"/>
      <c r="Q35" s="457"/>
      <c r="R35" s="457"/>
      <c r="S35" s="457"/>
      <c r="T35" s="457"/>
      <c r="U35" s="457"/>
      <c r="V35" s="457"/>
      <c r="W35" s="457"/>
      <c r="X35" s="457"/>
      <c r="Y35" s="457"/>
      <c r="Z35" s="457"/>
      <c r="AA35" s="457"/>
      <c r="AB35" s="457"/>
      <c r="AC35" s="457"/>
      <c r="AD35" s="457"/>
      <c r="AE35" s="457"/>
      <c r="AF35" s="457"/>
      <c r="AG35" s="460">
        <f>+VLOOKUP(B35,'Biểu 2 TH MỦ dây'!$B$10:$AH$43,33,0)</f>
        <v>14</v>
      </c>
      <c r="AH35" s="462">
        <v>8000</v>
      </c>
      <c r="AI35" s="463">
        <f t="shared" si="0"/>
        <v>112000</v>
      </c>
      <c r="AJ35" s="461"/>
    </row>
    <row r="36" spans="1:42" s="464" customFormat="1" ht="36.75" customHeight="1">
      <c r="A36" s="460">
        <v>26</v>
      </c>
      <c r="B36" s="461" t="str">
        <f>+'Biểu 2 TH MỦ dây'!B35</f>
        <v>Thảo Đuôn</v>
      </c>
      <c r="C36" s="457"/>
      <c r="D36" s="457"/>
      <c r="E36" s="457"/>
      <c r="F36" s="457"/>
      <c r="G36" s="457"/>
      <c r="H36" s="457"/>
      <c r="I36" s="457"/>
      <c r="J36" s="457"/>
      <c r="K36" s="457"/>
      <c r="L36" s="457"/>
      <c r="M36" s="457"/>
      <c r="N36" s="458"/>
      <c r="O36" s="457"/>
      <c r="P36" s="457"/>
      <c r="Q36" s="457"/>
      <c r="R36" s="457"/>
      <c r="S36" s="457"/>
      <c r="T36" s="457"/>
      <c r="U36" s="457"/>
      <c r="V36" s="457"/>
      <c r="W36" s="457"/>
      <c r="X36" s="457"/>
      <c r="Y36" s="457"/>
      <c r="Z36" s="457"/>
      <c r="AA36" s="457"/>
      <c r="AB36" s="457"/>
      <c r="AC36" s="457"/>
      <c r="AD36" s="457"/>
      <c r="AE36" s="457"/>
      <c r="AF36" s="457"/>
      <c r="AG36" s="460">
        <f>+VLOOKUP(B36,'Biểu 2 TH MỦ dây'!$B$10:$AH$43,33,0)</f>
        <v>14</v>
      </c>
      <c r="AH36" s="462">
        <v>8000</v>
      </c>
      <c r="AI36" s="463">
        <f t="shared" si="0"/>
        <v>112000</v>
      </c>
      <c r="AJ36" s="461"/>
    </row>
    <row r="37" spans="1:42" s="464" customFormat="1" ht="36.75" customHeight="1">
      <c r="A37" s="460">
        <v>27</v>
      </c>
      <c r="B37" s="461" t="str">
        <f>+'Biểu 2 TH MỦ dây'!B36</f>
        <v>A Rơ</v>
      </c>
      <c r="C37" s="457"/>
      <c r="D37" s="457"/>
      <c r="E37" s="457"/>
      <c r="F37" s="457"/>
      <c r="G37" s="457"/>
      <c r="H37" s="457"/>
      <c r="I37" s="457"/>
      <c r="J37" s="457"/>
      <c r="K37" s="457"/>
      <c r="L37" s="457"/>
      <c r="M37" s="457"/>
      <c r="N37" s="458"/>
      <c r="O37" s="457"/>
      <c r="P37" s="457"/>
      <c r="Q37" s="457"/>
      <c r="R37" s="457"/>
      <c r="S37" s="457"/>
      <c r="T37" s="457"/>
      <c r="U37" s="457"/>
      <c r="V37" s="457"/>
      <c r="W37" s="457"/>
      <c r="X37" s="457"/>
      <c r="Y37" s="457"/>
      <c r="Z37" s="457"/>
      <c r="AA37" s="457"/>
      <c r="AB37" s="457"/>
      <c r="AC37" s="457"/>
      <c r="AD37" s="457"/>
      <c r="AE37" s="457"/>
      <c r="AF37" s="457"/>
      <c r="AG37" s="460">
        <f>+VLOOKUP(B37,'Biểu 2 TH MỦ dây'!$B$10:$AH$43,33,0)</f>
        <v>14</v>
      </c>
      <c r="AH37" s="462">
        <v>8000</v>
      </c>
      <c r="AI37" s="463">
        <f t="shared" si="0"/>
        <v>112000</v>
      </c>
      <c r="AJ37" s="461"/>
    </row>
    <row r="38" spans="1:42" s="464" customFormat="1" ht="36.75" customHeight="1">
      <c r="A38" s="460">
        <v>28</v>
      </c>
      <c r="B38" s="461" t="str">
        <f>+'Biểu 2 TH MỦ dây'!B37</f>
        <v>Thảo Xâm</v>
      </c>
      <c r="C38" s="457"/>
      <c r="D38" s="457"/>
      <c r="E38" s="457"/>
      <c r="F38" s="457"/>
      <c r="G38" s="457"/>
      <c r="H38" s="457"/>
      <c r="I38" s="457"/>
      <c r="J38" s="457"/>
      <c r="K38" s="457"/>
      <c r="L38" s="457"/>
      <c r="M38" s="457"/>
      <c r="N38" s="458"/>
      <c r="O38" s="457"/>
      <c r="P38" s="457"/>
      <c r="Q38" s="457"/>
      <c r="R38" s="457"/>
      <c r="S38" s="457"/>
      <c r="T38" s="457"/>
      <c r="U38" s="457"/>
      <c r="V38" s="457"/>
      <c r="W38" s="457"/>
      <c r="X38" s="457"/>
      <c r="Y38" s="457"/>
      <c r="Z38" s="457"/>
      <c r="AA38" s="457"/>
      <c r="AB38" s="457"/>
      <c r="AC38" s="457"/>
      <c r="AD38" s="457"/>
      <c r="AE38" s="457"/>
      <c r="AF38" s="457"/>
      <c r="AG38" s="460">
        <f>+VLOOKUP(B38,'Biểu 2 TH MỦ dây'!$B$10:$AH$43,33,0)</f>
        <v>14</v>
      </c>
      <c r="AH38" s="462">
        <v>8000</v>
      </c>
      <c r="AI38" s="463">
        <f t="shared" si="0"/>
        <v>112000</v>
      </c>
      <c r="AJ38" s="461"/>
    </row>
    <row r="39" spans="1:42" s="464" customFormat="1" ht="36.75" customHeight="1">
      <c r="A39" s="460">
        <v>29</v>
      </c>
      <c r="B39" s="461" t="str">
        <f>+'Biểu 2 TH MỦ dây'!B38</f>
        <v>Thảo Anh</v>
      </c>
      <c r="C39" s="457"/>
      <c r="D39" s="457"/>
      <c r="E39" s="457"/>
      <c r="F39" s="457"/>
      <c r="G39" s="457"/>
      <c r="H39" s="457"/>
      <c r="I39" s="457"/>
      <c r="J39" s="457"/>
      <c r="K39" s="457"/>
      <c r="L39" s="457"/>
      <c r="M39" s="457"/>
      <c r="N39" s="458"/>
      <c r="O39" s="457"/>
      <c r="P39" s="457"/>
      <c r="Q39" s="457"/>
      <c r="R39" s="457"/>
      <c r="S39" s="457"/>
      <c r="T39" s="457"/>
      <c r="U39" s="457"/>
      <c r="V39" s="457"/>
      <c r="W39" s="457"/>
      <c r="X39" s="457"/>
      <c r="Y39" s="457"/>
      <c r="Z39" s="457"/>
      <c r="AA39" s="457"/>
      <c r="AB39" s="457"/>
      <c r="AC39" s="457"/>
      <c r="AD39" s="457"/>
      <c r="AE39" s="457"/>
      <c r="AF39" s="457"/>
      <c r="AG39" s="460">
        <f>+VLOOKUP(B39,'Biểu 2 TH MỦ dây'!$B$10:$AH$43,33,0)</f>
        <v>14</v>
      </c>
      <c r="AH39" s="462">
        <v>8000</v>
      </c>
      <c r="AI39" s="463">
        <f t="shared" si="0"/>
        <v>112000</v>
      </c>
      <c r="AJ39" s="461"/>
    </row>
    <row r="40" spans="1:42" s="464" customFormat="1" ht="36.75" customHeight="1">
      <c r="A40" s="460">
        <v>30</v>
      </c>
      <c r="B40" s="461" t="str">
        <f>+'Biểu 2 TH MỦ dây'!B39</f>
        <v>Nang Banh</v>
      </c>
      <c r="C40" s="457"/>
      <c r="D40" s="457"/>
      <c r="E40" s="457"/>
      <c r="F40" s="457"/>
      <c r="G40" s="457"/>
      <c r="H40" s="457"/>
      <c r="I40" s="457"/>
      <c r="J40" s="457"/>
      <c r="K40" s="457"/>
      <c r="L40" s="457"/>
      <c r="M40" s="457"/>
      <c r="N40" s="458"/>
      <c r="O40" s="457"/>
      <c r="P40" s="457"/>
      <c r="Q40" s="457"/>
      <c r="R40" s="457"/>
      <c r="S40" s="457"/>
      <c r="T40" s="457"/>
      <c r="U40" s="457"/>
      <c r="V40" s="457"/>
      <c r="W40" s="457"/>
      <c r="X40" s="457"/>
      <c r="Y40" s="457"/>
      <c r="Z40" s="457"/>
      <c r="AA40" s="457"/>
      <c r="AB40" s="457"/>
      <c r="AC40" s="457"/>
      <c r="AD40" s="457"/>
      <c r="AE40" s="457"/>
      <c r="AF40" s="457"/>
      <c r="AG40" s="460">
        <f>+VLOOKUP(B40,'Biểu 2 TH MỦ dây'!$B$10:$AH$43,33,0)</f>
        <v>15</v>
      </c>
      <c r="AH40" s="462">
        <v>8000</v>
      </c>
      <c r="AI40" s="463">
        <f t="shared" si="0"/>
        <v>120000</v>
      </c>
      <c r="AJ40" s="461"/>
    </row>
    <row r="41" spans="1:42" s="464" customFormat="1" ht="36.75" customHeight="1">
      <c r="A41" s="460">
        <v>31</v>
      </c>
      <c r="B41" s="461" t="str">
        <f>+'Biểu 2 TH MỦ dây'!B40</f>
        <v>Thảo Boi</v>
      </c>
      <c r="C41" s="457"/>
      <c r="D41" s="457"/>
      <c r="E41" s="457"/>
      <c r="F41" s="457"/>
      <c r="G41" s="457"/>
      <c r="H41" s="457"/>
      <c r="I41" s="457"/>
      <c r="J41" s="457"/>
      <c r="K41" s="457"/>
      <c r="L41" s="457"/>
      <c r="M41" s="457"/>
      <c r="N41" s="458"/>
      <c r="O41" s="457"/>
      <c r="P41" s="457"/>
      <c r="Q41" s="457"/>
      <c r="R41" s="457"/>
      <c r="S41" s="457"/>
      <c r="T41" s="457"/>
      <c r="U41" s="457"/>
      <c r="V41" s="457"/>
      <c r="W41" s="457"/>
      <c r="X41" s="457"/>
      <c r="Y41" s="457"/>
      <c r="Z41" s="457"/>
      <c r="AA41" s="457"/>
      <c r="AB41" s="457"/>
      <c r="AC41" s="457"/>
      <c r="AD41" s="457"/>
      <c r="AE41" s="457"/>
      <c r="AF41" s="457"/>
      <c r="AG41" s="460">
        <f>+VLOOKUP(B41,'Biểu 2 TH MỦ dây'!$B$10:$AH$43,33,0)</f>
        <v>15</v>
      </c>
      <c r="AH41" s="462">
        <v>8000</v>
      </c>
      <c r="AI41" s="463">
        <f t="shared" si="0"/>
        <v>120000</v>
      </c>
      <c r="AJ41" s="461"/>
    </row>
    <row r="42" spans="1:42" s="464" customFormat="1" ht="36.75" customHeight="1">
      <c r="A42" s="460">
        <v>32</v>
      </c>
      <c r="B42" s="461" t="str">
        <f>+'Biểu 2 TH MỦ dây'!B41</f>
        <v>Cha Lơ</v>
      </c>
      <c r="C42" s="457"/>
      <c r="D42" s="457"/>
      <c r="E42" s="457"/>
      <c r="F42" s="457"/>
      <c r="G42" s="457"/>
      <c r="H42" s="457"/>
      <c r="I42" s="457"/>
      <c r="J42" s="457"/>
      <c r="K42" s="457"/>
      <c r="L42" s="457"/>
      <c r="M42" s="457"/>
      <c r="N42" s="458"/>
      <c r="O42" s="457"/>
      <c r="P42" s="457"/>
      <c r="Q42" s="457"/>
      <c r="R42" s="457"/>
      <c r="S42" s="457"/>
      <c r="T42" s="457"/>
      <c r="U42" s="457"/>
      <c r="V42" s="457"/>
      <c r="W42" s="457"/>
      <c r="X42" s="457"/>
      <c r="Y42" s="457"/>
      <c r="Z42" s="457"/>
      <c r="AA42" s="457"/>
      <c r="AB42" s="457"/>
      <c r="AC42" s="457"/>
      <c r="AD42" s="457"/>
      <c r="AE42" s="457"/>
      <c r="AF42" s="457"/>
      <c r="AG42" s="460">
        <f>+VLOOKUP(B42,'Biểu 2 TH MỦ dây'!$B$10:$AH$43,33,0)</f>
        <v>15</v>
      </c>
      <c r="AH42" s="462">
        <v>8000</v>
      </c>
      <c r="AI42" s="463">
        <f t="shared" si="0"/>
        <v>120000</v>
      </c>
      <c r="AJ42" s="461"/>
    </row>
    <row r="43" spans="1:42" s="464" customFormat="1" ht="36.75" customHeight="1">
      <c r="A43" s="460">
        <v>33</v>
      </c>
      <c r="B43" s="461" t="str">
        <f>+'Biểu 2 TH MỦ dây'!B42</f>
        <v>Nang Cung</v>
      </c>
      <c r="C43" s="457"/>
      <c r="D43" s="457"/>
      <c r="E43" s="457"/>
      <c r="F43" s="457"/>
      <c r="G43" s="457"/>
      <c r="H43" s="457"/>
      <c r="I43" s="457"/>
      <c r="J43" s="457"/>
      <c r="K43" s="457"/>
      <c r="L43" s="457"/>
      <c r="M43" s="457"/>
      <c r="N43" s="458"/>
      <c r="O43" s="457"/>
      <c r="P43" s="457"/>
      <c r="Q43" s="457"/>
      <c r="R43" s="457"/>
      <c r="S43" s="457"/>
      <c r="T43" s="457"/>
      <c r="U43" s="457"/>
      <c r="V43" s="457"/>
      <c r="W43" s="457"/>
      <c r="X43" s="457"/>
      <c r="Y43" s="457"/>
      <c r="Z43" s="457"/>
      <c r="AA43" s="457"/>
      <c r="AB43" s="457"/>
      <c r="AC43" s="457"/>
      <c r="AD43" s="457"/>
      <c r="AE43" s="457"/>
      <c r="AF43" s="457"/>
      <c r="AG43" s="460">
        <f>+VLOOKUP(B43,'Biểu 2 TH MỦ dây'!$B$10:$AH$43,33,0)</f>
        <v>16</v>
      </c>
      <c r="AH43" s="462">
        <v>8000</v>
      </c>
      <c r="AI43" s="463">
        <f t="shared" si="0"/>
        <v>128000</v>
      </c>
      <c r="AJ43" s="461"/>
    </row>
    <row r="44" spans="1:42" s="464" customFormat="1" ht="36.75" customHeight="1">
      <c r="A44" s="460">
        <v>34</v>
      </c>
      <c r="B44" s="461" t="str">
        <f>+'Biểu 2 TH MỦ dây'!B43</f>
        <v>Thảo Xen</v>
      </c>
      <c r="C44" s="457"/>
      <c r="D44" s="457"/>
      <c r="E44" s="457"/>
      <c r="F44" s="457"/>
      <c r="G44" s="457"/>
      <c r="H44" s="457"/>
      <c r="I44" s="457"/>
      <c r="J44" s="457"/>
      <c r="K44" s="457"/>
      <c r="L44" s="457"/>
      <c r="M44" s="457"/>
      <c r="N44" s="458"/>
      <c r="O44" s="457"/>
      <c r="P44" s="457"/>
      <c r="Q44" s="457"/>
      <c r="R44" s="457"/>
      <c r="S44" s="457"/>
      <c r="T44" s="457"/>
      <c r="U44" s="457"/>
      <c r="V44" s="457"/>
      <c r="W44" s="457"/>
      <c r="X44" s="457"/>
      <c r="Y44" s="457"/>
      <c r="Z44" s="457"/>
      <c r="AA44" s="457"/>
      <c r="AB44" s="457"/>
      <c r="AC44" s="457"/>
      <c r="AD44" s="457"/>
      <c r="AE44" s="457"/>
      <c r="AF44" s="457"/>
      <c r="AG44" s="460">
        <f>+VLOOKUP(B44,'Biểu 2 TH MỦ dây'!$B$10:$AH$43,33,0)</f>
        <v>16</v>
      </c>
      <c r="AH44" s="462">
        <v>8000</v>
      </c>
      <c r="AI44" s="463">
        <f t="shared" si="0"/>
        <v>128000</v>
      </c>
      <c r="AJ44" s="461"/>
    </row>
    <row r="45" spans="1:42" s="464" customFormat="1" ht="36.75" customHeight="1">
      <c r="A45" s="460">
        <v>78</v>
      </c>
      <c r="B45" s="461" t="s">
        <v>290</v>
      </c>
      <c r="C45" s="457"/>
      <c r="D45" s="457"/>
      <c r="E45" s="457"/>
      <c r="F45" s="457"/>
      <c r="G45" s="457"/>
      <c r="H45" s="457"/>
      <c r="I45" s="457"/>
      <c r="J45" s="457"/>
      <c r="K45" s="457"/>
      <c r="L45" s="457"/>
      <c r="M45" s="457"/>
      <c r="N45" s="458"/>
      <c r="O45" s="457"/>
      <c r="P45" s="457"/>
      <c r="Q45" s="457"/>
      <c r="R45" s="457"/>
      <c r="S45" s="457"/>
      <c r="T45" s="457"/>
      <c r="U45" s="457"/>
      <c r="V45" s="457"/>
      <c r="W45" s="457"/>
      <c r="X45" s="457"/>
      <c r="Y45" s="457"/>
      <c r="Z45" s="457"/>
      <c r="AA45" s="457"/>
      <c r="AB45" s="457"/>
      <c r="AC45" s="457"/>
      <c r="AD45" s="457"/>
      <c r="AE45" s="457"/>
      <c r="AF45" s="457"/>
      <c r="AG45" s="460">
        <f>SUM(AG11:AG44)</f>
        <v>490</v>
      </c>
      <c r="AH45" s="462">
        <v>700</v>
      </c>
      <c r="AI45" s="463">
        <f t="shared" ref="AI45:AI47" si="1">+AG45*AH45</f>
        <v>343000</v>
      </c>
      <c r="AJ45" s="461"/>
    </row>
    <row r="46" spans="1:42" s="464" customFormat="1" ht="36.75" customHeight="1">
      <c r="A46" s="460">
        <v>79</v>
      </c>
      <c r="B46" s="461" t="s">
        <v>110</v>
      </c>
      <c r="C46" s="457"/>
      <c r="D46" s="457"/>
      <c r="E46" s="457"/>
      <c r="F46" s="457"/>
      <c r="G46" s="457"/>
      <c r="H46" s="457"/>
      <c r="I46" s="457"/>
      <c r="J46" s="457"/>
      <c r="K46" s="457"/>
      <c r="L46" s="457"/>
      <c r="M46" s="457"/>
      <c r="N46" s="458"/>
      <c r="O46" s="457"/>
      <c r="P46" s="457"/>
      <c r="Q46" s="457"/>
      <c r="R46" s="457"/>
      <c r="S46" s="457"/>
      <c r="T46" s="457"/>
      <c r="U46" s="457"/>
      <c r="V46" s="457"/>
      <c r="W46" s="457"/>
      <c r="X46" s="457"/>
      <c r="Y46" s="457"/>
      <c r="Z46" s="457"/>
      <c r="AA46" s="457"/>
      <c r="AB46" s="457"/>
      <c r="AC46" s="457"/>
      <c r="AD46" s="457"/>
      <c r="AE46" s="457"/>
      <c r="AF46" s="457"/>
      <c r="AG46" s="460">
        <f>+AG45</f>
        <v>490</v>
      </c>
      <c r="AH46" s="462">
        <v>300</v>
      </c>
      <c r="AI46" s="463">
        <f t="shared" si="1"/>
        <v>147000</v>
      </c>
      <c r="AJ46" s="461"/>
      <c r="AP46" s="1069" t="s">
        <v>541</v>
      </c>
    </row>
    <row r="47" spans="1:42" s="464" customFormat="1" ht="36.75" customHeight="1">
      <c r="A47" s="460">
        <v>80</v>
      </c>
      <c r="B47" s="461" t="s">
        <v>328</v>
      </c>
      <c r="C47" s="457"/>
      <c r="D47" s="457"/>
      <c r="E47" s="457"/>
      <c r="F47" s="457"/>
      <c r="G47" s="457"/>
      <c r="H47" s="457"/>
      <c r="I47" s="457"/>
      <c r="J47" s="457"/>
      <c r="K47" s="457"/>
      <c r="L47" s="457"/>
      <c r="M47" s="457"/>
      <c r="N47" s="458"/>
      <c r="O47" s="457"/>
      <c r="P47" s="457"/>
      <c r="Q47" s="457"/>
      <c r="R47" s="457"/>
      <c r="S47" s="457"/>
      <c r="T47" s="457"/>
      <c r="U47" s="457"/>
      <c r="V47" s="457"/>
      <c r="W47" s="457"/>
      <c r="X47" s="457"/>
      <c r="Y47" s="457"/>
      <c r="Z47" s="457"/>
      <c r="AA47" s="457"/>
      <c r="AB47" s="457"/>
      <c r="AC47" s="457"/>
      <c r="AD47" s="457"/>
      <c r="AE47" s="457"/>
      <c r="AF47" s="457"/>
      <c r="AG47" s="460">
        <f>+AG45</f>
        <v>490</v>
      </c>
      <c r="AH47" s="462">
        <v>1000</v>
      </c>
      <c r="AI47" s="463">
        <f t="shared" si="1"/>
        <v>490000</v>
      </c>
      <c r="AJ47" s="461"/>
    </row>
    <row r="48" spans="1:42" s="468" customFormat="1" ht="36.75" customHeight="1">
      <c r="A48" s="1251" t="s">
        <v>327</v>
      </c>
      <c r="B48" s="1251"/>
      <c r="C48" s="459" t="e">
        <f>#REF!+#REF!+#REF!+#REF!</f>
        <v>#REF!</v>
      </c>
      <c r="D48" s="459" t="e">
        <f>#REF!+#REF!+#REF!+#REF!</f>
        <v>#REF!</v>
      </c>
      <c r="E48" s="459" t="e">
        <f>#REF!+#REF!+#REF!+#REF!</f>
        <v>#REF!</v>
      </c>
      <c r="F48" s="459" t="e">
        <f>#REF!+#REF!+#REF!+#REF!</f>
        <v>#REF!</v>
      </c>
      <c r="G48" s="459" t="e">
        <f>#REF!+#REF!+#REF!+#REF!</f>
        <v>#REF!</v>
      </c>
      <c r="H48" s="459" t="e">
        <f>#REF!+#REF!+#REF!+#REF!</f>
        <v>#REF!</v>
      </c>
      <c r="I48" s="459" t="e">
        <f>#REF!+#REF!+#REF!+#REF!</f>
        <v>#REF!</v>
      </c>
      <c r="J48" s="459" t="e">
        <f>#REF!+#REF!+#REF!+#REF!</f>
        <v>#REF!</v>
      </c>
      <c r="K48" s="459" t="e">
        <f>#REF!+#REF!+#REF!+#REF!</f>
        <v>#REF!</v>
      </c>
      <c r="L48" s="459" t="e">
        <f>#REF!+#REF!+#REF!+#REF!</f>
        <v>#REF!</v>
      </c>
      <c r="M48" s="459" t="e">
        <f>#REF!+#REF!+#REF!+#REF!</f>
        <v>#REF!</v>
      </c>
      <c r="N48" s="459" t="e">
        <f>#REF!+#REF!+#REF!+#REF!</f>
        <v>#REF!</v>
      </c>
      <c r="O48" s="459" t="e">
        <f>#REF!+#REF!+#REF!+#REF!</f>
        <v>#REF!</v>
      </c>
      <c r="P48" s="459" t="e">
        <f>#REF!+#REF!+#REF!+#REF!</f>
        <v>#REF!</v>
      </c>
      <c r="Q48" s="459" t="e">
        <f>#REF!+#REF!+#REF!+#REF!</f>
        <v>#REF!</v>
      </c>
      <c r="R48" s="459" t="e">
        <f>#REF!+#REF!+#REF!+#REF!</f>
        <v>#REF!</v>
      </c>
      <c r="S48" s="459" t="e">
        <f>#REF!+#REF!+#REF!+#REF!</f>
        <v>#REF!</v>
      </c>
      <c r="T48" s="459" t="e">
        <f>#REF!+#REF!+#REF!+#REF!</f>
        <v>#REF!</v>
      </c>
      <c r="U48" s="459" t="e">
        <f>#REF!+#REF!+#REF!+#REF!</f>
        <v>#REF!</v>
      </c>
      <c r="V48" s="459" t="e">
        <f>#REF!+#REF!+#REF!+#REF!</f>
        <v>#REF!</v>
      </c>
      <c r="W48" s="459" t="e">
        <f>#REF!+#REF!+#REF!+#REF!</f>
        <v>#REF!</v>
      </c>
      <c r="X48" s="459" t="e">
        <f>#REF!+#REF!+#REF!+#REF!</f>
        <v>#REF!</v>
      </c>
      <c r="Y48" s="459" t="e">
        <f>#REF!+#REF!+#REF!+#REF!</f>
        <v>#REF!</v>
      </c>
      <c r="Z48" s="459" t="e">
        <f>#REF!+#REF!+#REF!+#REF!</f>
        <v>#REF!</v>
      </c>
      <c r="AA48" s="459" t="e">
        <f>#REF!+#REF!+#REF!+#REF!</f>
        <v>#REF!</v>
      </c>
      <c r="AB48" s="459" t="e">
        <f>#REF!+#REF!+#REF!+#REF!</f>
        <v>#REF!</v>
      </c>
      <c r="AC48" s="459" t="e">
        <f>#REF!+#REF!+#REF!+#REF!</f>
        <v>#REF!</v>
      </c>
      <c r="AD48" s="459" t="e">
        <f>#REF!+#REF!+#REF!+#REF!</f>
        <v>#REF!</v>
      </c>
      <c r="AE48" s="459" t="e">
        <f>#REF!+#REF!+#REF!+#REF!</f>
        <v>#REF!</v>
      </c>
      <c r="AF48" s="459" t="e">
        <f>#REF!+#REF!+#REF!+#REF!</f>
        <v>#REF!</v>
      </c>
      <c r="AG48" s="465">
        <f>+SUM(AG11:AG44)</f>
        <v>490</v>
      </c>
      <c r="AH48" s="466"/>
      <c r="AI48" s="459">
        <f>+SUM(AI11:AI47)</f>
        <v>4900000</v>
      </c>
      <c r="AJ48" s="467"/>
      <c r="AK48" s="468">
        <f>+AG48*9000</f>
        <v>4410000</v>
      </c>
    </row>
    <row r="49" spans="1:39" ht="36.75" customHeight="1">
      <c r="A49" s="1252" t="s">
        <v>521</v>
      </c>
      <c r="B49" s="1253"/>
      <c r="C49" s="1253"/>
      <c r="D49" s="1253"/>
      <c r="E49" s="1253"/>
      <c r="F49" s="1253"/>
      <c r="G49" s="1253"/>
      <c r="H49" s="1253"/>
      <c r="I49" s="1253"/>
      <c r="J49" s="1253"/>
      <c r="K49" s="1253"/>
      <c r="L49" s="1253"/>
      <c r="M49" s="1253"/>
      <c r="N49" s="1253"/>
      <c r="O49" s="1253"/>
      <c r="P49" s="1253"/>
      <c r="Q49" s="1253"/>
      <c r="R49" s="1253"/>
      <c r="S49" s="1253"/>
      <c r="T49" s="1253"/>
      <c r="U49" s="1253"/>
      <c r="V49" s="1253"/>
      <c r="W49" s="1253"/>
      <c r="X49" s="1253"/>
      <c r="Y49" s="1253"/>
      <c r="Z49" s="1253"/>
      <c r="AA49" s="1253"/>
      <c r="AB49" s="1253"/>
      <c r="AC49" s="1253"/>
      <c r="AD49" s="1253"/>
      <c r="AE49" s="1253"/>
      <c r="AF49" s="1253"/>
      <c r="AG49" s="1253"/>
      <c r="AH49" s="1253"/>
      <c r="AI49" s="1253"/>
      <c r="AJ49" s="1254"/>
      <c r="AM49" s="269">
        <f>+AG48*9000</f>
        <v>4410000</v>
      </c>
    </row>
    <row r="50" spans="1:39" ht="9"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3"/>
      <c r="AH50" s="282"/>
      <c r="AI50" s="282"/>
      <c r="AJ50" s="282"/>
    </row>
    <row r="51" spans="1:39" ht="18" customHeight="1">
      <c r="A51" s="273"/>
      <c r="B51" s="281"/>
      <c r="C51" s="272"/>
      <c r="D51" s="272"/>
      <c r="E51" s="272"/>
      <c r="F51" s="272"/>
      <c r="G51" s="272"/>
      <c r="H51" s="272"/>
      <c r="I51" s="272"/>
      <c r="J51" s="272"/>
      <c r="K51" s="272"/>
      <c r="L51" s="272"/>
      <c r="M51" s="272"/>
      <c r="N51" s="272"/>
      <c r="O51" s="272"/>
      <c r="P51" s="272"/>
      <c r="Q51" s="272"/>
      <c r="R51" s="272"/>
      <c r="S51" s="272"/>
      <c r="T51" s="272"/>
      <c r="U51" s="280"/>
      <c r="V51" s="280"/>
      <c r="W51" s="279"/>
      <c r="X51" s="279"/>
      <c r="Y51" s="279"/>
      <c r="Z51" s="279"/>
      <c r="AA51" s="279"/>
      <c r="AB51" s="279"/>
      <c r="AC51" s="279"/>
      <c r="AD51" s="1255" t="s">
        <v>483</v>
      </c>
      <c r="AE51" s="1255"/>
      <c r="AF51" s="1255"/>
      <c r="AG51" s="1255"/>
      <c r="AH51" s="1255"/>
      <c r="AI51" s="1255"/>
      <c r="AJ51" s="1255"/>
    </row>
    <row r="52" spans="1:39" hidden="1">
      <c r="A52" s="273"/>
      <c r="B52" s="281"/>
      <c r="C52" s="272"/>
      <c r="D52" s="272"/>
      <c r="E52" s="272"/>
      <c r="F52" s="272"/>
      <c r="G52" s="272"/>
      <c r="H52" s="272"/>
      <c r="I52" s="272"/>
      <c r="J52" s="272"/>
      <c r="K52" s="272"/>
      <c r="L52" s="272"/>
      <c r="M52" s="272"/>
      <c r="N52" s="272"/>
      <c r="O52" s="272"/>
      <c r="P52" s="272"/>
      <c r="Q52" s="272"/>
      <c r="R52" s="272"/>
      <c r="S52" s="272"/>
      <c r="T52" s="272"/>
      <c r="U52" s="280"/>
      <c r="V52" s="280"/>
      <c r="W52" s="279"/>
      <c r="X52" s="279"/>
      <c r="Y52" s="279"/>
      <c r="Z52" s="279"/>
      <c r="AA52" s="279"/>
      <c r="AB52" s="279"/>
      <c r="AC52" s="279"/>
      <c r="AD52" s="278"/>
      <c r="AE52" s="278"/>
      <c r="AF52" s="278"/>
      <c r="AG52" s="278"/>
      <c r="AH52" s="278"/>
      <c r="AI52" s="278"/>
      <c r="AJ52" s="278"/>
    </row>
    <row r="53" spans="1:39" s="471" customFormat="1" ht="29.25" customHeight="1">
      <c r="A53" s="1256" t="s">
        <v>543</v>
      </c>
      <c r="B53" s="1256"/>
      <c r="C53" s="469"/>
      <c r="D53" s="469"/>
      <c r="E53" s="469"/>
      <c r="F53" s="469"/>
      <c r="G53" s="469"/>
      <c r="H53" s="469"/>
      <c r="I53" s="469"/>
      <c r="J53" s="469"/>
      <c r="K53" s="469"/>
      <c r="L53" s="469"/>
      <c r="M53" s="469"/>
      <c r="N53" s="469"/>
      <c r="O53" s="469"/>
      <c r="P53" s="469"/>
      <c r="Q53" s="469"/>
      <c r="R53" s="469"/>
      <c r="S53" s="469"/>
      <c r="T53" s="469"/>
      <c r="U53" s="469"/>
      <c r="V53" s="469"/>
      <c r="W53" s="469"/>
      <c r="X53" s="469"/>
      <c r="Y53" s="469"/>
      <c r="Z53" s="469"/>
      <c r="AA53" s="469"/>
      <c r="AB53" s="469"/>
      <c r="AC53" s="469"/>
      <c r="AD53" s="469"/>
      <c r="AE53" s="469"/>
      <c r="AF53" s="469"/>
      <c r="AG53" s="470" t="s">
        <v>525</v>
      </c>
      <c r="AH53" s="470" t="s">
        <v>515</v>
      </c>
      <c r="AI53" s="470" t="s">
        <v>437</v>
      </c>
      <c r="AJ53" s="470" t="s">
        <v>542</v>
      </c>
    </row>
    <row r="54" spans="1:39">
      <c r="A54" s="277"/>
      <c r="B54" s="277"/>
      <c r="C54" s="277"/>
      <c r="D54" s="277"/>
      <c r="E54" s="277"/>
      <c r="F54" s="277"/>
      <c r="G54" s="277"/>
      <c r="H54" s="277"/>
      <c r="I54" s="277"/>
      <c r="J54" s="277"/>
      <c r="K54" s="277"/>
      <c r="L54" s="277"/>
      <c r="M54" s="277"/>
      <c r="N54" s="277"/>
      <c r="O54" s="277"/>
      <c r="P54" s="277"/>
      <c r="Q54" s="277"/>
      <c r="R54" s="277"/>
      <c r="S54" s="277"/>
      <c r="T54" s="277"/>
      <c r="U54" s="277"/>
      <c r="V54" s="277"/>
      <c r="W54" s="276"/>
      <c r="X54" s="276"/>
      <c r="Y54" s="276"/>
      <c r="Z54" s="276"/>
      <c r="AA54" s="276"/>
      <c r="AB54" s="276"/>
      <c r="AC54" s="276"/>
      <c r="AD54" s="276"/>
      <c r="AE54" s="276"/>
      <c r="AF54" s="276"/>
      <c r="AG54" s="276"/>
      <c r="AH54" s="276"/>
      <c r="AI54" s="275"/>
    </row>
    <row r="55" spans="1:39">
      <c r="A55" s="277"/>
      <c r="B55" s="277"/>
      <c r="C55" s="277"/>
      <c r="D55" s="277"/>
      <c r="E55" s="277"/>
      <c r="F55" s="277"/>
      <c r="G55" s="277"/>
      <c r="H55" s="277"/>
      <c r="I55" s="277"/>
      <c r="J55" s="277"/>
      <c r="K55" s="277"/>
      <c r="L55" s="277"/>
      <c r="M55" s="277"/>
      <c r="N55" s="277"/>
      <c r="O55" s="277"/>
      <c r="P55" s="277"/>
      <c r="Q55" s="277"/>
      <c r="R55" s="277"/>
      <c r="S55" s="277"/>
      <c r="T55" s="277"/>
      <c r="U55" s="277"/>
      <c r="V55" s="277"/>
      <c r="W55" s="276"/>
      <c r="X55" s="276"/>
      <c r="Y55" s="276"/>
      <c r="Z55" s="276"/>
      <c r="AA55" s="276"/>
      <c r="AB55" s="276"/>
      <c r="AC55" s="276"/>
      <c r="AD55" s="276"/>
      <c r="AE55" s="276"/>
      <c r="AF55" s="276"/>
      <c r="AG55" s="276"/>
      <c r="AH55" s="276"/>
      <c r="AI55" s="275"/>
    </row>
    <row r="56" spans="1:39">
      <c r="A56" s="277"/>
      <c r="B56" s="277"/>
      <c r="C56" s="277"/>
      <c r="D56" s="277"/>
      <c r="E56" s="277"/>
      <c r="F56" s="277"/>
      <c r="G56" s="277"/>
      <c r="H56" s="277"/>
      <c r="I56" s="277"/>
      <c r="J56" s="277"/>
      <c r="K56" s="277"/>
      <c r="L56" s="277"/>
      <c r="M56" s="277"/>
      <c r="N56" s="277"/>
      <c r="O56" s="277"/>
      <c r="P56" s="277"/>
      <c r="Q56" s="277"/>
      <c r="R56" s="277"/>
      <c r="S56" s="277"/>
      <c r="T56" s="277"/>
      <c r="U56" s="277"/>
      <c r="V56" s="277"/>
      <c r="W56" s="276"/>
      <c r="X56" s="276"/>
      <c r="Y56" s="276"/>
      <c r="Z56" s="276"/>
      <c r="AA56" s="276"/>
      <c r="AB56" s="276"/>
      <c r="AC56" s="276"/>
      <c r="AD56" s="276"/>
      <c r="AE56" s="276"/>
      <c r="AF56" s="276"/>
      <c r="AG56" s="276"/>
      <c r="AH56" s="276"/>
      <c r="AI56" s="275"/>
    </row>
    <row r="57" spans="1:39">
      <c r="A57" s="277"/>
      <c r="B57" s="277"/>
      <c r="C57" s="277"/>
      <c r="D57" s="277"/>
      <c r="E57" s="277"/>
      <c r="F57" s="277"/>
      <c r="G57" s="277"/>
      <c r="H57" s="277"/>
      <c r="I57" s="277"/>
      <c r="J57" s="277"/>
      <c r="K57" s="277"/>
      <c r="L57" s="277"/>
      <c r="M57" s="277"/>
      <c r="N57" s="277"/>
      <c r="O57" s="277"/>
      <c r="P57" s="277"/>
      <c r="Q57" s="277"/>
      <c r="R57" s="277"/>
      <c r="S57" s="277"/>
      <c r="T57" s="277"/>
      <c r="U57" s="277"/>
      <c r="V57" s="277"/>
      <c r="W57" s="276"/>
      <c r="X57" s="276"/>
      <c r="Y57" s="276"/>
      <c r="Z57" s="276"/>
      <c r="AA57" s="276"/>
      <c r="AB57" s="276"/>
      <c r="AC57" s="276"/>
      <c r="AD57" s="276"/>
      <c r="AE57" s="276"/>
      <c r="AF57" s="276"/>
      <c r="AG57" s="276"/>
      <c r="AH57" s="276"/>
      <c r="AI57" s="275"/>
    </row>
    <row r="58" spans="1:39">
      <c r="A58" s="277"/>
      <c r="B58" s="277"/>
      <c r="C58" s="277"/>
      <c r="D58" s="277"/>
      <c r="E58" s="277"/>
      <c r="F58" s="277"/>
      <c r="G58" s="277"/>
      <c r="H58" s="277"/>
      <c r="I58" s="277"/>
      <c r="J58" s="277"/>
      <c r="K58" s="277"/>
      <c r="L58" s="277"/>
      <c r="M58" s="277"/>
      <c r="N58" s="277"/>
      <c r="O58" s="277"/>
      <c r="P58" s="277"/>
      <c r="Q58" s="277"/>
      <c r="R58" s="277"/>
      <c r="S58" s="277"/>
      <c r="T58" s="277"/>
      <c r="U58" s="277"/>
      <c r="V58" s="277"/>
      <c r="W58" s="276"/>
      <c r="X58" s="276"/>
      <c r="Y58" s="276"/>
      <c r="Z58" s="276"/>
      <c r="AA58" s="276"/>
      <c r="AB58" s="276"/>
      <c r="AC58" s="276"/>
      <c r="AD58" s="276"/>
      <c r="AE58" s="276"/>
      <c r="AF58" s="276"/>
      <c r="AG58" s="276"/>
      <c r="AH58" s="276"/>
      <c r="AI58" s="275"/>
    </row>
    <row r="59" spans="1:39">
      <c r="A59" s="273"/>
      <c r="B59" s="273"/>
      <c r="C59" s="271"/>
      <c r="D59" s="271"/>
      <c r="E59" s="271"/>
      <c r="F59" s="271"/>
      <c r="G59" s="271"/>
      <c r="H59" s="271"/>
      <c r="I59" s="272"/>
      <c r="J59" s="272"/>
      <c r="K59" s="272"/>
      <c r="L59" s="272"/>
      <c r="M59" s="272"/>
      <c r="N59" s="272"/>
      <c r="O59" s="272"/>
      <c r="P59" s="272"/>
      <c r="Q59" s="272"/>
      <c r="R59" s="272"/>
      <c r="S59" s="272"/>
      <c r="T59" s="272"/>
      <c r="U59" s="272"/>
      <c r="V59" s="272"/>
      <c r="W59" s="272"/>
      <c r="X59" s="272"/>
      <c r="Y59" s="272"/>
      <c r="Z59" s="272"/>
      <c r="AA59" s="272"/>
      <c r="AB59" s="272"/>
      <c r="AC59" s="272"/>
      <c r="AD59" s="272"/>
      <c r="AE59" s="272"/>
      <c r="AF59" s="272"/>
      <c r="AG59" s="272"/>
    </row>
    <row r="60" spans="1:39" s="1076" customFormat="1">
      <c r="A60" s="1073"/>
      <c r="B60" s="1073"/>
      <c r="C60" s="1074"/>
      <c r="D60" s="1074"/>
      <c r="E60" s="1074"/>
      <c r="F60" s="1074"/>
      <c r="G60" s="1074"/>
      <c r="H60" s="1075"/>
      <c r="I60" s="1074"/>
      <c r="J60" s="1074"/>
      <c r="K60" s="1074"/>
      <c r="L60" s="1074"/>
      <c r="M60" s="1074"/>
      <c r="N60" s="1074"/>
      <c r="O60" s="1074"/>
      <c r="P60" s="1074"/>
      <c r="Q60" s="1074"/>
      <c r="R60" s="1074"/>
      <c r="S60" s="1074"/>
      <c r="T60" s="1074"/>
      <c r="U60" s="1074"/>
      <c r="V60" s="1074"/>
      <c r="W60" s="1074"/>
      <c r="X60" s="1074"/>
      <c r="Y60" s="1074"/>
      <c r="Z60" s="1074"/>
      <c r="AA60" s="1074"/>
      <c r="AB60" s="1074"/>
      <c r="AC60" s="1074"/>
      <c r="AD60" s="1074"/>
      <c r="AE60" s="1074"/>
      <c r="AF60" s="1074"/>
      <c r="AG60" s="1074"/>
      <c r="AH60" s="1077" t="s">
        <v>524</v>
      </c>
      <c r="AI60" s="1077" t="s">
        <v>110</v>
      </c>
      <c r="AJ60" s="1076" t="s">
        <v>290</v>
      </c>
    </row>
    <row r="61" spans="1:39">
      <c r="C61" s="272"/>
      <c r="D61" s="272"/>
      <c r="E61" s="272"/>
      <c r="F61" s="272"/>
      <c r="G61" s="272"/>
      <c r="H61" s="271"/>
      <c r="I61" s="272"/>
      <c r="J61" s="272"/>
      <c r="K61" s="272"/>
      <c r="L61" s="272"/>
      <c r="M61" s="272"/>
      <c r="N61" s="272"/>
      <c r="O61" s="272"/>
      <c r="P61" s="272"/>
      <c r="Q61" s="272"/>
      <c r="R61" s="272"/>
      <c r="S61" s="272"/>
      <c r="T61" s="272"/>
      <c r="U61" s="272"/>
      <c r="V61" s="272"/>
      <c r="W61" s="272"/>
      <c r="X61" s="272"/>
      <c r="Y61" s="272"/>
      <c r="Z61" s="272"/>
      <c r="AA61" s="272"/>
      <c r="AB61" s="272"/>
      <c r="AC61" s="272"/>
      <c r="AD61" s="272"/>
      <c r="AE61" s="272"/>
      <c r="AF61" s="272"/>
      <c r="AG61" s="272"/>
    </row>
    <row r="62" spans="1:39">
      <c r="C62" s="272"/>
      <c r="D62" s="272"/>
      <c r="E62" s="272"/>
      <c r="F62" s="272"/>
      <c r="G62" s="272"/>
      <c r="H62" s="271"/>
      <c r="I62" s="272"/>
      <c r="J62" s="272"/>
      <c r="K62" s="272"/>
      <c r="L62" s="272"/>
      <c r="M62" s="272"/>
      <c r="N62" s="272"/>
      <c r="O62" s="272"/>
      <c r="P62" s="272"/>
      <c r="Q62" s="272"/>
      <c r="R62" s="272"/>
      <c r="S62" s="272"/>
      <c r="T62" s="272"/>
      <c r="U62" s="272"/>
      <c r="V62" s="272"/>
      <c r="W62" s="272"/>
      <c r="X62" s="272"/>
      <c r="Y62" s="272"/>
      <c r="Z62" s="272"/>
      <c r="AA62" s="272"/>
      <c r="AB62" s="272"/>
      <c r="AC62" s="272"/>
      <c r="AD62" s="272"/>
      <c r="AE62" s="272"/>
      <c r="AF62" s="272"/>
      <c r="AG62" s="272"/>
    </row>
    <row r="63" spans="1:39">
      <c r="C63" s="272"/>
      <c r="D63" s="272"/>
      <c r="E63" s="272"/>
      <c r="F63" s="272"/>
      <c r="G63" s="272"/>
      <c r="H63" s="271"/>
      <c r="I63" s="272"/>
      <c r="J63" s="272"/>
      <c r="K63" s="272"/>
      <c r="L63" s="272"/>
      <c r="M63" s="272"/>
      <c r="N63" s="272"/>
      <c r="O63" s="272"/>
      <c r="P63" s="272"/>
      <c r="Q63" s="272"/>
      <c r="R63" s="272"/>
      <c r="S63" s="272"/>
      <c r="T63" s="272"/>
      <c r="U63" s="272"/>
      <c r="V63" s="272"/>
      <c r="W63" s="272"/>
      <c r="X63" s="272"/>
      <c r="Y63" s="272"/>
      <c r="Z63" s="272"/>
      <c r="AA63" s="272"/>
      <c r="AB63" s="272"/>
      <c r="AC63" s="272"/>
      <c r="AD63" s="272"/>
      <c r="AE63" s="272"/>
      <c r="AF63" s="272"/>
      <c r="AG63" s="272"/>
    </row>
    <row r="64" spans="1:39">
      <c r="C64" s="272"/>
      <c r="D64" s="272"/>
      <c r="E64" s="272"/>
      <c r="F64" s="272"/>
      <c r="G64" s="272"/>
      <c r="H64" s="272"/>
      <c r="I64" s="272"/>
      <c r="J64" s="272"/>
      <c r="K64" s="272"/>
      <c r="L64" s="272"/>
      <c r="M64" s="272"/>
      <c r="N64" s="272"/>
      <c r="O64" s="1249"/>
      <c r="P64" s="1249"/>
      <c r="Q64" s="1249"/>
      <c r="R64" s="1249"/>
      <c r="S64" s="1249"/>
      <c r="T64" s="1249"/>
      <c r="U64" s="1249"/>
      <c r="V64" s="1249"/>
      <c r="W64" s="272"/>
      <c r="X64" s="272"/>
      <c r="Y64" s="1249"/>
      <c r="Z64" s="1249"/>
      <c r="AA64" s="1249"/>
      <c r="AB64" s="1249"/>
      <c r="AC64" s="1249"/>
      <c r="AD64" s="1249"/>
      <c r="AE64" s="1249"/>
      <c r="AF64" s="1249"/>
      <c r="AG64" s="1249"/>
    </row>
    <row r="65" spans="1:33" ht="17.25">
      <c r="A65" s="273"/>
      <c r="B65" s="273"/>
      <c r="C65" s="272"/>
      <c r="D65" s="272"/>
      <c r="E65" s="272"/>
      <c r="F65" s="272"/>
      <c r="G65" s="272"/>
      <c r="H65" s="272"/>
      <c r="I65" s="272"/>
      <c r="J65" s="272"/>
      <c r="K65" s="272"/>
      <c r="L65" s="272"/>
      <c r="M65" s="272"/>
      <c r="N65" s="272"/>
      <c r="O65" s="272"/>
      <c r="P65" s="272"/>
      <c r="Q65" s="272"/>
      <c r="R65" s="274"/>
      <c r="S65" s="274"/>
      <c r="T65" s="274"/>
      <c r="U65" s="274"/>
      <c r="V65" s="274"/>
      <c r="W65" s="274"/>
      <c r="X65" s="274"/>
      <c r="Y65" s="1250"/>
      <c r="Z65" s="1250"/>
      <c r="AA65" s="1250"/>
      <c r="AB65" s="1250"/>
      <c r="AC65" s="1250"/>
      <c r="AD65" s="1250"/>
      <c r="AE65" s="1250"/>
      <c r="AF65" s="1250"/>
      <c r="AG65" s="1250"/>
    </row>
    <row r="66" spans="1:33">
      <c r="A66" s="273"/>
      <c r="B66" s="273"/>
      <c r="C66" s="271"/>
      <c r="D66" s="271"/>
      <c r="E66" s="271"/>
      <c r="F66" s="271"/>
      <c r="G66" s="271"/>
      <c r="H66" s="272"/>
      <c r="I66" s="272"/>
      <c r="J66" s="272"/>
      <c r="K66" s="272"/>
      <c r="L66" s="272"/>
      <c r="M66" s="272"/>
      <c r="N66" s="272"/>
      <c r="O66" s="272"/>
      <c r="P66" s="272"/>
      <c r="Q66" s="272"/>
      <c r="R66" s="272"/>
      <c r="S66" s="272"/>
      <c r="T66" s="272"/>
      <c r="U66" s="272"/>
      <c r="V66" s="272"/>
      <c r="W66" s="272"/>
      <c r="X66" s="272"/>
      <c r="Y66" s="272"/>
      <c r="Z66" s="272"/>
      <c r="AA66" s="272"/>
      <c r="AB66" s="272"/>
      <c r="AC66" s="272"/>
      <c r="AD66" s="272"/>
      <c r="AE66" s="272"/>
      <c r="AF66" s="272"/>
      <c r="AG66" s="272"/>
    </row>
    <row r="67" spans="1:33">
      <c r="A67" s="273"/>
      <c r="B67" s="273"/>
      <c r="C67" s="271"/>
      <c r="D67" s="271"/>
      <c r="E67" s="271"/>
      <c r="F67" s="271"/>
      <c r="G67" s="271"/>
      <c r="H67" s="272"/>
      <c r="I67" s="272"/>
      <c r="J67" s="272"/>
      <c r="K67" s="272"/>
      <c r="L67" s="272"/>
      <c r="M67" s="272"/>
      <c r="N67" s="272"/>
      <c r="O67" s="272"/>
      <c r="P67" s="272"/>
      <c r="Q67" s="272"/>
      <c r="R67" s="272"/>
      <c r="S67" s="272"/>
      <c r="T67" s="272"/>
      <c r="U67" s="272"/>
      <c r="V67" s="272"/>
      <c r="W67" s="272"/>
      <c r="X67" s="272"/>
      <c r="Y67" s="272"/>
      <c r="Z67" s="272"/>
      <c r="AA67" s="272"/>
      <c r="AB67" s="272"/>
      <c r="AC67" s="272"/>
      <c r="AD67" s="272"/>
      <c r="AE67" s="272"/>
      <c r="AF67" s="272"/>
      <c r="AG67" s="272"/>
    </row>
    <row r="68" spans="1:33">
      <c r="A68" s="273"/>
      <c r="B68" s="273"/>
      <c r="C68" s="271"/>
      <c r="D68" s="271"/>
      <c r="E68" s="271"/>
      <c r="F68" s="271"/>
      <c r="G68" s="271"/>
      <c r="H68" s="272"/>
      <c r="I68" s="272"/>
      <c r="J68" s="272"/>
      <c r="K68" s="272"/>
      <c r="L68" s="272"/>
      <c r="M68" s="272"/>
      <c r="N68" s="272"/>
      <c r="O68" s="272"/>
      <c r="P68" s="272"/>
      <c r="Q68" s="272"/>
      <c r="R68" s="272"/>
      <c r="S68" s="272"/>
      <c r="T68" s="272"/>
      <c r="U68" s="272"/>
      <c r="V68" s="272"/>
      <c r="W68" s="272"/>
      <c r="X68" s="272"/>
      <c r="Y68" s="272"/>
      <c r="Z68" s="272"/>
      <c r="AA68" s="272"/>
      <c r="AB68" s="272"/>
      <c r="AC68" s="272"/>
      <c r="AD68" s="272"/>
      <c r="AE68" s="272"/>
      <c r="AF68" s="272"/>
      <c r="AG68" s="272"/>
    </row>
    <row r="69" spans="1:33">
      <c r="A69" s="273"/>
      <c r="B69" s="273"/>
      <c r="C69" s="272"/>
      <c r="D69" s="272"/>
      <c r="E69" s="272"/>
      <c r="F69" s="272"/>
      <c r="G69" s="272"/>
      <c r="H69" s="272"/>
      <c r="I69" s="272"/>
      <c r="J69" s="272"/>
      <c r="K69" s="272"/>
      <c r="L69" s="272"/>
      <c r="M69" s="272"/>
      <c r="N69" s="272"/>
      <c r="O69" s="272"/>
      <c r="P69" s="272"/>
      <c r="Q69" s="272"/>
      <c r="R69" s="272"/>
      <c r="S69" s="272"/>
      <c r="T69" s="272"/>
      <c r="U69" s="272"/>
      <c r="V69" s="272"/>
      <c r="W69" s="272"/>
      <c r="X69" s="272"/>
      <c r="Y69" s="272"/>
      <c r="Z69" s="272"/>
      <c r="AA69" s="272"/>
      <c r="AB69" s="272"/>
      <c r="AC69" s="272"/>
      <c r="AD69" s="272"/>
      <c r="AE69" s="272"/>
      <c r="AF69" s="272"/>
      <c r="AG69" s="272"/>
    </row>
    <row r="70" spans="1:33">
      <c r="A70" s="273"/>
      <c r="B70" s="273"/>
      <c r="C70" s="272"/>
      <c r="D70" s="272"/>
      <c r="E70" s="272"/>
      <c r="F70" s="272"/>
      <c r="G70" s="272"/>
      <c r="H70" s="272"/>
      <c r="I70" s="272"/>
      <c r="J70" s="272"/>
      <c r="K70" s="272"/>
      <c r="L70" s="272"/>
      <c r="M70" s="272"/>
      <c r="N70" s="272"/>
      <c r="O70" s="272"/>
      <c r="P70" s="272"/>
      <c r="Q70" s="272"/>
      <c r="R70" s="272"/>
      <c r="S70" s="272"/>
      <c r="T70" s="272"/>
      <c r="U70" s="272"/>
      <c r="V70" s="272"/>
      <c r="W70" s="272"/>
      <c r="X70" s="272"/>
      <c r="Y70" s="272"/>
      <c r="Z70" s="272"/>
      <c r="AA70" s="272"/>
      <c r="AB70" s="272"/>
      <c r="AC70" s="272"/>
      <c r="AD70" s="272"/>
      <c r="AE70" s="272"/>
      <c r="AF70" s="272"/>
      <c r="AG70" s="272"/>
    </row>
    <row r="71" spans="1:33">
      <c r="A71" s="273"/>
      <c r="B71" s="273"/>
      <c r="C71" s="272"/>
      <c r="D71" s="272"/>
      <c r="E71" s="272"/>
      <c r="F71" s="272"/>
      <c r="G71" s="272"/>
      <c r="H71" s="272"/>
      <c r="I71" s="272"/>
      <c r="J71" s="272"/>
      <c r="K71" s="272"/>
      <c r="L71" s="272"/>
      <c r="M71" s="272"/>
      <c r="N71" s="272"/>
      <c r="O71" s="272"/>
      <c r="P71" s="272"/>
      <c r="Q71" s="272"/>
      <c r="R71" s="272"/>
      <c r="S71" s="272"/>
      <c r="T71" s="272"/>
      <c r="U71" s="272"/>
      <c r="V71" s="272"/>
      <c r="W71" s="272"/>
      <c r="X71" s="272"/>
      <c r="Y71" s="272"/>
      <c r="Z71" s="272"/>
      <c r="AA71" s="272"/>
      <c r="AB71" s="272"/>
      <c r="AC71" s="272"/>
      <c r="AD71" s="272"/>
      <c r="AE71" s="272"/>
      <c r="AF71" s="272"/>
      <c r="AG71" s="272"/>
    </row>
    <row r="72" spans="1:33">
      <c r="A72" s="273"/>
      <c r="B72" s="273"/>
      <c r="C72" s="272"/>
      <c r="D72" s="272"/>
      <c r="E72" s="272"/>
      <c r="F72" s="272"/>
      <c r="G72" s="272"/>
      <c r="H72" s="272"/>
      <c r="I72" s="272"/>
      <c r="J72" s="272"/>
      <c r="K72" s="272"/>
      <c r="L72" s="272"/>
      <c r="M72" s="272"/>
      <c r="N72" s="272"/>
      <c r="O72" s="272"/>
      <c r="P72" s="272"/>
      <c r="Q72" s="272"/>
      <c r="R72" s="272"/>
      <c r="S72" s="272"/>
      <c r="T72" s="272"/>
      <c r="U72" s="272"/>
      <c r="V72" s="272"/>
      <c r="W72" s="272"/>
      <c r="X72" s="272"/>
      <c r="Y72" s="272"/>
      <c r="Z72" s="272"/>
      <c r="AA72" s="272"/>
      <c r="AB72" s="272"/>
      <c r="AC72" s="272"/>
      <c r="AD72" s="272"/>
      <c r="AE72" s="272"/>
      <c r="AF72" s="272"/>
      <c r="AG72" s="272"/>
    </row>
    <row r="73" spans="1:33">
      <c r="A73" s="273"/>
      <c r="B73" s="273"/>
      <c r="C73" s="272"/>
      <c r="D73" s="272"/>
      <c r="E73" s="272"/>
      <c r="F73" s="272"/>
      <c r="G73" s="272"/>
      <c r="H73" s="272"/>
      <c r="I73" s="272"/>
      <c r="J73" s="272"/>
      <c r="K73" s="272"/>
      <c r="L73" s="272"/>
      <c r="M73" s="272"/>
      <c r="N73" s="272"/>
      <c r="O73" s="272"/>
      <c r="P73" s="272"/>
      <c r="Q73" s="272"/>
      <c r="R73" s="272"/>
      <c r="S73" s="272"/>
      <c r="T73" s="272"/>
      <c r="U73" s="272"/>
      <c r="V73" s="272"/>
      <c r="W73" s="272"/>
      <c r="X73" s="272"/>
      <c r="Y73" s="272"/>
      <c r="Z73" s="272"/>
      <c r="AA73" s="272"/>
      <c r="AB73" s="272"/>
      <c r="AC73" s="272"/>
      <c r="AD73" s="272"/>
      <c r="AE73" s="272"/>
      <c r="AF73" s="272"/>
      <c r="AG73" s="272"/>
    </row>
    <row r="74" spans="1:33">
      <c r="A74" s="273"/>
      <c r="B74" s="273"/>
      <c r="C74" s="272"/>
      <c r="D74" s="272"/>
      <c r="E74" s="272"/>
      <c r="F74" s="272"/>
      <c r="G74" s="272"/>
      <c r="H74" s="272"/>
      <c r="I74" s="272"/>
      <c r="J74" s="272"/>
      <c r="K74" s="272"/>
      <c r="L74" s="272"/>
      <c r="M74" s="272"/>
      <c r="N74" s="272"/>
      <c r="O74" s="272"/>
      <c r="P74" s="272"/>
      <c r="Q74" s="272"/>
      <c r="R74" s="272"/>
      <c r="S74" s="272"/>
      <c r="T74" s="272"/>
      <c r="U74" s="272"/>
      <c r="V74" s="272"/>
      <c r="W74" s="272"/>
      <c r="X74" s="272"/>
      <c r="Y74" s="272"/>
      <c r="Z74" s="272"/>
      <c r="AA74" s="272"/>
      <c r="AB74" s="272"/>
      <c r="AC74" s="272"/>
      <c r="AD74" s="272"/>
      <c r="AE74" s="272"/>
      <c r="AF74" s="272"/>
      <c r="AG74" s="272"/>
    </row>
    <row r="75" spans="1:33">
      <c r="A75" s="273"/>
      <c r="B75" s="273"/>
      <c r="C75" s="272"/>
      <c r="D75" s="272"/>
      <c r="E75" s="272"/>
      <c r="F75" s="272"/>
      <c r="G75" s="272"/>
      <c r="H75" s="272"/>
      <c r="I75" s="272"/>
      <c r="J75" s="272"/>
      <c r="K75" s="272"/>
      <c r="L75" s="272"/>
      <c r="M75" s="272"/>
      <c r="N75" s="272"/>
      <c r="O75" s="272"/>
      <c r="P75" s="272"/>
      <c r="Q75" s="272"/>
      <c r="R75" s="272"/>
      <c r="S75" s="272"/>
      <c r="T75" s="272"/>
      <c r="U75" s="272"/>
      <c r="V75" s="272"/>
      <c r="W75" s="272"/>
      <c r="X75" s="272"/>
      <c r="Y75" s="272"/>
      <c r="Z75" s="272"/>
      <c r="AA75" s="272"/>
      <c r="AB75" s="272"/>
      <c r="AC75" s="272"/>
      <c r="AD75" s="272"/>
      <c r="AE75" s="272"/>
      <c r="AF75" s="272"/>
      <c r="AG75" s="272"/>
    </row>
    <row r="76" spans="1:33">
      <c r="A76" s="273"/>
      <c r="B76" s="273"/>
      <c r="C76" s="272"/>
      <c r="D76" s="272"/>
      <c r="E76" s="272"/>
      <c r="F76" s="272"/>
      <c r="G76" s="272"/>
      <c r="H76" s="272"/>
      <c r="I76" s="272"/>
      <c r="J76" s="272"/>
      <c r="K76" s="272"/>
      <c r="L76" s="272"/>
      <c r="M76" s="272"/>
      <c r="N76" s="272"/>
      <c r="O76" s="272"/>
      <c r="P76" s="272"/>
      <c r="Q76" s="272"/>
      <c r="R76" s="272"/>
      <c r="S76" s="272"/>
      <c r="T76" s="272"/>
      <c r="U76" s="272"/>
      <c r="V76" s="272"/>
      <c r="W76" s="272"/>
      <c r="X76" s="272"/>
      <c r="Y76" s="272"/>
      <c r="Z76" s="272"/>
      <c r="AA76" s="272"/>
      <c r="AB76" s="272"/>
      <c r="AC76" s="272"/>
      <c r="AD76" s="272"/>
      <c r="AE76" s="272"/>
      <c r="AF76" s="272"/>
      <c r="AG76" s="272"/>
    </row>
    <row r="77" spans="1:33">
      <c r="A77" s="273"/>
      <c r="B77" s="273"/>
      <c r="C77" s="272"/>
      <c r="D77" s="272"/>
      <c r="E77" s="272"/>
      <c r="F77" s="272"/>
      <c r="G77" s="272"/>
      <c r="H77" s="272"/>
      <c r="I77" s="272"/>
      <c r="J77" s="272"/>
      <c r="K77" s="272"/>
      <c r="L77" s="272"/>
      <c r="M77" s="272"/>
      <c r="N77" s="272"/>
      <c r="O77" s="272"/>
      <c r="P77" s="272"/>
      <c r="Q77" s="272"/>
      <c r="R77" s="272"/>
      <c r="S77" s="272"/>
      <c r="T77" s="272"/>
      <c r="U77" s="272"/>
      <c r="V77" s="272"/>
      <c r="W77" s="272"/>
      <c r="X77" s="272"/>
      <c r="Y77" s="272"/>
      <c r="Z77" s="272"/>
      <c r="AA77" s="272"/>
      <c r="AB77" s="272"/>
      <c r="AC77" s="272"/>
      <c r="AD77" s="272"/>
      <c r="AE77" s="272"/>
      <c r="AF77" s="272"/>
      <c r="AG77" s="272"/>
    </row>
    <row r="78" spans="1:33">
      <c r="A78" s="273"/>
      <c r="B78" s="273"/>
      <c r="C78" s="272"/>
      <c r="D78" s="272"/>
      <c r="E78" s="272"/>
      <c r="F78" s="272"/>
      <c r="G78" s="272"/>
      <c r="H78" s="272"/>
      <c r="I78" s="272"/>
      <c r="J78" s="272"/>
      <c r="K78" s="272"/>
      <c r="L78" s="272"/>
      <c r="M78" s="272"/>
      <c r="N78" s="272"/>
      <c r="O78" s="272"/>
      <c r="P78" s="272"/>
      <c r="Q78" s="272"/>
      <c r="R78" s="272"/>
      <c r="S78" s="272"/>
      <c r="T78" s="272"/>
      <c r="U78" s="272"/>
      <c r="V78" s="272"/>
      <c r="W78" s="272"/>
      <c r="X78" s="272"/>
      <c r="Y78" s="272"/>
      <c r="Z78" s="272"/>
      <c r="AA78" s="272"/>
      <c r="AB78" s="272"/>
      <c r="AC78" s="272"/>
      <c r="AD78" s="272"/>
      <c r="AE78" s="272"/>
      <c r="AF78" s="272"/>
      <c r="AG78" s="272"/>
    </row>
    <row r="79" spans="1:33">
      <c r="A79" s="273"/>
      <c r="B79" s="273"/>
      <c r="C79" s="272"/>
      <c r="D79" s="272"/>
      <c r="E79" s="272"/>
      <c r="F79" s="272"/>
      <c r="G79" s="272"/>
      <c r="H79" s="272"/>
      <c r="I79" s="272"/>
      <c r="J79" s="272"/>
      <c r="K79" s="272"/>
      <c r="L79" s="272"/>
      <c r="M79" s="272"/>
      <c r="N79" s="272"/>
      <c r="O79" s="272"/>
      <c r="P79" s="272"/>
      <c r="Q79" s="272"/>
      <c r="R79" s="272"/>
      <c r="S79" s="272"/>
      <c r="T79" s="272"/>
      <c r="U79" s="272"/>
      <c r="V79" s="272"/>
      <c r="W79" s="272"/>
      <c r="X79" s="272"/>
      <c r="Y79" s="272"/>
      <c r="Z79" s="272"/>
      <c r="AA79" s="272"/>
      <c r="AB79" s="272"/>
      <c r="AC79" s="272"/>
      <c r="AD79" s="272"/>
      <c r="AE79" s="272"/>
      <c r="AF79" s="272"/>
      <c r="AG79" s="272"/>
    </row>
    <row r="80" spans="1:33">
      <c r="A80" s="273"/>
      <c r="B80" s="273"/>
      <c r="C80" s="272"/>
      <c r="D80" s="272"/>
      <c r="E80" s="272"/>
      <c r="F80" s="272"/>
      <c r="G80" s="272"/>
      <c r="H80" s="272"/>
      <c r="I80" s="272"/>
      <c r="J80" s="272"/>
      <c r="K80" s="272"/>
      <c r="L80" s="272"/>
      <c r="M80" s="272"/>
      <c r="N80" s="272"/>
      <c r="O80" s="272"/>
      <c r="P80" s="272"/>
      <c r="Q80" s="272"/>
      <c r="R80" s="272"/>
      <c r="S80" s="272"/>
      <c r="T80" s="272"/>
      <c r="U80" s="272"/>
      <c r="V80" s="272"/>
      <c r="W80" s="272"/>
      <c r="X80" s="272"/>
      <c r="Y80" s="272"/>
      <c r="Z80" s="272"/>
      <c r="AA80" s="272"/>
      <c r="AB80" s="272"/>
      <c r="AC80" s="272"/>
      <c r="AD80" s="272"/>
      <c r="AE80" s="272"/>
      <c r="AF80" s="272"/>
      <c r="AG80" s="272"/>
    </row>
    <row r="81" spans="1:33">
      <c r="A81" s="273"/>
      <c r="B81" s="273"/>
      <c r="C81" s="272"/>
      <c r="D81" s="272"/>
      <c r="E81" s="272"/>
      <c r="F81" s="272"/>
      <c r="G81" s="272"/>
      <c r="H81" s="272"/>
      <c r="I81" s="272"/>
      <c r="J81" s="272"/>
      <c r="K81" s="272"/>
      <c r="L81" s="272"/>
      <c r="M81" s="272"/>
      <c r="N81" s="272"/>
      <c r="O81" s="272"/>
      <c r="P81" s="272"/>
      <c r="Q81" s="272"/>
      <c r="R81" s="272"/>
      <c r="S81" s="272"/>
      <c r="T81" s="272"/>
      <c r="U81" s="272"/>
      <c r="V81" s="272"/>
      <c r="W81" s="272"/>
      <c r="X81" s="272"/>
      <c r="Y81" s="272"/>
      <c r="Z81" s="272"/>
      <c r="AA81" s="272"/>
      <c r="AB81" s="272"/>
      <c r="AC81" s="272"/>
      <c r="AD81" s="272"/>
      <c r="AE81" s="272"/>
      <c r="AF81" s="272"/>
      <c r="AG81" s="272"/>
    </row>
    <row r="82" spans="1:33">
      <c r="A82" s="273"/>
      <c r="B82" s="273"/>
      <c r="C82" s="272"/>
      <c r="D82" s="272"/>
      <c r="E82" s="272"/>
      <c r="F82" s="272"/>
      <c r="G82" s="272"/>
      <c r="H82" s="272"/>
      <c r="I82" s="272"/>
      <c r="J82" s="272"/>
      <c r="K82" s="272"/>
      <c r="L82" s="272"/>
      <c r="M82" s="272"/>
      <c r="N82" s="272"/>
      <c r="O82" s="272"/>
      <c r="P82" s="272"/>
      <c r="Q82" s="272"/>
      <c r="R82" s="272"/>
      <c r="S82" s="272"/>
      <c r="T82" s="272"/>
      <c r="U82" s="272"/>
      <c r="V82" s="272"/>
      <c r="W82" s="272"/>
      <c r="X82" s="272"/>
      <c r="Y82" s="272"/>
      <c r="Z82" s="272"/>
      <c r="AA82" s="272"/>
      <c r="AB82" s="272"/>
      <c r="AC82" s="272"/>
      <c r="AD82" s="272"/>
      <c r="AE82" s="272"/>
      <c r="AF82" s="272"/>
      <c r="AG82" s="272"/>
    </row>
    <row r="83" spans="1:33">
      <c r="A83" s="273"/>
      <c r="B83" s="273"/>
      <c r="C83" s="272"/>
      <c r="D83" s="272"/>
      <c r="E83" s="272"/>
      <c r="F83" s="272"/>
      <c r="G83" s="272"/>
      <c r="H83" s="272"/>
      <c r="I83" s="272"/>
      <c r="J83" s="272"/>
      <c r="K83" s="272"/>
      <c r="L83" s="272"/>
      <c r="M83" s="272"/>
      <c r="N83" s="272"/>
      <c r="O83" s="272"/>
      <c r="P83" s="272"/>
      <c r="Q83" s="272"/>
      <c r="R83" s="272"/>
      <c r="S83" s="272"/>
      <c r="T83" s="272"/>
      <c r="U83" s="272"/>
      <c r="V83" s="272"/>
      <c r="W83" s="272"/>
      <c r="X83" s="272"/>
      <c r="Y83" s="272"/>
      <c r="Z83" s="272"/>
      <c r="AA83" s="272"/>
      <c r="AB83" s="272"/>
      <c r="AC83" s="272"/>
      <c r="AD83" s="272"/>
      <c r="AE83" s="272"/>
      <c r="AF83" s="272"/>
      <c r="AG83" s="272"/>
    </row>
    <row r="84" spans="1:33">
      <c r="A84" s="273"/>
      <c r="B84" s="273"/>
      <c r="C84" s="272"/>
      <c r="D84" s="272"/>
      <c r="E84" s="272"/>
      <c r="F84" s="272"/>
      <c r="G84" s="272"/>
      <c r="H84" s="272"/>
      <c r="I84" s="272"/>
      <c r="J84" s="272"/>
      <c r="K84" s="272"/>
      <c r="L84" s="272"/>
      <c r="M84" s="272"/>
      <c r="N84" s="272"/>
      <c r="O84" s="272"/>
      <c r="P84" s="272"/>
      <c r="Q84" s="272"/>
      <c r="R84" s="272"/>
      <c r="S84" s="272"/>
      <c r="T84" s="272"/>
      <c r="U84" s="272"/>
      <c r="V84" s="272"/>
      <c r="W84" s="272"/>
      <c r="X84" s="272"/>
      <c r="Y84" s="272"/>
      <c r="Z84" s="272"/>
      <c r="AA84" s="272"/>
      <c r="AB84" s="272"/>
      <c r="AC84" s="272"/>
      <c r="AD84" s="272"/>
      <c r="AE84" s="272"/>
      <c r="AF84" s="272"/>
      <c r="AG84" s="272"/>
    </row>
    <row r="85" spans="1:33">
      <c r="A85" s="273"/>
      <c r="B85" s="273"/>
      <c r="C85" s="271"/>
      <c r="D85" s="271"/>
      <c r="E85" s="271"/>
      <c r="F85" s="272"/>
      <c r="G85" s="272"/>
      <c r="H85" s="272"/>
      <c r="I85" s="272"/>
      <c r="J85" s="272"/>
      <c r="K85" s="272"/>
      <c r="L85" s="272"/>
      <c r="M85" s="272"/>
      <c r="N85" s="272"/>
      <c r="O85" s="272"/>
      <c r="P85" s="272"/>
      <c r="Q85" s="272"/>
      <c r="R85" s="272"/>
      <c r="S85" s="272"/>
      <c r="T85" s="272"/>
      <c r="U85" s="272"/>
      <c r="V85" s="272"/>
      <c r="W85" s="272"/>
      <c r="X85" s="272"/>
      <c r="Y85" s="272"/>
      <c r="Z85" s="272"/>
      <c r="AA85" s="272"/>
      <c r="AB85" s="272"/>
      <c r="AC85" s="272"/>
      <c r="AD85" s="272"/>
      <c r="AE85" s="272"/>
      <c r="AF85" s="272"/>
      <c r="AG85" s="272"/>
    </row>
    <row r="86" spans="1:33">
      <c r="A86" s="273"/>
      <c r="B86" s="273"/>
      <c r="C86" s="271"/>
      <c r="D86" s="271"/>
      <c r="E86" s="271"/>
      <c r="F86" s="272"/>
      <c r="G86" s="272"/>
      <c r="H86" s="272"/>
      <c r="I86" s="272"/>
      <c r="J86" s="272"/>
      <c r="K86" s="272"/>
      <c r="L86" s="272"/>
      <c r="M86" s="272"/>
      <c r="N86" s="272"/>
      <c r="O86" s="272"/>
      <c r="P86" s="272"/>
      <c r="Q86" s="272"/>
      <c r="R86" s="272"/>
      <c r="S86" s="272"/>
      <c r="T86" s="272"/>
      <c r="U86" s="272"/>
      <c r="V86" s="272"/>
      <c r="W86" s="272"/>
      <c r="X86" s="272"/>
      <c r="Y86" s="272"/>
      <c r="Z86" s="272"/>
      <c r="AA86" s="272"/>
      <c r="AB86" s="272"/>
      <c r="AC86" s="272"/>
      <c r="AD86" s="272"/>
      <c r="AE86" s="272"/>
      <c r="AF86" s="272"/>
      <c r="AG86" s="272"/>
    </row>
    <row r="87" spans="1:33">
      <c r="A87" s="273"/>
      <c r="B87" s="273"/>
      <c r="C87" s="271"/>
      <c r="D87" s="271"/>
      <c r="E87" s="271"/>
      <c r="F87" s="272"/>
      <c r="G87" s="272"/>
      <c r="H87" s="272"/>
      <c r="I87" s="272"/>
      <c r="J87" s="272"/>
      <c r="K87" s="272"/>
      <c r="L87" s="272"/>
      <c r="M87" s="272"/>
      <c r="N87" s="272"/>
      <c r="O87" s="272"/>
      <c r="P87" s="272"/>
      <c r="Q87" s="272"/>
      <c r="R87" s="272"/>
      <c r="S87" s="272"/>
      <c r="T87" s="272"/>
      <c r="U87" s="272"/>
      <c r="V87" s="272"/>
      <c r="W87" s="272"/>
      <c r="X87" s="272"/>
      <c r="Y87" s="272"/>
      <c r="Z87" s="272"/>
      <c r="AA87" s="272"/>
      <c r="AB87" s="272"/>
      <c r="AC87" s="272"/>
      <c r="AD87" s="272"/>
      <c r="AE87" s="272"/>
      <c r="AF87" s="272"/>
      <c r="AG87" s="272"/>
    </row>
    <row r="88" spans="1:33">
      <c r="A88" s="273"/>
      <c r="B88" s="273"/>
      <c r="C88" s="271"/>
      <c r="D88" s="271"/>
      <c r="E88" s="271"/>
      <c r="F88" s="272"/>
      <c r="G88" s="272"/>
      <c r="H88" s="272"/>
      <c r="I88" s="272"/>
      <c r="J88" s="272"/>
      <c r="K88" s="272"/>
      <c r="L88" s="272"/>
      <c r="M88" s="272"/>
      <c r="N88" s="272"/>
      <c r="O88" s="272"/>
      <c r="P88" s="272"/>
      <c r="Q88" s="272"/>
      <c r="R88" s="272"/>
      <c r="S88" s="272"/>
      <c r="T88" s="272"/>
      <c r="U88" s="272"/>
      <c r="V88" s="272"/>
      <c r="W88" s="272"/>
      <c r="X88" s="272"/>
      <c r="Y88" s="272"/>
      <c r="Z88" s="272"/>
      <c r="AA88" s="272"/>
      <c r="AB88" s="272"/>
      <c r="AC88" s="272"/>
      <c r="AD88" s="272"/>
      <c r="AE88" s="272"/>
      <c r="AF88" s="272"/>
      <c r="AG88" s="272"/>
    </row>
    <row r="89" spans="1:33">
      <c r="A89" s="273"/>
      <c r="B89" s="273"/>
      <c r="C89" s="271"/>
      <c r="D89" s="271"/>
      <c r="E89" s="271"/>
      <c r="F89" s="272"/>
      <c r="G89" s="272"/>
      <c r="H89" s="272"/>
      <c r="I89" s="272"/>
      <c r="J89" s="272"/>
      <c r="K89" s="272"/>
      <c r="L89" s="272"/>
      <c r="M89" s="272"/>
      <c r="N89" s="272"/>
      <c r="O89" s="272"/>
      <c r="P89" s="272"/>
      <c r="Q89" s="272"/>
      <c r="R89" s="272"/>
      <c r="S89" s="272"/>
      <c r="T89" s="272"/>
      <c r="U89" s="272"/>
      <c r="V89" s="272"/>
      <c r="W89" s="272"/>
      <c r="X89" s="272"/>
      <c r="Y89" s="272"/>
      <c r="Z89" s="272"/>
      <c r="AA89" s="272"/>
      <c r="AB89" s="272"/>
      <c r="AC89" s="272"/>
      <c r="AD89" s="272"/>
      <c r="AE89" s="272"/>
      <c r="AF89" s="272"/>
      <c r="AG89" s="272"/>
    </row>
    <row r="90" spans="1:33">
      <c r="A90" s="273"/>
      <c r="B90" s="273"/>
      <c r="C90" s="271"/>
      <c r="D90" s="271"/>
      <c r="E90" s="271"/>
      <c r="F90" s="272"/>
      <c r="G90" s="272"/>
      <c r="H90" s="272"/>
      <c r="I90" s="272"/>
      <c r="J90" s="272"/>
      <c r="K90" s="272"/>
      <c r="L90" s="272"/>
      <c r="M90" s="272"/>
      <c r="N90" s="272"/>
      <c r="O90" s="272"/>
      <c r="P90" s="272"/>
      <c r="Q90" s="272"/>
      <c r="R90" s="272"/>
      <c r="S90" s="272"/>
      <c r="T90" s="272"/>
      <c r="U90" s="272"/>
      <c r="V90" s="272"/>
      <c r="W90" s="272"/>
      <c r="X90" s="272"/>
      <c r="Y90" s="272"/>
      <c r="Z90" s="272"/>
      <c r="AA90" s="272"/>
      <c r="AB90" s="272"/>
      <c r="AC90" s="272"/>
      <c r="AD90" s="272"/>
      <c r="AE90" s="272"/>
      <c r="AF90" s="272"/>
      <c r="AG90" s="272"/>
    </row>
    <row r="91" spans="1:33">
      <c r="A91" s="273"/>
      <c r="B91" s="273"/>
      <c r="C91" s="271"/>
      <c r="D91" s="271"/>
      <c r="E91" s="271"/>
      <c r="F91" s="272"/>
      <c r="G91" s="272"/>
      <c r="H91" s="272"/>
      <c r="I91" s="272"/>
      <c r="J91" s="272"/>
      <c r="K91" s="272"/>
      <c r="L91" s="272"/>
      <c r="M91" s="272"/>
      <c r="N91" s="272"/>
      <c r="O91" s="272"/>
      <c r="P91" s="272"/>
      <c r="Q91" s="272"/>
      <c r="R91" s="272"/>
      <c r="S91" s="272"/>
      <c r="T91" s="272"/>
      <c r="U91" s="272"/>
      <c r="V91" s="272"/>
      <c r="W91" s="272"/>
      <c r="X91" s="272"/>
      <c r="Y91" s="272"/>
      <c r="Z91" s="272"/>
      <c r="AA91" s="272"/>
      <c r="AB91" s="272"/>
      <c r="AC91" s="272"/>
      <c r="AD91" s="272"/>
      <c r="AE91" s="272"/>
      <c r="AF91" s="272"/>
      <c r="AG91" s="272"/>
    </row>
    <row r="92" spans="1:33">
      <c r="A92" s="273"/>
      <c r="B92" s="273"/>
      <c r="C92" s="271"/>
      <c r="D92" s="271"/>
      <c r="E92" s="271"/>
      <c r="F92" s="272"/>
      <c r="G92" s="272"/>
      <c r="H92" s="272"/>
      <c r="I92" s="272"/>
      <c r="J92" s="272"/>
      <c r="K92" s="272"/>
      <c r="L92" s="272"/>
      <c r="M92" s="272"/>
      <c r="N92" s="272"/>
      <c r="O92" s="272"/>
      <c r="P92" s="272"/>
      <c r="Q92" s="272"/>
      <c r="R92" s="272"/>
      <c r="S92" s="272"/>
      <c r="T92" s="272"/>
      <c r="U92" s="272"/>
      <c r="V92" s="272"/>
      <c r="W92" s="272"/>
      <c r="X92" s="272"/>
      <c r="Y92" s="272"/>
      <c r="Z92" s="272"/>
      <c r="AA92" s="272"/>
      <c r="AB92" s="272"/>
      <c r="AC92" s="272"/>
      <c r="AD92" s="272"/>
      <c r="AE92" s="272"/>
      <c r="AF92" s="272"/>
      <c r="AG92" s="272"/>
    </row>
    <row r="93" spans="1:33">
      <c r="A93" s="273"/>
      <c r="B93" s="273"/>
      <c r="C93" s="271"/>
      <c r="D93" s="271"/>
      <c r="E93" s="271"/>
      <c r="F93" s="272"/>
      <c r="G93" s="272"/>
      <c r="H93" s="272"/>
      <c r="I93" s="272"/>
      <c r="J93" s="272"/>
      <c r="K93" s="272"/>
      <c r="L93" s="272"/>
      <c r="M93" s="272"/>
      <c r="N93" s="272"/>
      <c r="O93" s="272"/>
      <c r="P93" s="272"/>
      <c r="Q93" s="272"/>
      <c r="R93" s="272"/>
      <c r="S93" s="272"/>
      <c r="T93" s="272"/>
      <c r="U93" s="272"/>
      <c r="V93" s="272"/>
      <c r="W93" s="272"/>
      <c r="X93" s="272"/>
      <c r="Y93" s="272"/>
      <c r="Z93" s="272"/>
      <c r="AA93" s="272"/>
      <c r="AB93" s="272"/>
      <c r="AC93" s="272"/>
      <c r="AD93" s="272"/>
      <c r="AE93" s="272"/>
      <c r="AF93" s="272"/>
      <c r="AG93" s="272"/>
    </row>
    <row r="94" spans="1:33">
      <c r="A94" s="273"/>
      <c r="B94" s="273"/>
      <c r="C94" s="271"/>
      <c r="D94" s="271"/>
      <c r="E94" s="271"/>
      <c r="F94" s="272"/>
      <c r="G94" s="272"/>
      <c r="H94" s="272"/>
      <c r="I94" s="272"/>
      <c r="J94" s="272"/>
      <c r="K94" s="272"/>
      <c r="L94" s="272"/>
      <c r="M94" s="272"/>
      <c r="N94" s="272"/>
      <c r="O94" s="272"/>
      <c r="P94" s="272"/>
      <c r="Q94" s="272"/>
      <c r="R94" s="272"/>
      <c r="S94" s="272"/>
      <c r="T94" s="272"/>
      <c r="U94" s="272"/>
      <c r="V94" s="272"/>
      <c r="W94" s="272"/>
      <c r="X94" s="272"/>
      <c r="Y94" s="272"/>
      <c r="Z94" s="272"/>
      <c r="AA94" s="272"/>
      <c r="AB94" s="272"/>
      <c r="AC94" s="272"/>
      <c r="AD94" s="272"/>
      <c r="AE94" s="272"/>
      <c r="AF94" s="272"/>
      <c r="AG94" s="272"/>
    </row>
    <row r="95" spans="1:33">
      <c r="A95" s="273"/>
      <c r="B95" s="273"/>
      <c r="C95" s="271"/>
      <c r="D95" s="271"/>
      <c r="E95" s="271"/>
      <c r="F95" s="272"/>
      <c r="G95" s="272"/>
      <c r="H95" s="272"/>
      <c r="I95" s="272"/>
      <c r="J95" s="272"/>
      <c r="K95" s="272"/>
      <c r="L95" s="272"/>
      <c r="M95" s="272"/>
      <c r="N95" s="272"/>
      <c r="O95" s="272"/>
      <c r="P95" s="272"/>
      <c r="Q95" s="272"/>
      <c r="R95" s="272"/>
      <c r="S95" s="272"/>
      <c r="T95" s="272"/>
      <c r="U95" s="272"/>
      <c r="V95" s="272"/>
      <c r="W95" s="272"/>
      <c r="X95" s="272"/>
      <c r="Y95" s="272"/>
      <c r="Z95" s="272"/>
      <c r="AA95" s="272"/>
      <c r="AB95" s="272"/>
      <c r="AC95" s="272"/>
      <c r="AD95" s="272"/>
      <c r="AE95" s="272"/>
      <c r="AF95" s="272"/>
      <c r="AG95" s="272"/>
    </row>
    <row r="96" spans="1:33">
      <c r="A96" s="273"/>
      <c r="B96" s="273"/>
      <c r="C96" s="271"/>
      <c r="D96" s="271"/>
      <c r="E96" s="271"/>
      <c r="F96" s="272"/>
      <c r="G96" s="272"/>
      <c r="H96" s="272"/>
      <c r="I96" s="272"/>
      <c r="J96" s="272"/>
      <c r="K96" s="272"/>
      <c r="L96" s="272"/>
      <c r="M96" s="272"/>
      <c r="N96" s="272"/>
      <c r="O96" s="272"/>
      <c r="P96" s="272"/>
      <c r="Q96" s="272"/>
      <c r="R96" s="272"/>
      <c r="S96" s="272"/>
      <c r="T96" s="272"/>
      <c r="U96" s="272"/>
      <c r="V96" s="272"/>
      <c r="W96" s="272"/>
      <c r="X96" s="272"/>
      <c r="Y96" s="272"/>
      <c r="Z96" s="272"/>
      <c r="AA96" s="272"/>
      <c r="AB96" s="272"/>
      <c r="AC96" s="272"/>
      <c r="AD96" s="272"/>
      <c r="AE96" s="272"/>
      <c r="AF96" s="272"/>
      <c r="AG96" s="272"/>
    </row>
    <row r="97" spans="1:33">
      <c r="A97" s="273"/>
      <c r="B97" s="273"/>
      <c r="C97" s="271"/>
      <c r="D97" s="271"/>
      <c r="E97" s="271"/>
      <c r="F97" s="272"/>
      <c r="G97" s="272"/>
      <c r="H97" s="272"/>
      <c r="I97" s="272"/>
      <c r="J97" s="272"/>
      <c r="K97" s="272"/>
      <c r="L97" s="272"/>
      <c r="M97" s="272"/>
      <c r="N97" s="272"/>
      <c r="O97" s="272"/>
      <c r="P97" s="272"/>
      <c r="Q97" s="272"/>
      <c r="R97" s="272"/>
      <c r="S97" s="272"/>
      <c r="T97" s="272"/>
      <c r="U97" s="272"/>
      <c r="V97" s="272"/>
      <c r="W97" s="272"/>
      <c r="X97" s="272"/>
      <c r="Y97" s="272"/>
      <c r="Z97" s="272"/>
      <c r="AA97" s="272"/>
      <c r="AB97" s="272"/>
      <c r="AC97" s="272"/>
      <c r="AD97" s="272"/>
      <c r="AE97" s="272"/>
      <c r="AF97" s="272"/>
      <c r="AG97" s="272"/>
    </row>
    <row r="98" spans="1:33">
      <c r="A98" s="273"/>
      <c r="B98" s="273"/>
      <c r="C98" s="271"/>
      <c r="D98" s="271"/>
      <c r="E98" s="271"/>
      <c r="F98" s="272"/>
      <c r="G98" s="272"/>
      <c r="H98" s="272"/>
      <c r="I98" s="272"/>
      <c r="J98" s="272"/>
      <c r="K98" s="272"/>
      <c r="L98" s="272"/>
      <c r="M98" s="272"/>
      <c r="N98" s="272"/>
      <c r="O98" s="272"/>
      <c r="P98" s="272"/>
      <c r="Q98" s="272"/>
      <c r="R98" s="272"/>
      <c r="S98" s="272"/>
      <c r="T98" s="272"/>
      <c r="U98" s="272"/>
      <c r="V98" s="272"/>
      <c r="W98" s="272"/>
      <c r="X98" s="272"/>
      <c r="Y98" s="272"/>
      <c r="Z98" s="272"/>
      <c r="AA98" s="272"/>
      <c r="AB98" s="272"/>
      <c r="AC98" s="272"/>
      <c r="AD98" s="272"/>
      <c r="AE98" s="272"/>
      <c r="AF98" s="272"/>
      <c r="AG98" s="272"/>
    </row>
    <row r="99" spans="1:33">
      <c r="A99" s="273"/>
      <c r="B99" s="273"/>
      <c r="C99" s="271"/>
      <c r="D99" s="271"/>
      <c r="E99" s="271"/>
      <c r="F99" s="272"/>
      <c r="G99" s="272"/>
      <c r="H99" s="272"/>
      <c r="I99" s="272"/>
      <c r="J99" s="272"/>
      <c r="K99" s="272"/>
      <c r="L99" s="272"/>
      <c r="M99" s="272"/>
      <c r="N99" s="272"/>
      <c r="O99" s="272"/>
      <c r="P99" s="272"/>
      <c r="Q99" s="272"/>
      <c r="R99" s="272"/>
      <c r="S99" s="272"/>
      <c r="T99" s="272"/>
      <c r="U99" s="272"/>
      <c r="V99" s="272"/>
      <c r="W99" s="272"/>
      <c r="X99" s="272"/>
      <c r="Y99" s="272"/>
      <c r="Z99" s="272"/>
      <c r="AA99" s="272"/>
      <c r="AB99" s="272"/>
      <c r="AC99" s="272"/>
      <c r="AD99" s="272"/>
      <c r="AE99" s="272"/>
      <c r="AF99" s="272"/>
      <c r="AG99" s="272"/>
    </row>
    <row r="100" spans="1:33">
      <c r="A100" s="273"/>
      <c r="B100" s="273"/>
      <c r="C100" s="271"/>
      <c r="D100" s="271"/>
      <c r="E100" s="271"/>
      <c r="F100" s="272"/>
      <c r="G100" s="272"/>
      <c r="H100" s="272"/>
      <c r="I100" s="272"/>
      <c r="J100" s="272"/>
      <c r="K100" s="272"/>
      <c r="L100" s="272"/>
      <c r="M100" s="272"/>
      <c r="N100" s="272"/>
      <c r="O100" s="272"/>
      <c r="P100" s="272"/>
      <c r="Q100" s="272"/>
      <c r="R100" s="272"/>
      <c r="S100" s="272"/>
      <c r="T100" s="272"/>
      <c r="U100" s="272"/>
      <c r="V100" s="272"/>
      <c r="W100" s="272"/>
      <c r="X100" s="272"/>
      <c r="Y100" s="272"/>
      <c r="Z100" s="272"/>
      <c r="AA100" s="272"/>
      <c r="AB100" s="272"/>
      <c r="AC100" s="272"/>
      <c r="AD100" s="272"/>
      <c r="AE100" s="272"/>
      <c r="AF100" s="272"/>
      <c r="AG100" s="272"/>
    </row>
    <row r="101" spans="1:33">
      <c r="A101" s="273"/>
      <c r="B101" s="273"/>
      <c r="C101" s="271"/>
      <c r="D101" s="271"/>
      <c r="E101" s="271"/>
      <c r="F101" s="272"/>
      <c r="G101" s="272"/>
      <c r="H101" s="272"/>
      <c r="I101" s="272"/>
      <c r="J101" s="272"/>
      <c r="K101" s="272"/>
      <c r="L101" s="272"/>
      <c r="M101" s="272"/>
      <c r="N101" s="272"/>
      <c r="O101" s="272"/>
      <c r="P101" s="272"/>
      <c r="Q101" s="272"/>
      <c r="R101" s="272"/>
      <c r="S101" s="272"/>
      <c r="T101" s="272"/>
      <c r="U101" s="272"/>
      <c r="V101" s="272"/>
      <c r="W101" s="272"/>
      <c r="X101" s="272"/>
      <c r="Y101" s="272"/>
      <c r="Z101" s="272"/>
      <c r="AA101" s="272"/>
      <c r="AB101" s="272"/>
      <c r="AC101" s="272"/>
      <c r="AD101" s="272"/>
      <c r="AE101" s="272"/>
      <c r="AF101" s="272"/>
      <c r="AG101" s="272"/>
    </row>
    <row r="102" spans="1:33">
      <c r="A102" s="273"/>
      <c r="B102" s="273"/>
      <c r="C102" s="271"/>
      <c r="D102" s="271"/>
      <c r="E102" s="271"/>
      <c r="F102" s="272"/>
      <c r="G102" s="272"/>
      <c r="H102" s="272"/>
      <c r="I102" s="272"/>
      <c r="J102" s="272"/>
      <c r="K102" s="272"/>
      <c r="L102" s="272"/>
      <c r="M102" s="272"/>
      <c r="N102" s="272"/>
      <c r="O102" s="272"/>
      <c r="P102" s="272"/>
      <c r="Q102" s="272"/>
      <c r="R102" s="272"/>
      <c r="S102" s="272"/>
      <c r="T102" s="272"/>
      <c r="U102" s="272"/>
      <c r="V102" s="272"/>
      <c r="W102" s="272"/>
      <c r="X102" s="272"/>
      <c r="Y102" s="272"/>
      <c r="Z102" s="272"/>
      <c r="AA102" s="272"/>
      <c r="AB102" s="272"/>
      <c r="AC102" s="272"/>
      <c r="AD102" s="272"/>
      <c r="AE102" s="272"/>
      <c r="AF102" s="272"/>
      <c r="AG102" s="272"/>
    </row>
    <row r="103" spans="1:33">
      <c r="A103" s="273"/>
      <c r="B103" s="273"/>
      <c r="C103" s="271"/>
      <c r="D103" s="271"/>
      <c r="E103" s="271"/>
      <c r="F103" s="272"/>
      <c r="G103" s="272"/>
      <c r="H103" s="272"/>
      <c r="I103" s="272"/>
      <c r="J103" s="272"/>
      <c r="K103" s="272"/>
      <c r="L103" s="272"/>
      <c r="M103" s="272"/>
      <c r="N103" s="272"/>
      <c r="O103" s="272"/>
      <c r="P103" s="272"/>
      <c r="Q103" s="272"/>
      <c r="R103" s="272"/>
      <c r="S103" s="272"/>
      <c r="T103" s="272"/>
      <c r="U103" s="272"/>
      <c r="V103" s="272"/>
      <c r="W103" s="272"/>
      <c r="X103" s="272"/>
      <c r="Y103" s="272"/>
      <c r="Z103" s="272"/>
      <c r="AA103" s="272"/>
      <c r="AB103" s="272"/>
      <c r="AC103" s="272"/>
      <c r="AD103" s="272"/>
      <c r="AE103" s="272"/>
      <c r="AF103" s="272"/>
      <c r="AG103" s="272"/>
    </row>
    <row r="104" spans="1:33">
      <c r="A104" s="273"/>
      <c r="B104" s="273"/>
      <c r="C104" s="271"/>
      <c r="D104" s="271"/>
      <c r="E104" s="271"/>
      <c r="F104" s="272"/>
      <c r="G104" s="272"/>
      <c r="H104" s="272"/>
      <c r="I104" s="272"/>
      <c r="J104" s="272"/>
      <c r="K104" s="272"/>
      <c r="L104" s="272"/>
      <c r="M104" s="272"/>
      <c r="N104" s="272"/>
      <c r="O104" s="272"/>
      <c r="P104" s="272"/>
      <c r="Q104" s="272"/>
      <c r="R104" s="272"/>
      <c r="S104" s="272"/>
      <c r="T104" s="272"/>
      <c r="U104" s="272"/>
      <c r="V104" s="272"/>
      <c r="W104" s="272"/>
      <c r="X104" s="272"/>
      <c r="Y104" s="272"/>
      <c r="Z104" s="272"/>
      <c r="AA104" s="272"/>
      <c r="AB104" s="272"/>
      <c r="AC104" s="272"/>
      <c r="AD104" s="272"/>
      <c r="AE104" s="272"/>
      <c r="AF104" s="272"/>
      <c r="AG104" s="272"/>
    </row>
    <row r="105" spans="1:33">
      <c r="A105" s="273"/>
      <c r="B105" s="273"/>
      <c r="C105" s="271"/>
      <c r="D105" s="271"/>
      <c r="E105" s="271"/>
      <c r="F105" s="272"/>
      <c r="G105" s="272"/>
      <c r="H105" s="272"/>
      <c r="I105" s="272"/>
      <c r="J105" s="272"/>
      <c r="K105" s="272"/>
      <c r="L105" s="272"/>
      <c r="M105" s="272"/>
      <c r="N105" s="272"/>
      <c r="O105" s="272"/>
      <c r="P105" s="272"/>
      <c r="Q105" s="272"/>
      <c r="R105" s="272"/>
      <c r="S105" s="272"/>
      <c r="T105" s="272"/>
      <c r="U105" s="272"/>
      <c r="V105" s="272"/>
      <c r="W105" s="272"/>
      <c r="X105" s="272"/>
      <c r="Y105" s="272"/>
      <c r="Z105" s="272"/>
      <c r="AA105" s="272"/>
      <c r="AB105" s="272"/>
      <c r="AC105" s="272"/>
      <c r="AD105" s="272"/>
      <c r="AE105" s="272"/>
      <c r="AF105" s="272"/>
      <c r="AG105" s="272"/>
    </row>
    <row r="106" spans="1:33">
      <c r="A106" s="273"/>
      <c r="B106" s="273"/>
      <c r="C106" s="271"/>
      <c r="D106" s="271"/>
      <c r="E106" s="271"/>
      <c r="F106" s="272"/>
      <c r="G106" s="272"/>
      <c r="H106" s="272"/>
      <c r="I106" s="272"/>
      <c r="J106" s="272"/>
      <c r="K106" s="272"/>
      <c r="L106" s="272"/>
      <c r="M106" s="272"/>
      <c r="N106" s="272"/>
      <c r="O106" s="272"/>
      <c r="P106" s="272"/>
      <c r="Q106" s="272"/>
      <c r="R106" s="272"/>
      <c r="S106" s="272"/>
      <c r="T106" s="272"/>
      <c r="U106" s="272"/>
      <c r="V106" s="272"/>
      <c r="W106" s="272"/>
      <c r="X106" s="272"/>
      <c r="Y106" s="272"/>
      <c r="Z106" s="272"/>
      <c r="AA106" s="272"/>
      <c r="AB106" s="272"/>
      <c r="AC106" s="272"/>
      <c r="AD106" s="272"/>
      <c r="AE106" s="272"/>
      <c r="AF106" s="272"/>
      <c r="AG106" s="272"/>
    </row>
    <row r="107" spans="1:33">
      <c r="A107" s="273"/>
      <c r="B107" s="273"/>
      <c r="C107" s="271"/>
      <c r="D107" s="271"/>
      <c r="E107" s="271"/>
      <c r="F107" s="272"/>
      <c r="G107" s="272"/>
      <c r="H107" s="272"/>
      <c r="I107" s="272"/>
      <c r="J107" s="272"/>
      <c r="K107" s="272"/>
      <c r="L107" s="272"/>
      <c r="M107" s="272"/>
      <c r="N107" s="272"/>
      <c r="O107" s="272"/>
      <c r="P107" s="272"/>
      <c r="Q107" s="272"/>
      <c r="R107" s="272"/>
      <c r="S107" s="272"/>
      <c r="T107" s="272"/>
      <c r="U107" s="272"/>
      <c r="V107" s="272"/>
      <c r="W107" s="272"/>
      <c r="X107" s="272"/>
      <c r="Y107" s="272"/>
      <c r="Z107" s="272"/>
      <c r="AA107" s="272"/>
      <c r="AB107" s="272"/>
      <c r="AC107" s="272"/>
      <c r="AD107" s="272"/>
      <c r="AE107" s="272"/>
      <c r="AF107" s="272"/>
      <c r="AG107" s="272"/>
    </row>
    <row r="108" spans="1:33">
      <c r="A108" s="273"/>
      <c r="B108" s="273"/>
      <c r="C108" s="271"/>
      <c r="D108" s="271"/>
      <c r="E108" s="271"/>
      <c r="F108" s="272"/>
      <c r="G108" s="272"/>
      <c r="H108" s="272"/>
      <c r="I108" s="272"/>
      <c r="J108" s="272"/>
      <c r="K108" s="272"/>
      <c r="L108" s="272"/>
      <c r="M108" s="272"/>
      <c r="N108" s="272"/>
      <c r="O108" s="272"/>
      <c r="P108" s="272"/>
      <c r="Q108" s="272"/>
      <c r="R108" s="272"/>
      <c r="S108" s="272"/>
      <c r="T108" s="272"/>
      <c r="U108" s="272"/>
      <c r="V108" s="272"/>
      <c r="W108" s="272"/>
      <c r="X108" s="272"/>
      <c r="Y108" s="272"/>
      <c r="Z108" s="272"/>
      <c r="AA108" s="272"/>
      <c r="AB108" s="272"/>
      <c r="AC108" s="272"/>
      <c r="AD108" s="272"/>
      <c r="AE108" s="272"/>
      <c r="AF108" s="272"/>
      <c r="AG108" s="272"/>
    </row>
    <row r="109" spans="1:33">
      <c r="A109" s="273"/>
      <c r="B109" s="273"/>
      <c r="C109" s="271"/>
      <c r="D109" s="271"/>
      <c r="E109" s="271"/>
      <c r="F109" s="272"/>
      <c r="G109" s="272"/>
      <c r="H109" s="272"/>
      <c r="I109" s="272"/>
      <c r="J109" s="272"/>
      <c r="K109" s="272"/>
      <c r="L109" s="272"/>
      <c r="M109" s="272"/>
      <c r="N109" s="272"/>
      <c r="O109" s="272"/>
      <c r="P109" s="272"/>
      <c r="Q109" s="272"/>
      <c r="R109" s="272"/>
      <c r="S109" s="272"/>
      <c r="T109" s="272"/>
      <c r="U109" s="272"/>
      <c r="V109" s="272"/>
      <c r="W109" s="272"/>
      <c r="X109" s="272"/>
      <c r="Y109" s="272"/>
      <c r="Z109" s="272"/>
      <c r="AA109" s="272"/>
      <c r="AB109" s="272"/>
      <c r="AC109" s="272"/>
      <c r="AD109" s="272"/>
      <c r="AE109" s="272"/>
      <c r="AF109" s="272"/>
      <c r="AG109" s="272"/>
    </row>
    <row r="110" spans="1:33">
      <c r="A110" s="273"/>
      <c r="B110" s="273"/>
      <c r="C110" s="271"/>
      <c r="D110" s="271"/>
      <c r="E110" s="271"/>
      <c r="F110" s="272"/>
      <c r="G110" s="272"/>
      <c r="H110" s="272"/>
      <c r="I110" s="272"/>
      <c r="J110" s="272"/>
      <c r="K110" s="272"/>
      <c r="L110" s="272"/>
      <c r="M110" s="272"/>
      <c r="N110" s="272"/>
      <c r="O110" s="272"/>
      <c r="P110" s="272"/>
      <c r="Q110" s="272"/>
      <c r="R110" s="272"/>
      <c r="S110" s="272"/>
      <c r="T110" s="272"/>
      <c r="U110" s="272"/>
      <c r="V110" s="272"/>
      <c r="W110" s="272"/>
      <c r="X110" s="272"/>
      <c r="Y110" s="272"/>
      <c r="Z110" s="272"/>
      <c r="AA110" s="272"/>
      <c r="AB110" s="272"/>
      <c r="AC110" s="272"/>
      <c r="AD110" s="272"/>
      <c r="AE110" s="272"/>
      <c r="AF110" s="272"/>
      <c r="AG110" s="272"/>
    </row>
    <row r="111" spans="1:33">
      <c r="A111" s="273"/>
      <c r="B111" s="273"/>
      <c r="C111" s="271"/>
      <c r="D111" s="271"/>
      <c r="E111" s="271"/>
      <c r="F111" s="272"/>
      <c r="G111" s="272"/>
      <c r="H111" s="272"/>
      <c r="I111" s="272"/>
      <c r="J111" s="272"/>
      <c r="K111" s="272"/>
      <c r="L111" s="272"/>
      <c r="M111" s="272"/>
      <c r="N111" s="272"/>
      <c r="O111" s="272"/>
      <c r="P111" s="272"/>
      <c r="Q111" s="272"/>
      <c r="R111" s="272"/>
      <c r="S111" s="272"/>
      <c r="T111" s="272"/>
      <c r="U111" s="272"/>
      <c r="V111" s="272"/>
      <c r="W111" s="272"/>
      <c r="X111" s="272"/>
      <c r="Y111" s="272"/>
      <c r="Z111" s="272"/>
      <c r="AA111" s="271"/>
      <c r="AB111" s="271"/>
      <c r="AC111" s="271"/>
      <c r="AD111" s="271"/>
      <c r="AE111" s="271"/>
      <c r="AF111" s="271"/>
      <c r="AG111" s="272"/>
    </row>
    <row r="112" spans="1:33">
      <c r="A112" s="273"/>
      <c r="B112" s="273"/>
      <c r="C112" s="271"/>
      <c r="D112" s="271"/>
      <c r="E112" s="271"/>
      <c r="F112" s="272"/>
      <c r="G112" s="272"/>
      <c r="H112" s="272"/>
      <c r="I112" s="272"/>
      <c r="J112" s="272"/>
      <c r="K112" s="272"/>
      <c r="L112" s="272"/>
      <c r="M112" s="272"/>
      <c r="N112" s="272"/>
      <c r="O112" s="272"/>
      <c r="P112" s="272"/>
      <c r="Q112" s="272"/>
      <c r="R112" s="272"/>
      <c r="S112" s="272"/>
      <c r="T112" s="272"/>
      <c r="U112" s="272"/>
      <c r="V112" s="272"/>
      <c r="W112" s="272"/>
      <c r="X112" s="272"/>
      <c r="Y112" s="272"/>
      <c r="Z112" s="272"/>
      <c r="AA112" s="271"/>
      <c r="AB112" s="271"/>
      <c r="AC112" s="271"/>
      <c r="AD112" s="271"/>
      <c r="AE112" s="271"/>
      <c r="AF112" s="271"/>
      <c r="AG112" s="272"/>
    </row>
    <row r="113" spans="1:33">
      <c r="A113" s="273"/>
      <c r="B113" s="273"/>
      <c r="C113" s="271"/>
      <c r="D113" s="271"/>
      <c r="E113" s="271"/>
      <c r="F113" s="272"/>
      <c r="G113" s="272"/>
      <c r="H113" s="272"/>
      <c r="I113" s="272"/>
      <c r="J113" s="272"/>
      <c r="K113" s="272"/>
      <c r="L113" s="272"/>
      <c r="M113" s="272"/>
      <c r="N113" s="272"/>
      <c r="O113" s="272"/>
      <c r="P113" s="272"/>
      <c r="Q113" s="272"/>
      <c r="R113" s="272"/>
      <c r="S113" s="272"/>
      <c r="T113" s="272"/>
      <c r="U113" s="272"/>
      <c r="V113" s="272"/>
      <c r="W113" s="272"/>
      <c r="X113" s="272"/>
      <c r="Y113" s="272"/>
      <c r="Z113" s="272"/>
      <c r="AA113" s="271"/>
      <c r="AB113" s="271"/>
      <c r="AC113" s="271"/>
      <c r="AD113" s="271"/>
      <c r="AE113" s="271"/>
      <c r="AF113" s="271"/>
      <c r="AG113" s="272"/>
    </row>
    <row r="114" spans="1:33">
      <c r="A114" s="273"/>
      <c r="B114" s="273"/>
      <c r="C114" s="271"/>
      <c r="D114" s="271"/>
      <c r="E114" s="271"/>
      <c r="F114" s="272"/>
      <c r="G114" s="272"/>
      <c r="H114" s="272"/>
      <c r="I114" s="272"/>
      <c r="J114" s="272"/>
      <c r="K114" s="272"/>
      <c r="L114" s="272"/>
      <c r="M114" s="272"/>
      <c r="N114" s="272"/>
      <c r="O114" s="272"/>
      <c r="P114" s="272"/>
      <c r="Q114" s="272"/>
      <c r="R114" s="272"/>
      <c r="S114" s="272"/>
      <c r="T114" s="272"/>
      <c r="U114" s="272"/>
      <c r="V114" s="272"/>
      <c r="W114" s="272"/>
      <c r="X114" s="272"/>
      <c r="Y114" s="272"/>
      <c r="Z114" s="272"/>
      <c r="AA114" s="271"/>
      <c r="AB114" s="271"/>
      <c r="AC114" s="271"/>
      <c r="AD114" s="271"/>
      <c r="AE114" s="271"/>
      <c r="AF114" s="271"/>
      <c r="AG114" s="272"/>
    </row>
    <row r="115" spans="1:33">
      <c r="A115" s="273"/>
      <c r="B115" s="273"/>
      <c r="C115" s="271"/>
      <c r="D115" s="271"/>
      <c r="E115" s="271"/>
      <c r="F115" s="272"/>
      <c r="G115" s="272"/>
      <c r="H115" s="272"/>
      <c r="I115" s="272"/>
      <c r="J115" s="272"/>
      <c r="K115" s="272"/>
      <c r="L115" s="272"/>
      <c r="M115" s="272"/>
      <c r="N115" s="272"/>
      <c r="O115" s="272"/>
      <c r="P115" s="272"/>
      <c r="Q115" s="272"/>
      <c r="R115" s="272"/>
      <c r="S115" s="272"/>
      <c r="T115" s="272"/>
      <c r="U115" s="272"/>
      <c r="V115" s="272"/>
      <c r="W115" s="272"/>
      <c r="X115" s="272"/>
      <c r="Y115" s="272"/>
      <c r="Z115" s="272"/>
      <c r="AA115" s="271"/>
      <c r="AB115" s="271"/>
      <c r="AC115" s="271"/>
      <c r="AD115" s="271"/>
      <c r="AE115" s="271"/>
      <c r="AF115" s="271"/>
      <c r="AG115" s="272"/>
    </row>
    <row r="116" spans="1:33">
      <c r="A116" s="273"/>
      <c r="B116" s="273"/>
      <c r="C116" s="271"/>
      <c r="D116" s="271"/>
      <c r="E116" s="271"/>
      <c r="F116" s="272"/>
      <c r="G116" s="272"/>
      <c r="H116" s="272"/>
      <c r="I116" s="272"/>
      <c r="J116" s="272"/>
      <c r="K116" s="272"/>
      <c r="L116" s="272"/>
      <c r="M116" s="272"/>
      <c r="N116" s="272"/>
      <c r="O116" s="272"/>
      <c r="P116" s="272"/>
      <c r="Q116" s="272"/>
      <c r="R116" s="272"/>
      <c r="S116" s="272"/>
      <c r="T116" s="272"/>
      <c r="U116" s="272"/>
      <c r="V116" s="272"/>
      <c r="W116" s="272"/>
      <c r="X116" s="272"/>
      <c r="Y116" s="272"/>
      <c r="Z116" s="272"/>
      <c r="AA116" s="271"/>
      <c r="AB116" s="271"/>
      <c r="AC116" s="271"/>
      <c r="AD116" s="271"/>
      <c r="AE116" s="271"/>
      <c r="AF116" s="271"/>
      <c r="AG116" s="272"/>
    </row>
    <row r="117" spans="1:33">
      <c r="A117" s="273"/>
      <c r="B117" s="273"/>
      <c r="C117" s="271"/>
      <c r="D117" s="271"/>
      <c r="E117" s="271"/>
      <c r="F117" s="272"/>
      <c r="G117" s="272"/>
      <c r="H117" s="272"/>
      <c r="I117" s="272"/>
      <c r="J117" s="272"/>
      <c r="K117" s="272"/>
      <c r="L117" s="272"/>
      <c r="M117" s="272"/>
      <c r="N117" s="272"/>
      <c r="O117" s="272"/>
      <c r="P117" s="272"/>
      <c r="Q117" s="272"/>
      <c r="R117" s="272"/>
      <c r="S117" s="272"/>
      <c r="T117" s="272"/>
      <c r="U117" s="272"/>
      <c r="V117" s="272"/>
      <c r="W117" s="272"/>
      <c r="X117" s="272"/>
      <c r="Y117" s="272"/>
      <c r="Z117" s="272"/>
      <c r="AA117" s="271"/>
      <c r="AB117" s="271"/>
      <c r="AC117" s="271"/>
      <c r="AD117" s="271"/>
      <c r="AE117" s="271"/>
      <c r="AF117" s="271"/>
      <c r="AG117" s="272"/>
    </row>
    <row r="118" spans="1:33">
      <c r="A118" s="273"/>
      <c r="B118" s="273"/>
      <c r="C118" s="271"/>
      <c r="D118" s="271"/>
      <c r="E118" s="271"/>
      <c r="F118" s="272"/>
      <c r="G118" s="272"/>
      <c r="H118" s="272"/>
      <c r="I118" s="272"/>
      <c r="J118" s="272"/>
      <c r="K118" s="272"/>
      <c r="L118" s="272"/>
      <c r="M118" s="272"/>
      <c r="N118" s="272"/>
      <c r="O118" s="272"/>
      <c r="P118" s="272"/>
      <c r="Q118" s="272"/>
      <c r="R118" s="272"/>
      <c r="S118" s="272"/>
      <c r="T118" s="272"/>
      <c r="U118" s="272"/>
      <c r="V118" s="272"/>
      <c r="W118" s="272"/>
      <c r="X118" s="272"/>
      <c r="Y118" s="272"/>
      <c r="Z118" s="272"/>
      <c r="AA118" s="271"/>
      <c r="AB118" s="271"/>
      <c r="AC118" s="271"/>
      <c r="AD118" s="271"/>
      <c r="AE118" s="271"/>
      <c r="AF118" s="271"/>
      <c r="AG118" s="272"/>
    </row>
    <row r="119" spans="1:33">
      <c r="A119" s="273"/>
      <c r="B119" s="273"/>
      <c r="C119" s="271"/>
      <c r="D119" s="271"/>
      <c r="E119" s="271"/>
      <c r="F119" s="272"/>
      <c r="G119" s="272"/>
      <c r="H119" s="272"/>
      <c r="I119" s="272"/>
      <c r="J119" s="272"/>
      <c r="K119" s="272"/>
      <c r="L119" s="272"/>
      <c r="M119" s="272"/>
      <c r="N119" s="272"/>
      <c r="O119" s="272"/>
      <c r="P119" s="272"/>
      <c r="Q119" s="272"/>
      <c r="R119" s="272"/>
      <c r="S119" s="272"/>
      <c r="T119" s="272"/>
      <c r="U119" s="272"/>
      <c r="V119" s="272"/>
      <c r="W119" s="272"/>
      <c r="X119" s="272"/>
      <c r="Y119" s="272"/>
      <c r="Z119" s="272"/>
      <c r="AA119" s="271"/>
      <c r="AB119" s="271"/>
      <c r="AC119" s="271"/>
      <c r="AD119" s="271"/>
      <c r="AE119" s="271"/>
      <c r="AF119" s="271"/>
      <c r="AG119" s="272"/>
    </row>
    <row r="120" spans="1:33">
      <c r="A120" s="273"/>
      <c r="B120" s="273"/>
      <c r="C120" s="271"/>
      <c r="D120" s="271"/>
      <c r="E120" s="271"/>
      <c r="F120" s="272"/>
      <c r="G120" s="272"/>
      <c r="H120" s="272"/>
      <c r="I120" s="272"/>
      <c r="J120" s="272"/>
      <c r="K120" s="272"/>
      <c r="L120" s="272"/>
      <c r="M120" s="272"/>
      <c r="N120" s="272"/>
      <c r="O120" s="272"/>
      <c r="P120" s="272"/>
      <c r="Q120" s="272"/>
      <c r="R120" s="272"/>
      <c r="S120" s="272"/>
      <c r="T120" s="272"/>
      <c r="U120" s="272"/>
      <c r="V120" s="272"/>
      <c r="W120" s="272"/>
      <c r="X120" s="272"/>
      <c r="Y120" s="272"/>
      <c r="Z120" s="272"/>
      <c r="AA120" s="271"/>
      <c r="AB120" s="271"/>
      <c r="AC120" s="271"/>
      <c r="AD120" s="271"/>
      <c r="AE120" s="271"/>
      <c r="AF120" s="271"/>
      <c r="AG120" s="272"/>
    </row>
    <row r="121" spans="1:33">
      <c r="A121" s="273"/>
      <c r="B121" s="273"/>
      <c r="C121" s="271"/>
      <c r="D121" s="271"/>
      <c r="E121" s="271"/>
      <c r="F121" s="272"/>
      <c r="G121" s="272"/>
      <c r="H121" s="272"/>
      <c r="I121" s="272"/>
      <c r="J121" s="272"/>
      <c r="K121" s="272"/>
      <c r="L121" s="272"/>
      <c r="M121" s="272"/>
      <c r="N121" s="272"/>
      <c r="O121" s="272"/>
      <c r="P121" s="272"/>
      <c r="Q121" s="272"/>
      <c r="R121" s="272"/>
      <c r="S121" s="272"/>
      <c r="T121" s="272"/>
      <c r="U121" s="272"/>
      <c r="V121" s="272"/>
      <c r="W121" s="272"/>
      <c r="X121" s="272"/>
      <c r="Y121" s="272"/>
      <c r="Z121" s="272"/>
      <c r="AA121" s="271"/>
      <c r="AB121" s="271"/>
      <c r="AC121" s="271"/>
      <c r="AD121" s="271"/>
      <c r="AE121" s="271"/>
      <c r="AF121" s="271"/>
      <c r="AG121" s="272"/>
    </row>
    <row r="122" spans="1:33">
      <c r="A122" s="273"/>
      <c r="B122" s="273"/>
      <c r="C122" s="271"/>
      <c r="D122" s="271"/>
      <c r="E122" s="271"/>
      <c r="F122" s="272"/>
      <c r="G122" s="272"/>
      <c r="H122" s="272"/>
      <c r="I122" s="272"/>
      <c r="J122" s="272"/>
      <c r="K122" s="272"/>
      <c r="L122" s="272"/>
      <c r="M122" s="272"/>
      <c r="N122" s="272"/>
      <c r="O122" s="272"/>
      <c r="P122" s="272"/>
      <c r="Q122" s="272"/>
      <c r="R122" s="272"/>
      <c r="S122" s="272"/>
      <c r="T122" s="272"/>
      <c r="U122" s="272"/>
      <c r="V122" s="272"/>
      <c r="W122" s="272"/>
      <c r="X122" s="272"/>
      <c r="Y122" s="272"/>
      <c r="Z122" s="272"/>
      <c r="AA122" s="271"/>
      <c r="AB122" s="271"/>
      <c r="AC122" s="271"/>
      <c r="AD122" s="271"/>
      <c r="AE122" s="271"/>
      <c r="AF122" s="271"/>
      <c r="AG122" s="272"/>
    </row>
    <row r="123" spans="1:33">
      <c r="A123" s="273"/>
      <c r="B123" s="273"/>
      <c r="C123" s="271"/>
      <c r="D123" s="271"/>
      <c r="E123" s="271"/>
      <c r="F123" s="272"/>
      <c r="G123" s="272"/>
      <c r="H123" s="272"/>
      <c r="I123" s="272"/>
      <c r="J123" s="272"/>
      <c r="K123" s="272"/>
      <c r="L123" s="272"/>
      <c r="M123" s="272"/>
      <c r="N123" s="272"/>
      <c r="O123" s="272"/>
      <c r="P123" s="272"/>
      <c r="Q123" s="272"/>
      <c r="R123" s="272"/>
      <c r="S123" s="272"/>
      <c r="T123" s="272"/>
      <c r="U123" s="272"/>
      <c r="V123" s="272"/>
      <c r="W123" s="272"/>
      <c r="X123" s="272"/>
      <c r="Y123" s="272"/>
      <c r="Z123" s="272"/>
      <c r="AA123" s="271"/>
      <c r="AB123" s="271"/>
      <c r="AC123" s="271"/>
      <c r="AD123" s="271"/>
      <c r="AE123" s="271"/>
      <c r="AF123" s="271"/>
      <c r="AG123" s="272"/>
    </row>
    <row r="124" spans="1:33">
      <c r="A124" s="273"/>
      <c r="B124" s="273"/>
      <c r="C124" s="271"/>
      <c r="D124" s="271"/>
      <c r="E124" s="271"/>
      <c r="F124" s="272"/>
      <c r="G124" s="272"/>
      <c r="H124" s="272"/>
      <c r="I124" s="272"/>
      <c r="J124" s="272"/>
      <c r="K124" s="272"/>
      <c r="L124" s="272"/>
      <c r="M124" s="272"/>
      <c r="N124" s="272"/>
      <c r="O124" s="272"/>
      <c r="P124" s="272"/>
      <c r="Q124" s="272"/>
      <c r="R124" s="272"/>
      <c r="S124" s="272"/>
      <c r="T124" s="272"/>
      <c r="U124" s="272"/>
      <c r="V124" s="272"/>
      <c r="W124" s="272"/>
      <c r="X124" s="272"/>
      <c r="Y124" s="272"/>
      <c r="Z124" s="272"/>
      <c r="AA124" s="271"/>
      <c r="AB124" s="271"/>
      <c r="AC124" s="271"/>
      <c r="AD124" s="271"/>
      <c r="AE124" s="271"/>
      <c r="AF124" s="271"/>
      <c r="AG124" s="272"/>
    </row>
    <row r="125" spans="1:33">
      <c r="A125" s="273"/>
      <c r="B125" s="273"/>
      <c r="C125" s="271"/>
      <c r="D125" s="271"/>
      <c r="E125" s="271"/>
      <c r="F125" s="272"/>
      <c r="G125" s="272"/>
      <c r="H125" s="272"/>
      <c r="I125" s="272"/>
      <c r="J125" s="272"/>
      <c r="K125" s="272"/>
      <c r="L125" s="272"/>
      <c r="M125" s="272"/>
      <c r="N125" s="272"/>
      <c r="O125" s="272"/>
      <c r="P125" s="272"/>
      <c r="Q125" s="272"/>
      <c r="R125" s="272"/>
      <c r="S125" s="272"/>
      <c r="T125" s="272"/>
      <c r="U125" s="272"/>
      <c r="V125" s="272"/>
      <c r="W125" s="272"/>
      <c r="X125" s="272"/>
      <c r="Y125" s="272"/>
      <c r="Z125" s="272"/>
      <c r="AA125" s="271"/>
      <c r="AB125" s="271"/>
      <c r="AC125" s="271"/>
      <c r="AD125" s="271"/>
      <c r="AE125" s="271"/>
      <c r="AF125" s="271"/>
      <c r="AG125" s="272"/>
    </row>
    <row r="126" spans="1:33">
      <c r="A126" s="273"/>
      <c r="B126" s="273"/>
      <c r="C126" s="271"/>
      <c r="D126" s="271"/>
      <c r="E126" s="271"/>
      <c r="F126" s="272"/>
      <c r="G126" s="272"/>
      <c r="H126" s="272"/>
      <c r="I126" s="272"/>
      <c r="J126" s="272"/>
      <c r="K126" s="272"/>
      <c r="L126" s="272"/>
      <c r="M126" s="272"/>
      <c r="N126" s="272"/>
      <c r="O126" s="272"/>
      <c r="P126" s="272"/>
      <c r="Q126" s="272"/>
      <c r="R126" s="272"/>
      <c r="S126" s="272"/>
      <c r="T126" s="272"/>
      <c r="U126" s="272"/>
      <c r="V126" s="272"/>
      <c r="W126" s="272"/>
      <c r="X126" s="272"/>
      <c r="Y126" s="272"/>
      <c r="Z126" s="272"/>
      <c r="AA126" s="271"/>
      <c r="AB126" s="271"/>
      <c r="AC126" s="271"/>
      <c r="AD126" s="271"/>
      <c r="AE126" s="271"/>
      <c r="AF126" s="271"/>
      <c r="AG126" s="272"/>
    </row>
    <row r="127" spans="1:33">
      <c r="A127" s="273"/>
      <c r="B127" s="273"/>
      <c r="C127" s="271"/>
      <c r="D127" s="271"/>
      <c r="E127" s="271"/>
      <c r="F127" s="272"/>
      <c r="G127" s="272"/>
      <c r="H127" s="272"/>
      <c r="I127" s="272"/>
      <c r="J127" s="272"/>
      <c r="K127" s="272"/>
      <c r="L127" s="272"/>
      <c r="M127" s="272"/>
      <c r="N127" s="272"/>
      <c r="O127" s="272"/>
      <c r="P127" s="272"/>
      <c r="Q127" s="272"/>
      <c r="R127" s="272"/>
      <c r="S127" s="272"/>
      <c r="T127" s="272"/>
      <c r="U127" s="272"/>
      <c r="V127" s="272"/>
      <c r="W127" s="272"/>
      <c r="X127" s="272"/>
      <c r="Y127" s="272"/>
      <c r="Z127" s="272"/>
      <c r="AA127" s="271"/>
      <c r="AB127" s="271"/>
      <c r="AC127" s="271"/>
      <c r="AD127" s="271"/>
      <c r="AE127" s="271"/>
      <c r="AF127" s="271"/>
      <c r="AG127" s="272"/>
    </row>
    <row r="128" spans="1:33">
      <c r="A128" s="273"/>
      <c r="B128" s="273"/>
      <c r="C128" s="271"/>
      <c r="D128" s="271"/>
      <c r="E128" s="271"/>
      <c r="F128" s="272"/>
      <c r="G128" s="272"/>
      <c r="H128" s="272"/>
      <c r="I128" s="272"/>
      <c r="J128" s="272"/>
      <c r="K128" s="272"/>
      <c r="L128" s="272"/>
      <c r="M128" s="272"/>
      <c r="N128" s="272"/>
      <c r="O128" s="272"/>
      <c r="P128" s="272"/>
      <c r="Q128" s="272"/>
      <c r="R128" s="272"/>
      <c r="S128" s="272"/>
      <c r="T128" s="272"/>
      <c r="U128" s="272"/>
      <c r="V128" s="272"/>
      <c r="W128" s="272"/>
      <c r="X128" s="272"/>
      <c r="Y128" s="272"/>
      <c r="Z128" s="272"/>
      <c r="AA128" s="271"/>
      <c r="AB128" s="271"/>
      <c r="AC128" s="271"/>
      <c r="AD128" s="271"/>
      <c r="AE128" s="271"/>
      <c r="AF128" s="271"/>
      <c r="AG128" s="272"/>
    </row>
    <row r="129" spans="1:33">
      <c r="A129" s="273"/>
      <c r="B129" s="273"/>
      <c r="C129" s="271"/>
      <c r="D129" s="271"/>
      <c r="E129" s="271"/>
      <c r="F129" s="272"/>
      <c r="G129" s="272"/>
      <c r="H129" s="272"/>
      <c r="I129" s="272"/>
      <c r="J129" s="272"/>
      <c r="K129" s="272"/>
      <c r="L129" s="272"/>
      <c r="M129" s="272"/>
      <c r="N129" s="272"/>
      <c r="O129" s="272"/>
      <c r="P129" s="272"/>
      <c r="Q129" s="272"/>
      <c r="R129" s="272"/>
      <c r="S129" s="272"/>
      <c r="T129" s="272"/>
      <c r="U129" s="272"/>
      <c r="V129" s="272"/>
      <c r="W129" s="272"/>
      <c r="X129" s="272"/>
      <c r="Y129" s="272"/>
      <c r="Z129" s="272"/>
      <c r="AA129" s="271"/>
      <c r="AB129" s="271"/>
      <c r="AC129" s="271"/>
      <c r="AD129" s="271"/>
      <c r="AE129" s="271"/>
      <c r="AF129" s="271"/>
      <c r="AG129" s="272"/>
    </row>
    <row r="130" spans="1:33">
      <c r="A130" s="273"/>
      <c r="B130" s="273"/>
      <c r="C130" s="271"/>
      <c r="D130" s="271"/>
      <c r="E130" s="271"/>
      <c r="F130" s="272"/>
      <c r="G130" s="272"/>
      <c r="H130" s="272"/>
      <c r="I130" s="272"/>
      <c r="J130" s="272"/>
      <c r="K130" s="272"/>
      <c r="L130" s="272"/>
      <c r="M130" s="272"/>
      <c r="N130" s="272"/>
      <c r="O130" s="272"/>
      <c r="P130" s="272"/>
      <c r="Q130" s="272"/>
      <c r="R130" s="272"/>
      <c r="S130" s="272"/>
      <c r="T130" s="272"/>
      <c r="U130" s="272"/>
      <c r="V130" s="272"/>
      <c r="W130" s="272"/>
      <c r="X130" s="272"/>
      <c r="Y130" s="272"/>
      <c r="Z130" s="272"/>
      <c r="AA130" s="271"/>
      <c r="AB130" s="271"/>
      <c r="AC130" s="271"/>
      <c r="AD130" s="271"/>
      <c r="AE130" s="271"/>
      <c r="AF130" s="271"/>
      <c r="AG130" s="272"/>
    </row>
    <row r="131" spans="1:33">
      <c r="A131" s="273"/>
      <c r="B131" s="273"/>
      <c r="C131" s="271"/>
      <c r="D131" s="271"/>
      <c r="E131" s="271"/>
      <c r="F131" s="272"/>
      <c r="G131" s="272"/>
      <c r="H131" s="272"/>
      <c r="I131" s="272"/>
      <c r="J131" s="272"/>
      <c r="K131" s="272"/>
      <c r="L131" s="272"/>
      <c r="M131" s="272"/>
      <c r="N131" s="272"/>
      <c r="O131" s="272"/>
      <c r="P131" s="272"/>
      <c r="Q131" s="272"/>
      <c r="R131" s="272"/>
      <c r="S131" s="272"/>
      <c r="T131" s="272"/>
      <c r="U131" s="272"/>
      <c r="V131" s="272"/>
      <c r="W131" s="272"/>
      <c r="X131" s="272"/>
      <c r="Y131" s="272"/>
      <c r="Z131" s="272"/>
      <c r="AA131" s="271"/>
      <c r="AB131" s="271"/>
      <c r="AC131" s="271"/>
      <c r="AD131" s="271"/>
      <c r="AE131" s="271"/>
      <c r="AF131" s="271"/>
      <c r="AG131" s="272"/>
    </row>
    <row r="132" spans="1:33">
      <c r="A132" s="273"/>
      <c r="B132" s="273"/>
      <c r="C132" s="271"/>
      <c r="D132" s="271"/>
      <c r="E132" s="271"/>
      <c r="F132" s="272"/>
      <c r="G132" s="272"/>
      <c r="H132" s="272"/>
      <c r="I132" s="272"/>
      <c r="J132" s="272"/>
      <c r="K132" s="272"/>
      <c r="L132" s="272"/>
      <c r="M132" s="272"/>
      <c r="N132" s="272"/>
      <c r="O132" s="272"/>
      <c r="P132" s="272"/>
      <c r="Q132" s="272"/>
      <c r="R132" s="272"/>
      <c r="S132" s="272"/>
      <c r="T132" s="272"/>
      <c r="U132" s="272"/>
      <c r="V132" s="272"/>
      <c r="W132" s="272"/>
      <c r="X132" s="272"/>
      <c r="Y132" s="272"/>
      <c r="Z132" s="272"/>
      <c r="AA132" s="271"/>
      <c r="AB132" s="271"/>
      <c r="AC132" s="271"/>
      <c r="AD132" s="271"/>
      <c r="AE132" s="271"/>
      <c r="AF132" s="271"/>
      <c r="AG132" s="272"/>
    </row>
    <row r="133" spans="1:33">
      <c r="A133" s="273"/>
      <c r="B133" s="273"/>
      <c r="C133" s="271"/>
      <c r="D133" s="271"/>
      <c r="E133" s="271"/>
      <c r="F133" s="272"/>
      <c r="G133" s="272"/>
      <c r="H133" s="272"/>
      <c r="I133" s="272"/>
      <c r="J133" s="272"/>
      <c r="K133" s="272"/>
      <c r="L133" s="272"/>
      <c r="M133" s="272"/>
      <c r="N133" s="272"/>
      <c r="O133" s="272"/>
      <c r="P133" s="272"/>
      <c r="Q133" s="272"/>
      <c r="R133" s="272"/>
      <c r="S133" s="272"/>
      <c r="T133" s="272"/>
      <c r="U133" s="272"/>
      <c r="V133" s="272"/>
      <c r="W133" s="272"/>
      <c r="X133" s="272"/>
      <c r="Y133" s="272"/>
      <c r="Z133" s="272"/>
      <c r="AA133" s="271"/>
      <c r="AB133" s="271"/>
      <c r="AC133" s="271"/>
      <c r="AD133" s="271"/>
      <c r="AE133" s="271"/>
      <c r="AF133" s="271"/>
      <c r="AG133" s="272"/>
    </row>
    <row r="134" spans="1:33">
      <c r="A134" s="273"/>
      <c r="B134" s="273"/>
      <c r="C134" s="271"/>
      <c r="D134" s="271"/>
      <c r="E134" s="271"/>
      <c r="F134" s="272"/>
      <c r="G134" s="272"/>
      <c r="H134" s="272"/>
      <c r="I134" s="272"/>
      <c r="J134" s="272"/>
      <c r="K134" s="272"/>
      <c r="L134" s="272"/>
      <c r="M134" s="272"/>
      <c r="N134" s="272"/>
      <c r="O134" s="272"/>
      <c r="P134" s="272"/>
      <c r="Q134" s="272"/>
      <c r="R134" s="272"/>
      <c r="S134" s="272"/>
      <c r="T134" s="272"/>
      <c r="U134" s="272"/>
      <c r="V134" s="272"/>
      <c r="W134" s="272"/>
      <c r="X134" s="272"/>
      <c r="Y134" s="272"/>
      <c r="Z134" s="272"/>
      <c r="AA134" s="271"/>
      <c r="AB134" s="271"/>
      <c r="AC134" s="271"/>
      <c r="AD134" s="271"/>
      <c r="AE134" s="271"/>
      <c r="AF134" s="271"/>
      <c r="AG134" s="272"/>
    </row>
    <row r="135" spans="1:33">
      <c r="A135" s="273"/>
      <c r="B135" s="273"/>
      <c r="C135" s="271"/>
      <c r="D135" s="271"/>
      <c r="E135" s="271"/>
      <c r="F135" s="272"/>
      <c r="G135" s="272"/>
      <c r="H135" s="272"/>
      <c r="I135" s="272"/>
      <c r="J135" s="272"/>
      <c r="K135" s="272"/>
      <c r="L135" s="272"/>
      <c r="M135" s="272"/>
      <c r="N135" s="272"/>
      <c r="O135" s="272"/>
      <c r="P135" s="272"/>
      <c r="Q135" s="272"/>
      <c r="R135" s="272"/>
      <c r="S135" s="272"/>
      <c r="T135" s="272"/>
      <c r="U135" s="272"/>
      <c r="V135" s="272"/>
      <c r="W135" s="272"/>
      <c r="X135" s="272"/>
      <c r="Y135" s="272"/>
      <c r="Z135" s="272"/>
      <c r="AA135" s="271"/>
      <c r="AB135" s="271"/>
      <c r="AC135" s="271"/>
      <c r="AD135" s="271"/>
      <c r="AE135" s="271"/>
      <c r="AF135" s="271"/>
      <c r="AG135" s="272"/>
    </row>
    <row r="136" spans="1:33">
      <c r="A136" s="273"/>
      <c r="B136" s="273"/>
      <c r="C136" s="271"/>
      <c r="D136" s="271"/>
      <c r="E136" s="271"/>
      <c r="F136" s="272"/>
      <c r="G136" s="272"/>
      <c r="H136" s="272"/>
      <c r="I136" s="272"/>
      <c r="J136" s="272"/>
      <c r="K136" s="272"/>
      <c r="L136" s="272"/>
      <c r="M136" s="272"/>
      <c r="N136" s="272"/>
      <c r="O136" s="272"/>
      <c r="P136" s="272"/>
      <c r="Q136" s="272"/>
      <c r="R136" s="272"/>
      <c r="S136" s="272"/>
      <c r="T136" s="272"/>
      <c r="U136" s="272"/>
      <c r="V136" s="272"/>
      <c r="W136" s="272"/>
      <c r="X136" s="272"/>
      <c r="Y136" s="272"/>
      <c r="Z136" s="272"/>
      <c r="AA136" s="271"/>
      <c r="AB136" s="271"/>
      <c r="AC136" s="271"/>
      <c r="AD136" s="271"/>
      <c r="AE136" s="271"/>
      <c r="AF136" s="271"/>
      <c r="AG136" s="272"/>
    </row>
    <row r="137" spans="1:33">
      <c r="A137" s="273"/>
      <c r="B137" s="273"/>
      <c r="C137" s="271"/>
      <c r="D137" s="271"/>
      <c r="E137" s="271"/>
      <c r="F137" s="272"/>
      <c r="G137" s="272"/>
      <c r="H137" s="272"/>
      <c r="I137" s="272"/>
      <c r="J137" s="272"/>
      <c r="K137" s="272"/>
      <c r="L137" s="272"/>
      <c r="M137" s="272"/>
      <c r="N137" s="272"/>
      <c r="O137" s="272"/>
      <c r="P137" s="272"/>
      <c r="Q137" s="272"/>
      <c r="R137" s="272"/>
      <c r="S137" s="272"/>
      <c r="T137" s="272"/>
      <c r="U137" s="272"/>
      <c r="V137" s="272"/>
      <c r="W137" s="272"/>
      <c r="X137" s="272"/>
      <c r="Y137" s="272"/>
      <c r="Z137" s="272"/>
      <c r="AA137" s="271"/>
      <c r="AB137" s="271"/>
      <c r="AC137" s="271"/>
      <c r="AD137" s="271"/>
      <c r="AE137" s="271"/>
      <c r="AF137" s="271"/>
      <c r="AG137" s="272"/>
    </row>
    <row r="138" spans="1:33">
      <c r="A138" s="273"/>
      <c r="B138" s="273"/>
      <c r="C138" s="271"/>
      <c r="D138" s="271"/>
      <c r="E138" s="271"/>
      <c r="F138" s="272"/>
      <c r="G138" s="272"/>
      <c r="H138" s="272"/>
      <c r="I138" s="272"/>
      <c r="J138" s="272"/>
      <c r="K138" s="272"/>
      <c r="L138" s="272"/>
      <c r="M138" s="272"/>
      <c r="N138" s="272"/>
      <c r="O138" s="272"/>
      <c r="P138" s="272"/>
      <c r="Q138" s="272"/>
      <c r="R138" s="272"/>
      <c r="S138" s="272"/>
      <c r="T138" s="272"/>
      <c r="U138" s="272"/>
      <c r="V138" s="272"/>
      <c r="W138" s="272"/>
      <c r="X138" s="272"/>
      <c r="Y138" s="272"/>
      <c r="Z138" s="272"/>
      <c r="AA138" s="271"/>
      <c r="AB138" s="271"/>
      <c r="AC138" s="271"/>
      <c r="AD138" s="271"/>
      <c r="AE138" s="271"/>
      <c r="AF138" s="271"/>
      <c r="AG138" s="272"/>
    </row>
    <row r="139" spans="1:33">
      <c r="A139" s="273"/>
      <c r="B139" s="273"/>
      <c r="C139" s="271"/>
      <c r="D139" s="271"/>
      <c r="E139" s="271"/>
      <c r="F139" s="272"/>
      <c r="G139" s="272"/>
      <c r="H139" s="272"/>
      <c r="I139" s="272"/>
      <c r="J139" s="272"/>
      <c r="K139" s="272"/>
      <c r="L139" s="272"/>
      <c r="M139" s="272"/>
      <c r="N139" s="272"/>
      <c r="O139" s="272"/>
      <c r="P139" s="272"/>
      <c r="Q139" s="272"/>
      <c r="R139" s="272"/>
      <c r="S139" s="272"/>
      <c r="T139" s="272"/>
      <c r="U139" s="272"/>
      <c r="V139" s="272"/>
      <c r="W139" s="272"/>
      <c r="X139" s="272"/>
      <c r="Y139" s="272"/>
      <c r="Z139" s="272"/>
      <c r="AA139" s="271"/>
      <c r="AB139" s="271"/>
      <c r="AC139" s="271"/>
      <c r="AD139" s="271"/>
      <c r="AE139" s="271"/>
      <c r="AF139" s="271"/>
      <c r="AG139" s="272"/>
    </row>
    <row r="140" spans="1:33">
      <c r="A140" s="273"/>
      <c r="B140" s="273"/>
      <c r="C140" s="271"/>
      <c r="D140" s="271"/>
      <c r="E140" s="271"/>
      <c r="F140" s="272"/>
      <c r="G140" s="272"/>
      <c r="H140" s="272"/>
      <c r="I140" s="272"/>
      <c r="J140" s="272"/>
      <c r="K140" s="272"/>
      <c r="L140" s="272"/>
      <c r="M140" s="272"/>
      <c r="N140" s="272"/>
      <c r="O140" s="272"/>
      <c r="P140" s="272"/>
      <c r="Q140" s="272"/>
      <c r="R140" s="272"/>
      <c r="S140" s="272"/>
      <c r="T140" s="272"/>
      <c r="U140" s="272"/>
      <c r="V140" s="272"/>
      <c r="W140" s="272"/>
      <c r="X140" s="272"/>
      <c r="Y140" s="272"/>
      <c r="Z140" s="272"/>
      <c r="AA140" s="271"/>
      <c r="AB140" s="271"/>
      <c r="AC140" s="271"/>
      <c r="AD140" s="271"/>
      <c r="AE140" s="271"/>
      <c r="AF140" s="271"/>
      <c r="AG140" s="272"/>
    </row>
    <row r="141" spans="1:33">
      <c r="A141" s="273"/>
      <c r="B141" s="273"/>
      <c r="C141" s="271"/>
      <c r="D141" s="271"/>
      <c r="E141" s="271"/>
      <c r="F141" s="272"/>
      <c r="G141" s="272"/>
      <c r="H141" s="272"/>
      <c r="I141" s="272"/>
      <c r="J141" s="272"/>
      <c r="K141" s="272"/>
      <c r="L141" s="272"/>
      <c r="M141" s="272"/>
      <c r="N141" s="272"/>
      <c r="O141" s="272"/>
      <c r="P141" s="272"/>
      <c r="Q141" s="272"/>
      <c r="R141" s="272"/>
      <c r="S141" s="272"/>
      <c r="T141" s="272"/>
      <c r="U141" s="272"/>
      <c r="V141" s="272"/>
      <c r="W141" s="272"/>
      <c r="X141" s="272"/>
      <c r="Y141" s="272"/>
      <c r="Z141" s="272"/>
      <c r="AA141" s="271"/>
      <c r="AB141" s="271"/>
      <c r="AC141" s="271"/>
      <c r="AD141" s="271"/>
      <c r="AE141" s="271"/>
      <c r="AF141" s="271"/>
      <c r="AG141" s="272"/>
    </row>
    <row r="142" spans="1:33">
      <c r="A142" s="273"/>
      <c r="B142" s="273"/>
      <c r="C142" s="271"/>
      <c r="D142" s="271"/>
      <c r="E142" s="271"/>
      <c r="F142" s="272"/>
      <c r="G142" s="272"/>
      <c r="H142" s="272"/>
      <c r="I142" s="272"/>
      <c r="J142" s="272"/>
      <c r="K142" s="272"/>
      <c r="L142" s="272"/>
      <c r="M142" s="272"/>
      <c r="N142" s="272"/>
      <c r="O142" s="272"/>
      <c r="P142" s="272"/>
      <c r="Q142" s="272"/>
      <c r="R142" s="272"/>
      <c r="S142" s="272"/>
      <c r="T142" s="272"/>
      <c r="U142" s="272"/>
      <c r="V142" s="272"/>
      <c r="W142" s="272"/>
      <c r="X142" s="272"/>
      <c r="Y142" s="272"/>
      <c r="Z142" s="272"/>
      <c r="AA142" s="271"/>
      <c r="AB142" s="271"/>
      <c r="AC142" s="271"/>
      <c r="AD142" s="271"/>
      <c r="AE142" s="271"/>
      <c r="AF142" s="271"/>
      <c r="AG142" s="272"/>
    </row>
    <row r="143" spans="1:33">
      <c r="A143" s="273"/>
      <c r="B143" s="273"/>
      <c r="C143" s="271"/>
      <c r="D143" s="271"/>
      <c r="E143" s="271"/>
      <c r="F143" s="272"/>
      <c r="G143" s="272"/>
      <c r="H143" s="272"/>
      <c r="I143" s="272"/>
      <c r="J143" s="272"/>
      <c r="K143" s="272"/>
      <c r="L143" s="272"/>
      <c r="M143" s="272"/>
      <c r="N143" s="272"/>
      <c r="O143" s="272"/>
      <c r="P143" s="272"/>
      <c r="Q143" s="272"/>
      <c r="R143" s="272"/>
      <c r="S143" s="272"/>
      <c r="T143" s="272"/>
      <c r="U143" s="272"/>
      <c r="V143" s="272"/>
      <c r="W143" s="272"/>
      <c r="X143" s="272"/>
      <c r="Y143" s="272"/>
      <c r="Z143" s="272"/>
      <c r="AA143" s="271"/>
      <c r="AB143" s="271"/>
      <c r="AC143" s="271"/>
      <c r="AD143" s="271"/>
      <c r="AE143" s="271"/>
      <c r="AF143" s="271"/>
      <c r="AG143" s="272"/>
    </row>
    <row r="144" spans="1:33">
      <c r="A144" s="273"/>
      <c r="B144" s="273"/>
      <c r="C144" s="271"/>
      <c r="D144" s="271"/>
      <c r="E144" s="271"/>
      <c r="F144" s="272"/>
      <c r="G144" s="272"/>
      <c r="H144" s="272"/>
      <c r="I144" s="272"/>
      <c r="J144" s="272"/>
      <c r="K144" s="272"/>
      <c r="L144" s="272"/>
      <c r="M144" s="272"/>
      <c r="N144" s="272"/>
      <c r="O144" s="272"/>
      <c r="P144" s="272"/>
      <c r="Q144" s="272"/>
      <c r="R144" s="272"/>
      <c r="S144" s="272"/>
      <c r="T144" s="272"/>
      <c r="U144" s="272"/>
      <c r="V144" s="272"/>
      <c r="W144" s="272"/>
      <c r="X144" s="272"/>
      <c r="Y144" s="272"/>
      <c r="Z144" s="272"/>
      <c r="AA144" s="271"/>
      <c r="AB144" s="271"/>
      <c r="AC144" s="271"/>
      <c r="AD144" s="271"/>
      <c r="AE144" s="271"/>
      <c r="AF144" s="271"/>
      <c r="AG144" s="272"/>
    </row>
    <row r="145" spans="1:33">
      <c r="A145" s="273"/>
      <c r="B145" s="273"/>
      <c r="C145" s="271"/>
      <c r="D145" s="271"/>
      <c r="E145" s="271"/>
      <c r="F145" s="272"/>
      <c r="G145" s="272"/>
      <c r="H145" s="272"/>
      <c r="I145" s="272"/>
      <c r="J145" s="272"/>
      <c r="K145" s="272"/>
      <c r="L145" s="272"/>
      <c r="M145" s="272"/>
      <c r="N145" s="272"/>
      <c r="O145" s="272"/>
      <c r="P145" s="272"/>
      <c r="Q145" s="272"/>
      <c r="R145" s="272"/>
      <c r="S145" s="272"/>
      <c r="T145" s="272"/>
      <c r="U145" s="272"/>
      <c r="V145" s="272"/>
      <c r="W145" s="272"/>
      <c r="X145" s="272"/>
      <c r="Y145" s="272"/>
      <c r="Z145" s="272"/>
      <c r="AA145" s="271"/>
      <c r="AB145" s="271"/>
      <c r="AC145" s="271"/>
      <c r="AD145" s="271"/>
      <c r="AE145" s="271"/>
      <c r="AF145" s="271"/>
      <c r="AG145" s="272"/>
    </row>
    <row r="146" spans="1:33">
      <c r="A146" s="273"/>
      <c r="B146" s="273"/>
      <c r="C146" s="271"/>
      <c r="D146" s="271"/>
      <c r="E146" s="271"/>
      <c r="F146" s="272"/>
      <c r="G146" s="272"/>
      <c r="H146" s="272"/>
      <c r="I146" s="272"/>
      <c r="J146" s="272"/>
      <c r="K146" s="272"/>
      <c r="L146" s="272"/>
      <c r="M146" s="272"/>
      <c r="N146" s="272"/>
      <c r="O146" s="272"/>
      <c r="P146" s="272"/>
      <c r="Q146" s="272"/>
      <c r="R146" s="272"/>
      <c r="S146" s="272"/>
      <c r="T146" s="272"/>
      <c r="U146" s="272"/>
      <c r="V146" s="272"/>
      <c r="W146" s="272"/>
      <c r="X146" s="272"/>
      <c r="Y146" s="272"/>
      <c r="Z146" s="272"/>
      <c r="AA146" s="271"/>
      <c r="AB146" s="271"/>
      <c r="AC146" s="271"/>
      <c r="AD146" s="271"/>
      <c r="AE146" s="271"/>
      <c r="AF146" s="271"/>
      <c r="AG146" s="272"/>
    </row>
    <row r="147" spans="1:33">
      <c r="A147" s="273"/>
      <c r="B147" s="273"/>
      <c r="C147" s="271"/>
      <c r="D147" s="271"/>
      <c r="E147" s="271"/>
      <c r="F147" s="272"/>
      <c r="G147" s="272"/>
      <c r="H147" s="272"/>
      <c r="I147" s="272"/>
      <c r="J147" s="272"/>
      <c r="K147" s="272"/>
      <c r="L147" s="272"/>
      <c r="M147" s="272"/>
      <c r="N147" s="272"/>
      <c r="O147" s="272"/>
      <c r="P147" s="272"/>
      <c r="Q147" s="272"/>
      <c r="R147" s="272"/>
      <c r="S147" s="272"/>
      <c r="T147" s="272"/>
      <c r="U147" s="272"/>
      <c r="V147" s="272"/>
      <c r="W147" s="272"/>
      <c r="X147" s="272"/>
      <c r="Y147" s="272"/>
      <c r="Z147" s="272"/>
      <c r="AA147" s="271"/>
      <c r="AB147" s="271"/>
      <c r="AC147" s="271"/>
      <c r="AD147" s="271"/>
      <c r="AE147" s="271"/>
      <c r="AF147" s="271"/>
      <c r="AG147" s="272"/>
    </row>
    <row r="148" spans="1:33">
      <c r="A148" s="273"/>
      <c r="B148" s="273"/>
      <c r="C148" s="271"/>
      <c r="D148" s="271"/>
      <c r="E148" s="271"/>
      <c r="F148" s="272"/>
      <c r="G148" s="272"/>
      <c r="H148" s="272"/>
      <c r="I148" s="272"/>
      <c r="J148" s="272"/>
      <c r="K148" s="272"/>
      <c r="L148" s="272"/>
      <c r="M148" s="272"/>
      <c r="N148" s="272"/>
      <c r="O148" s="272"/>
      <c r="P148" s="272"/>
      <c r="Q148" s="272"/>
      <c r="R148" s="272"/>
      <c r="S148" s="272"/>
      <c r="T148" s="272"/>
      <c r="U148" s="272"/>
      <c r="V148" s="272"/>
      <c r="W148" s="272"/>
      <c r="X148" s="272"/>
      <c r="Y148" s="272"/>
      <c r="Z148" s="272"/>
      <c r="AA148" s="271"/>
      <c r="AB148" s="271"/>
      <c r="AC148" s="271"/>
      <c r="AD148" s="271"/>
      <c r="AE148" s="271"/>
      <c r="AF148" s="271"/>
      <c r="AG148" s="272"/>
    </row>
    <row r="149" spans="1:33">
      <c r="A149" s="273"/>
      <c r="B149" s="273"/>
      <c r="C149" s="271"/>
      <c r="D149" s="271"/>
      <c r="E149" s="271"/>
      <c r="F149" s="272"/>
      <c r="G149" s="272"/>
      <c r="H149" s="272"/>
      <c r="I149" s="272"/>
      <c r="J149" s="272"/>
      <c r="K149" s="272"/>
      <c r="L149" s="272"/>
      <c r="M149" s="272"/>
      <c r="N149" s="272"/>
      <c r="O149" s="272"/>
      <c r="P149" s="272"/>
      <c r="Q149" s="272"/>
      <c r="R149" s="272"/>
      <c r="S149" s="272"/>
      <c r="T149" s="272"/>
      <c r="U149" s="272"/>
      <c r="V149" s="272"/>
      <c r="W149" s="272"/>
      <c r="X149" s="272"/>
      <c r="Y149" s="272"/>
      <c r="Z149" s="272"/>
      <c r="AA149" s="271"/>
      <c r="AB149" s="271"/>
      <c r="AC149" s="271"/>
      <c r="AD149" s="271"/>
      <c r="AE149" s="271"/>
      <c r="AF149" s="271"/>
      <c r="AG149" s="272"/>
    </row>
    <row r="150" spans="1:33">
      <c r="A150" s="273"/>
      <c r="B150" s="273"/>
      <c r="C150" s="271"/>
      <c r="D150" s="271"/>
      <c r="E150" s="271"/>
      <c r="F150" s="272"/>
      <c r="G150" s="272"/>
      <c r="H150" s="272"/>
      <c r="I150" s="272"/>
      <c r="J150" s="272"/>
      <c r="K150" s="272"/>
      <c r="L150" s="272"/>
      <c r="M150" s="272"/>
      <c r="N150" s="272"/>
      <c r="O150" s="272"/>
      <c r="P150" s="272"/>
      <c r="Q150" s="272"/>
      <c r="R150" s="272"/>
      <c r="S150" s="272"/>
      <c r="T150" s="272"/>
      <c r="U150" s="272"/>
      <c r="V150" s="272"/>
      <c r="W150" s="272"/>
      <c r="X150" s="272"/>
      <c r="Y150" s="272"/>
      <c r="Z150" s="272"/>
      <c r="AA150" s="271"/>
      <c r="AB150" s="271"/>
      <c r="AC150" s="271"/>
      <c r="AD150" s="271"/>
      <c r="AE150" s="271"/>
      <c r="AF150" s="271"/>
      <c r="AG150" s="272"/>
    </row>
    <row r="151" spans="1:33">
      <c r="A151" s="273"/>
      <c r="B151" s="273"/>
      <c r="C151" s="271"/>
      <c r="D151" s="271"/>
      <c r="E151" s="271"/>
      <c r="F151" s="272"/>
      <c r="G151" s="272"/>
      <c r="H151" s="272"/>
      <c r="I151" s="272"/>
      <c r="J151" s="272"/>
      <c r="K151" s="272"/>
      <c r="L151" s="272"/>
      <c r="M151" s="272"/>
      <c r="N151" s="272"/>
      <c r="O151" s="272"/>
      <c r="P151" s="272"/>
      <c r="Q151" s="272"/>
      <c r="R151" s="272"/>
      <c r="S151" s="272"/>
      <c r="T151" s="272"/>
      <c r="U151" s="272"/>
      <c r="V151" s="272"/>
      <c r="W151" s="272"/>
      <c r="X151" s="272"/>
      <c r="Y151" s="272"/>
      <c r="Z151" s="272"/>
      <c r="AA151" s="271"/>
      <c r="AB151" s="271"/>
      <c r="AC151" s="271"/>
      <c r="AD151" s="271"/>
      <c r="AE151" s="271"/>
      <c r="AF151" s="271"/>
      <c r="AG151" s="272"/>
    </row>
    <row r="152" spans="1:33">
      <c r="A152" s="273"/>
      <c r="B152" s="273"/>
      <c r="C152" s="271"/>
      <c r="D152" s="271"/>
      <c r="E152" s="271"/>
      <c r="F152" s="272"/>
      <c r="G152" s="272"/>
      <c r="H152" s="272"/>
      <c r="I152" s="272"/>
      <c r="J152" s="272"/>
      <c r="K152" s="272"/>
      <c r="L152" s="272"/>
      <c r="M152" s="272"/>
      <c r="N152" s="272"/>
      <c r="O152" s="272"/>
      <c r="P152" s="272"/>
      <c r="Q152" s="272"/>
      <c r="R152" s="272"/>
      <c r="S152" s="272"/>
      <c r="T152" s="272"/>
      <c r="U152" s="272"/>
      <c r="V152" s="272"/>
      <c r="W152" s="272"/>
      <c r="X152" s="272"/>
      <c r="Y152" s="272"/>
      <c r="Z152" s="272"/>
      <c r="AA152" s="271"/>
      <c r="AB152" s="271"/>
      <c r="AC152" s="271"/>
      <c r="AD152" s="271"/>
      <c r="AE152" s="271"/>
      <c r="AF152" s="271"/>
      <c r="AG152" s="272"/>
    </row>
    <row r="153" spans="1:33">
      <c r="A153" s="273"/>
      <c r="B153" s="273"/>
      <c r="C153" s="271"/>
      <c r="D153" s="271"/>
      <c r="E153" s="271"/>
      <c r="F153" s="272"/>
      <c r="G153" s="272"/>
      <c r="H153" s="272"/>
      <c r="I153" s="272"/>
      <c r="J153" s="272"/>
      <c r="K153" s="272"/>
      <c r="L153" s="272"/>
      <c r="M153" s="272"/>
      <c r="N153" s="272"/>
      <c r="O153" s="272"/>
      <c r="P153" s="272"/>
      <c r="Q153" s="272"/>
      <c r="R153" s="272"/>
      <c r="S153" s="272"/>
      <c r="T153" s="272"/>
      <c r="U153" s="272"/>
      <c r="V153" s="272"/>
      <c r="W153" s="272"/>
      <c r="X153" s="272"/>
      <c r="Y153" s="272"/>
      <c r="Z153" s="272"/>
      <c r="AA153" s="271"/>
      <c r="AB153" s="271"/>
      <c r="AC153" s="271"/>
      <c r="AD153" s="271"/>
      <c r="AE153" s="271"/>
      <c r="AF153" s="271"/>
      <c r="AG153" s="272"/>
    </row>
    <row r="154" spans="1:33">
      <c r="A154" s="273"/>
      <c r="B154" s="273"/>
      <c r="C154" s="271"/>
      <c r="D154" s="271"/>
      <c r="E154" s="271"/>
      <c r="F154" s="272"/>
      <c r="G154" s="272"/>
      <c r="H154" s="272"/>
      <c r="I154" s="272"/>
      <c r="J154" s="272"/>
      <c r="K154" s="272"/>
      <c r="L154" s="272"/>
      <c r="M154" s="272"/>
      <c r="N154" s="272"/>
      <c r="O154" s="272"/>
      <c r="P154" s="272"/>
      <c r="Q154" s="272"/>
      <c r="R154" s="272"/>
      <c r="S154" s="272"/>
      <c r="T154" s="272"/>
      <c r="U154" s="272"/>
      <c r="V154" s="272"/>
      <c r="W154" s="272"/>
      <c r="X154" s="272"/>
      <c r="Y154" s="272"/>
      <c r="Z154" s="272"/>
      <c r="AA154" s="271"/>
      <c r="AB154" s="271"/>
      <c r="AC154" s="271"/>
      <c r="AD154" s="271"/>
      <c r="AE154" s="271"/>
      <c r="AF154" s="271"/>
      <c r="AG154" s="272"/>
    </row>
    <row r="155" spans="1:33">
      <c r="A155" s="273"/>
      <c r="B155" s="273"/>
      <c r="C155" s="271"/>
      <c r="D155" s="271"/>
      <c r="E155" s="271"/>
      <c r="F155" s="272"/>
      <c r="G155" s="272"/>
      <c r="H155" s="272"/>
      <c r="I155" s="272"/>
      <c r="J155" s="272"/>
      <c r="K155" s="272"/>
      <c r="L155" s="272"/>
      <c r="M155" s="272"/>
      <c r="N155" s="272"/>
      <c r="O155" s="272"/>
      <c r="P155" s="272"/>
      <c r="Q155" s="272"/>
      <c r="R155" s="272"/>
      <c r="S155" s="272"/>
      <c r="T155" s="272"/>
      <c r="U155" s="272"/>
      <c r="V155" s="272"/>
      <c r="W155" s="272"/>
      <c r="X155" s="272"/>
      <c r="Y155" s="272"/>
      <c r="Z155" s="272"/>
      <c r="AA155" s="271"/>
      <c r="AB155" s="271"/>
      <c r="AC155" s="271"/>
      <c r="AD155" s="271"/>
      <c r="AE155" s="271"/>
      <c r="AF155" s="271"/>
      <c r="AG155" s="272"/>
    </row>
    <row r="156" spans="1:33">
      <c r="A156" s="273"/>
      <c r="B156" s="273"/>
      <c r="C156" s="271"/>
      <c r="D156" s="271"/>
      <c r="E156" s="271"/>
      <c r="F156" s="272"/>
      <c r="G156" s="272"/>
      <c r="H156" s="272"/>
      <c r="I156" s="272"/>
      <c r="J156" s="272"/>
      <c r="K156" s="272"/>
      <c r="L156" s="272"/>
      <c r="M156" s="272"/>
      <c r="N156" s="272"/>
      <c r="O156" s="272"/>
      <c r="P156" s="272"/>
      <c r="Q156" s="272"/>
      <c r="R156" s="272"/>
      <c r="S156" s="272"/>
      <c r="T156" s="272"/>
      <c r="U156" s="272"/>
      <c r="V156" s="272"/>
      <c r="W156" s="272"/>
      <c r="X156" s="272"/>
      <c r="Y156" s="272"/>
      <c r="Z156" s="272"/>
      <c r="AA156" s="271"/>
      <c r="AB156" s="271"/>
      <c r="AC156" s="271"/>
      <c r="AD156" s="271"/>
      <c r="AE156" s="271"/>
      <c r="AF156" s="271"/>
      <c r="AG156" s="272"/>
    </row>
    <row r="157" spans="1:33">
      <c r="A157" s="273"/>
      <c r="B157" s="273"/>
      <c r="C157" s="271"/>
      <c r="D157" s="271"/>
      <c r="E157" s="271"/>
      <c r="F157" s="272"/>
      <c r="G157" s="272"/>
      <c r="H157" s="272"/>
      <c r="I157" s="272"/>
      <c r="J157" s="272"/>
      <c r="K157" s="272"/>
      <c r="L157" s="272"/>
      <c r="M157" s="272"/>
      <c r="N157" s="272"/>
      <c r="O157" s="272"/>
      <c r="P157" s="272"/>
      <c r="Q157" s="272"/>
      <c r="R157" s="272"/>
      <c r="S157" s="272"/>
      <c r="T157" s="272"/>
      <c r="U157" s="272"/>
      <c r="V157" s="272"/>
      <c r="W157" s="272"/>
      <c r="X157" s="272"/>
      <c r="Y157" s="272"/>
      <c r="Z157" s="272"/>
      <c r="AA157" s="271"/>
      <c r="AB157" s="271"/>
      <c r="AC157" s="271"/>
      <c r="AD157" s="271"/>
      <c r="AE157" s="271"/>
      <c r="AF157" s="271"/>
      <c r="AG157" s="272"/>
    </row>
    <row r="158" spans="1:33">
      <c r="A158" s="273"/>
      <c r="B158" s="273"/>
      <c r="C158" s="271"/>
      <c r="D158" s="271"/>
      <c r="E158" s="271"/>
      <c r="F158" s="272"/>
      <c r="G158" s="272"/>
      <c r="H158" s="272"/>
      <c r="I158" s="272"/>
      <c r="J158" s="272"/>
      <c r="K158" s="272"/>
      <c r="L158" s="272"/>
      <c r="M158" s="272"/>
      <c r="N158" s="272"/>
      <c r="O158" s="272"/>
      <c r="P158" s="272"/>
      <c r="Q158" s="272"/>
      <c r="R158" s="272"/>
      <c r="S158" s="272"/>
      <c r="T158" s="272"/>
      <c r="U158" s="272"/>
      <c r="V158" s="272"/>
      <c r="W158" s="272"/>
      <c r="X158" s="272"/>
      <c r="Y158" s="272"/>
      <c r="Z158" s="272"/>
      <c r="AA158" s="271"/>
      <c r="AB158" s="271"/>
      <c r="AC158" s="271"/>
      <c r="AD158" s="271"/>
      <c r="AE158" s="271"/>
      <c r="AF158" s="271"/>
      <c r="AG158" s="272"/>
    </row>
    <row r="159" spans="1:33">
      <c r="A159" s="273"/>
      <c r="B159" s="273"/>
      <c r="C159" s="271"/>
      <c r="D159" s="271"/>
      <c r="E159" s="271"/>
      <c r="F159" s="272"/>
      <c r="G159" s="272"/>
      <c r="H159" s="272"/>
      <c r="I159" s="272"/>
      <c r="J159" s="272"/>
      <c r="K159" s="272"/>
      <c r="L159" s="272"/>
      <c r="M159" s="272"/>
      <c r="N159" s="272"/>
      <c r="O159" s="272"/>
      <c r="P159" s="272"/>
      <c r="Q159" s="272"/>
      <c r="R159" s="272"/>
      <c r="S159" s="272"/>
      <c r="T159" s="272"/>
      <c r="U159" s="272"/>
      <c r="V159" s="272"/>
      <c r="W159" s="272"/>
      <c r="X159" s="272"/>
      <c r="Y159" s="272"/>
      <c r="Z159" s="272"/>
      <c r="AA159" s="271"/>
      <c r="AB159" s="271"/>
      <c r="AC159" s="271"/>
      <c r="AD159" s="271"/>
      <c r="AE159" s="271"/>
      <c r="AF159" s="271"/>
      <c r="AG159" s="272"/>
    </row>
    <row r="160" spans="1:33">
      <c r="A160" s="273"/>
      <c r="B160" s="273"/>
      <c r="C160" s="271"/>
      <c r="D160" s="271"/>
      <c r="E160" s="271"/>
      <c r="F160" s="272"/>
      <c r="G160" s="272"/>
      <c r="H160" s="272"/>
      <c r="I160" s="272"/>
      <c r="J160" s="272"/>
      <c r="K160" s="272"/>
      <c r="L160" s="272"/>
      <c r="M160" s="272"/>
      <c r="N160" s="272"/>
      <c r="O160" s="272"/>
      <c r="P160" s="272"/>
      <c r="Q160" s="272"/>
      <c r="R160" s="272"/>
      <c r="S160" s="272"/>
      <c r="T160" s="272"/>
      <c r="U160" s="272"/>
      <c r="V160" s="272"/>
      <c r="W160" s="272"/>
      <c r="X160" s="272"/>
      <c r="Y160" s="272"/>
      <c r="Z160" s="272"/>
      <c r="AA160" s="271"/>
      <c r="AB160" s="271"/>
      <c r="AC160" s="271"/>
      <c r="AD160" s="271"/>
      <c r="AE160" s="271"/>
      <c r="AF160" s="271"/>
      <c r="AG160" s="272"/>
    </row>
    <row r="161" spans="1:33">
      <c r="A161" s="273"/>
      <c r="B161" s="273"/>
      <c r="C161" s="271"/>
      <c r="D161" s="271"/>
      <c r="E161" s="271"/>
      <c r="F161" s="272"/>
      <c r="G161" s="272"/>
      <c r="H161" s="272"/>
      <c r="I161" s="272"/>
      <c r="J161" s="272"/>
      <c r="K161" s="272"/>
      <c r="L161" s="272"/>
      <c r="M161" s="272"/>
      <c r="N161" s="272"/>
      <c r="O161" s="272"/>
      <c r="P161" s="272"/>
      <c r="Q161" s="272"/>
      <c r="R161" s="272"/>
      <c r="S161" s="272"/>
      <c r="T161" s="272"/>
      <c r="U161" s="272"/>
      <c r="V161" s="272"/>
      <c r="W161" s="272"/>
      <c r="X161" s="272"/>
      <c r="Y161" s="272"/>
      <c r="Z161" s="272"/>
      <c r="AA161" s="271"/>
      <c r="AB161" s="271"/>
      <c r="AC161" s="271"/>
      <c r="AD161" s="271"/>
      <c r="AE161" s="271"/>
      <c r="AF161" s="271"/>
      <c r="AG161" s="272"/>
    </row>
    <row r="162" spans="1:33">
      <c r="A162" s="273"/>
      <c r="B162" s="273"/>
      <c r="C162" s="271"/>
      <c r="D162" s="271"/>
      <c r="E162" s="271"/>
      <c r="F162" s="272"/>
      <c r="G162" s="272"/>
      <c r="H162" s="272"/>
      <c r="I162" s="272"/>
      <c r="J162" s="272"/>
      <c r="K162" s="272"/>
      <c r="L162" s="272"/>
      <c r="M162" s="272"/>
      <c r="N162" s="272"/>
      <c r="O162" s="272"/>
      <c r="P162" s="272"/>
      <c r="Q162" s="272"/>
      <c r="R162" s="272"/>
      <c r="S162" s="272"/>
      <c r="T162" s="272"/>
      <c r="U162" s="272"/>
      <c r="V162" s="272"/>
      <c r="W162" s="272"/>
      <c r="X162" s="272"/>
      <c r="Y162" s="272"/>
      <c r="Z162" s="272"/>
      <c r="AA162" s="271"/>
      <c r="AB162" s="271"/>
      <c r="AC162" s="271"/>
      <c r="AD162" s="271"/>
      <c r="AE162" s="271"/>
      <c r="AF162" s="271"/>
      <c r="AG162" s="272"/>
    </row>
    <row r="163" spans="1:33">
      <c r="A163" s="273"/>
      <c r="B163" s="273"/>
      <c r="C163" s="271"/>
      <c r="D163" s="271"/>
      <c r="E163" s="271"/>
      <c r="F163" s="272"/>
      <c r="G163" s="272"/>
      <c r="H163" s="272"/>
      <c r="I163" s="272"/>
      <c r="J163" s="272"/>
      <c r="K163" s="272"/>
      <c r="L163" s="272"/>
      <c r="M163" s="272"/>
      <c r="N163" s="272"/>
      <c r="O163" s="272"/>
      <c r="P163" s="272"/>
      <c r="Q163" s="272"/>
      <c r="R163" s="272"/>
      <c r="S163" s="272"/>
      <c r="T163" s="272"/>
      <c r="U163" s="272"/>
      <c r="V163" s="272"/>
      <c r="W163" s="272"/>
      <c r="X163" s="272"/>
      <c r="Y163" s="272"/>
      <c r="Z163" s="272"/>
      <c r="AA163" s="271"/>
      <c r="AB163" s="271"/>
      <c r="AC163" s="271"/>
      <c r="AD163" s="271"/>
      <c r="AE163" s="271"/>
      <c r="AF163" s="271"/>
      <c r="AG163" s="272"/>
    </row>
    <row r="164" spans="1:33">
      <c r="A164" s="273"/>
      <c r="B164" s="273"/>
      <c r="C164" s="271"/>
      <c r="D164" s="271"/>
      <c r="E164" s="271"/>
      <c r="F164" s="272"/>
      <c r="G164" s="272"/>
      <c r="H164" s="272"/>
      <c r="I164" s="272"/>
      <c r="J164" s="272"/>
      <c r="K164" s="272"/>
      <c r="L164" s="272"/>
      <c r="M164" s="272"/>
      <c r="N164" s="272"/>
      <c r="O164" s="272"/>
      <c r="P164" s="272"/>
      <c r="Q164" s="272"/>
      <c r="R164" s="272"/>
      <c r="S164" s="272"/>
      <c r="T164" s="272"/>
      <c r="U164" s="272"/>
      <c r="V164" s="272"/>
      <c r="W164" s="272"/>
      <c r="X164" s="272"/>
      <c r="Y164" s="272"/>
      <c r="Z164" s="272"/>
      <c r="AA164" s="271"/>
      <c r="AB164" s="271"/>
      <c r="AC164" s="271"/>
      <c r="AD164" s="271"/>
      <c r="AE164" s="271"/>
      <c r="AF164" s="271"/>
      <c r="AG164" s="272"/>
    </row>
    <row r="165" spans="1:33">
      <c r="A165" s="273"/>
      <c r="B165" s="273"/>
      <c r="C165" s="271"/>
      <c r="D165" s="271"/>
      <c r="E165" s="271"/>
      <c r="F165" s="272"/>
      <c r="G165" s="272"/>
      <c r="H165" s="272"/>
      <c r="I165" s="272"/>
      <c r="J165" s="272"/>
      <c r="K165" s="272"/>
      <c r="L165" s="272"/>
      <c r="M165" s="272"/>
      <c r="N165" s="272"/>
      <c r="O165" s="272"/>
      <c r="P165" s="272"/>
      <c r="Q165" s="272"/>
      <c r="R165" s="272"/>
      <c r="S165" s="272"/>
      <c r="T165" s="272"/>
      <c r="U165" s="272"/>
      <c r="V165" s="272"/>
      <c r="W165" s="272"/>
      <c r="X165" s="272"/>
      <c r="Y165" s="272"/>
      <c r="Z165" s="272"/>
      <c r="AA165" s="271"/>
      <c r="AB165" s="271"/>
      <c r="AC165" s="271"/>
      <c r="AD165" s="271"/>
      <c r="AE165" s="271"/>
      <c r="AF165" s="271"/>
      <c r="AG165" s="272"/>
    </row>
    <row r="166" spans="1:33">
      <c r="A166" s="273"/>
      <c r="B166" s="273"/>
      <c r="C166" s="271"/>
      <c r="D166" s="271"/>
      <c r="E166" s="271"/>
      <c r="F166" s="272"/>
      <c r="G166" s="272"/>
      <c r="H166" s="272"/>
      <c r="I166" s="272"/>
      <c r="J166" s="272"/>
      <c r="K166" s="272"/>
      <c r="L166" s="272"/>
      <c r="M166" s="272"/>
      <c r="N166" s="272"/>
      <c r="O166" s="272"/>
      <c r="P166" s="272"/>
      <c r="Q166" s="272"/>
      <c r="R166" s="272"/>
      <c r="S166" s="272"/>
      <c r="T166" s="272"/>
      <c r="U166" s="272"/>
      <c r="V166" s="272"/>
      <c r="W166" s="272"/>
      <c r="X166" s="272"/>
      <c r="Y166" s="272"/>
      <c r="Z166" s="272"/>
      <c r="AA166" s="271"/>
      <c r="AB166" s="271"/>
      <c r="AC166" s="271"/>
      <c r="AD166" s="271"/>
      <c r="AE166" s="271"/>
      <c r="AF166" s="271"/>
      <c r="AG166" s="272"/>
    </row>
    <row r="167" spans="1:33">
      <c r="A167" s="273"/>
      <c r="B167" s="273"/>
      <c r="C167" s="271"/>
      <c r="D167" s="271"/>
      <c r="E167" s="271"/>
      <c r="F167" s="272"/>
      <c r="G167" s="272"/>
      <c r="H167" s="272"/>
      <c r="I167" s="272"/>
      <c r="J167" s="272"/>
      <c r="K167" s="272"/>
      <c r="L167" s="272"/>
      <c r="M167" s="272"/>
      <c r="N167" s="272"/>
      <c r="O167" s="272"/>
      <c r="P167" s="272"/>
      <c r="Q167" s="272"/>
      <c r="R167" s="272"/>
      <c r="S167" s="272"/>
      <c r="T167" s="272"/>
      <c r="U167" s="272"/>
      <c r="V167" s="272"/>
      <c r="W167" s="272"/>
      <c r="X167" s="272"/>
      <c r="Y167" s="272"/>
      <c r="Z167" s="272"/>
      <c r="AA167" s="271"/>
      <c r="AB167" s="271"/>
      <c r="AC167" s="271"/>
      <c r="AD167" s="271"/>
      <c r="AE167" s="271"/>
      <c r="AF167" s="271"/>
      <c r="AG167" s="272"/>
    </row>
    <row r="168" spans="1:33">
      <c r="A168" s="273"/>
      <c r="B168" s="273"/>
      <c r="C168" s="271"/>
      <c r="D168" s="271"/>
      <c r="E168" s="271"/>
      <c r="F168" s="272"/>
      <c r="G168" s="272"/>
      <c r="H168" s="272"/>
      <c r="I168" s="272"/>
      <c r="J168" s="272"/>
      <c r="K168" s="272"/>
      <c r="L168" s="272"/>
      <c r="M168" s="272"/>
      <c r="N168" s="272"/>
      <c r="O168" s="272"/>
      <c r="P168" s="272"/>
      <c r="Q168" s="272"/>
      <c r="R168" s="272"/>
      <c r="S168" s="272"/>
      <c r="T168" s="272"/>
      <c r="U168" s="272"/>
      <c r="V168" s="272"/>
      <c r="W168" s="272"/>
      <c r="X168" s="272"/>
      <c r="Y168" s="272"/>
      <c r="Z168" s="272"/>
      <c r="AA168" s="271"/>
      <c r="AB168" s="271"/>
      <c r="AC168" s="271"/>
      <c r="AD168" s="271"/>
      <c r="AE168" s="271"/>
      <c r="AF168" s="271"/>
      <c r="AG168" s="272"/>
    </row>
    <row r="169" spans="1:33">
      <c r="A169" s="273"/>
      <c r="B169" s="273"/>
      <c r="C169" s="271"/>
      <c r="D169" s="271"/>
      <c r="E169" s="271"/>
      <c r="F169" s="272"/>
      <c r="G169" s="272"/>
      <c r="H169" s="272"/>
      <c r="I169" s="272"/>
      <c r="J169" s="272"/>
      <c r="K169" s="272"/>
      <c r="L169" s="272"/>
      <c r="M169" s="272"/>
      <c r="N169" s="272"/>
      <c r="O169" s="272"/>
      <c r="P169" s="272"/>
      <c r="Q169" s="272"/>
      <c r="R169" s="272"/>
      <c r="S169" s="272"/>
      <c r="T169" s="272"/>
      <c r="U169" s="272"/>
      <c r="V169" s="272"/>
      <c r="W169" s="272"/>
      <c r="X169" s="272"/>
      <c r="Y169" s="272"/>
      <c r="Z169" s="272"/>
      <c r="AA169" s="271"/>
      <c r="AB169" s="271"/>
      <c r="AC169" s="271"/>
      <c r="AD169" s="271"/>
      <c r="AE169" s="271"/>
      <c r="AF169" s="271"/>
      <c r="AG169" s="272"/>
    </row>
    <row r="170" spans="1:33">
      <c r="A170" s="273"/>
      <c r="B170" s="273"/>
      <c r="C170" s="271"/>
      <c r="D170" s="271"/>
      <c r="E170" s="271"/>
      <c r="F170" s="272"/>
      <c r="G170" s="272"/>
      <c r="H170" s="272"/>
      <c r="I170" s="272"/>
      <c r="J170" s="272"/>
      <c r="K170" s="272"/>
      <c r="L170" s="272"/>
      <c r="M170" s="272"/>
      <c r="N170" s="272"/>
      <c r="O170" s="272"/>
      <c r="P170" s="272"/>
      <c r="Q170" s="272"/>
      <c r="R170" s="272"/>
      <c r="S170" s="272"/>
      <c r="T170" s="272"/>
      <c r="U170" s="272"/>
      <c r="V170" s="272"/>
      <c r="W170" s="272"/>
      <c r="X170" s="272"/>
      <c r="Y170" s="272"/>
      <c r="Z170" s="272"/>
      <c r="AA170" s="271"/>
      <c r="AB170" s="271"/>
      <c r="AC170" s="271"/>
      <c r="AD170" s="271"/>
      <c r="AE170" s="271"/>
      <c r="AF170" s="271"/>
      <c r="AG170" s="272"/>
    </row>
    <row r="171" spans="1:33">
      <c r="A171" s="273"/>
      <c r="B171" s="273"/>
      <c r="C171" s="271"/>
      <c r="D171" s="271"/>
      <c r="E171" s="271"/>
      <c r="F171" s="272"/>
      <c r="G171" s="272"/>
      <c r="H171" s="272"/>
      <c r="I171" s="272"/>
      <c r="J171" s="272"/>
      <c r="K171" s="272"/>
      <c r="L171" s="272"/>
      <c r="M171" s="272"/>
      <c r="N171" s="272"/>
      <c r="O171" s="272"/>
      <c r="P171" s="272"/>
      <c r="Q171" s="272"/>
      <c r="R171" s="272"/>
      <c r="S171" s="272"/>
      <c r="T171" s="272"/>
      <c r="U171" s="272"/>
      <c r="V171" s="272"/>
      <c r="W171" s="272"/>
      <c r="X171" s="272"/>
      <c r="Y171" s="272"/>
      <c r="Z171" s="272"/>
      <c r="AA171" s="271"/>
      <c r="AB171" s="271"/>
      <c r="AC171" s="271"/>
      <c r="AD171" s="271"/>
      <c r="AE171" s="271"/>
      <c r="AF171" s="271"/>
      <c r="AG171" s="272"/>
    </row>
    <row r="172" spans="1:33">
      <c r="A172" s="273"/>
      <c r="B172" s="273"/>
      <c r="C172" s="271"/>
      <c r="D172" s="271"/>
      <c r="E172" s="271"/>
      <c r="F172" s="272"/>
      <c r="G172" s="272"/>
      <c r="H172" s="272"/>
      <c r="I172" s="272"/>
      <c r="J172" s="272"/>
      <c r="K172" s="272"/>
      <c r="L172" s="272"/>
      <c r="M172" s="272"/>
      <c r="N172" s="272"/>
      <c r="O172" s="272"/>
      <c r="P172" s="272"/>
      <c r="Q172" s="272"/>
      <c r="R172" s="272"/>
      <c r="S172" s="272"/>
      <c r="T172" s="272"/>
      <c r="U172" s="272"/>
      <c r="V172" s="272"/>
      <c r="W172" s="272"/>
      <c r="X172" s="272"/>
      <c r="Y172" s="272"/>
      <c r="Z172" s="272"/>
      <c r="AA172" s="271"/>
      <c r="AB172" s="271"/>
      <c r="AC172" s="271"/>
      <c r="AD172" s="271"/>
      <c r="AE172" s="271"/>
      <c r="AF172" s="271"/>
      <c r="AG172" s="272"/>
    </row>
    <row r="173" spans="1:33">
      <c r="A173" s="273"/>
      <c r="B173" s="273"/>
      <c r="C173" s="271"/>
      <c r="D173" s="271"/>
      <c r="E173" s="271"/>
      <c r="F173" s="272"/>
      <c r="G173" s="272"/>
      <c r="H173" s="272"/>
      <c r="I173" s="272"/>
      <c r="J173" s="272"/>
      <c r="K173" s="272"/>
      <c r="L173" s="272"/>
      <c r="M173" s="272"/>
      <c r="N173" s="272"/>
      <c r="O173" s="272"/>
      <c r="P173" s="272"/>
      <c r="Q173" s="272"/>
      <c r="R173" s="272"/>
      <c r="S173" s="272"/>
      <c r="T173" s="272"/>
      <c r="U173" s="272"/>
      <c r="V173" s="272"/>
      <c r="W173" s="272"/>
      <c r="X173" s="272"/>
      <c r="Y173" s="272"/>
      <c r="Z173" s="272"/>
      <c r="AA173" s="271"/>
      <c r="AB173" s="271"/>
      <c r="AC173" s="271"/>
      <c r="AD173" s="271"/>
      <c r="AE173" s="271"/>
      <c r="AF173" s="271"/>
      <c r="AG173" s="272"/>
    </row>
    <row r="174" spans="1:33">
      <c r="A174" s="273"/>
      <c r="B174" s="273"/>
      <c r="C174" s="271"/>
      <c r="D174" s="271"/>
      <c r="E174" s="271"/>
      <c r="F174" s="272"/>
      <c r="G174" s="272"/>
      <c r="H174" s="272"/>
      <c r="I174" s="272"/>
      <c r="J174" s="272"/>
      <c r="K174" s="272"/>
      <c r="L174" s="272"/>
      <c r="M174" s="272"/>
      <c r="N174" s="272"/>
      <c r="O174" s="272"/>
      <c r="P174" s="272"/>
      <c r="Q174" s="272"/>
      <c r="R174" s="272"/>
      <c r="S174" s="272"/>
      <c r="T174" s="272"/>
      <c r="U174" s="272"/>
      <c r="V174" s="272"/>
      <c r="W174" s="272"/>
      <c r="X174" s="272"/>
      <c r="Y174" s="272"/>
      <c r="Z174" s="272"/>
      <c r="AA174" s="271"/>
      <c r="AB174" s="271"/>
      <c r="AC174" s="271"/>
      <c r="AD174" s="271"/>
      <c r="AE174" s="271"/>
      <c r="AF174" s="271"/>
      <c r="AG174" s="272"/>
    </row>
    <row r="175" spans="1:33">
      <c r="A175" s="273"/>
      <c r="B175" s="273"/>
      <c r="C175" s="271"/>
      <c r="D175" s="271"/>
      <c r="E175" s="271"/>
      <c r="F175" s="272"/>
      <c r="G175" s="272"/>
      <c r="H175" s="272"/>
      <c r="I175" s="272"/>
      <c r="J175" s="272"/>
      <c r="K175" s="272"/>
      <c r="L175" s="272"/>
      <c r="M175" s="272"/>
      <c r="N175" s="272"/>
      <c r="O175" s="272"/>
      <c r="P175" s="272"/>
      <c r="Q175" s="272"/>
      <c r="R175" s="272"/>
      <c r="S175" s="272"/>
      <c r="T175" s="272"/>
      <c r="U175" s="272"/>
      <c r="V175" s="272"/>
      <c r="W175" s="272"/>
      <c r="X175" s="272"/>
      <c r="Y175" s="272"/>
      <c r="Z175" s="272"/>
      <c r="AA175" s="271"/>
      <c r="AB175" s="271"/>
      <c r="AC175" s="271"/>
      <c r="AD175" s="271"/>
      <c r="AE175" s="271"/>
      <c r="AF175" s="271"/>
      <c r="AG175" s="272"/>
    </row>
    <row r="176" spans="1:33">
      <c r="A176" s="273"/>
      <c r="B176" s="273"/>
      <c r="C176" s="271"/>
      <c r="D176" s="271"/>
      <c r="E176" s="271"/>
      <c r="F176" s="272"/>
      <c r="G176" s="272"/>
      <c r="H176" s="272"/>
      <c r="I176" s="272"/>
      <c r="J176" s="272"/>
      <c r="K176" s="272"/>
      <c r="L176" s="272"/>
      <c r="M176" s="272"/>
      <c r="N176" s="272"/>
      <c r="O176" s="272"/>
      <c r="P176" s="272"/>
      <c r="Q176" s="272"/>
      <c r="R176" s="272"/>
      <c r="S176" s="272"/>
      <c r="T176" s="272"/>
      <c r="U176" s="272"/>
      <c r="V176" s="272"/>
      <c r="W176" s="272"/>
      <c r="X176" s="272"/>
      <c r="Y176" s="272"/>
      <c r="Z176" s="272"/>
      <c r="AA176" s="271"/>
      <c r="AB176" s="271"/>
      <c r="AC176" s="271"/>
      <c r="AD176" s="271"/>
      <c r="AE176" s="271"/>
      <c r="AF176" s="271"/>
      <c r="AG176" s="272"/>
    </row>
    <row r="177" spans="1:33">
      <c r="A177" s="273"/>
      <c r="B177" s="273"/>
      <c r="C177" s="271"/>
      <c r="D177" s="271"/>
      <c r="E177" s="271"/>
      <c r="F177" s="272"/>
      <c r="G177" s="272"/>
      <c r="H177" s="272"/>
      <c r="I177" s="272"/>
      <c r="J177" s="272"/>
      <c r="K177" s="272"/>
      <c r="L177" s="272"/>
      <c r="M177" s="272"/>
      <c r="N177" s="272"/>
      <c r="O177" s="272"/>
      <c r="P177" s="272"/>
      <c r="Q177" s="272"/>
      <c r="R177" s="272"/>
      <c r="S177" s="272"/>
      <c r="T177" s="272"/>
      <c r="U177" s="272"/>
      <c r="V177" s="272"/>
      <c r="W177" s="272"/>
      <c r="X177" s="272"/>
      <c r="Y177" s="272"/>
      <c r="Z177" s="272"/>
      <c r="AA177" s="271"/>
      <c r="AB177" s="271"/>
      <c r="AC177" s="271"/>
      <c r="AD177" s="271"/>
      <c r="AE177" s="271"/>
      <c r="AF177" s="271"/>
      <c r="AG177" s="272"/>
    </row>
    <row r="178" spans="1:33">
      <c r="A178" s="273"/>
      <c r="B178" s="273"/>
      <c r="C178" s="271"/>
      <c r="D178" s="271"/>
      <c r="E178" s="271"/>
      <c r="F178" s="272"/>
      <c r="G178" s="272"/>
      <c r="H178" s="272"/>
      <c r="I178" s="272"/>
      <c r="J178" s="272"/>
      <c r="K178" s="272"/>
      <c r="L178" s="272"/>
      <c r="M178" s="272"/>
      <c r="N178" s="272"/>
      <c r="O178" s="272"/>
      <c r="P178" s="272"/>
      <c r="Q178" s="272"/>
      <c r="R178" s="272"/>
      <c r="S178" s="272"/>
      <c r="T178" s="272"/>
      <c r="U178" s="272"/>
      <c r="V178" s="272"/>
      <c r="W178" s="272"/>
      <c r="X178" s="272"/>
      <c r="Y178" s="272"/>
      <c r="Z178" s="272"/>
      <c r="AA178" s="271"/>
      <c r="AB178" s="271"/>
      <c r="AC178" s="271"/>
      <c r="AD178" s="271"/>
      <c r="AE178" s="271"/>
      <c r="AF178" s="271"/>
      <c r="AG178" s="272"/>
    </row>
    <row r="179" spans="1:33">
      <c r="A179" s="273"/>
      <c r="B179" s="273"/>
      <c r="C179" s="271"/>
      <c r="D179" s="271"/>
      <c r="E179" s="271"/>
      <c r="F179" s="272"/>
      <c r="G179" s="272"/>
      <c r="H179" s="272"/>
      <c r="I179" s="272"/>
      <c r="J179" s="272"/>
      <c r="K179" s="272"/>
      <c r="L179" s="272"/>
      <c r="M179" s="272"/>
      <c r="N179" s="272"/>
      <c r="O179" s="272"/>
      <c r="P179" s="272"/>
      <c r="Q179" s="272"/>
      <c r="R179" s="272"/>
      <c r="S179" s="272"/>
      <c r="T179" s="272"/>
      <c r="U179" s="272"/>
      <c r="V179" s="272"/>
      <c r="W179" s="272"/>
      <c r="X179" s="272"/>
      <c r="Y179" s="272"/>
      <c r="Z179" s="272"/>
      <c r="AA179" s="271"/>
      <c r="AB179" s="271"/>
      <c r="AC179" s="271"/>
      <c r="AD179" s="271"/>
      <c r="AE179" s="271"/>
      <c r="AF179" s="271"/>
      <c r="AG179" s="272"/>
    </row>
    <row r="180" spans="1:33">
      <c r="A180" s="273"/>
      <c r="B180" s="273"/>
      <c r="C180" s="271"/>
      <c r="D180" s="271"/>
      <c r="E180" s="271"/>
      <c r="F180" s="272"/>
      <c r="G180" s="272"/>
      <c r="H180" s="272"/>
      <c r="I180" s="272"/>
      <c r="J180" s="272"/>
      <c r="K180" s="272"/>
      <c r="L180" s="272"/>
      <c r="M180" s="272"/>
      <c r="N180" s="272"/>
      <c r="O180" s="272"/>
      <c r="P180" s="272"/>
      <c r="Q180" s="272"/>
      <c r="R180" s="272"/>
      <c r="S180" s="272"/>
      <c r="T180" s="272"/>
      <c r="U180" s="272"/>
      <c r="V180" s="272"/>
      <c r="W180" s="272"/>
      <c r="X180" s="272"/>
      <c r="Y180" s="272"/>
      <c r="Z180" s="272"/>
      <c r="AA180" s="271"/>
      <c r="AB180" s="271"/>
      <c r="AC180" s="271"/>
      <c r="AD180" s="271"/>
      <c r="AE180" s="271"/>
      <c r="AF180" s="271"/>
      <c r="AG180" s="272"/>
    </row>
    <row r="181" spans="1:33">
      <c r="A181" s="273"/>
      <c r="B181" s="273"/>
      <c r="C181" s="271"/>
      <c r="D181" s="271"/>
      <c r="E181" s="271"/>
      <c r="F181" s="272"/>
      <c r="G181" s="272"/>
      <c r="H181" s="272"/>
      <c r="I181" s="272"/>
      <c r="J181" s="272"/>
      <c r="K181" s="272"/>
      <c r="L181" s="272"/>
      <c r="M181" s="272"/>
      <c r="N181" s="272"/>
      <c r="O181" s="272"/>
      <c r="P181" s="272"/>
      <c r="Q181" s="272"/>
      <c r="R181" s="272"/>
      <c r="S181" s="272"/>
      <c r="T181" s="272"/>
      <c r="U181" s="272"/>
      <c r="V181" s="272"/>
      <c r="W181" s="272"/>
      <c r="X181" s="272"/>
      <c r="Y181" s="272"/>
      <c r="Z181" s="272"/>
      <c r="AA181" s="271"/>
      <c r="AB181" s="271"/>
      <c r="AC181" s="271"/>
      <c r="AD181" s="271"/>
      <c r="AE181" s="271"/>
      <c r="AF181" s="271"/>
      <c r="AG181" s="272"/>
    </row>
    <row r="182" spans="1:33">
      <c r="A182" s="273"/>
      <c r="B182" s="273"/>
      <c r="C182" s="271"/>
      <c r="D182" s="271"/>
      <c r="E182" s="271"/>
      <c r="F182" s="272"/>
      <c r="G182" s="272"/>
      <c r="H182" s="272"/>
      <c r="I182" s="272"/>
      <c r="J182" s="272"/>
      <c r="K182" s="272"/>
      <c r="L182" s="272"/>
      <c r="M182" s="272"/>
      <c r="N182" s="272"/>
      <c r="O182" s="272"/>
      <c r="P182" s="272"/>
      <c r="Q182" s="272"/>
      <c r="R182" s="272"/>
      <c r="S182" s="272"/>
      <c r="T182" s="272"/>
      <c r="U182" s="272"/>
      <c r="V182" s="272"/>
      <c r="W182" s="272"/>
      <c r="X182" s="272"/>
      <c r="Y182" s="272"/>
      <c r="Z182" s="272"/>
      <c r="AA182" s="271"/>
      <c r="AB182" s="271"/>
      <c r="AC182" s="271"/>
      <c r="AD182" s="271"/>
      <c r="AE182" s="271"/>
      <c r="AF182" s="271"/>
      <c r="AG182" s="272"/>
    </row>
    <row r="183" spans="1:33">
      <c r="A183" s="273"/>
      <c r="B183" s="273"/>
      <c r="C183" s="271"/>
      <c r="D183" s="271"/>
      <c r="E183" s="271"/>
      <c r="F183" s="272"/>
      <c r="G183" s="272"/>
      <c r="H183" s="272"/>
      <c r="I183" s="272"/>
      <c r="J183" s="272"/>
      <c r="K183" s="272"/>
      <c r="L183" s="272"/>
      <c r="M183" s="272"/>
      <c r="N183" s="272"/>
      <c r="O183" s="272"/>
      <c r="P183" s="272"/>
      <c r="Q183" s="272"/>
      <c r="R183" s="272"/>
      <c r="S183" s="272"/>
      <c r="T183" s="272"/>
      <c r="U183" s="272"/>
      <c r="V183" s="272"/>
      <c r="W183" s="272"/>
      <c r="X183" s="272"/>
      <c r="Y183" s="272"/>
      <c r="Z183" s="272"/>
      <c r="AA183" s="271"/>
      <c r="AB183" s="271"/>
      <c r="AC183" s="271"/>
      <c r="AD183" s="271"/>
      <c r="AE183" s="271"/>
      <c r="AF183" s="271"/>
      <c r="AG183" s="272"/>
    </row>
    <row r="184" spans="1:33">
      <c r="A184" s="273"/>
      <c r="B184" s="273"/>
      <c r="C184" s="271"/>
      <c r="D184" s="271"/>
      <c r="E184" s="271"/>
      <c r="F184" s="272"/>
      <c r="G184" s="272"/>
      <c r="H184" s="272"/>
      <c r="I184" s="272"/>
      <c r="J184" s="272"/>
      <c r="K184" s="272"/>
      <c r="L184" s="272"/>
      <c r="M184" s="272"/>
      <c r="N184" s="272"/>
      <c r="O184" s="272"/>
      <c r="P184" s="272"/>
      <c r="Q184" s="272"/>
      <c r="R184" s="272"/>
      <c r="S184" s="272"/>
      <c r="T184" s="272"/>
      <c r="U184" s="272"/>
      <c r="V184" s="272"/>
      <c r="W184" s="272"/>
      <c r="X184" s="272"/>
      <c r="Y184" s="272"/>
      <c r="Z184" s="272"/>
      <c r="AA184" s="271"/>
      <c r="AB184" s="271"/>
      <c r="AC184" s="271"/>
      <c r="AD184" s="271"/>
      <c r="AE184" s="271"/>
      <c r="AF184" s="271"/>
      <c r="AG184" s="272"/>
    </row>
    <row r="185" spans="1:33">
      <c r="A185" s="273"/>
      <c r="B185" s="273"/>
      <c r="C185" s="271"/>
      <c r="D185" s="271"/>
      <c r="E185" s="271"/>
      <c r="F185" s="272"/>
      <c r="G185" s="272"/>
      <c r="H185" s="272"/>
      <c r="I185" s="272"/>
      <c r="J185" s="272"/>
      <c r="K185" s="272"/>
      <c r="L185" s="272"/>
      <c r="M185" s="272"/>
      <c r="N185" s="272"/>
      <c r="O185" s="272"/>
      <c r="P185" s="272"/>
      <c r="Q185" s="272"/>
      <c r="R185" s="272"/>
      <c r="S185" s="272"/>
      <c r="T185" s="272"/>
      <c r="U185" s="272"/>
      <c r="V185" s="272"/>
      <c r="W185" s="272"/>
      <c r="X185" s="272"/>
      <c r="Y185" s="272"/>
      <c r="Z185" s="272"/>
      <c r="AA185" s="271"/>
      <c r="AB185" s="271"/>
      <c r="AC185" s="271"/>
      <c r="AD185" s="271"/>
      <c r="AE185" s="271"/>
      <c r="AF185" s="271"/>
      <c r="AG185" s="272"/>
    </row>
    <row r="186" spans="1:33">
      <c r="A186" s="273"/>
      <c r="B186" s="273"/>
      <c r="C186" s="271"/>
      <c r="D186" s="271"/>
      <c r="E186" s="271"/>
      <c r="F186" s="272"/>
      <c r="G186" s="272"/>
      <c r="H186" s="272"/>
      <c r="I186" s="272"/>
      <c r="J186" s="272"/>
      <c r="K186" s="272"/>
      <c r="L186" s="272"/>
      <c r="M186" s="272"/>
      <c r="N186" s="272"/>
      <c r="O186" s="272"/>
      <c r="P186" s="272"/>
      <c r="Q186" s="272"/>
      <c r="R186" s="272"/>
      <c r="S186" s="272"/>
      <c r="T186" s="272"/>
      <c r="U186" s="272"/>
      <c r="V186" s="272"/>
      <c r="W186" s="272"/>
      <c r="X186" s="272"/>
      <c r="Y186" s="272"/>
      <c r="Z186" s="272"/>
      <c r="AA186" s="271"/>
      <c r="AB186" s="271"/>
      <c r="AC186" s="271"/>
      <c r="AD186" s="271"/>
      <c r="AE186" s="271"/>
      <c r="AF186" s="271"/>
      <c r="AG186" s="272"/>
    </row>
    <row r="187" spans="1:33">
      <c r="A187" s="273"/>
      <c r="B187" s="273"/>
      <c r="C187" s="271"/>
      <c r="D187" s="271"/>
      <c r="E187" s="271"/>
      <c r="F187" s="272"/>
      <c r="G187" s="272"/>
      <c r="H187" s="272"/>
      <c r="I187" s="272"/>
      <c r="J187" s="272"/>
      <c r="K187" s="272"/>
      <c r="L187" s="272"/>
      <c r="M187" s="272"/>
      <c r="N187" s="272"/>
      <c r="O187" s="272"/>
      <c r="P187" s="272"/>
      <c r="Q187" s="272"/>
      <c r="R187" s="272"/>
      <c r="S187" s="272"/>
      <c r="T187" s="272"/>
      <c r="U187" s="272"/>
      <c r="V187" s="272"/>
      <c r="W187" s="272"/>
      <c r="X187" s="272"/>
      <c r="Y187" s="272"/>
      <c r="Z187" s="272"/>
      <c r="AA187" s="271"/>
      <c r="AB187" s="271"/>
      <c r="AC187" s="271"/>
      <c r="AD187" s="271"/>
      <c r="AE187" s="271"/>
      <c r="AF187" s="271"/>
      <c r="AG187" s="272"/>
    </row>
    <row r="188" spans="1:33">
      <c r="A188" s="273"/>
      <c r="B188" s="273"/>
      <c r="C188" s="271"/>
      <c r="D188" s="271"/>
      <c r="E188" s="271"/>
      <c r="F188" s="272"/>
      <c r="G188" s="272"/>
      <c r="H188" s="272"/>
      <c r="I188" s="272"/>
      <c r="J188" s="272"/>
      <c r="K188" s="272"/>
      <c r="L188" s="272"/>
      <c r="M188" s="272"/>
      <c r="N188" s="272"/>
      <c r="O188" s="272"/>
      <c r="P188" s="272"/>
      <c r="Q188" s="272"/>
      <c r="R188" s="272"/>
      <c r="S188" s="272"/>
      <c r="T188" s="272"/>
      <c r="U188" s="272"/>
      <c r="V188" s="272"/>
      <c r="W188" s="272"/>
      <c r="X188" s="272"/>
      <c r="Y188" s="272"/>
      <c r="Z188" s="272"/>
      <c r="AA188" s="271"/>
      <c r="AB188" s="271"/>
      <c r="AC188" s="271"/>
      <c r="AD188" s="271"/>
      <c r="AE188" s="271"/>
      <c r="AF188" s="271"/>
      <c r="AG188" s="272"/>
    </row>
    <row r="189" spans="1:33">
      <c r="A189" s="273"/>
      <c r="B189" s="273"/>
      <c r="C189" s="271"/>
      <c r="D189" s="271"/>
      <c r="E189" s="271"/>
      <c r="F189" s="272"/>
      <c r="G189" s="272"/>
      <c r="H189" s="272"/>
      <c r="I189" s="272"/>
      <c r="J189" s="272"/>
      <c r="K189" s="272"/>
      <c r="L189" s="272"/>
      <c r="M189" s="272"/>
      <c r="N189" s="272"/>
      <c r="O189" s="272"/>
      <c r="P189" s="272"/>
      <c r="Q189" s="272"/>
      <c r="R189" s="272"/>
      <c r="S189" s="272"/>
      <c r="T189" s="272"/>
      <c r="U189" s="272"/>
      <c r="V189" s="272"/>
      <c r="W189" s="272"/>
      <c r="X189" s="272"/>
      <c r="Y189" s="272"/>
      <c r="Z189" s="272"/>
      <c r="AA189" s="271"/>
      <c r="AB189" s="271"/>
      <c r="AC189" s="271"/>
      <c r="AD189" s="271"/>
      <c r="AE189" s="271"/>
      <c r="AF189" s="271"/>
      <c r="AG189" s="272"/>
    </row>
    <row r="190" spans="1:33">
      <c r="A190" s="273"/>
      <c r="B190" s="273"/>
      <c r="C190" s="271"/>
      <c r="D190" s="271"/>
      <c r="E190" s="271"/>
      <c r="F190" s="272"/>
      <c r="G190" s="272"/>
      <c r="H190" s="272"/>
      <c r="I190" s="272"/>
      <c r="J190" s="272"/>
      <c r="K190" s="272"/>
      <c r="L190" s="272"/>
      <c r="M190" s="272"/>
      <c r="N190" s="272"/>
      <c r="O190" s="272"/>
      <c r="P190" s="272"/>
      <c r="Q190" s="272"/>
      <c r="R190" s="272"/>
      <c r="S190" s="272"/>
      <c r="T190" s="272"/>
      <c r="U190" s="272"/>
      <c r="V190" s="272"/>
      <c r="W190" s="272"/>
      <c r="X190" s="272"/>
      <c r="Y190" s="272"/>
      <c r="Z190" s="272"/>
      <c r="AA190" s="271"/>
      <c r="AB190" s="271"/>
      <c r="AC190" s="271"/>
      <c r="AD190" s="271"/>
      <c r="AE190" s="271"/>
      <c r="AF190" s="271"/>
      <c r="AG190" s="272"/>
    </row>
    <row r="191" spans="1:33">
      <c r="A191" s="273"/>
      <c r="B191" s="273"/>
      <c r="C191" s="271"/>
      <c r="D191" s="271"/>
      <c r="E191" s="271"/>
      <c r="F191" s="272"/>
      <c r="G191" s="272"/>
      <c r="H191" s="272"/>
      <c r="I191" s="272"/>
      <c r="J191" s="272"/>
      <c r="K191" s="272"/>
      <c r="L191" s="272"/>
      <c r="M191" s="272"/>
      <c r="N191" s="272"/>
      <c r="O191" s="272"/>
      <c r="P191" s="272"/>
      <c r="Q191" s="272"/>
      <c r="R191" s="272"/>
      <c r="S191" s="272"/>
      <c r="T191" s="272"/>
      <c r="U191" s="272"/>
      <c r="V191" s="272"/>
      <c r="W191" s="272"/>
      <c r="X191" s="272"/>
      <c r="Y191" s="272"/>
      <c r="Z191" s="272"/>
      <c r="AA191" s="271"/>
      <c r="AB191" s="271"/>
      <c r="AC191" s="271"/>
      <c r="AD191" s="271"/>
      <c r="AE191" s="271"/>
      <c r="AF191" s="271"/>
      <c r="AG191" s="272"/>
    </row>
    <row r="192" spans="1:33">
      <c r="A192" s="273"/>
      <c r="B192" s="273"/>
      <c r="C192" s="271"/>
      <c r="D192" s="271"/>
      <c r="E192" s="271"/>
      <c r="F192" s="272"/>
      <c r="G192" s="272"/>
      <c r="H192" s="272"/>
      <c r="I192" s="272"/>
      <c r="J192" s="272"/>
      <c r="K192" s="272"/>
      <c r="L192" s="272"/>
      <c r="M192" s="272"/>
      <c r="N192" s="272"/>
      <c r="O192" s="272"/>
      <c r="P192" s="272"/>
      <c r="Q192" s="272"/>
      <c r="R192" s="272"/>
      <c r="S192" s="272"/>
      <c r="T192" s="272"/>
      <c r="U192" s="272"/>
      <c r="V192" s="272"/>
      <c r="W192" s="272"/>
      <c r="X192" s="272"/>
      <c r="Y192" s="272"/>
      <c r="Z192" s="272"/>
      <c r="AA192" s="271"/>
      <c r="AB192" s="271"/>
      <c r="AC192" s="271"/>
      <c r="AD192" s="271"/>
      <c r="AE192" s="271"/>
      <c r="AF192" s="271"/>
      <c r="AG192" s="272"/>
    </row>
    <row r="193" spans="1:33">
      <c r="A193" s="273"/>
      <c r="B193" s="273"/>
      <c r="C193" s="271"/>
      <c r="D193" s="271"/>
      <c r="E193" s="271"/>
      <c r="F193" s="272"/>
      <c r="G193" s="272"/>
      <c r="H193" s="272"/>
      <c r="I193" s="272"/>
      <c r="J193" s="272"/>
      <c r="K193" s="272"/>
      <c r="L193" s="272"/>
      <c r="M193" s="272"/>
      <c r="N193" s="272"/>
      <c r="O193" s="272"/>
      <c r="P193" s="272"/>
      <c r="Q193" s="272"/>
      <c r="R193" s="272"/>
      <c r="S193" s="272"/>
      <c r="T193" s="272"/>
      <c r="U193" s="272"/>
      <c r="V193" s="272"/>
      <c r="W193" s="272"/>
      <c r="X193" s="272"/>
      <c r="Y193" s="272"/>
      <c r="Z193" s="272"/>
      <c r="AA193" s="271"/>
      <c r="AB193" s="271"/>
      <c r="AC193" s="271"/>
      <c r="AD193" s="271"/>
      <c r="AE193" s="271"/>
      <c r="AF193" s="271"/>
      <c r="AG193" s="272"/>
    </row>
    <row r="194" spans="1:33">
      <c r="A194" s="273"/>
      <c r="B194" s="273"/>
      <c r="C194" s="271"/>
      <c r="D194" s="271"/>
      <c r="E194" s="271"/>
      <c r="F194" s="272"/>
      <c r="G194" s="272"/>
      <c r="H194" s="272"/>
      <c r="I194" s="272"/>
      <c r="J194" s="272"/>
      <c r="K194" s="272"/>
      <c r="L194" s="272"/>
      <c r="M194" s="272"/>
      <c r="N194" s="272"/>
      <c r="O194" s="272"/>
      <c r="P194" s="272"/>
      <c r="Q194" s="272"/>
      <c r="R194" s="272"/>
      <c r="S194" s="272"/>
      <c r="T194" s="272"/>
      <c r="U194" s="272"/>
      <c r="V194" s="272"/>
      <c r="W194" s="272"/>
      <c r="X194" s="272"/>
      <c r="Y194" s="272"/>
      <c r="Z194" s="272"/>
      <c r="AA194" s="271"/>
      <c r="AB194" s="271"/>
      <c r="AC194" s="271"/>
      <c r="AD194" s="271"/>
      <c r="AE194" s="271"/>
      <c r="AF194" s="271"/>
      <c r="AG194" s="272"/>
    </row>
    <row r="195" spans="1:33">
      <c r="A195" s="273"/>
      <c r="B195" s="273"/>
      <c r="C195" s="271"/>
      <c r="D195" s="271"/>
      <c r="E195" s="271"/>
      <c r="F195" s="272"/>
      <c r="G195" s="272"/>
      <c r="H195" s="272"/>
      <c r="I195" s="272"/>
      <c r="J195" s="272"/>
      <c r="K195" s="272"/>
      <c r="L195" s="272"/>
      <c r="M195" s="272"/>
      <c r="N195" s="272"/>
      <c r="O195" s="272"/>
      <c r="P195" s="272"/>
      <c r="Q195" s="272"/>
      <c r="R195" s="272"/>
      <c r="S195" s="272"/>
      <c r="T195" s="272"/>
      <c r="U195" s="272"/>
      <c r="V195" s="272"/>
      <c r="W195" s="272"/>
      <c r="X195" s="272"/>
      <c r="Y195" s="272"/>
      <c r="Z195" s="272"/>
      <c r="AA195" s="271"/>
      <c r="AB195" s="271"/>
      <c r="AC195" s="271"/>
      <c r="AD195" s="271"/>
      <c r="AE195" s="271"/>
      <c r="AF195" s="271"/>
      <c r="AG195" s="272"/>
    </row>
    <row r="196" spans="1:33">
      <c r="A196" s="273"/>
      <c r="B196" s="273"/>
      <c r="C196" s="271"/>
      <c r="D196" s="271"/>
      <c r="E196" s="271"/>
      <c r="F196" s="272"/>
      <c r="G196" s="272"/>
      <c r="H196" s="272"/>
      <c r="I196" s="272"/>
      <c r="J196" s="272"/>
      <c r="K196" s="272"/>
      <c r="L196" s="272"/>
      <c r="M196" s="272"/>
      <c r="N196" s="272"/>
      <c r="O196" s="272"/>
      <c r="P196" s="272"/>
      <c r="Q196" s="272"/>
      <c r="R196" s="272"/>
      <c r="S196" s="272"/>
      <c r="T196" s="272"/>
      <c r="U196" s="272"/>
      <c r="V196" s="272"/>
      <c r="W196" s="272"/>
      <c r="X196" s="272"/>
      <c r="Y196" s="272"/>
      <c r="Z196" s="272"/>
      <c r="AA196" s="271"/>
      <c r="AB196" s="271"/>
      <c r="AC196" s="271"/>
      <c r="AD196" s="271"/>
      <c r="AE196" s="271"/>
      <c r="AF196" s="271"/>
      <c r="AG196" s="272"/>
    </row>
    <row r="197" spans="1:33">
      <c r="A197" s="273"/>
      <c r="B197" s="273"/>
      <c r="C197" s="271"/>
      <c r="D197" s="271"/>
      <c r="E197" s="271"/>
      <c r="F197" s="272"/>
      <c r="G197" s="272"/>
      <c r="H197" s="272"/>
      <c r="I197" s="272"/>
      <c r="J197" s="272"/>
      <c r="K197" s="272"/>
      <c r="L197" s="272"/>
      <c r="M197" s="272"/>
      <c r="N197" s="272"/>
      <c r="O197" s="272"/>
      <c r="P197" s="272"/>
      <c r="Q197" s="272"/>
      <c r="R197" s="272"/>
      <c r="S197" s="272"/>
      <c r="T197" s="272"/>
      <c r="U197" s="272"/>
      <c r="V197" s="272"/>
      <c r="W197" s="272"/>
      <c r="X197" s="272"/>
      <c r="Y197" s="272"/>
      <c r="Z197" s="272"/>
      <c r="AA197" s="271"/>
      <c r="AB197" s="271"/>
      <c r="AC197" s="271"/>
      <c r="AD197" s="271"/>
      <c r="AE197" s="271"/>
      <c r="AF197" s="271"/>
      <c r="AG197" s="272"/>
    </row>
    <row r="198" spans="1:33">
      <c r="A198" s="273"/>
      <c r="B198" s="273"/>
      <c r="C198" s="271"/>
      <c r="D198" s="271"/>
      <c r="E198" s="271"/>
      <c r="F198" s="272"/>
      <c r="G198" s="272"/>
      <c r="H198" s="272"/>
      <c r="I198" s="272"/>
      <c r="J198" s="272"/>
      <c r="K198" s="272"/>
      <c r="L198" s="272"/>
      <c r="M198" s="272"/>
      <c r="N198" s="272"/>
      <c r="O198" s="272"/>
      <c r="P198" s="272"/>
      <c r="Q198" s="272"/>
      <c r="R198" s="272"/>
      <c r="S198" s="272"/>
      <c r="T198" s="272"/>
      <c r="U198" s="272"/>
      <c r="V198" s="272"/>
      <c r="W198" s="272"/>
      <c r="X198" s="272"/>
      <c r="Y198" s="272"/>
      <c r="Z198" s="272"/>
      <c r="AA198" s="271"/>
      <c r="AB198" s="271"/>
      <c r="AC198" s="271"/>
      <c r="AD198" s="271"/>
      <c r="AE198" s="271"/>
      <c r="AF198" s="271"/>
      <c r="AG198" s="272"/>
    </row>
    <row r="199" spans="1:33">
      <c r="A199" s="273"/>
      <c r="B199" s="273"/>
      <c r="C199" s="271"/>
      <c r="D199" s="271"/>
      <c r="E199" s="271"/>
      <c r="F199" s="272"/>
      <c r="G199" s="272"/>
      <c r="H199" s="272"/>
      <c r="I199" s="272"/>
      <c r="J199" s="272"/>
      <c r="K199" s="272"/>
      <c r="L199" s="272"/>
      <c r="M199" s="272"/>
      <c r="N199" s="272"/>
      <c r="O199" s="272"/>
      <c r="P199" s="272"/>
      <c r="Q199" s="272"/>
      <c r="R199" s="272"/>
      <c r="S199" s="272"/>
      <c r="T199" s="272"/>
      <c r="U199" s="272"/>
      <c r="V199" s="272"/>
      <c r="W199" s="272"/>
      <c r="X199" s="272"/>
      <c r="Y199" s="272"/>
      <c r="Z199" s="272"/>
      <c r="AA199" s="271"/>
      <c r="AB199" s="271"/>
      <c r="AC199" s="271"/>
      <c r="AD199" s="271"/>
      <c r="AE199" s="271"/>
      <c r="AF199" s="271"/>
      <c r="AG199" s="272"/>
    </row>
    <row r="200" spans="1:33">
      <c r="A200" s="273"/>
      <c r="B200" s="273"/>
      <c r="C200" s="271"/>
      <c r="D200" s="271"/>
      <c r="E200" s="271"/>
      <c r="F200" s="272"/>
      <c r="G200" s="272"/>
      <c r="H200" s="272"/>
      <c r="I200" s="272"/>
      <c r="J200" s="272"/>
      <c r="K200" s="272"/>
      <c r="L200" s="272"/>
      <c r="M200" s="272"/>
      <c r="N200" s="272"/>
      <c r="O200" s="272"/>
      <c r="P200" s="272"/>
      <c r="Q200" s="272"/>
      <c r="R200" s="272"/>
      <c r="S200" s="272"/>
      <c r="T200" s="272"/>
      <c r="U200" s="272"/>
      <c r="V200" s="272"/>
      <c r="W200" s="272"/>
      <c r="X200" s="272"/>
      <c r="Y200" s="272"/>
      <c r="Z200" s="272"/>
      <c r="AA200" s="271"/>
      <c r="AB200" s="271"/>
      <c r="AC200" s="271"/>
      <c r="AD200" s="271"/>
      <c r="AE200" s="271"/>
      <c r="AF200" s="271"/>
      <c r="AG200" s="272"/>
    </row>
    <row r="201" spans="1:33">
      <c r="A201" s="273"/>
      <c r="B201" s="273"/>
      <c r="C201" s="271"/>
      <c r="D201" s="271"/>
      <c r="E201" s="271"/>
      <c r="F201" s="272"/>
      <c r="G201" s="272"/>
      <c r="H201" s="272"/>
      <c r="I201" s="272"/>
      <c r="J201" s="272"/>
      <c r="K201" s="272"/>
      <c r="L201" s="272"/>
      <c r="M201" s="272"/>
      <c r="N201" s="272"/>
      <c r="O201" s="272"/>
      <c r="P201" s="272"/>
      <c r="Q201" s="272"/>
      <c r="R201" s="272"/>
      <c r="S201" s="272"/>
      <c r="T201" s="272"/>
      <c r="U201" s="272"/>
      <c r="V201" s="272"/>
      <c r="W201" s="272"/>
      <c r="X201" s="272"/>
      <c r="Y201" s="272"/>
      <c r="Z201" s="272"/>
      <c r="AA201" s="271"/>
      <c r="AB201" s="271"/>
      <c r="AC201" s="271"/>
      <c r="AD201" s="271"/>
      <c r="AE201" s="271"/>
      <c r="AF201" s="271"/>
      <c r="AG201" s="272"/>
    </row>
    <row r="202" spans="1:33">
      <c r="A202" s="273"/>
      <c r="B202" s="273"/>
      <c r="C202" s="271"/>
      <c r="D202" s="271"/>
      <c r="E202" s="271"/>
      <c r="F202" s="272"/>
      <c r="G202" s="272"/>
      <c r="H202" s="272"/>
      <c r="I202" s="272"/>
      <c r="J202" s="272"/>
      <c r="K202" s="272"/>
      <c r="L202" s="272"/>
      <c r="M202" s="272"/>
      <c r="N202" s="272"/>
      <c r="O202" s="272"/>
      <c r="P202" s="272"/>
      <c r="Q202" s="272"/>
      <c r="R202" s="272"/>
      <c r="S202" s="272"/>
      <c r="T202" s="272"/>
      <c r="U202" s="272"/>
      <c r="V202" s="272"/>
      <c r="W202" s="272"/>
      <c r="X202" s="272"/>
      <c r="Y202" s="272"/>
      <c r="Z202" s="272"/>
      <c r="AA202" s="271"/>
      <c r="AB202" s="271"/>
      <c r="AC202" s="271"/>
      <c r="AD202" s="271"/>
      <c r="AE202" s="271"/>
      <c r="AF202" s="271"/>
      <c r="AG202" s="272"/>
    </row>
    <row r="203" spans="1:33">
      <c r="A203" s="273"/>
      <c r="B203" s="273"/>
      <c r="C203" s="271"/>
      <c r="D203" s="271"/>
      <c r="E203" s="271"/>
      <c r="F203" s="272"/>
      <c r="G203" s="272"/>
      <c r="H203" s="272"/>
      <c r="I203" s="272"/>
      <c r="J203" s="272"/>
      <c r="K203" s="272"/>
      <c r="L203" s="272"/>
      <c r="M203" s="272"/>
      <c r="N203" s="272"/>
      <c r="O203" s="272"/>
      <c r="P203" s="272"/>
      <c r="Q203" s="272"/>
      <c r="R203" s="272"/>
      <c r="S203" s="272"/>
      <c r="T203" s="272"/>
      <c r="U203" s="272"/>
      <c r="V203" s="272"/>
      <c r="W203" s="272"/>
      <c r="X203" s="272"/>
      <c r="Y203" s="272"/>
      <c r="Z203" s="272"/>
      <c r="AA203" s="271"/>
      <c r="AB203" s="271"/>
      <c r="AC203" s="271"/>
      <c r="AD203" s="271"/>
      <c r="AE203" s="271"/>
      <c r="AF203" s="271"/>
      <c r="AG203" s="272"/>
    </row>
    <row r="204" spans="1:33">
      <c r="A204" s="273"/>
      <c r="B204" s="273"/>
      <c r="C204" s="271"/>
      <c r="D204" s="271"/>
      <c r="E204" s="271"/>
      <c r="F204" s="272"/>
      <c r="G204" s="272"/>
      <c r="H204" s="272"/>
      <c r="I204" s="272"/>
      <c r="J204" s="272"/>
      <c r="K204" s="272"/>
      <c r="L204" s="272"/>
      <c r="M204" s="272"/>
      <c r="N204" s="272"/>
      <c r="O204" s="272"/>
      <c r="P204" s="272"/>
      <c r="Q204" s="272"/>
      <c r="R204" s="272"/>
      <c r="S204" s="272"/>
      <c r="T204" s="272"/>
      <c r="U204" s="272"/>
      <c r="V204" s="272"/>
      <c r="W204" s="272"/>
      <c r="X204" s="272"/>
      <c r="Y204" s="272"/>
      <c r="Z204" s="272"/>
      <c r="AA204" s="271"/>
      <c r="AB204" s="271"/>
      <c r="AC204" s="271"/>
      <c r="AD204" s="271"/>
      <c r="AE204" s="271"/>
      <c r="AF204" s="271"/>
      <c r="AG204" s="272"/>
    </row>
    <row r="205" spans="1:33">
      <c r="A205" s="273"/>
      <c r="B205" s="273"/>
      <c r="C205" s="271"/>
      <c r="D205" s="271"/>
      <c r="E205" s="271"/>
      <c r="F205" s="272"/>
      <c r="G205" s="272"/>
      <c r="H205" s="272"/>
      <c r="I205" s="272"/>
      <c r="J205" s="272"/>
      <c r="K205" s="272"/>
      <c r="L205" s="272"/>
      <c r="M205" s="272"/>
      <c r="N205" s="272"/>
      <c r="O205" s="272"/>
      <c r="P205" s="272"/>
      <c r="Q205" s="272"/>
      <c r="R205" s="272"/>
      <c r="S205" s="272"/>
      <c r="T205" s="272"/>
      <c r="U205" s="272"/>
      <c r="V205" s="272"/>
      <c r="W205" s="272"/>
      <c r="X205" s="272"/>
      <c r="Y205" s="272"/>
      <c r="Z205" s="272"/>
      <c r="AA205" s="271"/>
      <c r="AB205" s="271"/>
      <c r="AC205" s="271"/>
      <c r="AD205" s="271"/>
      <c r="AE205" s="271"/>
      <c r="AF205" s="271"/>
      <c r="AG205" s="272"/>
    </row>
    <row r="206" spans="1:33">
      <c r="A206" s="273"/>
      <c r="B206" s="273"/>
      <c r="C206" s="271"/>
      <c r="D206" s="271"/>
      <c r="E206" s="271"/>
      <c r="F206" s="272"/>
      <c r="G206" s="272"/>
      <c r="H206" s="272"/>
      <c r="I206" s="272"/>
      <c r="J206" s="272"/>
      <c r="K206" s="272"/>
      <c r="L206" s="272"/>
      <c r="M206" s="272"/>
      <c r="N206" s="272"/>
      <c r="O206" s="272"/>
      <c r="P206" s="272"/>
      <c r="Q206" s="272"/>
      <c r="R206" s="272"/>
      <c r="S206" s="272"/>
      <c r="T206" s="272"/>
      <c r="U206" s="272"/>
      <c r="V206" s="272"/>
      <c r="W206" s="272"/>
      <c r="X206" s="272"/>
      <c r="Y206" s="272"/>
      <c r="Z206" s="272"/>
      <c r="AA206" s="271"/>
      <c r="AB206" s="271"/>
      <c r="AC206" s="271"/>
      <c r="AD206" s="271"/>
      <c r="AE206" s="271"/>
      <c r="AF206" s="271"/>
      <c r="AG206" s="272"/>
    </row>
    <row r="207" spans="1:33">
      <c r="A207" s="273"/>
      <c r="B207" s="273"/>
      <c r="C207" s="271"/>
      <c r="D207" s="271"/>
      <c r="E207" s="271"/>
      <c r="F207" s="272"/>
      <c r="G207" s="272"/>
      <c r="H207" s="272"/>
      <c r="I207" s="272"/>
      <c r="J207" s="272"/>
      <c r="K207" s="272"/>
      <c r="L207" s="272"/>
      <c r="M207" s="272"/>
      <c r="N207" s="272"/>
      <c r="O207" s="272"/>
      <c r="P207" s="272"/>
      <c r="Q207" s="272"/>
      <c r="R207" s="272"/>
      <c r="S207" s="272"/>
      <c r="T207" s="272"/>
      <c r="U207" s="272"/>
      <c r="V207" s="272"/>
      <c r="W207" s="272"/>
      <c r="X207" s="272"/>
      <c r="Y207" s="272"/>
      <c r="Z207" s="272"/>
      <c r="AA207" s="271"/>
      <c r="AB207" s="271"/>
      <c r="AC207" s="271"/>
      <c r="AD207" s="271"/>
      <c r="AE207" s="271"/>
      <c r="AF207" s="271"/>
      <c r="AG207" s="272"/>
    </row>
    <row r="208" spans="1:33">
      <c r="A208" s="273"/>
      <c r="B208" s="273"/>
      <c r="C208" s="271"/>
      <c r="D208" s="271"/>
      <c r="E208" s="271"/>
      <c r="F208" s="272"/>
      <c r="G208" s="272"/>
      <c r="H208" s="272"/>
      <c r="I208" s="272"/>
      <c r="J208" s="272"/>
      <c r="K208" s="272"/>
      <c r="L208" s="272"/>
      <c r="M208" s="272"/>
      <c r="N208" s="272"/>
      <c r="O208" s="272"/>
      <c r="P208" s="272"/>
      <c r="Q208" s="272"/>
      <c r="R208" s="272"/>
      <c r="S208" s="272"/>
      <c r="T208" s="272"/>
      <c r="U208" s="272"/>
      <c r="V208" s="272"/>
      <c r="W208" s="272"/>
      <c r="X208" s="272"/>
      <c r="Y208" s="272"/>
      <c r="Z208" s="272"/>
      <c r="AA208" s="271"/>
      <c r="AB208" s="271"/>
      <c r="AC208" s="271"/>
      <c r="AD208" s="271"/>
      <c r="AE208" s="271"/>
      <c r="AF208" s="271"/>
      <c r="AG208" s="272"/>
    </row>
    <row r="209" spans="1:33">
      <c r="A209" s="273"/>
      <c r="B209" s="273"/>
      <c r="C209" s="271"/>
      <c r="D209" s="271"/>
      <c r="E209" s="271"/>
      <c r="F209" s="272"/>
      <c r="G209" s="272"/>
      <c r="H209" s="272"/>
      <c r="I209" s="272"/>
      <c r="J209" s="272"/>
      <c r="K209" s="272"/>
      <c r="L209" s="272"/>
      <c r="M209" s="272"/>
      <c r="N209" s="272"/>
      <c r="O209" s="272"/>
      <c r="P209" s="272"/>
      <c r="Q209" s="272"/>
      <c r="R209" s="272"/>
      <c r="S209" s="272"/>
      <c r="T209" s="272"/>
      <c r="U209" s="272"/>
      <c r="V209" s="272"/>
      <c r="W209" s="272"/>
      <c r="X209" s="272"/>
      <c r="Y209" s="272"/>
      <c r="Z209" s="272"/>
      <c r="AA209" s="271"/>
      <c r="AB209" s="271"/>
      <c r="AC209" s="271"/>
      <c r="AD209" s="271"/>
      <c r="AE209" s="271"/>
      <c r="AF209" s="271"/>
      <c r="AG209" s="272"/>
    </row>
    <row r="210" spans="1:33">
      <c r="A210" s="273"/>
      <c r="B210" s="273"/>
      <c r="C210" s="271"/>
      <c r="D210" s="271"/>
      <c r="E210" s="271"/>
      <c r="F210" s="272"/>
      <c r="G210" s="272"/>
      <c r="H210" s="272"/>
      <c r="I210" s="272"/>
      <c r="J210" s="272"/>
      <c r="K210" s="272"/>
      <c r="L210" s="272"/>
      <c r="M210" s="272"/>
      <c r="N210" s="272"/>
      <c r="O210" s="272"/>
      <c r="P210" s="272"/>
      <c r="Q210" s="272"/>
      <c r="R210" s="272"/>
      <c r="S210" s="272"/>
      <c r="T210" s="272"/>
      <c r="U210" s="272"/>
      <c r="V210" s="272"/>
      <c r="W210" s="272"/>
      <c r="X210" s="272"/>
      <c r="Y210" s="272"/>
      <c r="Z210" s="272"/>
      <c r="AA210" s="271"/>
      <c r="AB210" s="271"/>
      <c r="AC210" s="271"/>
      <c r="AD210" s="271"/>
      <c r="AE210" s="271"/>
      <c r="AF210" s="271"/>
      <c r="AG210" s="272"/>
    </row>
    <row r="211" spans="1:33">
      <c r="A211" s="273"/>
      <c r="B211" s="273"/>
      <c r="C211" s="271"/>
      <c r="D211" s="271"/>
      <c r="E211" s="271"/>
      <c r="F211" s="272"/>
      <c r="G211" s="272"/>
      <c r="H211" s="272"/>
      <c r="I211" s="272"/>
      <c r="J211" s="272"/>
      <c r="K211" s="272"/>
      <c r="L211" s="272"/>
      <c r="M211" s="272"/>
      <c r="N211" s="272"/>
      <c r="O211" s="272"/>
      <c r="P211" s="272"/>
      <c r="Q211" s="272"/>
      <c r="R211" s="272"/>
      <c r="S211" s="272"/>
      <c r="T211" s="272"/>
      <c r="U211" s="272"/>
      <c r="V211" s="272"/>
      <c r="W211" s="272"/>
      <c r="X211" s="272"/>
      <c r="Y211" s="272"/>
      <c r="Z211" s="272"/>
      <c r="AA211" s="271"/>
      <c r="AB211" s="271"/>
      <c r="AC211" s="271"/>
      <c r="AD211" s="271"/>
      <c r="AE211" s="271"/>
      <c r="AF211" s="271"/>
      <c r="AG211" s="272"/>
    </row>
    <row r="212" spans="1:33">
      <c r="A212" s="273"/>
      <c r="B212" s="273"/>
      <c r="C212" s="271"/>
      <c r="D212" s="271"/>
      <c r="E212" s="271"/>
      <c r="F212" s="272"/>
      <c r="G212" s="272"/>
      <c r="H212" s="272"/>
      <c r="I212" s="272"/>
      <c r="J212" s="272"/>
      <c r="K212" s="272"/>
      <c r="L212" s="272"/>
      <c r="M212" s="272"/>
      <c r="N212" s="272"/>
      <c r="O212" s="272"/>
      <c r="P212" s="272"/>
      <c r="Q212" s="272"/>
      <c r="R212" s="272"/>
      <c r="S212" s="272"/>
      <c r="T212" s="272"/>
      <c r="U212" s="272"/>
      <c r="V212" s="272"/>
      <c r="W212" s="272"/>
      <c r="X212" s="272"/>
      <c r="Y212" s="272"/>
      <c r="Z212" s="272"/>
      <c r="AA212" s="271"/>
      <c r="AB212" s="271"/>
      <c r="AC212" s="271"/>
      <c r="AD212" s="271"/>
      <c r="AE212" s="271"/>
      <c r="AF212" s="271"/>
      <c r="AG212" s="272"/>
    </row>
    <row r="213" spans="1:33">
      <c r="A213" s="273"/>
      <c r="B213" s="273"/>
      <c r="C213" s="271"/>
      <c r="D213" s="271"/>
      <c r="E213" s="271"/>
      <c r="F213" s="272"/>
      <c r="G213" s="272"/>
      <c r="H213" s="272"/>
      <c r="I213" s="272"/>
      <c r="J213" s="272"/>
      <c r="K213" s="272"/>
      <c r="L213" s="272"/>
      <c r="M213" s="272"/>
      <c r="N213" s="272"/>
      <c r="O213" s="272"/>
      <c r="P213" s="272"/>
      <c r="Q213" s="272"/>
      <c r="R213" s="272"/>
      <c r="S213" s="272"/>
      <c r="T213" s="272"/>
      <c r="U213" s="272"/>
      <c r="V213" s="272"/>
      <c r="W213" s="272"/>
      <c r="X213" s="272"/>
      <c r="Y213" s="272"/>
      <c r="Z213" s="272"/>
      <c r="AA213" s="271"/>
      <c r="AB213" s="271"/>
      <c r="AC213" s="271"/>
      <c r="AD213" s="271"/>
      <c r="AE213" s="271"/>
      <c r="AF213" s="271"/>
      <c r="AG213" s="272"/>
    </row>
    <row r="214" spans="1:33">
      <c r="A214" s="273"/>
      <c r="B214" s="273"/>
      <c r="C214" s="271"/>
      <c r="D214" s="271"/>
      <c r="E214" s="271"/>
      <c r="F214" s="272"/>
      <c r="G214" s="272"/>
      <c r="H214" s="272"/>
      <c r="I214" s="272"/>
      <c r="J214" s="272"/>
      <c r="K214" s="272"/>
      <c r="L214" s="272"/>
      <c r="M214" s="272"/>
      <c r="N214" s="272"/>
      <c r="O214" s="272"/>
      <c r="P214" s="272"/>
      <c r="Q214" s="272"/>
      <c r="R214" s="272"/>
      <c r="S214" s="272"/>
      <c r="T214" s="272"/>
      <c r="U214" s="272"/>
      <c r="V214" s="272"/>
      <c r="W214" s="272"/>
      <c r="X214" s="272"/>
      <c r="Y214" s="272"/>
      <c r="Z214" s="272"/>
      <c r="AA214" s="271"/>
      <c r="AB214" s="271"/>
      <c r="AC214" s="271"/>
      <c r="AD214" s="271"/>
      <c r="AE214" s="271"/>
      <c r="AF214" s="271"/>
      <c r="AG214" s="272"/>
    </row>
    <row r="215" spans="1:33">
      <c r="A215" s="273"/>
      <c r="B215" s="273"/>
      <c r="C215" s="271"/>
      <c r="D215" s="271"/>
      <c r="E215" s="271"/>
      <c r="F215" s="272"/>
      <c r="G215" s="272"/>
      <c r="H215" s="272"/>
      <c r="I215" s="272"/>
      <c r="J215" s="272"/>
      <c r="K215" s="272"/>
      <c r="L215" s="272"/>
      <c r="M215" s="272"/>
      <c r="N215" s="272"/>
      <c r="O215" s="272"/>
      <c r="P215" s="272"/>
      <c r="Q215" s="272"/>
      <c r="R215" s="272"/>
      <c r="S215" s="272"/>
      <c r="T215" s="272"/>
      <c r="U215" s="272"/>
      <c r="V215" s="272"/>
      <c r="W215" s="272"/>
      <c r="X215" s="272"/>
      <c r="Y215" s="272"/>
      <c r="Z215" s="272"/>
      <c r="AA215" s="271"/>
      <c r="AB215" s="271"/>
      <c r="AC215" s="271"/>
      <c r="AD215" s="271"/>
      <c r="AE215" s="271"/>
      <c r="AF215" s="271"/>
      <c r="AG215" s="272"/>
    </row>
    <row r="216" spans="1:33">
      <c r="A216" s="273"/>
      <c r="B216" s="273"/>
      <c r="C216" s="271"/>
      <c r="D216" s="271"/>
      <c r="E216" s="271"/>
      <c r="F216" s="272"/>
      <c r="G216" s="272"/>
      <c r="H216" s="272"/>
      <c r="I216" s="272"/>
      <c r="J216" s="272"/>
      <c r="K216" s="272"/>
      <c r="L216" s="272"/>
      <c r="M216" s="272"/>
      <c r="N216" s="272"/>
      <c r="O216" s="272"/>
      <c r="P216" s="272"/>
      <c r="Q216" s="272"/>
      <c r="R216" s="272"/>
      <c r="S216" s="272"/>
      <c r="T216" s="272"/>
      <c r="U216" s="272"/>
      <c r="V216" s="272"/>
      <c r="W216" s="272"/>
      <c r="X216" s="272"/>
      <c r="Y216" s="272"/>
      <c r="Z216" s="272"/>
      <c r="AA216" s="271"/>
      <c r="AB216" s="271"/>
      <c r="AC216" s="271"/>
      <c r="AD216" s="271"/>
      <c r="AE216" s="271"/>
      <c r="AF216" s="271"/>
      <c r="AG216" s="272"/>
    </row>
    <row r="217" spans="1:33">
      <c r="A217" s="273"/>
      <c r="B217" s="273"/>
      <c r="C217" s="271"/>
      <c r="D217" s="271"/>
      <c r="E217" s="271"/>
      <c r="F217" s="272"/>
      <c r="G217" s="272"/>
      <c r="H217" s="272"/>
      <c r="I217" s="272"/>
      <c r="J217" s="272"/>
      <c r="K217" s="272"/>
      <c r="L217" s="272"/>
      <c r="M217" s="272"/>
      <c r="N217" s="272"/>
      <c r="O217" s="272"/>
      <c r="P217" s="272"/>
      <c r="Q217" s="272"/>
      <c r="R217" s="272"/>
      <c r="S217" s="272"/>
      <c r="T217" s="272"/>
      <c r="U217" s="272"/>
      <c r="V217" s="272"/>
      <c r="W217" s="272"/>
      <c r="X217" s="272"/>
      <c r="Y217" s="272"/>
      <c r="Z217" s="272"/>
      <c r="AA217" s="271"/>
      <c r="AB217" s="271"/>
      <c r="AC217" s="271"/>
      <c r="AD217" s="271"/>
      <c r="AE217" s="271"/>
      <c r="AF217" s="271"/>
      <c r="AG217" s="272"/>
    </row>
    <row r="218" spans="1:33">
      <c r="A218" s="273"/>
      <c r="B218" s="273"/>
      <c r="C218" s="271"/>
      <c r="D218" s="271"/>
      <c r="E218" s="271"/>
      <c r="F218" s="272"/>
      <c r="G218" s="272"/>
      <c r="H218" s="272"/>
      <c r="I218" s="272"/>
      <c r="J218" s="272"/>
      <c r="K218" s="272"/>
      <c r="L218" s="272"/>
      <c r="M218" s="272"/>
      <c r="N218" s="272"/>
      <c r="O218" s="272"/>
      <c r="P218" s="272"/>
      <c r="Q218" s="272"/>
      <c r="R218" s="272"/>
      <c r="S218" s="272"/>
      <c r="T218" s="272"/>
      <c r="U218" s="272"/>
      <c r="V218" s="272"/>
      <c r="W218" s="272"/>
      <c r="X218" s="272"/>
      <c r="Y218" s="272"/>
      <c r="Z218" s="272"/>
      <c r="AA218" s="271"/>
      <c r="AB218" s="271"/>
      <c r="AC218" s="271"/>
      <c r="AD218" s="271"/>
      <c r="AE218" s="271"/>
      <c r="AF218" s="271"/>
      <c r="AG218" s="272"/>
    </row>
    <row r="219" spans="1:33">
      <c r="A219" s="273"/>
      <c r="B219" s="273"/>
      <c r="C219" s="271"/>
      <c r="D219" s="271"/>
      <c r="E219" s="271"/>
      <c r="F219" s="272"/>
      <c r="G219" s="272"/>
      <c r="H219" s="272"/>
      <c r="I219" s="272"/>
      <c r="J219" s="272"/>
      <c r="K219" s="272"/>
      <c r="L219" s="272"/>
      <c r="M219" s="272"/>
      <c r="N219" s="272"/>
      <c r="O219" s="272"/>
      <c r="P219" s="272"/>
      <c r="Q219" s="272"/>
      <c r="R219" s="272"/>
      <c r="S219" s="272"/>
      <c r="T219" s="272"/>
      <c r="U219" s="272"/>
      <c r="V219" s="272"/>
      <c r="W219" s="272"/>
      <c r="X219" s="272"/>
      <c r="Y219" s="272"/>
      <c r="Z219" s="272"/>
      <c r="AA219" s="271"/>
      <c r="AB219" s="271"/>
      <c r="AC219" s="271"/>
      <c r="AD219" s="271"/>
      <c r="AE219" s="271"/>
      <c r="AF219" s="271"/>
      <c r="AG219" s="272"/>
    </row>
    <row r="220" spans="1:33">
      <c r="A220" s="273"/>
      <c r="B220" s="273"/>
      <c r="C220" s="271"/>
      <c r="D220" s="271"/>
      <c r="E220" s="271"/>
      <c r="F220" s="272"/>
      <c r="G220" s="272"/>
      <c r="H220" s="272"/>
      <c r="I220" s="272"/>
      <c r="J220" s="272"/>
      <c r="K220" s="272"/>
      <c r="L220" s="272"/>
      <c r="M220" s="272"/>
      <c r="N220" s="272"/>
      <c r="O220" s="272"/>
      <c r="P220" s="272"/>
      <c r="Q220" s="272"/>
      <c r="R220" s="272"/>
      <c r="S220" s="272"/>
      <c r="T220" s="272"/>
      <c r="U220" s="272"/>
      <c r="V220" s="272"/>
      <c r="W220" s="272"/>
      <c r="X220" s="272"/>
      <c r="Y220" s="272"/>
      <c r="Z220" s="272"/>
      <c r="AA220" s="271"/>
      <c r="AB220" s="271"/>
      <c r="AC220" s="271"/>
      <c r="AD220" s="271"/>
      <c r="AE220" s="271"/>
      <c r="AF220" s="271"/>
      <c r="AG220" s="272"/>
    </row>
    <row r="221" spans="1:33">
      <c r="A221" s="273"/>
      <c r="B221" s="273"/>
      <c r="C221" s="271"/>
      <c r="D221" s="271"/>
      <c r="E221" s="271"/>
      <c r="F221" s="272"/>
      <c r="G221" s="272"/>
      <c r="H221" s="272"/>
      <c r="I221" s="272"/>
      <c r="J221" s="272"/>
      <c r="K221" s="272"/>
      <c r="L221" s="272"/>
      <c r="M221" s="272"/>
      <c r="N221" s="272"/>
      <c r="O221" s="272"/>
      <c r="P221" s="272"/>
      <c r="Q221" s="272"/>
      <c r="R221" s="272"/>
      <c r="S221" s="272"/>
      <c r="T221" s="272"/>
      <c r="U221" s="272"/>
      <c r="V221" s="272"/>
      <c r="W221" s="272"/>
      <c r="X221" s="272"/>
      <c r="Y221" s="272"/>
      <c r="Z221" s="272"/>
      <c r="AA221" s="271"/>
      <c r="AB221" s="271"/>
      <c r="AC221" s="271"/>
      <c r="AD221" s="271"/>
      <c r="AE221" s="271"/>
      <c r="AF221" s="271"/>
      <c r="AG221" s="272"/>
    </row>
    <row r="222" spans="1:33">
      <c r="A222" s="273"/>
      <c r="B222" s="273"/>
      <c r="C222" s="271"/>
      <c r="D222" s="271"/>
      <c r="E222" s="271"/>
      <c r="F222" s="272"/>
      <c r="G222" s="272"/>
      <c r="H222" s="272"/>
      <c r="I222" s="272"/>
      <c r="J222" s="272"/>
      <c r="K222" s="272"/>
      <c r="L222" s="272"/>
      <c r="M222" s="272"/>
      <c r="N222" s="272"/>
      <c r="O222" s="272"/>
      <c r="P222" s="272"/>
      <c r="Q222" s="272"/>
      <c r="R222" s="272"/>
      <c r="S222" s="272"/>
      <c r="T222" s="272"/>
      <c r="U222" s="272"/>
      <c r="V222" s="272"/>
      <c r="W222" s="272"/>
      <c r="X222" s="272"/>
      <c r="Y222" s="272"/>
      <c r="Z222" s="272"/>
      <c r="AA222" s="271"/>
      <c r="AB222" s="271"/>
      <c r="AC222" s="271"/>
      <c r="AD222" s="271"/>
      <c r="AE222" s="271"/>
      <c r="AF222" s="271"/>
      <c r="AG222" s="272"/>
    </row>
    <row r="223" spans="1:33">
      <c r="A223" s="273"/>
      <c r="B223" s="273"/>
      <c r="C223" s="271"/>
      <c r="D223" s="271"/>
      <c r="E223" s="271"/>
      <c r="F223" s="272"/>
      <c r="G223" s="272"/>
      <c r="H223" s="272"/>
      <c r="I223" s="272"/>
      <c r="J223" s="272"/>
      <c r="K223" s="272"/>
      <c r="L223" s="272"/>
      <c r="M223" s="272"/>
      <c r="N223" s="272"/>
      <c r="O223" s="272"/>
      <c r="P223" s="272"/>
      <c r="Q223" s="272"/>
      <c r="R223" s="272"/>
      <c r="S223" s="272"/>
      <c r="T223" s="272"/>
      <c r="U223" s="272"/>
      <c r="V223" s="272"/>
      <c r="W223" s="272"/>
      <c r="X223" s="272"/>
      <c r="Y223" s="272"/>
      <c r="Z223" s="272"/>
      <c r="AA223" s="271"/>
      <c r="AB223" s="271"/>
      <c r="AC223" s="271"/>
      <c r="AD223" s="271"/>
      <c r="AE223" s="271"/>
      <c r="AF223" s="271"/>
      <c r="AG223" s="272"/>
    </row>
    <row r="224" spans="1:33">
      <c r="A224" s="273"/>
      <c r="B224" s="273"/>
      <c r="C224" s="271"/>
      <c r="D224" s="271"/>
      <c r="E224" s="271"/>
      <c r="F224" s="272"/>
      <c r="G224" s="272"/>
      <c r="H224" s="272"/>
      <c r="I224" s="272"/>
      <c r="J224" s="272"/>
      <c r="K224" s="272"/>
      <c r="L224" s="272"/>
      <c r="M224" s="272"/>
      <c r="N224" s="272"/>
      <c r="O224" s="272"/>
      <c r="P224" s="272"/>
      <c r="Q224" s="272"/>
      <c r="R224" s="272"/>
      <c r="S224" s="272"/>
      <c r="T224" s="272"/>
      <c r="U224" s="272"/>
      <c r="V224" s="272"/>
      <c r="W224" s="272"/>
      <c r="X224" s="272"/>
      <c r="Y224" s="272"/>
      <c r="Z224" s="272"/>
      <c r="AA224" s="271"/>
      <c r="AB224" s="271"/>
      <c r="AC224" s="271"/>
      <c r="AD224" s="271"/>
      <c r="AE224" s="271"/>
      <c r="AF224" s="271"/>
      <c r="AG224" s="272"/>
    </row>
    <row r="225" spans="1:33">
      <c r="A225" s="273"/>
      <c r="B225" s="273"/>
      <c r="C225" s="271"/>
      <c r="D225" s="271"/>
      <c r="E225" s="271"/>
      <c r="F225" s="272"/>
      <c r="G225" s="272"/>
      <c r="H225" s="272"/>
      <c r="I225" s="272"/>
      <c r="J225" s="272"/>
      <c r="K225" s="272"/>
      <c r="L225" s="272"/>
      <c r="M225" s="272"/>
      <c r="N225" s="272"/>
      <c r="O225" s="272"/>
      <c r="P225" s="272"/>
      <c r="Q225" s="272"/>
      <c r="R225" s="272"/>
      <c r="S225" s="272"/>
      <c r="T225" s="272"/>
      <c r="U225" s="272"/>
      <c r="V225" s="272"/>
      <c r="W225" s="272"/>
      <c r="X225" s="272"/>
      <c r="Y225" s="272"/>
      <c r="Z225" s="272"/>
      <c r="AA225" s="271"/>
      <c r="AB225" s="271"/>
      <c r="AC225" s="271"/>
      <c r="AD225" s="271"/>
      <c r="AE225" s="271"/>
      <c r="AF225" s="271"/>
      <c r="AG225" s="272"/>
    </row>
    <row r="226" spans="1:33">
      <c r="A226" s="273"/>
      <c r="B226" s="273"/>
      <c r="C226" s="271"/>
      <c r="D226" s="271"/>
      <c r="E226" s="271"/>
      <c r="F226" s="272"/>
      <c r="G226" s="272"/>
      <c r="H226" s="272"/>
      <c r="I226" s="272"/>
      <c r="J226" s="272"/>
      <c r="K226" s="272"/>
      <c r="L226" s="272"/>
      <c r="M226" s="272"/>
      <c r="N226" s="272"/>
      <c r="O226" s="272"/>
      <c r="P226" s="272"/>
      <c r="Q226" s="272"/>
      <c r="R226" s="272"/>
      <c r="S226" s="272"/>
      <c r="T226" s="272"/>
      <c r="U226" s="272"/>
      <c r="V226" s="272"/>
      <c r="W226" s="272"/>
      <c r="X226" s="272"/>
      <c r="Y226" s="272"/>
      <c r="Z226" s="272"/>
      <c r="AA226" s="271"/>
      <c r="AB226" s="271"/>
      <c r="AC226" s="271"/>
      <c r="AD226" s="271"/>
      <c r="AE226" s="271"/>
      <c r="AF226" s="271"/>
      <c r="AG226" s="272"/>
    </row>
    <row r="227" spans="1:33">
      <c r="A227" s="273"/>
      <c r="B227" s="273"/>
      <c r="C227" s="271"/>
      <c r="D227" s="271"/>
      <c r="E227" s="271"/>
      <c r="F227" s="272"/>
      <c r="G227" s="272"/>
      <c r="H227" s="272"/>
      <c r="I227" s="272"/>
      <c r="J227" s="272"/>
      <c r="K227" s="272"/>
      <c r="L227" s="272"/>
      <c r="M227" s="272"/>
      <c r="N227" s="272"/>
      <c r="O227" s="272"/>
      <c r="P227" s="272"/>
      <c r="Q227" s="272"/>
      <c r="R227" s="272"/>
      <c r="S227" s="272"/>
      <c r="T227" s="272"/>
      <c r="U227" s="272"/>
      <c r="V227" s="272"/>
      <c r="W227" s="272"/>
      <c r="X227" s="272"/>
      <c r="Y227" s="272"/>
      <c r="Z227" s="272"/>
      <c r="AA227" s="271"/>
      <c r="AB227" s="271"/>
      <c r="AC227" s="271"/>
      <c r="AD227" s="271"/>
      <c r="AE227" s="271"/>
      <c r="AF227" s="271"/>
      <c r="AG227" s="272"/>
    </row>
    <row r="228" spans="1:33">
      <c r="A228" s="273"/>
      <c r="B228" s="273"/>
      <c r="C228" s="271"/>
      <c r="D228" s="271"/>
      <c r="E228" s="271"/>
      <c r="F228" s="272"/>
      <c r="G228" s="272"/>
      <c r="H228" s="272"/>
      <c r="I228" s="272"/>
      <c r="J228" s="272"/>
      <c r="K228" s="272"/>
      <c r="L228" s="272"/>
      <c r="M228" s="272"/>
      <c r="N228" s="272"/>
      <c r="O228" s="272"/>
      <c r="P228" s="272"/>
      <c r="Q228" s="272"/>
      <c r="R228" s="272"/>
      <c r="S228" s="272"/>
      <c r="T228" s="272"/>
      <c r="U228" s="272"/>
      <c r="V228" s="272"/>
      <c r="W228" s="272"/>
      <c r="X228" s="272"/>
      <c r="Y228" s="272"/>
      <c r="Z228" s="272"/>
      <c r="AA228" s="271"/>
      <c r="AB228" s="271"/>
      <c r="AC228" s="271"/>
      <c r="AD228" s="271"/>
      <c r="AE228" s="271"/>
      <c r="AF228" s="271"/>
      <c r="AG228" s="272"/>
    </row>
    <row r="229" spans="1:33">
      <c r="A229" s="273"/>
      <c r="B229" s="273"/>
      <c r="C229" s="271"/>
      <c r="D229" s="271"/>
      <c r="E229" s="271"/>
      <c r="F229" s="272"/>
      <c r="G229" s="272"/>
      <c r="H229" s="272"/>
      <c r="I229" s="272"/>
      <c r="J229" s="272"/>
      <c r="K229" s="272"/>
      <c r="L229" s="272"/>
      <c r="M229" s="272"/>
      <c r="N229" s="272"/>
      <c r="O229" s="272"/>
      <c r="P229" s="272"/>
      <c r="Q229" s="272"/>
      <c r="R229" s="272"/>
      <c r="S229" s="272"/>
      <c r="T229" s="272"/>
      <c r="U229" s="272"/>
      <c r="V229" s="272"/>
      <c r="W229" s="272"/>
      <c r="X229" s="272"/>
      <c r="Y229" s="272"/>
      <c r="Z229" s="272"/>
      <c r="AA229" s="271"/>
      <c r="AB229" s="271"/>
      <c r="AC229" s="271"/>
      <c r="AD229" s="271"/>
      <c r="AE229" s="271"/>
      <c r="AF229" s="271"/>
      <c r="AG229" s="272"/>
    </row>
    <row r="230" spans="1:33">
      <c r="A230" s="273"/>
      <c r="B230" s="273"/>
      <c r="C230" s="271"/>
      <c r="D230" s="271"/>
      <c r="E230" s="271"/>
      <c r="F230" s="272"/>
      <c r="G230" s="272"/>
      <c r="H230" s="272"/>
      <c r="I230" s="272"/>
      <c r="J230" s="272"/>
      <c r="K230" s="272"/>
      <c r="L230" s="272"/>
      <c r="M230" s="272"/>
      <c r="N230" s="272"/>
      <c r="O230" s="272"/>
      <c r="P230" s="272"/>
      <c r="Q230" s="272"/>
      <c r="R230" s="272"/>
      <c r="S230" s="272"/>
      <c r="T230" s="272"/>
      <c r="U230" s="272"/>
      <c r="V230" s="272"/>
      <c r="W230" s="272"/>
      <c r="X230" s="272"/>
      <c r="Y230" s="272"/>
      <c r="Z230" s="272"/>
      <c r="AA230" s="271"/>
      <c r="AB230" s="271"/>
      <c r="AC230" s="271"/>
      <c r="AD230" s="271"/>
      <c r="AE230" s="271"/>
      <c r="AF230" s="271"/>
      <c r="AG230" s="272"/>
    </row>
    <row r="231" spans="1:33">
      <c r="A231" s="273"/>
      <c r="B231" s="273"/>
      <c r="C231" s="271"/>
      <c r="D231" s="271"/>
      <c r="E231" s="271"/>
      <c r="F231" s="272"/>
      <c r="G231" s="272"/>
      <c r="H231" s="272"/>
      <c r="I231" s="272"/>
      <c r="J231" s="272"/>
      <c r="K231" s="272"/>
      <c r="L231" s="272"/>
      <c r="M231" s="272"/>
      <c r="N231" s="272"/>
      <c r="O231" s="272"/>
      <c r="P231" s="272"/>
      <c r="Q231" s="272"/>
      <c r="R231" s="272"/>
      <c r="S231" s="272"/>
      <c r="T231" s="272"/>
      <c r="U231" s="272"/>
      <c r="V231" s="272"/>
      <c r="W231" s="272"/>
      <c r="X231" s="272"/>
      <c r="Y231" s="272"/>
      <c r="Z231" s="272"/>
      <c r="AA231" s="271"/>
      <c r="AB231" s="271"/>
      <c r="AC231" s="271"/>
      <c r="AD231" s="271"/>
      <c r="AE231" s="271"/>
      <c r="AF231" s="271"/>
      <c r="AG231" s="272"/>
    </row>
    <row r="232" spans="1:33">
      <c r="A232" s="273"/>
      <c r="B232" s="273"/>
      <c r="C232" s="271"/>
      <c r="D232" s="271"/>
      <c r="E232" s="271"/>
      <c r="F232" s="272"/>
      <c r="G232" s="272"/>
      <c r="H232" s="272"/>
      <c r="I232" s="272"/>
      <c r="J232" s="272"/>
      <c r="K232" s="272"/>
      <c r="L232" s="272"/>
      <c r="M232" s="272"/>
      <c r="N232" s="272"/>
      <c r="O232" s="272"/>
      <c r="P232" s="272"/>
      <c r="Q232" s="272"/>
      <c r="R232" s="272"/>
      <c r="S232" s="272"/>
      <c r="T232" s="272"/>
      <c r="U232" s="272"/>
      <c r="V232" s="272"/>
      <c r="W232" s="272"/>
      <c r="X232" s="272"/>
      <c r="Y232" s="272"/>
      <c r="Z232" s="272"/>
      <c r="AA232" s="271"/>
      <c r="AB232" s="271"/>
      <c r="AC232" s="271"/>
      <c r="AD232" s="271"/>
      <c r="AE232" s="271"/>
      <c r="AF232" s="271"/>
      <c r="AG232" s="272"/>
    </row>
    <row r="233" spans="1:33">
      <c r="A233" s="273"/>
      <c r="B233" s="273"/>
      <c r="C233" s="271"/>
      <c r="D233" s="271"/>
      <c r="E233" s="271"/>
      <c r="F233" s="272"/>
      <c r="G233" s="272"/>
      <c r="H233" s="272"/>
      <c r="I233" s="272"/>
      <c r="J233" s="272"/>
      <c r="K233" s="272"/>
      <c r="L233" s="272"/>
      <c r="M233" s="272"/>
      <c r="N233" s="272"/>
      <c r="O233" s="272"/>
      <c r="P233" s="272"/>
      <c r="Q233" s="272"/>
      <c r="R233" s="272"/>
      <c r="S233" s="272"/>
      <c r="T233" s="272"/>
      <c r="U233" s="272"/>
      <c r="V233" s="272"/>
      <c r="W233" s="272"/>
      <c r="X233" s="272"/>
      <c r="Y233" s="272"/>
      <c r="Z233" s="272"/>
      <c r="AA233" s="271"/>
      <c r="AB233" s="271"/>
      <c r="AC233" s="271"/>
      <c r="AD233" s="271"/>
      <c r="AE233" s="271"/>
      <c r="AF233" s="271"/>
      <c r="AG233" s="272"/>
    </row>
    <row r="234" spans="1:33">
      <c r="A234" s="273"/>
      <c r="B234" s="273"/>
      <c r="C234" s="271"/>
      <c r="D234" s="271"/>
      <c r="E234" s="271"/>
      <c r="F234" s="272"/>
      <c r="G234" s="272"/>
      <c r="H234" s="272"/>
      <c r="I234" s="272"/>
      <c r="J234" s="272"/>
      <c r="K234" s="272"/>
      <c r="L234" s="272"/>
      <c r="M234" s="272"/>
      <c r="N234" s="272"/>
      <c r="O234" s="272"/>
      <c r="P234" s="272"/>
      <c r="Q234" s="272"/>
      <c r="R234" s="272"/>
      <c r="S234" s="272"/>
      <c r="T234" s="272"/>
      <c r="U234" s="272"/>
      <c r="V234" s="272"/>
      <c r="W234" s="272"/>
      <c r="X234" s="272"/>
      <c r="Y234" s="272"/>
      <c r="Z234" s="272"/>
      <c r="AA234" s="271"/>
      <c r="AB234" s="271"/>
      <c r="AC234" s="271"/>
      <c r="AD234" s="271"/>
      <c r="AE234" s="271"/>
      <c r="AF234" s="271"/>
      <c r="AG234" s="272"/>
    </row>
    <row r="235" spans="1:33">
      <c r="A235" s="273"/>
      <c r="B235" s="273"/>
      <c r="C235" s="271"/>
      <c r="D235" s="271"/>
      <c r="E235" s="271"/>
      <c r="F235" s="272"/>
      <c r="G235" s="272"/>
      <c r="H235" s="272"/>
      <c r="I235" s="272"/>
      <c r="J235" s="272"/>
      <c r="K235" s="272"/>
      <c r="L235" s="272"/>
      <c r="M235" s="272"/>
      <c r="N235" s="272"/>
      <c r="O235" s="272"/>
      <c r="P235" s="272"/>
      <c r="Q235" s="272"/>
      <c r="R235" s="272"/>
      <c r="S235" s="272"/>
      <c r="T235" s="272"/>
      <c r="U235" s="272"/>
      <c r="V235" s="272"/>
      <c r="W235" s="272"/>
      <c r="X235" s="272"/>
      <c r="Y235" s="272"/>
      <c r="Z235" s="272"/>
      <c r="AA235" s="271"/>
      <c r="AB235" s="271"/>
      <c r="AC235" s="271"/>
      <c r="AD235" s="271"/>
      <c r="AE235" s="271"/>
      <c r="AF235" s="271"/>
      <c r="AG235" s="272"/>
    </row>
    <row r="236" spans="1:33">
      <c r="A236" s="273"/>
      <c r="B236" s="273"/>
      <c r="C236" s="271"/>
      <c r="D236" s="271"/>
      <c r="E236" s="271"/>
      <c r="F236" s="272"/>
      <c r="G236" s="272"/>
      <c r="H236" s="272"/>
      <c r="I236" s="272"/>
      <c r="J236" s="272"/>
      <c r="K236" s="272"/>
      <c r="L236" s="272"/>
      <c r="M236" s="272"/>
      <c r="N236" s="272"/>
      <c r="O236" s="272"/>
      <c r="P236" s="272"/>
      <c r="Q236" s="272"/>
      <c r="R236" s="272"/>
      <c r="S236" s="272"/>
      <c r="T236" s="272"/>
      <c r="U236" s="272"/>
      <c r="V236" s="272"/>
      <c r="W236" s="272"/>
      <c r="X236" s="272"/>
      <c r="Y236" s="272"/>
      <c r="Z236" s="272"/>
      <c r="AA236" s="271"/>
      <c r="AB236" s="271"/>
      <c r="AC236" s="271"/>
      <c r="AD236" s="271"/>
      <c r="AE236" s="271"/>
      <c r="AF236" s="271"/>
      <c r="AG236" s="272"/>
    </row>
    <row r="237" spans="1:33">
      <c r="A237" s="273"/>
      <c r="B237" s="273"/>
      <c r="C237" s="271"/>
      <c r="D237" s="271"/>
      <c r="E237" s="271"/>
      <c r="F237" s="272"/>
      <c r="G237" s="272"/>
      <c r="H237" s="272"/>
      <c r="I237" s="272"/>
      <c r="J237" s="272"/>
      <c r="K237" s="272"/>
      <c r="L237" s="272"/>
      <c r="M237" s="272"/>
      <c r="N237" s="272"/>
      <c r="O237" s="272"/>
      <c r="P237" s="272"/>
      <c r="Q237" s="272"/>
      <c r="R237" s="272"/>
      <c r="S237" s="272"/>
      <c r="T237" s="272"/>
      <c r="U237" s="272"/>
      <c r="V237" s="272"/>
      <c r="W237" s="272"/>
      <c r="X237" s="272"/>
      <c r="Y237" s="272"/>
      <c r="Z237" s="272"/>
      <c r="AA237" s="271"/>
      <c r="AB237" s="271"/>
      <c r="AC237" s="271"/>
      <c r="AD237" s="271"/>
      <c r="AE237" s="271"/>
      <c r="AF237" s="271"/>
      <c r="AG237" s="272"/>
    </row>
    <row r="238" spans="1:33">
      <c r="A238" s="273"/>
      <c r="B238" s="273"/>
      <c r="C238" s="271"/>
      <c r="D238" s="271"/>
      <c r="E238" s="271"/>
      <c r="F238" s="272"/>
      <c r="G238" s="272"/>
      <c r="H238" s="272"/>
      <c r="I238" s="272"/>
      <c r="J238" s="272"/>
      <c r="K238" s="272"/>
      <c r="L238" s="272"/>
      <c r="M238" s="272"/>
      <c r="N238" s="272"/>
      <c r="O238" s="272"/>
      <c r="P238" s="272"/>
      <c r="Q238" s="272"/>
      <c r="R238" s="272"/>
      <c r="S238" s="272"/>
      <c r="T238" s="272"/>
      <c r="U238" s="272"/>
      <c r="V238" s="272"/>
      <c r="W238" s="272"/>
      <c r="X238" s="272"/>
      <c r="Y238" s="272"/>
      <c r="Z238" s="272"/>
      <c r="AA238" s="271"/>
      <c r="AB238" s="271"/>
      <c r="AC238" s="271"/>
      <c r="AD238" s="271"/>
      <c r="AE238" s="271"/>
      <c r="AF238" s="271"/>
      <c r="AG238" s="272"/>
    </row>
    <row r="239" spans="1:33">
      <c r="A239" s="273"/>
      <c r="B239" s="273"/>
      <c r="C239" s="271"/>
      <c r="D239" s="271"/>
      <c r="E239" s="271"/>
      <c r="F239" s="272"/>
      <c r="G239" s="272"/>
      <c r="H239" s="272"/>
      <c r="I239" s="272"/>
      <c r="J239" s="272"/>
      <c r="K239" s="272"/>
      <c r="L239" s="272"/>
      <c r="M239" s="272"/>
      <c r="N239" s="272"/>
      <c r="O239" s="272"/>
      <c r="P239" s="272"/>
      <c r="Q239" s="272"/>
      <c r="R239" s="272"/>
      <c r="S239" s="272"/>
      <c r="T239" s="272"/>
      <c r="U239" s="272"/>
      <c r="V239" s="272"/>
      <c r="W239" s="272"/>
      <c r="X239" s="272"/>
      <c r="Y239" s="272"/>
      <c r="Z239" s="272"/>
      <c r="AA239" s="271"/>
      <c r="AB239" s="271"/>
      <c r="AC239" s="271"/>
      <c r="AD239" s="271"/>
      <c r="AE239" s="271"/>
      <c r="AF239" s="271"/>
      <c r="AG239" s="272"/>
    </row>
    <row r="240" spans="1:33">
      <c r="A240" s="273"/>
      <c r="B240" s="273"/>
      <c r="C240" s="271"/>
      <c r="D240" s="271"/>
      <c r="E240" s="271"/>
      <c r="F240" s="272"/>
      <c r="G240" s="272"/>
      <c r="H240" s="272"/>
      <c r="I240" s="272"/>
      <c r="J240" s="272"/>
      <c r="K240" s="272"/>
      <c r="L240" s="272"/>
      <c r="M240" s="272"/>
      <c r="N240" s="272"/>
      <c r="O240" s="272"/>
      <c r="P240" s="272"/>
      <c r="Q240" s="272"/>
      <c r="R240" s="272"/>
      <c r="S240" s="272"/>
      <c r="T240" s="272"/>
      <c r="U240" s="272"/>
      <c r="V240" s="272"/>
      <c r="W240" s="272"/>
      <c r="X240" s="272"/>
      <c r="Y240" s="272"/>
      <c r="Z240" s="272"/>
      <c r="AA240" s="271"/>
      <c r="AB240" s="271"/>
      <c r="AC240" s="271"/>
      <c r="AD240" s="271"/>
      <c r="AE240" s="271"/>
      <c r="AF240" s="271"/>
      <c r="AG240" s="272"/>
    </row>
    <row r="241" spans="1:33">
      <c r="A241" s="273"/>
      <c r="B241" s="273"/>
      <c r="C241" s="271"/>
      <c r="D241" s="271"/>
      <c r="E241" s="271"/>
      <c r="F241" s="272"/>
      <c r="G241" s="272"/>
      <c r="H241" s="272"/>
      <c r="I241" s="272"/>
      <c r="J241" s="272"/>
      <c r="K241" s="272"/>
      <c r="L241" s="272"/>
      <c r="M241" s="272"/>
      <c r="N241" s="272"/>
      <c r="O241" s="272"/>
      <c r="P241" s="272"/>
      <c r="Q241" s="272"/>
      <c r="R241" s="272"/>
      <c r="S241" s="272"/>
      <c r="T241" s="272"/>
      <c r="U241" s="272"/>
      <c r="V241" s="272"/>
      <c r="W241" s="272"/>
      <c r="X241" s="272"/>
      <c r="Y241" s="272"/>
      <c r="Z241" s="272"/>
      <c r="AA241" s="271"/>
      <c r="AB241" s="271"/>
      <c r="AC241" s="271"/>
      <c r="AD241" s="271"/>
      <c r="AE241" s="271"/>
      <c r="AF241" s="271"/>
      <c r="AG241" s="272"/>
    </row>
    <row r="242" spans="1:33">
      <c r="A242" s="273"/>
      <c r="B242" s="273"/>
      <c r="C242" s="271"/>
      <c r="D242" s="271"/>
      <c r="E242" s="271"/>
      <c r="F242" s="272"/>
      <c r="G242" s="272"/>
      <c r="H242" s="272"/>
      <c r="I242" s="272"/>
      <c r="J242" s="272"/>
      <c r="K242" s="272"/>
      <c r="L242" s="272"/>
      <c r="M242" s="272"/>
      <c r="N242" s="272"/>
      <c r="O242" s="272"/>
      <c r="P242" s="272"/>
      <c r="Q242" s="272"/>
      <c r="R242" s="272"/>
      <c r="S242" s="272"/>
      <c r="T242" s="272"/>
      <c r="U242" s="272"/>
      <c r="V242" s="272"/>
      <c r="W242" s="272"/>
      <c r="X242" s="272"/>
      <c r="Y242" s="272"/>
      <c r="Z242" s="272"/>
      <c r="AA242" s="271"/>
      <c r="AB242" s="271"/>
      <c r="AC242" s="271"/>
      <c r="AD242" s="271"/>
      <c r="AE242" s="271"/>
      <c r="AF242" s="271"/>
      <c r="AG242" s="272"/>
    </row>
    <row r="243" spans="1:33">
      <c r="A243" s="273"/>
      <c r="B243" s="273"/>
      <c r="C243" s="271"/>
      <c r="D243" s="271"/>
      <c r="E243" s="271"/>
      <c r="F243" s="272"/>
      <c r="G243" s="272"/>
      <c r="H243" s="272"/>
      <c r="I243" s="272"/>
      <c r="J243" s="272"/>
      <c r="K243" s="272"/>
      <c r="L243" s="272"/>
      <c r="M243" s="272"/>
      <c r="N243" s="272"/>
      <c r="O243" s="272"/>
      <c r="P243" s="272"/>
      <c r="Q243" s="272"/>
      <c r="R243" s="272"/>
      <c r="S243" s="272"/>
      <c r="T243" s="272"/>
      <c r="U243" s="272"/>
      <c r="V243" s="272"/>
      <c r="W243" s="272"/>
      <c r="X243" s="272"/>
      <c r="Y243" s="272"/>
      <c r="Z243" s="272"/>
      <c r="AA243" s="271"/>
      <c r="AB243" s="271"/>
      <c r="AC243" s="271"/>
      <c r="AD243" s="271"/>
      <c r="AE243" s="271"/>
      <c r="AF243" s="271"/>
      <c r="AG243" s="272"/>
    </row>
    <row r="244" spans="1:33">
      <c r="A244" s="273"/>
      <c r="B244" s="273"/>
      <c r="C244" s="271"/>
      <c r="D244" s="271"/>
      <c r="E244" s="271"/>
      <c r="F244" s="272"/>
      <c r="G244" s="272"/>
      <c r="H244" s="272"/>
      <c r="I244" s="272"/>
      <c r="J244" s="272"/>
      <c r="K244" s="272"/>
      <c r="L244" s="272"/>
      <c r="M244" s="272"/>
      <c r="N244" s="272"/>
      <c r="O244" s="272"/>
      <c r="P244" s="272"/>
      <c r="Q244" s="272"/>
      <c r="R244" s="272"/>
      <c r="S244" s="272"/>
      <c r="T244" s="272"/>
      <c r="U244" s="272"/>
      <c r="V244" s="272"/>
      <c r="W244" s="272"/>
      <c r="X244" s="272"/>
      <c r="Y244" s="272"/>
      <c r="Z244" s="272"/>
      <c r="AA244" s="271"/>
      <c r="AB244" s="271"/>
      <c r="AC244" s="271"/>
      <c r="AD244" s="271"/>
      <c r="AE244" s="271"/>
      <c r="AF244" s="271"/>
      <c r="AG244" s="272"/>
    </row>
    <row r="245" spans="1:33">
      <c r="A245" s="273"/>
      <c r="B245" s="273"/>
      <c r="C245" s="271"/>
      <c r="D245" s="271"/>
      <c r="E245" s="271"/>
      <c r="F245" s="272"/>
      <c r="G245" s="272"/>
      <c r="H245" s="272"/>
      <c r="I245" s="272"/>
      <c r="J245" s="272"/>
      <c r="K245" s="272"/>
      <c r="L245" s="272"/>
      <c r="M245" s="272"/>
      <c r="N245" s="272"/>
      <c r="O245" s="272"/>
      <c r="P245" s="272"/>
      <c r="Q245" s="272"/>
      <c r="R245" s="272"/>
      <c r="S245" s="272"/>
      <c r="T245" s="272"/>
      <c r="U245" s="272"/>
      <c r="V245" s="272"/>
      <c r="W245" s="272"/>
      <c r="X245" s="272"/>
      <c r="Y245" s="272"/>
      <c r="Z245" s="272"/>
      <c r="AA245" s="271"/>
      <c r="AB245" s="271"/>
      <c r="AC245" s="271"/>
      <c r="AD245" s="271"/>
      <c r="AE245" s="271"/>
      <c r="AF245" s="271"/>
      <c r="AG245" s="272"/>
    </row>
    <row r="246" spans="1:33">
      <c r="A246" s="273"/>
      <c r="B246" s="273"/>
      <c r="C246" s="271"/>
      <c r="D246" s="271"/>
      <c r="E246" s="271"/>
      <c r="F246" s="272"/>
      <c r="G246" s="272"/>
      <c r="H246" s="272"/>
      <c r="I246" s="272"/>
      <c r="J246" s="272"/>
      <c r="K246" s="272"/>
      <c r="L246" s="272"/>
      <c r="M246" s="272"/>
      <c r="N246" s="272"/>
      <c r="O246" s="272"/>
      <c r="P246" s="272"/>
      <c r="Q246" s="272"/>
      <c r="R246" s="272"/>
      <c r="S246" s="272"/>
      <c r="T246" s="272"/>
      <c r="U246" s="272"/>
      <c r="V246" s="272"/>
      <c r="W246" s="272"/>
      <c r="X246" s="272"/>
      <c r="Y246" s="272"/>
      <c r="Z246" s="272"/>
      <c r="AA246" s="271"/>
      <c r="AB246" s="271"/>
      <c r="AC246" s="271"/>
      <c r="AD246" s="271"/>
      <c r="AE246" s="271"/>
      <c r="AF246" s="271"/>
      <c r="AG246" s="272"/>
    </row>
    <row r="247" spans="1:33">
      <c r="A247" s="273"/>
      <c r="B247" s="273"/>
      <c r="C247" s="271"/>
      <c r="D247" s="271"/>
      <c r="E247" s="271"/>
      <c r="F247" s="272"/>
      <c r="G247" s="272"/>
      <c r="H247" s="272"/>
      <c r="I247" s="272"/>
      <c r="J247" s="272"/>
      <c r="K247" s="272"/>
      <c r="L247" s="272"/>
      <c r="M247" s="272"/>
      <c r="N247" s="272"/>
      <c r="O247" s="272"/>
      <c r="P247" s="272"/>
      <c r="Q247" s="272"/>
      <c r="R247" s="272"/>
      <c r="S247" s="272"/>
      <c r="T247" s="272"/>
      <c r="U247" s="272"/>
      <c r="V247" s="272"/>
      <c r="W247" s="272"/>
      <c r="X247" s="272"/>
      <c r="Y247" s="272"/>
      <c r="Z247" s="272"/>
      <c r="AA247" s="271"/>
      <c r="AB247" s="271"/>
      <c r="AC247" s="271"/>
      <c r="AD247" s="271"/>
      <c r="AE247" s="271"/>
      <c r="AF247" s="271"/>
      <c r="AG247" s="272"/>
    </row>
    <row r="248" spans="1:33">
      <c r="A248" s="273"/>
      <c r="B248" s="273"/>
      <c r="C248" s="271"/>
      <c r="D248" s="271"/>
      <c r="E248" s="271"/>
      <c r="F248" s="272"/>
      <c r="G248" s="272"/>
      <c r="H248" s="272"/>
      <c r="I248" s="272"/>
      <c r="J248" s="272"/>
      <c r="K248" s="272"/>
      <c r="L248" s="272"/>
      <c r="M248" s="272"/>
      <c r="N248" s="272"/>
      <c r="O248" s="272"/>
      <c r="P248" s="272"/>
      <c r="Q248" s="272"/>
      <c r="R248" s="272"/>
      <c r="S248" s="272"/>
      <c r="T248" s="272"/>
      <c r="U248" s="272"/>
      <c r="V248" s="272"/>
      <c r="W248" s="272"/>
      <c r="X248" s="272"/>
      <c r="Y248" s="272"/>
      <c r="Z248" s="272"/>
      <c r="AA248" s="271"/>
      <c r="AB248" s="271"/>
      <c r="AC248" s="271"/>
      <c r="AD248" s="271"/>
      <c r="AE248" s="271"/>
      <c r="AF248" s="271"/>
      <c r="AG248" s="272"/>
    </row>
    <row r="249" spans="1:33">
      <c r="A249" s="273"/>
      <c r="B249" s="273"/>
      <c r="C249" s="271"/>
      <c r="D249" s="271"/>
      <c r="E249" s="271"/>
      <c r="F249" s="272"/>
      <c r="G249" s="272"/>
      <c r="H249" s="272"/>
      <c r="I249" s="272"/>
      <c r="J249" s="272"/>
      <c r="K249" s="272"/>
      <c r="L249" s="272"/>
      <c r="M249" s="272"/>
      <c r="N249" s="272"/>
      <c r="O249" s="272"/>
      <c r="P249" s="272"/>
      <c r="Q249" s="272"/>
      <c r="R249" s="272"/>
      <c r="S249" s="272"/>
      <c r="T249" s="272"/>
      <c r="U249" s="272"/>
      <c r="V249" s="272"/>
      <c r="W249" s="272"/>
      <c r="X249" s="272"/>
      <c r="Y249" s="272"/>
      <c r="Z249" s="272"/>
      <c r="AA249" s="271"/>
      <c r="AB249" s="271"/>
      <c r="AC249" s="271"/>
      <c r="AD249" s="271"/>
      <c r="AE249" s="271"/>
      <c r="AF249" s="271"/>
      <c r="AG249" s="272"/>
    </row>
    <row r="250" spans="1:33">
      <c r="A250" s="273"/>
      <c r="B250" s="273"/>
      <c r="C250" s="271"/>
      <c r="D250" s="271"/>
      <c r="E250" s="271"/>
      <c r="F250" s="272"/>
      <c r="G250" s="272"/>
      <c r="H250" s="272"/>
      <c r="I250" s="272"/>
      <c r="J250" s="272"/>
      <c r="K250" s="272"/>
      <c r="L250" s="272"/>
      <c r="M250" s="272"/>
      <c r="N250" s="272"/>
      <c r="O250" s="272"/>
      <c r="P250" s="272"/>
      <c r="Q250" s="272"/>
      <c r="R250" s="272"/>
      <c r="S250" s="272"/>
      <c r="T250" s="272"/>
      <c r="U250" s="272"/>
      <c r="V250" s="272"/>
      <c r="W250" s="272"/>
      <c r="X250" s="272"/>
      <c r="Y250" s="272"/>
      <c r="Z250" s="272"/>
      <c r="AA250" s="271"/>
      <c r="AB250" s="271"/>
      <c r="AC250" s="271"/>
      <c r="AD250" s="271"/>
      <c r="AE250" s="271"/>
      <c r="AF250" s="271"/>
      <c r="AG250" s="272"/>
    </row>
    <row r="251" spans="1:33">
      <c r="A251" s="273"/>
      <c r="B251" s="273"/>
      <c r="C251" s="271"/>
      <c r="D251" s="271"/>
      <c r="E251" s="271"/>
      <c r="F251" s="272"/>
      <c r="G251" s="272"/>
      <c r="H251" s="272"/>
      <c r="I251" s="272"/>
      <c r="J251" s="272"/>
      <c r="K251" s="272"/>
      <c r="L251" s="272"/>
      <c r="M251" s="272"/>
      <c r="N251" s="272"/>
      <c r="O251" s="272"/>
      <c r="P251" s="272"/>
      <c r="Q251" s="272"/>
      <c r="R251" s="272"/>
      <c r="S251" s="272"/>
      <c r="T251" s="272"/>
      <c r="U251" s="272"/>
      <c r="V251" s="272"/>
      <c r="W251" s="272"/>
      <c r="X251" s="272"/>
      <c r="Y251" s="272"/>
      <c r="Z251" s="272"/>
      <c r="AA251" s="271"/>
      <c r="AB251" s="271"/>
      <c r="AC251" s="271"/>
      <c r="AD251" s="271"/>
      <c r="AE251" s="271"/>
      <c r="AF251" s="271"/>
      <c r="AG251" s="272"/>
    </row>
    <row r="252" spans="1:33">
      <c r="A252" s="273"/>
      <c r="B252" s="273"/>
      <c r="C252" s="271"/>
      <c r="D252" s="271"/>
      <c r="E252" s="271"/>
      <c r="F252" s="272"/>
      <c r="G252" s="272"/>
      <c r="H252" s="272"/>
      <c r="I252" s="272"/>
      <c r="J252" s="272"/>
      <c r="K252" s="272"/>
      <c r="L252" s="272"/>
      <c r="M252" s="272"/>
      <c r="N252" s="272"/>
      <c r="O252" s="272"/>
      <c r="P252" s="272"/>
      <c r="Q252" s="272"/>
      <c r="R252" s="272"/>
      <c r="S252" s="272"/>
      <c r="T252" s="272"/>
      <c r="U252" s="272"/>
      <c r="V252" s="272"/>
      <c r="W252" s="272"/>
      <c r="X252" s="272"/>
      <c r="Y252" s="272"/>
      <c r="Z252" s="272"/>
      <c r="AA252" s="271"/>
      <c r="AB252" s="271"/>
      <c r="AC252" s="271"/>
      <c r="AD252" s="271"/>
      <c r="AE252" s="271"/>
      <c r="AF252" s="271"/>
      <c r="AG252" s="272"/>
    </row>
    <row r="253" spans="1:33">
      <c r="A253" s="273"/>
      <c r="B253" s="273"/>
      <c r="C253" s="271"/>
      <c r="D253" s="271"/>
      <c r="E253" s="271"/>
      <c r="F253" s="272"/>
      <c r="G253" s="272"/>
      <c r="H253" s="272"/>
      <c r="I253" s="272"/>
      <c r="J253" s="272"/>
      <c r="K253" s="272"/>
      <c r="L253" s="272"/>
      <c r="M253" s="272"/>
      <c r="N253" s="272"/>
      <c r="O253" s="272"/>
      <c r="P253" s="272"/>
      <c r="Q253" s="272"/>
      <c r="R253" s="272"/>
      <c r="S253" s="272"/>
      <c r="T253" s="272"/>
      <c r="U253" s="272"/>
      <c r="V253" s="272"/>
      <c r="W253" s="272"/>
      <c r="X253" s="272"/>
      <c r="Y253" s="272"/>
      <c r="Z253" s="272"/>
      <c r="AA253" s="271"/>
      <c r="AB253" s="271"/>
      <c r="AC253" s="271"/>
      <c r="AD253" s="271"/>
      <c r="AE253" s="271"/>
      <c r="AF253" s="271"/>
      <c r="AG253" s="272"/>
    </row>
    <row r="254" spans="1:33">
      <c r="A254" s="273"/>
      <c r="B254" s="273"/>
      <c r="C254" s="271"/>
      <c r="D254" s="271"/>
      <c r="E254" s="271"/>
      <c r="F254" s="272"/>
      <c r="G254" s="272"/>
      <c r="H254" s="272"/>
      <c r="I254" s="272"/>
      <c r="J254" s="272"/>
      <c r="K254" s="272"/>
      <c r="L254" s="272"/>
      <c r="M254" s="272"/>
      <c r="N254" s="272"/>
      <c r="O254" s="272"/>
      <c r="P254" s="272"/>
      <c r="Q254" s="272"/>
      <c r="R254" s="272"/>
      <c r="S254" s="272"/>
      <c r="T254" s="272"/>
      <c r="U254" s="272"/>
      <c r="V254" s="272"/>
      <c r="W254" s="272"/>
      <c r="X254" s="272"/>
      <c r="Y254" s="272"/>
      <c r="Z254" s="272"/>
      <c r="AA254" s="271"/>
      <c r="AB254" s="271"/>
      <c r="AC254" s="271"/>
      <c r="AD254" s="271"/>
      <c r="AE254" s="271"/>
      <c r="AF254" s="271"/>
      <c r="AG254" s="272"/>
    </row>
    <row r="255" spans="1:33">
      <c r="A255" s="273"/>
      <c r="B255" s="273"/>
      <c r="C255" s="271"/>
      <c r="D255" s="271"/>
      <c r="E255" s="271"/>
      <c r="F255" s="272"/>
      <c r="G255" s="272"/>
      <c r="H255" s="272"/>
      <c r="I255" s="272"/>
      <c r="J255" s="272"/>
      <c r="K255" s="272"/>
      <c r="L255" s="272"/>
      <c r="M255" s="272"/>
      <c r="N255" s="272"/>
      <c r="O255" s="272"/>
      <c r="P255" s="272"/>
      <c r="Q255" s="272"/>
      <c r="R255" s="272"/>
      <c r="S255" s="272"/>
      <c r="T255" s="272"/>
      <c r="U255" s="272"/>
      <c r="V255" s="272"/>
      <c r="W255" s="272"/>
      <c r="X255" s="272"/>
      <c r="Y255" s="272"/>
      <c r="Z255" s="272"/>
      <c r="AA255" s="271"/>
      <c r="AB255" s="271"/>
      <c r="AC255" s="271"/>
      <c r="AD255" s="271"/>
      <c r="AE255" s="271"/>
      <c r="AF255" s="271"/>
      <c r="AG255" s="272"/>
    </row>
    <row r="256" spans="1:33">
      <c r="A256" s="273"/>
      <c r="B256" s="273"/>
      <c r="C256" s="271"/>
      <c r="D256" s="271"/>
      <c r="E256" s="271"/>
      <c r="F256" s="272"/>
      <c r="G256" s="272"/>
      <c r="H256" s="272"/>
      <c r="I256" s="272"/>
      <c r="J256" s="272"/>
      <c r="K256" s="272"/>
      <c r="L256" s="272"/>
      <c r="M256" s="272"/>
      <c r="N256" s="272"/>
      <c r="O256" s="272"/>
      <c r="P256" s="272"/>
      <c r="Q256" s="272"/>
      <c r="R256" s="272"/>
      <c r="S256" s="272"/>
      <c r="T256" s="272"/>
      <c r="U256" s="272"/>
      <c r="V256" s="272"/>
      <c r="W256" s="272"/>
      <c r="X256" s="272"/>
      <c r="Y256" s="272"/>
      <c r="Z256" s="272"/>
      <c r="AA256" s="271"/>
      <c r="AB256" s="271"/>
      <c r="AC256" s="271"/>
      <c r="AD256" s="271"/>
      <c r="AE256" s="271"/>
      <c r="AF256" s="271"/>
      <c r="AG256" s="272"/>
    </row>
    <row r="257" spans="1:33">
      <c r="A257" s="273"/>
      <c r="B257" s="273"/>
      <c r="C257" s="271"/>
      <c r="D257" s="271"/>
      <c r="E257" s="271"/>
      <c r="F257" s="272"/>
      <c r="G257" s="272"/>
      <c r="H257" s="272"/>
      <c r="I257" s="272"/>
      <c r="J257" s="272"/>
      <c r="K257" s="272"/>
      <c r="L257" s="272"/>
      <c r="M257" s="272"/>
      <c r="N257" s="272"/>
      <c r="O257" s="272"/>
      <c r="P257" s="272"/>
      <c r="Q257" s="272"/>
      <c r="R257" s="272"/>
      <c r="S257" s="272"/>
      <c r="T257" s="272"/>
      <c r="U257" s="272"/>
      <c r="V257" s="272"/>
      <c r="W257" s="272"/>
      <c r="X257" s="272"/>
      <c r="Y257" s="272"/>
      <c r="Z257" s="272"/>
      <c r="AA257" s="271"/>
      <c r="AB257" s="271"/>
      <c r="AC257" s="271"/>
      <c r="AD257" s="271"/>
      <c r="AE257" s="271"/>
      <c r="AF257" s="271"/>
      <c r="AG257" s="272"/>
    </row>
    <row r="258" spans="1:33">
      <c r="A258" s="273"/>
      <c r="B258" s="273"/>
      <c r="C258" s="271"/>
      <c r="D258" s="271"/>
      <c r="E258" s="271"/>
      <c r="F258" s="272"/>
      <c r="G258" s="272"/>
      <c r="H258" s="272"/>
      <c r="I258" s="272"/>
      <c r="J258" s="272"/>
      <c r="K258" s="272"/>
      <c r="L258" s="272"/>
      <c r="M258" s="272"/>
      <c r="N258" s="272"/>
      <c r="O258" s="272"/>
      <c r="P258" s="272"/>
      <c r="Q258" s="272"/>
      <c r="R258" s="272"/>
      <c r="S258" s="272"/>
      <c r="T258" s="272"/>
      <c r="U258" s="272"/>
      <c r="V258" s="272"/>
      <c r="W258" s="272"/>
      <c r="X258" s="272"/>
      <c r="Y258" s="272"/>
      <c r="Z258" s="272"/>
      <c r="AA258" s="271"/>
      <c r="AB258" s="271"/>
      <c r="AC258" s="271"/>
      <c r="AD258" s="271"/>
      <c r="AE258" s="271"/>
      <c r="AF258" s="271"/>
      <c r="AG258" s="272"/>
    </row>
    <row r="259" spans="1:33">
      <c r="A259" s="273"/>
      <c r="B259" s="273"/>
      <c r="C259" s="271"/>
      <c r="D259" s="271"/>
      <c r="E259" s="271"/>
      <c r="F259" s="272"/>
      <c r="G259" s="272"/>
      <c r="H259" s="272"/>
      <c r="I259" s="272"/>
      <c r="J259" s="272"/>
      <c r="K259" s="272"/>
      <c r="L259" s="272"/>
      <c r="M259" s="272"/>
      <c r="N259" s="272"/>
      <c r="O259" s="272"/>
      <c r="P259" s="272"/>
      <c r="Q259" s="272"/>
      <c r="R259" s="272"/>
      <c r="S259" s="272"/>
      <c r="T259" s="272"/>
      <c r="U259" s="272"/>
      <c r="V259" s="272"/>
      <c r="W259" s="272"/>
      <c r="X259" s="272"/>
      <c r="Y259" s="272"/>
      <c r="Z259" s="272"/>
      <c r="AA259" s="271"/>
      <c r="AB259" s="271"/>
      <c r="AC259" s="271"/>
      <c r="AD259" s="271"/>
      <c r="AE259" s="271"/>
      <c r="AF259" s="271"/>
      <c r="AG259" s="272"/>
    </row>
    <row r="260" spans="1:33">
      <c r="A260" s="273"/>
      <c r="B260" s="273"/>
      <c r="C260" s="271"/>
      <c r="D260" s="271"/>
      <c r="E260" s="271"/>
      <c r="F260" s="272"/>
      <c r="G260" s="272"/>
      <c r="H260" s="272"/>
      <c r="I260" s="272"/>
      <c r="J260" s="272"/>
      <c r="K260" s="272"/>
      <c r="L260" s="272"/>
      <c r="M260" s="272"/>
      <c r="N260" s="272"/>
      <c r="O260" s="272"/>
      <c r="P260" s="272"/>
      <c r="Q260" s="272"/>
      <c r="R260" s="272"/>
      <c r="S260" s="272"/>
      <c r="T260" s="272"/>
      <c r="U260" s="272"/>
      <c r="V260" s="272"/>
      <c r="W260" s="272"/>
      <c r="X260" s="272"/>
      <c r="Y260" s="272"/>
      <c r="Z260" s="272"/>
      <c r="AA260" s="271"/>
      <c r="AB260" s="271"/>
      <c r="AC260" s="271"/>
      <c r="AD260" s="271"/>
      <c r="AE260" s="271"/>
      <c r="AF260" s="271"/>
      <c r="AG260" s="272"/>
    </row>
    <row r="261" spans="1:33">
      <c r="A261" s="273"/>
      <c r="B261" s="273"/>
      <c r="C261" s="271"/>
      <c r="D261" s="271"/>
      <c r="E261" s="271"/>
      <c r="F261" s="272"/>
      <c r="G261" s="272"/>
      <c r="H261" s="272"/>
      <c r="I261" s="272"/>
      <c r="J261" s="272"/>
      <c r="K261" s="272"/>
      <c r="L261" s="272"/>
      <c r="M261" s="272"/>
      <c r="N261" s="272"/>
      <c r="O261" s="272"/>
      <c r="P261" s="272"/>
      <c r="Q261" s="272"/>
      <c r="R261" s="272"/>
      <c r="S261" s="272"/>
      <c r="T261" s="272"/>
      <c r="U261" s="272"/>
      <c r="V261" s="272"/>
      <c r="W261" s="272"/>
      <c r="X261" s="272"/>
      <c r="Y261" s="272"/>
      <c r="Z261" s="272"/>
      <c r="AA261" s="271"/>
      <c r="AB261" s="271"/>
      <c r="AC261" s="271"/>
      <c r="AD261" s="271"/>
      <c r="AE261" s="271"/>
      <c r="AF261" s="271"/>
      <c r="AG261" s="272"/>
    </row>
    <row r="262" spans="1:33">
      <c r="A262" s="273"/>
      <c r="B262" s="273"/>
      <c r="C262" s="271"/>
      <c r="D262" s="271"/>
      <c r="E262" s="271"/>
      <c r="F262" s="272"/>
      <c r="G262" s="272"/>
      <c r="H262" s="272"/>
      <c r="I262" s="272"/>
      <c r="J262" s="272"/>
      <c r="K262" s="272"/>
      <c r="L262" s="272"/>
      <c r="M262" s="272"/>
      <c r="N262" s="272"/>
      <c r="O262" s="272"/>
      <c r="P262" s="272"/>
      <c r="Q262" s="272"/>
      <c r="R262" s="272"/>
      <c r="S262" s="272"/>
      <c r="T262" s="272"/>
      <c r="U262" s="272"/>
      <c r="V262" s="272"/>
      <c r="W262" s="272"/>
      <c r="X262" s="272"/>
      <c r="Y262" s="272"/>
      <c r="Z262" s="272"/>
      <c r="AA262" s="271"/>
      <c r="AB262" s="271"/>
      <c r="AC262" s="271"/>
      <c r="AD262" s="271"/>
      <c r="AE262" s="271"/>
      <c r="AF262" s="271"/>
      <c r="AG262" s="272"/>
    </row>
    <row r="263" spans="1:33">
      <c r="A263" s="273"/>
      <c r="B263" s="273"/>
      <c r="C263" s="271"/>
      <c r="D263" s="271"/>
      <c r="E263" s="271"/>
      <c r="F263" s="272"/>
      <c r="G263" s="272"/>
      <c r="H263" s="272"/>
      <c r="I263" s="272"/>
      <c r="J263" s="272"/>
      <c r="K263" s="272"/>
      <c r="L263" s="272"/>
      <c r="M263" s="272"/>
      <c r="N263" s="272"/>
      <c r="O263" s="272"/>
      <c r="P263" s="272"/>
      <c r="Q263" s="272"/>
      <c r="R263" s="272"/>
      <c r="S263" s="272"/>
      <c r="T263" s="272"/>
      <c r="U263" s="272"/>
      <c r="V263" s="272"/>
      <c r="W263" s="272"/>
      <c r="X263" s="272"/>
      <c r="Y263" s="272"/>
      <c r="Z263" s="272"/>
      <c r="AA263" s="271"/>
      <c r="AB263" s="271"/>
      <c r="AC263" s="271"/>
      <c r="AD263" s="271"/>
      <c r="AE263" s="271"/>
      <c r="AF263" s="271"/>
      <c r="AG263" s="272"/>
    </row>
    <row r="264" spans="1:33">
      <c r="A264" s="273"/>
      <c r="B264" s="273"/>
      <c r="C264" s="271"/>
      <c r="D264" s="271"/>
      <c r="E264" s="271"/>
      <c r="F264" s="272"/>
      <c r="G264" s="272"/>
      <c r="H264" s="272"/>
      <c r="I264" s="272"/>
      <c r="J264" s="272"/>
      <c r="K264" s="272"/>
      <c r="L264" s="272"/>
      <c r="M264" s="272"/>
      <c r="N264" s="272"/>
      <c r="O264" s="272"/>
      <c r="P264" s="272"/>
      <c r="Q264" s="272"/>
      <c r="R264" s="272"/>
      <c r="S264" s="272"/>
      <c r="T264" s="272"/>
      <c r="U264" s="272"/>
      <c r="V264" s="272"/>
      <c r="W264" s="272"/>
      <c r="X264" s="272"/>
      <c r="Y264" s="272"/>
      <c r="Z264" s="272"/>
      <c r="AA264" s="271"/>
      <c r="AB264" s="271"/>
      <c r="AC264" s="271"/>
      <c r="AD264" s="271"/>
      <c r="AE264" s="271"/>
      <c r="AF264" s="271"/>
      <c r="AG264" s="272"/>
    </row>
    <row r="265" spans="1:33">
      <c r="A265" s="273"/>
      <c r="B265" s="273"/>
      <c r="C265" s="271"/>
      <c r="D265" s="271"/>
      <c r="E265" s="271"/>
      <c r="F265" s="272"/>
      <c r="G265" s="272"/>
      <c r="H265" s="272"/>
      <c r="I265" s="272"/>
      <c r="J265" s="272"/>
      <c r="K265" s="272"/>
      <c r="L265" s="272"/>
      <c r="M265" s="272"/>
      <c r="N265" s="272"/>
      <c r="O265" s="272"/>
      <c r="P265" s="272"/>
      <c r="Q265" s="272"/>
      <c r="R265" s="272"/>
      <c r="S265" s="272"/>
      <c r="T265" s="272"/>
      <c r="U265" s="272"/>
      <c r="V265" s="272"/>
      <c r="W265" s="272"/>
      <c r="X265" s="272"/>
      <c r="Y265" s="272"/>
      <c r="Z265" s="272"/>
      <c r="AA265" s="271"/>
      <c r="AB265" s="271"/>
      <c r="AC265" s="271"/>
      <c r="AD265" s="271"/>
      <c r="AE265" s="271"/>
      <c r="AF265" s="271"/>
      <c r="AG265" s="272"/>
    </row>
    <row r="266" spans="1:33">
      <c r="A266" s="273"/>
      <c r="B266" s="273"/>
      <c r="C266" s="271"/>
      <c r="D266" s="271"/>
      <c r="E266" s="271"/>
      <c r="F266" s="272"/>
      <c r="G266" s="272"/>
      <c r="H266" s="272"/>
      <c r="I266" s="272"/>
      <c r="J266" s="272"/>
      <c r="K266" s="272"/>
      <c r="L266" s="272"/>
      <c r="M266" s="272"/>
      <c r="N266" s="272"/>
      <c r="O266" s="272"/>
      <c r="P266" s="272"/>
      <c r="Q266" s="272"/>
      <c r="R266" s="272"/>
      <c r="S266" s="272"/>
      <c r="T266" s="272"/>
      <c r="U266" s="272"/>
      <c r="V266" s="272"/>
      <c r="W266" s="272"/>
      <c r="X266" s="272"/>
      <c r="Y266" s="272"/>
      <c r="Z266" s="272"/>
      <c r="AA266" s="271"/>
      <c r="AB266" s="271"/>
      <c r="AC266" s="271"/>
      <c r="AD266" s="271"/>
      <c r="AE266" s="271"/>
      <c r="AF266" s="271"/>
      <c r="AG266" s="272"/>
    </row>
    <row r="267" spans="1:33">
      <c r="A267" s="273"/>
      <c r="B267" s="273"/>
      <c r="C267" s="271"/>
      <c r="D267" s="271"/>
      <c r="E267" s="271"/>
      <c r="F267" s="272"/>
      <c r="G267" s="272"/>
      <c r="H267" s="272"/>
      <c r="I267" s="272"/>
      <c r="J267" s="272"/>
      <c r="K267" s="272"/>
      <c r="L267" s="272"/>
      <c r="M267" s="272"/>
      <c r="N267" s="272"/>
      <c r="O267" s="272"/>
      <c r="P267" s="272"/>
      <c r="Q267" s="272"/>
      <c r="R267" s="272"/>
      <c r="S267" s="272"/>
      <c r="T267" s="272"/>
      <c r="U267" s="272"/>
      <c r="V267" s="272"/>
      <c r="W267" s="272"/>
      <c r="X267" s="272"/>
      <c r="Y267" s="272"/>
      <c r="Z267" s="272"/>
      <c r="AA267" s="271"/>
      <c r="AB267" s="271"/>
      <c r="AC267" s="271"/>
      <c r="AD267" s="271"/>
      <c r="AE267" s="271"/>
      <c r="AF267" s="271"/>
      <c r="AG267" s="272"/>
    </row>
    <row r="268" spans="1:33">
      <c r="A268" s="273"/>
      <c r="B268" s="273"/>
      <c r="C268" s="271"/>
      <c r="D268" s="271"/>
      <c r="E268" s="271"/>
      <c r="F268" s="272"/>
      <c r="G268" s="272"/>
      <c r="H268" s="272"/>
      <c r="I268" s="272"/>
      <c r="J268" s="272"/>
      <c r="K268" s="272"/>
      <c r="L268" s="272"/>
      <c r="M268" s="272"/>
      <c r="N268" s="272"/>
      <c r="O268" s="272"/>
      <c r="P268" s="272"/>
      <c r="Q268" s="272"/>
      <c r="R268" s="272"/>
      <c r="S268" s="272"/>
      <c r="T268" s="272"/>
      <c r="U268" s="272"/>
      <c r="V268" s="272"/>
      <c r="W268" s="272"/>
      <c r="X268" s="272"/>
      <c r="Y268" s="272"/>
      <c r="Z268" s="272"/>
      <c r="AA268" s="271"/>
      <c r="AB268" s="271"/>
      <c r="AC268" s="271"/>
      <c r="AD268" s="271"/>
      <c r="AE268" s="271"/>
      <c r="AF268" s="271"/>
      <c r="AG268" s="272"/>
    </row>
    <row r="269" spans="1:33">
      <c r="A269" s="273"/>
      <c r="B269" s="273"/>
      <c r="C269" s="271"/>
      <c r="D269" s="271"/>
      <c r="E269" s="271"/>
      <c r="F269" s="272"/>
      <c r="G269" s="272"/>
      <c r="H269" s="272"/>
      <c r="I269" s="272"/>
      <c r="J269" s="272"/>
      <c r="K269" s="272"/>
      <c r="L269" s="272"/>
      <c r="M269" s="272"/>
      <c r="N269" s="272"/>
      <c r="O269" s="272"/>
      <c r="P269" s="272"/>
      <c r="Q269" s="272"/>
      <c r="R269" s="272"/>
      <c r="S269" s="272"/>
      <c r="T269" s="272"/>
      <c r="U269" s="272"/>
      <c r="V269" s="272"/>
      <c r="W269" s="272"/>
      <c r="X269" s="272"/>
      <c r="Y269" s="272"/>
      <c r="Z269" s="272"/>
      <c r="AA269" s="271"/>
      <c r="AB269" s="271"/>
      <c r="AC269" s="271"/>
      <c r="AD269" s="271"/>
      <c r="AE269" s="271"/>
      <c r="AF269" s="271"/>
      <c r="AG269" s="272"/>
    </row>
    <row r="270" spans="1:33">
      <c r="A270" s="273"/>
      <c r="B270" s="273"/>
      <c r="C270" s="271"/>
      <c r="D270" s="271"/>
      <c r="E270" s="271"/>
      <c r="F270" s="272"/>
      <c r="G270" s="272"/>
      <c r="H270" s="272"/>
      <c r="I270" s="272"/>
      <c r="J270" s="272"/>
      <c r="K270" s="272"/>
      <c r="L270" s="272"/>
      <c r="M270" s="272"/>
      <c r="N270" s="272"/>
      <c r="O270" s="272"/>
      <c r="P270" s="272"/>
      <c r="Q270" s="272"/>
      <c r="R270" s="272"/>
      <c r="S270" s="272"/>
      <c r="T270" s="272"/>
      <c r="U270" s="272"/>
      <c r="V270" s="272"/>
      <c r="W270" s="272"/>
      <c r="X270" s="272"/>
      <c r="Y270" s="272"/>
      <c r="Z270" s="272"/>
      <c r="AA270" s="271"/>
      <c r="AB270" s="271"/>
      <c r="AC270" s="271"/>
      <c r="AD270" s="271"/>
      <c r="AE270" s="271"/>
      <c r="AF270" s="271"/>
      <c r="AG270" s="272"/>
    </row>
    <row r="271" spans="1:33">
      <c r="A271" s="273"/>
      <c r="B271" s="273"/>
      <c r="C271" s="271"/>
      <c r="D271" s="271"/>
      <c r="E271" s="271"/>
      <c r="F271" s="272"/>
      <c r="G271" s="272"/>
      <c r="H271" s="272"/>
      <c r="I271" s="272"/>
      <c r="J271" s="272"/>
      <c r="K271" s="272"/>
      <c r="L271" s="272"/>
      <c r="M271" s="272"/>
      <c r="N271" s="272"/>
      <c r="O271" s="272"/>
      <c r="P271" s="272"/>
      <c r="Q271" s="272"/>
      <c r="R271" s="272"/>
      <c r="S271" s="272"/>
      <c r="T271" s="272"/>
      <c r="U271" s="272"/>
      <c r="V271" s="272"/>
      <c r="W271" s="272"/>
      <c r="X271" s="272"/>
      <c r="Y271" s="272"/>
      <c r="Z271" s="272"/>
      <c r="AA271" s="271"/>
      <c r="AB271" s="271"/>
      <c r="AC271" s="271"/>
      <c r="AD271" s="271"/>
      <c r="AE271" s="271"/>
      <c r="AF271" s="271"/>
      <c r="AG271" s="272"/>
    </row>
    <row r="272" spans="1:33">
      <c r="A272" s="273"/>
      <c r="B272" s="273"/>
      <c r="C272" s="271"/>
      <c r="D272" s="271"/>
      <c r="E272" s="271"/>
      <c r="F272" s="272"/>
      <c r="G272" s="272"/>
      <c r="H272" s="272"/>
      <c r="I272" s="272"/>
      <c r="J272" s="272"/>
      <c r="K272" s="272"/>
      <c r="L272" s="272"/>
      <c r="M272" s="272"/>
      <c r="N272" s="272"/>
      <c r="O272" s="272"/>
      <c r="P272" s="272"/>
      <c r="Q272" s="272"/>
      <c r="R272" s="272"/>
      <c r="S272" s="272"/>
      <c r="T272" s="272"/>
      <c r="U272" s="272"/>
      <c r="V272" s="272"/>
      <c r="W272" s="272"/>
      <c r="X272" s="272"/>
      <c r="Y272" s="272"/>
      <c r="Z272" s="272"/>
      <c r="AA272" s="271"/>
      <c r="AB272" s="271"/>
      <c r="AC272" s="271"/>
      <c r="AD272" s="271"/>
      <c r="AE272" s="271"/>
      <c r="AF272" s="271"/>
      <c r="AG272" s="272"/>
    </row>
    <row r="273" spans="1:33">
      <c r="A273" s="273"/>
      <c r="B273" s="273"/>
      <c r="C273" s="271"/>
      <c r="D273" s="271"/>
      <c r="E273" s="271"/>
      <c r="F273" s="272"/>
      <c r="G273" s="272"/>
      <c r="H273" s="272"/>
      <c r="I273" s="272"/>
      <c r="J273" s="272"/>
      <c r="K273" s="272"/>
      <c r="L273" s="272"/>
      <c r="M273" s="272"/>
      <c r="N273" s="272"/>
      <c r="O273" s="272"/>
      <c r="P273" s="272"/>
      <c r="Q273" s="272"/>
      <c r="R273" s="272"/>
      <c r="S273" s="272"/>
      <c r="T273" s="272"/>
      <c r="U273" s="272"/>
      <c r="V273" s="272"/>
      <c r="W273" s="272"/>
      <c r="X273" s="272"/>
      <c r="Y273" s="272"/>
      <c r="Z273" s="272"/>
      <c r="AA273" s="271"/>
      <c r="AB273" s="271"/>
      <c r="AC273" s="271"/>
      <c r="AD273" s="271"/>
      <c r="AE273" s="271"/>
      <c r="AF273" s="271"/>
      <c r="AG273" s="272"/>
    </row>
    <row r="274" spans="1:33">
      <c r="A274" s="273"/>
      <c r="B274" s="273"/>
      <c r="C274" s="271"/>
      <c r="D274" s="271"/>
      <c r="E274" s="271"/>
      <c r="F274" s="272"/>
      <c r="G274" s="272"/>
      <c r="H274" s="272"/>
      <c r="I274" s="272"/>
      <c r="J274" s="272"/>
      <c r="K274" s="272"/>
      <c r="L274" s="272"/>
      <c r="M274" s="272"/>
      <c r="N274" s="272"/>
      <c r="O274" s="272"/>
      <c r="P274" s="272"/>
      <c r="Q274" s="272"/>
      <c r="R274" s="272"/>
      <c r="S274" s="272"/>
      <c r="T274" s="272"/>
      <c r="U274" s="272"/>
      <c r="V274" s="272"/>
      <c r="W274" s="272"/>
      <c r="X274" s="272"/>
      <c r="Y274" s="272"/>
      <c r="Z274" s="272"/>
      <c r="AA274" s="271"/>
      <c r="AB274" s="271"/>
      <c r="AC274" s="271"/>
      <c r="AD274" s="271"/>
      <c r="AE274" s="271"/>
      <c r="AF274" s="271"/>
      <c r="AG274" s="272"/>
    </row>
    <row r="275" spans="1:33">
      <c r="A275" s="273"/>
      <c r="B275" s="273"/>
      <c r="C275" s="271"/>
      <c r="D275" s="271"/>
      <c r="E275" s="271"/>
      <c r="F275" s="272"/>
      <c r="G275" s="272"/>
      <c r="H275" s="272"/>
      <c r="I275" s="272"/>
      <c r="J275" s="272"/>
      <c r="K275" s="272"/>
      <c r="L275" s="272"/>
      <c r="M275" s="272"/>
      <c r="N275" s="272"/>
      <c r="O275" s="272"/>
      <c r="P275" s="272"/>
      <c r="Q275" s="272"/>
      <c r="R275" s="272"/>
      <c r="S275" s="272"/>
      <c r="T275" s="272"/>
      <c r="U275" s="272"/>
      <c r="V275" s="272"/>
      <c r="W275" s="272"/>
      <c r="X275" s="272"/>
      <c r="Y275" s="272"/>
      <c r="Z275" s="272"/>
      <c r="AA275" s="271"/>
      <c r="AB275" s="271"/>
      <c r="AC275" s="271"/>
      <c r="AD275" s="271"/>
      <c r="AE275" s="271"/>
      <c r="AF275" s="271"/>
      <c r="AG275" s="272"/>
    </row>
    <row r="276" spans="1:33">
      <c r="A276" s="273"/>
      <c r="B276" s="273"/>
      <c r="C276" s="271"/>
      <c r="D276" s="271"/>
      <c r="E276" s="271"/>
      <c r="F276" s="272"/>
      <c r="G276" s="272"/>
      <c r="H276" s="272"/>
      <c r="I276" s="272"/>
      <c r="J276" s="272"/>
      <c r="K276" s="272"/>
      <c r="L276" s="272"/>
      <c r="M276" s="272"/>
      <c r="N276" s="272"/>
      <c r="O276" s="272"/>
      <c r="P276" s="272"/>
      <c r="Q276" s="272"/>
      <c r="R276" s="272"/>
      <c r="S276" s="272"/>
      <c r="T276" s="272"/>
      <c r="U276" s="272"/>
      <c r="V276" s="272"/>
      <c r="W276" s="272"/>
      <c r="X276" s="272"/>
      <c r="Y276" s="272"/>
      <c r="Z276" s="272"/>
      <c r="AA276" s="271"/>
      <c r="AB276" s="271"/>
      <c r="AC276" s="271"/>
      <c r="AD276" s="271"/>
      <c r="AE276" s="271"/>
      <c r="AF276" s="271"/>
      <c r="AG276" s="272"/>
    </row>
    <row r="277" spans="1:33">
      <c r="A277" s="273"/>
      <c r="B277" s="273"/>
      <c r="C277" s="271"/>
      <c r="D277" s="271"/>
      <c r="E277" s="271"/>
      <c r="F277" s="272"/>
      <c r="G277" s="272"/>
      <c r="H277" s="272"/>
      <c r="I277" s="272"/>
      <c r="J277" s="272"/>
      <c r="K277" s="272"/>
      <c r="L277" s="272"/>
      <c r="M277" s="272"/>
      <c r="N277" s="272"/>
      <c r="O277" s="272"/>
      <c r="P277" s="272"/>
      <c r="Q277" s="272"/>
      <c r="R277" s="272"/>
      <c r="S277" s="272"/>
      <c r="T277" s="272"/>
      <c r="U277" s="272"/>
      <c r="V277" s="272"/>
      <c r="W277" s="272"/>
      <c r="X277" s="272"/>
      <c r="Y277" s="272"/>
      <c r="Z277" s="272"/>
      <c r="AA277" s="271"/>
      <c r="AB277" s="271"/>
      <c r="AC277" s="271"/>
      <c r="AD277" s="271"/>
      <c r="AE277" s="271"/>
      <c r="AF277" s="271"/>
      <c r="AG277" s="272"/>
    </row>
    <row r="278" spans="1:33">
      <c r="A278" s="273"/>
      <c r="B278" s="273"/>
      <c r="C278" s="271"/>
      <c r="D278" s="271"/>
      <c r="E278" s="271"/>
      <c r="F278" s="272"/>
      <c r="G278" s="272"/>
      <c r="H278" s="272"/>
      <c r="I278" s="272"/>
      <c r="J278" s="272"/>
      <c r="K278" s="272"/>
      <c r="L278" s="272"/>
      <c r="M278" s="272"/>
      <c r="N278" s="272"/>
      <c r="O278" s="272"/>
      <c r="P278" s="272"/>
      <c r="Q278" s="272"/>
      <c r="R278" s="272"/>
      <c r="S278" s="272"/>
      <c r="T278" s="272"/>
      <c r="U278" s="272"/>
      <c r="V278" s="272"/>
      <c r="W278" s="272"/>
      <c r="X278" s="272"/>
      <c r="Y278" s="272"/>
      <c r="Z278" s="272"/>
      <c r="AA278" s="271"/>
      <c r="AB278" s="271"/>
      <c r="AC278" s="271"/>
      <c r="AD278" s="271"/>
      <c r="AE278" s="271"/>
      <c r="AF278" s="271"/>
      <c r="AG278" s="272"/>
    </row>
    <row r="279" spans="1:33">
      <c r="A279" s="273"/>
      <c r="B279" s="273"/>
      <c r="C279" s="271"/>
      <c r="D279" s="271"/>
      <c r="E279" s="271"/>
      <c r="F279" s="272"/>
      <c r="G279" s="272"/>
      <c r="H279" s="272"/>
      <c r="I279" s="272"/>
      <c r="J279" s="272"/>
      <c r="K279" s="272"/>
      <c r="L279" s="272"/>
      <c r="M279" s="272"/>
      <c r="N279" s="272"/>
      <c r="O279" s="272"/>
      <c r="P279" s="272"/>
      <c r="Q279" s="272"/>
      <c r="R279" s="272"/>
      <c r="S279" s="272"/>
      <c r="T279" s="272"/>
      <c r="U279" s="272"/>
      <c r="V279" s="272"/>
      <c r="W279" s="272"/>
      <c r="X279" s="272"/>
      <c r="Y279" s="272"/>
      <c r="Z279" s="272"/>
      <c r="AA279" s="271"/>
      <c r="AB279" s="271"/>
      <c r="AC279" s="271"/>
      <c r="AD279" s="271"/>
      <c r="AE279" s="271"/>
      <c r="AF279" s="271"/>
      <c r="AG279" s="272"/>
    </row>
    <row r="280" spans="1:33">
      <c r="A280" s="273"/>
      <c r="B280" s="273"/>
      <c r="C280" s="271"/>
      <c r="D280" s="271"/>
      <c r="E280" s="271"/>
      <c r="F280" s="272"/>
      <c r="G280" s="272"/>
      <c r="H280" s="272"/>
      <c r="I280" s="272"/>
      <c r="J280" s="272"/>
      <c r="K280" s="272"/>
      <c r="L280" s="272"/>
      <c r="M280" s="272"/>
      <c r="N280" s="272"/>
      <c r="O280" s="272"/>
      <c r="P280" s="272"/>
      <c r="Q280" s="272"/>
      <c r="R280" s="272"/>
      <c r="S280" s="272"/>
      <c r="T280" s="272"/>
      <c r="U280" s="272"/>
      <c r="V280" s="272"/>
      <c r="W280" s="272"/>
      <c r="X280" s="272"/>
      <c r="Y280" s="272"/>
      <c r="Z280" s="272"/>
      <c r="AA280" s="271"/>
      <c r="AB280" s="271"/>
      <c r="AC280" s="271"/>
      <c r="AD280" s="271"/>
      <c r="AE280" s="271"/>
      <c r="AF280" s="271"/>
      <c r="AG280" s="272"/>
    </row>
    <row r="281" spans="1:33">
      <c r="A281" s="273"/>
      <c r="B281" s="273"/>
      <c r="C281" s="271"/>
      <c r="D281" s="271"/>
      <c r="E281" s="271"/>
      <c r="F281" s="272"/>
      <c r="G281" s="272"/>
      <c r="H281" s="272"/>
      <c r="I281" s="272"/>
      <c r="J281" s="272"/>
      <c r="K281" s="272"/>
      <c r="L281" s="272"/>
      <c r="M281" s="272"/>
      <c r="N281" s="272"/>
      <c r="O281" s="272"/>
      <c r="P281" s="272"/>
      <c r="Q281" s="272"/>
      <c r="R281" s="272"/>
      <c r="S281" s="272"/>
      <c r="T281" s="272"/>
      <c r="U281" s="272"/>
      <c r="V281" s="272"/>
      <c r="W281" s="272"/>
      <c r="X281" s="272"/>
      <c r="Y281" s="272"/>
      <c r="Z281" s="272"/>
      <c r="AA281" s="271"/>
      <c r="AB281" s="271"/>
      <c r="AC281" s="271"/>
      <c r="AD281" s="271"/>
      <c r="AE281" s="271"/>
      <c r="AF281" s="271"/>
      <c r="AG281" s="272"/>
    </row>
    <row r="282" spans="1:33">
      <c r="A282" s="273"/>
      <c r="B282" s="273"/>
      <c r="C282" s="271"/>
      <c r="D282" s="271"/>
      <c r="E282" s="271"/>
      <c r="F282" s="272"/>
      <c r="G282" s="272"/>
      <c r="H282" s="272"/>
      <c r="I282" s="272"/>
      <c r="J282" s="272"/>
      <c r="K282" s="272"/>
      <c r="L282" s="272"/>
      <c r="M282" s="272"/>
      <c r="N282" s="272"/>
      <c r="O282" s="272"/>
      <c r="P282" s="272"/>
      <c r="Q282" s="272"/>
      <c r="R282" s="272"/>
      <c r="S282" s="272"/>
      <c r="T282" s="272"/>
      <c r="U282" s="272"/>
      <c r="V282" s="272"/>
      <c r="W282" s="272"/>
      <c r="X282" s="272"/>
      <c r="Y282" s="272"/>
      <c r="Z282" s="272"/>
      <c r="AA282" s="271"/>
      <c r="AB282" s="271"/>
      <c r="AC282" s="271"/>
      <c r="AD282" s="271"/>
      <c r="AE282" s="271"/>
      <c r="AF282" s="271"/>
      <c r="AG282" s="272"/>
    </row>
    <row r="283" spans="1:33">
      <c r="A283" s="273"/>
      <c r="B283" s="273"/>
      <c r="C283" s="271"/>
      <c r="D283" s="271"/>
      <c r="E283" s="271"/>
      <c r="F283" s="272"/>
      <c r="G283" s="272"/>
      <c r="H283" s="272"/>
      <c r="I283" s="272"/>
      <c r="J283" s="272"/>
      <c r="K283" s="272"/>
      <c r="L283" s="272"/>
      <c r="M283" s="272"/>
      <c r="N283" s="272"/>
      <c r="O283" s="272"/>
      <c r="P283" s="272"/>
      <c r="Q283" s="272"/>
      <c r="R283" s="272"/>
      <c r="S283" s="272"/>
      <c r="T283" s="272"/>
      <c r="U283" s="272"/>
      <c r="V283" s="272"/>
      <c r="W283" s="272"/>
      <c r="X283" s="272"/>
      <c r="Y283" s="272"/>
      <c r="Z283" s="272"/>
      <c r="AA283" s="271"/>
      <c r="AB283" s="271"/>
      <c r="AC283" s="271"/>
      <c r="AD283" s="271"/>
      <c r="AE283" s="271"/>
      <c r="AF283" s="271"/>
      <c r="AG283" s="272"/>
    </row>
    <row r="284" spans="1:33">
      <c r="A284" s="273"/>
      <c r="B284" s="273"/>
      <c r="C284" s="271"/>
      <c r="D284" s="271"/>
      <c r="E284" s="271"/>
      <c r="F284" s="272"/>
      <c r="G284" s="272"/>
      <c r="H284" s="272"/>
      <c r="I284" s="272"/>
      <c r="J284" s="272"/>
      <c r="K284" s="272"/>
      <c r="L284" s="272"/>
      <c r="M284" s="272"/>
      <c r="N284" s="272"/>
      <c r="O284" s="272"/>
      <c r="P284" s="272"/>
      <c r="Q284" s="272"/>
      <c r="R284" s="272"/>
      <c r="S284" s="272"/>
      <c r="T284" s="272"/>
      <c r="U284" s="272"/>
      <c r="V284" s="272"/>
      <c r="W284" s="272"/>
      <c r="X284" s="272"/>
      <c r="Y284" s="272"/>
      <c r="Z284" s="272"/>
      <c r="AA284" s="271"/>
      <c r="AB284" s="271"/>
      <c r="AC284" s="271"/>
      <c r="AD284" s="271"/>
      <c r="AE284" s="271"/>
      <c r="AF284" s="271"/>
      <c r="AG284" s="272"/>
    </row>
    <row r="285" spans="1:33">
      <c r="A285" s="273"/>
      <c r="B285" s="273"/>
      <c r="C285" s="271"/>
      <c r="D285" s="271"/>
      <c r="E285" s="271"/>
      <c r="F285" s="272"/>
      <c r="G285" s="272"/>
      <c r="H285" s="272"/>
      <c r="I285" s="272"/>
      <c r="J285" s="272"/>
      <c r="K285" s="272"/>
      <c r="L285" s="272"/>
      <c r="M285" s="272"/>
      <c r="N285" s="272"/>
      <c r="O285" s="272"/>
      <c r="P285" s="272"/>
      <c r="Q285" s="272"/>
      <c r="R285" s="272"/>
      <c r="S285" s="272"/>
      <c r="T285" s="272"/>
      <c r="U285" s="272"/>
      <c r="V285" s="272"/>
      <c r="W285" s="272"/>
      <c r="X285" s="272"/>
      <c r="Y285" s="272"/>
      <c r="Z285" s="272"/>
      <c r="AA285" s="271"/>
      <c r="AB285" s="271"/>
      <c r="AC285" s="271"/>
      <c r="AD285" s="271"/>
      <c r="AE285" s="271"/>
      <c r="AF285" s="271"/>
      <c r="AG285" s="272"/>
    </row>
    <row r="286" spans="1:33">
      <c r="A286" s="273"/>
      <c r="B286" s="273"/>
      <c r="C286" s="271"/>
      <c r="D286" s="271"/>
      <c r="E286" s="271"/>
      <c r="F286" s="272"/>
      <c r="G286" s="272"/>
      <c r="H286" s="272"/>
      <c r="I286" s="272"/>
      <c r="J286" s="272"/>
      <c r="K286" s="272"/>
      <c r="L286" s="272"/>
      <c r="M286" s="272"/>
      <c r="N286" s="272"/>
      <c r="O286" s="272"/>
      <c r="P286" s="272"/>
      <c r="Q286" s="272"/>
      <c r="R286" s="272"/>
      <c r="S286" s="272"/>
      <c r="T286" s="272"/>
      <c r="U286" s="272"/>
      <c r="V286" s="272"/>
      <c r="W286" s="272"/>
      <c r="X286" s="272"/>
      <c r="Y286" s="272"/>
      <c r="Z286" s="272"/>
      <c r="AA286" s="271"/>
      <c r="AB286" s="271"/>
      <c r="AC286" s="271"/>
      <c r="AD286" s="271"/>
      <c r="AE286" s="271"/>
      <c r="AF286" s="271"/>
      <c r="AG286" s="272"/>
    </row>
    <row r="287" spans="1:33">
      <c r="A287" s="273"/>
      <c r="B287" s="273"/>
      <c r="C287" s="271"/>
      <c r="D287" s="271"/>
      <c r="E287" s="271"/>
      <c r="F287" s="272"/>
      <c r="G287" s="272"/>
      <c r="H287" s="272"/>
      <c r="I287" s="272"/>
      <c r="J287" s="272"/>
      <c r="K287" s="272"/>
      <c r="L287" s="272"/>
      <c r="M287" s="272"/>
      <c r="N287" s="272"/>
      <c r="O287" s="272"/>
      <c r="P287" s="272"/>
      <c r="Q287" s="272"/>
      <c r="R287" s="272"/>
      <c r="S287" s="272"/>
      <c r="T287" s="272"/>
      <c r="U287" s="272"/>
      <c r="V287" s="272"/>
      <c r="W287" s="272"/>
      <c r="X287" s="272"/>
      <c r="Y287" s="272"/>
      <c r="Z287" s="272"/>
      <c r="AA287" s="271"/>
      <c r="AB287" s="271"/>
      <c r="AC287" s="271"/>
      <c r="AD287" s="271"/>
      <c r="AE287" s="271"/>
      <c r="AF287" s="271"/>
      <c r="AG287" s="272"/>
    </row>
    <row r="288" spans="1:33">
      <c r="A288" s="273"/>
      <c r="B288" s="273"/>
      <c r="C288" s="271"/>
      <c r="D288" s="271"/>
      <c r="E288" s="271"/>
      <c r="F288" s="272"/>
      <c r="G288" s="272"/>
      <c r="H288" s="272"/>
      <c r="I288" s="272"/>
      <c r="J288" s="272"/>
      <c r="K288" s="272"/>
      <c r="L288" s="272"/>
      <c r="M288" s="272"/>
      <c r="N288" s="272"/>
      <c r="O288" s="272"/>
      <c r="P288" s="272"/>
      <c r="Q288" s="272"/>
      <c r="R288" s="272"/>
      <c r="S288" s="272"/>
      <c r="T288" s="272"/>
      <c r="U288" s="272"/>
      <c r="V288" s="272"/>
      <c r="W288" s="272"/>
      <c r="X288" s="272"/>
      <c r="Y288" s="272"/>
      <c r="Z288" s="272"/>
      <c r="AA288" s="271"/>
      <c r="AB288" s="271"/>
      <c r="AC288" s="271"/>
      <c r="AD288" s="271"/>
      <c r="AE288" s="271"/>
      <c r="AF288" s="271"/>
      <c r="AG288" s="272"/>
    </row>
    <row r="289" spans="1:33">
      <c r="A289" s="273"/>
      <c r="B289" s="273"/>
      <c r="C289" s="271"/>
      <c r="D289" s="271"/>
      <c r="E289" s="271"/>
      <c r="F289" s="272"/>
      <c r="G289" s="272"/>
      <c r="H289" s="272"/>
      <c r="I289" s="272"/>
      <c r="J289" s="272"/>
      <c r="K289" s="272"/>
      <c r="L289" s="272"/>
      <c r="M289" s="272"/>
      <c r="N289" s="272"/>
      <c r="O289" s="272"/>
      <c r="P289" s="272"/>
      <c r="Q289" s="272"/>
      <c r="R289" s="272"/>
      <c r="S289" s="272"/>
      <c r="T289" s="272"/>
      <c r="U289" s="272"/>
      <c r="V289" s="272"/>
      <c r="W289" s="272"/>
      <c r="X289" s="272"/>
      <c r="Y289" s="272"/>
      <c r="Z289" s="272"/>
      <c r="AA289" s="271"/>
      <c r="AB289" s="271"/>
      <c r="AC289" s="271"/>
      <c r="AD289" s="271"/>
      <c r="AE289" s="271"/>
      <c r="AF289" s="271"/>
      <c r="AG289" s="272"/>
    </row>
    <row r="290" spans="1:33">
      <c r="A290" s="273"/>
      <c r="B290" s="273"/>
      <c r="C290" s="271"/>
      <c r="D290" s="271"/>
      <c r="E290" s="271"/>
      <c r="F290" s="272"/>
      <c r="G290" s="272"/>
      <c r="H290" s="272"/>
      <c r="I290" s="272"/>
      <c r="J290" s="272"/>
      <c r="K290" s="272"/>
      <c r="L290" s="272"/>
      <c r="M290" s="272"/>
      <c r="N290" s="272"/>
      <c r="O290" s="272"/>
      <c r="P290" s="272"/>
      <c r="Q290" s="272"/>
      <c r="R290" s="272"/>
      <c r="S290" s="272"/>
      <c r="T290" s="272"/>
      <c r="U290" s="272"/>
      <c r="V290" s="272"/>
      <c r="W290" s="272"/>
      <c r="X290" s="272"/>
      <c r="Y290" s="272"/>
      <c r="Z290" s="272"/>
      <c r="AA290" s="271"/>
      <c r="AB290" s="271"/>
      <c r="AC290" s="271"/>
      <c r="AD290" s="271"/>
      <c r="AE290" s="271"/>
      <c r="AF290" s="271"/>
      <c r="AG290" s="272"/>
    </row>
    <row r="291" spans="1:33">
      <c r="A291" s="273"/>
      <c r="B291" s="273"/>
      <c r="C291" s="271"/>
      <c r="D291" s="271"/>
      <c r="E291" s="271"/>
      <c r="F291" s="272"/>
      <c r="G291" s="272"/>
      <c r="H291" s="272"/>
      <c r="I291" s="272"/>
      <c r="J291" s="272"/>
      <c r="K291" s="272"/>
      <c r="L291" s="272"/>
      <c r="M291" s="272"/>
      <c r="N291" s="272"/>
      <c r="O291" s="272"/>
      <c r="P291" s="272"/>
      <c r="Q291" s="272"/>
      <c r="R291" s="272"/>
      <c r="S291" s="272"/>
      <c r="T291" s="272"/>
      <c r="U291" s="272"/>
      <c r="V291" s="272"/>
      <c r="W291" s="272"/>
      <c r="X291" s="272"/>
      <c r="Y291" s="272"/>
      <c r="Z291" s="272"/>
      <c r="AA291" s="271"/>
      <c r="AB291" s="271"/>
      <c r="AC291" s="271"/>
      <c r="AD291" s="271"/>
      <c r="AE291" s="271"/>
      <c r="AF291" s="271"/>
      <c r="AG291" s="272"/>
    </row>
    <row r="292" spans="1:33">
      <c r="A292" s="273"/>
      <c r="B292" s="273"/>
      <c r="C292" s="271"/>
      <c r="D292" s="271"/>
      <c r="E292" s="271"/>
      <c r="F292" s="272"/>
      <c r="G292" s="272"/>
      <c r="H292" s="272"/>
      <c r="I292" s="272"/>
      <c r="J292" s="272"/>
      <c r="K292" s="272"/>
      <c r="L292" s="272"/>
      <c r="M292" s="272"/>
      <c r="N292" s="272"/>
      <c r="O292" s="272"/>
      <c r="P292" s="272"/>
      <c r="Q292" s="272"/>
      <c r="R292" s="272"/>
      <c r="S292" s="272"/>
      <c r="T292" s="272"/>
      <c r="U292" s="272"/>
      <c r="V292" s="272"/>
      <c r="W292" s="272"/>
      <c r="X292" s="272"/>
      <c r="Y292" s="272"/>
      <c r="Z292" s="272"/>
      <c r="AA292" s="271"/>
      <c r="AB292" s="271"/>
      <c r="AC292" s="271"/>
      <c r="AD292" s="271"/>
      <c r="AE292" s="271"/>
      <c r="AF292" s="271"/>
      <c r="AG292" s="272"/>
    </row>
    <row r="293" spans="1:33">
      <c r="A293" s="273"/>
      <c r="B293" s="273"/>
      <c r="C293" s="271"/>
      <c r="D293" s="271"/>
      <c r="E293" s="271"/>
      <c r="F293" s="272"/>
      <c r="G293" s="272"/>
      <c r="H293" s="272"/>
      <c r="I293" s="272"/>
      <c r="J293" s="272"/>
      <c r="K293" s="272"/>
      <c r="L293" s="272"/>
      <c r="M293" s="272"/>
      <c r="N293" s="272"/>
      <c r="O293" s="272"/>
      <c r="P293" s="272"/>
      <c r="Q293" s="272"/>
      <c r="R293" s="272"/>
      <c r="S293" s="272"/>
      <c r="T293" s="272"/>
      <c r="U293" s="272"/>
      <c r="V293" s="272"/>
      <c r="W293" s="272"/>
      <c r="X293" s="272"/>
      <c r="Y293" s="272"/>
      <c r="Z293" s="272"/>
      <c r="AA293" s="271"/>
      <c r="AB293" s="271"/>
      <c r="AC293" s="271"/>
      <c r="AD293" s="271"/>
      <c r="AE293" s="271"/>
      <c r="AF293" s="271"/>
      <c r="AG293" s="272"/>
    </row>
    <row r="294" spans="1:33">
      <c r="A294" s="273"/>
      <c r="B294" s="273"/>
      <c r="C294" s="271"/>
      <c r="D294" s="271"/>
      <c r="E294" s="271"/>
      <c r="F294" s="272"/>
      <c r="G294" s="272"/>
      <c r="H294" s="272"/>
      <c r="I294" s="272"/>
      <c r="J294" s="272"/>
      <c r="K294" s="272"/>
      <c r="L294" s="272"/>
      <c r="M294" s="272"/>
      <c r="N294" s="272"/>
      <c r="O294" s="272"/>
      <c r="P294" s="272"/>
      <c r="Q294" s="272"/>
      <c r="R294" s="272"/>
      <c r="S294" s="272"/>
      <c r="T294" s="272"/>
      <c r="U294" s="272"/>
      <c r="V294" s="272"/>
      <c r="W294" s="272"/>
      <c r="X294" s="272"/>
      <c r="Y294" s="272"/>
      <c r="Z294" s="272"/>
      <c r="AA294" s="271"/>
      <c r="AB294" s="271"/>
      <c r="AC294" s="271"/>
      <c r="AD294" s="271"/>
      <c r="AE294" s="271"/>
      <c r="AF294" s="271"/>
      <c r="AG294" s="272"/>
    </row>
    <row r="295" spans="1:33">
      <c r="A295" s="273"/>
      <c r="B295" s="273"/>
      <c r="C295" s="271"/>
      <c r="D295" s="271"/>
      <c r="E295" s="271"/>
      <c r="F295" s="272"/>
      <c r="G295" s="272"/>
      <c r="H295" s="272"/>
      <c r="I295" s="272"/>
      <c r="J295" s="272"/>
      <c r="K295" s="272"/>
      <c r="L295" s="272"/>
      <c r="M295" s="272"/>
      <c r="N295" s="272"/>
      <c r="O295" s="272"/>
      <c r="P295" s="272"/>
      <c r="Q295" s="272"/>
      <c r="R295" s="272"/>
      <c r="S295" s="272"/>
      <c r="T295" s="272"/>
      <c r="U295" s="272"/>
      <c r="V295" s="272"/>
      <c r="W295" s="272"/>
      <c r="X295" s="272"/>
      <c r="Y295" s="272"/>
      <c r="Z295" s="272"/>
      <c r="AA295" s="271"/>
      <c r="AB295" s="271"/>
      <c r="AC295" s="271"/>
      <c r="AD295" s="271"/>
      <c r="AE295" s="271"/>
      <c r="AF295" s="271"/>
      <c r="AG295" s="272"/>
    </row>
    <row r="296" spans="1:33">
      <c r="A296" s="273"/>
      <c r="B296" s="273"/>
      <c r="C296" s="271"/>
      <c r="D296" s="271"/>
      <c r="E296" s="271"/>
      <c r="F296" s="272"/>
      <c r="G296" s="272"/>
      <c r="H296" s="272"/>
      <c r="I296" s="272"/>
      <c r="J296" s="272"/>
      <c r="K296" s="272"/>
      <c r="L296" s="272"/>
      <c r="M296" s="272"/>
      <c r="N296" s="272"/>
      <c r="O296" s="272"/>
      <c r="P296" s="272"/>
      <c r="Q296" s="272"/>
      <c r="R296" s="272"/>
      <c r="S296" s="272"/>
      <c r="T296" s="272"/>
      <c r="U296" s="272"/>
      <c r="V296" s="272"/>
      <c r="W296" s="272"/>
      <c r="X296" s="272"/>
      <c r="Y296" s="272"/>
      <c r="Z296" s="272"/>
      <c r="AA296" s="271"/>
      <c r="AB296" s="271"/>
      <c r="AC296" s="271"/>
      <c r="AD296" s="271"/>
      <c r="AE296" s="271"/>
      <c r="AF296" s="271"/>
      <c r="AG296" s="272"/>
    </row>
    <row r="297" spans="1:33">
      <c r="A297" s="273"/>
      <c r="B297" s="273"/>
      <c r="C297" s="271"/>
      <c r="D297" s="271"/>
      <c r="E297" s="271"/>
      <c r="F297" s="272"/>
      <c r="G297" s="272"/>
      <c r="H297" s="272"/>
      <c r="I297" s="272"/>
      <c r="J297" s="272"/>
      <c r="K297" s="272"/>
      <c r="L297" s="272"/>
      <c r="M297" s="272"/>
      <c r="N297" s="272"/>
      <c r="O297" s="272"/>
      <c r="P297" s="272"/>
      <c r="Q297" s="272"/>
      <c r="R297" s="272"/>
      <c r="S297" s="272"/>
      <c r="T297" s="272"/>
      <c r="U297" s="272"/>
      <c r="V297" s="272"/>
      <c r="W297" s="272"/>
      <c r="X297" s="272"/>
      <c r="Y297" s="272"/>
      <c r="Z297" s="272"/>
      <c r="AA297" s="271"/>
      <c r="AB297" s="271"/>
      <c r="AC297" s="271"/>
      <c r="AD297" s="271"/>
      <c r="AE297" s="271"/>
      <c r="AF297" s="271"/>
      <c r="AG297" s="272"/>
    </row>
    <row r="298" spans="1:33">
      <c r="A298" s="273"/>
      <c r="B298" s="273"/>
      <c r="C298" s="271"/>
      <c r="D298" s="271"/>
      <c r="E298" s="271"/>
      <c r="F298" s="272"/>
      <c r="G298" s="272"/>
      <c r="H298" s="272"/>
      <c r="I298" s="272"/>
      <c r="J298" s="272"/>
      <c r="K298" s="272"/>
      <c r="L298" s="272"/>
      <c r="M298" s="272"/>
      <c r="N298" s="272"/>
      <c r="O298" s="272"/>
      <c r="P298" s="272"/>
      <c r="Q298" s="272"/>
      <c r="R298" s="272"/>
      <c r="S298" s="272"/>
      <c r="T298" s="272"/>
      <c r="U298" s="272"/>
      <c r="V298" s="272"/>
      <c r="W298" s="272"/>
      <c r="X298" s="272"/>
      <c r="Y298" s="272"/>
      <c r="Z298" s="272"/>
      <c r="AA298" s="271"/>
      <c r="AB298" s="271"/>
      <c r="AC298" s="271"/>
      <c r="AD298" s="271"/>
      <c r="AE298" s="271"/>
      <c r="AF298" s="271"/>
      <c r="AG298" s="272"/>
    </row>
    <row r="299" spans="1:33">
      <c r="A299" s="273"/>
      <c r="B299" s="273"/>
      <c r="C299" s="271"/>
      <c r="D299" s="271"/>
      <c r="E299" s="271"/>
      <c r="F299" s="272"/>
      <c r="G299" s="272"/>
      <c r="H299" s="272"/>
      <c r="I299" s="272"/>
      <c r="J299" s="272"/>
      <c r="K299" s="272"/>
      <c r="L299" s="272"/>
      <c r="M299" s="272"/>
      <c r="N299" s="272"/>
      <c r="O299" s="272"/>
      <c r="P299" s="272"/>
      <c r="Q299" s="272"/>
      <c r="R299" s="272"/>
      <c r="S299" s="272"/>
      <c r="T299" s="272"/>
      <c r="U299" s="272"/>
      <c r="V299" s="272"/>
      <c r="W299" s="272"/>
      <c r="X299" s="272"/>
      <c r="Y299" s="272"/>
      <c r="Z299" s="272"/>
      <c r="AA299" s="271"/>
      <c r="AB299" s="271"/>
      <c r="AC299" s="271"/>
      <c r="AD299" s="271"/>
      <c r="AE299" s="271"/>
      <c r="AF299" s="271"/>
      <c r="AG299" s="272"/>
    </row>
    <row r="300" spans="1:33">
      <c r="A300" s="273"/>
      <c r="B300" s="273"/>
      <c r="C300" s="271"/>
      <c r="D300" s="271"/>
      <c r="E300" s="271"/>
      <c r="F300" s="272"/>
      <c r="G300" s="272"/>
      <c r="H300" s="272"/>
      <c r="I300" s="272"/>
      <c r="J300" s="272"/>
      <c r="K300" s="272"/>
      <c r="L300" s="272"/>
      <c r="M300" s="272"/>
      <c r="N300" s="272"/>
      <c r="O300" s="272"/>
      <c r="P300" s="272"/>
      <c r="Q300" s="272"/>
      <c r="R300" s="272"/>
      <c r="S300" s="272"/>
      <c r="T300" s="272"/>
      <c r="U300" s="272"/>
      <c r="V300" s="272"/>
      <c r="W300" s="272"/>
      <c r="X300" s="272"/>
      <c r="Y300" s="272"/>
      <c r="Z300" s="272"/>
      <c r="AA300" s="271"/>
      <c r="AB300" s="271"/>
      <c r="AC300" s="271"/>
      <c r="AD300" s="271"/>
      <c r="AE300" s="271"/>
      <c r="AF300" s="271"/>
      <c r="AG300" s="272"/>
    </row>
    <row r="301" spans="1:33">
      <c r="A301" s="273"/>
      <c r="B301" s="273"/>
      <c r="C301" s="271"/>
      <c r="D301" s="271"/>
      <c r="E301" s="271"/>
      <c r="F301" s="272"/>
      <c r="G301" s="272"/>
      <c r="H301" s="272"/>
      <c r="I301" s="272"/>
      <c r="J301" s="272"/>
      <c r="K301" s="272"/>
      <c r="L301" s="272"/>
      <c r="M301" s="272"/>
      <c r="N301" s="272"/>
      <c r="O301" s="272"/>
      <c r="P301" s="272"/>
      <c r="Q301" s="272"/>
      <c r="R301" s="272"/>
      <c r="S301" s="272"/>
      <c r="T301" s="272"/>
      <c r="U301" s="272"/>
      <c r="V301" s="272"/>
      <c r="W301" s="272"/>
      <c r="X301" s="272"/>
      <c r="Y301" s="272"/>
      <c r="Z301" s="272"/>
      <c r="AA301" s="271"/>
      <c r="AB301" s="271"/>
      <c r="AC301" s="271"/>
      <c r="AD301" s="271"/>
      <c r="AE301" s="271"/>
      <c r="AF301" s="271"/>
      <c r="AG301" s="272"/>
    </row>
    <row r="302" spans="1:33">
      <c r="A302" s="273"/>
      <c r="B302" s="273"/>
      <c r="C302" s="271"/>
      <c r="D302" s="271"/>
      <c r="E302" s="271"/>
      <c r="F302" s="272"/>
      <c r="G302" s="272"/>
      <c r="H302" s="272"/>
      <c r="I302" s="272"/>
      <c r="J302" s="272"/>
      <c r="K302" s="272"/>
      <c r="L302" s="272"/>
      <c r="M302" s="272"/>
      <c r="N302" s="272"/>
      <c r="O302" s="272"/>
      <c r="P302" s="272"/>
      <c r="Q302" s="272"/>
      <c r="R302" s="272"/>
      <c r="S302" s="272"/>
      <c r="T302" s="272"/>
      <c r="U302" s="272"/>
      <c r="V302" s="272"/>
      <c r="W302" s="272"/>
      <c r="X302" s="272"/>
      <c r="Y302" s="272"/>
      <c r="Z302" s="272"/>
      <c r="AA302" s="271"/>
      <c r="AB302" s="271"/>
      <c r="AC302" s="271"/>
      <c r="AD302" s="271"/>
      <c r="AE302" s="271"/>
      <c r="AF302" s="271"/>
      <c r="AG302" s="272"/>
    </row>
    <row r="303" spans="1:33">
      <c r="A303" s="273"/>
      <c r="B303" s="273"/>
      <c r="C303" s="271"/>
      <c r="D303" s="271"/>
      <c r="E303" s="271"/>
      <c r="F303" s="272"/>
      <c r="G303" s="272"/>
      <c r="H303" s="272"/>
      <c r="I303" s="272"/>
      <c r="J303" s="272"/>
      <c r="K303" s="272"/>
      <c r="L303" s="272"/>
      <c r="M303" s="272"/>
      <c r="N303" s="272"/>
      <c r="O303" s="272"/>
      <c r="P303" s="272"/>
      <c r="Q303" s="272"/>
      <c r="R303" s="272"/>
      <c r="S303" s="272"/>
      <c r="T303" s="272"/>
      <c r="U303" s="272"/>
      <c r="V303" s="272"/>
      <c r="W303" s="272"/>
      <c r="X303" s="272"/>
      <c r="Y303" s="272"/>
      <c r="Z303" s="272"/>
      <c r="AA303" s="271"/>
      <c r="AB303" s="271"/>
      <c r="AC303" s="271"/>
      <c r="AD303" s="271"/>
      <c r="AE303" s="271"/>
      <c r="AF303" s="271"/>
      <c r="AG303" s="272"/>
    </row>
    <row r="304" spans="1:33">
      <c r="A304" s="273"/>
      <c r="B304" s="273"/>
      <c r="C304" s="271"/>
      <c r="D304" s="271"/>
      <c r="E304" s="271"/>
      <c r="F304" s="272"/>
      <c r="G304" s="272"/>
      <c r="H304" s="272"/>
      <c r="I304" s="272"/>
      <c r="J304" s="272"/>
      <c r="K304" s="272"/>
      <c r="L304" s="272"/>
      <c r="M304" s="272"/>
      <c r="N304" s="272"/>
      <c r="O304" s="272"/>
      <c r="P304" s="272"/>
      <c r="Q304" s="272"/>
      <c r="R304" s="272"/>
      <c r="S304" s="272"/>
      <c r="T304" s="272"/>
      <c r="U304" s="272"/>
      <c r="V304" s="272"/>
      <c r="W304" s="272"/>
      <c r="X304" s="272"/>
      <c r="Y304" s="272"/>
      <c r="Z304" s="272"/>
      <c r="AA304" s="271"/>
      <c r="AB304" s="271"/>
      <c r="AC304" s="271"/>
      <c r="AD304" s="271"/>
      <c r="AE304" s="271"/>
      <c r="AF304" s="271"/>
      <c r="AG304" s="272"/>
    </row>
    <row r="305" spans="1:33">
      <c r="A305" s="273"/>
      <c r="B305" s="273"/>
      <c r="C305" s="271"/>
      <c r="D305" s="271"/>
      <c r="E305" s="271"/>
      <c r="F305" s="272"/>
      <c r="G305" s="272"/>
      <c r="H305" s="272"/>
      <c r="I305" s="272"/>
      <c r="J305" s="272"/>
      <c r="K305" s="272"/>
      <c r="L305" s="272"/>
      <c r="M305" s="272"/>
      <c r="N305" s="272"/>
      <c r="O305" s="272"/>
      <c r="P305" s="272"/>
      <c r="Q305" s="272"/>
      <c r="R305" s="272"/>
      <c r="S305" s="272"/>
      <c r="T305" s="272"/>
      <c r="U305" s="272"/>
      <c r="V305" s="272"/>
      <c r="W305" s="272"/>
      <c r="X305" s="272"/>
      <c r="Y305" s="272"/>
      <c r="Z305" s="272"/>
      <c r="AA305" s="271"/>
      <c r="AB305" s="271"/>
      <c r="AC305" s="271"/>
      <c r="AD305" s="271"/>
      <c r="AE305" s="271"/>
      <c r="AF305" s="271"/>
      <c r="AG305" s="272"/>
    </row>
    <row r="306" spans="1:33">
      <c r="A306" s="273"/>
      <c r="B306" s="273"/>
      <c r="C306" s="271"/>
      <c r="D306" s="271"/>
      <c r="E306" s="271"/>
      <c r="F306" s="272"/>
      <c r="G306" s="272"/>
      <c r="H306" s="272"/>
      <c r="I306" s="272"/>
      <c r="J306" s="272"/>
      <c r="K306" s="272"/>
      <c r="L306" s="272"/>
      <c r="M306" s="272"/>
      <c r="N306" s="272"/>
      <c r="O306" s="272"/>
      <c r="P306" s="272"/>
      <c r="Q306" s="272"/>
      <c r="R306" s="272"/>
      <c r="S306" s="272"/>
      <c r="T306" s="272"/>
      <c r="U306" s="272"/>
      <c r="V306" s="272"/>
      <c r="W306" s="272"/>
      <c r="X306" s="272"/>
      <c r="Y306" s="272"/>
      <c r="Z306" s="272"/>
      <c r="AA306" s="271"/>
      <c r="AB306" s="271"/>
      <c r="AC306" s="271"/>
      <c r="AD306" s="271"/>
      <c r="AE306" s="271"/>
      <c r="AF306" s="271"/>
      <c r="AG306" s="272"/>
    </row>
    <row r="307" spans="1:33">
      <c r="A307" s="273"/>
      <c r="B307" s="273"/>
      <c r="C307" s="271"/>
      <c r="D307" s="271"/>
      <c r="E307" s="271"/>
      <c r="F307" s="272"/>
      <c r="G307" s="272"/>
      <c r="H307" s="272"/>
      <c r="I307" s="272"/>
      <c r="J307" s="272"/>
      <c r="K307" s="272"/>
      <c r="L307" s="272"/>
      <c r="M307" s="272"/>
      <c r="N307" s="272"/>
      <c r="O307" s="272"/>
      <c r="P307" s="272"/>
      <c r="Q307" s="272"/>
      <c r="R307" s="272"/>
      <c r="S307" s="272"/>
      <c r="T307" s="272"/>
      <c r="U307" s="272"/>
      <c r="V307" s="272"/>
      <c r="W307" s="272"/>
      <c r="X307" s="272"/>
      <c r="Y307" s="272"/>
      <c r="Z307" s="272"/>
      <c r="AA307" s="271"/>
      <c r="AB307" s="271"/>
      <c r="AC307" s="271"/>
      <c r="AD307" s="271"/>
      <c r="AE307" s="271"/>
      <c r="AF307" s="271"/>
      <c r="AG307" s="272"/>
    </row>
    <row r="308" spans="1:33">
      <c r="A308" s="273"/>
      <c r="B308" s="273"/>
      <c r="C308" s="271"/>
      <c r="D308" s="271"/>
      <c r="E308" s="271"/>
      <c r="F308" s="272"/>
      <c r="G308" s="272"/>
      <c r="H308" s="272"/>
      <c r="I308" s="272"/>
      <c r="J308" s="272"/>
      <c r="K308" s="272"/>
      <c r="L308" s="272"/>
      <c r="M308" s="272"/>
      <c r="N308" s="272"/>
      <c r="O308" s="272"/>
      <c r="P308" s="272"/>
      <c r="Q308" s="272"/>
      <c r="R308" s="272"/>
      <c r="S308" s="272"/>
      <c r="T308" s="272"/>
      <c r="U308" s="272"/>
      <c r="V308" s="272"/>
      <c r="W308" s="272"/>
      <c r="X308" s="272"/>
      <c r="Y308" s="272"/>
      <c r="Z308" s="272"/>
      <c r="AA308" s="271"/>
      <c r="AB308" s="271"/>
      <c r="AC308" s="271"/>
      <c r="AD308" s="271"/>
      <c r="AE308" s="271"/>
      <c r="AF308" s="271"/>
      <c r="AG308" s="272"/>
    </row>
    <row r="309" spans="1:33">
      <c r="A309" s="273"/>
      <c r="B309" s="273"/>
      <c r="C309" s="271"/>
      <c r="D309" s="271"/>
      <c r="E309" s="271"/>
      <c r="F309" s="272"/>
      <c r="G309" s="272"/>
      <c r="H309" s="272"/>
      <c r="I309" s="272"/>
      <c r="J309" s="272"/>
      <c r="K309" s="272"/>
      <c r="L309" s="272"/>
      <c r="M309" s="272"/>
      <c r="N309" s="272"/>
      <c r="O309" s="272"/>
      <c r="P309" s="272"/>
      <c r="Q309" s="272"/>
      <c r="R309" s="272"/>
      <c r="S309" s="272"/>
      <c r="T309" s="272"/>
      <c r="U309" s="272"/>
      <c r="V309" s="272"/>
      <c r="W309" s="272"/>
      <c r="X309" s="272"/>
      <c r="Y309" s="272"/>
      <c r="Z309" s="272"/>
      <c r="AA309" s="271"/>
      <c r="AB309" s="271"/>
      <c r="AC309" s="271"/>
      <c r="AD309" s="271"/>
      <c r="AE309" s="271"/>
      <c r="AF309" s="271"/>
      <c r="AG309" s="272"/>
    </row>
    <row r="310" spans="1:33">
      <c r="A310" s="273"/>
      <c r="B310" s="273"/>
      <c r="C310" s="271"/>
      <c r="D310" s="271"/>
      <c r="E310" s="271"/>
      <c r="F310" s="272"/>
      <c r="G310" s="272"/>
      <c r="H310" s="272"/>
      <c r="I310" s="272"/>
      <c r="J310" s="272"/>
      <c r="K310" s="272"/>
      <c r="L310" s="272"/>
      <c r="M310" s="272"/>
      <c r="N310" s="272"/>
      <c r="O310" s="272"/>
      <c r="P310" s="272"/>
      <c r="Q310" s="272"/>
      <c r="R310" s="272"/>
      <c r="S310" s="272"/>
      <c r="T310" s="272"/>
      <c r="U310" s="272"/>
      <c r="V310" s="272"/>
      <c r="W310" s="272"/>
      <c r="X310" s="272"/>
      <c r="Y310" s="272"/>
      <c r="Z310" s="272"/>
      <c r="AA310" s="271"/>
      <c r="AB310" s="271"/>
      <c r="AC310" s="271"/>
      <c r="AD310" s="271"/>
      <c r="AE310" s="271"/>
      <c r="AF310" s="271"/>
      <c r="AG310" s="272"/>
    </row>
    <row r="311" spans="1:33">
      <c r="A311" s="273"/>
      <c r="B311" s="273"/>
      <c r="C311" s="271"/>
      <c r="D311" s="271"/>
      <c r="E311" s="271"/>
      <c r="F311" s="272"/>
      <c r="G311" s="272"/>
      <c r="H311" s="272"/>
      <c r="I311" s="272"/>
      <c r="J311" s="272"/>
      <c r="K311" s="272"/>
      <c r="L311" s="272"/>
      <c r="M311" s="272"/>
      <c r="N311" s="272"/>
      <c r="O311" s="272"/>
      <c r="P311" s="272"/>
      <c r="Q311" s="272"/>
      <c r="R311" s="272"/>
      <c r="S311" s="272"/>
      <c r="T311" s="272"/>
      <c r="U311" s="272"/>
      <c r="V311" s="272"/>
      <c r="W311" s="272"/>
      <c r="X311" s="272"/>
      <c r="Y311" s="272"/>
      <c r="Z311" s="272"/>
      <c r="AA311" s="271"/>
      <c r="AB311" s="271"/>
      <c r="AC311" s="271"/>
      <c r="AD311" s="271"/>
      <c r="AE311" s="271"/>
      <c r="AF311" s="271"/>
      <c r="AG311" s="272"/>
    </row>
    <row r="312" spans="1:33">
      <c r="A312" s="273"/>
      <c r="B312" s="273"/>
      <c r="C312" s="271"/>
      <c r="D312" s="271"/>
      <c r="E312" s="271"/>
      <c r="F312" s="272"/>
      <c r="G312" s="272"/>
      <c r="H312" s="272"/>
      <c r="I312" s="272"/>
      <c r="J312" s="272"/>
      <c r="K312" s="272"/>
      <c r="L312" s="272"/>
      <c r="M312" s="272"/>
      <c r="N312" s="272"/>
      <c r="O312" s="272"/>
      <c r="P312" s="272"/>
      <c r="Q312" s="272"/>
      <c r="R312" s="272"/>
      <c r="S312" s="272"/>
      <c r="T312" s="272"/>
      <c r="U312" s="272"/>
      <c r="V312" s="272"/>
      <c r="W312" s="272"/>
      <c r="X312" s="272"/>
      <c r="Y312" s="272"/>
      <c r="Z312" s="272"/>
      <c r="AA312" s="271"/>
      <c r="AB312" s="271"/>
      <c r="AC312" s="271"/>
      <c r="AD312" s="271"/>
      <c r="AE312" s="271"/>
      <c r="AF312" s="271"/>
      <c r="AG312" s="272"/>
    </row>
    <row r="313" spans="1:33">
      <c r="A313" s="273"/>
      <c r="B313" s="273"/>
      <c r="C313" s="271"/>
      <c r="D313" s="271"/>
      <c r="E313" s="271"/>
      <c r="F313" s="272"/>
      <c r="G313" s="272"/>
      <c r="H313" s="272"/>
      <c r="I313" s="272"/>
      <c r="J313" s="272"/>
      <c r="K313" s="272"/>
      <c r="L313" s="272"/>
      <c r="M313" s="272"/>
      <c r="N313" s="272"/>
      <c r="O313" s="272"/>
      <c r="P313" s="272"/>
      <c r="Q313" s="272"/>
      <c r="R313" s="272"/>
      <c r="S313" s="272"/>
      <c r="T313" s="272"/>
      <c r="U313" s="272"/>
      <c r="V313" s="272"/>
      <c r="W313" s="272"/>
      <c r="X313" s="272"/>
      <c r="Y313" s="272"/>
      <c r="Z313" s="272"/>
      <c r="AA313" s="271"/>
      <c r="AB313" s="271"/>
      <c r="AC313" s="271"/>
      <c r="AD313" s="271"/>
      <c r="AE313" s="271"/>
      <c r="AF313" s="271"/>
      <c r="AG313" s="272"/>
    </row>
    <row r="314" spans="1:33">
      <c r="A314" s="273"/>
      <c r="B314" s="273"/>
      <c r="C314" s="271"/>
      <c r="D314" s="271"/>
      <c r="E314" s="271"/>
      <c r="F314" s="272"/>
      <c r="G314" s="272"/>
      <c r="H314" s="272"/>
      <c r="I314" s="272"/>
      <c r="J314" s="272"/>
      <c r="K314" s="272"/>
      <c r="L314" s="272"/>
      <c r="M314" s="272"/>
      <c r="N314" s="272"/>
      <c r="O314" s="272"/>
      <c r="P314" s="272"/>
      <c r="Q314" s="272"/>
      <c r="R314" s="272"/>
      <c r="S314" s="272"/>
      <c r="T314" s="272"/>
      <c r="U314" s="272"/>
      <c r="V314" s="272"/>
      <c r="W314" s="272"/>
      <c r="X314" s="272"/>
      <c r="Y314" s="272"/>
      <c r="Z314" s="272"/>
      <c r="AA314" s="271"/>
      <c r="AB314" s="271"/>
      <c r="AC314" s="271"/>
      <c r="AD314" s="271"/>
      <c r="AE314" s="271"/>
      <c r="AF314" s="271"/>
      <c r="AG314" s="272"/>
    </row>
    <row r="315" spans="1:33">
      <c r="A315" s="273"/>
      <c r="B315" s="273"/>
      <c r="C315" s="271"/>
      <c r="D315" s="271"/>
      <c r="E315" s="271"/>
      <c r="F315" s="272"/>
      <c r="G315" s="272"/>
      <c r="H315" s="272"/>
      <c r="I315" s="272"/>
      <c r="J315" s="272"/>
      <c r="K315" s="272"/>
      <c r="L315" s="272"/>
      <c r="M315" s="272"/>
      <c r="N315" s="272"/>
      <c r="O315" s="272"/>
      <c r="P315" s="272"/>
      <c r="Q315" s="272"/>
      <c r="R315" s="272"/>
      <c r="S315" s="272"/>
      <c r="T315" s="272"/>
      <c r="U315" s="272"/>
      <c r="V315" s="272"/>
      <c r="W315" s="272"/>
      <c r="X315" s="272"/>
      <c r="Y315" s="272"/>
      <c r="Z315" s="272"/>
      <c r="AA315" s="271"/>
      <c r="AB315" s="271"/>
      <c r="AC315" s="271"/>
      <c r="AD315" s="271"/>
      <c r="AE315" s="271"/>
      <c r="AF315" s="271"/>
      <c r="AG315" s="272"/>
    </row>
    <row r="316" spans="1:33">
      <c r="A316" s="273"/>
      <c r="B316" s="273"/>
      <c r="C316" s="271"/>
      <c r="D316" s="271"/>
      <c r="E316" s="271"/>
      <c r="F316" s="272"/>
      <c r="G316" s="272"/>
      <c r="H316" s="272"/>
      <c r="I316" s="272"/>
      <c r="J316" s="272"/>
      <c r="K316" s="272"/>
      <c r="L316" s="272"/>
      <c r="M316" s="272"/>
      <c r="N316" s="272"/>
      <c r="O316" s="272"/>
      <c r="P316" s="272"/>
      <c r="Q316" s="272"/>
      <c r="R316" s="272"/>
      <c r="S316" s="272"/>
      <c r="T316" s="272"/>
      <c r="U316" s="272"/>
      <c r="V316" s="272"/>
      <c r="W316" s="272"/>
      <c r="X316" s="272"/>
      <c r="Y316" s="272"/>
      <c r="Z316" s="272"/>
      <c r="AA316" s="271"/>
      <c r="AB316" s="271"/>
      <c r="AC316" s="271"/>
      <c r="AD316" s="271"/>
      <c r="AE316" s="271"/>
      <c r="AF316" s="271"/>
      <c r="AG316" s="272"/>
    </row>
    <row r="317" spans="1:33">
      <c r="A317" s="273"/>
      <c r="B317" s="273"/>
      <c r="C317" s="271"/>
      <c r="D317" s="271"/>
      <c r="E317" s="271"/>
      <c r="F317" s="272"/>
      <c r="G317" s="272"/>
      <c r="H317" s="272"/>
      <c r="I317" s="272"/>
      <c r="J317" s="272"/>
      <c r="K317" s="272"/>
      <c r="L317" s="272"/>
      <c r="M317" s="272"/>
      <c r="N317" s="272"/>
      <c r="O317" s="272"/>
      <c r="P317" s="272"/>
      <c r="Q317" s="272"/>
      <c r="R317" s="272"/>
      <c r="S317" s="272"/>
      <c r="T317" s="272"/>
      <c r="U317" s="272"/>
      <c r="V317" s="272"/>
      <c r="W317" s="272"/>
      <c r="X317" s="272"/>
      <c r="Y317" s="272"/>
      <c r="Z317" s="272"/>
      <c r="AA317" s="271"/>
      <c r="AB317" s="271"/>
      <c r="AC317" s="271"/>
      <c r="AD317" s="271"/>
      <c r="AE317" s="271"/>
      <c r="AF317" s="271"/>
      <c r="AG317" s="272"/>
    </row>
    <row r="318" spans="1:33">
      <c r="A318" s="273"/>
      <c r="B318" s="273"/>
      <c r="C318" s="271"/>
      <c r="D318" s="271"/>
      <c r="E318" s="271"/>
      <c r="F318" s="272"/>
      <c r="G318" s="272"/>
      <c r="H318" s="272"/>
      <c r="I318" s="272"/>
      <c r="J318" s="272"/>
      <c r="K318" s="272"/>
      <c r="L318" s="272"/>
      <c r="M318" s="272"/>
      <c r="N318" s="272"/>
      <c r="O318" s="272"/>
      <c r="P318" s="272"/>
      <c r="Q318" s="272"/>
      <c r="R318" s="272"/>
      <c r="S318" s="272"/>
      <c r="T318" s="272"/>
      <c r="U318" s="272"/>
      <c r="V318" s="272"/>
      <c r="W318" s="272"/>
      <c r="X318" s="272"/>
      <c r="Y318" s="272"/>
      <c r="Z318" s="272"/>
      <c r="AA318" s="271"/>
      <c r="AB318" s="271"/>
      <c r="AC318" s="271"/>
      <c r="AD318" s="271"/>
      <c r="AE318" s="271"/>
      <c r="AF318" s="271"/>
      <c r="AG318" s="272"/>
    </row>
    <row r="319" spans="1:33">
      <c r="A319" s="273"/>
      <c r="B319" s="273"/>
      <c r="C319" s="271"/>
      <c r="D319" s="271"/>
      <c r="E319" s="271"/>
      <c r="F319" s="272"/>
      <c r="G319" s="272"/>
      <c r="H319" s="272"/>
      <c r="I319" s="272"/>
      <c r="J319" s="272"/>
      <c r="K319" s="272"/>
      <c r="L319" s="272"/>
      <c r="M319" s="272"/>
      <c r="N319" s="272"/>
      <c r="O319" s="272"/>
      <c r="P319" s="272"/>
      <c r="Q319" s="272"/>
      <c r="R319" s="272"/>
      <c r="S319" s="272"/>
      <c r="T319" s="272"/>
      <c r="U319" s="272"/>
      <c r="V319" s="272"/>
      <c r="W319" s="272"/>
      <c r="X319" s="272"/>
      <c r="Y319" s="272"/>
      <c r="Z319" s="272"/>
      <c r="AA319" s="271"/>
      <c r="AB319" s="271"/>
      <c r="AC319" s="271"/>
      <c r="AD319" s="271"/>
      <c r="AE319" s="271"/>
      <c r="AF319" s="271"/>
      <c r="AG319" s="272"/>
    </row>
    <row r="320" spans="1:33">
      <c r="A320" s="273"/>
      <c r="B320" s="273"/>
      <c r="C320" s="271"/>
      <c r="D320" s="271"/>
      <c r="E320" s="271"/>
      <c r="F320" s="272"/>
      <c r="G320" s="272"/>
      <c r="H320" s="272"/>
      <c r="I320" s="272"/>
      <c r="J320" s="272"/>
      <c r="K320" s="272"/>
      <c r="L320" s="272"/>
      <c r="M320" s="272"/>
      <c r="N320" s="272"/>
      <c r="O320" s="272"/>
      <c r="P320" s="272"/>
      <c r="Q320" s="272"/>
      <c r="R320" s="272"/>
      <c r="S320" s="272"/>
      <c r="T320" s="272"/>
      <c r="U320" s="272"/>
      <c r="V320" s="272"/>
      <c r="W320" s="272"/>
      <c r="X320" s="272"/>
      <c r="Y320" s="272"/>
      <c r="Z320" s="272"/>
      <c r="AA320" s="271"/>
      <c r="AB320" s="271"/>
      <c r="AC320" s="271"/>
      <c r="AD320" s="271"/>
      <c r="AE320" s="271"/>
      <c r="AF320" s="271"/>
      <c r="AG320" s="272"/>
    </row>
    <row r="321" spans="1:33">
      <c r="A321" s="273"/>
      <c r="B321" s="273"/>
      <c r="C321" s="271"/>
      <c r="D321" s="271"/>
      <c r="E321" s="271"/>
      <c r="F321" s="272"/>
      <c r="G321" s="272"/>
      <c r="H321" s="272"/>
      <c r="I321" s="272"/>
      <c r="J321" s="272"/>
      <c r="K321" s="272"/>
      <c r="L321" s="272"/>
      <c r="M321" s="272"/>
      <c r="N321" s="272"/>
      <c r="O321" s="272"/>
      <c r="P321" s="272"/>
      <c r="Q321" s="272"/>
      <c r="R321" s="272"/>
      <c r="S321" s="272"/>
      <c r="T321" s="272"/>
      <c r="U321" s="272"/>
      <c r="V321" s="272"/>
      <c r="W321" s="272"/>
      <c r="X321" s="272"/>
      <c r="Y321" s="272"/>
      <c r="Z321" s="272"/>
      <c r="AA321" s="271"/>
      <c r="AB321" s="271"/>
      <c r="AC321" s="271"/>
      <c r="AD321" s="271"/>
      <c r="AE321" s="271"/>
      <c r="AF321" s="271"/>
      <c r="AG321" s="272"/>
    </row>
    <row r="322" spans="1:33">
      <c r="A322" s="273"/>
      <c r="B322" s="273"/>
      <c r="C322" s="271"/>
      <c r="D322" s="271"/>
      <c r="E322" s="271"/>
      <c r="F322" s="272"/>
      <c r="G322" s="272"/>
      <c r="H322" s="272"/>
      <c r="I322" s="272"/>
      <c r="J322" s="272"/>
      <c r="K322" s="272"/>
      <c r="L322" s="272"/>
      <c r="M322" s="272"/>
      <c r="N322" s="272"/>
      <c r="O322" s="272"/>
      <c r="P322" s="272"/>
      <c r="Q322" s="272"/>
      <c r="R322" s="272"/>
      <c r="S322" s="272"/>
      <c r="T322" s="272"/>
      <c r="U322" s="272"/>
      <c r="V322" s="272"/>
      <c r="W322" s="272"/>
      <c r="X322" s="272"/>
      <c r="Y322" s="272"/>
      <c r="Z322" s="272"/>
      <c r="AA322" s="271"/>
      <c r="AB322" s="271"/>
      <c r="AC322" s="271"/>
      <c r="AD322" s="271"/>
      <c r="AE322" s="271"/>
      <c r="AF322" s="271"/>
      <c r="AG322" s="272"/>
    </row>
    <row r="323" spans="1:33">
      <c r="A323" s="273"/>
      <c r="B323" s="273"/>
      <c r="C323" s="271"/>
      <c r="D323" s="271"/>
      <c r="E323" s="271"/>
      <c r="F323" s="272"/>
      <c r="G323" s="272"/>
      <c r="H323" s="272"/>
      <c r="I323" s="272"/>
      <c r="J323" s="272"/>
      <c r="K323" s="272"/>
      <c r="L323" s="272"/>
      <c r="M323" s="272"/>
      <c r="N323" s="272"/>
      <c r="O323" s="272"/>
      <c r="P323" s="272"/>
      <c r="Q323" s="272"/>
      <c r="R323" s="272"/>
      <c r="S323" s="272"/>
      <c r="T323" s="272"/>
      <c r="U323" s="272"/>
      <c r="V323" s="272"/>
      <c r="W323" s="272"/>
      <c r="X323" s="272"/>
      <c r="Y323" s="272"/>
      <c r="Z323" s="272"/>
      <c r="AA323" s="271"/>
      <c r="AB323" s="271"/>
      <c r="AC323" s="271"/>
      <c r="AD323" s="271"/>
      <c r="AE323" s="271"/>
      <c r="AF323" s="271"/>
      <c r="AG323" s="272"/>
    </row>
    <row r="324" spans="1:33">
      <c r="A324" s="273"/>
      <c r="B324" s="273"/>
      <c r="C324" s="271"/>
      <c r="D324" s="271"/>
      <c r="E324" s="271"/>
      <c r="F324" s="272"/>
      <c r="G324" s="272"/>
      <c r="H324" s="272"/>
      <c r="I324" s="272"/>
      <c r="J324" s="272"/>
      <c r="K324" s="272"/>
      <c r="L324" s="272"/>
      <c r="M324" s="272"/>
      <c r="N324" s="272"/>
      <c r="O324" s="272"/>
      <c r="P324" s="272"/>
      <c r="Q324" s="272"/>
      <c r="R324" s="272"/>
      <c r="S324" s="272"/>
      <c r="T324" s="272"/>
      <c r="U324" s="272"/>
      <c r="V324" s="272"/>
      <c r="W324" s="272"/>
      <c r="X324" s="272"/>
      <c r="Y324" s="272"/>
      <c r="Z324" s="272"/>
      <c r="AA324" s="271"/>
      <c r="AB324" s="271"/>
      <c r="AC324" s="271"/>
      <c r="AD324" s="271"/>
      <c r="AE324" s="271"/>
      <c r="AF324" s="271"/>
      <c r="AG324" s="272"/>
    </row>
    <row r="325" spans="1:33">
      <c r="A325" s="273"/>
      <c r="B325" s="273"/>
      <c r="C325" s="271"/>
      <c r="D325" s="271"/>
      <c r="E325" s="271"/>
      <c r="F325" s="272"/>
      <c r="G325" s="272"/>
      <c r="H325" s="272"/>
      <c r="I325" s="272"/>
      <c r="J325" s="272"/>
      <c r="K325" s="272"/>
      <c r="L325" s="272"/>
      <c r="M325" s="272"/>
      <c r="N325" s="272"/>
      <c r="O325" s="272"/>
      <c r="P325" s="272"/>
      <c r="Q325" s="272"/>
      <c r="R325" s="272"/>
      <c r="S325" s="272"/>
      <c r="T325" s="272"/>
      <c r="U325" s="272"/>
      <c r="V325" s="272"/>
      <c r="W325" s="272"/>
      <c r="X325" s="272"/>
      <c r="Y325" s="272"/>
      <c r="Z325" s="272"/>
      <c r="AA325" s="271"/>
      <c r="AB325" s="271"/>
      <c r="AC325" s="271"/>
      <c r="AD325" s="271"/>
      <c r="AE325" s="271"/>
      <c r="AF325" s="271"/>
      <c r="AG325" s="272"/>
    </row>
    <row r="326" spans="1:33">
      <c r="A326" s="273"/>
      <c r="B326" s="273"/>
      <c r="C326" s="271"/>
      <c r="D326" s="271"/>
      <c r="E326" s="271"/>
      <c r="F326" s="272"/>
      <c r="G326" s="272"/>
      <c r="H326" s="272"/>
      <c r="I326" s="272"/>
      <c r="J326" s="272"/>
      <c r="K326" s="272"/>
      <c r="L326" s="272"/>
      <c r="M326" s="272"/>
      <c r="N326" s="272"/>
      <c r="O326" s="272"/>
      <c r="P326" s="272"/>
      <c r="Q326" s="272"/>
      <c r="R326" s="272"/>
      <c r="S326" s="272"/>
      <c r="T326" s="272"/>
      <c r="U326" s="272"/>
      <c r="V326" s="272"/>
      <c r="W326" s="272"/>
      <c r="X326" s="272"/>
      <c r="Y326" s="272"/>
      <c r="Z326" s="272"/>
      <c r="AA326" s="271"/>
      <c r="AB326" s="271"/>
      <c r="AC326" s="271"/>
      <c r="AD326" s="271"/>
      <c r="AE326" s="271"/>
      <c r="AF326" s="271"/>
      <c r="AG326" s="272"/>
    </row>
    <row r="327" spans="1:33">
      <c r="A327" s="273"/>
      <c r="B327" s="273"/>
      <c r="C327" s="271"/>
      <c r="D327" s="271"/>
      <c r="E327" s="271"/>
      <c r="F327" s="272"/>
      <c r="G327" s="272"/>
      <c r="H327" s="272"/>
      <c r="I327" s="272"/>
      <c r="J327" s="272"/>
      <c r="K327" s="272"/>
      <c r="L327" s="272"/>
      <c r="M327" s="272"/>
      <c r="N327" s="272"/>
      <c r="O327" s="272"/>
      <c r="P327" s="272"/>
      <c r="Q327" s="272"/>
      <c r="R327" s="272"/>
      <c r="S327" s="272"/>
      <c r="T327" s="272"/>
      <c r="U327" s="272"/>
      <c r="V327" s="272"/>
      <c r="W327" s="272"/>
      <c r="X327" s="272"/>
      <c r="Y327" s="272"/>
      <c r="Z327" s="272"/>
      <c r="AA327" s="271"/>
      <c r="AB327" s="271"/>
      <c r="AC327" s="271"/>
      <c r="AD327" s="271"/>
      <c r="AE327" s="271"/>
      <c r="AF327" s="271"/>
      <c r="AG327" s="272"/>
    </row>
    <row r="328" spans="1:33">
      <c r="A328" s="273"/>
      <c r="B328" s="273"/>
      <c r="C328" s="271"/>
      <c r="D328" s="271"/>
      <c r="E328" s="271"/>
      <c r="F328" s="272"/>
      <c r="G328" s="272"/>
      <c r="H328" s="272"/>
      <c r="I328" s="272"/>
      <c r="J328" s="272"/>
      <c r="K328" s="272"/>
      <c r="L328" s="272"/>
      <c r="M328" s="272"/>
      <c r="N328" s="272"/>
      <c r="O328" s="272"/>
      <c r="P328" s="272"/>
      <c r="Q328" s="272"/>
      <c r="R328" s="272"/>
      <c r="S328" s="272"/>
      <c r="T328" s="272"/>
      <c r="U328" s="272"/>
      <c r="V328" s="272"/>
      <c r="W328" s="272"/>
      <c r="X328" s="272"/>
      <c r="Y328" s="272"/>
      <c r="Z328" s="272"/>
      <c r="AA328" s="271"/>
      <c r="AB328" s="271"/>
      <c r="AC328" s="271"/>
      <c r="AD328" s="271"/>
      <c r="AE328" s="271"/>
      <c r="AF328" s="271"/>
      <c r="AG328" s="272"/>
    </row>
    <row r="329" spans="1:33">
      <c r="A329" s="273"/>
      <c r="B329" s="273"/>
      <c r="C329" s="271"/>
      <c r="D329" s="271"/>
      <c r="E329" s="271"/>
      <c r="F329" s="272"/>
      <c r="G329" s="272"/>
      <c r="H329" s="272"/>
      <c r="I329" s="272"/>
      <c r="J329" s="272"/>
      <c r="K329" s="272"/>
      <c r="L329" s="272"/>
      <c r="M329" s="272"/>
      <c r="N329" s="272"/>
      <c r="O329" s="272"/>
      <c r="P329" s="272"/>
      <c r="Q329" s="272"/>
      <c r="R329" s="272"/>
      <c r="S329" s="272"/>
      <c r="T329" s="272"/>
      <c r="U329" s="272"/>
      <c r="V329" s="272"/>
      <c r="W329" s="272"/>
      <c r="X329" s="272"/>
      <c r="Y329" s="272"/>
      <c r="Z329" s="272"/>
      <c r="AA329" s="271"/>
      <c r="AB329" s="271"/>
      <c r="AC329" s="271"/>
      <c r="AD329" s="271"/>
      <c r="AE329" s="271"/>
      <c r="AF329" s="271"/>
      <c r="AG329" s="272"/>
    </row>
    <row r="330" spans="1:33">
      <c r="A330" s="273"/>
      <c r="B330" s="273"/>
      <c r="C330" s="271"/>
      <c r="D330" s="271"/>
      <c r="E330" s="271"/>
      <c r="F330" s="272"/>
      <c r="G330" s="272"/>
      <c r="H330" s="272"/>
      <c r="I330" s="272"/>
      <c r="J330" s="272"/>
      <c r="K330" s="272"/>
      <c r="L330" s="272"/>
      <c r="M330" s="272"/>
      <c r="N330" s="272"/>
      <c r="O330" s="272"/>
      <c r="P330" s="272"/>
      <c r="Q330" s="272"/>
      <c r="R330" s="272"/>
      <c r="S330" s="272"/>
      <c r="T330" s="272"/>
      <c r="U330" s="272"/>
      <c r="V330" s="272"/>
      <c r="W330" s="272"/>
      <c r="X330" s="272"/>
      <c r="Y330" s="272"/>
      <c r="Z330" s="272"/>
      <c r="AA330" s="271"/>
      <c r="AB330" s="271"/>
      <c r="AC330" s="271"/>
      <c r="AD330" s="271"/>
      <c r="AE330" s="271"/>
      <c r="AF330" s="271"/>
      <c r="AG330" s="272"/>
    </row>
    <row r="331" spans="1:33">
      <c r="A331" s="273"/>
      <c r="B331" s="273"/>
      <c r="C331" s="271"/>
      <c r="D331" s="271"/>
      <c r="E331" s="271"/>
      <c r="F331" s="272"/>
      <c r="G331" s="272"/>
      <c r="H331" s="272"/>
      <c r="I331" s="272"/>
      <c r="J331" s="272"/>
      <c r="K331" s="272"/>
      <c r="L331" s="272"/>
      <c r="M331" s="272"/>
      <c r="N331" s="272"/>
      <c r="O331" s="272"/>
      <c r="P331" s="272"/>
      <c r="Q331" s="272"/>
      <c r="R331" s="272"/>
      <c r="S331" s="272"/>
      <c r="T331" s="272"/>
      <c r="U331" s="272"/>
      <c r="V331" s="272"/>
      <c r="W331" s="272"/>
      <c r="X331" s="272"/>
      <c r="Y331" s="272"/>
      <c r="Z331" s="272"/>
      <c r="AA331" s="271"/>
      <c r="AB331" s="271"/>
      <c r="AC331" s="271"/>
      <c r="AD331" s="271"/>
      <c r="AE331" s="271"/>
      <c r="AF331" s="271"/>
      <c r="AG331" s="272"/>
    </row>
    <row r="332" spans="1:33">
      <c r="A332" s="273"/>
      <c r="B332" s="273"/>
      <c r="C332" s="271"/>
      <c r="D332" s="271"/>
      <c r="E332" s="271"/>
      <c r="F332" s="272"/>
      <c r="G332" s="272"/>
      <c r="H332" s="272"/>
      <c r="I332" s="272"/>
      <c r="J332" s="272"/>
      <c r="K332" s="272"/>
      <c r="L332" s="272"/>
      <c r="M332" s="272"/>
      <c r="N332" s="272"/>
      <c r="O332" s="272"/>
      <c r="P332" s="272"/>
      <c r="Q332" s="272"/>
      <c r="R332" s="272"/>
      <c r="S332" s="272"/>
      <c r="T332" s="272"/>
      <c r="U332" s="272"/>
      <c r="V332" s="272"/>
      <c r="W332" s="272"/>
      <c r="X332" s="272"/>
      <c r="Y332" s="272"/>
      <c r="Z332" s="272"/>
      <c r="AA332" s="271"/>
      <c r="AB332" s="271"/>
      <c r="AC332" s="271"/>
      <c r="AD332" s="271"/>
      <c r="AE332" s="271"/>
      <c r="AF332" s="271"/>
      <c r="AG332" s="272"/>
    </row>
    <row r="333" spans="1:33">
      <c r="A333" s="273"/>
      <c r="B333" s="273"/>
      <c r="C333" s="271"/>
      <c r="D333" s="271"/>
      <c r="E333" s="271"/>
      <c r="F333" s="272"/>
      <c r="G333" s="272"/>
      <c r="H333" s="272"/>
      <c r="I333" s="272"/>
      <c r="J333" s="272"/>
      <c r="K333" s="272"/>
      <c r="L333" s="272"/>
      <c r="M333" s="272"/>
      <c r="N333" s="272"/>
      <c r="O333" s="272"/>
      <c r="P333" s="272"/>
      <c r="Q333" s="272"/>
      <c r="R333" s="272"/>
      <c r="S333" s="272"/>
      <c r="T333" s="272"/>
      <c r="U333" s="272"/>
      <c r="V333" s="272"/>
      <c r="W333" s="272"/>
      <c r="X333" s="272"/>
      <c r="Y333" s="272"/>
      <c r="Z333" s="272"/>
      <c r="AA333" s="271"/>
      <c r="AB333" s="271"/>
      <c r="AC333" s="271"/>
      <c r="AD333" s="271"/>
      <c r="AE333" s="271"/>
      <c r="AF333" s="271"/>
      <c r="AG333" s="272"/>
    </row>
    <row r="334" spans="1:33">
      <c r="A334" s="273"/>
      <c r="B334" s="273"/>
      <c r="C334" s="271"/>
      <c r="D334" s="271"/>
      <c r="E334" s="271"/>
      <c r="F334" s="272"/>
      <c r="G334" s="272"/>
      <c r="H334" s="272"/>
      <c r="I334" s="272"/>
      <c r="J334" s="272"/>
      <c r="K334" s="272"/>
      <c r="L334" s="272"/>
      <c r="M334" s="272"/>
      <c r="N334" s="272"/>
      <c r="O334" s="272"/>
      <c r="P334" s="272"/>
      <c r="Q334" s="272"/>
      <c r="R334" s="272"/>
      <c r="S334" s="272"/>
      <c r="T334" s="272"/>
      <c r="U334" s="272"/>
      <c r="V334" s="272"/>
      <c r="W334" s="272"/>
      <c r="X334" s="272"/>
      <c r="Y334" s="272"/>
      <c r="Z334" s="272"/>
      <c r="AA334" s="271"/>
      <c r="AB334" s="271"/>
      <c r="AC334" s="271"/>
      <c r="AD334" s="271"/>
      <c r="AE334" s="271"/>
      <c r="AF334" s="271"/>
      <c r="AG334" s="272"/>
    </row>
    <row r="335" spans="1:33">
      <c r="A335" s="273"/>
      <c r="B335" s="273"/>
      <c r="C335" s="271"/>
      <c r="D335" s="271"/>
      <c r="E335" s="271"/>
      <c r="F335" s="272"/>
      <c r="G335" s="272"/>
      <c r="H335" s="272"/>
      <c r="I335" s="272"/>
      <c r="J335" s="272"/>
      <c r="K335" s="272"/>
      <c r="L335" s="272"/>
      <c r="M335" s="272"/>
      <c r="N335" s="272"/>
      <c r="O335" s="272"/>
      <c r="P335" s="272"/>
      <c r="Q335" s="272"/>
      <c r="R335" s="272"/>
      <c r="S335" s="272"/>
      <c r="T335" s="272"/>
      <c r="U335" s="272"/>
      <c r="V335" s="272"/>
      <c r="W335" s="272"/>
      <c r="X335" s="272"/>
      <c r="Y335" s="272"/>
      <c r="Z335" s="272"/>
      <c r="AA335" s="271"/>
      <c r="AB335" s="271"/>
      <c r="AC335" s="271"/>
      <c r="AD335" s="271"/>
      <c r="AE335" s="271"/>
      <c r="AF335" s="271"/>
      <c r="AG335" s="272"/>
    </row>
    <row r="336" spans="1:33">
      <c r="A336" s="273"/>
      <c r="B336" s="273"/>
      <c r="C336" s="271"/>
      <c r="D336" s="271"/>
      <c r="E336" s="271"/>
      <c r="F336" s="272"/>
      <c r="G336" s="272"/>
      <c r="H336" s="272"/>
      <c r="I336" s="272"/>
      <c r="J336" s="272"/>
      <c r="K336" s="272"/>
      <c r="L336" s="272"/>
      <c r="M336" s="272"/>
      <c r="N336" s="272"/>
      <c r="O336" s="272"/>
      <c r="P336" s="272"/>
      <c r="Q336" s="272"/>
      <c r="R336" s="272"/>
      <c r="S336" s="272"/>
      <c r="T336" s="272"/>
      <c r="U336" s="272"/>
      <c r="V336" s="272"/>
      <c r="W336" s="272"/>
      <c r="X336" s="272"/>
      <c r="Y336" s="272"/>
      <c r="Z336" s="272"/>
      <c r="AA336" s="271"/>
      <c r="AB336" s="271"/>
      <c r="AC336" s="271"/>
      <c r="AD336" s="271"/>
      <c r="AE336" s="271"/>
      <c r="AF336" s="271"/>
      <c r="AG336" s="272"/>
    </row>
    <row r="337" spans="1:33">
      <c r="A337" s="273"/>
      <c r="B337" s="273"/>
      <c r="C337" s="271"/>
      <c r="D337" s="271"/>
      <c r="E337" s="271"/>
      <c r="F337" s="272"/>
      <c r="G337" s="272"/>
      <c r="H337" s="272"/>
      <c r="I337" s="272"/>
      <c r="J337" s="272"/>
      <c r="K337" s="272"/>
      <c r="L337" s="272"/>
      <c r="M337" s="272"/>
      <c r="N337" s="272"/>
      <c r="O337" s="272"/>
      <c r="P337" s="272"/>
      <c r="Q337" s="272"/>
      <c r="R337" s="272"/>
      <c r="S337" s="272"/>
      <c r="T337" s="272"/>
      <c r="U337" s="272"/>
      <c r="V337" s="272"/>
      <c r="W337" s="272"/>
      <c r="X337" s="272"/>
      <c r="Y337" s="272"/>
      <c r="Z337" s="272"/>
      <c r="AA337" s="271"/>
      <c r="AB337" s="271"/>
      <c r="AC337" s="271"/>
      <c r="AD337" s="271"/>
      <c r="AE337" s="271"/>
      <c r="AF337" s="271"/>
      <c r="AG337" s="272"/>
    </row>
    <row r="338" spans="1:33">
      <c r="A338" s="273"/>
      <c r="B338" s="273"/>
      <c r="C338" s="271"/>
      <c r="D338" s="271"/>
      <c r="E338" s="271"/>
      <c r="F338" s="272"/>
      <c r="G338" s="272"/>
      <c r="H338" s="272"/>
      <c r="I338" s="272"/>
      <c r="J338" s="272"/>
      <c r="K338" s="272"/>
      <c r="L338" s="272"/>
      <c r="M338" s="272"/>
      <c r="N338" s="272"/>
      <c r="O338" s="272"/>
      <c r="P338" s="272"/>
      <c r="Q338" s="272"/>
      <c r="R338" s="272"/>
      <c r="S338" s="272"/>
      <c r="T338" s="272"/>
      <c r="U338" s="272"/>
      <c r="V338" s="272"/>
      <c r="W338" s="272"/>
      <c r="X338" s="272"/>
      <c r="Y338" s="272"/>
      <c r="Z338" s="272"/>
      <c r="AA338" s="271"/>
      <c r="AB338" s="271"/>
      <c r="AC338" s="271"/>
      <c r="AD338" s="271"/>
      <c r="AE338" s="271"/>
      <c r="AF338" s="271"/>
      <c r="AG338" s="272"/>
    </row>
    <row r="339" spans="1:33">
      <c r="A339" s="273"/>
      <c r="B339" s="273"/>
      <c r="C339" s="271"/>
      <c r="D339" s="271"/>
      <c r="E339" s="271"/>
      <c r="F339" s="272"/>
      <c r="G339" s="272"/>
      <c r="H339" s="272"/>
      <c r="I339" s="272"/>
      <c r="J339" s="272"/>
      <c r="K339" s="272"/>
      <c r="L339" s="272"/>
      <c r="M339" s="272"/>
      <c r="N339" s="272"/>
      <c r="O339" s="272"/>
      <c r="P339" s="272"/>
      <c r="Q339" s="272"/>
      <c r="R339" s="272"/>
      <c r="S339" s="272"/>
      <c r="T339" s="272"/>
      <c r="U339" s="272"/>
      <c r="V339" s="272"/>
      <c r="W339" s="272"/>
      <c r="X339" s="272"/>
      <c r="Y339" s="272"/>
      <c r="Z339" s="272"/>
      <c r="AA339" s="271"/>
      <c r="AB339" s="271"/>
      <c r="AC339" s="271"/>
      <c r="AD339" s="271"/>
      <c r="AE339" s="271"/>
      <c r="AF339" s="271"/>
      <c r="AG339" s="272"/>
    </row>
    <row r="340" spans="1:33">
      <c r="A340" s="273"/>
      <c r="B340" s="273"/>
      <c r="C340" s="271"/>
      <c r="D340" s="271"/>
      <c r="E340" s="271"/>
      <c r="F340" s="272"/>
      <c r="G340" s="272"/>
      <c r="H340" s="272"/>
      <c r="I340" s="272"/>
      <c r="J340" s="272"/>
      <c r="K340" s="272"/>
      <c r="L340" s="272"/>
      <c r="M340" s="272"/>
      <c r="N340" s="272"/>
      <c r="O340" s="272"/>
      <c r="P340" s="272"/>
      <c r="Q340" s="272"/>
      <c r="R340" s="272"/>
      <c r="S340" s="272"/>
      <c r="T340" s="272"/>
      <c r="U340" s="272"/>
      <c r="V340" s="272"/>
      <c r="W340" s="272"/>
      <c r="X340" s="272"/>
      <c r="Y340" s="272"/>
      <c r="Z340" s="272"/>
      <c r="AA340" s="271"/>
      <c r="AB340" s="271"/>
      <c r="AC340" s="271"/>
      <c r="AD340" s="271"/>
      <c r="AE340" s="271"/>
      <c r="AF340" s="271"/>
      <c r="AG340" s="272"/>
    </row>
    <row r="341" spans="1:33">
      <c r="A341" s="273"/>
      <c r="B341" s="273"/>
      <c r="C341" s="271"/>
      <c r="D341" s="271"/>
      <c r="E341" s="271"/>
      <c r="F341" s="272"/>
      <c r="G341" s="272"/>
      <c r="H341" s="272"/>
      <c r="I341" s="272"/>
      <c r="J341" s="272"/>
      <c r="K341" s="272"/>
      <c r="L341" s="272"/>
      <c r="M341" s="272"/>
      <c r="N341" s="272"/>
      <c r="O341" s="272"/>
      <c r="P341" s="272"/>
      <c r="Q341" s="272"/>
      <c r="R341" s="272"/>
      <c r="S341" s="272"/>
      <c r="T341" s="272"/>
      <c r="U341" s="272"/>
      <c r="V341" s="272"/>
      <c r="W341" s="272"/>
      <c r="X341" s="272"/>
      <c r="Y341" s="272"/>
      <c r="Z341" s="272"/>
      <c r="AA341" s="271"/>
      <c r="AB341" s="271"/>
      <c r="AC341" s="271"/>
      <c r="AD341" s="271"/>
      <c r="AE341" s="271"/>
      <c r="AF341" s="271"/>
      <c r="AG341" s="272"/>
    </row>
    <row r="342" spans="1:33">
      <c r="A342" s="273"/>
      <c r="B342" s="273"/>
      <c r="C342" s="271"/>
      <c r="D342" s="271"/>
      <c r="E342" s="271"/>
      <c r="F342" s="272"/>
      <c r="G342" s="272"/>
      <c r="H342" s="272"/>
      <c r="I342" s="272"/>
      <c r="J342" s="272"/>
      <c r="K342" s="272"/>
      <c r="L342" s="272"/>
      <c r="M342" s="272"/>
      <c r="N342" s="272"/>
      <c r="O342" s="272"/>
      <c r="P342" s="272"/>
      <c r="Q342" s="272"/>
      <c r="R342" s="272"/>
      <c r="S342" s="272"/>
      <c r="T342" s="272"/>
      <c r="U342" s="272"/>
      <c r="V342" s="272"/>
      <c r="W342" s="272"/>
      <c r="X342" s="272"/>
      <c r="Y342" s="272"/>
      <c r="Z342" s="272"/>
      <c r="AA342" s="271"/>
      <c r="AB342" s="271"/>
      <c r="AC342" s="271"/>
      <c r="AD342" s="271"/>
      <c r="AE342" s="271"/>
      <c r="AF342" s="271"/>
      <c r="AG342" s="272"/>
    </row>
    <row r="343" spans="1:33">
      <c r="A343" s="273"/>
      <c r="B343" s="273"/>
      <c r="C343" s="271"/>
      <c r="D343" s="271"/>
      <c r="E343" s="271"/>
      <c r="F343" s="272"/>
      <c r="G343" s="272"/>
      <c r="H343" s="272"/>
      <c r="I343" s="272"/>
      <c r="J343" s="272"/>
      <c r="K343" s="272"/>
      <c r="L343" s="272"/>
      <c r="M343" s="272"/>
      <c r="N343" s="272"/>
      <c r="O343" s="272"/>
      <c r="P343" s="272"/>
      <c r="Q343" s="272"/>
      <c r="R343" s="272"/>
      <c r="S343" s="272"/>
      <c r="T343" s="272"/>
      <c r="U343" s="272"/>
      <c r="V343" s="272"/>
      <c r="W343" s="272"/>
      <c r="X343" s="272"/>
      <c r="Y343" s="272"/>
      <c r="Z343" s="272"/>
      <c r="AA343" s="271"/>
      <c r="AB343" s="271"/>
      <c r="AC343" s="271"/>
      <c r="AD343" s="271"/>
      <c r="AE343" s="271"/>
      <c r="AF343" s="271"/>
      <c r="AG343" s="272"/>
    </row>
    <row r="344" spans="1:33">
      <c r="A344" s="273"/>
      <c r="B344" s="273"/>
      <c r="C344" s="271"/>
      <c r="D344" s="271"/>
      <c r="E344" s="271"/>
      <c r="F344" s="272"/>
      <c r="G344" s="272"/>
      <c r="H344" s="272"/>
      <c r="I344" s="272"/>
      <c r="J344" s="272"/>
      <c r="K344" s="272"/>
      <c r="L344" s="272"/>
      <c r="M344" s="272"/>
      <c r="N344" s="272"/>
      <c r="O344" s="272"/>
      <c r="P344" s="272"/>
      <c r="Q344" s="272"/>
      <c r="R344" s="272"/>
      <c r="S344" s="272"/>
      <c r="T344" s="272"/>
      <c r="U344" s="272"/>
      <c r="V344" s="272"/>
      <c r="W344" s="272"/>
      <c r="X344" s="272"/>
      <c r="Y344" s="272"/>
      <c r="Z344" s="272"/>
      <c r="AA344" s="271"/>
      <c r="AB344" s="271"/>
      <c r="AC344" s="271"/>
      <c r="AD344" s="271"/>
      <c r="AE344" s="271"/>
      <c r="AF344" s="271"/>
      <c r="AG344" s="272"/>
    </row>
    <row r="345" spans="1:33">
      <c r="A345" s="273"/>
      <c r="B345" s="273"/>
      <c r="C345" s="271"/>
      <c r="D345" s="271"/>
      <c r="E345" s="271"/>
      <c r="F345" s="272"/>
      <c r="G345" s="272"/>
      <c r="H345" s="272"/>
      <c r="I345" s="272"/>
      <c r="J345" s="272"/>
      <c r="K345" s="272"/>
      <c r="L345" s="272"/>
      <c r="M345" s="272"/>
      <c r="N345" s="272"/>
      <c r="O345" s="272"/>
      <c r="P345" s="272"/>
      <c r="Q345" s="272"/>
      <c r="R345" s="272"/>
      <c r="S345" s="272"/>
      <c r="T345" s="272"/>
      <c r="U345" s="272"/>
      <c r="V345" s="272"/>
      <c r="W345" s="272"/>
      <c r="X345" s="272"/>
      <c r="Y345" s="272"/>
      <c r="Z345" s="272"/>
      <c r="AA345" s="271"/>
      <c r="AB345" s="271"/>
      <c r="AC345" s="271"/>
      <c r="AD345" s="271"/>
      <c r="AE345" s="271"/>
      <c r="AF345" s="271"/>
      <c r="AG345" s="272"/>
    </row>
    <row r="346" spans="1:33">
      <c r="A346" s="273"/>
      <c r="B346" s="273"/>
      <c r="C346" s="271"/>
      <c r="D346" s="271"/>
      <c r="E346" s="271"/>
      <c r="F346" s="272"/>
      <c r="G346" s="272"/>
      <c r="H346" s="272"/>
      <c r="I346" s="272"/>
      <c r="J346" s="272"/>
      <c r="K346" s="272"/>
      <c r="L346" s="272"/>
      <c r="M346" s="272"/>
      <c r="N346" s="272"/>
      <c r="O346" s="272"/>
      <c r="P346" s="272"/>
      <c r="Q346" s="272"/>
      <c r="R346" s="272"/>
      <c r="S346" s="272"/>
      <c r="T346" s="272"/>
      <c r="U346" s="272"/>
      <c r="V346" s="272"/>
      <c r="W346" s="272"/>
      <c r="X346" s="272"/>
      <c r="Y346" s="272"/>
      <c r="Z346" s="272"/>
      <c r="AA346" s="271"/>
      <c r="AB346" s="271"/>
      <c r="AC346" s="271"/>
      <c r="AD346" s="271"/>
      <c r="AE346" s="271"/>
      <c r="AF346" s="271"/>
      <c r="AG346" s="272"/>
    </row>
    <row r="347" spans="1:33">
      <c r="A347" s="273"/>
      <c r="B347" s="273"/>
      <c r="C347" s="271"/>
      <c r="D347" s="271"/>
      <c r="E347" s="271"/>
      <c r="F347" s="272"/>
      <c r="G347" s="272"/>
      <c r="H347" s="272"/>
      <c r="I347" s="272"/>
      <c r="J347" s="272"/>
      <c r="K347" s="272"/>
      <c r="L347" s="272"/>
      <c r="M347" s="272"/>
      <c r="N347" s="272"/>
      <c r="O347" s="272"/>
      <c r="P347" s="272"/>
      <c r="Q347" s="272"/>
      <c r="R347" s="272"/>
      <c r="S347" s="272"/>
      <c r="T347" s="272"/>
      <c r="U347" s="272"/>
      <c r="V347" s="272"/>
      <c r="W347" s="272"/>
      <c r="X347" s="272"/>
      <c r="Y347" s="272"/>
      <c r="Z347" s="272"/>
      <c r="AA347" s="271"/>
      <c r="AB347" s="271"/>
      <c r="AC347" s="271"/>
      <c r="AD347" s="271"/>
      <c r="AE347" s="271"/>
      <c r="AF347" s="271"/>
      <c r="AG347" s="272"/>
    </row>
    <row r="348" spans="1:33">
      <c r="A348" s="273"/>
      <c r="B348" s="273"/>
      <c r="C348" s="271"/>
      <c r="D348" s="271"/>
      <c r="E348" s="271"/>
      <c r="F348" s="272"/>
      <c r="G348" s="272"/>
      <c r="H348" s="272"/>
      <c r="I348" s="272"/>
      <c r="J348" s="272"/>
      <c r="K348" s="272"/>
      <c r="L348" s="272"/>
      <c r="M348" s="272"/>
      <c r="N348" s="272"/>
      <c r="O348" s="272"/>
      <c r="P348" s="272"/>
      <c r="Q348" s="272"/>
      <c r="R348" s="272"/>
      <c r="S348" s="272"/>
      <c r="T348" s="272"/>
      <c r="U348" s="272"/>
      <c r="V348" s="272"/>
      <c r="W348" s="272"/>
      <c r="X348" s="272"/>
      <c r="Y348" s="272"/>
      <c r="Z348" s="272"/>
      <c r="AA348" s="271"/>
      <c r="AB348" s="271"/>
      <c r="AC348" s="271"/>
      <c r="AD348" s="271"/>
      <c r="AE348" s="271"/>
      <c r="AF348" s="271"/>
      <c r="AG348" s="272"/>
    </row>
    <row r="349" spans="1:33">
      <c r="A349" s="273"/>
      <c r="B349" s="273"/>
      <c r="C349" s="271"/>
      <c r="D349" s="271"/>
      <c r="E349" s="271"/>
      <c r="F349" s="272"/>
      <c r="G349" s="272"/>
      <c r="H349" s="272"/>
      <c r="I349" s="272"/>
      <c r="J349" s="272"/>
      <c r="K349" s="272"/>
      <c r="L349" s="272"/>
      <c r="M349" s="272"/>
      <c r="N349" s="272"/>
      <c r="O349" s="272"/>
      <c r="P349" s="272"/>
      <c r="Q349" s="272"/>
      <c r="R349" s="272"/>
      <c r="S349" s="272"/>
      <c r="T349" s="272"/>
      <c r="U349" s="272"/>
      <c r="V349" s="272"/>
      <c r="W349" s="272"/>
      <c r="X349" s="272"/>
      <c r="Y349" s="272"/>
      <c r="Z349" s="272"/>
      <c r="AA349" s="271"/>
      <c r="AB349" s="271"/>
      <c r="AC349" s="271"/>
      <c r="AD349" s="271"/>
      <c r="AE349" s="271"/>
      <c r="AF349" s="271"/>
      <c r="AG349" s="272"/>
    </row>
    <row r="350" spans="1:33">
      <c r="A350" s="273"/>
      <c r="B350" s="273"/>
      <c r="C350" s="271"/>
      <c r="D350" s="271"/>
      <c r="E350" s="271"/>
      <c r="F350" s="272"/>
      <c r="G350" s="272"/>
      <c r="H350" s="272"/>
      <c r="I350" s="272"/>
      <c r="J350" s="272"/>
      <c r="K350" s="272"/>
      <c r="L350" s="272"/>
      <c r="M350" s="272"/>
      <c r="N350" s="272"/>
      <c r="O350" s="272"/>
      <c r="P350" s="272"/>
      <c r="Q350" s="272"/>
      <c r="R350" s="272"/>
      <c r="S350" s="272"/>
      <c r="T350" s="272"/>
      <c r="U350" s="272"/>
      <c r="V350" s="272"/>
      <c r="W350" s="272"/>
      <c r="X350" s="272"/>
      <c r="Y350" s="272"/>
      <c r="Z350" s="272"/>
      <c r="AA350" s="271"/>
      <c r="AB350" s="271"/>
      <c r="AC350" s="271"/>
      <c r="AD350" s="271"/>
      <c r="AE350" s="271"/>
      <c r="AF350" s="271"/>
      <c r="AG350" s="272"/>
    </row>
    <row r="351" spans="1:33">
      <c r="A351" s="273"/>
      <c r="B351" s="273"/>
      <c r="C351" s="271"/>
      <c r="D351" s="271"/>
      <c r="E351" s="271"/>
      <c r="F351" s="272"/>
      <c r="G351" s="272"/>
      <c r="H351" s="272"/>
      <c r="I351" s="272"/>
      <c r="J351" s="272"/>
      <c r="K351" s="272"/>
      <c r="L351" s="272"/>
      <c r="M351" s="272"/>
      <c r="N351" s="272"/>
      <c r="O351" s="272"/>
      <c r="P351" s="272"/>
      <c r="Q351" s="272"/>
      <c r="R351" s="272"/>
      <c r="S351" s="272"/>
      <c r="T351" s="272"/>
      <c r="U351" s="272"/>
      <c r="V351" s="272"/>
      <c r="W351" s="272"/>
      <c r="X351" s="272"/>
      <c r="Y351" s="272"/>
      <c r="Z351" s="272"/>
      <c r="AA351" s="271"/>
      <c r="AB351" s="271"/>
      <c r="AC351" s="271"/>
      <c r="AD351" s="271"/>
      <c r="AE351" s="271"/>
      <c r="AF351" s="271"/>
      <c r="AG351" s="272"/>
    </row>
    <row r="352" spans="1:33">
      <c r="A352" s="273"/>
      <c r="B352" s="273"/>
      <c r="C352" s="271"/>
      <c r="D352" s="271"/>
      <c r="E352" s="271"/>
      <c r="F352" s="272"/>
      <c r="G352" s="272"/>
      <c r="H352" s="272"/>
      <c r="I352" s="272"/>
      <c r="J352" s="272"/>
      <c r="K352" s="272"/>
      <c r="L352" s="272"/>
      <c r="M352" s="272"/>
      <c r="N352" s="272"/>
      <c r="O352" s="272"/>
      <c r="P352" s="272"/>
      <c r="Q352" s="272"/>
      <c r="R352" s="272"/>
      <c r="S352" s="272"/>
      <c r="T352" s="272"/>
      <c r="U352" s="272"/>
      <c r="V352" s="272"/>
      <c r="W352" s="272"/>
      <c r="X352" s="272"/>
      <c r="Y352" s="272"/>
      <c r="Z352" s="272"/>
      <c r="AA352" s="271"/>
      <c r="AB352" s="271"/>
      <c r="AC352" s="271"/>
      <c r="AD352" s="271"/>
      <c r="AE352" s="271"/>
      <c r="AF352" s="271"/>
      <c r="AG352" s="272"/>
    </row>
    <row r="353" spans="1:33">
      <c r="A353" s="273"/>
      <c r="B353" s="273"/>
      <c r="C353" s="271"/>
      <c r="D353" s="271"/>
      <c r="E353" s="271"/>
      <c r="F353" s="272"/>
      <c r="G353" s="272"/>
      <c r="H353" s="272"/>
      <c r="I353" s="272"/>
      <c r="J353" s="272"/>
      <c r="K353" s="272"/>
      <c r="L353" s="272"/>
      <c r="M353" s="272"/>
      <c r="N353" s="272"/>
      <c r="O353" s="272"/>
      <c r="P353" s="272"/>
      <c r="Q353" s="272"/>
      <c r="R353" s="272"/>
      <c r="S353" s="272"/>
      <c r="T353" s="272"/>
      <c r="U353" s="272"/>
      <c r="V353" s="272"/>
      <c r="W353" s="272"/>
      <c r="X353" s="272"/>
      <c r="Y353" s="272"/>
      <c r="Z353" s="272"/>
      <c r="AA353" s="271"/>
      <c r="AB353" s="271"/>
      <c r="AC353" s="271"/>
      <c r="AD353" s="271"/>
      <c r="AE353" s="271"/>
      <c r="AF353" s="271"/>
      <c r="AG353" s="272"/>
    </row>
    <row r="354" spans="1:33">
      <c r="A354" s="273"/>
      <c r="B354" s="273"/>
      <c r="C354" s="271"/>
      <c r="D354" s="271"/>
      <c r="E354" s="271"/>
      <c r="F354" s="272"/>
      <c r="G354" s="272"/>
      <c r="H354" s="272"/>
      <c r="I354" s="272"/>
      <c r="J354" s="272"/>
      <c r="K354" s="272"/>
      <c r="L354" s="272"/>
      <c r="M354" s="272"/>
      <c r="N354" s="272"/>
      <c r="O354" s="272"/>
      <c r="P354" s="272"/>
      <c r="Q354" s="272"/>
      <c r="R354" s="272"/>
      <c r="S354" s="272"/>
      <c r="T354" s="272"/>
      <c r="U354" s="272"/>
      <c r="V354" s="272"/>
      <c r="W354" s="272"/>
      <c r="X354" s="272"/>
      <c r="Y354" s="272"/>
      <c r="Z354" s="272"/>
      <c r="AA354" s="271"/>
      <c r="AB354" s="271"/>
      <c r="AC354" s="271"/>
      <c r="AD354" s="271"/>
      <c r="AE354" s="271"/>
      <c r="AF354" s="271"/>
      <c r="AG354" s="272"/>
    </row>
    <row r="355" spans="1:33">
      <c r="A355" s="273"/>
      <c r="B355" s="273"/>
      <c r="C355" s="271"/>
      <c r="D355" s="271"/>
      <c r="E355" s="271"/>
      <c r="F355" s="272"/>
      <c r="G355" s="272"/>
      <c r="H355" s="272"/>
      <c r="I355" s="272"/>
      <c r="J355" s="272"/>
      <c r="K355" s="272"/>
      <c r="L355" s="272"/>
      <c r="M355" s="272"/>
      <c r="N355" s="272"/>
      <c r="O355" s="272"/>
      <c r="P355" s="272"/>
      <c r="Q355" s="272"/>
      <c r="R355" s="272"/>
      <c r="S355" s="272"/>
      <c r="T355" s="272"/>
      <c r="U355" s="272"/>
      <c r="V355" s="272"/>
      <c r="W355" s="272"/>
      <c r="X355" s="272"/>
      <c r="Y355" s="272"/>
      <c r="Z355" s="272"/>
      <c r="AA355" s="271"/>
      <c r="AB355" s="271"/>
      <c r="AC355" s="271"/>
      <c r="AD355" s="271"/>
      <c r="AE355" s="271"/>
      <c r="AF355" s="271"/>
      <c r="AG355" s="272"/>
    </row>
    <row r="356" spans="1:33">
      <c r="A356" s="273"/>
      <c r="B356" s="273"/>
      <c r="C356" s="271"/>
      <c r="D356" s="271"/>
      <c r="E356" s="271"/>
      <c r="F356" s="272"/>
      <c r="G356" s="272"/>
      <c r="H356" s="272"/>
      <c r="I356" s="272"/>
      <c r="J356" s="272"/>
      <c r="K356" s="272"/>
      <c r="L356" s="272"/>
      <c r="M356" s="272"/>
      <c r="N356" s="272"/>
      <c r="O356" s="272"/>
      <c r="P356" s="272"/>
      <c r="Q356" s="272"/>
      <c r="R356" s="272"/>
      <c r="S356" s="272"/>
      <c r="T356" s="272"/>
      <c r="U356" s="272"/>
      <c r="V356" s="272"/>
      <c r="W356" s="272"/>
      <c r="X356" s="272"/>
      <c r="Y356" s="272"/>
      <c r="Z356" s="272"/>
      <c r="AA356" s="271"/>
      <c r="AB356" s="271"/>
      <c r="AC356" s="271"/>
      <c r="AD356" s="271"/>
      <c r="AE356" s="271"/>
      <c r="AF356" s="271"/>
      <c r="AG356" s="272"/>
    </row>
    <row r="357" spans="1:33">
      <c r="A357" s="273"/>
      <c r="B357" s="273"/>
      <c r="C357" s="271"/>
      <c r="D357" s="271"/>
      <c r="E357" s="271"/>
      <c r="F357" s="272"/>
      <c r="G357" s="272"/>
      <c r="H357" s="272"/>
      <c r="I357" s="272"/>
      <c r="J357" s="272"/>
      <c r="K357" s="272"/>
      <c r="L357" s="272"/>
      <c r="M357" s="272"/>
      <c r="N357" s="272"/>
      <c r="O357" s="272"/>
      <c r="P357" s="272"/>
      <c r="Q357" s="272"/>
      <c r="R357" s="272"/>
      <c r="S357" s="272"/>
      <c r="T357" s="272"/>
      <c r="U357" s="272"/>
      <c r="V357" s="272"/>
      <c r="W357" s="272"/>
      <c r="X357" s="272"/>
      <c r="Y357" s="272"/>
      <c r="Z357" s="272"/>
      <c r="AA357" s="271"/>
      <c r="AB357" s="271"/>
      <c r="AC357" s="271"/>
      <c r="AD357" s="271"/>
      <c r="AE357" s="271"/>
      <c r="AF357" s="271"/>
      <c r="AG357" s="272"/>
    </row>
    <row r="358" spans="1:33">
      <c r="A358" s="273"/>
      <c r="B358" s="273"/>
      <c r="C358" s="271"/>
      <c r="D358" s="271"/>
      <c r="E358" s="271"/>
      <c r="F358" s="272"/>
      <c r="G358" s="272"/>
      <c r="H358" s="272"/>
      <c r="I358" s="272"/>
      <c r="J358" s="272"/>
      <c r="K358" s="272"/>
      <c r="L358" s="272"/>
      <c r="M358" s="272"/>
      <c r="N358" s="272"/>
      <c r="O358" s="272"/>
      <c r="P358" s="272"/>
      <c r="Q358" s="272"/>
      <c r="R358" s="272"/>
      <c r="S358" s="272"/>
      <c r="T358" s="272"/>
      <c r="U358" s="272"/>
      <c r="V358" s="272"/>
      <c r="W358" s="272"/>
      <c r="X358" s="272"/>
      <c r="Y358" s="272"/>
      <c r="Z358" s="272"/>
      <c r="AA358" s="271"/>
      <c r="AB358" s="271"/>
      <c r="AC358" s="271"/>
      <c r="AD358" s="271"/>
      <c r="AE358" s="271"/>
      <c r="AF358" s="271"/>
      <c r="AG358" s="272"/>
    </row>
    <row r="359" spans="1:33">
      <c r="A359" s="273"/>
      <c r="B359" s="273"/>
      <c r="C359" s="271"/>
      <c r="D359" s="271"/>
      <c r="E359" s="271"/>
      <c r="F359" s="272"/>
      <c r="G359" s="272"/>
      <c r="H359" s="272"/>
      <c r="I359" s="272"/>
      <c r="J359" s="272"/>
      <c r="K359" s="272"/>
      <c r="L359" s="272"/>
      <c r="M359" s="272"/>
      <c r="N359" s="272"/>
      <c r="O359" s="272"/>
      <c r="P359" s="272"/>
      <c r="Q359" s="272"/>
      <c r="R359" s="272"/>
      <c r="S359" s="272"/>
      <c r="T359" s="272"/>
      <c r="U359" s="272"/>
      <c r="V359" s="272"/>
      <c r="W359" s="272"/>
      <c r="X359" s="272"/>
      <c r="Y359" s="272"/>
      <c r="Z359" s="272"/>
      <c r="AA359" s="271"/>
      <c r="AB359" s="271"/>
      <c r="AC359" s="271"/>
      <c r="AD359" s="271"/>
      <c r="AE359" s="271"/>
      <c r="AF359" s="271"/>
      <c r="AG359" s="272"/>
    </row>
    <row r="360" spans="1:33">
      <c r="A360" s="273"/>
      <c r="B360" s="273"/>
      <c r="C360" s="271"/>
      <c r="D360" s="271"/>
      <c r="E360" s="271"/>
      <c r="F360" s="272"/>
      <c r="G360" s="272"/>
      <c r="H360" s="272"/>
      <c r="I360" s="272"/>
      <c r="J360" s="272"/>
      <c r="K360" s="272"/>
      <c r="L360" s="272"/>
      <c r="M360" s="272"/>
      <c r="N360" s="272"/>
      <c r="O360" s="272"/>
      <c r="P360" s="272"/>
      <c r="Q360" s="272"/>
      <c r="R360" s="272"/>
      <c r="S360" s="272"/>
      <c r="T360" s="272"/>
      <c r="U360" s="272"/>
      <c r="V360" s="272"/>
      <c r="W360" s="272"/>
      <c r="X360" s="272"/>
      <c r="Y360" s="272"/>
      <c r="Z360" s="272"/>
      <c r="AA360" s="271"/>
      <c r="AB360" s="271"/>
      <c r="AC360" s="271"/>
      <c r="AD360" s="271"/>
      <c r="AE360" s="271"/>
      <c r="AF360" s="271"/>
      <c r="AG360" s="272"/>
    </row>
    <row r="361" spans="1:33">
      <c r="A361" s="273"/>
      <c r="B361" s="273"/>
      <c r="C361" s="271"/>
      <c r="D361" s="271"/>
      <c r="E361" s="271"/>
      <c r="F361" s="272"/>
      <c r="G361" s="272"/>
      <c r="H361" s="272"/>
      <c r="I361" s="272"/>
      <c r="J361" s="272"/>
      <c r="K361" s="272"/>
      <c r="L361" s="272"/>
      <c r="M361" s="272"/>
      <c r="N361" s="272"/>
      <c r="O361" s="272"/>
      <c r="P361" s="272"/>
      <c r="Q361" s="272"/>
      <c r="R361" s="272"/>
      <c r="S361" s="272"/>
      <c r="T361" s="272"/>
      <c r="U361" s="272"/>
      <c r="V361" s="272"/>
      <c r="W361" s="272"/>
      <c r="X361" s="272"/>
      <c r="Y361" s="272"/>
      <c r="Z361" s="272"/>
      <c r="AA361" s="271"/>
      <c r="AB361" s="271"/>
      <c r="AC361" s="271"/>
      <c r="AD361" s="271"/>
      <c r="AE361" s="271"/>
      <c r="AF361" s="271"/>
      <c r="AG361" s="272"/>
    </row>
    <row r="362" spans="1:33">
      <c r="A362" s="273"/>
      <c r="B362" s="273"/>
      <c r="C362" s="271"/>
      <c r="D362" s="271"/>
      <c r="E362" s="271"/>
      <c r="F362" s="272"/>
      <c r="G362" s="272"/>
      <c r="H362" s="272"/>
      <c r="I362" s="272"/>
      <c r="J362" s="272"/>
      <c r="K362" s="272"/>
      <c r="L362" s="272"/>
      <c r="M362" s="272"/>
      <c r="N362" s="272"/>
      <c r="O362" s="272"/>
      <c r="P362" s="272"/>
      <c r="Q362" s="272"/>
      <c r="R362" s="272"/>
      <c r="S362" s="272"/>
      <c r="T362" s="272"/>
      <c r="U362" s="272"/>
      <c r="V362" s="272"/>
      <c r="W362" s="272"/>
      <c r="X362" s="272"/>
      <c r="Y362" s="272"/>
      <c r="Z362" s="272"/>
      <c r="AA362" s="271"/>
      <c r="AB362" s="271"/>
      <c r="AC362" s="271"/>
      <c r="AD362" s="271"/>
      <c r="AE362" s="271"/>
      <c r="AF362" s="271"/>
      <c r="AG362" s="272"/>
    </row>
    <row r="363" spans="1:33">
      <c r="A363" s="273"/>
      <c r="B363" s="273"/>
      <c r="C363" s="271"/>
      <c r="D363" s="271"/>
      <c r="E363" s="271"/>
      <c r="F363" s="272"/>
      <c r="G363" s="272"/>
      <c r="H363" s="272"/>
      <c r="I363" s="272"/>
      <c r="J363" s="272"/>
      <c r="K363" s="272"/>
      <c r="L363" s="272"/>
      <c r="M363" s="272"/>
      <c r="N363" s="272"/>
      <c r="O363" s="272"/>
      <c r="P363" s="272"/>
      <c r="Q363" s="272"/>
      <c r="R363" s="272"/>
      <c r="S363" s="272"/>
      <c r="T363" s="272"/>
      <c r="U363" s="272"/>
      <c r="V363" s="272"/>
      <c r="W363" s="272"/>
      <c r="X363" s="272"/>
      <c r="Y363" s="272"/>
      <c r="Z363" s="272"/>
      <c r="AA363" s="271"/>
      <c r="AB363" s="271"/>
      <c r="AC363" s="271"/>
      <c r="AD363" s="271"/>
      <c r="AE363" s="271"/>
      <c r="AF363" s="271"/>
      <c r="AG363" s="272"/>
    </row>
    <row r="364" spans="1:33">
      <c r="A364" s="273"/>
      <c r="B364" s="273"/>
      <c r="C364" s="271"/>
      <c r="D364" s="271"/>
      <c r="E364" s="271"/>
      <c r="F364" s="272"/>
      <c r="G364" s="272"/>
      <c r="H364" s="272"/>
      <c r="I364" s="272"/>
      <c r="J364" s="272"/>
      <c r="K364" s="272"/>
      <c r="L364" s="272"/>
      <c r="M364" s="272"/>
      <c r="N364" s="272"/>
      <c r="O364" s="272"/>
      <c r="P364" s="272"/>
      <c r="Q364" s="272"/>
      <c r="R364" s="272"/>
      <c r="S364" s="272"/>
      <c r="T364" s="272"/>
      <c r="U364" s="272"/>
      <c r="V364" s="272"/>
      <c r="W364" s="272"/>
      <c r="X364" s="272"/>
      <c r="Y364" s="272"/>
      <c r="Z364" s="272"/>
      <c r="AA364" s="271"/>
      <c r="AB364" s="271"/>
      <c r="AC364" s="271"/>
      <c r="AD364" s="271"/>
      <c r="AE364" s="271"/>
      <c r="AF364" s="271"/>
      <c r="AG364" s="272"/>
    </row>
    <row r="365" spans="1:33">
      <c r="A365" s="273"/>
      <c r="B365" s="273"/>
      <c r="C365" s="271"/>
      <c r="D365" s="271"/>
      <c r="E365" s="271"/>
      <c r="F365" s="272"/>
      <c r="G365" s="272"/>
      <c r="H365" s="272"/>
      <c r="I365" s="272"/>
      <c r="J365" s="272"/>
      <c r="K365" s="272"/>
      <c r="L365" s="272"/>
      <c r="M365" s="272"/>
      <c r="N365" s="272"/>
      <c r="O365" s="272"/>
      <c r="P365" s="272"/>
      <c r="Q365" s="272"/>
      <c r="R365" s="272"/>
      <c r="S365" s="272"/>
      <c r="T365" s="272"/>
      <c r="U365" s="272"/>
      <c r="V365" s="272"/>
      <c r="W365" s="272"/>
      <c r="X365" s="272"/>
      <c r="Y365" s="272"/>
      <c r="Z365" s="272"/>
      <c r="AA365" s="271"/>
      <c r="AB365" s="271"/>
      <c r="AC365" s="271"/>
      <c r="AD365" s="271"/>
      <c r="AE365" s="271"/>
      <c r="AF365" s="271"/>
      <c r="AG365" s="272"/>
    </row>
    <row r="366" spans="1:33">
      <c r="A366" s="273"/>
      <c r="B366" s="273"/>
      <c r="C366" s="271"/>
      <c r="D366" s="271"/>
      <c r="E366" s="271"/>
      <c r="F366" s="272"/>
      <c r="G366" s="272"/>
      <c r="H366" s="272"/>
      <c r="I366" s="272"/>
      <c r="J366" s="272"/>
      <c r="K366" s="272"/>
      <c r="L366" s="272"/>
      <c r="M366" s="272"/>
      <c r="N366" s="272"/>
      <c r="O366" s="272"/>
      <c r="P366" s="272"/>
      <c r="Q366" s="272"/>
      <c r="R366" s="272"/>
      <c r="S366" s="272"/>
      <c r="T366" s="272"/>
      <c r="U366" s="272"/>
      <c r="V366" s="272"/>
      <c r="W366" s="272"/>
      <c r="X366" s="272"/>
      <c r="Y366" s="272"/>
      <c r="Z366" s="272"/>
      <c r="AA366" s="271"/>
      <c r="AB366" s="271"/>
      <c r="AC366" s="271"/>
      <c r="AD366" s="271"/>
      <c r="AE366" s="271"/>
      <c r="AF366" s="271"/>
      <c r="AG366" s="272"/>
    </row>
    <row r="367" spans="1:33">
      <c r="A367" s="273"/>
      <c r="B367" s="273"/>
      <c r="C367" s="271"/>
      <c r="D367" s="271"/>
      <c r="E367" s="271"/>
      <c r="F367" s="272"/>
      <c r="G367" s="272"/>
      <c r="H367" s="272"/>
      <c r="I367" s="272"/>
      <c r="J367" s="272"/>
      <c r="K367" s="272"/>
      <c r="L367" s="272"/>
      <c r="M367" s="272"/>
      <c r="N367" s="272"/>
      <c r="O367" s="272"/>
      <c r="P367" s="272"/>
      <c r="Q367" s="272"/>
      <c r="R367" s="272"/>
      <c r="S367" s="272"/>
      <c r="T367" s="272"/>
      <c r="U367" s="272"/>
      <c r="V367" s="272"/>
      <c r="W367" s="272"/>
      <c r="X367" s="272"/>
      <c r="Y367" s="272"/>
      <c r="Z367" s="272"/>
      <c r="AA367" s="271"/>
      <c r="AB367" s="271"/>
      <c r="AC367" s="271"/>
      <c r="AD367" s="271"/>
      <c r="AE367" s="271"/>
      <c r="AF367" s="271"/>
      <c r="AG367" s="272"/>
    </row>
    <row r="368" spans="1:33">
      <c r="A368" s="273"/>
      <c r="B368" s="273"/>
      <c r="C368" s="271"/>
      <c r="D368" s="271"/>
      <c r="E368" s="271"/>
      <c r="F368" s="272"/>
      <c r="G368" s="272"/>
      <c r="H368" s="272"/>
      <c r="I368" s="272"/>
      <c r="J368" s="272"/>
      <c r="K368" s="272"/>
      <c r="L368" s="272"/>
      <c r="M368" s="272"/>
      <c r="N368" s="272"/>
      <c r="O368" s="272"/>
      <c r="P368" s="272"/>
      <c r="Q368" s="272"/>
      <c r="R368" s="272"/>
      <c r="S368" s="272"/>
      <c r="T368" s="272"/>
      <c r="U368" s="272"/>
      <c r="V368" s="272"/>
      <c r="W368" s="272"/>
      <c r="X368" s="272"/>
      <c r="Y368" s="272"/>
      <c r="Z368" s="272"/>
      <c r="AA368" s="271"/>
      <c r="AB368" s="271"/>
      <c r="AC368" s="271"/>
      <c r="AD368" s="271"/>
      <c r="AE368" s="271"/>
      <c r="AF368" s="271"/>
      <c r="AG368" s="272"/>
    </row>
    <row r="369" spans="1:33">
      <c r="A369" s="273"/>
      <c r="B369" s="273"/>
      <c r="C369" s="271"/>
      <c r="D369" s="271"/>
      <c r="E369" s="271"/>
      <c r="F369" s="272"/>
      <c r="G369" s="272"/>
      <c r="H369" s="272"/>
      <c r="I369" s="272"/>
      <c r="J369" s="272"/>
      <c r="K369" s="272"/>
      <c r="L369" s="272"/>
      <c r="M369" s="272"/>
      <c r="N369" s="272"/>
      <c r="O369" s="272"/>
      <c r="P369" s="272"/>
      <c r="Q369" s="272"/>
      <c r="R369" s="272"/>
      <c r="S369" s="272"/>
      <c r="T369" s="272"/>
      <c r="U369" s="272"/>
      <c r="V369" s="272"/>
      <c r="W369" s="272"/>
      <c r="X369" s="272"/>
      <c r="Y369" s="272"/>
      <c r="Z369" s="272"/>
      <c r="AA369" s="271"/>
      <c r="AB369" s="271"/>
      <c r="AC369" s="271"/>
      <c r="AD369" s="271"/>
      <c r="AE369" s="271"/>
      <c r="AF369" s="271"/>
      <c r="AG369" s="272"/>
    </row>
    <row r="370" spans="1:33">
      <c r="A370" s="273"/>
      <c r="B370" s="273"/>
      <c r="C370" s="271"/>
      <c r="D370" s="271"/>
      <c r="E370" s="271"/>
      <c r="F370" s="272"/>
      <c r="G370" s="272"/>
      <c r="H370" s="272"/>
      <c r="I370" s="272"/>
      <c r="J370" s="272"/>
      <c r="K370" s="272"/>
      <c r="L370" s="272"/>
      <c r="M370" s="272"/>
      <c r="N370" s="272"/>
      <c r="O370" s="272"/>
      <c r="P370" s="272"/>
      <c r="Q370" s="272"/>
      <c r="R370" s="272"/>
      <c r="S370" s="272"/>
      <c r="T370" s="272"/>
      <c r="U370" s="272"/>
      <c r="V370" s="272"/>
      <c r="W370" s="272"/>
      <c r="X370" s="272"/>
      <c r="Y370" s="272"/>
      <c r="Z370" s="272"/>
      <c r="AA370" s="271"/>
      <c r="AB370" s="271"/>
      <c r="AC370" s="271"/>
      <c r="AD370" s="271"/>
      <c r="AE370" s="271"/>
      <c r="AF370" s="271"/>
      <c r="AG370" s="272"/>
    </row>
    <row r="371" spans="1:33">
      <c r="A371" s="273"/>
      <c r="B371" s="273"/>
      <c r="C371" s="271"/>
      <c r="D371" s="271"/>
      <c r="E371" s="271"/>
      <c r="F371" s="272"/>
      <c r="G371" s="272"/>
      <c r="H371" s="272"/>
      <c r="I371" s="272"/>
      <c r="J371" s="272"/>
      <c r="K371" s="272"/>
      <c r="L371" s="272"/>
      <c r="M371" s="272"/>
      <c r="N371" s="272"/>
      <c r="O371" s="272"/>
      <c r="P371" s="272"/>
      <c r="Q371" s="272"/>
      <c r="R371" s="272"/>
      <c r="S371" s="272"/>
      <c r="T371" s="272"/>
      <c r="U371" s="272"/>
      <c r="V371" s="272"/>
      <c r="W371" s="272"/>
      <c r="X371" s="272"/>
      <c r="Y371" s="272"/>
      <c r="Z371" s="272"/>
      <c r="AA371" s="271"/>
      <c r="AB371" s="271"/>
      <c r="AC371" s="271"/>
      <c r="AD371" s="271"/>
      <c r="AE371" s="271"/>
      <c r="AF371" s="271"/>
      <c r="AG371" s="272"/>
    </row>
    <row r="372" spans="1:33">
      <c r="A372" s="273"/>
      <c r="B372" s="273"/>
      <c r="C372" s="271"/>
      <c r="D372" s="271"/>
      <c r="E372" s="271"/>
      <c r="F372" s="272"/>
      <c r="G372" s="272"/>
      <c r="H372" s="272"/>
      <c r="I372" s="272"/>
      <c r="J372" s="272"/>
      <c r="K372" s="272"/>
      <c r="L372" s="272"/>
      <c r="M372" s="272"/>
      <c r="N372" s="272"/>
      <c r="O372" s="272"/>
      <c r="P372" s="272"/>
      <c r="Q372" s="272"/>
      <c r="R372" s="272"/>
      <c r="S372" s="272"/>
      <c r="T372" s="272"/>
      <c r="U372" s="272"/>
      <c r="V372" s="272"/>
      <c r="W372" s="272"/>
      <c r="X372" s="272"/>
      <c r="Y372" s="272"/>
      <c r="Z372" s="272"/>
      <c r="AA372" s="271"/>
      <c r="AB372" s="271"/>
      <c r="AC372" s="271"/>
      <c r="AD372" s="271"/>
      <c r="AE372" s="271"/>
      <c r="AF372" s="271"/>
      <c r="AG372" s="272"/>
    </row>
    <row r="373" spans="1:33">
      <c r="A373" s="273"/>
      <c r="B373" s="273"/>
      <c r="C373" s="271"/>
      <c r="D373" s="271"/>
      <c r="E373" s="271"/>
      <c r="F373" s="272"/>
      <c r="G373" s="272"/>
      <c r="H373" s="272"/>
      <c r="I373" s="272"/>
      <c r="J373" s="272"/>
      <c r="K373" s="272"/>
      <c r="L373" s="272"/>
      <c r="M373" s="272"/>
      <c r="N373" s="272"/>
      <c r="O373" s="272"/>
      <c r="P373" s="272"/>
      <c r="Q373" s="272"/>
      <c r="R373" s="272"/>
      <c r="S373" s="272"/>
      <c r="T373" s="272"/>
      <c r="U373" s="272"/>
      <c r="V373" s="272"/>
      <c r="W373" s="272"/>
      <c r="X373" s="272"/>
      <c r="Y373" s="272"/>
      <c r="Z373" s="272"/>
      <c r="AA373" s="271"/>
      <c r="AB373" s="271"/>
      <c r="AC373" s="271"/>
      <c r="AD373" s="271"/>
      <c r="AE373" s="271"/>
      <c r="AF373" s="271"/>
      <c r="AG373" s="272"/>
    </row>
    <row r="374" spans="1:33">
      <c r="A374" s="273"/>
      <c r="B374" s="273"/>
      <c r="C374" s="271"/>
      <c r="D374" s="271"/>
      <c r="E374" s="271"/>
      <c r="F374" s="272"/>
      <c r="G374" s="272"/>
      <c r="H374" s="272"/>
      <c r="I374" s="272"/>
      <c r="J374" s="272"/>
      <c r="K374" s="272"/>
      <c r="L374" s="272"/>
      <c r="M374" s="272"/>
      <c r="N374" s="272"/>
      <c r="O374" s="272"/>
      <c r="P374" s="272"/>
      <c r="Q374" s="272"/>
      <c r="R374" s="272"/>
      <c r="S374" s="272"/>
      <c r="T374" s="272"/>
      <c r="U374" s="272"/>
      <c r="V374" s="272"/>
      <c r="W374" s="272"/>
      <c r="X374" s="272"/>
      <c r="Y374" s="272"/>
      <c r="Z374" s="272"/>
      <c r="AA374" s="271"/>
      <c r="AB374" s="271"/>
      <c r="AC374" s="271"/>
      <c r="AD374" s="271"/>
      <c r="AE374" s="271"/>
      <c r="AF374" s="271"/>
      <c r="AG374" s="272"/>
    </row>
    <row r="375" spans="1:33">
      <c r="A375" s="273"/>
      <c r="B375" s="273"/>
      <c r="C375" s="271"/>
      <c r="D375" s="271"/>
      <c r="E375" s="271"/>
      <c r="F375" s="272"/>
      <c r="G375" s="272"/>
      <c r="H375" s="272"/>
      <c r="I375" s="272"/>
      <c r="J375" s="272"/>
      <c r="K375" s="272"/>
      <c r="L375" s="272"/>
      <c r="M375" s="272"/>
      <c r="N375" s="272"/>
      <c r="O375" s="272"/>
      <c r="P375" s="272"/>
      <c r="Q375" s="272"/>
      <c r="R375" s="272"/>
      <c r="S375" s="272"/>
      <c r="T375" s="272"/>
      <c r="U375" s="272"/>
      <c r="V375" s="272"/>
      <c r="W375" s="272"/>
      <c r="X375" s="272"/>
      <c r="Y375" s="272"/>
      <c r="Z375" s="272"/>
      <c r="AA375" s="271"/>
      <c r="AB375" s="271"/>
      <c r="AC375" s="271"/>
      <c r="AD375" s="271"/>
      <c r="AE375" s="271"/>
      <c r="AF375" s="271"/>
      <c r="AG375" s="272"/>
    </row>
    <row r="376" spans="1:33">
      <c r="A376" s="273"/>
      <c r="B376" s="273"/>
      <c r="C376" s="271"/>
      <c r="D376" s="271"/>
      <c r="E376" s="271"/>
      <c r="F376" s="272"/>
      <c r="G376" s="272"/>
      <c r="H376" s="272"/>
      <c r="I376" s="272"/>
      <c r="J376" s="272"/>
      <c r="K376" s="272"/>
      <c r="L376" s="272"/>
      <c r="M376" s="272"/>
      <c r="N376" s="272"/>
      <c r="O376" s="272"/>
      <c r="P376" s="272"/>
      <c r="Q376" s="272"/>
      <c r="R376" s="272"/>
      <c r="S376" s="272"/>
      <c r="T376" s="272"/>
      <c r="U376" s="272"/>
      <c r="V376" s="272"/>
      <c r="W376" s="272"/>
      <c r="X376" s="272"/>
      <c r="Y376" s="272"/>
      <c r="Z376" s="272"/>
      <c r="AA376" s="271"/>
      <c r="AB376" s="271"/>
      <c r="AC376" s="271"/>
      <c r="AD376" s="271"/>
      <c r="AE376" s="271"/>
      <c r="AF376" s="271"/>
      <c r="AG376" s="272"/>
    </row>
    <row r="377" spans="1:33">
      <c r="A377" s="273"/>
      <c r="B377" s="273"/>
      <c r="C377" s="271"/>
      <c r="D377" s="271"/>
      <c r="E377" s="271"/>
      <c r="F377" s="272"/>
      <c r="G377" s="272"/>
      <c r="H377" s="272"/>
      <c r="I377" s="272"/>
      <c r="J377" s="272"/>
      <c r="K377" s="272"/>
      <c r="L377" s="272"/>
      <c r="M377" s="272"/>
      <c r="N377" s="272"/>
      <c r="O377" s="272"/>
      <c r="P377" s="272"/>
      <c r="Q377" s="272"/>
      <c r="R377" s="272"/>
      <c r="S377" s="272"/>
      <c r="T377" s="272"/>
      <c r="U377" s="272"/>
      <c r="V377" s="272"/>
      <c r="W377" s="272"/>
      <c r="X377" s="272"/>
      <c r="Y377" s="272"/>
      <c r="Z377" s="272"/>
      <c r="AA377" s="271"/>
      <c r="AB377" s="271"/>
      <c r="AC377" s="271"/>
      <c r="AD377" s="271"/>
      <c r="AE377" s="271"/>
      <c r="AF377" s="271"/>
      <c r="AG377" s="272"/>
    </row>
    <row r="378" spans="1:33">
      <c r="A378" s="273"/>
      <c r="B378" s="273"/>
      <c r="C378" s="271"/>
      <c r="D378" s="271"/>
      <c r="E378" s="271"/>
      <c r="F378" s="272"/>
      <c r="G378" s="272"/>
      <c r="H378" s="272"/>
      <c r="I378" s="272"/>
      <c r="J378" s="272"/>
      <c r="K378" s="272"/>
      <c r="L378" s="272"/>
      <c r="M378" s="272"/>
      <c r="N378" s="272"/>
      <c r="O378" s="272"/>
      <c r="P378" s="272"/>
      <c r="Q378" s="272"/>
      <c r="R378" s="272"/>
      <c r="S378" s="272"/>
      <c r="T378" s="272"/>
      <c r="U378" s="272"/>
      <c r="V378" s="272"/>
      <c r="W378" s="272"/>
      <c r="X378" s="272"/>
      <c r="Y378" s="272"/>
      <c r="Z378" s="272"/>
      <c r="AA378" s="271"/>
      <c r="AB378" s="271"/>
      <c r="AC378" s="271"/>
      <c r="AD378" s="271"/>
      <c r="AE378" s="271"/>
      <c r="AF378" s="271"/>
      <c r="AG378" s="272"/>
    </row>
    <row r="379" spans="1:33">
      <c r="A379" s="273"/>
      <c r="B379" s="273"/>
      <c r="C379" s="271"/>
      <c r="D379" s="271"/>
      <c r="E379" s="271"/>
      <c r="F379" s="272"/>
      <c r="G379" s="272"/>
      <c r="H379" s="272"/>
      <c r="I379" s="272"/>
      <c r="J379" s="272"/>
      <c r="K379" s="272"/>
      <c r="L379" s="272"/>
      <c r="M379" s="272"/>
      <c r="N379" s="272"/>
      <c r="O379" s="272"/>
      <c r="P379" s="272"/>
      <c r="Q379" s="272"/>
      <c r="R379" s="272"/>
      <c r="S379" s="272"/>
      <c r="T379" s="272"/>
      <c r="U379" s="272"/>
      <c r="V379" s="272"/>
      <c r="W379" s="272"/>
      <c r="X379" s="272"/>
      <c r="Y379" s="272"/>
      <c r="Z379" s="272"/>
      <c r="AA379" s="271"/>
      <c r="AB379" s="271"/>
      <c r="AC379" s="271"/>
      <c r="AD379" s="271"/>
      <c r="AE379" s="271"/>
      <c r="AF379" s="271"/>
      <c r="AG379" s="272"/>
    </row>
    <row r="380" spans="1:33">
      <c r="A380" s="273"/>
      <c r="B380" s="273"/>
      <c r="C380" s="271"/>
      <c r="D380" s="271"/>
      <c r="E380" s="271"/>
      <c r="F380" s="272"/>
      <c r="G380" s="272"/>
      <c r="H380" s="272"/>
      <c r="I380" s="272"/>
      <c r="J380" s="272"/>
      <c r="K380" s="272"/>
      <c r="L380" s="272"/>
      <c r="M380" s="272"/>
      <c r="N380" s="272"/>
      <c r="O380" s="272"/>
      <c r="P380" s="272"/>
      <c r="Q380" s="272"/>
      <c r="R380" s="272"/>
      <c r="S380" s="272"/>
      <c r="T380" s="272"/>
      <c r="U380" s="272"/>
      <c r="V380" s="272"/>
      <c r="W380" s="272"/>
      <c r="X380" s="272"/>
      <c r="Y380" s="272"/>
      <c r="Z380" s="272"/>
      <c r="AA380" s="271"/>
      <c r="AB380" s="271"/>
      <c r="AC380" s="271"/>
      <c r="AD380" s="271"/>
      <c r="AE380" s="271"/>
      <c r="AF380" s="271"/>
      <c r="AG380" s="272"/>
    </row>
    <row r="381" spans="1:33">
      <c r="A381" s="273"/>
      <c r="B381" s="273"/>
      <c r="C381" s="271"/>
      <c r="D381" s="271"/>
      <c r="E381" s="271"/>
      <c r="F381" s="272"/>
      <c r="G381" s="272"/>
      <c r="H381" s="272"/>
      <c r="I381" s="272"/>
      <c r="J381" s="272"/>
      <c r="K381" s="272"/>
      <c r="L381" s="272"/>
      <c r="M381" s="272"/>
      <c r="N381" s="272"/>
      <c r="O381" s="272"/>
      <c r="P381" s="272"/>
      <c r="Q381" s="272"/>
      <c r="R381" s="272"/>
      <c r="S381" s="272"/>
      <c r="T381" s="272"/>
      <c r="U381" s="272"/>
      <c r="V381" s="272"/>
      <c r="W381" s="272"/>
      <c r="X381" s="272"/>
      <c r="Y381" s="272"/>
      <c r="Z381" s="272"/>
      <c r="AA381" s="271"/>
      <c r="AB381" s="271"/>
      <c r="AC381" s="271"/>
      <c r="AD381" s="271"/>
      <c r="AE381" s="271"/>
      <c r="AF381" s="271"/>
      <c r="AG381" s="272"/>
    </row>
    <row r="382" spans="1:33">
      <c r="A382" s="273"/>
      <c r="B382" s="273"/>
      <c r="C382" s="271"/>
      <c r="D382" s="271"/>
      <c r="E382" s="271"/>
      <c r="F382" s="272"/>
      <c r="G382" s="272"/>
      <c r="H382" s="272"/>
      <c r="I382" s="272"/>
      <c r="J382" s="272"/>
      <c r="K382" s="272"/>
      <c r="L382" s="272"/>
      <c r="M382" s="272"/>
      <c r="N382" s="272"/>
      <c r="O382" s="272"/>
      <c r="P382" s="272"/>
      <c r="Q382" s="272"/>
      <c r="R382" s="272"/>
      <c r="S382" s="272"/>
      <c r="T382" s="272"/>
      <c r="U382" s="272"/>
      <c r="V382" s="272"/>
      <c r="W382" s="272"/>
      <c r="X382" s="272"/>
      <c r="Y382" s="272"/>
      <c r="Z382" s="272"/>
      <c r="AA382" s="271"/>
      <c r="AB382" s="271"/>
      <c r="AC382" s="271"/>
      <c r="AD382" s="271"/>
      <c r="AE382" s="271"/>
      <c r="AF382" s="271"/>
      <c r="AG382" s="272"/>
    </row>
    <row r="383" spans="1:33">
      <c r="A383" s="273"/>
      <c r="B383" s="273"/>
      <c r="C383" s="271"/>
      <c r="D383" s="271"/>
      <c r="E383" s="271"/>
      <c r="F383" s="272"/>
      <c r="G383" s="272"/>
      <c r="H383" s="272"/>
      <c r="I383" s="272"/>
      <c r="J383" s="272"/>
      <c r="K383" s="272"/>
      <c r="L383" s="272"/>
      <c r="M383" s="272"/>
      <c r="N383" s="272"/>
      <c r="O383" s="272"/>
      <c r="P383" s="272"/>
      <c r="Q383" s="272"/>
      <c r="R383" s="272"/>
      <c r="S383" s="272"/>
      <c r="T383" s="272"/>
      <c r="U383" s="272"/>
      <c r="V383" s="272"/>
      <c r="W383" s="272"/>
      <c r="X383" s="272"/>
      <c r="Y383" s="272"/>
      <c r="Z383" s="272"/>
      <c r="AA383" s="271"/>
      <c r="AB383" s="271"/>
      <c r="AC383" s="271"/>
      <c r="AD383" s="271"/>
      <c r="AE383" s="271"/>
      <c r="AF383" s="271"/>
      <c r="AG383" s="272"/>
    </row>
    <row r="384" spans="1:33">
      <c r="A384" s="273"/>
      <c r="B384" s="273"/>
      <c r="C384" s="271"/>
      <c r="D384" s="271"/>
      <c r="E384" s="271"/>
      <c r="F384" s="272"/>
      <c r="G384" s="272"/>
      <c r="H384" s="272"/>
      <c r="I384" s="272"/>
      <c r="J384" s="272"/>
      <c r="K384" s="272"/>
      <c r="L384" s="272"/>
      <c r="M384" s="272"/>
      <c r="N384" s="272"/>
      <c r="O384" s="272"/>
      <c r="P384" s="272"/>
      <c r="Q384" s="272"/>
      <c r="R384" s="272"/>
      <c r="S384" s="272"/>
      <c r="T384" s="272"/>
      <c r="U384" s="272"/>
      <c r="V384" s="272"/>
      <c r="W384" s="272"/>
      <c r="X384" s="272"/>
      <c r="Y384" s="272"/>
      <c r="Z384" s="272"/>
      <c r="AA384" s="271"/>
      <c r="AB384" s="271"/>
      <c r="AC384" s="271"/>
      <c r="AD384" s="271"/>
      <c r="AE384" s="271"/>
      <c r="AF384" s="271"/>
      <c r="AG384" s="272"/>
    </row>
    <row r="385" spans="1:33">
      <c r="A385" s="273"/>
      <c r="B385" s="273"/>
      <c r="C385" s="271"/>
      <c r="D385" s="271"/>
      <c r="E385" s="271"/>
      <c r="F385" s="272"/>
      <c r="G385" s="272"/>
      <c r="H385" s="272"/>
      <c r="I385" s="272"/>
      <c r="J385" s="272"/>
      <c r="K385" s="272"/>
      <c r="L385" s="272"/>
      <c r="M385" s="272"/>
      <c r="N385" s="272"/>
      <c r="O385" s="272"/>
      <c r="P385" s="272"/>
      <c r="Q385" s="272"/>
      <c r="R385" s="272"/>
      <c r="S385" s="272"/>
      <c r="T385" s="272"/>
      <c r="U385" s="272"/>
      <c r="V385" s="272"/>
      <c r="W385" s="272"/>
      <c r="X385" s="272"/>
      <c r="Y385" s="272"/>
      <c r="Z385" s="272"/>
      <c r="AA385" s="271"/>
      <c r="AB385" s="271"/>
      <c r="AC385" s="271"/>
      <c r="AD385" s="271"/>
      <c r="AE385" s="271"/>
      <c r="AF385" s="271"/>
      <c r="AG385" s="272"/>
    </row>
    <row r="386" spans="1:33">
      <c r="A386" s="273"/>
      <c r="B386" s="273"/>
      <c r="C386" s="271"/>
      <c r="D386" s="271"/>
      <c r="E386" s="271"/>
      <c r="F386" s="272"/>
      <c r="G386" s="272"/>
      <c r="H386" s="272"/>
      <c r="I386" s="272"/>
      <c r="J386" s="272"/>
      <c r="K386" s="272"/>
      <c r="L386" s="272"/>
      <c r="M386" s="272"/>
      <c r="N386" s="272"/>
      <c r="O386" s="272"/>
      <c r="P386" s="272"/>
      <c r="Q386" s="272"/>
      <c r="R386" s="272"/>
      <c r="S386" s="272"/>
      <c r="T386" s="272"/>
      <c r="U386" s="272"/>
      <c r="V386" s="272"/>
      <c r="W386" s="272"/>
      <c r="X386" s="272"/>
      <c r="Y386" s="272"/>
      <c r="Z386" s="272"/>
      <c r="AA386" s="271"/>
      <c r="AB386" s="271"/>
      <c r="AC386" s="271"/>
      <c r="AD386" s="271"/>
      <c r="AE386" s="271"/>
      <c r="AF386" s="271"/>
      <c r="AG386" s="272"/>
    </row>
    <row r="387" spans="1:33">
      <c r="A387" s="273"/>
      <c r="B387" s="273"/>
      <c r="C387" s="271"/>
      <c r="D387" s="271"/>
      <c r="E387" s="271"/>
      <c r="F387" s="272"/>
      <c r="G387" s="272"/>
      <c r="H387" s="272"/>
      <c r="I387" s="272"/>
      <c r="J387" s="272"/>
      <c r="K387" s="272"/>
      <c r="L387" s="272"/>
      <c r="M387" s="272"/>
      <c r="N387" s="272"/>
      <c r="O387" s="272"/>
      <c r="P387" s="272"/>
      <c r="Q387" s="272"/>
      <c r="R387" s="272"/>
      <c r="S387" s="272"/>
      <c r="T387" s="272"/>
      <c r="U387" s="272"/>
      <c r="V387" s="272"/>
      <c r="W387" s="272"/>
      <c r="X387" s="272"/>
      <c r="Y387" s="272"/>
      <c r="Z387" s="272"/>
      <c r="AA387" s="271"/>
      <c r="AB387" s="271"/>
      <c r="AC387" s="271"/>
      <c r="AD387" s="271"/>
      <c r="AE387" s="271"/>
      <c r="AF387" s="271"/>
      <c r="AG387" s="272"/>
    </row>
    <row r="388" spans="1:33">
      <c r="A388" s="273"/>
      <c r="B388" s="273"/>
      <c r="C388" s="271"/>
      <c r="D388" s="271"/>
      <c r="E388" s="271"/>
      <c r="F388" s="272"/>
      <c r="G388" s="272"/>
      <c r="H388" s="272"/>
      <c r="I388" s="272"/>
      <c r="J388" s="272"/>
      <c r="K388" s="272"/>
      <c r="L388" s="272"/>
      <c r="M388" s="272"/>
      <c r="N388" s="272"/>
      <c r="O388" s="272"/>
      <c r="P388" s="272"/>
      <c r="Q388" s="272"/>
      <c r="R388" s="272"/>
      <c r="S388" s="272"/>
      <c r="T388" s="272"/>
      <c r="U388" s="272"/>
      <c r="V388" s="272"/>
      <c r="W388" s="272"/>
      <c r="X388" s="272"/>
      <c r="Y388" s="272"/>
      <c r="Z388" s="272"/>
      <c r="AA388" s="271"/>
      <c r="AB388" s="271"/>
      <c r="AC388" s="271"/>
      <c r="AD388" s="271"/>
      <c r="AE388" s="271"/>
      <c r="AF388" s="271"/>
      <c r="AG388" s="272"/>
    </row>
    <row r="389" spans="1:33">
      <c r="A389" s="273"/>
      <c r="B389" s="273"/>
      <c r="C389" s="271"/>
      <c r="D389" s="271"/>
      <c r="E389" s="271"/>
      <c r="F389" s="272"/>
      <c r="G389" s="272"/>
      <c r="H389" s="272"/>
      <c r="I389" s="272"/>
      <c r="J389" s="272"/>
      <c r="K389" s="272"/>
      <c r="L389" s="272"/>
      <c r="M389" s="272"/>
      <c r="N389" s="272"/>
      <c r="O389" s="272"/>
      <c r="P389" s="272"/>
      <c r="Q389" s="272"/>
      <c r="R389" s="272"/>
      <c r="S389" s="272"/>
      <c r="T389" s="272"/>
      <c r="U389" s="272"/>
      <c r="V389" s="272"/>
      <c r="W389" s="272"/>
      <c r="X389" s="272"/>
      <c r="Y389" s="272"/>
      <c r="Z389" s="272"/>
      <c r="AA389" s="271"/>
      <c r="AB389" s="271"/>
      <c r="AC389" s="271"/>
      <c r="AD389" s="271"/>
      <c r="AE389" s="271"/>
      <c r="AF389" s="271"/>
      <c r="AG389" s="272"/>
    </row>
    <row r="390" spans="1:33">
      <c r="A390" s="273"/>
      <c r="B390" s="273"/>
      <c r="C390" s="271"/>
      <c r="D390" s="271"/>
      <c r="E390" s="271"/>
      <c r="F390" s="272"/>
      <c r="G390" s="272"/>
      <c r="H390" s="272"/>
      <c r="I390" s="272"/>
      <c r="J390" s="272"/>
      <c r="K390" s="272"/>
      <c r="L390" s="272"/>
      <c r="M390" s="272"/>
      <c r="N390" s="272"/>
      <c r="O390" s="272"/>
      <c r="P390" s="272"/>
      <c r="Q390" s="272"/>
      <c r="R390" s="272"/>
      <c r="S390" s="272"/>
      <c r="T390" s="272"/>
      <c r="U390" s="272"/>
      <c r="V390" s="272"/>
      <c r="W390" s="272"/>
      <c r="X390" s="272"/>
      <c r="Y390" s="272"/>
      <c r="Z390" s="272"/>
      <c r="AA390" s="271"/>
      <c r="AB390" s="271"/>
      <c r="AC390" s="271"/>
      <c r="AD390" s="271"/>
      <c r="AE390" s="271"/>
      <c r="AF390" s="271"/>
      <c r="AG390" s="272"/>
    </row>
    <row r="391" spans="1:33">
      <c r="A391" s="273"/>
      <c r="B391" s="273"/>
      <c r="C391" s="271"/>
      <c r="D391" s="271"/>
      <c r="E391" s="271"/>
      <c r="F391" s="272"/>
      <c r="G391" s="272"/>
      <c r="H391" s="272"/>
      <c r="I391" s="272"/>
      <c r="J391" s="272"/>
      <c r="K391" s="272"/>
      <c r="L391" s="272"/>
      <c r="M391" s="272"/>
      <c r="N391" s="272"/>
      <c r="O391" s="272"/>
      <c r="P391" s="272"/>
      <c r="Q391" s="272"/>
      <c r="R391" s="272"/>
      <c r="S391" s="272"/>
      <c r="T391" s="272"/>
      <c r="U391" s="272"/>
      <c r="V391" s="272"/>
      <c r="W391" s="272"/>
      <c r="X391" s="272"/>
      <c r="Y391" s="272"/>
      <c r="Z391" s="272"/>
      <c r="AA391" s="271"/>
      <c r="AB391" s="271"/>
      <c r="AC391" s="271"/>
      <c r="AD391" s="271"/>
      <c r="AE391" s="271"/>
      <c r="AF391" s="271"/>
      <c r="AG391" s="272"/>
    </row>
    <row r="392" spans="1:33">
      <c r="A392" s="273"/>
      <c r="B392" s="273"/>
      <c r="C392" s="271"/>
      <c r="D392" s="271"/>
      <c r="E392" s="271"/>
      <c r="F392" s="272"/>
      <c r="G392" s="272"/>
      <c r="H392" s="272"/>
      <c r="I392" s="272"/>
      <c r="J392" s="272"/>
      <c r="K392" s="272"/>
      <c r="L392" s="272"/>
      <c r="M392" s="272"/>
      <c r="N392" s="272"/>
      <c r="O392" s="272"/>
      <c r="P392" s="272"/>
      <c r="Q392" s="272"/>
      <c r="R392" s="272"/>
      <c r="S392" s="272"/>
      <c r="T392" s="272"/>
      <c r="U392" s="272"/>
      <c r="V392" s="272"/>
      <c r="W392" s="272"/>
      <c r="X392" s="272"/>
      <c r="Y392" s="272"/>
      <c r="Z392" s="272"/>
      <c r="AA392" s="271"/>
      <c r="AB392" s="271"/>
      <c r="AC392" s="271"/>
      <c r="AD392" s="271"/>
      <c r="AE392" s="271"/>
      <c r="AF392" s="271"/>
      <c r="AG392" s="272"/>
    </row>
    <row r="393" spans="1:33">
      <c r="A393" s="273"/>
      <c r="B393" s="273"/>
      <c r="C393" s="271"/>
      <c r="D393" s="271"/>
      <c r="E393" s="271"/>
      <c r="F393" s="272"/>
      <c r="G393" s="272"/>
      <c r="H393" s="272"/>
      <c r="I393" s="272"/>
      <c r="J393" s="272"/>
      <c r="K393" s="272"/>
      <c r="L393" s="272"/>
      <c r="M393" s="272"/>
      <c r="N393" s="272"/>
      <c r="O393" s="272"/>
      <c r="P393" s="272"/>
      <c r="Q393" s="272"/>
      <c r="R393" s="272"/>
      <c r="S393" s="272"/>
      <c r="T393" s="272"/>
      <c r="U393" s="272"/>
      <c r="V393" s="272"/>
      <c r="W393" s="272"/>
      <c r="X393" s="272"/>
      <c r="Y393" s="272"/>
      <c r="Z393" s="272"/>
      <c r="AA393" s="271"/>
      <c r="AB393" s="271"/>
      <c r="AC393" s="271"/>
      <c r="AD393" s="271"/>
      <c r="AE393" s="271"/>
      <c r="AF393" s="271"/>
      <c r="AG393" s="272"/>
    </row>
    <row r="394" spans="1:33">
      <c r="A394" s="273"/>
      <c r="B394" s="273"/>
      <c r="C394" s="271"/>
      <c r="D394" s="271"/>
      <c r="E394" s="271"/>
      <c r="F394" s="272"/>
      <c r="G394" s="272"/>
      <c r="H394" s="272"/>
      <c r="I394" s="272"/>
      <c r="J394" s="272"/>
      <c r="K394" s="272"/>
      <c r="L394" s="272"/>
      <c r="M394" s="272"/>
      <c r="N394" s="272"/>
      <c r="O394" s="272"/>
      <c r="P394" s="272"/>
      <c r="Q394" s="272"/>
      <c r="R394" s="272"/>
      <c r="S394" s="272"/>
      <c r="T394" s="272"/>
      <c r="U394" s="272"/>
      <c r="V394" s="272"/>
      <c r="W394" s="272"/>
      <c r="X394" s="272"/>
      <c r="Y394" s="272"/>
      <c r="Z394" s="272"/>
      <c r="AA394" s="271"/>
      <c r="AB394" s="271"/>
      <c r="AC394" s="271"/>
      <c r="AD394" s="271"/>
      <c r="AE394" s="271"/>
      <c r="AF394" s="271"/>
      <c r="AG394" s="272"/>
    </row>
    <row r="395" spans="1:33">
      <c r="A395" s="273"/>
      <c r="B395" s="273"/>
      <c r="C395" s="271"/>
      <c r="D395" s="271"/>
      <c r="E395" s="271"/>
      <c r="F395" s="272"/>
      <c r="G395" s="272"/>
      <c r="H395" s="272"/>
      <c r="I395" s="272"/>
      <c r="J395" s="272"/>
      <c r="K395" s="272"/>
      <c r="L395" s="272"/>
      <c r="M395" s="272"/>
      <c r="N395" s="272"/>
      <c r="O395" s="272"/>
      <c r="P395" s="272"/>
      <c r="Q395" s="272"/>
      <c r="R395" s="272"/>
      <c r="S395" s="272"/>
      <c r="T395" s="272"/>
      <c r="U395" s="272"/>
      <c r="V395" s="272"/>
      <c r="W395" s="272"/>
      <c r="X395" s="272"/>
      <c r="Y395" s="272"/>
      <c r="Z395" s="272"/>
      <c r="AA395" s="271"/>
      <c r="AB395" s="271"/>
      <c r="AC395" s="271"/>
      <c r="AD395" s="271"/>
      <c r="AE395" s="271"/>
      <c r="AF395" s="271"/>
      <c r="AG395" s="272"/>
    </row>
    <row r="396" spans="1:33">
      <c r="A396" s="273"/>
      <c r="B396" s="273"/>
      <c r="C396" s="271"/>
      <c r="D396" s="271"/>
      <c r="E396" s="271"/>
      <c r="F396" s="272"/>
      <c r="G396" s="272"/>
      <c r="H396" s="272"/>
      <c r="I396" s="272"/>
      <c r="J396" s="272"/>
      <c r="K396" s="272"/>
      <c r="L396" s="272"/>
      <c r="M396" s="272"/>
      <c r="N396" s="272"/>
      <c r="O396" s="272"/>
      <c r="P396" s="272"/>
      <c r="Q396" s="272"/>
      <c r="R396" s="272"/>
      <c r="S396" s="272"/>
      <c r="T396" s="272"/>
      <c r="U396" s="272"/>
      <c r="V396" s="272"/>
      <c r="W396" s="272"/>
      <c r="X396" s="272"/>
      <c r="Y396" s="272"/>
      <c r="Z396" s="272"/>
      <c r="AA396" s="271"/>
      <c r="AB396" s="271"/>
      <c r="AC396" s="271"/>
      <c r="AD396" s="271"/>
      <c r="AE396" s="271"/>
      <c r="AF396" s="271"/>
      <c r="AG396" s="272"/>
    </row>
    <row r="397" spans="1:33">
      <c r="A397" s="273"/>
      <c r="B397" s="273"/>
      <c r="C397" s="271"/>
      <c r="D397" s="271"/>
      <c r="E397" s="271"/>
      <c r="F397" s="272"/>
      <c r="G397" s="272"/>
      <c r="H397" s="272"/>
      <c r="I397" s="272"/>
      <c r="J397" s="272"/>
      <c r="K397" s="272"/>
      <c r="L397" s="272"/>
      <c r="M397" s="272"/>
      <c r="N397" s="272"/>
      <c r="O397" s="272"/>
      <c r="P397" s="272"/>
      <c r="Q397" s="272"/>
      <c r="R397" s="272"/>
      <c r="S397" s="272"/>
      <c r="T397" s="272"/>
      <c r="U397" s="272"/>
      <c r="V397" s="272"/>
      <c r="W397" s="272"/>
      <c r="X397" s="272"/>
      <c r="Y397" s="272"/>
      <c r="Z397" s="272"/>
      <c r="AA397" s="271"/>
      <c r="AB397" s="271"/>
      <c r="AC397" s="271"/>
      <c r="AD397" s="271"/>
      <c r="AE397" s="271"/>
      <c r="AF397" s="271"/>
      <c r="AG397" s="272"/>
    </row>
    <row r="398" spans="1:33">
      <c r="A398" s="273"/>
      <c r="B398" s="273"/>
      <c r="C398" s="271"/>
      <c r="D398" s="271"/>
      <c r="E398" s="271"/>
      <c r="F398" s="272"/>
      <c r="G398" s="272"/>
      <c r="H398" s="272"/>
      <c r="I398" s="272"/>
      <c r="J398" s="272"/>
      <c r="K398" s="272"/>
      <c r="L398" s="272"/>
      <c r="M398" s="272"/>
      <c r="N398" s="272"/>
      <c r="O398" s="272"/>
      <c r="P398" s="272"/>
      <c r="Q398" s="272"/>
      <c r="R398" s="272"/>
      <c r="S398" s="272"/>
      <c r="T398" s="272"/>
      <c r="U398" s="272"/>
      <c r="V398" s="272"/>
      <c r="W398" s="272"/>
      <c r="X398" s="272"/>
      <c r="Y398" s="272"/>
      <c r="Z398" s="272"/>
      <c r="AA398" s="271"/>
      <c r="AB398" s="271"/>
      <c r="AC398" s="271"/>
      <c r="AD398" s="271"/>
      <c r="AE398" s="271"/>
      <c r="AF398" s="271"/>
      <c r="AG398" s="272"/>
    </row>
    <row r="399" spans="1:33">
      <c r="A399" s="273"/>
      <c r="B399" s="273"/>
      <c r="C399" s="271"/>
      <c r="D399" s="271"/>
      <c r="E399" s="271"/>
      <c r="F399" s="272"/>
      <c r="G399" s="272"/>
      <c r="H399" s="272"/>
      <c r="I399" s="272"/>
      <c r="J399" s="272"/>
      <c r="K399" s="272"/>
      <c r="L399" s="272"/>
      <c r="M399" s="272"/>
      <c r="N399" s="272"/>
      <c r="O399" s="272"/>
      <c r="P399" s="272"/>
      <c r="Q399" s="272"/>
      <c r="R399" s="272"/>
      <c r="S399" s="272"/>
      <c r="T399" s="272"/>
      <c r="U399" s="272"/>
      <c r="V399" s="272"/>
      <c r="W399" s="272"/>
      <c r="X399" s="272"/>
      <c r="Y399" s="272"/>
      <c r="Z399" s="272"/>
      <c r="AA399" s="271"/>
      <c r="AB399" s="271"/>
      <c r="AC399" s="271"/>
      <c r="AD399" s="271"/>
      <c r="AE399" s="271"/>
      <c r="AF399" s="271"/>
      <c r="AG399" s="272"/>
    </row>
    <row r="400" spans="1:33">
      <c r="A400" s="273"/>
      <c r="B400" s="273"/>
      <c r="C400" s="271"/>
      <c r="D400" s="271"/>
      <c r="E400" s="271"/>
      <c r="F400" s="272"/>
      <c r="G400" s="272"/>
      <c r="H400" s="272"/>
      <c r="I400" s="272"/>
      <c r="J400" s="272"/>
      <c r="K400" s="272"/>
      <c r="L400" s="272"/>
      <c r="M400" s="272"/>
      <c r="N400" s="272"/>
      <c r="O400" s="272"/>
      <c r="P400" s="272"/>
      <c r="Q400" s="272"/>
      <c r="R400" s="272"/>
      <c r="S400" s="272"/>
      <c r="T400" s="272"/>
      <c r="U400" s="272"/>
      <c r="V400" s="272"/>
      <c r="W400" s="272"/>
      <c r="X400" s="272"/>
      <c r="Y400" s="272"/>
      <c r="Z400" s="272"/>
      <c r="AA400" s="271"/>
      <c r="AB400" s="271"/>
      <c r="AC400" s="271"/>
      <c r="AD400" s="271"/>
      <c r="AE400" s="271"/>
      <c r="AF400" s="271"/>
      <c r="AG400" s="272"/>
    </row>
    <row r="401" spans="1:33">
      <c r="A401" s="273"/>
      <c r="B401" s="273"/>
      <c r="C401" s="271"/>
      <c r="D401" s="271"/>
      <c r="E401" s="271"/>
      <c r="F401" s="272"/>
      <c r="G401" s="272"/>
      <c r="H401" s="272"/>
      <c r="I401" s="272"/>
      <c r="J401" s="272"/>
      <c r="K401" s="272"/>
      <c r="L401" s="272"/>
      <c r="M401" s="272"/>
      <c r="N401" s="272"/>
      <c r="O401" s="272"/>
      <c r="P401" s="272"/>
      <c r="Q401" s="272"/>
      <c r="R401" s="272"/>
      <c r="S401" s="272"/>
      <c r="T401" s="272"/>
      <c r="U401" s="272"/>
      <c r="V401" s="272"/>
      <c r="W401" s="272"/>
      <c r="X401" s="272"/>
      <c r="Y401" s="272"/>
      <c r="Z401" s="272"/>
      <c r="AA401" s="271"/>
      <c r="AB401" s="271"/>
      <c r="AC401" s="271"/>
      <c r="AD401" s="271"/>
      <c r="AE401" s="271"/>
      <c r="AF401" s="271"/>
      <c r="AG401" s="272"/>
    </row>
    <row r="402" spans="1:33">
      <c r="A402" s="273"/>
      <c r="B402" s="273"/>
      <c r="C402" s="271"/>
      <c r="D402" s="271"/>
      <c r="E402" s="271"/>
      <c r="F402" s="272"/>
      <c r="G402" s="272"/>
      <c r="H402" s="272"/>
      <c r="I402" s="272"/>
      <c r="J402" s="272"/>
      <c r="K402" s="272"/>
      <c r="L402" s="272"/>
      <c r="M402" s="272"/>
      <c r="N402" s="272"/>
      <c r="O402" s="272"/>
      <c r="P402" s="272"/>
      <c r="Q402" s="272"/>
      <c r="R402" s="272"/>
      <c r="S402" s="272"/>
      <c r="T402" s="272"/>
      <c r="U402" s="272"/>
      <c r="V402" s="272"/>
      <c r="W402" s="272"/>
      <c r="X402" s="272"/>
      <c r="Y402" s="272"/>
      <c r="Z402" s="272"/>
      <c r="AA402" s="271"/>
      <c r="AB402" s="271"/>
      <c r="AC402" s="271"/>
      <c r="AD402" s="271"/>
      <c r="AE402" s="271"/>
      <c r="AF402" s="271"/>
      <c r="AG402" s="272"/>
    </row>
    <row r="403" spans="1:33">
      <c r="A403" s="273"/>
      <c r="B403" s="273"/>
      <c r="C403" s="271"/>
      <c r="D403" s="271"/>
      <c r="E403" s="271"/>
      <c r="F403" s="272"/>
      <c r="G403" s="272"/>
      <c r="H403" s="272"/>
      <c r="I403" s="272"/>
      <c r="J403" s="272"/>
      <c r="K403" s="272"/>
      <c r="L403" s="272"/>
      <c r="M403" s="272"/>
      <c r="N403" s="272"/>
      <c r="O403" s="272"/>
      <c r="P403" s="272"/>
      <c r="Q403" s="272"/>
      <c r="R403" s="272"/>
      <c r="S403" s="272"/>
      <c r="T403" s="272"/>
      <c r="U403" s="272"/>
      <c r="V403" s="272"/>
      <c r="W403" s="272"/>
      <c r="X403" s="272"/>
      <c r="Y403" s="272"/>
      <c r="Z403" s="272"/>
      <c r="AA403" s="271"/>
      <c r="AB403" s="271"/>
      <c r="AC403" s="271"/>
      <c r="AD403" s="271"/>
      <c r="AE403" s="271"/>
      <c r="AF403" s="271"/>
      <c r="AG403" s="272"/>
    </row>
    <row r="404" spans="1:33">
      <c r="A404" s="273"/>
      <c r="B404" s="273"/>
      <c r="C404" s="271"/>
      <c r="D404" s="271"/>
      <c r="E404" s="271"/>
      <c r="F404" s="272"/>
      <c r="G404" s="272"/>
      <c r="H404" s="272"/>
      <c r="I404" s="272"/>
      <c r="J404" s="272"/>
      <c r="K404" s="272"/>
      <c r="L404" s="272"/>
      <c r="M404" s="272"/>
      <c r="N404" s="272"/>
      <c r="O404" s="272"/>
      <c r="P404" s="272"/>
      <c r="Q404" s="272"/>
      <c r="R404" s="272"/>
      <c r="S404" s="272"/>
      <c r="T404" s="272"/>
      <c r="U404" s="272"/>
      <c r="V404" s="272"/>
      <c r="W404" s="272"/>
      <c r="X404" s="272"/>
      <c r="Y404" s="272"/>
      <c r="Z404" s="272"/>
      <c r="AA404" s="271"/>
      <c r="AB404" s="271"/>
      <c r="AC404" s="271"/>
      <c r="AD404" s="271"/>
      <c r="AE404" s="271"/>
      <c r="AF404" s="271"/>
      <c r="AG404" s="272"/>
    </row>
    <row r="405" spans="1:33">
      <c r="A405" s="273"/>
      <c r="B405" s="273"/>
      <c r="C405" s="271"/>
      <c r="D405" s="271"/>
      <c r="E405" s="271"/>
      <c r="F405" s="272"/>
      <c r="G405" s="272"/>
      <c r="H405" s="272"/>
      <c r="I405" s="272"/>
      <c r="J405" s="272"/>
      <c r="K405" s="272"/>
      <c r="L405" s="272"/>
      <c r="M405" s="272"/>
      <c r="N405" s="272"/>
      <c r="O405" s="272"/>
      <c r="P405" s="272"/>
      <c r="Q405" s="272"/>
      <c r="R405" s="272"/>
      <c r="S405" s="272"/>
      <c r="T405" s="272"/>
      <c r="U405" s="272"/>
      <c r="V405" s="272"/>
      <c r="W405" s="272"/>
      <c r="X405" s="272"/>
      <c r="Y405" s="272"/>
      <c r="Z405" s="272"/>
      <c r="AA405" s="271"/>
      <c r="AB405" s="271"/>
      <c r="AC405" s="271"/>
      <c r="AD405" s="271"/>
      <c r="AE405" s="271"/>
      <c r="AF405" s="271"/>
      <c r="AG405" s="272"/>
    </row>
    <row r="406" spans="1:33">
      <c r="A406" s="273"/>
      <c r="B406" s="273"/>
      <c r="C406" s="271"/>
      <c r="D406" s="271"/>
      <c r="E406" s="271"/>
      <c r="F406" s="272"/>
      <c r="G406" s="272"/>
      <c r="H406" s="272"/>
      <c r="I406" s="272"/>
      <c r="J406" s="272"/>
      <c r="K406" s="272"/>
      <c r="L406" s="272"/>
      <c r="M406" s="272"/>
      <c r="N406" s="272"/>
      <c r="O406" s="272"/>
      <c r="P406" s="272"/>
      <c r="Q406" s="272"/>
      <c r="R406" s="272"/>
      <c r="S406" s="272"/>
      <c r="T406" s="272"/>
      <c r="U406" s="272"/>
      <c r="V406" s="272"/>
      <c r="W406" s="272"/>
      <c r="X406" s="272"/>
      <c r="Y406" s="272"/>
      <c r="Z406" s="272"/>
      <c r="AA406" s="271"/>
      <c r="AB406" s="271"/>
      <c r="AC406" s="271"/>
      <c r="AD406" s="271"/>
      <c r="AE406" s="271"/>
      <c r="AF406" s="271"/>
      <c r="AG406" s="272"/>
    </row>
    <row r="407" spans="1:33">
      <c r="A407" s="273"/>
      <c r="B407" s="273"/>
      <c r="C407" s="271"/>
      <c r="D407" s="271"/>
      <c r="E407" s="271"/>
      <c r="F407" s="272"/>
      <c r="G407" s="272"/>
      <c r="H407" s="272"/>
      <c r="I407" s="272"/>
      <c r="J407" s="272"/>
      <c r="K407" s="272"/>
      <c r="L407" s="272"/>
      <c r="M407" s="272"/>
      <c r="N407" s="272"/>
      <c r="O407" s="272"/>
      <c r="P407" s="272"/>
      <c r="Q407" s="272"/>
      <c r="R407" s="272"/>
      <c r="S407" s="272"/>
      <c r="T407" s="272"/>
      <c r="U407" s="272"/>
      <c r="V407" s="272"/>
      <c r="W407" s="272"/>
      <c r="X407" s="272"/>
      <c r="Y407" s="272"/>
      <c r="Z407" s="272"/>
      <c r="AA407" s="271"/>
      <c r="AB407" s="271"/>
      <c r="AC407" s="271"/>
      <c r="AD407" s="271"/>
      <c r="AE407" s="271"/>
      <c r="AF407" s="271"/>
      <c r="AG407" s="272"/>
    </row>
    <row r="408" spans="1:33">
      <c r="A408" s="273"/>
      <c r="B408" s="273"/>
      <c r="C408" s="271"/>
      <c r="D408" s="271"/>
      <c r="E408" s="271"/>
      <c r="F408" s="272"/>
      <c r="G408" s="272"/>
      <c r="H408" s="272"/>
      <c r="I408" s="272"/>
      <c r="J408" s="272"/>
      <c r="K408" s="272"/>
      <c r="L408" s="272"/>
      <c r="M408" s="272"/>
      <c r="N408" s="272"/>
      <c r="O408" s="272"/>
      <c r="P408" s="272"/>
      <c r="Q408" s="272"/>
      <c r="R408" s="272"/>
      <c r="S408" s="272"/>
      <c r="T408" s="272"/>
      <c r="U408" s="272"/>
      <c r="V408" s="272"/>
      <c r="W408" s="272"/>
      <c r="X408" s="272"/>
      <c r="Y408" s="272"/>
      <c r="Z408" s="272"/>
      <c r="AA408" s="271"/>
      <c r="AB408" s="271"/>
      <c r="AC408" s="271"/>
      <c r="AD408" s="271"/>
      <c r="AE408" s="271"/>
      <c r="AF408" s="271"/>
      <c r="AG408" s="272"/>
    </row>
    <row r="409" spans="1:33">
      <c r="A409" s="273"/>
      <c r="B409" s="273"/>
      <c r="C409" s="271"/>
      <c r="D409" s="271"/>
      <c r="E409" s="271"/>
      <c r="F409" s="272"/>
      <c r="G409" s="272"/>
      <c r="H409" s="272"/>
      <c r="I409" s="272"/>
      <c r="J409" s="272"/>
      <c r="K409" s="272"/>
      <c r="L409" s="272"/>
      <c r="M409" s="272"/>
      <c r="N409" s="272"/>
      <c r="O409" s="272"/>
      <c r="P409" s="272"/>
      <c r="Q409" s="272"/>
      <c r="R409" s="272"/>
      <c r="S409" s="272"/>
      <c r="T409" s="272"/>
      <c r="U409" s="272"/>
      <c r="V409" s="272"/>
      <c r="W409" s="272"/>
      <c r="X409" s="272"/>
      <c r="Y409" s="272"/>
      <c r="Z409" s="272"/>
      <c r="AA409" s="271"/>
      <c r="AB409" s="271"/>
      <c r="AC409" s="271"/>
      <c r="AD409" s="271"/>
      <c r="AE409" s="271"/>
      <c r="AF409" s="271"/>
      <c r="AG409" s="272"/>
    </row>
    <row r="410" spans="1:33">
      <c r="A410" s="273"/>
      <c r="B410" s="273"/>
      <c r="C410" s="271"/>
      <c r="D410" s="271"/>
      <c r="E410" s="271"/>
      <c r="F410" s="272"/>
      <c r="G410" s="272"/>
      <c r="H410" s="272"/>
      <c r="I410" s="272"/>
      <c r="J410" s="272"/>
      <c r="K410" s="272"/>
      <c r="L410" s="272"/>
      <c r="M410" s="272"/>
      <c r="N410" s="272"/>
      <c r="O410" s="272"/>
      <c r="P410" s="272"/>
      <c r="Q410" s="272"/>
      <c r="R410" s="272"/>
      <c r="S410" s="272"/>
      <c r="T410" s="272"/>
      <c r="U410" s="272"/>
      <c r="V410" s="272"/>
      <c r="W410" s="272"/>
      <c r="X410" s="272"/>
      <c r="Y410" s="272"/>
      <c r="Z410" s="272"/>
      <c r="AA410" s="271"/>
      <c r="AB410" s="271"/>
      <c r="AC410" s="271"/>
      <c r="AD410" s="271"/>
      <c r="AE410" s="271"/>
      <c r="AF410" s="271"/>
      <c r="AG410" s="272"/>
    </row>
    <row r="411" spans="1:33">
      <c r="A411" s="273"/>
      <c r="B411" s="273"/>
      <c r="C411" s="271"/>
      <c r="D411" s="271"/>
      <c r="E411" s="271"/>
      <c r="F411" s="272"/>
      <c r="G411" s="272"/>
      <c r="H411" s="272"/>
      <c r="I411" s="272"/>
      <c r="J411" s="272"/>
      <c r="K411" s="272"/>
      <c r="L411" s="272"/>
      <c r="M411" s="272"/>
      <c r="N411" s="272"/>
      <c r="O411" s="272"/>
      <c r="P411" s="272"/>
      <c r="Q411" s="272"/>
      <c r="R411" s="272"/>
      <c r="S411" s="272"/>
      <c r="T411" s="272"/>
      <c r="U411" s="272"/>
      <c r="V411" s="272"/>
      <c r="W411" s="272"/>
      <c r="X411" s="272"/>
      <c r="Y411" s="272"/>
      <c r="Z411" s="272"/>
      <c r="AA411" s="271"/>
      <c r="AB411" s="271"/>
      <c r="AC411" s="271"/>
      <c r="AD411" s="271"/>
      <c r="AE411" s="271"/>
      <c r="AF411" s="271"/>
      <c r="AG411" s="272"/>
    </row>
    <row r="412" spans="1:33">
      <c r="A412" s="273"/>
      <c r="B412" s="273"/>
      <c r="C412" s="271"/>
      <c r="D412" s="271"/>
      <c r="E412" s="271"/>
      <c r="F412" s="272"/>
      <c r="G412" s="272"/>
      <c r="H412" s="272"/>
      <c r="I412" s="272"/>
      <c r="J412" s="272"/>
      <c r="K412" s="272"/>
      <c r="L412" s="272"/>
      <c r="M412" s="272"/>
      <c r="N412" s="272"/>
      <c r="O412" s="272"/>
      <c r="P412" s="272"/>
      <c r="Q412" s="272"/>
      <c r="R412" s="272"/>
      <c r="S412" s="272"/>
      <c r="T412" s="272"/>
      <c r="U412" s="272"/>
      <c r="V412" s="272"/>
      <c r="W412" s="272"/>
      <c r="X412" s="272"/>
      <c r="Y412" s="272"/>
      <c r="Z412" s="272"/>
      <c r="AA412" s="271"/>
      <c r="AB412" s="271"/>
      <c r="AC412" s="271"/>
      <c r="AD412" s="271"/>
      <c r="AE412" s="271"/>
      <c r="AF412" s="271"/>
      <c r="AG412" s="272"/>
    </row>
    <row r="413" spans="1:33">
      <c r="A413" s="273"/>
      <c r="B413" s="273"/>
      <c r="C413" s="271"/>
      <c r="D413" s="271"/>
      <c r="E413" s="271"/>
      <c r="F413" s="272"/>
      <c r="G413" s="272"/>
      <c r="H413" s="272"/>
      <c r="I413" s="272"/>
      <c r="J413" s="272"/>
      <c r="K413" s="272"/>
      <c r="L413" s="272"/>
      <c r="M413" s="272"/>
      <c r="N413" s="272"/>
      <c r="O413" s="272"/>
      <c r="P413" s="272"/>
      <c r="Q413" s="272"/>
      <c r="R413" s="272"/>
      <c r="S413" s="272"/>
      <c r="T413" s="272"/>
      <c r="U413" s="272"/>
      <c r="V413" s="272"/>
      <c r="W413" s="272"/>
      <c r="X413" s="272"/>
      <c r="Y413" s="272"/>
      <c r="Z413" s="272"/>
      <c r="AA413" s="271"/>
      <c r="AB413" s="271"/>
      <c r="AC413" s="271"/>
      <c r="AD413" s="271"/>
      <c r="AE413" s="271"/>
      <c r="AF413" s="271"/>
      <c r="AG413" s="272"/>
    </row>
    <row r="414" spans="1:33">
      <c r="A414" s="273"/>
      <c r="B414" s="273"/>
      <c r="C414" s="271"/>
      <c r="D414" s="271"/>
      <c r="E414" s="271"/>
      <c r="F414" s="272"/>
      <c r="G414" s="272"/>
      <c r="H414" s="272"/>
      <c r="I414" s="272"/>
      <c r="J414" s="272"/>
      <c r="K414" s="272"/>
      <c r="L414" s="272"/>
      <c r="M414" s="272"/>
      <c r="N414" s="272"/>
      <c r="O414" s="272"/>
      <c r="P414" s="272"/>
      <c r="Q414" s="272"/>
      <c r="R414" s="272"/>
      <c r="S414" s="272"/>
      <c r="T414" s="272"/>
      <c r="U414" s="272"/>
      <c r="V414" s="272"/>
      <c r="W414" s="272"/>
      <c r="X414" s="272"/>
      <c r="Y414" s="272"/>
      <c r="Z414" s="272"/>
      <c r="AA414" s="271"/>
      <c r="AB414" s="271"/>
      <c r="AC414" s="271"/>
      <c r="AD414" s="271"/>
      <c r="AE414" s="271"/>
      <c r="AF414" s="271"/>
      <c r="AG414" s="272"/>
    </row>
    <row r="415" spans="1:33">
      <c r="A415" s="273"/>
      <c r="B415" s="273"/>
      <c r="C415" s="271"/>
      <c r="D415" s="271"/>
      <c r="E415" s="271"/>
      <c r="F415" s="272"/>
      <c r="G415" s="272"/>
      <c r="H415" s="272"/>
      <c r="I415" s="272"/>
      <c r="J415" s="272"/>
      <c r="K415" s="272"/>
      <c r="L415" s="272"/>
      <c r="M415" s="272"/>
      <c r="N415" s="272"/>
      <c r="O415" s="272"/>
      <c r="P415" s="272"/>
      <c r="Q415" s="272"/>
      <c r="R415" s="272"/>
      <c r="S415" s="272"/>
      <c r="T415" s="272"/>
      <c r="U415" s="272"/>
      <c r="V415" s="272"/>
      <c r="W415" s="272"/>
      <c r="X415" s="272"/>
      <c r="Y415" s="272"/>
      <c r="Z415" s="272"/>
      <c r="AA415" s="271"/>
      <c r="AB415" s="271"/>
      <c r="AC415" s="271"/>
      <c r="AD415" s="271"/>
      <c r="AE415" s="271"/>
      <c r="AF415" s="271"/>
      <c r="AG415" s="272"/>
    </row>
    <row r="416" spans="1:33">
      <c r="A416" s="273"/>
      <c r="B416" s="273"/>
      <c r="C416" s="271"/>
      <c r="D416" s="271"/>
      <c r="E416" s="271"/>
      <c r="F416" s="272"/>
      <c r="G416" s="272"/>
      <c r="H416" s="272"/>
      <c r="I416" s="272"/>
      <c r="J416" s="272"/>
      <c r="K416" s="272"/>
      <c r="L416" s="272"/>
      <c r="M416" s="272"/>
      <c r="N416" s="272"/>
      <c r="O416" s="272"/>
      <c r="P416" s="272"/>
      <c r="Q416" s="272"/>
      <c r="R416" s="272"/>
      <c r="S416" s="272"/>
      <c r="T416" s="272"/>
      <c r="U416" s="272"/>
      <c r="V416" s="272"/>
      <c r="W416" s="272"/>
      <c r="X416" s="272"/>
      <c r="Y416" s="272"/>
      <c r="Z416" s="272"/>
      <c r="AA416" s="271"/>
      <c r="AB416" s="271"/>
      <c r="AC416" s="271"/>
      <c r="AD416" s="271"/>
      <c r="AE416" s="271"/>
      <c r="AF416" s="271"/>
      <c r="AG416" s="272"/>
    </row>
    <row r="417" spans="1:33">
      <c r="A417" s="273"/>
      <c r="B417" s="273"/>
      <c r="C417" s="271"/>
      <c r="D417" s="271"/>
      <c r="E417" s="271"/>
      <c r="F417" s="272"/>
      <c r="G417" s="272"/>
      <c r="H417" s="272"/>
      <c r="I417" s="272"/>
      <c r="J417" s="272"/>
      <c r="K417" s="272"/>
      <c r="L417" s="272"/>
      <c r="M417" s="272"/>
      <c r="N417" s="272"/>
      <c r="O417" s="272"/>
      <c r="P417" s="272"/>
      <c r="Q417" s="272"/>
      <c r="R417" s="272"/>
      <c r="S417" s="272"/>
      <c r="T417" s="272"/>
      <c r="U417" s="272"/>
      <c r="V417" s="272"/>
      <c r="W417" s="272"/>
      <c r="X417" s="272"/>
      <c r="Y417" s="272"/>
      <c r="Z417" s="272"/>
      <c r="AA417" s="271"/>
      <c r="AB417" s="271"/>
      <c r="AC417" s="271"/>
      <c r="AD417" s="271"/>
      <c r="AE417" s="271"/>
      <c r="AF417" s="271"/>
      <c r="AG417" s="272"/>
    </row>
    <row r="418" spans="1:33">
      <c r="A418" s="273"/>
      <c r="B418" s="273"/>
      <c r="C418" s="271"/>
      <c r="D418" s="271"/>
      <c r="E418" s="271"/>
      <c r="F418" s="272"/>
      <c r="G418" s="272"/>
      <c r="H418" s="272"/>
      <c r="I418" s="272"/>
      <c r="J418" s="272"/>
      <c r="K418" s="272"/>
      <c r="L418" s="272"/>
      <c r="M418" s="272"/>
      <c r="N418" s="272"/>
      <c r="O418" s="272"/>
      <c r="P418" s="272"/>
      <c r="Q418" s="272"/>
      <c r="R418" s="272"/>
      <c r="S418" s="272"/>
      <c r="T418" s="272"/>
      <c r="U418" s="272"/>
      <c r="V418" s="272"/>
      <c r="W418" s="272"/>
      <c r="X418" s="272"/>
      <c r="Y418" s="272"/>
      <c r="Z418" s="272"/>
      <c r="AA418" s="271"/>
      <c r="AB418" s="271"/>
      <c r="AC418" s="271"/>
      <c r="AD418" s="271"/>
      <c r="AE418" s="271"/>
      <c r="AF418" s="271"/>
      <c r="AG418" s="272"/>
    </row>
    <row r="419" spans="1:33">
      <c r="A419" s="273"/>
      <c r="B419" s="273"/>
      <c r="C419" s="271"/>
      <c r="D419" s="271"/>
      <c r="E419" s="271"/>
      <c r="F419" s="272"/>
      <c r="G419" s="272"/>
      <c r="H419" s="272"/>
      <c r="I419" s="272"/>
      <c r="J419" s="272"/>
      <c r="K419" s="272"/>
      <c r="L419" s="272"/>
      <c r="M419" s="272"/>
      <c r="N419" s="272"/>
      <c r="O419" s="272"/>
      <c r="P419" s="272"/>
      <c r="Q419" s="272"/>
      <c r="R419" s="272"/>
      <c r="S419" s="272"/>
      <c r="T419" s="272"/>
      <c r="U419" s="272"/>
      <c r="V419" s="272"/>
      <c r="W419" s="272"/>
      <c r="X419" s="272"/>
      <c r="Y419" s="272"/>
      <c r="Z419" s="272"/>
      <c r="AA419" s="271"/>
      <c r="AB419" s="271"/>
      <c r="AC419" s="271"/>
      <c r="AD419" s="271"/>
      <c r="AE419" s="271"/>
      <c r="AF419" s="271"/>
      <c r="AG419" s="272"/>
    </row>
    <row r="420" spans="1:33">
      <c r="A420" s="273"/>
      <c r="B420" s="273"/>
      <c r="C420" s="271"/>
      <c r="D420" s="271"/>
      <c r="E420" s="271"/>
      <c r="F420" s="272"/>
      <c r="G420" s="272"/>
      <c r="H420" s="272"/>
      <c r="I420" s="272"/>
      <c r="J420" s="272"/>
      <c r="K420" s="272"/>
      <c r="L420" s="272"/>
      <c r="M420" s="272"/>
      <c r="N420" s="272"/>
      <c r="O420" s="272"/>
      <c r="P420" s="272"/>
      <c r="Q420" s="272"/>
      <c r="R420" s="272"/>
      <c r="S420" s="272"/>
      <c r="T420" s="272"/>
      <c r="U420" s="272"/>
      <c r="V420" s="272"/>
      <c r="W420" s="272"/>
      <c r="X420" s="272"/>
      <c r="Y420" s="272"/>
      <c r="Z420" s="272"/>
      <c r="AA420" s="271"/>
      <c r="AB420" s="271"/>
      <c r="AC420" s="271"/>
      <c r="AD420" s="271"/>
      <c r="AE420" s="271"/>
      <c r="AF420" s="271"/>
      <c r="AG420" s="272"/>
    </row>
    <row r="421" spans="1:33">
      <c r="A421" s="273"/>
      <c r="B421" s="273"/>
      <c r="C421" s="271"/>
      <c r="D421" s="271"/>
      <c r="E421" s="271"/>
      <c r="F421" s="272"/>
      <c r="G421" s="272"/>
      <c r="H421" s="272"/>
      <c r="I421" s="272"/>
      <c r="J421" s="272"/>
      <c r="K421" s="272"/>
      <c r="L421" s="272"/>
      <c r="M421" s="272"/>
      <c r="N421" s="272"/>
      <c r="O421" s="272"/>
      <c r="P421" s="272"/>
      <c r="Q421" s="272"/>
      <c r="R421" s="272"/>
      <c r="S421" s="272"/>
      <c r="T421" s="272"/>
      <c r="U421" s="272"/>
      <c r="V421" s="272"/>
      <c r="W421" s="272"/>
      <c r="X421" s="272"/>
      <c r="Y421" s="272"/>
      <c r="Z421" s="272"/>
      <c r="AA421" s="271"/>
      <c r="AB421" s="271"/>
      <c r="AC421" s="271"/>
      <c r="AD421" s="271"/>
      <c r="AE421" s="271"/>
      <c r="AF421" s="271"/>
      <c r="AG421" s="272"/>
    </row>
    <row r="422" spans="1:33">
      <c r="A422" s="273"/>
      <c r="B422" s="273"/>
      <c r="C422" s="271"/>
      <c r="D422" s="271"/>
      <c r="E422" s="271"/>
      <c r="F422" s="272"/>
      <c r="G422" s="272"/>
      <c r="H422" s="272"/>
      <c r="I422" s="272"/>
      <c r="J422" s="272"/>
      <c r="K422" s="272"/>
      <c r="L422" s="272"/>
      <c r="M422" s="272"/>
      <c r="N422" s="272"/>
      <c r="O422" s="272"/>
      <c r="P422" s="272"/>
      <c r="Q422" s="272"/>
      <c r="R422" s="272"/>
      <c r="S422" s="272"/>
      <c r="T422" s="272"/>
      <c r="U422" s="272"/>
      <c r="V422" s="272"/>
      <c r="W422" s="272"/>
      <c r="X422" s="272"/>
      <c r="Y422" s="272"/>
      <c r="Z422" s="272"/>
      <c r="AA422" s="271"/>
      <c r="AB422" s="271"/>
      <c r="AC422" s="271"/>
      <c r="AD422" s="271"/>
      <c r="AE422" s="271"/>
      <c r="AF422" s="271"/>
      <c r="AG422" s="272"/>
    </row>
    <row r="423" spans="1:33">
      <c r="A423" s="273"/>
      <c r="B423" s="273"/>
      <c r="C423" s="271"/>
      <c r="D423" s="271"/>
      <c r="E423" s="271"/>
      <c r="F423" s="272"/>
      <c r="G423" s="272"/>
      <c r="H423" s="272"/>
      <c r="I423" s="272"/>
      <c r="J423" s="272"/>
      <c r="K423" s="272"/>
      <c r="L423" s="272"/>
      <c r="M423" s="272"/>
      <c r="N423" s="272"/>
      <c r="O423" s="272"/>
      <c r="P423" s="272"/>
      <c r="Q423" s="272"/>
      <c r="R423" s="272"/>
      <c r="S423" s="272"/>
      <c r="T423" s="272"/>
      <c r="U423" s="272"/>
      <c r="V423" s="272"/>
      <c r="W423" s="272"/>
      <c r="X423" s="272"/>
      <c r="Y423" s="272"/>
      <c r="Z423" s="272"/>
      <c r="AA423" s="271"/>
      <c r="AB423" s="271"/>
      <c r="AC423" s="271"/>
      <c r="AD423" s="271"/>
      <c r="AE423" s="271"/>
      <c r="AF423" s="271"/>
      <c r="AG423" s="272"/>
    </row>
    <row r="424" spans="1:33">
      <c r="A424" s="273"/>
      <c r="B424" s="273"/>
      <c r="C424" s="271"/>
      <c r="D424" s="271"/>
      <c r="E424" s="271"/>
      <c r="F424" s="272"/>
      <c r="G424" s="272"/>
      <c r="H424" s="272"/>
      <c r="I424" s="272"/>
      <c r="J424" s="272"/>
      <c r="K424" s="272"/>
      <c r="L424" s="272"/>
      <c r="M424" s="272"/>
      <c r="N424" s="272"/>
      <c r="O424" s="272"/>
      <c r="P424" s="272"/>
      <c r="Q424" s="272"/>
      <c r="R424" s="272"/>
      <c r="S424" s="272"/>
      <c r="T424" s="272"/>
      <c r="U424" s="272"/>
      <c r="V424" s="272"/>
      <c r="W424" s="272"/>
      <c r="X424" s="272"/>
      <c r="Y424" s="272"/>
      <c r="Z424" s="272"/>
      <c r="AA424" s="271"/>
      <c r="AB424" s="271"/>
      <c r="AC424" s="271"/>
      <c r="AD424" s="271"/>
      <c r="AE424" s="271"/>
      <c r="AF424" s="271"/>
      <c r="AG424" s="272"/>
    </row>
    <row r="425" spans="1:33">
      <c r="A425" s="273"/>
      <c r="B425" s="273"/>
      <c r="C425" s="271"/>
      <c r="D425" s="271"/>
      <c r="E425" s="271"/>
      <c r="F425" s="272"/>
      <c r="G425" s="272"/>
      <c r="H425" s="272"/>
      <c r="I425" s="272"/>
      <c r="J425" s="272"/>
      <c r="K425" s="272"/>
      <c r="L425" s="272"/>
      <c r="M425" s="272"/>
      <c r="N425" s="272"/>
      <c r="O425" s="272"/>
      <c r="P425" s="272"/>
      <c r="Q425" s="272"/>
      <c r="R425" s="272"/>
      <c r="S425" s="272"/>
      <c r="T425" s="272"/>
      <c r="U425" s="272"/>
      <c r="V425" s="272"/>
      <c r="W425" s="272"/>
      <c r="X425" s="272"/>
      <c r="Y425" s="272"/>
      <c r="Z425" s="272"/>
      <c r="AA425" s="271"/>
      <c r="AB425" s="271"/>
      <c r="AC425" s="271"/>
      <c r="AD425" s="271"/>
      <c r="AE425" s="271"/>
      <c r="AF425" s="271"/>
      <c r="AG425" s="272"/>
    </row>
    <row r="426" spans="1:33">
      <c r="A426" s="273"/>
      <c r="B426" s="273"/>
      <c r="C426" s="271"/>
      <c r="D426" s="271"/>
      <c r="E426" s="271"/>
      <c r="F426" s="272"/>
      <c r="G426" s="272"/>
      <c r="H426" s="272"/>
      <c r="I426" s="272"/>
      <c r="J426" s="272"/>
      <c r="K426" s="272"/>
      <c r="L426" s="272"/>
      <c r="M426" s="272"/>
      <c r="N426" s="272"/>
      <c r="O426" s="272"/>
      <c r="P426" s="272"/>
      <c r="Q426" s="272"/>
      <c r="R426" s="272"/>
      <c r="S426" s="272"/>
      <c r="T426" s="272"/>
      <c r="U426" s="272"/>
      <c r="V426" s="272"/>
      <c r="W426" s="272"/>
      <c r="X426" s="272"/>
      <c r="Y426" s="272"/>
      <c r="Z426" s="272"/>
      <c r="AA426" s="271"/>
      <c r="AB426" s="271"/>
      <c r="AC426" s="271"/>
      <c r="AD426" s="271"/>
      <c r="AE426" s="271"/>
      <c r="AF426" s="271"/>
      <c r="AG426" s="272"/>
    </row>
    <row r="427" spans="1:33">
      <c r="A427" s="273"/>
      <c r="B427" s="273"/>
      <c r="C427" s="271"/>
      <c r="D427" s="271"/>
      <c r="E427" s="271"/>
      <c r="F427" s="272"/>
      <c r="G427" s="272"/>
      <c r="H427" s="272"/>
      <c r="I427" s="272"/>
      <c r="J427" s="272"/>
      <c r="K427" s="272"/>
      <c r="L427" s="272"/>
      <c r="M427" s="272"/>
      <c r="N427" s="272"/>
      <c r="O427" s="272"/>
      <c r="P427" s="272"/>
      <c r="Q427" s="272"/>
      <c r="R427" s="272"/>
      <c r="S427" s="272"/>
      <c r="T427" s="272"/>
      <c r="U427" s="272"/>
      <c r="V427" s="272"/>
      <c r="W427" s="272"/>
      <c r="X427" s="272"/>
      <c r="Y427" s="272"/>
      <c r="Z427" s="272"/>
      <c r="AA427" s="271"/>
      <c r="AB427" s="271"/>
      <c r="AC427" s="271"/>
      <c r="AD427" s="271"/>
      <c r="AE427" s="271"/>
      <c r="AF427" s="271"/>
      <c r="AG427" s="272"/>
    </row>
    <row r="428" spans="1:33">
      <c r="A428" s="273"/>
      <c r="B428" s="273"/>
      <c r="C428" s="271"/>
      <c r="D428" s="271"/>
      <c r="E428" s="271"/>
      <c r="F428" s="272"/>
      <c r="G428" s="272"/>
      <c r="H428" s="272"/>
      <c r="I428" s="272"/>
      <c r="J428" s="272"/>
      <c r="K428" s="272"/>
      <c r="L428" s="272"/>
      <c r="M428" s="272"/>
      <c r="N428" s="272"/>
      <c r="O428" s="272"/>
      <c r="P428" s="272"/>
      <c r="Q428" s="272"/>
      <c r="R428" s="272"/>
      <c r="S428" s="272"/>
      <c r="T428" s="272"/>
      <c r="U428" s="272"/>
      <c r="V428" s="272"/>
      <c r="W428" s="272"/>
      <c r="X428" s="272"/>
      <c r="Y428" s="272"/>
      <c r="Z428" s="272"/>
      <c r="AA428" s="271"/>
      <c r="AB428" s="271"/>
      <c r="AC428" s="271"/>
      <c r="AD428" s="271"/>
      <c r="AE428" s="271"/>
      <c r="AF428" s="271"/>
      <c r="AG428" s="272"/>
    </row>
    <row r="429" spans="1:33">
      <c r="A429" s="273"/>
      <c r="B429" s="273"/>
      <c r="C429" s="271"/>
      <c r="D429" s="271"/>
      <c r="E429" s="271"/>
      <c r="F429" s="272"/>
      <c r="G429" s="272"/>
      <c r="H429" s="272"/>
      <c r="I429" s="272"/>
      <c r="J429" s="272"/>
      <c r="K429" s="272"/>
      <c r="L429" s="272"/>
      <c r="M429" s="272"/>
      <c r="N429" s="272"/>
      <c r="O429" s="272"/>
      <c r="P429" s="272"/>
      <c r="Q429" s="272"/>
      <c r="R429" s="272"/>
      <c r="S429" s="272"/>
      <c r="T429" s="272"/>
      <c r="U429" s="272"/>
      <c r="V429" s="272"/>
      <c r="W429" s="272"/>
      <c r="X429" s="272"/>
      <c r="Y429" s="272"/>
      <c r="Z429" s="272"/>
      <c r="AA429" s="271"/>
      <c r="AB429" s="271"/>
      <c r="AC429" s="271"/>
      <c r="AD429" s="271"/>
      <c r="AE429" s="271"/>
      <c r="AF429" s="271"/>
      <c r="AG429" s="272"/>
    </row>
    <row r="430" spans="1:33">
      <c r="A430" s="273"/>
      <c r="B430" s="273"/>
      <c r="C430" s="271"/>
      <c r="D430" s="271"/>
      <c r="E430" s="271"/>
      <c r="F430" s="272"/>
      <c r="G430" s="272"/>
      <c r="H430" s="272"/>
      <c r="I430" s="272"/>
      <c r="J430" s="272"/>
      <c r="K430" s="272"/>
      <c r="L430" s="272"/>
      <c r="M430" s="272"/>
      <c r="N430" s="272"/>
      <c r="O430" s="272"/>
      <c r="P430" s="272"/>
      <c r="Q430" s="272"/>
      <c r="R430" s="272"/>
      <c r="S430" s="272"/>
      <c r="T430" s="272"/>
      <c r="U430" s="272"/>
      <c r="V430" s="272"/>
      <c r="W430" s="272"/>
      <c r="X430" s="272"/>
      <c r="Y430" s="272"/>
      <c r="Z430" s="272"/>
      <c r="AA430" s="271"/>
      <c r="AB430" s="271"/>
      <c r="AC430" s="271"/>
      <c r="AD430" s="271"/>
      <c r="AE430" s="271"/>
      <c r="AF430" s="271"/>
      <c r="AG430" s="272"/>
    </row>
    <row r="431" spans="1:33">
      <c r="A431" s="273"/>
      <c r="B431" s="273"/>
      <c r="C431" s="271"/>
      <c r="D431" s="271"/>
      <c r="E431" s="271"/>
      <c r="F431" s="272"/>
      <c r="G431" s="272"/>
      <c r="H431" s="272"/>
      <c r="I431" s="272"/>
      <c r="J431" s="272"/>
      <c r="K431" s="272"/>
      <c r="L431" s="272"/>
      <c r="M431" s="272"/>
      <c r="N431" s="272"/>
      <c r="O431" s="272"/>
      <c r="P431" s="272"/>
      <c r="Q431" s="272"/>
      <c r="R431" s="272"/>
      <c r="S431" s="272"/>
      <c r="T431" s="272"/>
      <c r="U431" s="272"/>
      <c r="V431" s="272"/>
      <c r="W431" s="272"/>
      <c r="X431" s="272"/>
      <c r="Y431" s="272"/>
      <c r="Z431" s="272"/>
      <c r="AA431" s="271"/>
      <c r="AB431" s="271"/>
      <c r="AC431" s="271"/>
      <c r="AD431" s="271"/>
      <c r="AE431" s="271"/>
      <c r="AF431" s="271"/>
      <c r="AG431" s="272"/>
    </row>
    <row r="432" spans="1:33">
      <c r="A432" s="273"/>
      <c r="B432" s="273"/>
      <c r="C432" s="271"/>
      <c r="D432" s="271"/>
      <c r="E432" s="271"/>
      <c r="F432" s="272"/>
      <c r="G432" s="272"/>
      <c r="H432" s="272"/>
      <c r="I432" s="272"/>
      <c r="J432" s="272"/>
      <c r="K432" s="272"/>
      <c r="L432" s="272"/>
      <c r="M432" s="272"/>
      <c r="N432" s="272"/>
      <c r="O432" s="272"/>
      <c r="P432" s="272"/>
      <c r="Q432" s="272"/>
      <c r="R432" s="272"/>
      <c r="S432" s="272"/>
      <c r="T432" s="272"/>
      <c r="U432" s="272"/>
      <c r="V432" s="272"/>
      <c r="W432" s="272"/>
      <c r="X432" s="272"/>
      <c r="Y432" s="272"/>
      <c r="Z432" s="272"/>
      <c r="AA432" s="271"/>
      <c r="AB432" s="271"/>
      <c r="AC432" s="271"/>
      <c r="AD432" s="271"/>
      <c r="AE432" s="271"/>
      <c r="AF432" s="271"/>
      <c r="AG432" s="272"/>
    </row>
    <row r="433" spans="1:33">
      <c r="A433" s="273"/>
      <c r="B433" s="273"/>
      <c r="C433" s="271"/>
      <c r="D433" s="271"/>
      <c r="E433" s="271"/>
      <c r="F433" s="272"/>
      <c r="G433" s="272"/>
      <c r="H433" s="272"/>
      <c r="I433" s="272"/>
      <c r="J433" s="272"/>
      <c r="K433" s="272"/>
      <c r="L433" s="272"/>
      <c r="M433" s="272"/>
      <c r="N433" s="272"/>
      <c r="O433" s="272"/>
      <c r="P433" s="272"/>
      <c r="Q433" s="272"/>
      <c r="R433" s="272"/>
      <c r="S433" s="272"/>
      <c r="T433" s="272"/>
      <c r="U433" s="272"/>
      <c r="V433" s="272"/>
      <c r="W433" s="272"/>
      <c r="X433" s="272"/>
      <c r="Y433" s="272"/>
      <c r="Z433" s="272"/>
      <c r="AA433" s="271"/>
      <c r="AB433" s="271"/>
      <c r="AC433" s="271"/>
      <c r="AD433" s="271"/>
      <c r="AE433" s="271"/>
      <c r="AF433" s="271"/>
      <c r="AG433" s="272"/>
    </row>
    <row r="434" spans="1:33">
      <c r="A434" s="273"/>
      <c r="B434" s="273"/>
      <c r="C434" s="271"/>
      <c r="D434" s="271"/>
      <c r="E434" s="271"/>
      <c r="F434" s="272"/>
      <c r="G434" s="272"/>
      <c r="H434" s="272"/>
      <c r="I434" s="272"/>
      <c r="J434" s="272"/>
      <c r="K434" s="272"/>
      <c r="L434" s="272"/>
      <c r="M434" s="272"/>
      <c r="N434" s="272"/>
      <c r="O434" s="272"/>
      <c r="P434" s="272"/>
      <c r="Q434" s="272"/>
      <c r="R434" s="272"/>
      <c r="S434" s="272"/>
      <c r="T434" s="272"/>
      <c r="U434" s="272"/>
      <c r="V434" s="272"/>
      <c r="W434" s="272"/>
      <c r="X434" s="272"/>
      <c r="Y434" s="272"/>
      <c r="Z434" s="272"/>
      <c r="AA434" s="271"/>
      <c r="AB434" s="271"/>
      <c r="AC434" s="271"/>
      <c r="AD434" s="271"/>
      <c r="AE434" s="271"/>
      <c r="AF434" s="271"/>
      <c r="AG434" s="272"/>
    </row>
    <row r="435" spans="1:33">
      <c r="A435" s="273"/>
      <c r="B435" s="273"/>
      <c r="C435" s="271"/>
      <c r="D435" s="271"/>
      <c r="E435" s="271"/>
      <c r="F435" s="272"/>
      <c r="G435" s="272"/>
      <c r="H435" s="272"/>
      <c r="I435" s="272"/>
      <c r="J435" s="272"/>
      <c r="K435" s="272"/>
      <c r="L435" s="272"/>
      <c r="M435" s="272"/>
      <c r="N435" s="272"/>
      <c r="O435" s="272"/>
      <c r="P435" s="272"/>
      <c r="Q435" s="272"/>
      <c r="R435" s="272"/>
      <c r="S435" s="272"/>
      <c r="T435" s="272"/>
      <c r="U435" s="272"/>
      <c r="V435" s="272"/>
      <c r="W435" s="272"/>
      <c r="X435" s="272"/>
      <c r="Y435" s="272"/>
      <c r="Z435" s="272"/>
      <c r="AA435" s="271"/>
      <c r="AB435" s="271"/>
      <c r="AC435" s="271"/>
      <c r="AD435" s="271"/>
      <c r="AE435" s="271"/>
      <c r="AF435" s="271"/>
      <c r="AG435" s="272"/>
    </row>
    <row r="436" spans="1:33">
      <c r="A436" s="273"/>
      <c r="B436" s="273"/>
      <c r="C436" s="271"/>
      <c r="D436" s="271"/>
      <c r="E436" s="271"/>
      <c r="F436" s="272"/>
      <c r="G436" s="272"/>
      <c r="H436" s="272"/>
      <c r="I436" s="272"/>
      <c r="J436" s="272"/>
      <c r="K436" s="272"/>
      <c r="L436" s="272"/>
      <c r="M436" s="272"/>
      <c r="N436" s="272"/>
      <c r="O436" s="272"/>
      <c r="P436" s="272"/>
      <c r="Q436" s="272"/>
      <c r="R436" s="272"/>
      <c r="S436" s="272"/>
      <c r="T436" s="272"/>
      <c r="U436" s="272"/>
      <c r="V436" s="272"/>
      <c r="W436" s="272"/>
      <c r="X436" s="272"/>
      <c r="Y436" s="272"/>
      <c r="Z436" s="272"/>
      <c r="AA436" s="271"/>
      <c r="AB436" s="271"/>
      <c r="AC436" s="271"/>
      <c r="AD436" s="271"/>
      <c r="AE436" s="271"/>
      <c r="AF436" s="271"/>
      <c r="AG436" s="272"/>
    </row>
    <row r="437" spans="1:33">
      <c r="A437" s="273"/>
      <c r="B437" s="273"/>
      <c r="C437" s="271"/>
      <c r="D437" s="271"/>
      <c r="E437" s="271"/>
      <c r="F437" s="272"/>
      <c r="G437" s="272"/>
      <c r="H437" s="272"/>
      <c r="I437" s="272"/>
      <c r="J437" s="272"/>
      <c r="K437" s="272"/>
      <c r="L437" s="272"/>
      <c r="M437" s="272"/>
      <c r="N437" s="272"/>
      <c r="O437" s="272"/>
      <c r="P437" s="272"/>
      <c r="Q437" s="272"/>
      <c r="R437" s="272"/>
      <c r="S437" s="272"/>
      <c r="T437" s="272"/>
      <c r="U437" s="272"/>
      <c r="V437" s="272"/>
      <c r="W437" s="272"/>
      <c r="X437" s="272"/>
      <c r="Y437" s="272"/>
      <c r="Z437" s="272"/>
      <c r="AA437" s="271"/>
      <c r="AB437" s="271"/>
      <c r="AC437" s="271"/>
      <c r="AD437" s="271"/>
      <c r="AE437" s="271"/>
      <c r="AF437" s="271"/>
      <c r="AG437" s="272"/>
    </row>
    <row r="438" spans="1:33">
      <c r="A438" s="273"/>
      <c r="B438" s="273"/>
      <c r="C438" s="271"/>
      <c r="D438" s="271"/>
      <c r="E438" s="271"/>
      <c r="F438" s="272"/>
      <c r="G438" s="272"/>
      <c r="H438" s="272"/>
      <c r="I438" s="272"/>
      <c r="J438" s="272"/>
      <c r="K438" s="272"/>
      <c r="L438" s="272"/>
      <c r="M438" s="272"/>
      <c r="N438" s="272"/>
      <c r="O438" s="272"/>
      <c r="P438" s="272"/>
      <c r="Q438" s="272"/>
      <c r="R438" s="272"/>
      <c r="S438" s="272"/>
      <c r="T438" s="272"/>
      <c r="U438" s="272"/>
      <c r="V438" s="272"/>
      <c r="W438" s="272"/>
      <c r="X438" s="272"/>
      <c r="Y438" s="272"/>
      <c r="Z438" s="272"/>
      <c r="AA438" s="271"/>
      <c r="AB438" s="271"/>
      <c r="AC438" s="271"/>
      <c r="AD438" s="271"/>
      <c r="AE438" s="271"/>
      <c r="AF438" s="271"/>
      <c r="AG438" s="272"/>
    </row>
    <row r="439" spans="1:33">
      <c r="A439" s="273"/>
      <c r="B439" s="273"/>
      <c r="C439" s="271"/>
      <c r="D439" s="271"/>
      <c r="E439" s="271"/>
      <c r="F439" s="272"/>
      <c r="G439" s="272"/>
      <c r="H439" s="272"/>
      <c r="I439" s="272"/>
      <c r="J439" s="272"/>
      <c r="K439" s="272"/>
      <c r="L439" s="272"/>
      <c r="M439" s="272"/>
      <c r="N439" s="272"/>
      <c r="O439" s="272"/>
      <c r="P439" s="272"/>
      <c r="Q439" s="272"/>
      <c r="R439" s="272"/>
      <c r="S439" s="272"/>
      <c r="T439" s="272"/>
      <c r="U439" s="272"/>
      <c r="V439" s="272"/>
      <c r="W439" s="272"/>
      <c r="X439" s="272"/>
      <c r="Y439" s="272"/>
      <c r="Z439" s="272"/>
      <c r="AA439" s="271"/>
      <c r="AB439" s="271"/>
      <c r="AC439" s="271"/>
      <c r="AD439" s="271"/>
      <c r="AE439" s="271"/>
      <c r="AF439" s="271"/>
      <c r="AG439" s="272"/>
    </row>
    <row r="440" spans="1:33">
      <c r="A440" s="273"/>
      <c r="B440" s="273"/>
      <c r="C440" s="271"/>
      <c r="D440" s="271"/>
      <c r="E440" s="271"/>
      <c r="F440" s="272"/>
      <c r="G440" s="272"/>
      <c r="H440" s="272"/>
      <c r="I440" s="272"/>
      <c r="J440" s="272"/>
      <c r="K440" s="272"/>
      <c r="L440" s="272"/>
      <c r="M440" s="272"/>
      <c r="N440" s="272"/>
      <c r="O440" s="272"/>
      <c r="P440" s="272"/>
      <c r="Q440" s="272"/>
      <c r="R440" s="272"/>
      <c r="S440" s="272"/>
      <c r="T440" s="272"/>
      <c r="U440" s="272"/>
      <c r="V440" s="272"/>
      <c r="W440" s="272"/>
      <c r="X440" s="272"/>
      <c r="Y440" s="272"/>
      <c r="Z440" s="272"/>
      <c r="AA440" s="271"/>
      <c r="AB440" s="271"/>
      <c r="AC440" s="271"/>
      <c r="AD440" s="271"/>
      <c r="AE440" s="271"/>
      <c r="AF440" s="271"/>
      <c r="AG440" s="272"/>
    </row>
    <row r="441" spans="1:33">
      <c r="A441" s="273"/>
      <c r="B441" s="273"/>
      <c r="C441" s="271"/>
      <c r="D441" s="271"/>
      <c r="E441" s="271"/>
      <c r="F441" s="272"/>
      <c r="G441" s="272"/>
      <c r="H441" s="272"/>
      <c r="I441" s="272"/>
      <c r="J441" s="272"/>
      <c r="K441" s="272"/>
      <c r="L441" s="272"/>
      <c r="M441" s="272"/>
      <c r="N441" s="272"/>
      <c r="O441" s="272"/>
      <c r="P441" s="272"/>
      <c r="Q441" s="272"/>
      <c r="R441" s="272"/>
      <c r="S441" s="272"/>
      <c r="T441" s="272"/>
      <c r="U441" s="272"/>
      <c r="V441" s="272"/>
      <c r="W441" s="272"/>
      <c r="X441" s="272"/>
      <c r="Y441" s="272"/>
      <c r="Z441" s="272"/>
      <c r="AA441" s="271"/>
      <c r="AB441" s="271"/>
      <c r="AC441" s="271"/>
      <c r="AD441" s="271"/>
      <c r="AE441" s="271"/>
      <c r="AF441" s="271"/>
      <c r="AG441" s="272"/>
    </row>
    <row r="442" spans="1:33">
      <c r="A442" s="273"/>
      <c r="B442" s="273"/>
      <c r="C442" s="271"/>
      <c r="D442" s="271"/>
      <c r="E442" s="271"/>
      <c r="F442" s="272"/>
      <c r="G442" s="272"/>
      <c r="H442" s="272"/>
      <c r="I442" s="272"/>
      <c r="J442" s="272"/>
      <c r="K442" s="272"/>
      <c r="L442" s="272"/>
      <c r="M442" s="272"/>
      <c r="N442" s="272"/>
      <c r="O442" s="272"/>
      <c r="P442" s="272"/>
      <c r="Q442" s="272"/>
      <c r="R442" s="272"/>
      <c r="S442" s="272"/>
      <c r="T442" s="272"/>
      <c r="U442" s="272"/>
      <c r="V442" s="272"/>
      <c r="W442" s="272"/>
      <c r="X442" s="272"/>
      <c r="Y442" s="272"/>
      <c r="Z442" s="272"/>
      <c r="AA442" s="271"/>
      <c r="AB442" s="271"/>
      <c r="AC442" s="271"/>
      <c r="AD442" s="271"/>
      <c r="AE442" s="271"/>
      <c r="AF442" s="271"/>
      <c r="AG442" s="272"/>
    </row>
    <row r="443" spans="1:33">
      <c r="A443" s="273"/>
      <c r="B443" s="273"/>
      <c r="C443" s="271"/>
      <c r="D443" s="271"/>
      <c r="E443" s="271"/>
      <c r="F443" s="272"/>
      <c r="G443" s="272"/>
      <c r="H443" s="272"/>
      <c r="I443" s="272"/>
      <c r="J443" s="272"/>
      <c r="K443" s="272"/>
      <c r="L443" s="272"/>
      <c r="M443" s="272"/>
      <c r="N443" s="272"/>
      <c r="O443" s="272"/>
      <c r="P443" s="272"/>
      <c r="Q443" s="272"/>
      <c r="R443" s="272"/>
      <c r="S443" s="272"/>
      <c r="T443" s="272"/>
      <c r="U443" s="272"/>
      <c r="V443" s="272"/>
      <c r="W443" s="272"/>
      <c r="X443" s="272"/>
      <c r="Y443" s="272"/>
      <c r="Z443" s="272"/>
      <c r="AA443" s="271"/>
      <c r="AB443" s="271"/>
      <c r="AC443" s="271"/>
      <c r="AD443" s="271"/>
      <c r="AE443" s="271"/>
      <c r="AF443" s="271"/>
      <c r="AG443" s="272"/>
    </row>
    <row r="444" spans="1:33">
      <c r="A444" s="273"/>
      <c r="B444" s="273"/>
      <c r="C444" s="271"/>
      <c r="D444" s="271"/>
      <c r="E444" s="271"/>
      <c r="F444" s="272"/>
      <c r="G444" s="272"/>
      <c r="H444" s="272"/>
      <c r="I444" s="272"/>
      <c r="J444" s="272"/>
      <c r="K444" s="272"/>
      <c r="L444" s="272"/>
      <c r="M444" s="272"/>
      <c r="N444" s="272"/>
      <c r="O444" s="272"/>
      <c r="P444" s="272"/>
      <c r="Q444" s="272"/>
      <c r="R444" s="272"/>
      <c r="S444" s="272"/>
      <c r="T444" s="272"/>
      <c r="U444" s="272"/>
      <c r="V444" s="272"/>
      <c r="W444" s="272"/>
      <c r="X444" s="272"/>
      <c r="Y444" s="272"/>
      <c r="Z444" s="272"/>
      <c r="AA444" s="271"/>
      <c r="AB444" s="271"/>
      <c r="AC444" s="271"/>
      <c r="AD444" s="271"/>
      <c r="AE444" s="271"/>
      <c r="AF444" s="271"/>
      <c r="AG444" s="272"/>
    </row>
    <row r="445" spans="1:33">
      <c r="A445" s="273"/>
      <c r="B445" s="273"/>
      <c r="C445" s="271"/>
      <c r="D445" s="271"/>
      <c r="E445" s="271"/>
      <c r="F445" s="272"/>
      <c r="G445" s="272"/>
      <c r="H445" s="272"/>
      <c r="I445" s="272"/>
      <c r="J445" s="272"/>
      <c r="K445" s="272"/>
      <c r="L445" s="272"/>
      <c r="M445" s="272"/>
      <c r="N445" s="272"/>
      <c r="O445" s="272"/>
      <c r="P445" s="272"/>
      <c r="Q445" s="272"/>
      <c r="R445" s="272"/>
      <c r="S445" s="272"/>
      <c r="T445" s="272"/>
      <c r="U445" s="272"/>
      <c r="V445" s="272"/>
      <c r="W445" s="272"/>
      <c r="X445" s="272"/>
      <c r="Y445" s="272"/>
      <c r="Z445" s="272"/>
      <c r="AA445" s="271"/>
      <c r="AB445" s="271"/>
      <c r="AC445" s="271"/>
      <c r="AD445" s="271"/>
      <c r="AE445" s="271"/>
      <c r="AF445" s="271"/>
      <c r="AG445" s="272"/>
    </row>
    <row r="446" spans="1:33">
      <c r="A446" s="273"/>
      <c r="B446" s="273"/>
      <c r="C446" s="271"/>
      <c r="D446" s="271"/>
      <c r="E446" s="271"/>
      <c r="F446" s="272"/>
      <c r="G446" s="272"/>
      <c r="H446" s="272"/>
      <c r="I446" s="272"/>
      <c r="J446" s="272"/>
      <c r="K446" s="272"/>
      <c r="L446" s="272"/>
      <c r="M446" s="272"/>
      <c r="N446" s="272"/>
      <c r="O446" s="272"/>
      <c r="P446" s="272"/>
      <c r="Q446" s="272"/>
      <c r="R446" s="272"/>
      <c r="S446" s="272"/>
      <c r="T446" s="272"/>
      <c r="U446" s="272"/>
      <c r="V446" s="272"/>
      <c r="W446" s="272"/>
      <c r="X446" s="272"/>
      <c r="Y446" s="272"/>
      <c r="Z446" s="272"/>
      <c r="AA446" s="271"/>
      <c r="AB446" s="271"/>
      <c r="AC446" s="271"/>
      <c r="AD446" s="271"/>
      <c r="AE446" s="271"/>
      <c r="AF446" s="271"/>
      <c r="AG446" s="272"/>
    </row>
  </sheetData>
  <mergeCells count="20">
    <mergeCell ref="AI9:AI10"/>
    <mergeCell ref="AJ9:AJ10"/>
    <mergeCell ref="A7:AJ7"/>
    <mergeCell ref="A1:AJ1"/>
    <mergeCell ref="A2:AJ2"/>
    <mergeCell ref="A3:AJ3"/>
    <mergeCell ref="A4:AG4"/>
    <mergeCell ref="A5:AG5"/>
    <mergeCell ref="A9:A10"/>
    <mergeCell ref="B9:B10"/>
    <mergeCell ref="C9:AF9"/>
    <mergeCell ref="AG9:AG10"/>
    <mergeCell ref="AH9:AH10"/>
    <mergeCell ref="O64:V64"/>
    <mergeCell ref="Y64:AG64"/>
    <mergeCell ref="Y65:AG65"/>
    <mergeCell ref="A48:B48"/>
    <mergeCell ref="A49:AJ49"/>
    <mergeCell ref="AD51:AJ51"/>
    <mergeCell ref="A53:B53"/>
  </mergeCells>
  <pageMargins left="0.31496062992125984" right="0.23622047244094491" top="0.43307086614173229" bottom="0.19685039370078741" header="0.19685039370078741" footer="0.19685039370078741"/>
  <pageSetup paperSize="9" scale="65" fitToHeight="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N62"/>
  <sheetViews>
    <sheetView view="pageBreakPreview" zoomScale="40" zoomScaleNormal="55" zoomScaleSheetLayoutView="40" workbookViewId="0">
      <pane xSplit="2" ySplit="9" topLeftCell="C44" activePane="bottomRight" state="frozen"/>
      <selection activeCell="AH65" sqref="AH65"/>
      <selection pane="topRight" activeCell="AH65" sqref="AH65"/>
      <selection pane="bottomLeft" activeCell="AH65" sqref="AH65"/>
      <selection pane="bottomRight" activeCell="P81" sqref="P81"/>
    </sheetView>
  </sheetViews>
  <sheetFormatPr defaultColWidth="9.140625" defaultRowHeight="12"/>
  <cols>
    <col min="1" max="1" width="6.42578125" style="231" customWidth="1"/>
    <col min="2" max="2" width="29.5703125" style="232" customWidth="1"/>
    <col min="3" max="32" width="6.85546875" style="521" customWidth="1"/>
    <col min="33" max="33" width="6.85546875" style="521" hidden="1" customWidth="1"/>
    <col min="34" max="34" width="16" style="234" customWidth="1"/>
    <col min="35" max="35" width="8.5703125" style="234" hidden="1" customWidth="1"/>
    <col min="36" max="36" width="15.85546875" style="234" hidden="1" customWidth="1"/>
    <col min="37" max="37" width="3.28515625" style="234" hidden="1" customWidth="1"/>
    <col min="38" max="38" width="27" style="234" customWidth="1"/>
    <col min="39" max="39" width="11.140625" style="234" customWidth="1"/>
    <col min="40" max="16384" width="9.140625" style="234"/>
  </cols>
  <sheetData>
    <row r="1" spans="1:40" s="220" customFormat="1" ht="35.25" customHeight="1">
      <c r="A1" s="1270" t="s">
        <v>0</v>
      </c>
      <c r="B1" s="1270"/>
      <c r="C1" s="1270"/>
      <c r="D1" s="1270"/>
      <c r="E1" s="1270"/>
      <c r="F1" s="1270"/>
      <c r="G1" s="1270"/>
      <c r="H1" s="1270"/>
      <c r="I1" s="1270"/>
      <c r="J1" s="1270"/>
      <c r="K1" s="1270"/>
      <c r="L1" s="1270"/>
      <c r="M1" s="1270"/>
      <c r="N1" s="1270"/>
      <c r="O1" s="1270"/>
      <c r="P1" s="1270"/>
      <c r="Q1" s="1270"/>
      <c r="R1" s="1270"/>
      <c r="S1" s="1270"/>
      <c r="T1" s="1270"/>
      <c r="U1" s="1270"/>
      <c r="V1" s="1270"/>
      <c r="W1" s="1270"/>
      <c r="X1" s="1270"/>
      <c r="Y1" s="1270"/>
      <c r="Z1" s="1270"/>
      <c r="AA1" s="1270"/>
      <c r="AB1" s="1270"/>
      <c r="AC1" s="1270"/>
      <c r="AD1" s="1270"/>
      <c r="AE1" s="1270"/>
      <c r="AF1" s="1270"/>
      <c r="AG1" s="1270"/>
      <c r="AH1" s="1270"/>
      <c r="AI1" s="1270"/>
      <c r="AJ1" s="1270"/>
      <c r="AK1" s="1270"/>
      <c r="AL1" s="1270"/>
    </row>
    <row r="2" spans="1:40" s="220" customFormat="1" ht="34.5" customHeight="1">
      <c r="A2" s="1270" t="s">
        <v>65</v>
      </c>
      <c r="B2" s="1270"/>
      <c r="C2" s="1270"/>
      <c r="D2" s="1270"/>
      <c r="E2" s="1270"/>
      <c r="F2" s="1270"/>
      <c r="G2" s="1270"/>
      <c r="H2" s="1270"/>
      <c r="I2" s="1270"/>
      <c r="J2" s="1270"/>
      <c r="K2" s="1270"/>
      <c r="L2" s="1270"/>
      <c r="M2" s="1270"/>
      <c r="N2" s="1270"/>
      <c r="O2" s="1270"/>
      <c r="P2" s="1270"/>
      <c r="Q2" s="1270"/>
      <c r="R2" s="1270"/>
      <c r="S2" s="1270"/>
      <c r="T2" s="1270"/>
      <c r="U2" s="1270"/>
      <c r="V2" s="1270"/>
      <c r="W2" s="1270"/>
      <c r="X2" s="1270"/>
      <c r="Y2" s="1270"/>
      <c r="Z2" s="1270"/>
      <c r="AA2" s="1270"/>
      <c r="AB2" s="1270"/>
      <c r="AC2" s="1270"/>
      <c r="AD2" s="1270"/>
      <c r="AE2" s="1270"/>
      <c r="AF2" s="1270"/>
      <c r="AG2" s="1270"/>
      <c r="AH2" s="1270"/>
      <c r="AI2" s="1270"/>
      <c r="AJ2" s="1270"/>
      <c r="AK2" s="1270"/>
      <c r="AL2" s="1270"/>
    </row>
    <row r="3" spans="1:40" s="220" customFormat="1" ht="24" customHeight="1">
      <c r="A3" s="1274" t="s">
        <v>39</v>
      </c>
      <c r="B3" s="1274"/>
      <c r="C3" s="1274"/>
      <c r="D3" s="1274"/>
      <c r="E3" s="1274"/>
      <c r="F3" s="1274"/>
      <c r="G3" s="1274"/>
      <c r="H3" s="1274"/>
      <c r="I3" s="1274"/>
      <c r="J3" s="1274"/>
      <c r="K3" s="1274"/>
      <c r="L3" s="1274"/>
      <c r="M3" s="1274"/>
      <c r="N3" s="1274"/>
      <c r="O3" s="1274"/>
      <c r="P3" s="1274"/>
      <c r="Q3" s="1274"/>
      <c r="R3" s="1274"/>
      <c r="S3" s="1274"/>
      <c r="T3" s="1274"/>
      <c r="U3" s="1274"/>
      <c r="V3" s="1274"/>
      <c r="W3" s="1274"/>
      <c r="X3" s="1274"/>
      <c r="Y3" s="1274"/>
      <c r="Z3" s="1274"/>
      <c r="AA3" s="1274"/>
      <c r="AB3" s="1274"/>
      <c r="AC3" s="1274"/>
      <c r="AD3" s="1274"/>
      <c r="AE3" s="1274"/>
      <c r="AF3" s="1274"/>
      <c r="AG3" s="1274"/>
      <c r="AH3" s="1274"/>
      <c r="AI3" s="1274"/>
      <c r="AJ3" s="1274"/>
      <c r="AK3" s="1274"/>
      <c r="AL3" s="1274"/>
    </row>
    <row r="4" spans="1:40" s="221" customFormat="1" ht="36" customHeight="1">
      <c r="A4" s="1271" t="s">
        <v>115</v>
      </c>
      <c r="B4" s="1271"/>
      <c r="C4" s="1271"/>
      <c r="D4" s="1271"/>
      <c r="E4" s="1271"/>
      <c r="F4" s="1271"/>
      <c r="G4" s="1271"/>
      <c r="H4" s="1271"/>
      <c r="I4" s="1271"/>
      <c r="J4" s="1271"/>
      <c r="K4" s="1271"/>
      <c r="L4" s="1271"/>
      <c r="M4" s="1271"/>
      <c r="N4" s="513"/>
      <c r="O4" s="513"/>
      <c r="P4" s="513"/>
      <c r="Q4" s="513"/>
      <c r="R4" s="513"/>
      <c r="S4" s="513"/>
      <c r="T4" s="513"/>
      <c r="U4" s="513"/>
      <c r="V4" s="513"/>
      <c r="W4" s="513"/>
      <c r="X4" s="1272"/>
      <c r="Y4" s="1272"/>
      <c r="Z4" s="1272"/>
      <c r="AA4" s="1272"/>
      <c r="AB4" s="1272"/>
      <c r="AC4" s="1272"/>
      <c r="AD4" s="1272"/>
      <c r="AE4" s="1272"/>
      <c r="AF4" s="1272"/>
      <c r="AG4" s="1272"/>
      <c r="AH4" s="1272"/>
      <c r="AI4" s="1272"/>
      <c r="AJ4" s="1272"/>
      <c r="AK4" s="1272"/>
      <c r="AL4" s="1272"/>
    </row>
    <row r="5" spans="1:40" s="221" customFormat="1" ht="35.25" customHeight="1">
      <c r="A5" s="1273" t="s">
        <v>292</v>
      </c>
      <c r="B5" s="1273"/>
      <c r="C5" s="1273"/>
      <c r="D5" s="1273"/>
      <c r="E5" s="1273"/>
      <c r="F5" s="1273"/>
      <c r="G5" s="1273"/>
      <c r="H5" s="1273"/>
      <c r="I5" s="1273"/>
      <c r="J5" s="1273"/>
      <c r="K5" s="1273"/>
      <c r="L5" s="1273"/>
      <c r="M5" s="1273"/>
      <c r="N5" s="513"/>
      <c r="O5" s="513"/>
      <c r="P5" s="513"/>
      <c r="Q5" s="513"/>
      <c r="R5" s="513"/>
      <c r="S5" s="513"/>
      <c r="T5" s="513"/>
      <c r="U5" s="513"/>
      <c r="V5" s="513"/>
      <c r="W5" s="513"/>
      <c r="X5" s="1272"/>
      <c r="Y5" s="1272"/>
      <c r="Z5" s="1272"/>
      <c r="AA5" s="1272"/>
      <c r="AB5" s="1272"/>
      <c r="AC5" s="1272"/>
      <c r="AD5" s="1272"/>
      <c r="AE5" s="1272"/>
      <c r="AF5" s="1272"/>
      <c r="AG5" s="1272"/>
      <c r="AH5" s="1272"/>
      <c r="AI5" s="1272"/>
      <c r="AJ5" s="1272"/>
      <c r="AK5" s="1272"/>
      <c r="AL5" s="1272"/>
    </row>
    <row r="6" spans="1:40" s="220" customFormat="1" ht="34.5" customHeight="1">
      <c r="A6" s="1270" t="s">
        <v>519</v>
      </c>
      <c r="B6" s="1270"/>
      <c r="C6" s="1270"/>
      <c r="D6" s="1270"/>
      <c r="E6" s="1270"/>
      <c r="F6" s="1270"/>
      <c r="G6" s="1270"/>
      <c r="H6" s="1270"/>
      <c r="I6" s="1270"/>
      <c r="J6" s="1270"/>
      <c r="K6" s="1270"/>
      <c r="L6" s="1270"/>
      <c r="M6" s="1270"/>
      <c r="N6" s="1270"/>
      <c r="O6" s="1270"/>
      <c r="P6" s="1270"/>
      <c r="Q6" s="1270"/>
      <c r="R6" s="1270"/>
      <c r="S6" s="1270"/>
      <c r="T6" s="1270"/>
      <c r="U6" s="1270"/>
      <c r="V6" s="1270"/>
      <c r="W6" s="1270"/>
      <c r="X6" s="1270"/>
      <c r="Y6" s="1270"/>
      <c r="Z6" s="1270"/>
      <c r="AA6" s="1270"/>
      <c r="AB6" s="1270"/>
      <c r="AC6" s="1270"/>
      <c r="AD6" s="1270"/>
      <c r="AE6" s="1270"/>
      <c r="AF6" s="1270"/>
      <c r="AG6" s="1270"/>
      <c r="AH6" s="1270"/>
      <c r="AI6" s="1270"/>
      <c r="AJ6" s="1270"/>
      <c r="AK6" s="1270"/>
      <c r="AL6" s="1270"/>
      <c r="AN6" s="222"/>
    </row>
    <row r="7" spans="1:40" s="225" customFormat="1" ht="22.5" customHeight="1">
      <c r="A7" s="223"/>
      <c r="B7" s="224"/>
      <c r="C7" s="514"/>
      <c r="D7" s="514"/>
      <c r="E7" s="514"/>
      <c r="F7" s="514"/>
      <c r="G7" s="514"/>
      <c r="H7" s="514"/>
      <c r="I7" s="514"/>
      <c r="J7" s="514"/>
      <c r="K7" s="514"/>
      <c r="L7" s="514"/>
      <c r="M7" s="514"/>
      <c r="N7" s="514"/>
      <c r="O7" s="514"/>
      <c r="P7" s="514"/>
      <c r="Q7" s="514"/>
      <c r="R7" s="514"/>
      <c r="S7" s="514"/>
      <c r="T7" s="514"/>
      <c r="U7" s="514"/>
      <c r="V7" s="514"/>
      <c r="W7" s="514"/>
      <c r="X7" s="514"/>
      <c r="Y7" s="514"/>
      <c r="Z7" s="514"/>
      <c r="AA7" s="514"/>
      <c r="AB7" s="514"/>
      <c r="AC7" s="514"/>
      <c r="AD7" s="514"/>
      <c r="AE7" s="514"/>
      <c r="AF7" s="514"/>
      <c r="AG7" s="514"/>
      <c r="AH7" s="1277" t="s">
        <v>293</v>
      </c>
      <c r="AI7" s="1277"/>
      <c r="AJ7" s="1277"/>
      <c r="AK7" s="1277"/>
      <c r="AL7" s="1277"/>
    </row>
    <row r="8" spans="1:40" s="226" customFormat="1" ht="57" customHeight="1">
      <c r="A8" s="1278" t="s">
        <v>41</v>
      </c>
      <c r="B8" s="1280" t="s">
        <v>12</v>
      </c>
      <c r="C8" s="1281" t="s">
        <v>27</v>
      </c>
      <c r="D8" s="1281"/>
      <c r="E8" s="1281"/>
      <c r="F8" s="1281"/>
      <c r="G8" s="1281"/>
      <c r="H8" s="1281"/>
      <c r="I8" s="1281"/>
      <c r="J8" s="1281"/>
      <c r="K8" s="1281"/>
      <c r="L8" s="1281"/>
      <c r="M8" s="1281"/>
      <c r="N8" s="1281"/>
      <c r="O8" s="1281"/>
      <c r="P8" s="1281"/>
      <c r="Q8" s="1281"/>
      <c r="R8" s="1281"/>
      <c r="S8" s="1281"/>
      <c r="T8" s="1281"/>
      <c r="U8" s="1281"/>
      <c r="V8" s="1281"/>
      <c r="W8" s="1281"/>
      <c r="X8" s="1281"/>
      <c r="Y8" s="1281"/>
      <c r="Z8" s="1281"/>
      <c r="AA8" s="1281"/>
      <c r="AB8" s="1281"/>
      <c r="AC8" s="1281"/>
      <c r="AD8" s="1281"/>
      <c r="AE8" s="1281"/>
      <c r="AF8" s="1281"/>
      <c r="AG8" s="1281"/>
      <c r="AH8" s="1282" t="s">
        <v>64</v>
      </c>
      <c r="AI8" s="1283" t="s">
        <v>294</v>
      </c>
      <c r="AJ8" s="1283" t="s">
        <v>298</v>
      </c>
      <c r="AK8" s="1282" t="s">
        <v>116</v>
      </c>
      <c r="AL8" s="1285" t="s">
        <v>58</v>
      </c>
    </row>
    <row r="9" spans="1:40" s="227" customFormat="1" ht="39" customHeight="1">
      <c r="A9" s="1279"/>
      <c r="B9" s="1280"/>
      <c r="C9" s="515">
        <v>1</v>
      </c>
      <c r="D9" s="515">
        <v>2</v>
      </c>
      <c r="E9" s="515">
        <v>3</v>
      </c>
      <c r="F9" s="515">
        <v>4</v>
      </c>
      <c r="G9" s="515">
        <v>5</v>
      </c>
      <c r="H9" s="515">
        <v>6</v>
      </c>
      <c r="I9" s="515">
        <v>7</v>
      </c>
      <c r="J9" s="515">
        <v>8</v>
      </c>
      <c r="K9" s="515">
        <v>9</v>
      </c>
      <c r="L9" s="515">
        <v>10</v>
      </c>
      <c r="M9" s="836">
        <v>11</v>
      </c>
      <c r="N9" s="515">
        <v>12</v>
      </c>
      <c r="O9" s="515">
        <v>13</v>
      </c>
      <c r="P9" s="515">
        <v>14</v>
      </c>
      <c r="Q9" s="515">
        <v>15</v>
      </c>
      <c r="R9" s="515">
        <v>16</v>
      </c>
      <c r="S9" s="515">
        <v>17</v>
      </c>
      <c r="T9" s="515">
        <v>18</v>
      </c>
      <c r="U9" s="515">
        <v>19</v>
      </c>
      <c r="V9" s="515">
        <v>20</v>
      </c>
      <c r="W9" s="515">
        <v>21</v>
      </c>
      <c r="X9" s="515">
        <v>22</v>
      </c>
      <c r="Y9" s="515">
        <v>23</v>
      </c>
      <c r="Z9" s="515">
        <v>24</v>
      </c>
      <c r="AA9" s="836">
        <v>25</v>
      </c>
      <c r="AB9" s="515">
        <v>26</v>
      </c>
      <c r="AC9" s="515">
        <v>27</v>
      </c>
      <c r="AD9" s="515">
        <v>28</v>
      </c>
      <c r="AE9" s="516">
        <v>29</v>
      </c>
      <c r="AF9" s="516">
        <v>30</v>
      </c>
      <c r="AG9" s="515">
        <v>31</v>
      </c>
      <c r="AH9" s="1282"/>
      <c r="AI9" s="1284"/>
      <c r="AJ9" s="1284"/>
      <c r="AK9" s="1282"/>
      <c r="AL9" s="1285"/>
    </row>
    <row r="10" spans="1:40" s="361" customFormat="1" ht="45" customHeight="1">
      <c r="A10" s="348">
        <v>1</v>
      </c>
      <c r="B10" s="349" t="str">
        <f>+'Biểu 1 TH CÔNG'!C11</f>
        <v>Phò Thưng</v>
      </c>
      <c r="C10" s="517" t="s">
        <v>462</v>
      </c>
      <c r="D10" s="517" t="s">
        <v>462</v>
      </c>
      <c r="E10" s="517" t="s">
        <v>462</v>
      </c>
      <c r="F10" s="517" t="s">
        <v>462</v>
      </c>
      <c r="G10" s="517" t="s">
        <v>462</v>
      </c>
      <c r="H10" s="517" t="s">
        <v>462</v>
      </c>
      <c r="I10" s="517" t="s">
        <v>462</v>
      </c>
      <c r="J10" s="517" t="s">
        <v>462</v>
      </c>
      <c r="K10" s="517" t="s">
        <v>462</v>
      </c>
      <c r="L10" s="517" t="s">
        <v>462</v>
      </c>
      <c r="M10" s="517">
        <v>7</v>
      </c>
      <c r="N10" s="517" t="s">
        <v>462</v>
      </c>
      <c r="O10" s="517" t="s">
        <v>462</v>
      </c>
      <c r="P10" s="517" t="s">
        <v>462</v>
      </c>
      <c r="Q10" s="517" t="s">
        <v>462</v>
      </c>
      <c r="R10" s="517" t="s">
        <v>462</v>
      </c>
      <c r="S10" s="517" t="s">
        <v>462</v>
      </c>
      <c r="T10" s="517" t="s">
        <v>462</v>
      </c>
      <c r="U10" s="517" t="s">
        <v>462</v>
      </c>
      <c r="V10" s="517" t="s">
        <v>462</v>
      </c>
      <c r="W10" s="517" t="s">
        <v>462</v>
      </c>
      <c r="X10" s="517" t="s">
        <v>462</v>
      </c>
      <c r="Y10" s="517" t="s">
        <v>462</v>
      </c>
      <c r="Z10" s="517" t="s">
        <v>462</v>
      </c>
      <c r="AA10" s="517">
        <v>8</v>
      </c>
      <c r="AB10" s="517" t="s">
        <v>462</v>
      </c>
      <c r="AC10" s="517" t="s">
        <v>462</v>
      </c>
      <c r="AD10" s="517" t="s">
        <v>462</v>
      </c>
      <c r="AE10" s="517" t="s">
        <v>462</v>
      </c>
      <c r="AF10" s="517" t="s">
        <v>462</v>
      </c>
      <c r="AG10" s="517" t="s">
        <v>462</v>
      </c>
      <c r="AH10" s="348">
        <f>SUM(C10:AG10)</f>
        <v>15</v>
      </c>
      <c r="AI10" s="359"/>
      <c r="AJ10" s="360">
        <f>AH10*AI10/100</f>
        <v>0</v>
      </c>
      <c r="AK10" s="350"/>
      <c r="AL10" s="348"/>
    </row>
    <row r="11" spans="1:40" s="361" customFormat="1" ht="45" customHeight="1">
      <c r="A11" s="348">
        <v>2</v>
      </c>
      <c r="B11" s="349" t="str">
        <f>+'Biểu 1 TH CÔNG'!C12</f>
        <v>A Nhợp</v>
      </c>
      <c r="C11" s="517" t="s">
        <v>462</v>
      </c>
      <c r="D11" s="517" t="s">
        <v>462</v>
      </c>
      <c r="E11" s="517" t="s">
        <v>462</v>
      </c>
      <c r="F11" s="517" t="s">
        <v>462</v>
      </c>
      <c r="G11" s="517" t="s">
        <v>462</v>
      </c>
      <c r="H11" s="517" t="s">
        <v>462</v>
      </c>
      <c r="I11" s="517" t="s">
        <v>462</v>
      </c>
      <c r="J11" s="517" t="s">
        <v>462</v>
      </c>
      <c r="K11" s="517" t="s">
        <v>462</v>
      </c>
      <c r="L11" s="517" t="s">
        <v>462</v>
      </c>
      <c r="M11" s="517">
        <v>7</v>
      </c>
      <c r="N11" s="517" t="s">
        <v>462</v>
      </c>
      <c r="O11" s="517" t="s">
        <v>462</v>
      </c>
      <c r="P11" s="517" t="s">
        <v>462</v>
      </c>
      <c r="Q11" s="517" t="s">
        <v>462</v>
      </c>
      <c r="R11" s="517" t="s">
        <v>462</v>
      </c>
      <c r="S11" s="517" t="s">
        <v>462</v>
      </c>
      <c r="T11" s="517" t="s">
        <v>462</v>
      </c>
      <c r="U11" s="517" t="s">
        <v>462</v>
      </c>
      <c r="V11" s="517" t="s">
        <v>462</v>
      </c>
      <c r="W11" s="517" t="s">
        <v>462</v>
      </c>
      <c r="X11" s="517" t="s">
        <v>462</v>
      </c>
      <c r="Y11" s="517" t="s">
        <v>462</v>
      </c>
      <c r="Z11" s="517" t="s">
        <v>462</v>
      </c>
      <c r="AA11" s="517">
        <v>8</v>
      </c>
      <c r="AB11" s="517" t="s">
        <v>462</v>
      </c>
      <c r="AC11" s="517" t="s">
        <v>462</v>
      </c>
      <c r="AD11" s="517" t="s">
        <v>462</v>
      </c>
      <c r="AE11" s="517" t="s">
        <v>462</v>
      </c>
      <c r="AF11" s="517" t="s">
        <v>462</v>
      </c>
      <c r="AG11" s="517" t="s">
        <v>462</v>
      </c>
      <c r="AH11" s="348">
        <f t="shared" ref="AH11:AH43" si="0">SUM(C11:AG11)</f>
        <v>15</v>
      </c>
      <c r="AI11" s="359"/>
      <c r="AJ11" s="360">
        <f t="shared" ref="AJ11:AJ42" si="1">AH11*AI11/100</f>
        <v>0</v>
      </c>
      <c r="AK11" s="350"/>
      <c r="AL11" s="348"/>
      <c r="AN11" s="361">
        <v>46.656798860112971</v>
      </c>
    </row>
    <row r="12" spans="1:40" s="361" customFormat="1" ht="45" customHeight="1">
      <c r="A12" s="348">
        <v>3</v>
      </c>
      <c r="B12" s="349" t="str">
        <f>+'Biểu 1 TH CÔNG'!C13</f>
        <v>Van</v>
      </c>
      <c r="C12" s="517" t="s">
        <v>462</v>
      </c>
      <c r="D12" s="517" t="s">
        <v>462</v>
      </c>
      <c r="E12" s="517" t="s">
        <v>462</v>
      </c>
      <c r="F12" s="517" t="s">
        <v>462</v>
      </c>
      <c r="G12" s="517" t="s">
        <v>462</v>
      </c>
      <c r="H12" s="517" t="s">
        <v>462</v>
      </c>
      <c r="I12" s="517" t="s">
        <v>462</v>
      </c>
      <c r="J12" s="517" t="s">
        <v>462</v>
      </c>
      <c r="K12" s="517" t="s">
        <v>462</v>
      </c>
      <c r="L12" s="517" t="s">
        <v>462</v>
      </c>
      <c r="M12" s="517">
        <v>7</v>
      </c>
      <c r="N12" s="517" t="s">
        <v>462</v>
      </c>
      <c r="O12" s="517" t="s">
        <v>462</v>
      </c>
      <c r="P12" s="517" t="s">
        <v>462</v>
      </c>
      <c r="Q12" s="517" t="s">
        <v>462</v>
      </c>
      <c r="R12" s="517" t="s">
        <v>462</v>
      </c>
      <c r="S12" s="517" t="s">
        <v>462</v>
      </c>
      <c r="T12" s="517" t="s">
        <v>462</v>
      </c>
      <c r="U12" s="517" t="s">
        <v>462</v>
      </c>
      <c r="V12" s="517" t="s">
        <v>462</v>
      </c>
      <c r="W12" s="517" t="s">
        <v>462</v>
      </c>
      <c r="X12" s="517" t="s">
        <v>462</v>
      </c>
      <c r="Y12" s="517" t="s">
        <v>462</v>
      </c>
      <c r="Z12" s="517" t="s">
        <v>462</v>
      </c>
      <c r="AA12" s="517">
        <v>8</v>
      </c>
      <c r="AB12" s="517" t="s">
        <v>462</v>
      </c>
      <c r="AC12" s="517" t="s">
        <v>462</v>
      </c>
      <c r="AD12" s="517" t="s">
        <v>462</v>
      </c>
      <c r="AE12" s="517" t="s">
        <v>462</v>
      </c>
      <c r="AF12" s="517" t="s">
        <v>462</v>
      </c>
      <c r="AG12" s="517" t="s">
        <v>462</v>
      </c>
      <c r="AH12" s="348">
        <f t="shared" si="0"/>
        <v>15</v>
      </c>
      <c r="AI12" s="359"/>
      <c r="AJ12" s="360">
        <f t="shared" si="1"/>
        <v>0</v>
      </c>
      <c r="AK12" s="350"/>
      <c r="AL12" s="348"/>
      <c r="AN12" s="361">
        <f>AN11/100</f>
        <v>0.46656798860112969</v>
      </c>
    </row>
    <row r="13" spans="1:40" s="361" customFormat="1" ht="45" customHeight="1">
      <c r="A13" s="348">
        <v>4</v>
      </c>
      <c r="B13" s="349" t="str">
        <f>+'Biểu 1 TH CÔNG'!C14</f>
        <v>Thảo Khọt</v>
      </c>
      <c r="C13" s="517" t="s">
        <v>462</v>
      </c>
      <c r="D13" s="517" t="s">
        <v>462</v>
      </c>
      <c r="E13" s="517" t="s">
        <v>462</v>
      </c>
      <c r="F13" s="517" t="s">
        <v>462</v>
      </c>
      <c r="G13" s="517" t="s">
        <v>462</v>
      </c>
      <c r="H13" s="517" t="s">
        <v>462</v>
      </c>
      <c r="I13" s="517" t="s">
        <v>462</v>
      </c>
      <c r="J13" s="517" t="s">
        <v>462</v>
      </c>
      <c r="K13" s="517" t="s">
        <v>462</v>
      </c>
      <c r="L13" s="517" t="s">
        <v>462</v>
      </c>
      <c r="M13" s="517">
        <v>7</v>
      </c>
      <c r="N13" s="517" t="s">
        <v>462</v>
      </c>
      <c r="O13" s="517" t="s">
        <v>462</v>
      </c>
      <c r="P13" s="517" t="s">
        <v>462</v>
      </c>
      <c r="Q13" s="517" t="s">
        <v>462</v>
      </c>
      <c r="R13" s="517" t="s">
        <v>462</v>
      </c>
      <c r="S13" s="517" t="s">
        <v>462</v>
      </c>
      <c r="T13" s="517" t="s">
        <v>462</v>
      </c>
      <c r="U13" s="517" t="s">
        <v>462</v>
      </c>
      <c r="V13" s="517" t="s">
        <v>462</v>
      </c>
      <c r="W13" s="517" t="s">
        <v>462</v>
      </c>
      <c r="X13" s="517" t="s">
        <v>462</v>
      </c>
      <c r="Y13" s="517" t="s">
        <v>462</v>
      </c>
      <c r="Z13" s="517" t="s">
        <v>462</v>
      </c>
      <c r="AA13" s="517">
        <v>8</v>
      </c>
      <c r="AB13" s="517" t="s">
        <v>462</v>
      </c>
      <c r="AC13" s="517" t="s">
        <v>462</v>
      </c>
      <c r="AD13" s="517" t="s">
        <v>462</v>
      </c>
      <c r="AE13" s="517" t="s">
        <v>462</v>
      </c>
      <c r="AF13" s="517" t="s">
        <v>462</v>
      </c>
      <c r="AG13" s="517" t="s">
        <v>462</v>
      </c>
      <c r="AH13" s="348">
        <f t="shared" si="0"/>
        <v>15</v>
      </c>
      <c r="AI13" s="359"/>
      <c r="AJ13" s="360">
        <f t="shared" si="1"/>
        <v>0</v>
      </c>
      <c r="AK13" s="350"/>
      <c r="AL13" s="348"/>
    </row>
    <row r="14" spans="1:40" s="361" customFormat="1" ht="45" customHeight="1">
      <c r="A14" s="348">
        <v>5</v>
      </c>
      <c r="B14" s="349" t="str">
        <f>+'Biểu 1 TH CÔNG'!C15</f>
        <v>A Cơ</v>
      </c>
      <c r="C14" s="517" t="s">
        <v>462</v>
      </c>
      <c r="D14" s="517" t="s">
        <v>462</v>
      </c>
      <c r="E14" s="517" t="s">
        <v>462</v>
      </c>
      <c r="F14" s="517" t="s">
        <v>462</v>
      </c>
      <c r="G14" s="517" t="s">
        <v>462</v>
      </c>
      <c r="H14" s="517" t="s">
        <v>462</v>
      </c>
      <c r="I14" s="517" t="s">
        <v>462</v>
      </c>
      <c r="J14" s="517" t="s">
        <v>462</v>
      </c>
      <c r="K14" s="517" t="s">
        <v>462</v>
      </c>
      <c r="L14" s="517" t="s">
        <v>462</v>
      </c>
      <c r="M14" s="517">
        <v>7</v>
      </c>
      <c r="N14" s="517" t="s">
        <v>462</v>
      </c>
      <c r="O14" s="517" t="s">
        <v>462</v>
      </c>
      <c r="P14" s="517" t="s">
        <v>462</v>
      </c>
      <c r="Q14" s="517" t="s">
        <v>462</v>
      </c>
      <c r="R14" s="517" t="s">
        <v>462</v>
      </c>
      <c r="S14" s="517" t="s">
        <v>462</v>
      </c>
      <c r="T14" s="517" t="s">
        <v>462</v>
      </c>
      <c r="U14" s="517" t="s">
        <v>462</v>
      </c>
      <c r="V14" s="517" t="s">
        <v>462</v>
      </c>
      <c r="W14" s="517" t="s">
        <v>462</v>
      </c>
      <c r="X14" s="517" t="s">
        <v>462</v>
      </c>
      <c r="Y14" s="517" t="s">
        <v>462</v>
      </c>
      <c r="Z14" s="517" t="s">
        <v>462</v>
      </c>
      <c r="AA14" s="517">
        <v>8</v>
      </c>
      <c r="AB14" s="517" t="s">
        <v>462</v>
      </c>
      <c r="AC14" s="517" t="s">
        <v>462</v>
      </c>
      <c r="AD14" s="517" t="s">
        <v>462</v>
      </c>
      <c r="AE14" s="517" t="s">
        <v>462</v>
      </c>
      <c r="AF14" s="517" t="s">
        <v>462</v>
      </c>
      <c r="AG14" s="517" t="s">
        <v>462</v>
      </c>
      <c r="AH14" s="348">
        <f t="shared" si="0"/>
        <v>15</v>
      </c>
      <c r="AI14" s="359"/>
      <c r="AJ14" s="360">
        <f t="shared" si="1"/>
        <v>0</v>
      </c>
      <c r="AK14" s="350"/>
      <c r="AL14" s="348"/>
    </row>
    <row r="15" spans="1:40" s="361" customFormat="1" ht="45" customHeight="1">
      <c r="A15" s="348">
        <v>6</v>
      </c>
      <c r="B15" s="349" t="str">
        <f>+'Biểu 1 TH CÔNG'!C16</f>
        <v>Phơ</v>
      </c>
      <c r="C15" s="517" t="s">
        <v>462</v>
      </c>
      <c r="D15" s="517" t="s">
        <v>462</v>
      </c>
      <c r="E15" s="517" t="s">
        <v>462</v>
      </c>
      <c r="F15" s="517" t="s">
        <v>462</v>
      </c>
      <c r="G15" s="517" t="s">
        <v>462</v>
      </c>
      <c r="H15" s="517" t="s">
        <v>462</v>
      </c>
      <c r="I15" s="517" t="s">
        <v>462</v>
      </c>
      <c r="J15" s="517" t="s">
        <v>462</v>
      </c>
      <c r="K15" s="517" t="s">
        <v>462</v>
      </c>
      <c r="L15" s="517" t="s">
        <v>462</v>
      </c>
      <c r="M15" s="517">
        <v>7</v>
      </c>
      <c r="N15" s="517" t="s">
        <v>462</v>
      </c>
      <c r="O15" s="517" t="s">
        <v>462</v>
      </c>
      <c r="P15" s="517" t="s">
        <v>462</v>
      </c>
      <c r="Q15" s="517" t="s">
        <v>462</v>
      </c>
      <c r="R15" s="517" t="s">
        <v>462</v>
      </c>
      <c r="S15" s="517" t="s">
        <v>462</v>
      </c>
      <c r="T15" s="517" t="s">
        <v>462</v>
      </c>
      <c r="U15" s="517" t="s">
        <v>462</v>
      </c>
      <c r="V15" s="517" t="s">
        <v>462</v>
      </c>
      <c r="W15" s="517" t="s">
        <v>462</v>
      </c>
      <c r="X15" s="517" t="s">
        <v>462</v>
      </c>
      <c r="Y15" s="517" t="s">
        <v>462</v>
      </c>
      <c r="Z15" s="517" t="s">
        <v>462</v>
      </c>
      <c r="AA15" s="517">
        <v>8</v>
      </c>
      <c r="AB15" s="517" t="s">
        <v>462</v>
      </c>
      <c r="AC15" s="517" t="s">
        <v>462</v>
      </c>
      <c r="AD15" s="517" t="s">
        <v>462</v>
      </c>
      <c r="AE15" s="517" t="s">
        <v>462</v>
      </c>
      <c r="AF15" s="517" t="s">
        <v>462</v>
      </c>
      <c r="AG15" s="517" t="s">
        <v>462</v>
      </c>
      <c r="AH15" s="348">
        <f t="shared" si="0"/>
        <v>15</v>
      </c>
      <c r="AI15" s="359"/>
      <c r="AJ15" s="360">
        <f t="shared" si="1"/>
        <v>0</v>
      </c>
      <c r="AK15" s="350"/>
      <c r="AL15" s="348"/>
    </row>
    <row r="16" spans="1:40" s="361" customFormat="1" ht="45" customHeight="1">
      <c r="A16" s="348">
        <v>7</v>
      </c>
      <c r="B16" s="349" t="str">
        <f>+'Biểu 1 TH CÔNG'!C17</f>
        <v>A phơ</v>
      </c>
      <c r="C16" s="517" t="s">
        <v>462</v>
      </c>
      <c r="D16" s="517" t="s">
        <v>462</v>
      </c>
      <c r="E16" s="517" t="s">
        <v>462</v>
      </c>
      <c r="F16" s="517" t="s">
        <v>462</v>
      </c>
      <c r="G16" s="517" t="s">
        <v>462</v>
      </c>
      <c r="H16" s="517" t="s">
        <v>462</v>
      </c>
      <c r="I16" s="517" t="s">
        <v>462</v>
      </c>
      <c r="J16" s="517" t="s">
        <v>462</v>
      </c>
      <c r="K16" s="517" t="s">
        <v>462</v>
      </c>
      <c r="L16" s="517" t="s">
        <v>462</v>
      </c>
      <c r="M16" s="517">
        <v>7</v>
      </c>
      <c r="N16" s="517" t="s">
        <v>462</v>
      </c>
      <c r="O16" s="517" t="s">
        <v>462</v>
      </c>
      <c r="P16" s="517" t="s">
        <v>462</v>
      </c>
      <c r="Q16" s="517" t="s">
        <v>462</v>
      </c>
      <c r="R16" s="517" t="s">
        <v>462</v>
      </c>
      <c r="S16" s="517" t="s">
        <v>462</v>
      </c>
      <c r="T16" s="517" t="s">
        <v>462</v>
      </c>
      <c r="U16" s="517" t="s">
        <v>462</v>
      </c>
      <c r="V16" s="517" t="s">
        <v>462</v>
      </c>
      <c r="W16" s="517" t="s">
        <v>462</v>
      </c>
      <c r="X16" s="517" t="s">
        <v>462</v>
      </c>
      <c r="Y16" s="517" t="s">
        <v>462</v>
      </c>
      <c r="Z16" s="517" t="s">
        <v>462</v>
      </c>
      <c r="AA16" s="517">
        <v>8</v>
      </c>
      <c r="AB16" s="517" t="s">
        <v>462</v>
      </c>
      <c r="AC16" s="517" t="s">
        <v>462</v>
      </c>
      <c r="AD16" s="517" t="s">
        <v>462</v>
      </c>
      <c r="AE16" s="517" t="s">
        <v>462</v>
      </c>
      <c r="AF16" s="517" t="s">
        <v>462</v>
      </c>
      <c r="AG16" s="517" t="s">
        <v>462</v>
      </c>
      <c r="AH16" s="348">
        <f t="shared" si="0"/>
        <v>15</v>
      </c>
      <c r="AI16" s="359"/>
      <c r="AJ16" s="360">
        <f t="shared" si="1"/>
        <v>0</v>
      </c>
      <c r="AK16" s="350"/>
      <c r="AL16" s="348"/>
    </row>
    <row r="17" spans="1:38" s="361" customFormat="1" ht="45" customHeight="1">
      <c r="A17" s="348">
        <v>8</v>
      </c>
      <c r="B17" s="349" t="str">
        <f>+'Biểu 1 TH CÔNG'!C18</f>
        <v>Nang Đăm</v>
      </c>
      <c r="C17" s="517" t="s">
        <v>462</v>
      </c>
      <c r="D17" s="517" t="s">
        <v>462</v>
      </c>
      <c r="E17" s="517" t="s">
        <v>462</v>
      </c>
      <c r="F17" s="517" t="s">
        <v>462</v>
      </c>
      <c r="G17" s="517" t="s">
        <v>462</v>
      </c>
      <c r="H17" s="517" t="s">
        <v>462</v>
      </c>
      <c r="I17" s="517" t="s">
        <v>462</v>
      </c>
      <c r="J17" s="517" t="s">
        <v>462</v>
      </c>
      <c r="K17" s="517" t="s">
        <v>462</v>
      </c>
      <c r="L17" s="517" t="s">
        <v>462</v>
      </c>
      <c r="M17" s="517">
        <v>7</v>
      </c>
      <c r="N17" s="517" t="s">
        <v>462</v>
      </c>
      <c r="O17" s="517" t="s">
        <v>462</v>
      </c>
      <c r="P17" s="517" t="s">
        <v>462</v>
      </c>
      <c r="Q17" s="517" t="s">
        <v>462</v>
      </c>
      <c r="R17" s="517" t="s">
        <v>462</v>
      </c>
      <c r="S17" s="517" t="s">
        <v>462</v>
      </c>
      <c r="T17" s="517" t="s">
        <v>462</v>
      </c>
      <c r="U17" s="517" t="s">
        <v>462</v>
      </c>
      <c r="V17" s="517" t="s">
        <v>462</v>
      </c>
      <c r="W17" s="517" t="s">
        <v>462</v>
      </c>
      <c r="X17" s="517" t="s">
        <v>462</v>
      </c>
      <c r="Y17" s="517" t="s">
        <v>462</v>
      </c>
      <c r="Z17" s="517" t="s">
        <v>462</v>
      </c>
      <c r="AA17" s="517">
        <v>7</v>
      </c>
      <c r="AB17" s="517" t="s">
        <v>462</v>
      </c>
      <c r="AC17" s="517" t="s">
        <v>462</v>
      </c>
      <c r="AD17" s="517" t="s">
        <v>462</v>
      </c>
      <c r="AE17" s="517" t="s">
        <v>462</v>
      </c>
      <c r="AF17" s="517" t="s">
        <v>462</v>
      </c>
      <c r="AG17" s="517" t="s">
        <v>462</v>
      </c>
      <c r="AH17" s="348">
        <f t="shared" si="0"/>
        <v>14</v>
      </c>
      <c r="AI17" s="359"/>
      <c r="AJ17" s="360">
        <f t="shared" si="1"/>
        <v>0</v>
      </c>
      <c r="AK17" s="350"/>
      <c r="AL17" s="348"/>
    </row>
    <row r="18" spans="1:38" s="361" customFormat="1" ht="45" customHeight="1">
      <c r="A18" s="348">
        <v>9</v>
      </c>
      <c r="B18" s="349" t="str">
        <f>+'Biểu 1 TH CÔNG'!C19</f>
        <v>Nang Sun</v>
      </c>
      <c r="C18" s="517" t="s">
        <v>462</v>
      </c>
      <c r="D18" s="517" t="s">
        <v>462</v>
      </c>
      <c r="E18" s="517" t="s">
        <v>462</v>
      </c>
      <c r="F18" s="517" t="s">
        <v>462</v>
      </c>
      <c r="G18" s="517" t="s">
        <v>462</v>
      </c>
      <c r="H18" s="517" t="s">
        <v>462</v>
      </c>
      <c r="I18" s="517" t="s">
        <v>462</v>
      </c>
      <c r="J18" s="517" t="s">
        <v>462</v>
      </c>
      <c r="K18" s="517" t="s">
        <v>462</v>
      </c>
      <c r="L18" s="517" t="s">
        <v>462</v>
      </c>
      <c r="M18" s="517">
        <v>7</v>
      </c>
      <c r="N18" s="517" t="s">
        <v>462</v>
      </c>
      <c r="O18" s="517" t="s">
        <v>462</v>
      </c>
      <c r="P18" s="517" t="s">
        <v>462</v>
      </c>
      <c r="Q18" s="517" t="s">
        <v>462</v>
      </c>
      <c r="R18" s="517" t="s">
        <v>462</v>
      </c>
      <c r="S18" s="517" t="s">
        <v>462</v>
      </c>
      <c r="T18" s="517" t="s">
        <v>462</v>
      </c>
      <c r="U18" s="517" t="s">
        <v>462</v>
      </c>
      <c r="V18" s="517" t="s">
        <v>462</v>
      </c>
      <c r="W18" s="517" t="s">
        <v>462</v>
      </c>
      <c r="X18" s="517" t="s">
        <v>462</v>
      </c>
      <c r="Y18" s="517" t="s">
        <v>462</v>
      </c>
      <c r="Z18" s="517" t="s">
        <v>462</v>
      </c>
      <c r="AA18" s="517">
        <v>7</v>
      </c>
      <c r="AB18" s="517" t="s">
        <v>462</v>
      </c>
      <c r="AC18" s="517" t="s">
        <v>462</v>
      </c>
      <c r="AD18" s="517" t="s">
        <v>462</v>
      </c>
      <c r="AE18" s="517" t="s">
        <v>462</v>
      </c>
      <c r="AF18" s="517" t="s">
        <v>462</v>
      </c>
      <c r="AG18" s="517" t="s">
        <v>462</v>
      </c>
      <c r="AH18" s="348">
        <f t="shared" si="0"/>
        <v>14</v>
      </c>
      <c r="AI18" s="359"/>
      <c r="AJ18" s="360">
        <f t="shared" si="1"/>
        <v>0</v>
      </c>
      <c r="AK18" s="350"/>
      <c r="AL18" s="348"/>
    </row>
    <row r="19" spans="1:38" s="361" customFormat="1" ht="45" customHeight="1">
      <c r="A19" s="348">
        <v>10</v>
      </c>
      <c r="B19" s="349" t="str">
        <f>+'Biểu 1 TH CÔNG'!C20</f>
        <v>A Nghen</v>
      </c>
      <c r="C19" s="517" t="s">
        <v>462</v>
      </c>
      <c r="D19" s="517" t="s">
        <v>462</v>
      </c>
      <c r="E19" s="517" t="s">
        <v>462</v>
      </c>
      <c r="F19" s="517" t="s">
        <v>462</v>
      </c>
      <c r="G19" s="517" t="s">
        <v>462</v>
      </c>
      <c r="H19" s="517" t="s">
        <v>462</v>
      </c>
      <c r="I19" s="517" t="s">
        <v>462</v>
      </c>
      <c r="J19" s="517" t="s">
        <v>462</v>
      </c>
      <c r="K19" s="517" t="s">
        <v>462</v>
      </c>
      <c r="L19" s="517" t="s">
        <v>462</v>
      </c>
      <c r="M19" s="517">
        <v>7</v>
      </c>
      <c r="N19" s="517" t="s">
        <v>462</v>
      </c>
      <c r="O19" s="517" t="s">
        <v>462</v>
      </c>
      <c r="P19" s="517" t="s">
        <v>462</v>
      </c>
      <c r="Q19" s="517" t="s">
        <v>462</v>
      </c>
      <c r="R19" s="517" t="s">
        <v>462</v>
      </c>
      <c r="S19" s="517" t="s">
        <v>462</v>
      </c>
      <c r="T19" s="517" t="s">
        <v>462</v>
      </c>
      <c r="U19" s="517" t="s">
        <v>462</v>
      </c>
      <c r="V19" s="517" t="s">
        <v>462</v>
      </c>
      <c r="W19" s="517" t="s">
        <v>462</v>
      </c>
      <c r="X19" s="517" t="s">
        <v>462</v>
      </c>
      <c r="Y19" s="517" t="s">
        <v>462</v>
      </c>
      <c r="Z19" s="517" t="s">
        <v>462</v>
      </c>
      <c r="AA19" s="517">
        <v>7</v>
      </c>
      <c r="AB19" s="517" t="s">
        <v>462</v>
      </c>
      <c r="AC19" s="517" t="s">
        <v>462</v>
      </c>
      <c r="AD19" s="517" t="s">
        <v>462</v>
      </c>
      <c r="AE19" s="517" t="s">
        <v>462</v>
      </c>
      <c r="AF19" s="517" t="s">
        <v>462</v>
      </c>
      <c r="AG19" s="517" t="s">
        <v>462</v>
      </c>
      <c r="AH19" s="348">
        <f t="shared" si="0"/>
        <v>14</v>
      </c>
      <c r="AI19" s="359"/>
      <c r="AJ19" s="360">
        <f t="shared" si="1"/>
        <v>0</v>
      </c>
      <c r="AK19" s="350"/>
      <c r="AL19" s="348"/>
    </row>
    <row r="20" spans="1:38" s="361" customFormat="1" ht="45" customHeight="1">
      <c r="A20" s="348">
        <v>11</v>
      </c>
      <c r="B20" s="349" t="str">
        <f>+'Biểu 1 TH CÔNG'!C21</f>
        <v>Nguyễn Thị Thanh Trà</v>
      </c>
      <c r="C20" s="517" t="s">
        <v>462</v>
      </c>
      <c r="D20" s="517" t="s">
        <v>462</v>
      </c>
      <c r="E20" s="517" t="s">
        <v>462</v>
      </c>
      <c r="F20" s="517" t="s">
        <v>462</v>
      </c>
      <c r="G20" s="517" t="s">
        <v>462</v>
      </c>
      <c r="H20" s="517" t="s">
        <v>462</v>
      </c>
      <c r="I20" s="517" t="s">
        <v>462</v>
      </c>
      <c r="J20" s="517" t="s">
        <v>462</v>
      </c>
      <c r="K20" s="517" t="s">
        <v>462</v>
      </c>
      <c r="L20" s="517" t="s">
        <v>462</v>
      </c>
      <c r="M20" s="517">
        <v>7</v>
      </c>
      <c r="N20" s="517" t="s">
        <v>462</v>
      </c>
      <c r="O20" s="517" t="s">
        <v>462</v>
      </c>
      <c r="P20" s="517" t="s">
        <v>462</v>
      </c>
      <c r="Q20" s="517" t="s">
        <v>462</v>
      </c>
      <c r="R20" s="517" t="s">
        <v>462</v>
      </c>
      <c r="S20" s="517" t="s">
        <v>462</v>
      </c>
      <c r="T20" s="517" t="s">
        <v>462</v>
      </c>
      <c r="U20" s="517" t="s">
        <v>462</v>
      </c>
      <c r="V20" s="517" t="s">
        <v>462</v>
      </c>
      <c r="W20" s="517" t="s">
        <v>462</v>
      </c>
      <c r="X20" s="517" t="s">
        <v>462</v>
      </c>
      <c r="Y20" s="517" t="s">
        <v>462</v>
      </c>
      <c r="Z20" s="517" t="s">
        <v>462</v>
      </c>
      <c r="AA20" s="517">
        <v>7</v>
      </c>
      <c r="AB20" s="517" t="s">
        <v>462</v>
      </c>
      <c r="AC20" s="517" t="s">
        <v>462</v>
      </c>
      <c r="AD20" s="517" t="s">
        <v>462</v>
      </c>
      <c r="AE20" s="517" t="s">
        <v>462</v>
      </c>
      <c r="AF20" s="517" t="s">
        <v>462</v>
      </c>
      <c r="AG20" s="517" t="s">
        <v>462</v>
      </c>
      <c r="AH20" s="348">
        <f t="shared" si="0"/>
        <v>14</v>
      </c>
      <c r="AI20" s="359"/>
      <c r="AJ20" s="360">
        <f t="shared" si="1"/>
        <v>0</v>
      </c>
      <c r="AK20" s="350"/>
      <c r="AL20" s="348"/>
    </row>
    <row r="21" spans="1:38" s="361" customFormat="1" ht="45" customHeight="1">
      <c r="A21" s="348">
        <v>12</v>
      </c>
      <c r="B21" s="349" t="str">
        <f>+'Biểu 1 TH CÔNG'!C22</f>
        <v>Phò Thít</v>
      </c>
      <c r="C21" s="517" t="s">
        <v>462</v>
      </c>
      <c r="D21" s="517" t="s">
        <v>462</v>
      </c>
      <c r="E21" s="517" t="s">
        <v>462</v>
      </c>
      <c r="F21" s="517" t="s">
        <v>462</v>
      </c>
      <c r="G21" s="517" t="s">
        <v>462</v>
      </c>
      <c r="H21" s="517" t="s">
        <v>462</v>
      </c>
      <c r="I21" s="517" t="s">
        <v>462</v>
      </c>
      <c r="J21" s="517" t="s">
        <v>462</v>
      </c>
      <c r="K21" s="517" t="s">
        <v>462</v>
      </c>
      <c r="L21" s="517" t="s">
        <v>462</v>
      </c>
      <c r="M21" s="517">
        <v>7</v>
      </c>
      <c r="N21" s="517" t="s">
        <v>462</v>
      </c>
      <c r="O21" s="517" t="s">
        <v>462</v>
      </c>
      <c r="P21" s="517" t="s">
        <v>462</v>
      </c>
      <c r="Q21" s="517" t="s">
        <v>462</v>
      </c>
      <c r="R21" s="517" t="s">
        <v>462</v>
      </c>
      <c r="S21" s="517" t="s">
        <v>462</v>
      </c>
      <c r="T21" s="517" t="s">
        <v>462</v>
      </c>
      <c r="U21" s="517" t="s">
        <v>462</v>
      </c>
      <c r="V21" s="517" t="s">
        <v>462</v>
      </c>
      <c r="W21" s="517" t="s">
        <v>462</v>
      </c>
      <c r="X21" s="517" t="s">
        <v>462</v>
      </c>
      <c r="Y21" s="517" t="s">
        <v>462</v>
      </c>
      <c r="Z21" s="517" t="s">
        <v>462</v>
      </c>
      <c r="AA21" s="517">
        <v>7</v>
      </c>
      <c r="AB21" s="517" t="s">
        <v>462</v>
      </c>
      <c r="AC21" s="517" t="s">
        <v>462</v>
      </c>
      <c r="AD21" s="517" t="s">
        <v>462</v>
      </c>
      <c r="AE21" s="517" t="s">
        <v>462</v>
      </c>
      <c r="AF21" s="517" t="s">
        <v>462</v>
      </c>
      <c r="AG21" s="517" t="s">
        <v>462</v>
      </c>
      <c r="AH21" s="348">
        <f t="shared" si="0"/>
        <v>14</v>
      </c>
      <c r="AI21" s="359"/>
      <c r="AJ21" s="360">
        <f t="shared" si="1"/>
        <v>0</v>
      </c>
      <c r="AK21" s="350"/>
      <c r="AL21" s="348"/>
    </row>
    <row r="22" spans="1:38" s="361" customFormat="1" ht="45" customHeight="1">
      <c r="A22" s="348">
        <v>13</v>
      </c>
      <c r="B22" s="349" t="str">
        <f>+'Biểu 1 TH CÔNG'!C23</f>
        <v>A Bợp</v>
      </c>
      <c r="C22" s="517" t="s">
        <v>462</v>
      </c>
      <c r="D22" s="517" t="s">
        <v>462</v>
      </c>
      <c r="E22" s="517" t="s">
        <v>462</v>
      </c>
      <c r="F22" s="517" t="s">
        <v>462</v>
      </c>
      <c r="G22" s="517" t="s">
        <v>462</v>
      </c>
      <c r="H22" s="517" t="s">
        <v>462</v>
      </c>
      <c r="I22" s="517" t="s">
        <v>462</v>
      </c>
      <c r="J22" s="517" t="s">
        <v>462</v>
      </c>
      <c r="K22" s="517" t="s">
        <v>462</v>
      </c>
      <c r="L22" s="517" t="s">
        <v>462</v>
      </c>
      <c r="M22" s="517">
        <v>7</v>
      </c>
      <c r="N22" s="517" t="s">
        <v>462</v>
      </c>
      <c r="O22" s="517" t="s">
        <v>462</v>
      </c>
      <c r="P22" s="517" t="s">
        <v>462</v>
      </c>
      <c r="Q22" s="517" t="s">
        <v>462</v>
      </c>
      <c r="R22" s="517" t="s">
        <v>462</v>
      </c>
      <c r="S22" s="517" t="s">
        <v>462</v>
      </c>
      <c r="T22" s="517" t="s">
        <v>462</v>
      </c>
      <c r="U22" s="517" t="s">
        <v>462</v>
      </c>
      <c r="V22" s="517" t="s">
        <v>462</v>
      </c>
      <c r="W22" s="517" t="s">
        <v>462</v>
      </c>
      <c r="X22" s="517" t="s">
        <v>462</v>
      </c>
      <c r="Y22" s="517" t="s">
        <v>462</v>
      </c>
      <c r="Z22" s="517" t="s">
        <v>462</v>
      </c>
      <c r="AA22" s="517">
        <v>7</v>
      </c>
      <c r="AB22" s="517" t="s">
        <v>462</v>
      </c>
      <c r="AC22" s="517" t="s">
        <v>462</v>
      </c>
      <c r="AD22" s="517" t="s">
        <v>462</v>
      </c>
      <c r="AE22" s="517" t="s">
        <v>462</v>
      </c>
      <c r="AF22" s="517" t="s">
        <v>462</v>
      </c>
      <c r="AG22" s="517" t="s">
        <v>462</v>
      </c>
      <c r="AH22" s="348">
        <f t="shared" si="0"/>
        <v>14</v>
      </c>
      <c r="AI22" s="359"/>
      <c r="AJ22" s="360">
        <f t="shared" si="1"/>
        <v>0</v>
      </c>
      <c r="AK22" s="350"/>
      <c r="AL22" s="348"/>
    </row>
    <row r="23" spans="1:38" s="361" customFormat="1" ht="45" customHeight="1">
      <c r="A23" s="348">
        <v>14</v>
      </c>
      <c r="B23" s="349" t="str">
        <f>+'Biểu 1 TH CÔNG'!C24</f>
        <v>A Khai</v>
      </c>
      <c r="C23" s="517" t="s">
        <v>462</v>
      </c>
      <c r="D23" s="517" t="s">
        <v>462</v>
      </c>
      <c r="E23" s="517" t="s">
        <v>462</v>
      </c>
      <c r="F23" s="517" t="s">
        <v>462</v>
      </c>
      <c r="G23" s="517" t="s">
        <v>462</v>
      </c>
      <c r="H23" s="517" t="s">
        <v>462</v>
      </c>
      <c r="I23" s="517" t="s">
        <v>462</v>
      </c>
      <c r="J23" s="517" t="s">
        <v>462</v>
      </c>
      <c r="K23" s="517" t="s">
        <v>462</v>
      </c>
      <c r="L23" s="517" t="s">
        <v>462</v>
      </c>
      <c r="M23" s="517">
        <v>7</v>
      </c>
      <c r="N23" s="517" t="s">
        <v>462</v>
      </c>
      <c r="O23" s="517" t="s">
        <v>462</v>
      </c>
      <c r="P23" s="517" t="s">
        <v>462</v>
      </c>
      <c r="Q23" s="517" t="s">
        <v>462</v>
      </c>
      <c r="R23" s="517" t="s">
        <v>462</v>
      </c>
      <c r="S23" s="517" t="s">
        <v>462</v>
      </c>
      <c r="T23" s="517" t="s">
        <v>462</v>
      </c>
      <c r="U23" s="517" t="s">
        <v>462</v>
      </c>
      <c r="V23" s="517" t="s">
        <v>462</v>
      </c>
      <c r="W23" s="517" t="s">
        <v>462</v>
      </c>
      <c r="X23" s="517" t="s">
        <v>462</v>
      </c>
      <c r="Y23" s="517" t="s">
        <v>462</v>
      </c>
      <c r="Z23" s="517" t="s">
        <v>462</v>
      </c>
      <c r="AA23" s="517">
        <v>7</v>
      </c>
      <c r="AB23" s="517" t="s">
        <v>462</v>
      </c>
      <c r="AC23" s="517" t="s">
        <v>462</v>
      </c>
      <c r="AD23" s="517" t="s">
        <v>462</v>
      </c>
      <c r="AE23" s="517" t="s">
        <v>462</v>
      </c>
      <c r="AF23" s="517" t="s">
        <v>462</v>
      </c>
      <c r="AG23" s="517" t="s">
        <v>462</v>
      </c>
      <c r="AH23" s="348">
        <f t="shared" si="0"/>
        <v>14</v>
      </c>
      <c r="AI23" s="359"/>
      <c r="AJ23" s="360">
        <f t="shared" si="1"/>
        <v>0</v>
      </c>
      <c r="AK23" s="350"/>
      <c r="AL23" s="348"/>
    </row>
    <row r="24" spans="1:38" s="361" customFormat="1" ht="45" customHeight="1">
      <c r="A24" s="348">
        <v>15</v>
      </c>
      <c r="B24" s="349" t="str">
        <f>+'Biểu 1 TH CÔNG'!C25</f>
        <v>Võ Thị Nguyên</v>
      </c>
      <c r="C24" s="517" t="s">
        <v>462</v>
      </c>
      <c r="D24" s="517" t="s">
        <v>462</v>
      </c>
      <c r="E24" s="517" t="s">
        <v>462</v>
      </c>
      <c r="F24" s="517" t="s">
        <v>462</v>
      </c>
      <c r="G24" s="517" t="s">
        <v>462</v>
      </c>
      <c r="H24" s="517" t="s">
        <v>462</v>
      </c>
      <c r="I24" s="517" t="s">
        <v>462</v>
      </c>
      <c r="J24" s="517" t="s">
        <v>462</v>
      </c>
      <c r="K24" s="517" t="s">
        <v>462</v>
      </c>
      <c r="L24" s="517" t="s">
        <v>462</v>
      </c>
      <c r="M24" s="517">
        <v>7</v>
      </c>
      <c r="N24" s="517" t="s">
        <v>462</v>
      </c>
      <c r="O24" s="517" t="s">
        <v>462</v>
      </c>
      <c r="P24" s="517" t="s">
        <v>462</v>
      </c>
      <c r="Q24" s="517" t="s">
        <v>462</v>
      </c>
      <c r="R24" s="517" t="s">
        <v>462</v>
      </c>
      <c r="S24" s="517" t="s">
        <v>462</v>
      </c>
      <c r="T24" s="517" t="s">
        <v>462</v>
      </c>
      <c r="U24" s="517" t="s">
        <v>462</v>
      </c>
      <c r="V24" s="517" t="s">
        <v>462</v>
      </c>
      <c r="W24" s="517" t="s">
        <v>462</v>
      </c>
      <c r="X24" s="517" t="s">
        <v>462</v>
      </c>
      <c r="Y24" s="517" t="s">
        <v>462</v>
      </c>
      <c r="Z24" s="517" t="s">
        <v>462</v>
      </c>
      <c r="AA24" s="517">
        <v>7</v>
      </c>
      <c r="AB24" s="517" t="s">
        <v>462</v>
      </c>
      <c r="AC24" s="517" t="s">
        <v>462</v>
      </c>
      <c r="AD24" s="517" t="s">
        <v>462</v>
      </c>
      <c r="AE24" s="517" t="s">
        <v>462</v>
      </c>
      <c r="AF24" s="517" t="s">
        <v>462</v>
      </c>
      <c r="AG24" s="517" t="s">
        <v>462</v>
      </c>
      <c r="AH24" s="348">
        <f t="shared" si="0"/>
        <v>14</v>
      </c>
      <c r="AI24" s="359"/>
      <c r="AJ24" s="360">
        <f t="shared" si="1"/>
        <v>0</v>
      </c>
      <c r="AK24" s="350"/>
      <c r="AL24" s="348"/>
    </row>
    <row r="25" spans="1:38" s="361" customFormat="1" ht="45" customHeight="1">
      <c r="A25" s="348">
        <v>16</v>
      </c>
      <c r="B25" s="349" t="str">
        <f>+'Biểu 1 TH CÔNG'!C26</f>
        <v>Tà Lọt</v>
      </c>
      <c r="C25" s="517" t="s">
        <v>462</v>
      </c>
      <c r="D25" s="517" t="s">
        <v>462</v>
      </c>
      <c r="E25" s="517" t="s">
        <v>462</v>
      </c>
      <c r="F25" s="517" t="s">
        <v>462</v>
      </c>
      <c r="G25" s="517" t="s">
        <v>462</v>
      </c>
      <c r="H25" s="517" t="s">
        <v>462</v>
      </c>
      <c r="I25" s="517" t="s">
        <v>462</v>
      </c>
      <c r="J25" s="517" t="s">
        <v>462</v>
      </c>
      <c r="K25" s="517" t="s">
        <v>462</v>
      </c>
      <c r="L25" s="517" t="s">
        <v>462</v>
      </c>
      <c r="M25" s="517">
        <v>7</v>
      </c>
      <c r="N25" s="517" t="s">
        <v>462</v>
      </c>
      <c r="O25" s="517" t="s">
        <v>462</v>
      </c>
      <c r="P25" s="517" t="s">
        <v>462</v>
      </c>
      <c r="Q25" s="517" t="s">
        <v>462</v>
      </c>
      <c r="R25" s="517" t="s">
        <v>462</v>
      </c>
      <c r="S25" s="517" t="s">
        <v>462</v>
      </c>
      <c r="T25" s="517" t="s">
        <v>462</v>
      </c>
      <c r="U25" s="517" t="s">
        <v>462</v>
      </c>
      <c r="V25" s="517" t="s">
        <v>462</v>
      </c>
      <c r="W25" s="517" t="s">
        <v>462</v>
      </c>
      <c r="X25" s="517" t="s">
        <v>462</v>
      </c>
      <c r="Y25" s="517" t="s">
        <v>462</v>
      </c>
      <c r="Z25" s="517" t="s">
        <v>462</v>
      </c>
      <c r="AA25" s="517">
        <v>7</v>
      </c>
      <c r="AB25" s="517" t="s">
        <v>462</v>
      </c>
      <c r="AC25" s="517" t="s">
        <v>462</v>
      </c>
      <c r="AD25" s="517" t="s">
        <v>462</v>
      </c>
      <c r="AE25" s="517" t="s">
        <v>462</v>
      </c>
      <c r="AF25" s="517" t="s">
        <v>462</v>
      </c>
      <c r="AG25" s="517" t="s">
        <v>462</v>
      </c>
      <c r="AH25" s="348">
        <f t="shared" si="0"/>
        <v>14</v>
      </c>
      <c r="AI25" s="359"/>
      <c r="AJ25" s="360">
        <f t="shared" si="1"/>
        <v>0</v>
      </c>
      <c r="AK25" s="350"/>
      <c r="AL25" s="348"/>
    </row>
    <row r="26" spans="1:38" s="361" customFormat="1" ht="45" customHeight="1">
      <c r="A26" s="348">
        <v>17</v>
      </c>
      <c r="B26" s="349" t="str">
        <f>+'Biểu 1 TH CÔNG'!C27</f>
        <v>A Han</v>
      </c>
      <c r="C26" s="517" t="s">
        <v>462</v>
      </c>
      <c r="D26" s="517" t="s">
        <v>462</v>
      </c>
      <c r="E26" s="517" t="s">
        <v>462</v>
      </c>
      <c r="F26" s="517" t="s">
        <v>462</v>
      </c>
      <c r="G26" s="517" t="s">
        <v>462</v>
      </c>
      <c r="H26" s="517" t="s">
        <v>462</v>
      </c>
      <c r="I26" s="517" t="s">
        <v>462</v>
      </c>
      <c r="J26" s="517" t="s">
        <v>462</v>
      </c>
      <c r="K26" s="517" t="s">
        <v>462</v>
      </c>
      <c r="L26" s="517" t="s">
        <v>462</v>
      </c>
      <c r="M26" s="517">
        <v>7</v>
      </c>
      <c r="N26" s="517" t="s">
        <v>462</v>
      </c>
      <c r="O26" s="517" t="s">
        <v>462</v>
      </c>
      <c r="P26" s="517" t="s">
        <v>462</v>
      </c>
      <c r="Q26" s="517" t="s">
        <v>462</v>
      </c>
      <c r="R26" s="517" t="s">
        <v>462</v>
      </c>
      <c r="S26" s="517" t="s">
        <v>462</v>
      </c>
      <c r="T26" s="517" t="s">
        <v>462</v>
      </c>
      <c r="U26" s="517" t="s">
        <v>462</v>
      </c>
      <c r="V26" s="517" t="s">
        <v>462</v>
      </c>
      <c r="W26" s="517" t="s">
        <v>462</v>
      </c>
      <c r="X26" s="517" t="s">
        <v>462</v>
      </c>
      <c r="Y26" s="517" t="s">
        <v>462</v>
      </c>
      <c r="Z26" s="517" t="s">
        <v>462</v>
      </c>
      <c r="AA26" s="517">
        <v>7</v>
      </c>
      <c r="AB26" s="517" t="s">
        <v>462</v>
      </c>
      <c r="AC26" s="517" t="s">
        <v>462</v>
      </c>
      <c r="AD26" s="517" t="s">
        <v>462</v>
      </c>
      <c r="AE26" s="517" t="s">
        <v>462</v>
      </c>
      <c r="AF26" s="517" t="s">
        <v>462</v>
      </c>
      <c r="AG26" s="517" t="s">
        <v>462</v>
      </c>
      <c r="AH26" s="348">
        <f t="shared" si="0"/>
        <v>14</v>
      </c>
      <c r="AI26" s="359"/>
      <c r="AJ26" s="360">
        <f t="shared" si="1"/>
        <v>0</v>
      </c>
      <c r="AK26" s="350"/>
      <c r="AL26" s="348"/>
    </row>
    <row r="27" spans="1:38" s="361" customFormat="1" ht="45" customHeight="1">
      <c r="A27" s="348">
        <v>18</v>
      </c>
      <c r="B27" s="349" t="str">
        <f>+'Biểu 1 TH CÔNG'!C28</f>
        <v>A Nút</v>
      </c>
      <c r="C27" s="517" t="s">
        <v>462</v>
      </c>
      <c r="D27" s="517" t="s">
        <v>462</v>
      </c>
      <c r="E27" s="517" t="s">
        <v>462</v>
      </c>
      <c r="F27" s="517" t="s">
        <v>462</v>
      </c>
      <c r="G27" s="517" t="s">
        <v>462</v>
      </c>
      <c r="H27" s="517" t="s">
        <v>462</v>
      </c>
      <c r="I27" s="517" t="s">
        <v>462</v>
      </c>
      <c r="J27" s="517" t="s">
        <v>462</v>
      </c>
      <c r="K27" s="517" t="s">
        <v>462</v>
      </c>
      <c r="L27" s="517" t="s">
        <v>462</v>
      </c>
      <c r="M27" s="517">
        <v>7</v>
      </c>
      <c r="N27" s="517" t="s">
        <v>462</v>
      </c>
      <c r="O27" s="517" t="s">
        <v>462</v>
      </c>
      <c r="P27" s="517" t="s">
        <v>462</v>
      </c>
      <c r="Q27" s="517" t="s">
        <v>462</v>
      </c>
      <c r="R27" s="517" t="s">
        <v>462</v>
      </c>
      <c r="S27" s="517" t="s">
        <v>462</v>
      </c>
      <c r="T27" s="517" t="s">
        <v>462</v>
      </c>
      <c r="U27" s="517" t="s">
        <v>462</v>
      </c>
      <c r="V27" s="517" t="s">
        <v>462</v>
      </c>
      <c r="W27" s="517" t="s">
        <v>462</v>
      </c>
      <c r="X27" s="517" t="s">
        <v>462</v>
      </c>
      <c r="Y27" s="517" t="s">
        <v>462</v>
      </c>
      <c r="Z27" s="517" t="s">
        <v>462</v>
      </c>
      <c r="AA27" s="517">
        <v>7</v>
      </c>
      <c r="AB27" s="517" t="s">
        <v>462</v>
      </c>
      <c r="AC27" s="517" t="s">
        <v>462</v>
      </c>
      <c r="AD27" s="517" t="s">
        <v>462</v>
      </c>
      <c r="AE27" s="517" t="s">
        <v>462</v>
      </c>
      <c r="AF27" s="517" t="s">
        <v>462</v>
      </c>
      <c r="AG27" s="517" t="s">
        <v>462</v>
      </c>
      <c r="AH27" s="348">
        <f t="shared" si="0"/>
        <v>14</v>
      </c>
      <c r="AI27" s="359"/>
      <c r="AJ27" s="360">
        <f t="shared" si="1"/>
        <v>0</v>
      </c>
      <c r="AK27" s="350"/>
      <c r="AL27" s="348"/>
    </row>
    <row r="28" spans="1:38" s="361" customFormat="1" ht="45" customHeight="1">
      <c r="A28" s="348">
        <v>19</v>
      </c>
      <c r="B28" s="349" t="str">
        <f>+'Biểu 1 TH CÔNG'!C29</f>
        <v>Thảo Buôn</v>
      </c>
      <c r="C28" s="517" t="s">
        <v>462</v>
      </c>
      <c r="D28" s="517" t="s">
        <v>462</v>
      </c>
      <c r="E28" s="517" t="s">
        <v>462</v>
      </c>
      <c r="F28" s="517" t="s">
        <v>462</v>
      </c>
      <c r="G28" s="517" t="s">
        <v>462</v>
      </c>
      <c r="H28" s="517" t="s">
        <v>462</v>
      </c>
      <c r="I28" s="517" t="s">
        <v>462</v>
      </c>
      <c r="J28" s="517" t="s">
        <v>462</v>
      </c>
      <c r="K28" s="517" t="s">
        <v>462</v>
      </c>
      <c r="L28" s="517" t="s">
        <v>462</v>
      </c>
      <c r="M28" s="517">
        <v>7</v>
      </c>
      <c r="N28" s="517" t="s">
        <v>462</v>
      </c>
      <c r="O28" s="517" t="s">
        <v>462</v>
      </c>
      <c r="P28" s="517" t="s">
        <v>462</v>
      </c>
      <c r="Q28" s="517" t="s">
        <v>462</v>
      </c>
      <c r="R28" s="517" t="s">
        <v>462</v>
      </c>
      <c r="S28" s="517" t="s">
        <v>462</v>
      </c>
      <c r="T28" s="517" t="s">
        <v>462</v>
      </c>
      <c r="U28" s="517" t="s">
        <v>462</v>
      </c>
      <c r="V28" s="517" t="s">
        <v>462</v>
      </c>
      <c r="W28" s="517" t="s">
        <v>462</v>
      </c>
      <c r="X28" s="517" t="s">
        <v>462</v>
      </c>
      <c r="Y28" s="517" t="s">
        <v>462</v>
      </c>
      <c r="Z28" s="517" t="s">
        <v>462</v>
      </c>
      <c r="AA28" s="517">
        <v>7</v>
      </c>
      <c r="AB28" s="517" t="s">
        <v>462</v>
      </c>
      <c r="AC28" s="517" t="s">
        <v>462</v>
      </c>
      <c r="AD28" s="517" t="s">
        <v>462</v>
      </c>
      <c r="AE28" s="517" t="s">
        <v>462</v>
      </c>
      <c r="AF28" s="517" t="s">
        <v>462</v>
      </c>
      <c r="AG28" s="517" t="s">
        <v>462</v>
      </c>
      <c r="AH28" s="348">
        <f t="shared" si="0"/>
        <v>14</v>
      </c>
      <c r="AI28" s="359"/>
      <c r="AJ28" s="360">
        <f t="shared" si="1"/>
        <v>0</v>
      </c>
      <c r="AK28" s="350"/>
      <c r="AL28" s="348"/>
    </row>
    <row r="29" spans="1:38" s="361" customFormat="1" ht="45" customHeight="1">
      <c r="A29" s="348">
        <v>20</v>
      </c>
      <c r="B29" s="349" t="str">
        <f>+'Biểu 1 TH CÔNG'!C30</f>
        <v>Phò Lấp</v>
      </c>
      <c r="C29" s="517" t="s">
        <v>462</v>
      </c>
      <c r="D29" s="517" t="s">
        <v>462</v>
      </c>
      <c r="E29" s="517" t="s">
        <v>462</v>
      </c>
      <c r="F29" s="517" t="s">
        <v>462</v>
      </c>
      <c r="G29" s="517" t="s">
        <v>462</v>
      </c>
      <c r="H29" s="517" t="s">
        <v>462</v>
      </c>
      <c r="I29" s="517" t="s">
        <v>462</v>
      </c>
      <c r="J29" s="517" t="s">
        <v>462</v>
      </c>
      <c r="K29" s="517" t="s">
        <v>462</v>
      </c>
      <c r="L29" s="517" t="s">
        <v>462</v>
      </c>
      <c r="M29" s="517">
        <v>7</v>
      </c>
      <c r="N29" s="517" t="s">
        <v>462</v>
      </c>
      <c r="O29" s="517" t="s">
        <v>462</v>
      </c>
      <c r="P29" s="517" t="s">
        <v>462</v>
      </c>
      <c r="Q29" s="517" t="s">
        <v>462</v>
      </c>
      <c r="R29" s="517" t="s">
        <v>462</v>
      </c>
      <c r="S29" s="517" t="s">
        <v>462</v>
      </c>
      <c r="T29" s="517" t="s">
        <v>462</v>
      </c>
      <c r="U29" s="517" t="s">
        <v>462</v>
      </c>
      <c r="V29" s="517" t="s">
        <v>462</v>
      </c>
      <c r="W29" s="517" t="s">
        <v>462</v>
      </c>
      <c r="X29" s="517" t="s">
        <v>462</v>
      </c>
      <c r="Y29" s="517" t="s">
        <v>462</v>
      </c>
      <c r="Z29" s="517" t="s">
        <v>462</v>
      </c>
      <c r="AA29" s="517">
        <v>7</v>
      </c>
      <c r="AB29" s="517" t="s">
        <v>462</v>
      </c>
      <c r="AC29" s="517" t="s">
        <v>462</v>
      </c>
      <c r="AD29" s="517" t="s">
        <v>462</v>
      </c>
      <c r="AE29" s="517" t="s">
        <v>462</v>
      </c>
      <c r="AF29" s="517" t="s">
        <v>462</v>
      </c>
      <c r="AG29" s="517" t="s">
        <v>462</v>
      </c>
      <c r="AH29" s="348">
        <f t="shared" si="0"/>
        <v>14</v>
      </c>
      <c r="AI29" s="359"/>
      <c r="AJ29" s="360">
        <f t="shared" si="1"/>
        <v>0</v>
      </c>
      <c r="AK29" s="350"/>
      <c r="AL29" s="348"/>
    </row>
    <row r="30" spans="1:38" s="361" customFormat="1" ht="45" customHeight="1">
      <c r="A30" s="348">
        <v>21</v>
      </c>
      <c r="B30" s="349" t="str">
        <f>+'Biểu 1 TH CÔNG'!C31</f>
        <v>Phò Nhạc</v>
      </c>
      <c r="C30" s="517" t="s">
        <v>462</v>
      </c>
      <c r="D30" s="517" t="s">
        <v>462</v>
      </c>
      <c r="E30" s="517" t="s">
        <v>462</v>
      </c>
      <c r="F30" s="517" t="s">
        <v>462</v>
      </c>
      <c r="G30" s="517" t="s">
        <v>462</v>
      </c>
      <c r="H30" s="517" t="s">
        <v>462</v>
      </c>
      <c r="I30" s="517" t="s">
        <v>462</v>
      </c>
      <c r="J30" s="517" t="s">
        <v>462</v>
      </c>
      <c r="K30" s="517" t="s">
        <v>462</v>
      </c>
      <c r="L30" s="517" t="s">
        <v>462</v>
      </c>
      <c r="M30" s="517">
        <v>7</v>
      </c>
      <c r="N30" s="517" t="s">
        <v>462</v>
      </c>
      <c r="O30" s="517" t="s">
        <v>462</v>
      </c>
      <c r="P30" s="517" t="s">
        <v>462</v>
      </c>
      <c r="Q30" s="517" t="s">
        <v>462</v>
      </c>
      <c r="R30" s="517" t="s">
        <v>462</v>
      </c>
      <c r="S30" s="517" t="s">
        <v>462</v>
      </c>
      <c r="T30" s="517" t="s">
        <v>462</v>
      </c>
      <c r="U30" s="517" t="s">
        <v>462</v>
      </c>
      <c r="V30" s="517" t="s">
        <v>462</v>
      </c>
      <c r="W30" s="517" t="s">
        <v>462</v>
      </c>
      <c r="X30" s="517" t="s">
        <v>462</v>
      </c>
      <c r="Y30" s="517" t="s">
        <v>462</v>
      </c>
      <c r="Z30" s="517" t="s">
        <v>462</v>
      </c>
      <c r="AA30" s="517">
        <v>7</v>
      </c>
      <c r="AB30" s="517" t="s">
        <v>462</v>
      </c>
      <c r="AC30" s="517" t="s">
        <v>462</v>
      </c>
      <c r="AD30" s="517" t="s">
        <v>462</v>
      </c>
      <c r="AE30" s="517" t="s">
        <v>462</v>
      </c>
      <c r="AF30" s="517" t="s">
        <v>462</v>
      </c>
      <c r="AG30" s="517" t="s">
        <v>462</v>
      </c>
      <c r="AH30" s="348">
        <f t="shared" si="0"/>
        <v>14</v>
      </c>
      <c r="AI30" s="359"/>
      <c r="AJ30" s="360">
        <f t="shared" si="1"/>
        <v>0</v>
      </c>
      <c r="AK30" s="350"/>
      <c r="AL30" s="348"/>
    </row>
    <row r="31" spans="1:38" s="361" customFormat="1" ht="45" customHeight="1">
      <c r="A31" s="348">
        <v>22</v>
      </c>
      <c r="B31" s="349" t="str">
        <f>+'Biểu 1 TH CÔNG'!C32</f>
        <v>Nang Nọi</v>
      </c>
      <c r="C31" s="517" t="s">
        <v>462</v>
      </c>
      <c r="D31" s="517" t="s">
        <v>462</v>
      </c>
      <c r="E31" s="517" t="s">
        <v>462</v>
      </c>
      <c r="F31" s="517" t="s">
        <v>462</v>
      </c>
      <c r="G31" s="517" t="s">
        <v>462</v>
      </c>
      <c r="H31" s="517" t="s">
        <v>462</v>
      </c>
      <c r="I31" s="517" t="s">
        <v>462</v>
      </c>
      <c r="J31" s="517" t="s">
        <v>462</v>
      </c>
      <c r="K31" s="517" t="s">
        <v>462</v>
      </c>
      <c r="L31" s="517" t="s">
        <v>462</v>
      </c>
      <c r="M31" s="517">
        <v>7</v>
      </c>
      <c r="N31" s="517" t="s">
        <v>462</v>
      </c>
      <c r="O31" s="517" t="s">
        <v>462</v>
      </c>
      <c r="P31" s="517" t="s">
        <v>462</v>
      </c>
      <c r="Q31" s="517" t="s">
        <v>462</v>
      </c>
      <c r="R31" s="517" t="s">
        <v>462</v>
      </c>
      <c r="S31" s="517" t="s">
        <v>462</v>
      </c>
      <c r="T31" s="517" t="s">
        <v>462</v>
      </c>
      <c r="U31" s="517" t="s">
        <v>462</v>
      </c>
      <c r="V31" s="517" t="s">
        <v>462</v>
      </c>
      <c r="W31" s="517" t="s">
        <v>462</v>
      </c>
      <c r="X31" s="517" t="s">
        <v>462</v>
      </c>
      <c r="Y31" s="517" t="s">
        <v>462</v>
      </c>
      <c r="Z31" s="517" t="s">
        <v>462</v>
      </c>
      <c r="AA31" s="517">
        <v>7</v>
      </c>
      <c r="AB31" s="517" t="s">
        <v>462</v>
      </c>
      <c r="AC31" s="517" t="s">
        <v>462</v>
      </c>
      <c r="AD31" s="517" t="s">
        <v>462</v>
      </c>
      <c r="AE31" s="517" t="s">
        <v>462</v>
      </c>
      <c r="AF31" s="517" t="s">
        <v>462</v>
      </c>
      <c r="AG31" s="517" t="s">
        <v>462</v>
      </c>
      <c r="AH31" s="348">
        <f t="shared" si="0"/>
        <v>14</v>
      </c>
      <c r="AI31" s="359"/>
      <c r="AJ31" s="360">
        <f t="shared" si="1"/>
        <v>0</v>
      </c>
      <c r="AK31" s="350"/>
      <c r="AL31" s="348"/>
    </row>
    <row r="32" spans="1:38" s="361" customFormat="1" ht="45" customHeight="1">
      <c r="A32" s="348">
        <v>23</v>
      </c>
      <c r="B32" s="349" t="str">
        <f>+'Biểu 1 TH CÔNG'!C33</f>
        <v>Húc</v>
      </c>
      <c r="C32" s="517" t="s">
        <v>462</v>
      </c>
      <c r="D32" s="517" t="s">
        <v>462</v>
      </c>
      <c r="E32" s="517" t="s">
        <v>462</v>
      </c>
      <c r="F32" s="517" t="s">
        <v>462</v>
      </c>
      <c r="G32" s="517" t="s">
        <v>462</v>
      </c>
      <c r="H32" s="517" t="s">
        <v>462</v>
      </c>
      <c r="I32" s="517" t="s">
        <v>462</v>
      </c>
      <c r="J32" s="517" t="s">
        <v>462</v>
      </c>
      <c r="K32" s="517" t="s">
        <v>462</v>
      </c>
      <c r="L32" s="517" t="s">
        <v>462</v>
      </c>
      <c r="M32" s="517">
        <v>7</v>
      </c>
      <c r="N32" s="517" t="s">
        <v>462</v>
      </c>
      <c r="O32" s="517" t="s">
        <v>462</v>
      </c>
      <c r="P32" s="517" t="s">
        <v>462</v>
      </c>
      <c r="Q32" s="517" t="s">
        <v>462</v>
      </c>
      <c r="R32" s="517" t="s">
        <v>462</v>
      </c>
      <c r="S32" s="517" t="s">
        <v>462</v>
      </c>
      <c r="T32" s="517" t="s">
        <v>462</v>
      </c>
      <c r="U32" s="517" t="s">
        <v>462</v>
      </c>
      <c r="V32" s="517" t="s">
        <v>462</v>
      </c>
      <c r="W32" s="517" t="s">
        <v>462</v>
      </c>
      <c r="X32" s="517" t="s">
        <v>462</v>
      </c>
      <c r="Y32" s="517" t="s">
        <v>462</v>
      </c>
      <c r="Z32" s="517" t="s">
        <v>462</v>
      </c>
      <c r="AA32" s="517">
        <v>7</v>
      </c>
      <c r="AB32" s="517" t="s">
        <v>462</v>
      </c>
      <c r="AC32" s="517" t="s">
        <v>462</v>
      </c>
      <c r="AD32" s="517" t="s">
        <v>462</v>
      </c>
      <c r="AE32" s="517" t="s">
        <v>462</v>
      </c>
      <c r="AF32" s="517" t="s">
        <v>462</v>
      </c>
      <c r="AG32" s="517" t="s">
        <v>462</v>
      </c>
      <c r="AH32" s="348">
        <f t="shared" si="0"/>
        <v>14</v>
      </c>
      <c r="AI32" s="359"/>
      <c r="AJ32" s="360">
        <f t="shared" si="1"/>
        <v>0</v>
      </c>
      <c r="AK32" s="350"/>
      <c r="AL32" s="348"/>
    </row>
    <row r="33" spans="1:40" s="361" customFormat="1" ht="45" customHeight="1">
      <c r="A33" s="348">
        <v>24</v>
      </c>
      <c r="B33" s="349" t="str">
        <f>+'Biểu 1 TH CÔNG'!C34</f>
        <v>A Côm</v>
      </c>
      <c r="C33" s="517" t="s">
        <v>462</v>
      </c>
      <c r="D33" s="517" t="s">
        <v>462</v>
      </c>
      <c r="E33" s="517" t="s">
        <v>462</v>
      </c>
      <c r="F33" s="517" t="s">
        <v>462</v>
      </c>
      <c r="G33" s="517" t="s">
        <v>462</v>
      </c>
      <c r="H33" s="517" t="s">
        <v>462</v>
      </c>
      <c r="I33" s="517" t="s">
        <v>462</v>
      </c>
      <c r="J33" s="517" t="s">
        <v>462</v>
      </c>
      <c r="K33" s="517" t="s">
        <v>462</v>
      </c>
      <c r="L33" s="517" t="s">
        <v>462</v>
      </c>
      <c r="M33" s="517">
        <v>7</v>
      </c>
      <c r="N33" s="517" t="s">
        <v>462</v>
      </c>
      <c r="O33" s="517" t="s">
        <v>462</v>
      </c>
      <c r="P33" s="517" t="s">
        <v>462</v>
      </c>
      <c r="Q33" s="517" t="s">
        <v>462</v>
      </c>
      <c r="R33" s="517" t="s">
        <v>462</v>
      </c>
      <c r="S33" s="517" t="s">
        <v>462</v>
      </c>
      <c r="T33" s="517" t="s">
        <v>462</v>
      </c>
      <c r="U33" s="517" t="s">
        <v>462</v>
      </c>
      <c r="V33" s="517" t="s">
        <v>462</v>
      </c>
      <c r="W33" s="517" t="s">
        <v>462</v>
      </c>
      <c r="X33" s="517" t="s">
        <v>462</v>
      </c>
      <c r="Y33" s="517" t="s">
        <v>462</v>
      </c>
      <c r="Z33" s="517" t="s">
        <v>462</v>
      </c>
      <c r="AA33" s="517">
        <v>7</v>
      </c>
      <c r="AB33" s="517" t="s">
        <v>462</v>
      </c>
      <c r="AC33" s="517" t="s">
        <v>462</v>
      </c>
      <c r="AD33" s="517" t="s">
        <v>462</v>
      </c>
      <c r="AE33" s="517" t="s">
        <v>462</v>
      </c>
      <c r="AF33" s="517" t="s">
        <v>462</v>
      </c>
      <c r="AG33" s="517" t="s">
        <v>462</v>
      </c>
      <c r="AH33" s="348">
        <f t="shared" si="0"/>
        <v>14</v>
      </c>
      <c r="AI33" s="359"/>
      <c r="AJ33" s="360">
        <f t="shared" si="1"/>
        <v>0</v>
      </c>
      <c r="AK33" s="350"/>
      <c r="AL33" s="348"/>
    </row>
    <row r="34" spans="1:40" s="361" customFormat="1" ht="45" customHeight="1">
      <c r="A34" s="348">
        <v>25</v>
      </c>
      <c r="B34" s="349" t="str">
        <f>+'Biểu 1 TH CÔNG'!C35</f>
        <v>Nang Phen</v>
      </c>
      <c r="C34" s="517" t="s">
        <v>462</v>
      </c>
      <c r="D34" s="517" t="s">
        <v>462</v>
      </c>
      <c r="E34" s="517" t="s">
        <v>462</v>
      </c>
      <c r="F34" s="517" t="s">
        <v>462</v>
      </c>
      <c r="G34" s="517" t="s">
        <v>462</v>
      </c>
      <c r="H34" s="517" t="s">
        <v>462</v>
      </c>
      <c r="I34" s="517" t="s">
        <v>462</v>
      </c>
      <c r="J34" s="517" t="s">
        <v>462</v>
      </c>
      <c r="K34" s="517" t="s">
        <v>462</v>
      </c>
      <c r="L34" s="517" t="s">
        <v>462</v>
      </c>
      <c r="M34" s="517">
        <v>7</v>
      </c>
      <c r="N34" s="517" t="s">
        <v>462</v>
      </c>
      <c r="O34" s="517" t="s">
        <v>462</v>
      </c>
      <c r="P34" s="517" t="s">
        <v>462</v>
      </c>
      <c r="Q34" s="517" t="s">
        <v>462</v>
      </c>
      <c r="R34" s="517" t="s">
        <v>462</v>
      </c>
      <c r="S34" s="517" t="s">
        <v>462</v>
      </c>
      <c r="T34" s="517" t="s">
        <v>462</v>
      </c>
      <c r="U34" s="517" t="s">
        <v>462</v>
      </c>
      <c r="V34" s="517" t="s">
        <v>462</v>
      </c>
      <c r="W34" s="517" t="s">
        <v>462</v>
      </c>
      <c r="X34" s="517" t="s">
        <v>462</v>
      </c>
      <c r="Y34" s="517" t="s">
        <v>462</v>
      </c>
      <c r="Z34" s="517" t="s">
        <v>462</v>
      </c>
      <c r="AA34" s="517">
        <v>7</v>
      </c>
      <c r="AB34" s="517" t="s">
        <v>462</v>
      </c>
      <c r="AC34" s="517" t="s">
        <v>462</v>
      </c>
      <c r="AD34" s="517" t="s">
        <v>462</v>
      </c>
      <c r="AE34" s="517" t="s">
        <v>462</v>
      </c>
      <c r="AF34" s="517" t="s">
        <v>462</v>
      </c>
      <c r="AG34" s="517" t="s">
        <v>462</v>
      </c>
      <c r="AH34" s="348">
        <f t="shared" si="0"/>
        <v>14</v>
      </c>
      <c r="AI34" s="359"/>
      <c r="AJ34" s="360">
        <f t="shared" si="1"/>
        <v>0</v>
      </c>
      <c r="AK34" s="350"/>
      <c r="AL34" s="348"/>
    </row>
    <row r="35" spans="1:40" s="361" customFormat="1" ht="45" customHeight="1">
      <c r="A35" s="348">
        <v>26</v>
      </c>
      <c r="B35" s="349" t="str">
        <f>+'Biểu 1 TH CÔNG'!C36</f>
        <v>Thảo Đuôn</v>
      </c>
      <c r="C35" s="517" t="s">
        <v>462</v>
      </c>
      <c r="D35" s="517" t="s">
        <v>462</v>
      </c>
      <c r="E35" s="517" t="s">
        <v>462</v>
      </c>
      <c r="F35" s="517" t="s">
        <v>462</v>
      </c>
      <c r="G35" s="517" t="s">
        <v>462</v>
      </c>
      <c r="H35" s="517" t="s">
        <v>462</v>
      </c>
      <c r="I35" s="517" t="s">
        <v>462</v>
      </c>
      <c r="J35" s="517" t="s">
        <v>462</v>
      </c>
      <c r="K35" s="517" t="s">
        <v>462</v>
      </c>
      <c r="L35" s="517" t="s">
        <v>462</v>
      </c>
      <c r="M35" s="517">
        <v>7</v>
      </c>
      <c r="N35" s="517" t="s">
        <v>462</v>
      </c>
      <c r="O35" s="517" t="s">
        <v>462</v>
      </c>
      <c r="P35" s="517" t="s">
        <v>462</v>
      </c>
      <c r="Q35" s="517" t="s">
        <v>462</v>
      </c>
      <c r="R35" s="517" t="s">
        <v>462</v>
      </c>
      <c r="S35" s="517" t="s">
        <v>462</v>
      </c>
      <c r="T35" s="517" t="s">
        <v>462</v>
      </c>
      <c r="U35" s="517" t="s">
        <v>462</v>
      </c>
      <c r="V35" s="517" t="s">
        <v>462</v>
      </c>
      <c r="W35" s="517" t="s">
        <v>462</v>
      </c>
      <c r="X35" s="517" t="s">
        <v>462</v>
      </c>
      <c r="Y35" s="517" t="s">
        <v>462</v>
      </c>
      <c r="Z35" s="517" t="s">
        <v>462</v>
      </c>
      <c r="AA35" s="517">
        <v>7</v>
      </c>
      <c r="AB35" s="517" t="s">
        <v>462</v>
      </c>
      <c r="AC35" s="517" t="s">
        <v>462</v>
      </c>
      <c r="AD35" s="517" t="s">
        <v>462</v>
      </c>
      <c r="AE35" s="517" t="s">
        <v>462</v>
      </c>
      <c r="AF35" s="517" t="s">
        <v>462</v>
      </c>
      <c r="AG35" s="517" t="s">
        <v>462</v>
      </c>
      <c r="AH35" s="348">
        <f t="shared" si="0"/>
        <v>14</v>
      </c>
      <c r="AI35" s="359"/>
      <c r="AJ35" s="360">
        <f t="shared" si="1"/>
        <v>0</v>
      </c>
      <c r="AK35" s="350"/>
      <c r="AL35" s="348"/>
    </row>
    <row r="36" spans="1:40" s="361" customFormat="1" ht="45" customHeight="1">
      <c r="A36" s="348">
        <v>27</v>
      </c>
      <c r="B36" s="349" t="str">
        <f>+'Biểu 1 TH CÔNG'!C37</f>
        <v>A Rơ</v>
      </c>
      <c r="C36" s="517" t="s">
        <v>462</v>
      </c>
      <c r="D36" s="517" t="s">
        <v>462</v>
      </c>
      <c r="E36" s="517" t="s">
        <v>462</v>
      </c>
      <c r="F36" s="517" t="s">
        <v>462</v>
      </c>
      <c r="G36" s="517" t="s">
        <v>462</v>
      </c>
      <c r="H36" s="517" t="s">
        <v>462</v>
      </c>
      <c r="I36" s="517" t="s">
        <v>462</v>
      </c>
      <c r="J36" s="517" t="s">
        <v>462</v>
      </c>
      <c r="K36" s="517" t="s">
        <v>462</v>
      </c>
      <c r="L36" s="517" t="s">
        <v>462</v>
      </c>
      <c r="M36" s="517">
        <v>7</v>
      </c>
      <c r="N36" s="517" t="s">
        <v>462</v>
      </c>
      <c r="O36" s="517" t="s">
        <v>462</v>
      </c>
      <c r="P36" s="517" t="s">
        <v>462</v>
      </c>
      <c r="Q36" s="517" t="s">
        <v>462</v>
      </c>
      <c r="R36" s="517" t="s">
        <v>462</v>
      </c>
      <c r="S36" s="517" t="s">
        <v>462</v>
      </c>
      <c r="T36" s="517" t="s">
        <v>462</v>
      </c>
      <c r="U36" s="517" t="s">
        <v>462</v>
      </c>
      <c r="V36" s="517" t="s">
        <v>462</v>
      </c>
      <c r="W36" s="517" t="s">
        <v>462</v>
      </c>
      <c r="X36" s="517" t="s">
        <v>462</v>
      </c>
      <c r="Y36" s="517" t="s">
        <v>462</v>
      </c>
      <c r="Z36" s="517" t="s">
        <v>462</v>
      </c>
      <c r="AA36" s="517">
        <v>7</v>
      </c>
      <c r="AB36" s="517" t="s">
        <v>462</v>
      </c>
      <c r="AC36" s="517" t="s">
        <v>462</v>
      </c>
      <c r="AD36" s="517" t="s">
        <v>462</v>
      </c>
      <c r="AE36" s="517" t="s">
        <v>462</v>
      </c>
      <c r="AF36" s="517" t="s">
        <v>462</v>
      </c>
      <c r="AG36" s="517" t="s">
        <v>462</v>
      </c>
      <c r="AH36" s="348">
        <f t="shared" si="0"/>
        <v>14</v>
      </c>
      <c r="AI36" s="359"/>
      <c r="AJ36" s="360">
        <f t="shared" si="1"/>
        <v>0</v>
      </c>
      <c r="AK36" s="350"/>
      <c r="AL36" s="348"/>
    </row>
    <row r="37" spans="1:40" s="361" customFormat="1" ht="45" customHeight="1">
      <c r="A37" s="348">
        <v>28</v>
      </c>
      <c r="B37" s="349" t="str">
        <f>+'Biểu 1 TH CÔNG'!C38</f>
        <v>Thảo Xâm</v>
      </c>
      <c r="C37" s="517" t="s">
        <v>462</v>
      </c>
      <c r="D37" s="517" t="s">
        <v>462</v>
      </c>
      <c r="E37" s="517" t="s">
        <v>462</v>
      </c>
      <c r="F37" s="517" t="s">
        <v>462</v>
      </c>
      <c r="G37" s="517" t="s">
        <v>462</v>
      </c>
      <c r="H37" s="517" t="s">
        <v>462</v>
      </c>
      <c r="I37" s="517" t="s">
        <v>462</v>
      </c>
      <c r="J37" s="517" t="s">
        <v>462</v>
      </c>
      <c r="K37" s="517" t="s">
        <v>462</v>
      </c>
      <c r="L37" s="517" t="s">
        <v>462</v>
      </c>
      <c r="M37" s="517">
        <v>7</v>
      </c>
      <c r="N37" s="517" t="s">
        <v>462</v>
      </c>
      <c r="O37" s="517" t="s">
        <v>462</v>
      </c>
      <c r="P37" s="517" t="s">
        <v>462</v>
      </c>
      <c r="Q37" s="517" t="s">
        <v>462</v>
      </c>
      <c r="R37" s="517" t="s">
        <v>462</v>
      </c>
      <c r="S37" s="517" t="s">
        <v>462</v>
      </c>
      <c r="T37" s="517" t="s">
        <v>462</v>
      </c>
      <c r="U37" s="517" t="s">
        <v>462</v>
      </c>
      <c r="V37" s="517" t="s">
        <v>462</v>
      </c>
      <c r="W37" s="517" t="s">
        <v>462</v>
      </c>
      <c r="X37" s="517" t="s">
        <v>462</v>
      </c>
      <c r="Y37" s="517" t="s">
        <v>462</v>
      </c>
      <c r="Z37" s="517" t="s">
        <v>462</v>
      </c>
      <c r="AA37" s="517">
        <v>7</v>
      </c>
      <c r="AB37" s="517" t="s">
        <v>462</v>
      </c>
      <c r="AC37" s="517" t="s">
        <v>462</v>
      </c>
      <c r="AD37" s="517" t="s">
        <v>462</v>
      </c>
      <c r="AE37" s="517" t="s">
        <v>462</v>
      </c>
      <c r="AF37" s="517" t="s">
        <v>462</v>
      </c>
      <c r="AG37" s="517" t="s">
        <v>462</v>
      </c>
      <c r="AH37" s="348">
        <f t="shared" si="0"/>
        <v>14</v>
      </c>
      <c r="AI37" s="359"/>
      <c r="AJ37" s="360">
        <f t="shared" si="1"/>
        <v>0</v>
      </c>
      <c r="AK37" s="350"/>
      <c r="AL37" s="348"/>
    </row>
    <row r="38" spans="1:40" s="361" customFormat="1" ht="45" customHeight="1">
      <c r="A38" s="348">
        <v>29</v>
      </c>
      <c r="B38" s="349" t="str">
        <f>+'Biểu 1 TH CÔNG'!C39</f>
        <v>Thảo Anh</v>
      </c>
      <c r="C38" s="517" t="s">
        <v>462</v>
      </c>
      <c r="D38" s="517" t="s">
        <v>462</v>
      </c>
      <c r="E38" s="517" t="s">
        <v>462</v>
      </c>
      <c r="F38" s="517" t="s">
        <v>462</v>
      </c>
      <c r="G38" s="517" t="s">
        <v>462</v>
      </c>
      <c r="H38" s="517" t="s">
        <v>462</v>
      </c>
      <c r="I38" s="517" t="s">
        <v>462</v>
      </c>
      <c r="J38" s="517" t="s">
        <v>462</v>
      </c>
      <c r="K38" s="517" t="s">
        <v>462</v>
      </c>
      <c r="L38" s="517" t="s">
        <v>462</v>
      </c>
      <c r="M38" s="517">
        <v>7</v>
      </c>
      <c r="N38" s="517" t="s">
        <v>462</v>
      </c>
      <c r="O38" s="517" t="s">
        <v>462</v>
      </c>
      <c r="P38" s="517" t="s">
        <v>462</v>
      </c>
      <c r="Q38" s="517" t="s">
        <v>462</v>
      </c>
      <c r="R38" s="517" t="s">
        <v>462</v>
      </c>
      <c r="S38" s="517" t="s">
        <v>462</v>
      </c>
      <c r="T38" s="517" t="s">
        <v>462</v>
      </c>
      <c r="U38" s="517" t="s">
        <v>462</v>
      </c>
      <c r="V38" s="517" t="s">
        <v>462</v>
      </c>
      <c r="W38" s="517" t="s">
        <v>462</v>
      </c>
      <c r="X38" s="517" t="s">
        <v>462</v>
      </c>
      <c r="Y38" s="517" t="s">
        <v>462</v>
      </c>
      <c r="Z38" s="517" t="s">
        <v>462</v>
      </c>
      <c r="AA38" s="517">
        <v>7</v>
      </c>
      <c r="AB38" s="517" t="s">
        <v>462</v>
      </c>
      <c r="AC38" s="517" t="s">
        <v>462</v>
      </c>
      <c r="AD38" s="517" t="s">
        <v>462</v>
      </c>
      <c r="AE38" s="517" t="s">
        <v>462</v>
      </c>
      <c r="AF38" s="517" t="s">
        <v>462</v>
      </c>
      <c r="AG38" s="517" t="s">
        <v>462</v>
      </c>
      <c r="AH38" s="348">
        <f t="shared" si="0"/>
        <v>14</v>
      </c>
      <c r="AI38" s="359"/>
      <c r="AJ38" s="360">
        <f t="shared" si="1"/>
        <v>0</v>
      </c>
      <c r="AK38" s="350"/>
      <c r="AL38" s="348"/>
    </row>
    <row r="39" spans="1:40" s="361" customFormat="1" ht="45" customHeight="1">
      <c r="A39" s="348">
        <v>30</v>
      </c>
      <c r="B39" s="349" t="str">
        <f>+'Biểu 1 TH CÔNG'!C40</f>
        <v>Nang Banh</v>
      </c>
      <c r="C39" s="517" t="s">
        <v>462</v>
      </c>
      <c r="D39" s="517" t="s">
        <v>462</v>
      </c>
      <c r="E39" s="517" t="s">
        <v>462</v>
      </c>
      <c r="F39" s="517" t="s">
        <v>462</v>
      </c>
      <c r="G39" s="517" t="s">
        <v>462</v>
      </c>
      <c r="H39" s="517" t="s">
        <v>462</v>
      </c>
      <c r="I39" s="517" t="s">
        <v>462</v>
      </c>
      <c r="J39" s="517" t="s">
        <v>462</v>
      </c>
      <c r="K39" s="517" t="s">
        <v>462</v>
      </c>
      <c r="L39" s="517" t="s">
        <v>462</v>
      </c>
      <c r="M39" s="517">
        <v>7</v>
      </c>
      <c r="N39" s="517" t="s">
        <v>462</v>
      </c>
      <c r="O39" s="517" t="s">
        <v>462</v>
      </c>
      <c r="P39" s="517" t="s">
        <v>462</v>
      </c>
      <c r="Q39" s="517" t="s">
        <v>462</v>
      </c>
      <c r="R39" s="517" t="s">
        <v>462</v>
      </c>
      <c r="S39" s="517" t="s">
        <v>462</v>
      </c>
      <c r="T39" s="517" t="s">
        <v>462</v>
      </c>
      <c r="U39" s="517" t="s">
        <v>462</v>
      </c>
      <c r="V39" s="517" t="s">
        <v>462</v>
      </c>
      <c r="W39" s="517" t="s">
        <v>462</v>
      </c>
      <c r="X39" s="517" t="s">
        <v>462</v>
      </c>
      <c r="Y39" s="517" t="s">
        <v>462</v>
      </c>
      <c r="Z39" s="517" t="s">
        <v>462</v>
      </c>
      <c r="AA39" s="517">
        <v>8</v>
      </c>
      <c r="AB39" s="517" t="s">
        <v>462</v>
      </c>
      <c r="AC39" s="517" t="s">
        <v>462</v>
      </c>
      <c r="AD39" s="517" t="s">
        <v>462</v>
      </c>
      <c r="AE39" s="517" t="s">
        <v>462</v>
      </c>
      <c r="AF39" s="517" t="s">
        <v>462</v>
      </c>
      <c r="AG39" s="517" t="s">
        <v>462</v>
      </c>
      <c r="AH39" s="348">
        <f t="shared" si="0"/>
        <v>15</v>
      </c>
      <c r="AI39" s="359"/>
      <c r="AJ39" s="360">
        <f t="shared" si="1"/>
        <v>0</v>
      </c>
      <c r="AK39" s="350"/>
      <c r="AL39" s="348"/>
    </row>
    <row r="40" spans="1:40" s="361" customFormat="1" ht="45" customHeight="1">
      <c r="A40" s="348">
        <v>31</v>
      </c>
      <c r="B40" s="349" t="str">
        <f>+'Biểu 1 TH CÔNG'!C41</f>
        <v>Thảo Boi</v>
      </c>
      <c r="C40" s="517" t="s">
        <v>462</v>
      </c>
      <c r="D40" s="517" t="s">
        <v>462</v>
      </c>
      <c r="E40" s="517" t="s">
        <v>462</v>
      </c>
      <c r="F40" s="517" t="s">
        <v>462</v>
      </c>
      <c r="G40" s="517" t="s">
        <v>462</v>
      </c>
      <c r="H40" s="517" t="s">
        <v>462</v>
      </c>
      <c r="I40" s="517" t="s">
        <v>462</v>
      </c>
      <c r="J40" s="517" t="s">
        <v>462</v>
      </c>
      <c r="K40" s="517" t="s">
        <v>462</v>
      </c>
      <c r="L40" s="517" t="s">
        <v>462</v>
      </c>
      <c r="M40" s="517">
        <v>7</v>
      </c>
      <c r="N40" s="517" t="s">
        <v>462</v>
      </c>
      <c r="O40" s="517" t="s">
        <v>462</v>
      </c>
      <c r="P40" s="517" t="s">
        <v>462</v>
      </c>
      <c r="Q40" s="517" t="s">
        <v>462</v>
      </c>
      <c r="R40" s="517" t="s">
        <v>462</v>
      </c>
      <c r="S40" s="517" t="s">
        <v>462</v>
      </c>
      <c r="T40" s="517" t="s">
        <v>462</v>
      </c>
      <c r="U40" s="517" t="s">
        <v>462</v>
      </c>
      <c r="V40" s="517" t="s">
        <v>462</v>
      </c>
      <c r="W40" s="517" t="s">
        <v>462</v>
      </c>
      <c r="X40" s="517" t="s">
        <v>462</v>
      </c>
      <c r="Y40" s="517" t="s">
        <v>462</v>
      </c>
      <c r="Z40" s="517" t="s">
        <v>462</v>
      </c>
      <c r="AA40" s="517">
        <v>8</v>
      </c>
      <c r="AB40" s="517" t="s">
        <v>462</v>
      </c>
      <c r="AC40" s="517" t="s">
        <v>462</v>
      </c>
      <c r="AD40" s="517" t="s">
        <v>462</v>
      </c>
      <c r="AE40" s="517" t="s">
        <v>462</v>
      </c>
      <c r="AF40" s="517" t="s">
        <v>462</v>
      </c>
      <c r="AG40" s="517" t="s">
        <v>462</v>
      </c>
      <c r="AH40" s="348">
        <f t="shared" si="0"/>
        <v>15</v>
      </c>
      <c r="AI40" s="359"/>
      <c r="AJ40" s="360">
        <f t="shared" si="1"/>
        <v>0</v>
      </c>
      <c r="AK40" s="350"/>
      <c r="AL40" s="348"/>
    </row>
    <row r="41" spans="1:40" s="361" customFormat="1" ht="45" customHeight="1">
      <c r="A41" s="348">
        <v>32</v>
      </c>
      <c r="B41" s="349" t="str">
        <f>+'Biểu 1 TH CÔNG'!C42</f>
        <v>Cha Lơ</v>
      </c>
      <c r="C41" s="517" t="s">
        <v>462</v>
      </c>
      <c r="D41" s="517" t="s">
        <v>462</v>
      </c>
      <c r="E41" s="517" t="s">
        <v>462</v>
      </c>
      <c r="F41" s="517" t="s">
        <v>462</v>
      </c>
      <c r="G41" s="517" t="s">
        <v>462</v>
      </c>
      <c r="H41" s="517" t="s">
        <v>462</v>
      </c>
      <c r="I41" s="517" t="s">
        <v>462</v>
      </c>
      <c r="J41" s="517" t="s">
        <v>462</v>
      </c>
      <c r="K41" s="517" t="s">
        <v>462</v>
      </c>
      <c r="L41" s="517" t="s">
        <v>462</v>
      </c>
      <c r="M41" s="517">
        <v>7</v>
      </c>
      <c r="N41" s="517" t="s">
        <v>462</v>
      </c>
      <c r="O41" s="517" t="s">
        <v>462</v>
      </c>
      <c r="P41" s="517" t="s">
        <v>462</v>
      </c>
      <c r="Q41" s="517" t="s">
        <v>462</v>
      </c>
      <c r="R41" s="517" t="s">
        <v>462</v>
      </c>
      <c r="S41" s="517" t="s">
        <v>462</v>
      </c>
      <c r="T41" s="517" t="s">
        <v>462</v>
      </c>
      <c r="U41" s="517" t="s">
        <v>462</v>
      </c>
      <c r="V41" s="517" t="s">
        <v>462</v>
      </c>
      <c r="W41" s="517" t="s">
        <v>462</v>
      </c>
      <c r="X41" s="517" t="s">
        <v>462</v>
      </c>
      <c r="Y41" s="517" t="s">
        <v>462</v>
      </c>
      <c r="Z41" s="517" t="s">
        <v>462</v>
      </c>
      <c r="AA41" s="517">
        <v>8</v>
      </c>
      <c r="AB41" s="517" t="s">
        <v>462</v>
      </c>
      <c r="AC41" s="517" t="s">
        <v>462</v>
      </c>
      <c r="AD41" s="517" t="s">
        <v>462</v>
      </c>
      <c r="AE41" s="517" t="s">
        <v>462</v>
      </c>
      <c r="AF41" s="517" t="s">
        <v>462</v>
      </c>
      <c r="AG41" s="517" t="s">
        <v>462</v>
      </c>
      <c r="AH41" s="348">
        <f t="shared" si="0"/>
        <v>15</v>
      </c>
      <c r="AI41" s="359"/>
      <c r="AJ41" s="360">
        <f t="shared" si="1"/>
        <v>0</v>
      </c>
      <c r="AK41" s="350"/>
      <c r="AL41" s="348"/>
    </row>
    <row r="42" spans="1:40" s="361" customFormat="1" ht="45" customHeight="1">
      <c r="A42" s="348">
        <v>33</v>
      </c>
      <c r="B42" s="349" t="str">
        <f>+'Biểu 1 TH CÔNG'!C43</f>
        <v>Nang Cung</v>
      </c>
      <c r="C42" s="517" t="s">
        <v>462</v>
      </c>
      <c r="D42" s="517" t="s">
        <v>462</v>
      </c>
      <c r="E42" s="517" t="s">
        <v>462</v>
      </c>
      <c r="F42" s="517" t="s">
        <v>462</v>
      </c>
      <c r="G42" s="517" t="s">
        <v>462</v>
      </c>
      <c r="H42" s="517" t="s">
        <v>462</v>
      </c>
      <c r="I42" s="517" t="s">
        <v>462</v>
      </c>
      <c r="J42" s="517" t="s">
        <v>462</v>
      </c>
      <c r="K42" s="517" t="s">
        <v>462</v>
      </c>
      <c r="L42" s="517" t="s">
        <v>462</v>
      </c>
      <c r="M42" s="517">
        <v>8</v>
      </c>
      <c r="N42" s="517" t="s">
        <v>462</v>
      </c>
      <c r="O42" s="517" t="s">
        <v>462</v>
      </c>
      <c r="P42" s="517" t="s">
        <v>462</v>
      </c>
      <c r="Q42" s="517" t="s">
        <v>462</v>
      </c>
      <c r="R42" s="517" t="s">
        <v>462</v>
      </c>
      <c r="S42" s="517" t="s">
        <v>462</v>
      </c>
      <c r="T42" s="517" t="s">
        <v>462</v>
      </c>
      <c r="U42" s="517" t="s">
        <v>462</v>
      </c>
      <c r="V42" s="517" t="s">
        <v>462</v>
      </c>
      <c r="W42" s="517" t="s">
        <v>462</v>
      </c>
      <c r="X42" s="517" t="s">
        <v>462</v>
      </c>
      <c r="Y42" s="517" t="s">
        <v>462</v>
      </c>
      <c r="Z42" s="517" t="s">
        <v>462</v>
      </c>
      <c r="AA42" s="517">
        <v>8</v>
      </c>
      <c r="AB42" s="517" t="s">
        <v>462</v>
      </c>
      <c r="AC42" s="517" t="s">
        <v>462</v>
      </c>
      <c r="AD42" s="517" t="s">
        <v>462</v>
      </c>
      <c r="AE42" s="517" t="s">
        <v>462</v>
      </c>
      <c r="AF42" s="517" t="s">
        <v>462</v>
      </c>
      <c r="AG42" s="517" t="s">
        <v>462</v>
      </c>
      <c r="AH42" s="348">
        <f t="shared" si="0"/>
        <v>16</v>
      </c>
      <c r="AI42" s="359"/>
      <c r="AJ42" s="360">
        <f t="shared" si="1"/>
        <v>0</v>
      </c>
      <c r="AK42" s="350"/>
      <c r="AL42" s="348"/>
    </row>
    <row r="43" spans="1:40" s="361" customFormat="1" ht="45" customHeight="1">
      <c r="A43" s="348">
        <v>34</v>
      </c>
      <c r="B43" s="349" t="str">
        <f>+'Biểu 1 TH CÔNG'!C44</f>
        <v>Thảo Xen</v>
      </c>
      <c r="C43" s="517" t="s">
        <v>462</v>
      </c>
      <c r="D43" s="517" t="s">
        <v>462</v>
      </c>
      <c r="E43" s="517" t="s">
        <v>462</v>
      </c>
      <c r="F43" s="517" t="s">
        <v>462</v>
      </c>
      <c r="G43" s="517" t="s">
        <v>462</v>
      </c>
      <c r="H43" s="517" t="s">
        <v>462</v>
      </c>
      <c r="I43" s="517" t="s">
        <v>462</v>
      </c>
      <c r="J43" s="517" t="s">
        <v>462</v>
      </c>
      <c r="K43" s="517" t="s">
        <v>462</v>
      </c>
      <c r="L43" s="517" t="s">
        <v>462</v>
      </c>
      <c r="M43" s="517">
        <v>8</v>
      </c>
      <c r="N43" s="517" t="s">
        <v>462</v>
      </c>
      <c r="O43" s="517" t="s">
        <v>462</v>
      </c>
      <c r="P43" s="517" t="s">
        <v>462</v>
      </c>
      <c r="Q43" s="517" t="s">
        <v>462</v>
      </c>
      <c r="R43" s="517" t="s">
        <v>462</v>
      </c>
      <c r="S43" s="517" t="s">
        <v>462</v>
      </c>
      <c r="T43" s="517" t="s">
        <v>462</v>
      </c>
      <c r="U43" s="517" t="s">
        <v>462</v>
      </c>
      <c r="V43" s="517" t="s">
        <v>462</v>
      </c>
      <c r="W43" s="517" t="s">
        <v>462</v>
      </c>
      <c r="X43" s="517" t="s">
        <v>462</v>
      </c>
      <c r="Y43" s="517" t="s">
        <v>462</v>
      </c>
      <c r="Z43" s="517" t="s">
        <v>462</v>
      </c>
      <c r="AA43" s="517">
        <v>8</v>
      </c>
      <c r="AB43" s="517" t="s">
        <v>462</v>
      </c>
      <c r="AC43" s="517" t="s">
        <v>462</v>
      </c>
      <c r="AD43" s="517" t="s">
        <v>462</v>
      </c>
      <c r="AE43" s="517" t="s">
        <v>462</v>
      </c>
      <c r="AF43" s="517" t="s">
        <v>462</v>
      </c>
      <c r="AG43" s="517" t="s">
        <v>462</v>
      </c>
      <c r="AH43" s="348">
        <f t="shared" si="0"/>
        <v>16</v>
      </c>
      <c r="AI43" s="359"/>
      <c r="AJ43" s="360"/>
      <c r="AK43" s="350"/>
      <c r="AL43" s="348"/>
    </row>
    <row r="44" spans="1:40" s="364" customFormat="1" ht="45" customHeight="1">
      <c r="A44" s="356"/>
      <c r="B44" s="362" t="s">
        <v>32</v>
      </c>
      <c r="C44" s="517" t="s">
        <v>462</v>
      </c>
      <c r="D44" s="517" t="s">
        <v>462</v>
      </c>
      <c r="E44" s="517" t="s">
        <v>462</v>
      </c>
      <c r="F44" s="517" t="s">
        <v>462</v>
      </c>
      <c r="G44" s="517" t="s">
        <v>462</v>
      </c>
      <c r="H44" s="517" t="s">
        <v>462</v>
      </c>
      <c r="I44" s="517" t="s">
        <v>462</v>
      </c>
      <c r="J44" s="517" t="s">
        <v>462</v>
      </c>
      <c r="K44" s="517" t="s">
        <v>462</v>
      </c>
      <c r="L44" s="837">
        <f>SUM(L10:L43)</f>
        <v>0</v>
      </c>
      <c r="M44" s="712">
        <f>SUM(M10:M43)</f>
        <v>240</v>
      </c>
      <c r="N44" s="517" t="s">
        <v>462</v>
      </c>
      <c r="O44" s="517" t="s">
        <v>462</v>
      </c>
      <c r="P44" s="517" t="s">
        <v>462</v>
      </c>
      <c r="Q44" s="517" t="s">
        <v>462</v>
      </c>
      <c r="R44" s="517" t="s">
        <v>462</v>
      </c>
      <c r="S44" s="517" t="s">
        <v>462</v>
      </c>
      <c r="T44" s="517" t="s">
        <v>462</v>
      </c>
      <c r="U44" s="517" t="s">
        <v>462</v>
      </c>
      <c r="V44" s="517" t="s">
        <v>462</v>
      </c>
      <c r="W44" s="517" t="s">
        <v>462</v>
      </c>
      <c r="X44" s="517" t="s">
        <v>462</v>
      </c>
      <c r="Y44" s="517" t="s">
        <v>462</v>
      </c>
      <c r="Z44" s="517" t="s">
        <v>462</v>
      </c>
      <c r="AA44" s="518">
        <f>SUM(AA10:AA43)</f>
        <v>250</v>
      </c>
      <c r="AB44" s="517" t="s">
        <v>462</v>
      </c>
      <c r="AC44" s="517" t="s">
        <v>462</v>
      </c>
      <c r="AD44" s="517" t="s">
        <v>462</v>
      </c>
      <c r="AE44" s="517" t="s">
        <v>462</v>
      </c>
      <c r="AF44" s="517" t="s">
        <v>462</v>
      </c>
      <c r="AG44" s="517" t="s">
        <v>462</v>
      </c>
      <c r="AH44" s="356">
        <f>SUM(AH10:AH43)</f>
        <v>490</v>
      </c>
      <c r="AI44" s="363"/>
      <c r="AJ44" s="363"/>
      <c r="AK44" s="356"/>
      <c r="AL44" s="356"/>
    </row>
    <row r="45" spans="1:40" s="228" customFormat="1" ht="31.5" customHeight="1">
      <c r="A45" s="357"/>
      <c r="B45" s="358"/>
      <c r="C45" s="519"/>
      <c r="D45" s="519"/>
      <c r="E45" s="519"/>
      <c r="F45" s="519"/>
      <c r="G45" s="519"/>
      <c r="H45" s="519"/>
      <c r="I45" s="519"/>
      <c r="J45" s="519"/>
      <c r="K45" s="519"/>
      <c r="L45" s="519"/>
      <c r="M45" s="519"/>
      <c r="N45" s="519"/>
      <c r="O45" s="519"/>
      <c r="P45" s="519"/>
      <c r="Q45" s="519"/>
      <c r="R45" s="519"/>
      <c r="S45" s="519"/>
      <c r="T45" s="519"/>
      <c r="U45" s="519"/>
      <c r="V45" s="519"/>
      <c r="W45" s="519"/>
      <c r="X45" s="519"/>
      <c r="Y45" s="519"/>
      <c r="Z45" s="519"/>
      <c r="AA45" s="1275" t="s">
        <v>483</v>
      </c>
      <c r="AB45" s="1275"/>
      <c r="AC45" s="1275"/>
      <c r="AD45" s="1275"/>
      <c r="AE45" s="1275"/>
      <c r="AF45" s="1275"/>
      <c r="AG45" s="1275"/>
      <c r="AH45" s="1275"/>
      <c r="AI45" s="1275"/>
      <c r="AJ45" s="1275"/>
      <c r="AK45" s="1275"/>
      <c r="AL45" s="1275"/>
    </row>
    <row r="46" spans="1:40" s="236" customFormat="1" ht="7.5" customHeight="1">
      <c r="A46" s="228"/>
      <c r="B46" s="229"/>
      <c r="C46" s="520"/>
      <c r="D46" s="520"/>
      <c r="E46" s="520"/>
      <c r="F46" s="520"/>
      <c r="G46" s="520"/>
      <c r="H46" s="520"/>
      <c r="I46" s="520"/>
      <c r="J46" s="520"/>
      <c r="K46" s="520"/>
      <c r="L46" s="520"/>
      <c r="M46" s="520"/>
      <c r="N46" s="520"/>
      <c r="O46" s="520"/>
      <c r="P46" s="520"/>
      <c r="Q46" s="520"/>
      <c r="R46" s="520"/>
      <c r="S46" s="520"/>
      <c r="T46" s="520"/>
      <c r="U46" s="520"/>
      <c r="V46" s="520"/>
      <c r="W46" s="520"/>
      <c r="X46" s="520"/>
      <c r="Y46" s="520"/>
      <c r="Z46" s="520"/>
      <c r="AA46" s="520"/>
      <c r="AB46" s="520"/>
      <c r="AC46" s="1276"/>
      <c r="AD46" s="1276"/>
      <c r="AE46" s="1276"/>
      <c r="AF46" s="1276"/>
      <c r="AG46" s="1276"/>
      <c r="AH46" s="1276"/>
      <c r="AI46" s="1276"/>
      <c r="AJ46" s="1276"/>
      <c r="AK46" s="1276"/>
      <c r="AL46" s="1276"/>
      <c r="AM46" s="1276"/>
      <c r="AN46" s="228"/>
    </row>
    <row r="47" spans="1:40" s="1063" customFormat="1" ht="28.5" customHeight="1">
      <c r="A47" s="1061"/>
      <c r="B47" s="1268" t="s">
        <v>35</v>
      </c>
      <c r="C47" s="1268"/>
      <c r="D47" s="1268"/>
      <c r="E47" s="1268"/>
      <c r="F47" s="1268"/>
      <c r="G47" s="1062"/>
      <c r="I47" s="1268" t="s">
        <v>517</v>
      </c>
      <c r="J47" s="1268"/>
      <c r="K47" s="1268"/>
      <c r="L47" s="1268"/>
      <c r="M47" s="1062"/>
      <c r="O47" s="1064"/>
      <c r="P47" s="1065" t="s">
        <v>516</v>
      </c>
      <c r="Q47" s="1064"/>
      <c r="R47" s="1064"/>
      <c r="S47" s="1064"/>
      <c r="U47" s="1268" t="s">
        <v>437</v>
      </c>
      <c r="V47" s="1268"/>
      <c r="W47" s="1268"/>
      <c r="X47" s="1268"/>
      <c r="Y47" s="1268"/>
      <c r="Z47" s="1064"/>
      <c r="AA47" s="1064"/>
      <c r="AB47" s="1268" t="s">
        <v>108</v>
      </c>
      <c r="AC47" s="1268"/>
      <c r="AD47" s="1268"/>
      <c r="AE47" s="1268"/>
      <c r="AF47" s="1268"/>
      <c r="AG47" s="1067" t="s">
        <v>33</v>
      </c>
      <c r="AH47" s="1286" t="s">
        <v>33</v>
      </c>
      <c r="AI47" s="1286"/>
      <c r="AJ47" s="1286"/>
      <c r="AK47" s="1286"/>
      <c r="AL47" s="1286"/>
      <c r="AM47" s="1067"/>
      <c r="AN47" s="1065"/>
    </row>
    <row r="49" spans="1:38">
      <c r="C49" s="1066"/>
      <c r="D49" s="1066"/>
      <c r="E49" s="1066"/>
      <c r="F49" s="1066"/>
      <c r="G49" s="1066"/>
      <c r="H49" s="1066"/>
      <c r="I49" s="1066"/>
      <c r="J49" s="1066"/>
      <c r="K49" s="1066"/>
      <c r="L49" s="1066"/>
      <c r="M49" s="1066"/>
      <c r="N49" s="1066"/>
      <c r="O49" s="1066"/>
      <c r="P49" s="1066"/>
      <c r="Q49" s="1066"/>
      <c r="R49" s="1066"/>
      <c r="S49" s="1066"/>
      <c r="T49" s="1066"/>
      <c r="U49" s="1066"/>
      <c r="V49" s="1066"/>
      <c r="W49" s="1066"/>
      <c r="X49" s="1066"/>
      <c r="Y49" s="1066"/>
      <c r="Z49" s="1066"/>
      <c r="AA49" s="1066"/>
      <c r="AB49" s="1066"/>
      <c r="AC49" s="1066"/>
      <c r="AD49" s="1066"/>
      <c r="AE49" s="1066"/>
      <c r="AF49" s="1066"/>
      <c r="AG49" s="1066"/>
      <c r="AH49" s="1066"/>
      <c r="AI49" s="1066"/>
      <c r="AJ49" s="1066"/>
      <c r="AK49" s="233"/>
    </row>
    <row r="50" spans="1:38">
      <c r="C50" s="1066"/>
      <c r="D50" s="1066"/>
      <c r="E50" s="1066"/>
      <c r="F50" s="1066"/>
      <c r="G50" s="1066"/>
      <c r="H50" s="1066"/>
      <c r="I50" s="1066"/>
      <c r="J50" s="1066"/>
      <c r="K50" s="1066"/>
      <c r="L50" s="1066"/>
      <c r="M50" s="1066"/>
      <c r="N50" s="1066"/>
      <c r="O50" s="1066"/>
      <c r="P50" s="1066"/>
      <c r="Q50" s="1066"/>
      <c r="R50" s="1066"/>
      <c r="S50" s="1066"/>
      <c r="T50" s="1066"/>
      <c r="U50" s="1066"/>
      <c r="V50" s="1066"/>
      <c r="W50" s="1066"/>
      <c r="X50" s="1066"/>
      <c r="Y50" s="1066"/>
      <c r="Z50" s="1066"/>
      <c r="AA50" s="1066"/>
      <c r="AB50" s="1066"/>
      <c r="AC50" s="1066"/>
      <c r="AD50" s="1066"/>
      <c r="AE50" s="1066"/>
      <c r="AF50" s="1066"/>
      <c r="AG50" s="1066"/>
      <c r="AH50" s="1066"/>
      <c r="AI50" s="1066"/>
      <c r="AJ50" s="1066"/>
      <c r="AK50" s="233"/>
    </row>
    <row r="51" spans="1:38">
      <c r="C51" s="1066"/>
      <c r="D51" s="1066"/>
      <c r="E51" s="1066"/>
      <c r="F51" s="1066"/>
      <c r="G51" s="1066"/>
      <c r="H51" s="1066"/>
      <c r="I51" s="1066"/>
      <c r="J51" s="1066"/>
      <c r="K51" s="1066"/>
      <c r="L51" s="1066"/>
      <c r="M51" s="1066"/>
      <c r="N51" s="1066"/>
      <c r="O51" s="1066"/>
      <c r="P51" s="1066"/>
      <c r="Q51" s="1066"/>
      <c r="R51" s="1066"/>
      <c r="S51" s="1066"/>
      <c r="T51" s="1066"/>
      <c r="U51" s="1066"/>
      <c r="V51" s="1066"/>
      <c r="W51" s="1066"/>
      <c r="X51" s="1066"/>
      <c r="Y51" s="1066"/>
      <c r="Z51" s="1066"/>
      <c r="AA51" s="1066"/>
      <c r="AB51" s="1066"/>
      <c r="AC51" s="1066"/>
      <c r="AD51" s="1066"/>
      <c r="AE51" s="1066"/>
      <c r="AF51" s="1066"/>
      <c r="AG51" s="1066"/>
      <c r="AH51" s="1066"/>
      <c r="AI51" s="1066"/>
      <c r="AJ51" s="1066"/>
      <c r="AK51" s="233"/>
    </row>
    <row r="52" spans="1:38">
      <c r="C52" s="1066"/>
      <c r="D52" s="1066"/>
      <c r="E52" s="1066"/>
      <c r="F52" s="1066"/>
      <c r="G52" s="1066"/>
      <c r="H52" s="1066"/>
      <c r="I52" s="1066"/>
      <c r="J52" s="1066"/>
      <c r="K52" s="1066"/>
      <c r="L52" s="1066"/>
      <c r="M52" s="1066"/>
      <c r="N52" s="1066"/>
      <c r="O52" s="1066"/>
      <c r="P52" s="1066"/>
      <c r="Q52" s="1066"/>
      <c r="R52" s="1066"/>
      <c r="S52" s="1066"/>
      <c r="T52" s="1066"/>
      <c r="U52" s="1066"/>
      <c r="V52" s="1066"/>
      <c r="W52" s="1066"/>
      <c r="X52" s="1066"/>
      <c r="Y52" s="1066"/>
      <c r="Z52" s="1066"/>
      <c r="AA52" s="1066"/>
      <c r="AB52" s="1066"/>
      <c r="AC52" s="1066"/>
      <c r="AD52" s="1066"/>
      <c r="AE52" s="1066"/>
      <c r="AF52" s="1066"/>
      <c r="AG52" s="1066"/>
      <c r="AH52" s="1066"/>
      <c r="AI52" s="1066"/>
      <c r="AJ52" s="1066"/>
      <c r="AK52" s="233"/>
    </row>
    <row r="53" spans="1:38">
      <c r="B53" s="235"/>
      <c r="C53" s="1066"/>
      <c r="D53" s="1066"/>
      <c r="E53" s="1066"/>
      <c r="F53" s="1066"/>
      <c r="G53" s="1066"/>
      <c r="H53" s="1066"/>
      <c r="I53" s="1066"/>
      <c r="J53" s="1066"/>
      <c r="K53" s="1066"/>
      <c r="L53" s="1066"/>
      <c r="M53" s="1066"/>
      <c r="N53" s="1066"/>
      <c r="O53" s="1066"/>
      <c r="P53" s="1066"/>
      <c r="Q53" s="1066"/>
      <c r="R53" s="1066"/>
      <c r="S53" s="1066"/>
      <c r="T53" s="1066"/>
      <c r="U53" s="1066"/>
      <c r="V53" s="1066"/>
      <c r="W53" s="1066"/>
      <c r="X53" s="1066"/>
      <c r="Y53" s="1066"/>
      <c r="Z53" s="1066"/>
      <c r="AA53" s="1066"/>
      <c r="AB53" s="1066"/>
      <c r="AC53" s="1066"/>
      <c r="AD53" s="1066"/>
      <c r="AE53" s="1066"/>
      <c r="AF53" s="1066"/>
      <c r="AG53" s="1066"/>
      <c r="AH53" s="1066"/>
      <c r="AI53" s="1066"/>
      <c r="AJ53" s="1066"/>
      <c r="AK53" s="233"/>
    </row>
    <row r="54" spans="1:38">
      <c r="C54" s="1066"/>
      <c r="D54" s="1066"/>
      <c r="E54" s="1066"/>
      <c r="F54" s="1066"/>
      <c r="G54" s="1066"/>
      <c r="H54" s="1066"/>
      <c r="I54" s="1066"/>
      <c r="J54" s="1066"/>
      <c r="K54" s="1066"/>
      <c r="L54" s="1066"/>
      <c r="M54" s="1066"/>
      <c r="N54" s="1066"/>
      <c r="O54" s="1066"/>
      <c r="P54" s="1066"/>
      <c r="Q54" s="1066"/>
      <c r="R54" s="1066"/>
      <c r="S54" s="1066"/>
      <c r="T54" s="1066"/>
      <c r="U54" s="1066"/>
      <c r="V54" s="1066"/>
      <c r="W54" s="1066"/>
      <c r="X54" s="1066"/>
      <c r="Y54" s="1066"/>
      <c r="Z54" s="1066"/>
      <c r="AA54" s="1066"/>
      <c r="AB54" s="1066"/>
      <c r="AC54" s="1066"/>
      <c r="AD54" s="1066"/>
      <c r="AE54" s="1066"/>
      <c r="AF54" s="1066"/>
      <c r="AG54" s="1066"/>
      <c r="AH54" s="1066"/>
      <c r="AI54" s="1066"/>
      <c r="AJ54" s="1066"/>
      <c r="AK54" s="233"/>
    </row>
    <row r="55" spans="1:38">
      <c r="C55" s="1066"/>
      <c r="D55" s="1066"/>
      <c r="E55" s="1066"/>
      <c r="F55" s="1066"/>
      <c r="G55" s="1066"/>
      <c r="H55" s="1066"/>
      <c r="I55" s="1066"/>
      <c r="J55" s="1066"/>
      <c r="K55" s="1066"/>
      <c r="L55" s="1066"/>
      <c r="M55" s="1066"/>
      <c r="N55" s="1066"/>
      <c r="O55" s="1066"/>
      <c r="P55" s="1066"/>
      <c r="Q55" s="1066"/>
      <c r="R55" s="1066"/>
      <c r="S55" s="1066"/>
      <c r="T55" s="1066"/>
      <c r="U55" s="1066"/>
      <c r="V55" s="1066"/>
      <c r="W55" s="1066"/>
      <c r="X55" s="1066"/>
      <c r="Y55" s="1066"/>
      <c r="Z55" s="1066"/>
      <c r="AA55" s="1066"/>
      <c r="AB55" s="1066"/>
      <c r="AC55" s="1066"/>
      <c r="AD55" s="1066"/>
      <c r="AE55" s="1066"/>
      <c r="AF55" s="1066"/>
      <c r="AG55" s="1066"/>
      <c r="AH55" s="1066"/>
      <c r="AI55" s="1066"/>
      <c r="AJ55" s="1066"/>
      <c r="AK55" s="233"/>
    </row>
    <row r="57" spans="1:38" ht="0.75" customHeight="1"/>
    <row r="62" spans="1:38" s="1065" customFormat="1" ht="33.75" customHeight="1">
      <c r="A62" s="1061"/>
      <c r="B62" s="1068"/>
      <c r="C62" s="1064"/>
      <c r="D62" s="1064"/>
      <c r="E62" s="1064"/>
      <c r="F62" s="1064"/>
      <c r="G62" s="1064"/>
      <c r="H62" s="1064"/>
      <c r="I62" s="1269" t="s">
        <v>524</v>
      </c>
      <c r="J62" s="1269"/>
      <c r="K62" s="1269"/>
      <c r="L62" s="1269"/>
      <c r="M62" s="1064"/>
      <c r="N62" s="1064"/>
      <c r="O62" s="1064"/>
      <c r="P62" s="1064"/>
      <c r="Q62" s="1064"/>
      <c r="R62" s="1064"/>
      <c r="S62" s="1064"/>
      <c r="T62" s="1064"/>
      <c r="U62" s="1269" t="s">
        <v>110</v>
      </c>
      <c r="V62" s="1269"/>
      <c r="W62" s="1269"/>
      <c r="X62" s="1269"/>
      <c r="Y62" s="1269"/>
      <c r="Z62" s="1064"/>
      <c r="AA62" s="1064"/>
      <c r="AB62" s="1269" t="s">
        <v>290</v>
      </c>
      <c r="AC62" s="1269"/>
      <c r="AD62" s="1269"/>
      <c r="AE62" s="1269"/>
      <c r="AF62" s="1269"/>
      <c r="AG62" s="1064"/>
      <c r="AH62" s="1268" t="s">
        <v>314</v>
      </c>
      <c r="AI62" s="1268"/>
      <c r="AJ62" s="1268"/>
      <c r="AK62" s="1268"/>
      <c r="AL62" s="1268"/>
    </row>
  </sheetData>
  <mergeCells count="28">
    <mergeCell ref="B47:F47"/>
    <mergeCell ref="AA45:AL45"/>
    <mergeCell ref="AC46:AM46"/>
    <mergeCell ref="A6:AL6"/>
    <mergeCell ref="AH7:AL7"/>
    <mergeCell ref="A8:A9"/>
    <mergeCell ref="B8:B9"/>
    <mergeCell ref="C8:AG8"/>
    <mergeCell ref="AH8:AH9"/>
    <mergeCell ref="AI8:AI9"/>
    <mergeCell ref="AJ8:AJ9"/>
    <mergeCell ref="AK8:AK9"/>
    <mergeCell ref="AL8:AL9"/>
    <mergeCell ref="AH47:AL47"/>
    <mergeCell ref="A1:AL1"/>
    <mergeCell ref="A2:AL2"/>
    <mergeCell ref="A4:M4"/>
    <mergeCell ref="X4:AL4"/>
    <mergeCell ref="A5:M5"/>
    <mergeCell ref="X5:AL5"/>
    <mergeCell ref="A3:AL3"/>
    <mergeCell ref="AH62:AL62"/>
    <mergeCell ref="I47:L47"/>
    <mergeCell ref="I62:L62"/>
    <mergeCell ref="U47:Y47"/>
    <mergeCell ref="U62:Y62"/>
    <mergeCell ref="AB47:AF47"/>
    <mergeCell ref="AB62:AF62"/>
  </mergeCells>
  <pageMargins left="0.19685039370078741" right="0" top="0.4" bottom="0.2" header="0.2" footer="0.2"/>
  <pageSetup paperSize="9" scale="50"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88402966399123"/>
  </sheetPr>
  <dimension ref="A1:AQ395"/>
  <sheetViews>
    <sheetView topLeftCell="A6" zoomScale="85" zoomScaleNormal="85" zoomScaleSheetLayoutView="78" workbookViewId="0">
      <selection activeCell="Z16" sqref="Z16:AI16"/>
    </sheetView>
  </sheetViews>
  <sheetFormatPr defaultColWidth="9" defaultRowHeight="16.5" outlineLevelRow="1"/>
  <cols>
    <col min="1" max="1" width="17.7109375" style="1131" customWidth="1"/>
    <col min="2" max="5" width="4.5703125" style="1131" customWidth="1"/>
    <col min="6" max="6" width="5.7109375" style="1131" customWidth="1"/>
    <col min="7" max="32" width="4.5703125" style="1131" customWidth="1"/>
    <col min="33" max="34" width="7.7109375" style="1131" customWidth="1"/>
    <col min="35" max="35" width="20.5703125" style="1131" customWidth="1"/>
    <col min="36" max="36" width="11.140625" style="1131" customWidth="1"/>
    <col min="37" max="37" width="9.5703125" style="1131" customWidth="1"/>
    <col min="38" max="16384" width="9" style="1131"/>
  </cols>
  <sheetData>
    <row r="1" spans="1:43" ht="23.1" customHeight="1">
      <c r="A1" s="1289" t="s">
        <v>578</v>
      </c>
      <c r="B1" s="1289"/>
      <c r="C1" s="1289"/>
      <c r="D1" s="1289"/>
      <c r="E1" s="1289"/>
      <c r="F1" s="1289"/>
      <c r="G1" s="1289"/>
      <c r="H1" s="1289"/>
      <c r="I1" s="1289"/>
      <c r="J1" s="1289"/>
      <c r="K1" s="1289"/>
      <c r="L1" s="1289"/>
      <c r="M1" s="1289"/>
      <c r="N1" s="1289"/>
      <c r="O1" s="1289"/>
      <c r="P1" s="1289"/>
      <c r="Q1" s="1289"/>
      <c r="R1" s="1289"/>
      <c r="S1" s="1289"/>
      <c r="T1" s="1289"/>
      <c r="U1" s="1289"/>
      <c r="V1" s="1289"/>
      <c r="W1" s="1289"/>
      <c r="X1" s="1289"/>
      <c r="Y1" s="1289"/>
      <c r="Z1" s="1289"/>
      <c r="AA1" s="1289"/>
      <c r="AB1" s="1289"/>
      <c r="AC1" s="1289"/>
      <c r="AD1" s="1289"/>
      <c r="AE1" s="1289"/>
      <c r="AF1" s="1289"/>
      <c r="AG1" s="1289"/>
      <c r="AH1" s="1289"/>
      <c r="AI1" s="1289"/>
      <c r="AJ1" s="1130"/>
      <c r="AK1" s="1130"/>
      <c r="AL1" s="1130"/>
      <c r="AM1" s="1130"/>
      <c r="AN1" s="1130"/>
      <c r="AO1" s="1130"/>
    </row>
    <row r="2" spans="1:43" ht="23.1" customHeight="1">
      <c r="A2" s="1289" t="s">
        <v>1</v>
      </c>
      <c r="B2" s="1289"/>
      <c r="C2" s="1289"/>
      <c r="D2" s="1289"/>
      <c r="E2" s="1289"/>
      <c r="F2" s="1289"/>
      <c r="G2" s="1289"/>
      <c r="H2" s="1289"/>
      <c r="I2" s="1289"/>
      <c r="J2" s="1289"/>
      <c r="K2" s="1289"/>
      <c r="L2" s="1289"/>
      <c r="M2" s="1289"/>
      <c r="N2" s="1289"/>
      <c r="O2" s="1289"/>
      <c r="P2" s="1289"/>
      <c r="Q2" s="1289"/>
      <c r="R2" s="1289"/>
      <c r="S2" s="1289"/>
      <c r="T2" s="1289"/>
      <c r="U2" s="1289"/>
      <c r="V2" s="1289"/>
      <c r="W2" s="1289"/>
      <c r="X2" s="1289"/>
      <c r="Y2" s="1289"/>
      <c r="Z2" s="1289"/>
      <c r="AA2" s="1289"/>
      <c r="AB2" s="1289"/>
      <c r="AC2" s="1289"/>
      <c r="AD2" s="1289"/>
      <c r="AE2" s="1289"/>
      <c r="AF2" s="1289"/>
      <c r="AG2" s="1289"/>
      <c r="AH2" s="1289"/>
      <c r="AI2" s="1289"/>
      <c r="AJ2" s="1130"/>
      <c r="AK2" s="1130"/>
      <c r="AL2" s="1130"/>
      <c r="AM2" s="1130"/>
      <c r="AN2" s="1130"/>
      <c r="AO2" s="1130"/>
    </row>
    <row r="3" spans="1:43" ht="23.1" customHeight="1">
      <c r="A3" s="1300" t="s">
        <v>39</v>
      </c>
      <c r="B3" s="1289"/>
      <c r="C3" s="1289"/>
      <c r="D3" s="1289"/>
      <c r="E3" s="1289"/>
      <c r="F3" s="1289"/>
      <c r="G3" s="1289"/>
      <c r="H3" s="1289"/>
      <c r="I3" s="1289"/>
      <c r="J3" s="1289"/>
      <c r="K3" s="1289"/>
      <c r="L3" s="1289"/>
      <c r="M3" s="1289"/>
      <c r="N3" s="1289"/>
      <c r="O3" s="1289"/>
      <c r="P3" s="1289"/>
      <c r="Q3" s="1289"/>
      <c r="R3" s="1289"/>
      <c r="S3" s="1289"/>
      <c r="T3" s="1289"/>
      <c r="U3" s="1289"/>
      <c r="V3" s="1289"/>
      <c r="W3" s="1289"/>
      <c r="X3" s="1289"/>
      <c r="Y3" s="1289"/>
      <c r="Z3" s="1289"/>
      <c r="AA3" s="1289"/>
      <c r="AB3" s="1289"/>
      <c r="AC3" s="1289"/>
      <c r="AD3" s="1289"/>
      <c r="AE3" s="1289"/>
      <c r="AF3" s="1289"/>
      <c r="AG3" s="1289"/>
      <c r="AH3" s="1289"/>
      <c r="AI3" s="1289"/>
      <c r="AJ3" s="1130"/>
      <c r="AK3" s="1130"/>
      <c r="AL3" s="1130"/>
      <c r="AM3" s="1130"/>
      <c r="AN3" s="1130"/>
      <c r="AO3" s="1130"/>
    </row>
    <row r="4" spans="1:43" ht="23.1" customHeight="1">
      <c r="A4" s="1301" t="s">
        <v>115</v>
      </c>
      <c r="B4" s="1301"/>
      <c r="C4" s="1301"/>
      <c r="D4" s="1301"/>
      <c r="E4" s="1301"/>
      <c r="F4" s="1301"/>
      <c r="G4" s="1301"/>
      <c r="H4" s="1301"/>
      <c r="I4" s="1301"/>
      <c r="J4" s="1301"/>
      <c r="K4" s="1301"/>
      <c r="L4" s="1132"/>
      <c r="M4" s="1132"/>
      <c r="N4" s="1132"/>
      <c r="O4" s="1132"/>
      <c r="P4" s="1132"/>
      <c r="Q4" s="1132"/>
      <c r="R4" s="1132"/>
      <c r="S4" s="1132"/>
      <c r="T4" s="1130"/>
      <c r="U4" s="1130"/>
      <c r="V4" s="1130"/>
      <c r="W4" s="1130"/>
      <c r="X4" s="1130"/>
      <c r="Y4" s="1130"/>
      <c r="Z4" s="1130"/>
      <c r="AA4" s="1130"/>
      <c r="AB4" s="1130"/>
      <c r="AC4" s="1130"/>
      <c r="AD4" s="1130"/>
      <c r="AE4" s="1130"/>
      <c r="AF4" s="1130"/>
      <c r="AG4" s="1130"/>
      <c r="AH4" s="1130"/>
      <c r="AI4" s="1130"/>
      <c r="AJ4" s="1130"/>
      <c r="AK4" s="1130"/>
      <c r="AL4" s="1130"/>
      <c r="AM4" s="1130"/>
      <c r="AN4" s="1130"/>
      <c r="AO4" s="1130"/>
    </row>
    <row r="5" spans="1:43" ht="23.1" customHeight="1">
      <c r="A5" s="1289" t="s">
        <v>223</v>
      </c>
      <c r="B5" s="1289"/>
      <c r="C5" s="1289"/>
      <c r="D5" s="1289"/>
      <c r="E5" s="1289"/>
      <c r="F5" s="1289"/>
      <c r="G5" s="1289"/>
      <c r="H5" s="1289"/>
      <c r="I5" s="1289"/>
      <c r="J5" s="1289"/>
      <c r="K5" s="1289"/>
      <c r="L5" s="1130"/>
      <c r="M5" s="1130"/>
      <c r="N5" s="1130"/>
      <c r="O5" s="1130"/>
      <c r="P5" s="1130"/>
      <c r="Q5" s="1132"/>
      <c r="R5" s="1132"/>
      <c r="S5" s="1132"/>
      <c r="T5" s="1130"/>
      <c r="U5" s="1130"/>
      <c r="V5" s="1130"/>
      <c r="W5" s="1130"/>
      <c r="X5" s="1130"/>
      <c r="Y5" s="1130"/>
      <c r="Z5" s="1130"/>
      <c r="AA5" s="1130"/>
      <c r="AB5" s="1130"/>
      <c r="AC5" s="1130"/>
      <c r="AD5" s="1130"/>
      <c r="AE5" s="1130"/>
      <c r="AF5" s="1130"/>
      <c r="AG5" s="1130"/>
      <c r="AH5" s="1130"/>
      <c r="AI5" s="1130"/>
      <c r="AJ5" s="1130"/>
      <c r="AK5" s="1130"/>
      <c r="AL5" s="1130"/>
      <c r="AM5" s="1130"/>
      <c r="AN5" s="1130"/>
      <c r="AO5" s="1130"/>
    </row>
    <row r="6" spans="1:43" ht="29.1" customHeight="1">
      <c r="A6" s="1133"/>
      <c r="B6" s="1133"/>
      <c r="C6" s="1133"/>
      <c r="D6" s="1133"/>
      <c r="E6" s="1130"/>
      <c r="F6" s="1133"/>
      <c r="G6" s="1133"/>
      <c r="H6" s="1133"/>
      <c r="I6" s="1133"/>
      <c r="J6" s="1133"/>
      <c r="K6" s="1133"/>
      <c r="L6" s="1133"/>
      <c r="M6" s="1133"/>
      <c r="N6" s="1132"/>
      <c r="O6" s="1132"/>
      <c r="P6" s="1132"/>
      <c r="Q6" s="1132"/>
      <c r="R6" s="1132"/>
      <c r="S6" s="1132"/>
      <c r="T6" s="1130"/>
      <c r="U6" s="1130"/>
      <c r="V6" s="1130"/>
      <c r="W6" s="1130"/>
      <c r="X6" s="1130"/>
      <c r="Y6" s="1130"/>
      <c r="Z6" s="1130"/>
      <c r="AA6" s="1130"/>
      <c r="AB6" s="1130"/>
      <c r="AC6" s="1130"/>
      <c r="AD6" s="1130"/>
      <c r="AE6" s="1130"/>
      <c r="AF6" s="1130"/>
      <c r="AG6" s="1130"/>
      <c r="AH6" s="1130"/>
      <c r="AI6" s="1130"/>
      <c r="AJ6" s="1130"/>
      <c r="AK6" s="1130"/>
      <c r="AL6" s="1130"/>
      <c r="AM6" s="1130"/>
      <c r="AN6" s="1130"/>
      <c r="AO6" s="1130"/>
    </row>
    <row r="7" spans="1:43" ht="29.1" customHeight="1">
      <c r="A7" s="1299" t="s">
        <v>579</v>
      </c>
      <c r="B7" s="1299"/>
      <c r="C7" s="1299"/>
      <c r="D7" s="1299"/>
      <c r="E7" s="1299"/>
      <c r="F7" s="1299"/>
      <c r="G7" s="1299"/>
      <c r="H7" s="1299"/>
      <c r="I7" s="1299"/>
      <c r="J7" s="1299"/>
      <c r="K7" s="1299"/>
      <c r="L7" s="1299"/>
      <c r="M7" s="1299"/>
      <c r="N7" s="1299"/>
      <c r="O7" s="1299"/>
      <c r="P7" s="1299"/>
      <c r="Q7" s="1299"/>
      <c r="R7" s="1299"/>
      <c r="S7" s="1299"/>
      <c r="T7" s="1299"/>
      <c r="U7" s="1299"/>
      <c r="V7" s="1299"/>
      <c r="W7" s="1299"/>
      <c r="X7" s="1299"/>
      <c r="Y7" s="1299"/>
      <c r="Z7" s="1299"/>
      <c r="AA7" s="1299"/>
      <c r="AB7" s="1299"/>
      <c r="AC7" s="1299"/>
      <c r="AD7" s="1299"/>
      <c r="AE7" s="1299"/>
      <c r="AF7" s="1299"/>
      <c r="AG7" s="1299"/>
      <c r="AH7" s="1299"/>
      <c r="AI7" s="1299"/>
      <c r="AJ7" s="1130"/>
      <c r="AK7" s="1130"/>
      <c r="AL7" s="1130"/>
      <c r="AM7" s="1130"/>
      <c r="AN7" s="1130"/>
      <c r="AO7" s="1130"/>
    </row>
    <row r="8" spans="1:43" ht="29.1" customHeight="1">
      <c r="A8" s="1291" t="s">
        <v>580</v>
      </c>
      <c r="B8" s="1291"/>
      <c r="C8" s="1291"/>
      <c r="D8" s="1291"/>
      <c r="E8" s="1291"/>
      <c r="F8" s="1291"/>
      <c r="G8" s="1291"/>
      <c r="H8" s="1291"/>
      <c r="I8" s="1291"/>
      <c r="J8" s="1291"/>
      <c r="K8" s="1291"/>
      <c r="L8" s="1291"/>
      <c r="M8" s="1291"/>
      <c r="N8" s="1291"/>
      <c r="O8" s="1291"/>
      <c r="P8" s="1291"/>
      <c r="Q8" s="1291"/>
      <c r="R8" s="1291"/>
      <c r="S8" s="1291"/>
      <c r="T8" s="1291"/>
      <c r="U8" s="1291"/>
      <c r="V8" s="1291"/>
      <c r="W8" s="1291"/>
      <c r="X8" s="1291"/>
      <c r="Y8" s="1291"/>
      <c r="Z8" s="1291"/>
      <c r="AA8" s="1291"/>
      <c r="AB8" s="1291"/>
      <c r="AC8" s="1291"/>
      <c r="AD8" s="1291"/>
      <c r="AE8" s="1291"/>
      <c r="AF8" s="1291"/>
      <c r="AG8" s="1291"/>
      <c r="AH8" s="1291"/>
      <c r="AI8" s="1291"/>
      <c r="AJ8" s="1134"/>
      <c r="AK8" s="1134"/>
      <c r="AL8" s="1134"/>
      <c r="AM8" s="1134"/>
      <c r="AN8" s="1134"/>
      <c r="AO8" s="1134"/>
    </row>
    <row r="9" spans="1:43" s="1138" customFormat="1" ht="41.1" customHeight="1">
      <c r="A9" s="1292" t="s">
        <v>581</v>
      </c>
      <c r="B9" s="1294" t="s">
        <v>60</v>
      </c>
      <c r="C9" s="1294"/>
      <c r="D9" s="1294"/>
      <c r="E9" s="1294"/>
      <c r="F9" s="1294"/>
      <c r="G9" s="1294"/>
      <c r="H9" s="1294"/>
      <c r="I9" s="1294"/>
      <c r="J9" s="1294"/>
      <c r="K9" s="1294"/>
      <c r="L9" s="1294"/>
      <c r="M9" s="1294"/>
      <c r="N9" s="1294"/>
      <c r="O9" s="1294"/>
      <c r="P9" s="1294"/>
      <c r="Q9" s="1294"/>
      <c r="R9" s="1294"/>
      <c r="S9" s="1294"/>
      <c r="T9" s="1294"/>
      <c r="U9" s="1294"/>
      <c r="V9" s="1294"/>
      <c r="W9" s="1294"/>
      <c r="X9" s="1294"/>
      <c r="Y9" s="1294"/>
      <c r="Z9" s="1294"/>
      <c r="AA9" s="1294"/>
      <c r="AB9" s="1294"/>
      <c r="AC9" s="1294"/>
      <c r="AD9" s="1294"/>
      <c r="AE9" s="1294"/>
      <c r="AF9" s="1294"/>
      <c r="AG9" s="1295" t="s">
        <v>582</v>
      </c>
      <c r="AH9" s="1295" t="s">
        <v>583</v>
      </c>
      <c r="AI9" s="1296" t="s">
        <v>5</v>
      </c>
      <c r="AJ9" s="1135" t="s">
        <v>584</v>
      </c>
      <c r="AK9" s="1136">
        <v>40.586752136752139</v>
      </c>
      <c r="AL9" s="1137">
        <v>102</v>
      </c>
      <c r="AM9" s="1138">
        <v>57.369</v>
      </c>
    </row>
    <row r="10" spans="1:43" s="1138" customFormat="1" ht="41.1" customHeight="1">
      <c r="A10" s="1293"/>
      <c r="B10" s="1139">
        <v>1</v>
      </c>
      <c r="C10" s="1139">
        <v>2</v>
      </c>
      <c r="D10" s="1139">
        <v>3</v>
      </c>
      <c r="E10" s="1139">
        <v>4</v>
      </c>
      <c r="F10" s="1139">
        <v>5</v>
      </c>
      <c r="G10" s="1139">
        <v>6</v>
      </c>
      <c r="H10" s="1139">
        <v>7</v>
      </c>
      <c r="I10" s="1139">
        <v>8</v>
      </c>
      <c r="J10" s="1139">
        <v>9</v>
      </c>
      <c r="K10" s="1139">
        <v>10</v>
      </c>
      <c r="L10" s="1139">
        <v>11</v>
      </c>
      <c r="M10" s="1139">
        <v>12</v>
      </c>
      <c r="N10" s="1139">
        <v>13</v>
      </c>
      <c r="O10" s="1139">
        <v>14</v>
      </c>
      <c r="P10" s="1139">
        <v>15</v>
      </c>
      <c r="Q10" s="1139">
        <v>16</v>
      </c>
      <c r="R10" s="1139">
        <v>17</v>
      </c>
      <c r="S10" s="1139">
        <v>18</v>
      </c>
      <c r="T10" s="1139">
        <v>19</v>
      </c>
      <c r="U10" s="1139">
        <v>20</v>
      </c>
      <c r="V10" s="1139">
        <v>21</v>
      </c>
      <c r="W10" s="1139">
        <v>22</v>
      </c>
      <c r="X10" s="1139">
        <v>23</v>
      </c>
      <c r="Y10" s="1139">
        <v>24</v>
      </c>
      <c r="Z10" s="1139">
        <v>25</v>
      </c>
      <c r="AA10" s="1139">
        <v>26</v>
      </c>
      <c r="AB10" s="1139">
        <v>27</v>
      </c>
      <c r="AC10" s="1139">
        <v>28</v>
      </c>
      <c r="AD10" s="1139">
        <v>29</v>
      </c>
      <c r="AE10" s="1139">
        <v>30</v>
      </c>
      <c r="AF10" s="1139">
        <v>31</v>
      </c>
      <c r="AG10" s="1295"/>
      <c r="AH10" s="1295"/>
      <c r="AI10" s="1297"/>
      <c r="AJ10" s="1140" t="s">
        <v>585</v>
      </c>
      <c r="AK10" s="1136">
        <f>AM10/AL10</f>
        <v>0.54672340425531918</v>
      </c>
      <c r="AL10" s="1141">
        <v>94</v>
      </c>
      <c r="AM10" s="1131">
        <v>51.392000000000003</v>
      </c>
      <c r="AN10" s="1142"/>
    </row>
    <row r="11" spans="1:43" s="1138" customFormat="1" ht="41.1" hidden="1" customHeight="1" outlineLevel="1">
      <c r="A11" s="1143"/>
      <c r="B11" s="1144"/>
      <c r="C11" s="1144"/>
      <c r="D11" s="1144"/>
      <c r="E11" s="1144"/>
      <c r="F11" s="1144"/>
      <c r="G11" s="1144"/>
      <c r="H11" s="1144"/>
      <c r="I11" s="1144"/>
      <c r="J11" s="1144"/>
      <c r="K11" s="1144"/>
      <c r="L11" s="1144"/>
      <c r="M11" s="1144"/>
      <c r="N11" s="1144"/>
      <c r="O11" s="1144"/>
      <c r="P11" s="1144"/>
      <c r="Q11" s="1144"/>
      <c r="R11" s="1144"/>
      <c r="S11" s="1144"/>
      <c r="T11" s="1144"/>
      <c r="U11" s="1144"/>
      <c r="V11" s="1144"/>
      <c r="W11" s="1144"/>
      <c r="X11" s="1144"/>
      <c r="Y11" s="1144"/>
      <c r="Z11" s="1144"/>
      <c r="AA11" s="1144"/>
      <c r="AB11" s="1144"/>
      <c r="AC11" s="1144"/>
      <c r="AD11" s="1144"/>
      <c r="AE11" s="1144"/>
      <c r="AF11" s="1144"/>
      <c r="AG11" s="1145"/>
      <c r="AH11" s="1145"/>
      <c r="AI11" s="1145"/>
      <c r="AJ11" s="1145"/>
      <c r="AK11" s="1136"/>
      <c r="AN11" s="1146"/>
      <c r="AP11" s="1146"/>
    </row>
    <row r="12" spans="1:43" ht="41.1" customHeight="1" outlineLevel="1">
      <c r="A12" s="1180" t="s">
        <v>589</v>
      </c>
      <c r="B12" s="1147"/>
      <c r="C12" s="1147"/>
      <c r="D12" s="1147"/>
      <c r="E12" s="1147"/>
      <c r="F12" s="1147">
        <v>137</v>
      </c>
      <c r="G12" s="1147"/>
      <c r="H12" s="1147"/>
      <c r="I12" s="1147"/>
      <c r="J12" s="1147"/>
      <c r="K12" s="1147"/>
      <c r="L12" s="1147"/>
      <c r="M12" s="1147"/>
      <c r="N12" s="1147"/>
      <c r="O12" s="1147"/>
      <c r="P12" s="1147"/>
      <c r="Q12" s="1147"/>
      <c r="R12" s="1147"/>
      <c r="S12" s="1147"/>
      <c r="T12" s="1147"/>
      <c r="U12" s="1147"/>
      <c r="V12" s="1147"/>
      <c r="W12" s="1147"/>
      <c r="X12" s="1147"/>
      <c r="Y12" s="1147"/>
      <c r="Z12" s="1147"/>
      <c r="AA12" s="1147"/>
      <c r="AB12" s="1147"/>
      <c r="AC12" s="1147"/>
      <c r="AD12" s="1147">
        <v>97</v>
      </c>
      <c r="AE12" s="1147"/>
      <c r="AF12" s="1147"/>
      <c r="AG12" s="1166">
        <f>SUM(B12:AF12)</f>
        <v>234</v>
      </c>
      <c r="AH12" s="1166">
        <f>AG12*$AK$9/100</f>
        <v>94.973000000000013</v>
      </c>
      <c r="AI12" s="1148"/>
      <c r="AJ12" s="1149"/>
    </row>
    <row r="13" spans="1:43" ht="41.1" hidden="1" customHeight="1" outlineLevel="1">
      <c r="A13" s="1147" t="s">
        <v>586</v>
      </c>
      <c r="B13" s="1147"/>
      <c r="C13" s="1147"/>
      <c r="D13" s="1147"/>
      <c r="E13" s="1147"/>
      <c r="F13" s="1147"/>
      <c r="G13" s="1147"/>
      <c r="H13" s="1147"/>
      <c r="I13" s="1147"/>
      <c r="J13" s="1147"/>
      <c r="K13" s="1147"/>
      <c r="L13" s="1147"/>
      <c r="M13" s="1147"/>
      <c r="N13" s="1147"/>
      <c r="O13" s="1147"/>
      <c r="P13" s="1147"/>
      <c r="Q13" s="1147"/>
      <c r="R13" s="1147"/>
      <c r="S13" s="1147"/>
      <c r="T13" s="1147"/>
      <c r="U13" s="1147"/>
      <c r="V13" s="1147"/>
      <c r="W13" s="1147"/>
      <c r="X13" s="1147"/>
      <c r="Y13" s="1150"/>
      <c r="Z13" s="1150"/>
      <c r="AA13" s="1150"/>
      <c r="AB13" s="1150"/>
      <c r="AC13" s="1150"/>
      <c r="AD13" s="1150"/>
      <c r="AE13" s="1150"/>
      <c r="AF13" s="1150"/>
      <c r="AG13" s="1148">
        <f>SUM(B13:AF13)</f>
        <v>0</v>
      </c>
      <c r="AH13" s="1148">
        <f>AG13*$AK$10</f>
        <v>0</v>
      </c>
      <c r="AI13" s="1148"/>
      <c r="AJ13" s="1149"/>
      <c r="AK13" s="1141"/>
      <c r="AL13" s="1141"/>
    </row>
    <row r="14" spans="1:43" ht="41.1" customHeight="1" collapsed="1">
      <c r="A14" s="1139" t="s">
        <v>304</v>
      </c>
      <c r="B14" s="1145">
        <f>SUM(B12:B13)</f>
        <v>0</v>
      </c>
      <c r="C14" s="1145">
        <f t="shared" ref="C14:AH14" si="0">SUM(C12:C13)</f>
        <v>0</v>
      </c>
      <c r="D14" s="1145">
        <f t="shared" si="0"/>
        <v>0</v>
      </c>
      <c r="E14" s="1145">
        <f t="shared" si="0"/>
        <v>0</v>
      </c>
      <c r="F14" s="1145">
        <f t="shared" si="0"/>
        <v>137</v>
      </c>
      <c r="G14" s="1145">
        <f t="shared" si="0"/>
        <v>0</v>
      </c>
      <c r="H14" s="1145">
        <f t="shared" si="0"/>
        <v>0</v>
      </c>
      <c r="I14" s="1145">
        <f t="shared" si="0"/>
        <v>0</v>
      </c>
      <c r="J14" s="1145">
        <f t="shared" si="0"/>
        <v>0</v>
      </c>
      <c r="K14" s="1145">
        <f t="shared" si="0"/>
        <v>0</v>
      </c>
      <c r="L14" s="1145">
        <f t="shared" si="0"/>
        <v>0</v>
      </c>
      <c r="M14" s="1145">
        <f t="shared" si="0"/>
        <v>0</v>
      </c>
      <c r="N14" s="1145">
        <f t="shared" si="0"/>
        <v>0</v>
      </c>
      <c r="O14" s="1145">
        <f t="shared" si="0"/>
        <v>0</v>
      </c>
      <c r="P14" s="1145">
        <f t="shared" si="0"/>
        <v>0</v>
      </c>
      <c r="Q14" s="1145">
        <f t="shared" si="0"/>
        <v>0</v>
      </c>
      <c r="R14" s="1145">
        <f t="shared" si="0"/>
        <v>0</v>
      </c>
      <c r="S14" s="1145">
        <f t="shared" si="0"/>
        <v>0</v>
      </c>
      <c r="T14" s="1145">
        <f t="shared" si="0"/>
        <v>0</v>
      </c>
      <c r="U14" s="1145">
        <f t="shared" si="0"/>
        <v>0</v>
      </c>
      <c r="V14" s="1145">
        <f t="shared" si="0"/>
        <v>0</v>
      </c>
      <c r="W14" s="1145">
        <f t="shared" si="0"/>
        <v>0</v>
      </c>
      <c r="X14" s="1145">
        <f t="shared" si="0"/>
        <v>0</v>
      </c>
      <c r="Y14" s="1145">
        <f t="shared" si="0"/>
        <v>0</v>
      </c>
      <c r="Z14" s="1145">
        <f t="shared" si="0"/>
        <v>0</v>
      </c>
      <c r="AA14" s="1145">
        <f t="shared" si="0"/>
        <v>0</v>
      </c>
      <c r="AB14" s="1145">
        <f t="shared" si="0"/>
        <v>0</v>
      </c>
      <c r="AC14" s="1145">
        <f t="shared" si="0"/>
        <v>0</v>
      </c>
      <c r="AD14" s="1145">
        <f t="shared" si="0"/>
        <v>97</v>
      </c>
      <c r="AE14" s="1145">
        <f t="shared" si="0"/>
        <v>0</v>
      </c>
      <c r="AF14" s="1145">
        <f t="shared" si="0"/>
        <v>0</v>
      </c>
      <c r="AG14" s="1145">
        <f t="shared" si="0"/>
        <v>234</v>
      </c>
      <c r="AH14" s="1145">
        <f t="shared" si="0"/>
        <v>94.973000000000013</v>
      </c>
      <c r="AI14" s="1151"/>
      <c r="AJ14" s="1151" t="e">
        <f>SUM(#REF!,#REF!)</f>
        <v>#REF!</v>
      </c>
      <c r="AK14" s="1152">
        <f>'[4]TRUY LĨNH SL THÁNG 8'!AL73</f>
        <v>3355.9839999999999</v>
      </c>
      <c r="AL14" s="1141">
        <f>AK14-AG14</f>
        <v>3121.9839999999999</v>
      </c>
    </row>
    <row r="15" spans="1:43" ht="13.9" customHeight="1">
      <c r="A15" s="1153"/>
      <c r="B15" s="1154"/>
      <c r="C15" s="1154"/>
      <c r="D15" s="1154"/>
      <c r="E15" s="1154"/>
      <c r="F15" s="1154"/>
      <c r="G15" s="1154"/>
      <c r="H15" s="1154"/>
      <c r="I15" s="1154"/>
      <c r="J15" s="1154"/>
      <c r="K15" s="1154"/>
      <c r="L15" s="1154"/>
      <c r="M15" s="1154"/>
      <c r="N15" s="1154"/>
      <c r="O15" s="1154"/>
      <c r="P15" s="1154"/>
      <c r="Q15" s="1154"/>
      <c r="R15" s="1154"/>
      <c r="S15" s="1154"/>
      <c r="T15" s="1154"/>
      <c r="U15" s="1154"/>
      <c r="V15" s="1154"/>
      <c r="W15" s="1154"/>
      <c r="X15" s="1154"/>
      <c r="Y15" s="1154"/>
      <c r="Z15" s="1154"/>
      <c r="AA15" s="1154"/>
      <c r="AB15" s="1154"/>
      <c r="AC15" s="1154"/>
      <c r="AD15" s="1154"/>
      <c r="AE15" s="1154"/>
      <c r="AF15" s="1154"/>
      <c r="AG15" s="1155"/>
      <c r="AH15" s="1155"/>
      <c r="AI15" s="1154"/>
      <c r="AK15" s="1152"/>
    </row>
    <row r="16" spans="1:43">
      <c r="A16" s="1156"/>
      <c r="B16" s="1157"/>
      <c r="C16" s="1158"/>
      <c r="D16" s="1158"/>
      <c r="E16" s="1158"/>
      <c r="F16" s="1158"/>
      <c r="G16" s="1158"/>
      <c r="H16" s="1158"/>
      <c r="I16" s="1158"/>
      <c r="J16" s="1158"/>
      <c r="K16" s="1158"/>
      <c r="L16" s="1159"/>
      <c r="M16" s="1159"/>
      <c r="N16" s="1159"/>
      <c r="O16" s="1159"/>
      <c r="P16" s="1158"/>
      <c r="Q16" s="1158"/>
      <c r="R16" s="1158"/>
      <c r="S16" s="1158"/>
      <c r="T16" s="1158"/>
      <c r="U16" s="1160"/>
      <c r="V16" s="1160"/>
      <c r="X16" s="1160"/>
      <c r="Y16" s="1160"/>
      <c r="Z16" s="1288" t="s">
        <v>587</v>
      </c>
      <c r="AA16" s="1288"/>
      <c r="AB16" s="1288"/>
      <c r="AC16" s="1288"/>
      <c r="AD16" s="1288"/>
      <c r="AE16" s="1288"/>
      <c r="AF16" s="1288"/>
      <c r="AG16" s="1288"/>
      <c r="AH16" s="1288"/>
      <c r="AI16" s="1288"/>
      <c r="AJ16" s="1161"/>
      <c r="AK16" s="1160"/>
      <c r="AL16" s="1160"/>
      <c r="AM16" s="1160"/>
      <c r="AN16" s="1160"/>
      <c r="AO16" s="1160"/>
      <c r="AQ16" s="1152"/>
    </row>
    <row r="17" spans="1:37" s="1138" customFormat="1">
      <c r="B17" s="1130" t="s">
        <v>35</v>
      </c>
      <c r="D17" s="1130"/>
      <c r="E17" s="1130"/>
      <c r="I17" s="1162"/>
      <c r="J17" s="1162" t="s">
        <v>346</v>
      </c>
      <c r="N17" s="1162"/>
      <c r="O17" s="1289" t="s">
        <v>36</v>
      </c>
      <c r="P17" s="1289"/>
      <c r="Q17" s="1289"/>
      <c r="R17" s="1289"/>
      <c r="S17" s="1289"/>
      <c r="U17" s="1289" t="s">
        <v>588</v>
      </c>
      <c r="V17" s="1289"/>
      <c r="W17" s="1289"/>
      <c r="X17" s="1289"/>
      <c r="Y17" s="1289"/>
      <c r="Z17" s="1289"/>
      <c r="AA17" s="1289"/>
      <c r="AB17" s="1289" t="s">
        <v>108</v>
      </c>
      <c r="AC17" s="1289"/>
      <c r="AD17" s="1289"/>
      <c r="AE17" s="1289"/>
      <c r="AF17" s="1289"/>
      <c r="AH17" s="1298" t="s">
        <v>33</v>
      </c>
      <c r="AI17" s="1298"/>
      <c r="AK17" s="1162"/>
    </row>
    <row r="18" spans="1:37">
      <c r="A18" s="1156"/>
      <c r="B18" s="1156"/>
      <c r="C18" s="1156"/>
      <c r="D18" s="1156"/>
      <c r="E18" s="1156"/>
      <c r="F18" s="1156"/>
      <c r="G18" s="1156"/>
      <c r="H18" s="1158"/>
      <c r="I18" s="1158"/>
      <c r="J18" s="1158"/>
      <c r="K18" s="1158"/>
      <c r="L18" s="1158"/>
      <c r="M18" s="1158"/>
      <c r="N18" s="1158"/>
      <c r="O18" s="1158"/>
      <c r="P18" s="1158"/>
      <c r="Q18" s="1158"/>
      <c r="R18" s="1158"/>
      <c r="S18" s="1158"/>
      <c r="T18" s="1158"/>
      <c r="U18" s="1158"/>
      <c r="V18" s="1158"/>
      <c r="W18" s="1158"/>
      <c r="X18" s="1158"/>
      <c r="Y18" s="1158"/>
      <c r="Z18" s="1158"/>
      <c r="AA18" s="1163"/>
      <c r="AB18" s="1163"/>
      <c r="AC18" s="1163"/>
      <c r="AD18" s="1163"/>
      <c r="AE18" s="1163"/>
      <c r="AF18" s="1163"/>
      <c r="AG18" s="1156"/>
      <c r="AH18" s="1156"/>
      <c r="AI18" s="1156"/>
    </row>
    <row r="19" spans="1:37">
      <c r="A19" s="1156"/>
      <c r="B19" s="1156"/>
      <c r="C19" s="1156"/>
      <c r="D19" s="1156"/>
      <c r="E19" s="1156"/>
      <c r="F19" s="1156"/>
      <c r="G19" s="1156"/>
      <c r="H19" s="1158"/>
      <c r="I19" s="1158"/>
      <c r="J19" s="1159"/>
      <c r="K19" s="1158"/>
      <c r="L19" s="1158"/>
      <c r="M19" s="1158"/>
      <c r="N19" s="1158"/>
      <c r="O19" s="1158"/>
      <c r="P19" s="1158"/>
      <c r="Q19" s="1158"/>
      <c r="R19" s="1158"/>
      <c r="S19" s="1158"/>
      <c r="T19" s="1158"/>
      <c r="U19" s="1158"/>
      <c r="V19" s="1158"/>
      <c r="W19" s="1158"/>
      <c r="X19" s="1158"/>
      <c r="Y19" s="1158"/>
      <c r="Z19" s="1158"/>
      <c r="AA19" s="1163"/>
      <c r="AB19" s="1163"/>
      <c r="AC19" s="1163"/>
      <c r="AD19" s="1163"/>
      <c r="AE19" s="1163"/>
      <c r="AF19" s="1163"/>
      <c r="AG19" s="1156"/>
      <c r="AH19" s="1156"/>
      <c r="AI19" s="1156"/>
    </row>
    <row r="20" spans="1:37">
      <c r="A20" s="1156"/>
      <c r="B20" s="1156"/>
      <c r="C20" s="1156"/>
      <c r="D20" s="1156"/>
      <c r="E20" s="1156"/>
      <c r="F20" s="1156"/>
      <c r="G20" s="1156"/>
      <c r="H20" s="1169"/>
      <c r="I20" s="1169"/>
      <c r="J20" s="1159"/>
      <c r="K20" s="1169"/>
      <c r="L20" s="1169"/>
      <c r="M20" s="1169"/>
      <c r="N20" s="1169"/>
      <c r="O20" s="1169"/>
      <c r="P20" s="1169"/>
      <c r="Q20" s="1169"/>
      <c r="R20" s="1169"/>
      <c r="S20" s="1169"/>
      <c r="T20" s="1169"/>
      <c r="U20" s="1169"/>
      <c r="V20" s="1169"/>
      <c r="W20" s="1169"/>
      <c r="X20" s="1169"/>
      <c r="Y20" s="1169"/>
      <c r="Z20" s="1169"/>
      <c r="AA20" s="1163"/>
      <c r="AB20" s="1163"/>
      <c r="AC20" s="1163"/>
      <c r="AD20" s="1163"/>
      <c r="AE20" s="1163"/>
      <c r="AF20" s="1163"/>
      <c r="AG20" s="1156"/>
      <c r="AH20" s="1156"/>
      <c r="AI20" s="1156"/>
    </row>
    <row r="21" spans="1:37">
      <c r="A21" s="1156"/>
      <c r="B21" s="1158"/>
      <c r="C21" s="1158"/>
      <c r="D21" s="1158"/>
      <c r="E21" s="1158"/>
      <c r="F21" s="1158"/>
      <c r="G21" s="1156"/>
      <c r="H21" s="1158"/>
      <c r="I21" s="1158"/>
      <c r="J21" s="1158"/>
      <c r="K21" s="1158"/>
      <c r="L21" s="1158"/>
      <c r="M21" s="1158"/>
      <c r="N21" s="1158"/>
      <c r="O21" s="1158"/>
      <c r="P21" s="1158"/>
      <c r="Q21" s="1158"/>
      <c r="R21" s="1158"/>
      <c r="S21" s="1158"/>
      <c r="T21" s="1158"/>
      <c r="U21" s="1158"/>
      <c r="V21" s="1158"/>
      <c r="W21" s="1158"/>
      <c r="X21" s="1158"/>
      <c r="Y21" s="1158"/>
      <c r="Z21" s="1158"/>
      <c r="AA21" s="1163"/>
      <c r="AB21" s="1163"/>
      <c r="AC21" s="1163"/>
      <c r="AD21" s="1163"/>
      <c r="AE21" s="1163"/>
      <c r="AF21" s="1163"/>
      <c r="AG21" s="1159"/>
      <c r="AH21" s="1159"/>
      <c r="AI21" s="1159"/>
    </row>
    <row r="22" spans="1:37">
      <c r="A22" s="1156"/>
      <c r="B22" s="1158"/>
      <c r="C22" s="1158"/>
      <c r="D22" s="1158"/>
      <c r="E22" s="1158"/>
      <c r="F22" s="1158"/>
      <c r="G22" s="1156"/>
      <c r="H22" s="1158"/>
      <c r="I22" s="1158"/>
      <c r="J22" s="1158"/>
      <c r="K22" s="1158"/>
      <c r="L22" s="1158"/>
      <c r="M22" s="1158"/>
      <c r="N22" s="1158"/>
      <c r="O22" s="1158"/>
      <c r="P22" s="1158"/>
      <c r="Q22" s="1158"/>
      <c r="R22" s="1158"/>
      <c r="S22" s="1158"/>
      <c r="T22" s="1158"/>
      <c r="U22" s="1158"/>
      <c r="V22" s="1158"/>
      <c r="W22" s="1158"/>
      <c r="X22" s="1158"/>
      <c r="Y22" s="1158"/>
      <c r="Z22" s="1158"/>
      <c r="AA22" s="1163"/>
      <c r="AB22" s="1163"/>
      <c r="AC22" s="1163"/>
      <c r="AD22" s="1163"/>
      <c r="AE22" s="1163"/>
      <c r="AF22" s="1163"/>
      <c r="AG22" s="1159"/>
      <c r="AH22" s="1159"/>
      <c r="AI22" s="1159"/>
    </row>
    <row r="23" spans="1:37" s="1179" customFormat="1">
      <c r="A23" s="1177"/>
      <c r="B23" s="1178"/>
      <c r="C23" s="1178"/>
      <c r="D23" s="1178"/>
      <c r="E23" s="1178"/>
      <c r="F23" s="1178"/>
      <c r="G23" s="1178"/>
      <c r="H23" s="1178"/>
      <c r="I23" s="1178"/>
      <c r="J23" s="1178"/>
      <c r="K23" s="1178"/>
      <c r="L23" s="1178"/>
      <c r="M23" s="1178"/>
      <c r="N23" s="1178"/>
      <c r="O23" s="1287" t="s">
        <v>524</v>
      </c>
      <c r="P23" s="1287"/>
      <c r="Q23" s="1287"/>
      <c r="R23" s="1287"/>
      <c r="S23" s="1287"/>
      <c r="T23" s="1178"/>
      <c r="U23" s="1287" t="s">
        <v>110</v>
      </c>
      <c r="V23" s="1287"/>
      <c r="W23" s="1287"/>
      <c r="X23" s="1287"/>
      <c r="Y23" s="1287"/>
      <c r="Z23" s="1287"/>
      <c r="AA23" s="1287"/>
      <c r="AB23" s="1287" t="s">
        <v>290</v>
      </c>
      <c r="AC23" s="1287"/>
      <c r="AD23" s="1287"/>
      <c r="AE23" s="1287"/>
      <c r="AF23" s="1287"/>
      <c r="AG23" s="1177"/>
      <c r="AH23" s="1287" t="s">
        <v>314</v>
      </c>
      <c r="AI23" s="1287"/>
    </row>
    <row r="24" spans="1:37">
      <c r="A24" s="1156"/>
      <c r="B24" s="1158"/>
      <c r="C24" s="1158"/>
      <c r="D24" s="1158"/>
      <c r="E24" s="1158"/>
      <c r="F24" s="1158"/>
      <c r="G24" s="1158"/>
      <c r="H24" s="1158"/>
      <c r="I24" s="1158"/>
      <c r="J24" s="1158"/>
      <c r="K24" s="1158"/>
      <c r="L24" s="1158"/>
      <c r="M24" s="1158"/>
      <c r="N24" s="1158"/>
      <c r="O24" s="1158"/>
      <c r="P24" s="1158"/>
      <c r="Q24" s="1158"/>
      <c r="R24" s="1158"/>
      <c r="S24" s="1158"/>
      <c r="T24" s="1158"/>
      <c r="U24" s="1158"/>
      <c r="V24" s="1158"/>
      <c r="W24" s="1158"/>
      <c r="X24" s="1158"/>
      <c r="Y24" s="1158"/>
      <c r="Z24" s="1158"/>
      <c r="AA24" s="1158"/>
      <c r="AB24" s="1158"/>
      <c r="AC24" s="1158"/>
      <c r="AD24" s="1158"/>
      <c r="AE24" s="1158"/>
      <c r="AF24" s="1158"/>
      <c r="AG24" s="1156"/>
      <c r="AH24" s="1156"/>
      <c r="AI24" s="1156"/>
    </row>
    <row r="25" spans="1:37">
      <c r="A25" s="1156"/>
      <c r="B25" s="1158"/>
      <c r="C25" s="1158"/>
      <c r="D25" s="1158"/>
      <c r="E25" s="1158"/>
      <c r="F25" s="1158"/>
      <c r="G25" s="1158"/>
      <c r="H25" s="1158"/>
      <c r="I25" s="1158"/>
      <c r="J25" s="1158"/>
      <c r="K25" s="1158"/>
      <c r="L25" s="1158"/>
      <c r="M25" s="1158"/>
      <c r="N25" s="1158"/>
      <c r="O25" s="1158"/>
      <c r="P25" s="1158"/>
      <c r="Q25" s="1158"/>
      <c r="R25" s="1158"/>
      <c r="S25" s="1158"/>
      <c r="T25" s="1158"/>
      <c r="U25" s="1158"/>
      <c r="V25" s="1158"/>
      <c r="W25" s="1158"/>
      <c r="X25" s="1158"/>
      <c r="Y25" s="1158"/>
      <c r="Z25" s="1158"/>
      <c r="AA25" s="1158"/>
      <c r="AB25" s="1158"/>
      <c r="AC25" s="1158"/>
      <c r="AD25" s="1158"/>
      <c r="AE25" s="1158"/>
      <c r="AF25" s="1158"/>
      <c r="AG25" s="1289"/>
      <c r="AH25" s="1289"/>
      <c r="AI25" s="1156"/>
    </row>
    <row r="26" spans="1:37">
      <c r="A26" s="1156"/>
      <c r="B26" s="1158"/>
      <c r="C26" s="1158"/>
      <c r="D26" s="1158"/>
      <c r="E26" s="1158"/>
      <c r="F26" s="1158"/>
      <c r="G26" s="1158"/>
      <c r="H26" s="1158"/>
      <c r="I26" s="1158"/>
      <c r="J26" s="1158"/>
      <c r="K26" s="1158"/>
      <c r="L26" s="1158"/>
      <c r="M26" s="1158"/>
      <c r="N26" s="1158"/>
      <c r="O26" s="1158"/>
      <c r="P26" s="1158"/>
      <c r="Q26" s="1158"/>
      <c r="R26" s="1158"/>
      <c r="S26" s="1158"/>
      <c r="T26" s="1158"/>
      <c r="U26" s="1158"/>
      <c r="V26" s="1158"/>
      <c r="W26" s="1158"/>
      <c r="X26" s="1158"/>
      <c r="Y26" s="1158"/>
      <c r="Z26" s="1158"/>
      <c r="AA26" s="1158"/>
      <c r="AB26" s="1158"/>
      <c r="AC26" s="1158"/>
      <c r="AD26" s="1158"/>
      <c r="AE26" s="1158"/>
      <c r="AF26" s="1158"/>
      <c r="AG26" s="1156"/>
      <c r="AH26" s="1156"/>
      <c r="AI26" s="1156"/>
    </row>
    <row r="27" spans="1:37">
      <c r="A27" s="1156"/>
      <c r="B27" s="1158"/>
      <c r="C27" s="1158"/>
      <c r="D27" s="1158"/>
      <c r="E27" s="1158"/>
      <c r="F27" s="1158"/>
      <c r="G27" s="1158"/>
      <c r="H27" s="1158"/>
      <c r="I27" s="1158"/>
      <c r="J27" s="1158"/>
      <c r="K27" s="1158"/>
      <c r="L27" s="1158"/>
      <c r="M27" s="1158"/>
      <c r="N27" s="1158"/>
      <c r="O27" s="1158"/>
      <c r="P27" s="1158"/>
      <c r="Q27" s="1158"/>
      <c r="R27" s="1158"/>
      <c r="S27" s="1290"/>
      <c r="T27" s="1290"/>
      <c r="U27" s="1290"/>
      <c r="V27" s="1290"/>
      <c r="W27" s="1290"/>
      <c r="X27" s="1290"/>
      <c r="Y27" s="1290"/>
      <c r="Z27" s="1164"/>
      <c r="AA27" s="1164"/>
      <c r="AC27" s="1164"/>
      <c r="AD27" s="1164"/>
      <c r="AE27" s="1164"/>
      <c r="AF27" s="1158"/>
      <c r="AG27" s="1158"/>
      <c r="AH27" s="1158"/>
      <c r="AI27" s="1158"/>
      <c r="AJ27" s="1158"/>
    </row>
    <row r="28" spans="1:37">
      <c r="A28" s="1156"/>
      <c r="B28" s="1158"/>
      <c r="C28" s="1158"/>
      <c r="D28" s="1158"/>
      <c r="E28" s="1158"/>
      <c r="F28" s="1158"/>
      <c r="G28" s="1158"/>
      <c r="H28" s="1158"/>
      <c r="I28" s="1158"/>
      <c r="J28" s="1158"/>
      <c r="K28" s="1158"/>
      <c r="L28" s="1158"/>
      <c r="M28" s="1158"/>
      <c r="N28" s="1158"/>
      <c r="O28" s="1158"/>
      <c r="P28" s="1158"/>
      <c r="Q28" s="1158"/>
      <c r="R28" s="1158"/>
      <c r="S28" s="1158"/>
      <c r="T28" s="1158"/>
      <c r="U28" s="1158"/>
      <c r="V28" s="1158"/>
      <c r="W28" s="1158"/>
      <c r="X28" s="1158"/>
      <c r="Y28" s="1158"/>
      <c r="Z28" s="1158"/>
      <c r="AA28" s="1158"/>
      <c r="AB28" s="1158"/>
      <c r="AC28" s="1158"/>
      <c r="AD28" s="1158"/>
      <c r="AE28" s="1158"/>
      <c r="AF28" s="1158"/>
      <c r="AG28" s="1156"/>
      <c r="AH28" s="1156"/>
      <c r="AI28" s="1156"/>
    </row>
    <row r="29" spans="1:37">
      <c r="A29" s="1156"/>
      <c r="B29" s="1158"/>
      <c r="C29" s="1158"/>
      <c r="D29" s="1158"/>
      <c r="E29" s="1158"/>
      <c r="F29" s="1158"/>
      <c r="G29" s="1158"/>
      <c r="H29" s="1158"/>
      <c r="I29" s="1158"/>
      <c r="J29" s="1158"/>
      <c r="K29" s="1158"/>
      <c r="L29" s="1158"/>
      <c r="M29" s="1158"/>
      <c r="N29" s="1158"/>
      <c r="O29" s="1158"/>
      <c r="P29" s="1158"/>
      <c r="Q29" s="1158"/>
      <c r="R29" s="1158"/>
      <c r="S29" s="1158"/>
      <c r="T29" s="1158"/>
      <c r="U29" s="1158"/>
      <c r="V29" s="1158"/>
      <c r="W29" s="1158"/>
      <c r="X29" s="1158"/>
      <c r="Y29" s="1158"/>
      <c r="Z29" s="1158"/>
      <c r="AA29" s="1158"/>
      <c r="AB29" s="1158"/>
      <c r="AC29" s="1158"/>
      <c r="AD29" s="1158"/>
      <c r="AE29" s="1158"/>
      <c r="AF29" s="1158"/>
      <c r="AG29" s="1156"/>
      <c r="AH29" s="1156"/>
      <c r="AI29" s="1156"/>
    </row>
    <row r="30" spans="1:37">
      <c r="A30" s="1156"/>
      <c r="B30" s="1158"/>
      <c r="C30" s="1158"/>
      <c r="D30" s="1158"/>
      <c r="E30" s="1158"/>
      <c r="F30" s="1158"/>
      <c r="G30" s="1158"/>
      <c r="H30" s="1158"/>
      <c r="I30" s="1158"/>
      <c r="J30" s="1158"/>
      <c r="K30" s="1158"/>
      <c r="L30" s="1158"/>
      <c r="M30" s="1158"/>
      <c r="N30" s="1158"/>
      <c r="O30" s="1158"/>
      <c r="P30" s="1158"/>
      <c r="Q30" s="1158"/>
      <c r="R30" s="1158"/>
      <c r="S30" s="1158"/>
      <c r="T30" s="1158"/>
      <c r="U30" s="1158"/>
      <c r="V30" s="1158"/>
      <c r="W30" s="1158"/>
      <c r="X30" s="1158"/>
      <c r="Y30" s="1158"/>
      <c r="Z30" s="1158"/>
      <c r="AA30" s="1158"/>
      <c r="AB30" s="1158"/>
      <c r="AC30" s="1158"/>
      <c r="AD30" s="1158"/>
      <c r="AE30" s="1158"/>
      <c r="AF30" s="1158"/>
      <c r="AG30" s="1156"/>
      <c r="AH30" s="1156"/>
      <c r="AI30" s="1156"/>
    </row>
    <row r="31" spans="1:37">
      <c r="A31" s="1156"/>
      <c r="B31" s="1158"/>
      <c r="C31" s="1158"/>
      <c r="D31" s="1158"/>
      <c r="E31" s="1158"/>
      <c r="F31" s="1158"/>
      <c r="G31" s="1158"/>
      <c r="H31" s="1158"/>
      <c r="I31" s="1158"/>
      <c r="J31" s="1158"/>
      <c r="K31" s="1158"/>
      <c r="L31" s="1158"/>
      <c r="M31" s="1158"/>
      <c r="N31" s="1158"/>
      <c r="O31" s="1158"/>
      <c r="P31" s="1158"/>
      <c r="Q31" s="1158"/>
      <c r="R31" s="1158"/>
      <c r="S31" s="1158"/>
      <c r="T31" s="1158"/>
      <c r="U31" s="1158"/>
      <c r="V31" s="1158"/>
      <c r="W31" s="1158"/>
      <c r="X31" s="1158"/>
      <c r="Y31" s="1158"/>
      <c r="Z31" s="1158"/>
      <c r="AA31" s="1158"/>
      <c r="AB31" s="1158"/>
      <c r="AC31" s="1158"/>
      <c r="AD31" s="1158"/>
      <c r="AE31" s="1158"/>
      <c r="AF31" s="1158"/>
      <c r="AG31" s="1156"/>
      <c r="AH31" s="1156"/>
      <c r="AI31" s="1156"/>
    </row>
    <row r="32" spans="1:37">
      <c r="A32" s="1156"/>
      <c r="B32" s="1158"/>
      <c r="C32" s="1158"/>
      <c r="D32" s="1158"/>
      <c r="E32" s="1158"/>
      <c r="F32" s="1158"/>
      <c r="G32" s="1158"/>
      <c r="H32" s="1158"/>
      <c r="I32" s="1158"/>
      <c r="J32" s="1158"/>
      <c r="K32" s="1158"/>
      <c r="L32" s="1158"/>
      <c r="M32" s="1158"/>
      <c r="N32" s="1158"/>
      <c r="O32" s="1158"/>
      <c r="P32" s="1158"/>
      <c r="Q32" s="1158"/>
      <c r="R32" s="1158"/>
      <c r="S32" s="1158"/>
      <c r="T32" s="1158"/>
      <c r="U32" s="1158"/>
      <c r="V32" s="1158"/>
      <c r="W32" s="1158"/>
      <c r="X32" s="1158"/>
      <c r="Y32" s="1158"/>
      <c r="Z32" s="1158"/>
      <c r="AA32" s="1158"/>
      <c r="AB32" s="1158"/>
      <c r="AC32" s="1158"/>
      <c r="AD32" s="1158"/>
      <c r="AE32" s="1158"/>
      <c r="AF32" s="1158"/>
      <c r="AG32" s="1156"/>
      <c r="AH32" s="1156"/>
      <c r="AI32" s="1156"/>
    </row>
    <row r="33" spans="1:35">
      <c r="A33" s="1156"/>
      <c r="B33" s="1158"/>
      <c r="C33" s="1158"/>
      <c r="D33" s="1158"/>
      <c r="E33" s="1158"/>
      <c r="F33" s="1158"/>
      <c r="G33" s="1158"/>
      <c r="H33" s="1158"/>
      <c r="I33" s="1158"/>
      <c r="J33" s="1158"/>
      <c r="K33" s="1158"/>
      <c r="L33" s="1158"/>
      <c r="M33" s="1158"/>
      <c r="N33" s="1158"/>
      <c r="O33" s="1158"/>
      <c r="P33" s="1158"/>
      <c r="Q33" s="1158"/>
      <c r="R33" s="1158"/>
      <c r="S33" s="1158"/>
      <c r="T33" s="1158"/>
      <c r="U33" s="1158"/>
      <c r="V33" s="1158"/>
      <c r="W33" s="1158"/>
      <c r="X33" s="1158"/>
      <c r="Y33" s="1158"/>
      <c r="Z33" s="1158"/>
      <c r="AA33" s="1158"/>
      <c r="AB33" s="1158"/>
      <c r="AC33" s="1158"/>
      <c r="AD33" s="1158"/>
      <c r="AE33" s="1158"/>
      <c r="AF33" s="1158"/>
      <c r="AG33" s="1156"/>
      <c r="AH33" s="1156"/>
      <c r="AI33" s="1156"/>
    </row>
    <row r="34" spans="1:35">
      <c r="A34" s="1156"/>
      <c r="B34" s="1156"/>
      <c r="C34" s="1156"/>
      <c r="D34" s="1156"/>
      <c r="E34" s="1158"/>
      <c r="F34" s="1158"/>
      <c r="G34" s="1158"/>
      <c r="H34" s="1158"/>
      <c r="I34" s="1158"/>
      <c r="J34" s="1158"/>
      <c r="K34" s="1158"/>
      <c r="L34" s="1158"/>
      <c r="M34" s="1158"/>
      <c r="N34" s="1158"/>
      <c r="O34" s="1158"/>
      <c r="P34" s="1158"/>
      <c r="Q34" s="1158"/>
      <c r="R34" s="1158"/>
      <c r="S34" s="1158"/>
      <c r="T34" s="1158"/>
      <c r="U34" s="1158"/>
      <c r="V34" s="1158"/>
      <c r="W34" s="1158"/>
      <c r="X34" s="1158"/>
      <c r="Y34" s="1158"/>
      <c r="Z34" s="1158"/>
      <c r="AA34" s="1158"/>
      <c r="AB34" s="1158"/>
      <c r="AC34" s="1158"/>
      <c r="AD34" s="1158"/>
      <c r="AE34" s="1158"/>
      <c r="AF34" s="1158"/>
      <c r="AG34" s="1156"/>
      <c r="AH34" s="1156"/>
      <c r="AI34" s="1156"/>
    </row>
    <row r="35" spans="1:35">
      <c r="A35" s="1156"/>
      <c r="B35" s="1156"/>
      <c r="C35" s="1156"/>
      <c r="D35" s="1156"/>
      <c r="E35" s="1158"/>
      <c r="F35" s="1158"/>
      <c r="G35" s="1158"/>
      <c r="H35" s="1158"/>
      <c r="I35" s="1158"/>
      <c r="J35" s="1158"/>
      <c r="K35" s="1158"/>
      <c r="L35" s="1158"/>
      <c r="M35" s="1158"/>
      <c r="N35" s="1158"/>
      <c r="O35" s="1158"/>
      <c r="P35" s="1158"/>
      <c r="Q35" s="1158"/>
      <c r="R35" s="1158"/>
      <c r="S35" s="1158"/>
      <c r="T35" s="1158"/>
      <c r="U35" s="1158"/>
      <c r="V35" s="1158"/>
      <c r="W35" s="1158"/>
      <c r="X35" s="1158"/>
      <c r="Y35" s="1158"/>
      <c r="Z35" s="1158"/>
      <c r="AA35" s="1158"/>
      <c r="AB35" s="1158"/>
      <c r="AC35" s="1158"/>
      <c r="AD35" s="1158"/>
      <c r="AE35" s="1158"/>
      <c r="AF35" s="1158"/>
      <c r="AG35" s="1156"/>
      <c r="AH35" s="1156"/>
      <c r="AI35" s="1156"/>
    </row>
    <row r="36" spans="1:35">
      <c r="A36" s="1156"/>
      <c r="B36" s="1156"/>
      <c r="C36" s="1156"/>
      <c r="D36" s="1156"/>
      <c r="E36" s="1158"/>
      <c r="F36" s="1158"/>
      <c r="G36" s="1158"/>
      <c r="H36" s="1158"/>
      <c r="I36" s="1158"/>
      <c r="J36" s="1158"/>
      <c r="K36" s="1158"/>
      <c r="L36" s="1158"/>
      <c r="M36" s="1158"/>
      <c r="N36" s="1158"/>
      <c r="O36" s="1158"/>
      <c r="P36" s="1158"/>
      <c r="Q36" s="1158"/>
      <c r="R36" s="1158"/>
      <c r="S36" s="1158"/>
      <c r="T36" s="1158"/>
      <c r="U36" s="1158"/>
      <c r="V36" s="1158"/>
      <c r="W36" s="1158"/>
      <c r="X36" s="1158"/>
      <c r="Y36" s="1158"/>
      <c r="Z36" s="1158"/>
      <c r="AA36" s="1158"/>
      <c r="AB36" s="1158"/>
      <c r="AC36" s="1158"/>
      <c r="AD36" s="1158"/>
      <c r="AE36" s="1158"/>
      <c r="AF36" s="1158"/>
      <c r="AG36" s="1156"/>
      <c r="AH36" s="1156"/>
      <c r="AI36" s="1156"/>
    </row>
    <row r="37" spans="1:35">
      <c r="A37" s="1156"/>
      <c r="B37" s="1156"/>
      <c r="C37" s="1156"/>
      <c r="D37" s="1156"/>
      <c r="E37" s="1158"/>
      <c r="F37" s="1158"/>
      <c r="G37" s="1158"/>
      <c r="H37" s="1158"/>
      <c r="I37" s="1158"/>
      <c r="J37" s="1158"/>
      <c r="K37" s="1158"/>
      <c r="L37" s="1158"/>
      <c r="M37" s="1158"/>
      <c r="N37" s="1158"/>
      <c r="O37" s="1158"/>
      <c r="P37" s="1158"/>
      <c r="Q37" s="1158"/>
      <c r="R37" s="1158"/>
      <c r="S37" s="1158"/>
      <c r="T37" s="1158"/>
      <c r="U37" s="1158"/>
      <c r="V37" s="1158"/>
      <c r="W37" s="1158"/>
      <c r="X37" s="1158"/>
      <c r="Y37" s="1158"/>
      <c r="Z37" s="1158"/>
      <c r="AA37" s="1158"/>
      <c r="AB37" s="1158"/>
      <c r="AC37" s="1158"/>
      <c r="AD37" s="1158"/>
      <c r="AE37" s="1158"/>
      <c r="AF37" s="1158"/>
      <c r="AG37" s="1156"/>
      <c r="AH37" s="1156"/>
      <c r="AI37" s="1156"/>
    </row>
    <row r="38" spans="1:35">
      <c r="A38" s="1156"/>
      <c r="B38" s="1156"/>
      <c r="C38" s="1156"/>
      <c r="D38" s="1156"/>
      <c r="E38" s="1158"/>
      <c r="F38" s="1158"/>
      <c r="G38" s="1158"/>
      <c r="H38" s="1158"/>
      <c r="I38" s="1158"/>
      <c r="J38" s="1158"/>
      <c r="K38" s="1158"/>
      <c r="L38" s="1158"/>
      <c r="M38" s="1158"/>
      <c r="N38" s="1158"/>
      <c r="O38" s="1158"/>
      <c r="P38" s="1158"/>
      <c r="Q38" s="1158"/>
      <c r="R38" s="1158"/>
      <c r="S38" s="1158"/>
      <c r="T38" s="1158"/>
      <c r="U38" s="1158"/>
      <c r="V38" s="1158"/>
      <c r="W38" s="1158"/>
      <c r="X38" s="1158"/>
      <c r="Y38" s="1158"/>
      <c r="Z38" s="1158"/>
      <c r="AA38" s="1158"/>
      <c r="AB38" s="1158"/>
      <c r="AC38" s="1158"/>
      <c r="AD38" s="1158"/>
      <c r="AE38" s="1158"/>
      <c r="AF38" s="1158"/>
      <c r="AG38" s="1156"/>
      <c r="AH38" s="1156"/>
      <c r="AI38" s="1156"/>
    </row>
    <row r="39" spans="1:35">
      <c r="A39" s="1156"/>
      <c r="B39" s="1156"/>
      <c r="C39" s="1156"/>
      <c r="D39" s="1156"/>
      <c r="E39" s="1158"/>
      <c r="F39" s="1158"/>
      <c r="G39" s="1158"/>
      <c r="H39" s="1158"/>
      <c r="I39" s="1158"/>
      <c r="J39" s="1158"/>
      <c r="K39" s="1158"/>
      <c r="L39" s="1158"/>
      <c r="M39" s="1158"/>
      <c r="N39" s="1158"/>
      <c r="O39" s="1158"/>
      <c r="P39" s="1158"/>
      <c r="Q39" s="1158"/>
      <c r="R39" s="1158"/>
      <c r="S39" s="1158"/>
      <c r="T39" s="1158"/>
      <c r="U39" s="1158"/>
      <c r="V39" s="1158"/>
      <c r="W39" s="1158"/>
      <c r="X39" s="1158"/>
      <c r="Y39" s="1158"/>
      <c r="Z39" s="1158"/>
      <c r="AA39" s="1158"/>
      <c r="AB39" s="1158"/>
      <c r="AC39" s="1158"/>
      <c r="AD39" s="1158"/>
      <c r="AE39" s="1158"/>
      <c r="AF39" s="1158"/>
      <c r="AG39" s="1156"/>
      <c r="AH39" s="1156"/>
      <c r="AI39" s="1156"/>
    </row>
    <row r="40" spans="1:35">
      <c r="A40" s="1156"/>
      <c r="B40" s="1156"/>
      <c r="C40" s="1156"/>
      <c r="D40" s="1156"/>
      <c r="E40" s="1158"/>
      <c r="F40" s="1158"/>
      <c r="G40" s="1158"/>
      <c r="H40" s="1158"/>
      <c r="I40" s="1158"/>
      <c r="J40" s="1158"/>
      <c r="K40" s="1158"/>
      <c r="L40" s="1158"/>
      <c r="M40" s="1158"/>
      <c r="N40" s="1158"/>
      <c r="O40" s="1158"/>
      <c r="P40" s="1158"/>
      <c r="Q40" s="1158"/>
      <c r="R40" s="1158"/>
      <c r="S40" s="1158"/>
      <c r="T40" s="1158"/>
      <c r="U40" s="1158"/>
      <c r="V40" s="1158"/>
      <c r="W40" s="1158"/>
      <c r="X40" s="1158"/>
      <c r="Y40" s="1158"/>
      <c r="Z40" s="1158"/>
      <c r="AA40" s="1158"/>
      <c r="AB40" s="1158"/>
      <c r="AC40" s="1158"/>
      <c r="AD40" s="1158"/>
      <c r="AE40" s="1158"/>
      <c r="AF40" s="1158"/>
      <c r="AG40" s="1156"/>
      <c r="AH40" s="1156"/>
      <c r="AI40" s="1156"/>
    </row>
    <row r="41" spans="1:35">
      <c r="A41" s="1156"/>
      <c r="B41" s="1156"/>
      <c r="C41" s="1156"/>
      <c r="D41" s="1156"/>
      <c r="E41" s="1158"/>
      <c r="F41" s="1158"/>
      <c r="G41" s="1158"/>
      <c r="H41" s="1158"/>
      <c r="I41" s="1158"/>
      <c r="J41" s="1158"/>
      <c r="K41" s="1158"/>
      <c r="L41" s="1158"/>
      <c r="M41" s="1158"/>
      <c r="N41" s="1158"/>
      <c r="O41" s="1158"/>
      <c r="P41" s="1158"/>
      <c r="Q41" s="1158"/>
      <c r="R41" s="1158"/>
      <c r="S41" s="1158"/>
      <c r="T41" s="1158"/>
      <c r="U41" s="1158"/>
      <c r="V41" s="1158"/>
      <c r="W41" s="1158"/>
      <c r="X41" s="1158"/>
      <c r="Y41" s="1158"/>
      <c r="Z41" s="1158"/>
      <c r="AA41" s="1158"/>
      <c r="AB41" s="1158"/>
      <c r="AC41" s="1158"/>
      <c r="AD41" s="1158"/>
      <c r="AE41" s="1158"/>
      <c r="AF41" s="1158"/>
      <c r="AG41" s="1156"/>
      <c r="AH41" s="1156"/>
      <c r="AI41" s="1156"/>
    </row>
    <row r="42" spans="1:35">
      <c r="A42" s="1156"/>
      <c r="B42" s="1156"/>
      <c r="C42" s="1156"/>
      <c r="D42" s="1156"/>
      <c r="E42" s="1158"/>
      <c r="F42" s="1158"/>
      <c r="G42" s="1158"/>
      <c r="H42" s="1158"/>
      <c r="I42" s="1158"/>
      <c r="J42" s="1158"/>
      <c r="K42" s="1158"/>
      <c r="L42" s="1158"/>
      <c r="M42" s="1158"/>
      <c r="N42" s="1158"/>
      <c r="O42" s="1158"/>
      <c r="P42" s="1158"/>
      <c r="Q42" s="1158"/>
      <c r="R42" s="1158"/>
      <c r="S42" s="1158"/>
      <c r="T42" s="1158"/>
      <c r="U42" s="1158"/>
      <c r="V42" s="1158"/>
      <c r="W42" s="1158"/>
      <c r="X42" s="1158"/>
      <c r="Y42" s="1158"/>
      <c r="Z42" s="1158"/>
      <c r="AA42" s="1158"/>
      <c r="AB42" s="1158"/>
      <c r="AC42" s="1158"/>
      <c r="AD42" s="1158"/>
      <c r="AE42" s="1158"/>
      <c r="AF42" s="1158"/>
      <c r="AG42" s="1156"/>
      <c r="AH42" s="1156"/>
      <c r="AI42" s="1156"/>
    </row>
    <row r="43" spans="1:35">
      <c r="A43" s="1156"/>
      <c r="B43" s="1156"/>
      <c r="C43" s="1156"/>
      <c r="D43" s="1156"/>
      <c r="E43" s="1158"/>
      <c r="F43" s="1158"/>
      <c r="G43" s="1158"/>
      <c r="H43" s="1158"/>
      <c r="I43" s="1158"/>
      <c r="J43" s="1158"/>
      <c r="K43" s="1158"/>
      <c r="L43" s="1158"/>
      <c r="M43" s="1158"/>
      <c r="N43" s="1158"/>
      <c r="O43" s="1158"/>
      <c r="P43" s="1158"/>
      <c r="Q43" s="1158"/>
      <c r="R43" s="1158"/>
      <c r="S43" s="1158"/>
      <c r="T43" s="1158"/>
      <c r="U43" s="1158"/>
      <c r="V43" s="1158"/>
      <c r="W43" s="1158"/>
      <c r="X43" s="1158"/>
      <c r="Y43" s="1158"/>
      <c r="Z43" s="1158"/>
      <c r="AA43" s="1158"/>
      <c r="AB43" s="1158"/>
      <c r="AC43" s="1158"/>
      <c r="AD43" s="1158"/>
      <c r="AE43" s="1158"/>
      <c r="AF43" s="1158"/>
      <c r="AG43" s="1156"/>
      <c r="AH43" s="1156"/>
      <c r="AI43" s="1156"/>
    </row>
    <row r="44" spans="1:35">
      <c r="A44" s="1156"/>
      <c r="B44" s="1156"/>
      <c r="C44" s="1156"/>
      <c r="D44" s="1156"/>
      <c r="E44" s="1158"/>
      <c r="F44" s="1158"/>
      <c r="G44" s="1158"/>
      <c r="H44" s="1158"/>
      <c r="I44" s="1158"/>
      <c r="J44" s="1158"/>
      <c r="K44" s="1158"/>
      <c r="L44" s="1158"/>
      <c r="M44" s="1158"/>
      <c r="N44" s="1158"/>
      <c r="O44" s="1158"/>
      <c r="P44" s="1158"/>
      <c r="Q44" s="1158"/>
      <c r="R44" s="1158"/>
      <c r="S44" s="1158"/>
      <c r="T44" s="1158"/>
      <c r="U44" s="1158"/>
      <c r="V44" s="1158"/>
      <c r="W44" s="1158"/>
      <c r="X44" s="1158"/>
      <c r="Y44" s="1158"/>
      <c r="Z44" s="1158"/>
      <c r="AA44" s="1158"/>
      <c r="AB44" s="1158"/>
      <c r="AC44" s="1158"/>
      <c r="AD44" s="1158"/>
      <c r="AE44" s="1158"/>
      <c r="AF44" s="1158"/>
      <c r="AG44" s="1156"/>
      <c r="AH44" s="1156"/>
      <c r="AI44" s="1156"/>
    </row>
    <row r="45" spans="1:35">
      <c r="A45" s="1156"/>
      <c r="B45" s="1156"/>
      <c r="C45" s="1156"/>
      <c r="D45" s="1156"/>
      <c r="E45" s="1158"/>
      <c r="F45" s="1158"/>
      <c r="G45" s="1158"/>
      <c r="H45" s="1158"/>
      <c r="I45" s="1158"/>
      <c r="J45" s="1158"/>
      <c r="K45" s="1158"/>
      <c r="L45" s="1158"/>
      <c r="M45" s="1158"/>
      <c r="N45" s="1158"/>
      <c r="O45" s="1158"/>
      <c r="P45" s="1158"/>
      <c r="Q45" s="1158"/>
      <c r="R45" s="1158"/>
      <c r="S45" s="1158"/>
      <c r="T45" s="1158"/>
      <c r="U45" s="1158"/>
      <c r="V45" s="1158"/>
      <c r="W45" s="1158"/>
      <c r="X45" s="1158"/>
      <c r="Y45" s="1158"/>
      <c r="Z45" s="1158"/>
      <c r="AA45" s="1158"/>
      <c r="AB45" s="1158"/>
      <c r="AC45" s="1158"/>
      <c r="AD45" s="1158"/>
      <c r="AE45" s="1158"/>
      <c r="AF45" s="1158"/>
      <c r="AG45" s="1156"/>
      <c r="AH45" s="1156"/>
      <c r="AI45" s="1156"/>
    </row>
    <row r="46" spans="1:35">
      <c r="A46" s="1156"/>
      <c r="B46" s="1156"/>
      <c r="C46" s="1156"/>
      <c r="D46" s="1156"/>
      <c r="E46" s="1158"/>
      <c r="F46" s="1158"/>
      <c r="G46" s="1158"/>
      <c r="H46" s="1158"/>
      <c r="I46" s="1158"/>
      <c r="J46" s="1158"/>
      <c r="K46" s="1158"/>
      <c r="L46" s="1158"/>
      <c r="M46" s="1158"/>
      <c r="N46" s="1158"/>
      <c r="O46" s="1158"/>
      <c r="P46" s="1158"/>
      <c r="Q46" s="1158"/>
      <c r="R46" s="1158"/>
      <c r="S46" s="1158"/>
      <c r="T46" s="1158"/>
      <c r="U46" s="1158"/>
      <c r="V46" s="1158"/>
      <c r="W46" s="1158"/>
      <c r="X46" s="1158"/>
      <c r="Y46" s="1158"/>
      <c r="Z46" s="1158"/>
      <c r="AA46" s="1158"/>
      <c r="AB46" s="1158"/>
      <c r="AC46" s="1158"/>
      <c r="AD46" s="1158"/>
      <c r="AE46" s="1158"/>
      <c r="AF46" s="1158"/>
      <c r="AG46" s="1156"/>
      <c r="AH46" s="1156"/>
      <c r="AI46" s="1156"/>
    </row>
    <row r="47" spans="1:35">
      <c r="A47" s="1156"/>
      <c r="B47" s="1156"/>
      <c r="C47" s="1156"/>
      <c r="D47" s="1156"/>
      <c r="E47" s="1158"/>
      <c r="F47" s="1158"/>
      <c r="G47" s="1158"/>
      <c r="H47" s="1158"/>
      <c r="I47" s="1158"/>
      <c r="J47" s="1158"/>
      <c r="K47" s="1158"/>
      <c r="L47" s="1158"/>
      <c r="M47" s="1158"/>
      <c r="N47" s="1158"/>
      <c r="O47" s="1158"/>
      <c r="P47" s="1158"/>
      <c r="Q47" s="1158"/>
      <c r="R47" s="1158"/>
      <c r="S47" s="1158"/>
      <c r="T47" s="1158"/>
      <c r="U47" s="1158"/>
      <c r="V47" s="1158"/>
      <c r="W47" s="1158"/>
      <c r="X47" s="1158"/>
      <c r="Y47" s="1158"/>
      <c r="Z47" s="1158"/>
      <c r="AA47" s="1158"/>
      <c r="AB47" s="1158"/>
      <c r="AC47" s="1158"/>
      <c r="AD47" s="1158"/>
      <c r="AE47" s="1158"/>
      <c r="AF47" s="1158"/>
      <c r="AG47" s="1156"/>
      <c r="AH47" s="1156"/>
      <c r="AI47" s="1156"/>
    </row>
    <row r="48" spans="1:35">
      <c r="A48" s="1156"/>
      <c r="B48" s="1156"/>
      <c r="C48" s="1156"/>
      <c r="D48" s="1156"/>
      <c r="E48" s="1158"/>
      <c r="F48" s="1158"/>
      <c r="G48" s="1158"/>
      <c r="H48" s="1158"/>
      <c r="I48" s="1158"/>
      <c r="J48" s="1158"/>
      <c r="K48" s="1158"/>
      <c r="L48" s="1158"/>
      <c r="M48" s="1158"/>
      <c r="N48" s="1158"/>
      <c r="O48" s="1158"/>
      <c r="P48" s="1158"/>
      <c r="Q48" s="1158"/>
      <c r="R48" s="1158"/>
      <c r="S48" s="1158"/>
      <c r="T48" s="1158"/>
      <c r="U48" s="1158"/>
      <c r="V48" s="1158"/>
      <c r="W48" s="1158"/>
      <c r="X48" s="1158"/>
      <c r="Y48" s="1158"/>
      <c r="Z48" s="1158"/>
      <c r="AA48" s="1158"/>
      <c r="AB48" s="1158"/>
      <c r="AC48" s="1158"/>
      <c r="AD48" s="1158"/>
      <c r="AE48" s="1158"/>
      <c r="AF48" s="1158"/>
      <c r="AG48" s="1156"/>
      <c r="AH48" s="1156"/>
      <c r="AI48" s="1156"/>
    </row>
    <row r="49" spans="1:35">
      <c r="A49" s="1156"/>
      <c r="B49" s="1156"/>
      <c r="C49" s="1156"/>
      <c r="D49" s="1156"/>
      <c r="E49" s="1158"/>
      <c r="F49" s="1158"/>
      <c r="G49" s="1158"/>
      <c r="H49" s="1158"/>
      <c r="I49" s="1158"/>
      <c r="J49" s="1158"/>
      <c r="K49" s="1158"/>
      <c r="L49" s="1158"/>
      <c r="M49" s="1158"/>
      <c r="N49" s="1158"/>
      <c r="O49" s="1158"/>
      <c r="P49" s="1158"/>
      <c r="Q49" s="1158"/>
      <c r="R49" s="1158"/>
      <c r="S49" s="1158"/>
      <c r="T49" s="1158"/>
      <c r="U49" s="1158"/>
      <c r="V49" s="1158"/>
      <c r="W49" s="1158"/>
      <c r="X49" s="1158"/>
      <c r="Y49" s="1158"/>
      <c r="Z49" s="1158"/>
      <c r="AA49" s="1158"/>
      <c r="AB49" s="1158"/>
      <c r="AC49" s="1158"/>
      <c r="AD49" s="1158"/>
      <c r="AE49" s="1158"/>
      <c r="AF49" s="1158"/>
      <c r="AG49" s="1156"/>
      <c r="AH49" s="1156"/>
      <c r="AI49" s="1156"/>
    </row>
    <row r="50" spans="1:35">
      <c r="A50" s="1156"/>
      <c r="B50" s="1156"/>
      <c r="C50" s="1156"/>
      <c r="D50" s="1156"/>
      <c r="E50" s="1158"/>
      <c r="F50" s="1158"/>
      <c r="G50" s="1158"/>
      <c r="H50" s="1158"/>
      <c r="I50" s="1158"/>
      <c r="J50" s="1158"/>
      <c r="K50" s="1158"/>
      <c r="L50" s="1158"/>
      <c r="M50" s="1158"/>
      <c r="N50" s="1158"/>
      <c r="O50" s="1158"/>
      <c r="P50" s="1158"/>
      <c r="Q50" s="1158"/>
      <c r="R50" s="1158"/>
      <c r="S50" s="1158"/>
      <c r="T50" s="1158"/>
      <c r="U50" s="1158"/>
      <c r="V50" s="1158"/>
      <c r="W50" s="1158"/>
      <c r="X50" s="1158"/>
      <c r="Y50" s="1158"/>
      <c r="Z50" s="1158"/>
      <c r="AA50" s="1158"/>
      <c r="AB50" s="1158"/>
      <c r="AC50" s="1158"/>
      <c r="AD50" s="1158"/>
      <c r="AE50" s="1158"/>
      <c r="AF50" s="1158"/>
      <c r="AG50" s="1156"/>
      <c r="AH50" s="1156"/>
      <c r="AI50" s="1156"/>
    </row>
    <row r="51" spans="1:35">
      <c r="A51" s="1156"/>
      <c r="B51" s="1156"/>
      <c r="C51" s="1156"/>
      <c r="D51" s="1156"/>
      <c r="E51" s="1158"/>
      <c r="F51" s="1158"/>
      <c r="G51" s="1158"/>
      <c r="H51" s="1158"/>
      <c r="I51" s="1158"/>
      <c r="J51" s="1158"/>
      <c r="K51" s="1158"/>
      <c r="L51" s="1158"/>
      <c r="M51" s="1158"/>
      <c r="N51" s="1158"/>
      <c r="O51" s="1158"/>
      <c r="P51" s="1158"/>
      <c r="Q51" s="1158"/>
      <c r="R51" s="1158"/>
      <c r="S51" s="1158"/>
      <c r="T51" s="1158"/>
      <c r="U51" s="1158"/>
      <c r="V51" s="1158"/>
      <c r="W51" s="1158"/>
      <c r="X51" s="1158"/>
      <c r="Y51" s="1158"/>
      <c r="Z51" s="1158"/>
      <c r="AA51" s="1158"/>
      <c r="AB51" s="1158"/>
      <c r="AC51" s="1158"/>
      <c r="AD51" s="1158"/>
      <c r="AE51" s="1158"/>
      <c r="AF51" s="1158"/>
      <c r="AG51" s="1156"/>
      <c r="AH51" s="1156"/>
      <c r="AI51" s="1156"/>
    </row>
    <row r="52" spans="1:35">
      <c r="A52" s="1156"/>
      <c r="B52" s="1156"/>
      <c r="C52" s="1156"/>
      <c r="D52" s="1156"/>
      <c r="E52" s="1158"/>
      <c r="F52" s="1158"/>
      <c r="G52" s="1158"/>
      <c r="H52" s="1158"/>
      <c r="I52" s="1158"/>
      <c r="J52" s="1158"/>
      <c r="K52" s="1158"/>
      <c r="L52" s="1158"/>
      <c r="M52" s="1158"/>
      <c r="N52" s="1158"/>
      <c r="O52" s="1158"/>
      <c r="P52" s="1158"/>
      <c r="Q52" s="1158"/>
      <c r="R52" s="1158"/>
      <c r="S52" s="1158"/>
      <c r="T52" s="1158"/>
      <c r="U52" s="1158"/>
      <c r="V52" s="1158"/>
      <c r="W52" s="1158"/>
      <c r="X52" s="1158"/>
      <c r="Y52" s="1158"/>
      <c r="Z52" s="1158"/>
      <c r="AA52" s="1158"/>
      <c r="AB52" s="1158"/>
      <c r="AC52" s="1158"/>
      <c r="AD52" s="1158"/>
      <c r="AE52" s="1158"/>
      <c r="AF52" s="1158"/>
      <c r="AG52" s="1156"/>
      <c r="AH52" s="1156"/>
      <c r="AI52" s="1156"/>
    </row>
    <row r="53" spans="1:35">
      <c r="A53" s="1156"/>
      <c r="B53" s="1156"/>
      <c r="C53" s="1156"/>
      <c r="D53" s="1156"/>
      <c r="E53" s="1158"/>
      <c r="F53" s="1158"/>
      <c r="G53" s="1158"/>
      <c r="H53" s="1158"/>
      <c r="I53" s="1158"/>
      <c r="J53" s="1158"/>
      <c r="K53" s="1158"/>
      <c r="L53" s="1158"/>
      <c r="M53" s="1158"/>
      <c r="N53" s="1158"/>
      <c r="O53" s="1158"/>
      <c r="P53" s="1158"/>
      <c r="Q53" s="1158"/>
      <c r="R53" s="1158"/>
      <c r="S53" s="1158"/>
      <c r="T53" s="1158"/>
      <c r="U53" s="1158"/>
      <c r="V53" s="1158"/>
      <c r="W53" s="1158"/>
      <c r="X53" s="1158"/>
      <c r="Y53" s="1158"/>
      <c r="Z53" s="1158"/>
      <c r="AA53" s="1158"/>
      <c r="AB53" s="1158"/>
      <c r="AC53" s="1158"/>
      <c r="AD53" s="1158"/>
      <c r="AE53" s="1158"/>
      <c r="AF53" s="1158"/>
      <c r="AG53" s="1156"/>
      <c r="AH53" s="1156"/>
      <c r="AI53" s="1156"/>
    </row>
    <row r="54" spans="1:35">
      <c r="A54" s="1156"/>
      <c r="B54" s="1156"/>
      <c r="C54" s="1156"/>
      <c r="D54" s="1156"/>
      <c r="E54" s="1158"/>
      <c r="F54" s="1158"/>
      <c r="G54" s="1158"/>
      <c r="H54" s="1158"/>
      <c r="I54" s="1158"/>
      <c r="J54" s="1158"/>
      <c r="K54" s="1158"/>
      <c r="L54" s="1158"/>
      <c r="M54" s="1158"/>
      <c r="N54" s="1158"/>
      <c r="O54" s="1158"/>
      <c r="P54" s="1158"/>
      <c r="Q54" s="1158"/>
      <c r="R54" s="1158"/>
      <c r="S54" s="1158"/>
      <c r="T54" s="1158"/>
      <c r="U54" s="1158"/>
      <c r="V54" s="1158"/>
      <c r="W54" s="1158"/>
      <c r="X54" s="1158"/>
      <c r="Y54" s="1158"/>
      <c r="Z54" s="1158"/>
      <c r="AA54" s="1158"/>
      <c r="AB54" s="1158"/>
      <c r="AC54" s="1158"/>
      <c r="AD54" s="1158"/>
      <c r="AE54" s="1158"/>
      <c r="AF54" s="1158"/>
      <c r="AG54" s="1156"/>
      <c r="AH54" s="1156"/>
      <c r="AI54" s="1156"/>
    </row>
    <row r="55" spans="1:35">
      <c r="A55" s="1156"/>
      <c r="B55" s="1156"/>
      <c r="C55" s="1156"/>
      <c r="D55" s="1156"/>
      <c r="E55" s="1158"/>
      <c r="F55" s="1158"/>
      <c r="G55" s="1158"/>
      <c r="H55" s="1158"/>
      <c r="I55" s="1158"/>
      <c r="J55" s="1158"/>
      <c r="K55" s="1158"/>
      <c r="L55" s="1158"/>
      <c r="M55" s="1158"/>
      <c r="N55" s="1158"/>
      <c r="O55" s="1158"/>
      <c r="P55" s="1158"/>
      <c r="Q55" s="1158"/>
      <c r="R55" s="1158"/>
      <c r="S55" s="1158"/>
      <c r="T55" s="1158"/>
      <c r="U55" s="1158"/>
      <c r="V55" s="1158"/>
      <c r="W55" s="1158"/>
      <c r="X55" s="1158"/>
      <c r="Y55" s="1158"/>
      <c r="Z55" s="1158"/>
      <c r="AA55" s="1158"/>
      <c r="AB55" s="1158"/>
      <c r="AC55" s="1158"/>
      <c r="AD55" s="1158"/>
      <c r="AE55" s="1158"/>
      <c r="AF55" s="1158"/>
      <c r="AG55" s="1156"/>
      <c r="AH55" s="1156"/>
      <c r="AI55" s="1156"/>
    </row>
    <row r="56" spans="1:35">
      <c r="A56" s="1156"/>
      <c r="B56" s="1156"/>
      <c r="C56" s="1156"/>
      <c r="D56" s="1156"/>
      <c r="E56" s="1158"/>
      <c r="F56" s="1158"/>
      <c r="G56" s="1158"/>
      <c r="H56" s="1158"/>
      <c r="I56" s="1158"/>
      <c r="J56" s="1158"/>
      <c r="K56" s="1158"/>
      <c r="L56" s="1158"/>
      <c r="M56" s="1158"/>
      <c r="N56" s="1158"/>
      <c r="O56" s="1158"/>
      <c r="P56" s="1158"/>
      <c r="Q56" s="1158"/>
      <c r="R56" s="1158"/>
      <c r="S56" s="1158"/>
      <c r="T56" s="1158"/>
      <c r="U56" s="1158"/>
      <c r="V56" s="1158"/>
      <c r="W56" s="1158"/>
      <c r="X56" s="1158"/>
      <c r="Y56" s="1158"/>
      <c r="Z56" s="1158"/>
      <c r="AA56" s="1158"/>
      <c r="AB56" s="1158"/>
      <c r="AC56" s="1158"/>
      <c r="AD56" s="1158"/>
      <c r="AE56" s="1158"/>
      <c r="AF56" s="1158"/>
      <c r="AG56" s="1156"/>
      <c r="AH56" s="1156"/>
      <c r="AI56" s="1156"/>
    </row>
    <row r="57" spans="1:35">
      <c r="A57" s="1156"/>
      <c r="B57" s="1156"/>
      <c r="C57" s="1156"/>
      <c r="D57" s="1156"/>
      <c r="E57" s="1158"/>
      <c r="F57" s="1158"/>
      <c r="G57" s="1158"/>
      <c r="H57" s="1158"/>
      <c r="I57" s="1158"/>
      <c r="J57" s="1158"/>
      <c r="K57" s="1158"/>
      <c r="L57" s="1158"/>
      <c r="M57" s="1158"/>
      <c r="N57" s="1158"/>
      <c r="O57" s="1158"/>
      <c r="P57" s="1158"/>
      <c r="Q57" s="1158"/>
      <c r="R57" s="1158"/>
      <c r="S57" s="1158"/>
      <c r="T57" s="1158"/>
      <c r="U57" s="1158"/>
      <c r="V57" s="1158"/>
      <c r="W57" s="1158"/>
      <c r="X57" s="1158"/>
      <c r="Y57" s="1158"/>
      <c r="Z57" s="1158"/>
      <c r="AA57" s="1158"/>
      <c r="AB57" s="1158"/>
      <c r="AC57" s="1158"/>
      <c r="AD57" s="1158"/>
      <c r="AE57" s="1158"/>
      <c r="AF57" s="1158"/>
      <c r="AG57" s="1156"/>
      <c r="AH57" s="1156"/>
      <c r="AI57" s="1156"/>
    </row>
    <row r="58" spans="1:35">
      <c r="A58" s="1156"/>
      <c r="B58" s="1156"/>
      <c r="C58" s="1156"/>
      <c r="D58" s="1156"/>
      <c r="E58" s="1158"/>
      <c r="F58" s="1158"/>
      <c r="G58" s="1158"/>
      <c r="H58" s="1158"/>
      <c r="I58" s="1158"/>
      <c r="J58" s="1158"/>
      <c r="K58" s="1158"/>
      <c r="L58" s="1158"/>
      <c r="M58" s="1158"/>
      <c r="N58" s="1158"/>
      <c r="O58" s="1158"/>
      <c r="P58" s="1158"/>
      <c r="Q58" s="1158"/>
      <c r="R58" s="1158"/>
      <c r="S58" s="1158"/>
      <c r="T58" s="1158"/>
      <c r="U58" s="1158"/>
      <c r="V58" s="1158"/>
      <c r="W58" s="1158"/>
      <c r="X58" s="1158"/>
      <c r="Y58" s="1158"/>
      <c r="Z58" s="1158"/>
      <c r="AA58" s="1158"/>
      <c r="AB58" s="1158"/>
      <c r="AC58" s="1158"/>
      <c r="AD58" s="1158"/>
      <c r="AE58" s="1158"/>
      <c r="AF58" s="1158"/>
      <c r="AG58" s="1156"/>
      <c r="AH58" s="1156"/>
      <c r="AI58" s="1156"/>
    </row>
    <row r="59" spans="1:35">
      <c r="A59" s="1156"/>
      <c r="B59" s="1156"/>
      <c r="C59" s="1156"/>
      <c r="D59" s="1156"/>
      <c r="E59" s="1158"/>
      <c r="F59" s="1158"/>
      <c r="G59" s="1158"/>
      <c r="H59" s="1158"/>
      <c r="I59" s="1158"/>
      <c r="J59" s="1158"/>
      <c r="K59" s="1158"/>
      <c r="L59" s="1158"/>
      <c r="M59" s="1158"/>
      <c r="N59" s="1158"/>
      <c r="O59" s="1158"/>
      <c r="P59" s="1158"/>
      <c r="Q59" s="1158"/>
      <c r="R59" s="1158"/>
      <c r="S59" s="1158"/>
      <c r="T59" s="1158"/>
      <c r="U59" s="1158"/>
      <c r="V59" s="1158"/>
      <c r="W59" s="1158"/>
      <c r="X59" s="1158"/>
      <c r="Y59" s="1158"/>
      <c r="Z59" s="1158"/>
      <c r="AA59" s="1158"/>
      <c r="AB59" s="1158"/>
      <c r="AC59" s="1158"/>
      <c r="AD59" s="1158"/>
      <c r="AE59" s="1158"/>
      <c r="AF59" s="1158"/>
      <c r="AG59" s="1156"/>
      <c r="AH59" s="1156"/>
      <c r="AI59" s="1156"/>
    </row>
    <row r="60" spans="1:35">
      <c r="A60" s="1156"/>
      <c r="B60" s="1156"/>
      <c r="C60" s="1156"/>
      <c r="D60" s="1156"/>
      <c r="E60" s="1158"/>
      <c r="F60" s="1158"/>
      <c r="G60" s="1158"/>
      <c r="H60" s="1158"/>
      <c r="I60" s="1158"/>
      <c r="J60" s="1158"/>
      <c r="K60" s="1158"/>
      <c r="L60" s="1158"/>
      <c r="M60" s="1158"/>
      <c r="N60" s="1158"/>
      <c r="O60" s="1158"/>
      <c r="P60" s="1158"/>
      <c r="Q60" s="1158"/>
      <c r="R60" s="1158"/>
      <c r="S60" s="1158"/>
      <c r="T60" s="1158"/>
      <c r="U60" s="1158"/>
      <c r="V60" s="1158"/>
      <c r="W60" s="1158"/>
      <c r="X60" s="1158"/>
      <c r="Y60" s="1158"/>
      <c r="Z60" s="1156"/>
      <c r="AA60" s="1156"/>
      <c r="AB60" s="1156"/>
      <c r="AC60" s="1156"/>
      <c r="AD60" s="1156"/>
      <c r="AE60" s="1156"/>
      <c r="AF60" s="1156"/>
      <c r="AG60" s="1156"/>
      <c r="AH60" s="1156"/>
      <c r="AI60" s="1156"/>
    </row>
    <row r="61" spans="1:35">
      <c r="A61" s="1156"/>
      <c r="B61" s="1156"/>
      <c r="C61" s="1156"/>
      <c r="D61" s="1156"/>
      <c r="E61" s="1158"/>
      <c r="F61" s="1158"/>
      <c r="G61" s="1158"/>
      <c r="H61" s="1158"/>
      <c r="I61" s="1158"/>
      <c r="J61" s="1158"/>
      <c r="K61" s="1158"/>
      <c r="L61" s="1158"/>
      <c r="M61" s="1158"/>
      <c r="N61" s="1158"/>
      <c r="O61" s="1158"/>
      <c r="P61" s="1158"/>
      <c r="Q61" s="1158"/>
      <c r="R61" s="1158"/>
      <c r="S61" s="1158"/>
      <c r="T61" s="1158"/>
      <c r="U61" s="1158"/>
      <c r="V61" s="1158"/>
      <c r="W61" s="1158"/>
      <c r="X61" s="1158"/>
      <c r="Y61" s="1158"/>
      <c r="Z61" s="1156"/>
      <c r="AA61" s="1156"/>
      <c r="AB61" s="1156"/>
      <c r="AC61" s="1156"/>
      <c r="AD61" s="1156"/>
      <c r="AE61" s="1156"/>
      <c r="AF61" s="1156"/>
      <c r="AG61" s="1156"/>
      <c r="AH61" s="1156"/>
      <c r="AI61" s="1156"/>
    </row>
    <row r="62" spans="1:35">
      <c r="A62" s="1156"/>
      <c r="B62" s="1156"/>
      <c r="C62" s="1156"/>
      <c r="D62" s="1156"/>
      <c r="E62" s="1158"/>
      <c r="F62" s="1158"/>
      <c r="G62" s="1158"/>
      <c r="H62" s="1158"/>
      <c r="I62" s="1158"/>
      <c r="J62" s="1158"/>
      <c r="K62" s="1158"/>
      <c r="L62" s="1158"/>
      <c r="M62" s="1158"/>
      <c r="N62" s="1158"/>
      <c r="O62" s="1158"/>
      <c r="P62" s="1158"/>
      <c r="Q62" s="1158"/>
      <c r="R62" s="1158"/>
      <c r="S62" s="1158"/>
      <c r="T62" s="1158"/>
      <c r="U62" s="1158"/>
      <c r="V62" s="1158"/>
      <c r="W62" s="1158"/>
      <c r="X62" s="1158"/>
      <c r="Y62" s="1158"/>
      <c r="Z62" s="1156"/>
      <c r="AA62" s="1156"/>
      <c r="AB62" s="1156"/>
      <c r="AC62" s="1156"/>
      <c r="AD62" s="1156"/>
      <c r="AE62" s="1156"/>
      <c r="AF62" s="1156"/>
      <c r="AG62" s="1156"/>
      <c r="AH62" s="1156"/>
      <c r="AI62" s="1156"/>
    </row>
    <row r="63" spans="1:35">
      <c r="A63" s="1156"/>
      <c r="B63" s="1156"/>
      <c r="C63" s="1156"/>
      <c r="D63" s="1156"/>
      <c r="E63" s="1158"/>
      <c r="F63" s="1158"/>
      <c r="G63" s="1158"/>
      <c r="H63" s="1158"/>
      <c r="I63" s="1158"/>
      <c r="J63" s="1158"/>
      <c r="K63" s="1158"/>
      <c r="L63" s="1158"/>
      <c r="M63" s="1158"/>
      <c r="N63" s="1158"/>
      <c r="O63" s="1158"/>
      <c r="P63" s="1158"/>
      <c r="Q63" s="1158"/>
      <c r="R63" s="1158"/>
      <c r="S63" s="1158"/>
      <c r="T63" s="1158"/>
      <c r="U63" s="1158"/>
      <c r="V63" s="1158"/>
      <c r="W63" s="1158"/>
      <c r="X63" s="1158"/>
      <c r="Y63" s="1158"/>
      <c r="Z63" s="1156"/>
      <c r="AA63" s="1156"/>
      <c r="AB63" s="1156"/>
      <c r="AC63" s="1156"/>
      <c r="AD63" s="1156"/>
      <c r="AE63" s="1156"/>
      <c r="AF63" s="1156"/>
      <c r="AG63" s="1156"/>
      <c r="AH63" s="1156"/>
      <c r="AI63" s="1156"/>
    </row>
    <row r="64" spans="1:35">
      <c r="A64" s="1156"/>
      <c r="B64" s="1156"/>
      <c r="C64" s="1156"/>
      <c r="D64" s="1156"/>
      <c r="E64" s="1158"/>
      <c r="F64" s="1158"/>
      <c r="G64" s="1158"/>
      <c r="H64" s="1158"/>
      <c r="I64" s="1158"/>
      <c r="J64" s="1158"/>
      <c r="K64" s="1158"/>
      <c r="L64" s="1158"/>
      <c r="M64" s="1158"/>
      <c r="N64" s="1158"/>
      <c r="O64" s="1158"/>
      <c r="P64" s="1158"/>
      <c r="Q64" s="1158"/>
      <c r="R64" s="1158"/>
      <c r="S64" s="1158"/>
      <c r="T64" s="1158"/>
      <c r="U64" s="1158"/>
      <c r="V64" s="1158"/>
      <c r="W64" s="1158"/>
      <c r="X64" s="1158"/>
      <c r="Y64" s="1158"/>
      <c r="Z64" s="1156"/>
      <c r="AA64" s="1156"/>
      <c r="AB64" s="1156"/>
      <c r="AC64" s="1156"/>
      <c r="AD64" s="1156"/>
      <c r="AE64" s="1156"/>
      <c r="AF64" s="1156"/>
      <c r="AG64" s="1156"/>
      <c r="AH64" s="1156"/>
      <c r="AI64" s="1156"/>
    </row>
    <row r="65" spans="1:35">
      <c r="A65" s="1156"/>
      <c r="B65" s="1156"/>
      <c r="C65" s="1156"/>
      <c r="D65" s="1156"/>
      <c r="E65" s="1158"/>
      <c r="F65" s="1158"/>
      <c r="G65" s="1158"/>
      <c r="H65" s="1158"/>
      <c r="I65" s="1158"/>
      <c r="J65" s="1158"/>
      <c r="K65" s="1158"/>
      <c r="L65" s="1158"/>
      <c r="M65" s="1158"/>
      <c r="N65" s="1158"/>
      <c r="O65" s="1158"/>
      <c r="P65" s="1158"/>
      <c r="Q65" s="1158"/>
      <c r="R65" s="1158"/>
      <c r="S65" s="1158"/>
      <c r="T65" s="1158"/>
      <c r="U65" s="1158"/>
      <c r="V65" s="1158"/>
      <c r="W65" s="1158"/>
      <c r="X65" s="1158"/>
      <c r="Y65" s="1158"/>
      <c r="Z65" s="1156"/>
      <c r="AA65" s="1156"/>
      <c r="AB65" s="1156"/>
      <c r="AC65" s="1156"/>
      <c r="AD65" s="1156"/>
      <c r="AE65" s="1156"/>
      <c r="AF65" s="1156"/>
      <c r="AG65" s="1156"/>
      <c r="AH65" s="1156"/>
      <c r="AI65" s="1156"/>
    </row>
    <row r="66" spans="1:35">
      <c r="A66" s="1156"/>
      <c r="B66" s="1156"/>
      <c r="C66" s="1156"/>
      <c r="D66" s="1156"/>
      <c r="E66" s="1158"/>
      <c r="F66" s="1158"/>
      <c r="G66" s="1158"/>
      <c r="H66" s="1158"/>
      <c r="I66" s="1158"/>
      <c r="J66" s="1158"/>
      <c r="K66" s="1158"/>
      <c r="L66" s="1158"/>
      <c r="M66" s="1158"/>
      <c r="N66" s="1158"/>
      <c r="O66" s="1158"/>
      <c r="P66" s="1158"/>
      <c r="Q66" s="1158"/>
      <c r="R66" s="1158"/>
      <c r="S66" s="1158"/>
      <c r="T66" s="1158"/>
      <c r="U66" s="1158"/>
      <c r="V66" s="1158"/>
      <c r="W66" s="1158"/>
      <c r="X66" s="1158"/>
      <c r="Y66" s="1158"/>
      <c r="Z66" s="1156"/>
      <c r="AA66" s="1156"/>
      <c r="AB66" s="1156"/>
      <c r="AC66" s="1156"/>
      <c r="AD66" s="1156"/>
      <c r="AE66" s="1156"/>
      <c r="AF66" s="1156"/>
      <c r="AG66" s="1156"/>
      <c r="AH66" s="1156"/>
      <c r="AI66" s="1156"/>
    </row>
    <row r="67" spans="1:35">
      <c r="A67" s="1156"/>
      <c r="B67" s="1156"/>
      <c r="C67" s="1156"/>
      <c r="D67" s="1156"/>
      <c r="E67" s="1158"/>
      <c r="F67" s="1158"/>
      <c r="G67" s="1158"/>
      <c r="H67" s="1158"/>
      <c r="I67" s="1158"/>
      <c r="J67" s="1158"/>
      <c r="K67" s="1158"/>
      <c r="L67" s="1158"/>
      <c r="M67" s="1158"/>
      <c r="N67" s="1158"/>
      <c r="O67" s="1158"/>
      <c r="P67" s="1158"/>
      <c r="Q67" s="1158"/>
      <c r="R67" s="1158"/>
      <c r="S67" s="1158"/>
      <c r="T67" s="1158"/>
      <c r="U67" s="1158"/>
      <c r="V67" s="1158"/>
      <c r="W67" s="1158"/>
      <c r="X67" s="1158"/>
      <c r="Y67" s="1158"/>
      <c r="Z67" s="1156"/>
      <c r="AA67" s="1156"/>
      <c r="AB67" s="1156"/>
      <c r="AC67" s="1156"/>
      <c r="AD67" s="1156"/>
      <c r="AE67" s="1156"/>
      <c r="AF67" s="1156"/>
      <c r="AG67" s="1156"/>
      <c r="AH67" s="1156"/>
      <c r="AI67" s="1156"/>
    </row>
    <row r="68" spans="1:35">
      <c r="A68" s="1156"/>
      <c r="B68" s="1156"/>
      <c r="C68" s="1156"/>
      <c r="D68" s="1156"/>
      <c r="E68" s="1158"/>
      <c r="F68" s="1158"/>
      <c r="G68" s="1158"/>
      <c r="H68" s="1158"/>
      <c r="I68" s="1158"/>
      <c r="J68" s="1158"/>
      <c r="K68" s="1158"/>
      <c r="L68" s="1158"/>
      <c r="M68" s="1158"/>
      <c r="N68" s="1158"/>
      <c r="O68" s="1158"/>
      <c r="P68" s="1158"/>
      <c r="Q68" s="1158"/>
      <c r="R68" s="1158"/>
      <c r="S68" s="1158"/>
      <c r="T68" s="1158"/>
      <c r="U68" s="1158"/>
      <c r="V68" s="1158"/>
      <c r="W68" s="1158"/>
      <c r="X68" s="1158"/>
      <c r="Y68" s="1158"/>
      <c r="Z68" s="1156"/>
      <c r="AA68" s="1156"/>
      <c r="AB68" s="1156"/>
      <c r="AC68" s="1156"/>
      <c r="AD68" s="1156"/>
      <c r="AE68" s="1156"/>
      <c r="AF68" s="1156"/>
      <c r="AG68" s="1156"/>
      <c r="AH68" s="1156"/>
      <c r="AI68" s="1156"/>
    </row>
    <row r="69" spans="1:35">
      <c r="A69" s="1156"/>
      <c r="B69" s="1156"/>
      <c r="C69" s="1156"/>
      <c r="D69" s="1156"/>
      <c r="E69" s="1158"/>
      <c r="F69" s="1158"/>
      <c r="G69" s="1158"/>
      <c r="H69" s="1158"/>
      <c r="I69" s="1158"/>
      <c r="J69" s="1158"/>
      <c r="K69" s="1158"/>
      <c r="L69" s="1158"/>
      <c r="M69" s="1158"/>
      <c r="N69" s="1158"/>
      <c r="O69" s="1158"/>
      <c r="P69" s="1158"/>
      <c r="Q69" s="1158"/>
      <c r="R69" s="1158"/>
      <c r="S69" s="1158"/>
      <c r="T69" s="1158"/>
      <c r="U69" s="1158"/>
      <c r="V69" s="1158"/>
      <c r="W69" s="1158"/>
      <c r="X69" s="1158"/>
      <c r="Y69" s="1158"/>
      <c r="Z69" s="1156"/>
      <c r="AA69" s="1156"/>
      <c r="AB69" s="1156"/>
      <c r="AC69" s="1156"/>
      <c r="AD69" s="1156"/>
      <c r="AE69" s="1156"/>
      <c r="AF69" s="1156"/>
      <c r="AG69" s="1156"/>
      <c r="AH69" s="1156"/>
      <c r="AI69" s="1156"/>
    </row>
    <row r="70" spans="1:35">
      <c r="A70" s="1156"/>
      <c r="B70" s="1156"/>
      <c r="C70" s="1156"/>
      <c r="D70" s="1156"/>
      <c r="E70" s="1158"/>
      <c r="F70" s="1158"/>
      <c r="G70" s="1158"/>
      <c r="H70" s="1158"/>
      <c r="I70" s="1158"/>
      <c r="J70" s="1158"/>
      <c r="K70" s="1158"/>
      <c r="L70" s="1158"/>
      <c r="M70" s="1158"/>
      <c r="N70" s="1158"/>
      <c r="O70" s="1158"/>
      <c r="P70" s="1158"/>
      <c r="Q70" s="1158"/>
      <c r="R70" s="1158"/>
      <c r="S70" s="1158"/>
      <c r="T70" s="1158"/>
      <c r="U70" s="1158"/>
      <c r="V70" s="1158"/>
      <c r="W70" s="1158"/>
      <c r="X70" s="1158"/>
      <c r="Y70" s="1158"/>
      <c r="Z70" s="1156"/>
      <c r="AA70" s="1156"/>
      <c r="AB70" s="1156"/>
      <c r="AC70" s="1156"/>
      <c r="AD70" s="1156"/>
      <c r="AE70" s="1156"/>
      <c r="AF70" s="1156"/>
      <c r="AG70" s="1156"/>
      <c r="AH70" s="1156"/>
      <c r="AI70" s="1156"/>
    </row>
    <row r="71" spans="1:35">
      <c r="A71" s="1156"/>
      <c r="B71" s="1156"/>
      <c r="C71" s="1156"/>
      <c r="D71" s="1156"/>
      <c r="E71" s="1158"/>
      <c r="F71" s="1158"/>
      <c r="G71" s="1158"/>
      <c r="H71" s="1158"/>
      <c r="I71" s="1158"/>
      <c r="J71" s="1158"/>
      <c r="K71" s="1158"/>
      <c r="L71" s="1158"/>
      <c r="M71" s="1158"/>
      <c r="N71" s="1158"/>
      <c r="O71" s="1158"/>
      <c r="P71" s="1158"/>
      <c r="Q71" s="1158"/>
      <c r="R71" s="1158"/>
      <c r="S71" s="1158"/>
      <c r="T71" s="1158"/>
      <c r="U71" s="1158"/>
      <c r="V71" s="1158"/>
      <c r="W71" s="1158"/>
      <c r="X71" s="1158"/>
      <c r="Y71" s="1158"/>
      <c r="Z71" s="1156"/>
      <c r="AA71" s="1156"/>
      <c r="AB71" s="1156"/>
      <c r="AC71" s="1156"/>
      <c r="AD71" s="1156"/>
      <c r="AE71" s="1156"/>
      <c r="AF71" s="1156"/>
      <c r="AG71" s="1156"/>
      <c r="AH71" s="1156"/>
      <c r="AI71" s="1156"/>
    </row>
    <row r="72" spans="1:35">
      <c r="A72" s="1156"/>
      <c r="B72" s="1156"/>
      <c r="C72" s="1156"/>
      <c r="D72" s="1156"/>
      <c r="E72" s="1158"/>
      <c r="F72" s="1158"/>
      <c r="G72" s="1158"/>
      <c r="H72" s="1158"/>
      <c r="I72" s="1158"/>
      <c r="J72" s="1158"/>
      <c r="K72" s="1158"/>
      <c r="L72" s="1158"/>
      <c r="M72" s="1158"/>
      <c r="N72" s="1158"/>
      <c r="O72" s="1158"/>
      <c r="P72" s="1158"/>
      <c r="Q72" s="1158"/>
      <c r="R72" s="1158"/>
      <c r="S72" s="1158"/>
      <c r="T72" s="1158"/>
      <c r="U72" s="1158"/>
      <c r="V72" s="1158"/>
      <c r="W72" s="1158"/>
      <c r="X72" s="1158"/>
      <c r="Y72" s="1158"/>
      <c r="Z72" s="1156"/>
      <c r="AA72" s="1156"/>
      <c r="AB72" s="1156"/>
      <c r="AC72" s="1156"/>
      <c r="AD72" s="1156"/>
      <c r="AE72" s="1156"/>
      <c r="AF72" s="1156"/>
      <c r="AG72" s="1156"/>
      <c r="AH72" s="1156"/>
      <c r="AI72" s="1156"/>
    </row>
    <row r="73" spans="1:35">
      <c r="A73" s="1156"/>
      <c r="B73" s="1156"/>
      <c r="C73" s="1156"/>
      <c r="D73" s="1156"/>
      <c r="E73" s="1158"/>
      <c r="F73" s="1158"/>
      <c r="G73" s="1158"/>
      <c r="H73" s="1158"/>
      <c r="I73" s="1158"/>
      <c r="J73" s="1158"/>
      <c r="K73" s="1158"/>
      <c r="L73" s="1158"/>
      <c r="M73" s="1158"/>
      <c r="N73" s="1158"/>
      <c r="O73" s="1158"/>
      <c r="P73" s="1158"/>
      <c r="Q73" s="1158"/>
      <c r="R73" s="1158"/>
      <c r="S73" s="1158"/>
      <c r="T73" s="1158"/>
      <c r="U73" s="1158"/>
      <c r="V73" s="1158"/>
      <c r="W73" s="1158"/>
      <c r="X73" s="1158"/>
      <c r="Y73" s="1158"/>
      <c r="Z73" s="1156"/>
      <c r="AA73" s="1156"/>
      <c r="AB73" s="1156"/>
      <c r="AC73" s="1156"/>
      <c r="AD73" s="1156"/>
      <c r="AE73" s="1156"/>
      <c r="AF73" s="1156"/>
      <c r="AG73" s="1156"/>
      <c r="AH73" s="1156"/>
      <c r="AI73" s="1156"/>
    </row>
    <row r="74" spans="1:35">
      <c r="A74" s="1156"/>
      <c r="B74" s="1156"/>
      <c r="C74" s="1156"/>
      <c r="D74" s="1156"/>
      <c r="E74" s="1158"/>
      <c r="F74" s="1158"/>
      <c r="G74" s="1158"/>
      <c r="H74" s="1158"/>
      <c r="I74" s="1158"/>
      <c r="J74" s="1158"/>
      <c r="K74" s="1158"/>
      <c r="L74" s="1158"/>
      <c r="M74" s="1158"/>
      <c r="N74" s="1158"/>
      <c r="O74" s="1158"/>
      <c r="P74" s="1158"/>
      <c r="Q74" s="1158"/>
      <c r="R74" s="1158"/>
      <c r="S74" s="1158"/>
      <c r="T74" s="1158"/>
      <c r="U74" s="1158"/>
      <c r="V74" s="1158"/>
      <c r="W74" s="1158"/>
      <c r="X74" s="1158"/>
      <c r="Y74" s="1158"/>
      <c r="Z74" s="1156"/>
      <c r="AA74" s="1156"/>
      <c r="AB74" s="1156"/>
      <c r="AC74" s="1156"/>
      <c r="AD74" s="1156"/>
      <c r="AE74" s="1156"/>
      <c r="AF74" s="1156"/>
      <c r="AG74" s="1156"/>
      <c r="AH74" s="1156"/>
      <c r="AI74" s="1156"/>
    </row>
    <row r="75" spans="1:35">
      <c r="A75" s="1156"/>
      <c r="B75" s="1156"/>
      <c r="C75" s="1156"/>
      <c r="D75" s="1156"/>
      <c r="E75" s="1158"/>
      <c r="F75" s="1158"/>
      <c r="G75" s="1158"/>
      <c r="H75" s="1158"/>
      <c r="I75" s="1158"/>
      <c r="J75" s="1158"/>
      <c r="K75" s="1158"/>
      <c r="L75" s="1158"/>
      <c r="M75" s="1158"/>
      <c r="N75" s="1158"/>
      <c r="O75" s="1158"/>
      <c r="P75" s="1158"/>
      <c r="Q75" s="1158"/>
      <c r="R75" s="1158"/>
      <c r="S75" s="1158"/>
      <c r="T75" s="1158"/>
      <c r="U75" s="1158"/>
      <c r="V75" s="1158"/>
      <c r="W75" s="1158"/>
      <c r="X75" s="1158"/>
      <c r="Y75" s="1158"/>
      <c r="Z75" s="1156"/>
      <c r="AA75" s="1156"/>
      <c r="AB75" s="1156"/>
      <c r="AC75" s="1156"/>
      <c r="AD75" s="1156"/>
      <c r="AE75" s="1156"/>
      <c r="AF75" s="1156"/>
      <c r="AG75" s="1156"/>
      <c r="AH75" s="1156"/>
      <c r="AI75" s="1156"/>
    </row>
    <row r="76" spans="1:35">
      <c r="A76" s="1156"/>
      <c r="B76" s="1156"/>
      <c r="C76" s="1156"/>
      <c r="D76" s="1156"/>
      <c r="E76" s="1158"/>
      <c r="F76" s="1158"/>
      <c r="G76" s="1158"/>
      <c r="H76" s="1158"/>
      <c r="I76" s="1158"/>
      <c r="J76" s="1158"/>
      <c r="K76" s="1158"/>
      <c r="L76" s="1158"/>
      <c r="M76" s="1158"/>
      <c r="N76" s="1158"/>
      <c r="O76" s="1158"/>
      <c r="P76" s="1158"/>
      <c r="Q76" s="1158"/>
      <c r="R76" s="1158"/>
      <c r="S76" s="1158"/>
      <c r="T76" s="1158"/>
      <c r="U76" s="1158"/>
      <c r="V76" s="1158"/>
      <c r="W76" s="1158"/>
      <c r="X76" s="1158"/>
      <c r="Y76" s="1158"/>
      <c r="Z76" s="1156"/>
      <c r="AA76" s="1156"/>
      <c r="AB76" s="1156"/>
      <c r="AC76" s="1156"/>
      <c r="AD76" s="1156"/>
      <c r="AE76" s="1156"/>
      <c r="AF76" s="1156"/>
      <c r="AG76" s="1156"/>
      <c r="AH76" s="1156"/>
      <c r="AI76" s="1156"/>
    </row>
    <row r="77" spans="1:35">
      <c r="A77" s="1156"/>
      <c r="B77" s="1156"/>
      <c r="C77" s="1156"/>
      <c r="D77" s="1156"/>
      <c r="E77" s="1158"/>
      <c r="F77" s="1158"/>
      <c r="G77" s="1158"/>
      <c r="H77" s="1158"/>
      <c r="I77" s="1158"/>
      <c r="J77" s="1158"/>
      <c r="K77" s="1158"/>
      <c r="L77" s="1158"/>
      <c r="M77" s="1158"/>
      <c r="N77" s="1158"/>
      <c r="O77" s="1158"/>
      <c r="P77" s="1158"/>
      <c r="Q77" s="1158"/>
      <c r="R77" s="1158"/>
      <c r="S77" s="1158"/>
      <c r="T77" s="1158"/>
      <c r="U77" s="1158"/>
      <c r="V77" s="1158"/>
      <c r="W77" s="1158"/>
      <c r="X77" s="1158"/>
      <c r="Y77" s="1158"/>
      <c r="Z77" s="1156"/>
      <c r="AA77" s="1156"/>
      <c r="AB77" s="1156"/>
      <c r="AC77" s="1156"/>
      <c r="AD77" s="1156"/>
      <c r="AE77" s="1156"/>
      <c r="AF77" s="1156"/>
      <c r="AG77" s="1156"/>
      <c r="AH77" s="1156"/>
      <c r="AI77" s="1156"/>
    </row>
    <row r="78" spans="1:35">
      <c r="A78" s="1156"/>
      <c r="B78" s="1156"/>
      <c r="C78" s="1156"/>
      <c r="D78" s="1156"/>
      <c r="E78" s="1158"/>
      <c r="F78" s="1158"/>
      <c r="G78" s="1158"/>
      <c r="H78" s="1158"/>
      <c r="I78" s="1158"/>
      <c r="J78" s="1158"/>
      <c r="K78" s="1158"/>
      <c r="L78" s="1158"/>
      <c r="M78" s="1158"/>
      <c r="N78" s="1158"/>
      <c r="O78" s="1158"/>
      <c r="P78" s="1158"/>
      <c r="Q78" s="1158"/>
      <c r="R78" s="1158"/>
      <c r="S78" s="1158"/>
      <c r="T78" s="1158"/>
      <c r="U78" s="1158"/>
      <c r="V78" s="1158"/>
      <c r="W78" s="1158"/>
      <c r="X78" s="1158"/>
      <c r="Y78" s="1158"/>
      <c r="Z78" s="1156"/>
      <c r="AA78" s="1156"/>
      <c r="AB78" s="1156"/>
      <c r="AC78" s="1156"/>
      <c r="AD78" s="1156"/>
      <c r="AE78" s="1156"/>
      <c r="AF78" s="1156"/>
      <c r="AG78" s="1156"/>
      <c r="AH78" s="1156"/>
      <c r="AI78" s="1156"/>
    </row>
    <row r="79" spans="1:35">
      <c r="A79" s="1156"/>
      <c r="B79" s="1156"/>
      <c r="C79" s="1156"/>
      <c r="D79" s="1156"/>
      <c r="E79" s="1158"/>
      <c r="F79" s="1158"/>
      <c r="G79" s="1158"/>
      <c r="H79" s="1158"/>
      <c r="I79" s="1158"/>
      <c r="J79" s="1158"/>
      <c r="K79" s="1158"/>
      <c r="L79" s="1158"/>
      <c r="M79" s="1158"/>
      <c r="N79" s="1158"/>
      <c r="O79" s="1158"/>
      <c r="P79" s="1158"/>
      <c r="Q79" s="1158"/>
      <c r="R79" s="1158"/>
      <c r="S79" s="1158"/>
      <c r="T79" s="1158"/>
      <c r="U79" s="1158"/>
      <c r="V79" s="1158"/>
      <c r="W79" s="1158"/>
      <c r="X79" s="1158"/>
      <c r="Y79" s="1158"/>
      <c r="Z79" s="1156"/>
      <c r="AA79" s="1156"/>
      <c r="AB79" s="1156"/>
      <c r="AC79" s="1156"/>
      <c r="AD79" s="1156"/>
      <c r="AE79" s="1156"/>
      <c r="AF79" s="1156"/>
      <c r="AG79" s="1156"/>
      <c r="AH79" s="1156"/>
      <c r="AI79" s="1156"/>
    </row>
    <row r="80" spans="1:35">
      <c r="A80" s="1156"/>
      <c r="B80" s="1156"/>
      <c r="C80" s="1156"/>
      <c r="D80" s="1156"/>
      <c r="E80" s="1158"/>
      <c r="F80" s="1158"/>
      <c r="G80" s="1158"/>
      <c r="H80" s="1158"/>
      <c r="I80" s="1158"/>
      <c r="J80" s="1158"/>
      <c r="K80" s="1158"/>
      <c r="L80" s="1158"/>
      <c r="M80" s="1158"/>
      <c r="N80" s="1158"/>
      <c r="O80" s="1158"/>
      <c r="P80" s="1158"/>
      <c r="Q80" s="1158"/>
      <c r="R80" s="1158"/>
      <c r="S80" s="1158"/>
      <c r="T80" s="1158"/>
      <c r="U80" s="1158"/>
      <c r="V80" s="1158"/>
      <c r="W80" s="1158"/>
      <c r="X80" s="1158"/>
      <c r="Y80" s="1158"/>
      <c r="Z80" s="1156"/>
      <c r="AA80" s="1156"/>
      <c r="AB80" s="1156"/>
      <c r="AC80" s="1156"/>
      <c r="AD80" s="1156"/>
      <c r="AE80" s="1156"/>
      <c r="AF80" s="1156"/>
      <c r="AG80" s="1156"/>
      <c r="AH80" s="1156"/>
      <c r="AI80" s="1156"/>
    </row>
    <row r="81" spans="1:35">
      <c r="A81" s="1156"/>
      <c r="B81" s="1156"/>
      <c r="C81" s="1156"/>
      <c r="D81" s="1156"/>
      <c r="E81" s="1158"/>
      <c r="F81" s="1158"/>
      <c r="G81" s="1158"/>
      <c r="H81" s="1158"/>
      <c r="I81" s="1158"/>
      <c r="J81" s="1158"/>
      <c r="K81" s="1158"/>
      <c r="L81" s="1158"/>
      <c r="M81" s="1158"/>
      <c r="N81" s="1158"/>
      <c r="O81" s="1158"/>
      <c r="P81" s="1158"/>
      <c r="Q81" s="1158"/>
      <c r="R81" s="1158"/>
      <c r="S81" s="1158"/>
      <c r="T81" s="1158"/>
      <c r="U81" s="1158"/>
      <c r="V81" s="1158"/>
      <c r="W81" s="1158"/>
      <c r="X81" s="1158"/>
      <c r="Y81" s="1158"/>
      <c r="Z81" s="1156"/>
      <c r="AA81" s="1156"/>
      <c r="AB81" s="1156"/>
      <c r="AC81" s="1156"/>
      <c r="AD81" s="1156"/>
      <c r="AE81" s="1156"/>
      <c r="AF81" s="1156"/>
      <c r="AG81" s="1156"/>
      <c r="AH81" s="1156"/>
      <c r="AI81" s="1156"/>
    </row>
    <row r="82" spans="1:35">
      <c r="A82" s="1156"/>
      <c r="B82" s="1156"/>
      <c r="C82" s="1156"/>
      <c r="D82" s="1156"/>
      <c r="E82" s="1158"/>
      <c r="F82" s="1158"/>
      <c r="G82" s="1158"/>
      <c r="H82" s="1158"/>
      <c r="I82" s="1158"/>
      <c r="J82" s="1158"/>
      <c r="K82" s="1158"/>
      <c r="L82" s="1158"/>
      <c r="M82" s="1158"/>
      <c r="N82" s="1158"/>
      <c r="O82" s="1158"/>
      <c r="P82" s="1158"/>
      <c r="Q82" s="1158"/>
      <c r="R82" s="1158"/>
      <c r="S82" s="1158"/>
      <c r="T82" s="1158"/>
      <c r="U82" s="1158"/>
      <c r="V82" s="1158"/>
      <c r="W82" s="1158"/>
      <c r="X82" s="1158"/>
      <c r="Y82" s="1158"/>
      <c r="Z82" s="1156"/>
      <c r="AA82" s="1156"/>
      <c r="AB82" s="1156"/>
      <c r="AC82" s="1156"/>
      <c r="AD82" s="1156"/>
      <c r="AE82" s="1156"/>
      <c r="AF82" s="1156"/>
      <c r="AG82" s="1156"/>
      <c r="AH82" s="1156"/>
      <c r="AI82" s="1156"/>
    </row>
    <row r="83" spans="1:35">
      <c r="A83" s="1156"/>
      <c r="B83" s="1156"/>
      <c r="C83" s="1156"/>
      <c r="D83" s="1156"/>
      <c r="E83" s="1158"/>
      <c r="F83" s="1158"/>
      <c r="G83" s="1158"/>
      <c r="H83" s="1158"/>
      <c r="I83" s="1158"/>
      <c r="J83" s="1158"/>
      <c r="K83" s="1158"/>
      <c r="L83" s="1158"/>
      <c r="M83" s="1158"/>
      <c r="N83" s="1158"/>
      <c r="O83" s="1158"/>
      <c r="P83" s="1158"/>
      <c r="Q83" s="1158"/>
      <c r="R83" s="1158"/>
      <c r="S83" s="1158"/>
      <c r="T83" s="1158"/>
      <c r="U83" s="1158"/>
      <c r="V83" s="1158"/>
      <c r="W83" s="1158"/>
      <c r="X83" s="1158"/>
      <c r="Y83" s="1158"/>
      <c r="Z83" s="1156"/>
      <c r="AA83" s="1156"/>
      <c r="AB83" s="1156"/>
      <c r="AC83" s="1156"/>
      <c r="AD83" s="1156"/>
      <c r="AE83" s="1156"/>
      <c r="AF83" s="1156"/>
      <c r="AG83" s="1156"/>
      <c r="AH83" s="1156"/>
      <c r="AI83" s="1156"/>
    </row>
    <row r="84" spans="1:35">
      <c r="A84" s="1156"/>
      <c r="B84" s="1156"/>
      <c r="C84" s="1156"/>
      <c r="D84" s="1156"/>
      <c r="E84" s="1158"/>
      <c r="F84" s="1158"/>
      <c r="G84" s="1158"/>
      <c r="H84" s="1158"/>
      <c r="I84" s="1158"/>
      <c r="J84" s="1158"/>
      <c r="K84" s="1158"/>
      <c r="L84" s="1158"/>
      <c r="M84" s="1158"/>
      <c r="N84" s="1158"/>
      <c r="O84" s="1158"/>
      <c r="P84" s="1158"/>
      <c r="Q84" s="1158"/>
      <c r="R84" s="1158"/>
      <c r="S84" s="1158"/>
      <c r="T84" s="1158"/>
      <c r="U84" s="1158"/>
      <c r="V84" s="1158"/>
      <c r="W84" s="1158"/>
      <c r="X84" s="1158"/>
      <c r="Y84" s="1158"/>
      <c r="Z84" s="1156"/>
      <c r="AA84" s="1156"/>
      <c r="AB84" s="1156"/>
      <c r="AC84" s="1156"/>
      <c r="AD84" s="1156"/>
      <c r="AE84" s="1156"/>
      <c r="AF84" s="1156"/>
      <c r="AG84" s="1156"/>
      <c r="AH84" s="1156"/>
      <c r="AI84" s="1156"/>
    </row>
    <row r="85" spans="1:35">
      <c r="A85" s="1156"/>
      <c r="B85" s="1156"/>
      <c r="C85" s="1156"/>
      <c r="D85" s="1156"/>
      <c r="E85" s="1158"/>
      <c r="F85" s="1158"/>
      <c r="G85" s="1158"/>
      <c r="H85" s="1158"/>
      <c r="I85" s="1158"/>
      <c r="J85" s="1158"/>
      <c r="K85" s="1158"/>
      <c r="L85" s="1158"/>
      <c r="M85" s="1158"/>
      <c r="N85" s="1158"/>
      <c r="O85" s="1158"/>
      <c r="P85" s="1158"/>
      <c r="Q85" s="1158"/>
      <c r="R85" s="1158"/>
      <c r="S85" s="1158"/>
      <c r="T85" s="1158"/>
      <c r="U85" s="1158"/>
      <c r="V85" s="1158"/>
      <c r="W85" s="1158"/>
      <c r="X85" s="1158"/>
      <c r="Y85" s="1158"/>
      <c r="Z85" s="1156"/>
      <c r="AA85" s="1156"/>
      <c r="AB85" s="1156"/>
      <c r="AC85" s="1156"/>
      <c r="AD85" s="1156"/>
      <c r="AE85" s="1156"/>
      <c r="AF85" s="1156"/>
      <c r="AG85" s="1156"/>
      <c r="AH85" s="1156"/>
      <c r="AI85" s="1156"/>
    </row>
    <row r="86" spans="1:35">
      <c r="A86" s="1156"/>
      <c r="B86" s="1156"/>
      <c r="C86" s="1156"/>
      <c r="D86" s="1156"/>
      <c r="E86" s="1158"/>
      <c r="F86" s="1158"/>
      <c r="G86" s="1158"/>
      <c r="H86" s="1158"/>
      <c r="I86" s="1158"/>
      <c r="J86" s="1158"/>
      <c r="K86" s="1158"/>
      <c r="L86" s="1158"/>
      <c r="M86" s="1158"/>
      <c r="N86" s="1158"/>
      <c r="O86" s="1158"/>
      <c r="P86" s="1158"/>
      <c r="Q86" s="1158"/>
      <c r="R86" s="1158"/>
      <c r="S86" s="1158"/>
      <c r="T86" s="1158"/>
      <c r="U86" s="1158"/>
      <c r="V86" s="1158"/>
      <c r="W86" s="1158"/>
      <c r="X86" s="1158"/>
      <c r="Y86" s="1158"/>
      <c r="Z86" s="1156"/>
      <c r="AA86" s="1156"/>
      <c r="AB86" s="1156"/>
      <c r="AC86" s="1156"/>
      <c r="AD86" s="1156"/>
      <c r="AE86" s="1156"/>
      <c r="AF86" s="1156"/>
      <c r="AG86" s="1156"/>
      <c r="AH86" s="1156"/>
      <c r="AI86" s="1156"/>
    </row>
    <row r="87" spans="1:35">
      <c r="A87" s="1156"/>
      <c r="B87" s="1156"/>
      <c r="C87" s="1156"/>
      <c r="D87" s="1156"/>
      <c r="E87" s="1158"/>
      <c r="F87" s="1158"/>
      <c r="G87" s="1158"/>
      <c r="H87" s="1158"/>
      <c r="I87" s="1158"/>
      <c r="J87" s="1158"/>
      <c r="K87" s="1158"/>
      <c r="L87" s="1158"/>
      <c r="M87" s="1158"/>
      <c r="N87" s="1158"/>
      <c r="O87" s="1158"/>
      <c r="P87" s="1158"/>
      <c r="Q87" s="1158"/>
      <c r="R87" s="1158"/>
      <c r="S87" s="1158"/>
      <c r="T87" s="1158"/>
      <c r="U87" s="1158"/>
      <c r="V87" s="1158"/>
      <c r="W87" s="1158"/>
      <c r="X87" s="1158"/>
      <c r="Y87" s="1158"/>
      <c r="Z87" s="1156"/>
      <c r="AA87" s="1156"/>
      <c r="AB87" s="1156"/>
      <c r="AC87" s="1156"/>
      <c r="AD87" s="1156"/>
      <c r="AE87" s="1156"/>
      <c r="AF87" s="1156"/>
      <c r="AG87" s="1156"/>
      <c r="AH87" s="1156"/>
      <c r="AI87" s="1156"/>
    </row>
    <row r="88" spans="1:35">
      <c r="A88" s="1156"/>
      <c r="B88" s="1156"/>
      <c r="C88" s="1156"/>
      <c r="D88" s="1156"/>
      <c r="E88" s="1158"/>
      <c r="F88" s="1158"/>
      <c r="G88" s="1158"/>
      <c r="H88" s="1158"/>
      <c r="I88" s="1158"/>
      <c r="J88" s="1158"/>
      <c r="K88" s="1158"/>
      <c r="L88" s="1158"/>
      <c r="M88" s="1158"/>
      <c r="N88" s="1158"/>
      <c r="O88" s="1158"/>
      <c r="P88" s="1158"/>
      <c r="Q88" s="1158"/>
      <c r="R88" s="1158"/>
      <c r="S88" s="1158"/>
      <c r="T88" s="1158"/>
      <c r="U88" s="1158"/>
      <c r="V88" s="1158"/>
      <c r="W88" s="1158"/>
      <c r="X88" s="1158"/>
      <c r="Y88" s="1158"/>
      <c r="Z88" s="1156"/>
      <c r="AA88" s="1156"/>
      <c r="AB88" s="1156"/>
      <c r="AC88" s="1156"/>
      <c r="AD88" s="1156"/>
      <c r="AE88" s="1156"/>
      <c r="AF88" s="1156"/>
      <c r="AG88" s="1156"/>
      <c r="AH88" s="1156"/>
      <c r="AI88" s="1156"/>
    </row>
    <row r="89" spans="1:35">
      <c r="A89" s="1156"/>
      <c r="B89" s="1156"/>
      <c r="C89" s="1156"/>
      <c r="D89" s="1156"/>
      <c r="E89" s="1158"/>
      <c r="F89" s="1158"/>
      <c r="G89" s="1158"/>
      <c r="H89" s="1158"/>
      <c r="I89" s="1158"/>
      <c r="J89" s="1158"/>
      <c r="K89" s="1158"/>
      <c r="L89" s="1158"/>
      <c r="M89" s="1158"/>
      <c r="N89" s="1158"/>
      <c r="O89" s="1158"/>
      <c r="P89" s="1158"/>
      <c r="Q89" s="1158"/>
      <c r="R89" s="1158"/>
      <c r="S89" s="1158"/>
      <c r="T89" s="1158"/>
      <c r="U89" s="1158"/>
      <c r="V89" s="1158"/>
      <c r="W89" s="1158"/>
      <c r="X89" s="1158"/>
      <c r="Y89" s="1158"/>
      <c r="Z89" s="1156"/>
      <c r="AA89" s="1156"/>
      <c r="AB89" s="1156"/>
      <c r="AC89" s="1156"/>
      <c r="AD89" s="1156"/>
      <c r="AE89" s="1156"/>
      <c r="AF89" s="1156"/>
      <c r="AG89" s="1156"/>
      <c r="AH89" s="1156"/>
      <c r="AI89" s="1156"/>
    </row>
    <row r="90" spans="1:35">
      <c r="A90" s="1156"/>
      <c r="B90" s="1156"/>
      <c r="C90" s="1156"/>
      <c r="D90" s="1156"/>
      <c r="E90" s="1158"/>
      <c r="F90" s="1158"/>
      <c r="G90" s="1158"/>
      <c r="H90" s="1158"/>
      <c r="I90" s="1158"/>
      <c r="J90" s="1158"/>
      <c r="K90" s="1158"/>
      <c r="L90" s="1158"/>
      <c r="M90" s="1158"/>
      <c r="N90" s="1158"/>
      <c r="O90" s="1158"/>
      <c r="P90" s="1158"/>
      <c r="Q90" s="1158"/>
      <c r="R90" s="1158"/>
      <c r="S90" s="1158"/>
      <c r="T90" s="1158"/>
      <c r="U90" s="1158"/>
      <c r="V90" s="1158"/>
      <c r="W90" s="1158"/>
      <c r="X90" s="1158"/>
      <c r="Y90" s="1158"/>
      <c r="Z90" s="1156"/>
      <c r="AA90" s="1156"/>
      <c r="AB90" s="1156"/>
      <c r="AC90" s="1156"/>
      <c r="AD90" s="1156"/>
      <c r="AE90" s="1156"/>
      <c r="AF90" s="1156"/>
      <c r="AG90" s="1156"/>
      <c r="AH90" s="1156"/>
      <c r="AI90" s="1156"/>
    </row>
    <row r="91" spans="1:35">
      <c r="A91" s="1156"/>
      <c r="B91" s="1156"/>
      <c r="C91" s="1156"/>
      <c r="D91" s="1156"/>
      <c r="E91" s="1158"/>
      <c r="F91" s="1158"/>
      <c r="G91" s="1158"/>
      <c r="H91" s="1158"/>
      <c r="I91" s="1158"/>
      <c r="J91" s="1158"/>
      <c r="K91" s="1158"/>
      <c r="L91" s="1158"/>
      <c r="M91" s="1158"/>
      <c r="N91" s="1158"/>
      <c r="O91" s="1158"/>
      <c r="P91" s="1158"/>
      <c r="Q91" s="1158"/>
      <c r="R91" s="1158"/>
      <c r="S91" s="1158"/>
      <c r="T91" s="1158"/>
      <c r="U91" s="1158"/>
      <c r="V91" s="1158"/>
      <c r="W91" s="1158"/>
      <c r="X91" s="1158"/>
      <c r="Y91" s="1158"/>
      <c r="Z91" s="1156"/>
      <c r="AA91" s="1156"/>
      <c r="AB91" s="1156"/>
      <c r="AC91" s="1156"/>
      <c r="AD91" s="1156"/>
      <c r="AE91" s="1156"/>
      <c r="AF91" s="1156"/>
      <c r="AG91" s="1156"/>
      <c r="AH91" s="1156"/>
      <c r="AI91" s="1156"/>
    </row>
    <row r="92" spans="1:35">
      <c r="A92" s="1156"/>
      <c r="B92" s="1156"/>
      <c r="C92" s="1156"/>
      <c r="D92" s="1156"/>
      <c r="E92" s="1158"/>
      <c r="F92" s="1158"/>
      <c r="G92" s="1158"/>
      <c r="H92" s="1158"/>
      <c r="I92" s="1158"/>
      <c r="J92" s="1158"/>
      <c r="K92" s="1158"/>
      <c r="L92" s="1158"/>
      <c r="M92" s="1158"/>
      <c r="N92" s="1158"/>
      <c r="O92" s="1158"/>
      <c r="P92" s="1158"/>
      <c r="Q92" s="1158"/>
      <c r="R92" s="1158"/>
      <c r="S92" s="1158"/>
      <c r="T92" s="1158"/>
      <c r="U92" s="1158"/>
      <c r="V92" s="1158"/>
      <c r="W92" s="1158"/>
      <c r="X92" s="1158"/>
      <c r="Y92" s="1158"/>
      <c r="Z92" s="1156"/>
      <c r="AA92" s="1156"/>
      <c r="AB92" s="1156"/>
      <c r="AC92" s="1156"/>
      <c r="AD92" s="1156"/>
      <c r="AE92" s="1156"/>
      <c r="AF92" s="1156"/>
      <c r="AG92" s="1156"/>
      <c r="AH92" s="1156"/>
      <c r="AI92" s="1156"/>
    </row>
    <row r="93" spans="1:35">
      <c r="A93" s="1156"/>
      <c r="B93" s="1156"/>
      <c r="C93" s="1156"/>
      <c r="D93" s="1156"/>
      <c r="E93" s="1158"/>
      <c r="F93" s="1158"/>
      <c r="G93" s="1158"/>
      <c r="H93" s="1158"/>
      <c r="I93" s="1158"/>
      <c r="J93" s="1158"/>
      <c r="K93" s="1158"/>
      <c r="L93" s="1158"/>
      <c r="M93" s="1158"/>
      <c r="N93" s="1158"/>
      <c r="O93" s="1158"/>
      <c r="P93" s="1158"/>
      <c r="Q93" s="1158"/>
      <c r="R93" s="1158"/>
      <c r="S93" s="1158"/>
      <c r="T93" s="1158"/>
      <c r="U93" s="1158"/>
      <c r="V93" s="1158"/>
      <c r="W93" s="1158"/>
      <c r="X93" s="1158"/>
      <c r="Y93" s="1158"/>
      <c r="Z93" s="1156"/>
      <c r="AA93" s="1156"/>
      <c r="AB93" s="1156"/>
      <c r="AC93" s="1156"/>
      <c r="AD93" s="1156"/>
      <c r="AE93" s="1156"/>
      <c r="AF93" s="1156"/>
      <c r="AG93" s="1156"/>
      <c r="AH93" s="1156"/>
      <c r="AI93" s="1156"/>
    </row>
    <row r="94" spans="1:35">
      <c r="A94" s="1156"/>
      <c r="B94" s="1156"/>
      <c r="C94" s="1156"/>
      <c r="D94" s="1156"/>
      <c r="E94" s="1158"/>
      <c r="F94" s="1158"/>
      <c r="G94" s="1158"/>
      <c r="H94" s="1158"/>
      <c r="I94" s="1158"/>
      <c r="J94" s="1158"/>
      <c r="K94" s="1158"/>
      <c r="L94" s="1158"/>
      <c r="M94" s="1158"/>
      <c r="N94" s="1158"/>
      <c r="O94" s="1158"/>
      <c r="P94" s="1158"/>
      <c r="Q94" s="1158"/>
      <c r="R94" s="1158"/>
      <c r="S94" s="1158"/>
      <c r="T94" s="1158"/>
      <c r="U94" s="1158"/>
      <c r="V94" s="1158"/>
      <c r="W94" s="1158"/>
      <c r="X94" s="1158"/>
      <c r="Y94" s="1158"/>
      <c r="Z94" s="1156"/>
      <c r="AA94" s="1156"/>
      <c r="AB94" s="1156"/>
      <c r="AC94" s="1156"/>
      <c r="AD94" s="1156"/>
      <c r="AE94" s="1156"/>
      <c r="AF94" s="1156"/>
      <c r="AG94" s="1156"/>
      <c r="AH94" s="1156"/>
      <c r="AI94" s="1156"/>
    </row>
    <row r="95" spans="1:35">
      <c r="A95" s="1156"/>
      <c r="B95" s="1156"/>
      <c r="C95" s="1156"/>
      <c r="D95" s="1156"/>
      <c r="E95" s="1158"/>
      <c r="F95" s="1158"/>
      <c r="G95" s="1158"/>
      <c r="H95" s="1158"/>
      <c r="I95" s="1158"/>
      <c r="J95" s="1158"/>
      <c r="K95" s="1158"/>
      <c r="L95" s="1158"/>
      <c r="M95" s="1158"/>
      <c r="N95" s="1158"/>
      <c r="O95" s="1158"/>
      <c r="P95" s="1158"/>
      <c r="Q95" s="1158"/>
      <c r="R95" s="1158"/>
      <c r="S95" s="1158"/>
      <c r="T95" s="1158"/>
      <c r="U95" s="1158"/>
      <c r="V95" s="1158"/>
      <c r="W95" s="1158"/>
      <c r="X95" s="1158"/>
      <c r="Y95" s="1158"/>
      <c r="Z95" s="1156"/>
      <c r="AA95" s="1156"/>
      <c r="AB95" s="1156"/>
      <c r="AC95" s="1156"/>
      <c r="AD95" s="1156"/>
      <c r="AE95" s="1156"/>
      <c r="AF95" s="1156"/>
      <c r="AG95" s="1156"/>
      <c r="AH95" s="1156"/>
      <c r="AI95" s="1156"/>
    </row>
    <row r="96" spans="1:35">
      <c r="A96" s="1156"/>
      <c r="B96" s="1156"/>
      <c r="C96" s="1156"/>
      <c r="D96" s="1156"/>
      <c r="E96" s="1158"/>
      <c r="F96" s="1158"/>
      <c r="G96" s="1158"/>
      <c r="H96" s="1158"/>
      <c r="I96" s="1158"/>
      <c r="J96" s="1158"/>
      <c r="K96" s="1158"/>
      <c r="L96" s="1158"/>
      <c r="M96" s="1158"/>
      <c r="N96" s="1158"/>
      <c r="O96" s="1158"/>
      <c r="P96" s="1158"/>
      <c r="Q96" s="1158"/>
      <c r="R96" s="1158"/>
      <c r="S96" s="1158"/>
      <c r="T96" s="1158"/>
      <c r="U96" s="1158"/>
      <c r="V96" s="1158"/>
      <c r="W96" s="1158"/>
      <c r="X96" s="1158"/>
      <c r="Y96" s="1158"/>
      <c r="Z96" s="1156"/>
      <c r="AA96" s="1156"/>
      <c r="AB96" s="1156"/>
      <c r="AC96" s="1156"/>
      <c r="AD96" s="1156"/>
      <c r="AE96" s="1156"/>
      <c r="AF96" s="1156"/>
      <c r="AG96" s="1156"/>
      <c r="AH96" s="1156"/>
      <c r="AI96" s="1156"/>
    </row>
    <row r="97" spans="1:35">
      <c r="A97" s="1156"/>
      <c r="B97" s="1156"/>
      <c r="C97" s="1156"/>
      <c r="D97" s="1156"/>
      <c r="E97" s="1158"/>
      <c r="F97" s="1158"/>
      <c r="G97" s="1158"/>
      <c r="H97" s="1158"/>
      <c r="I97" s="1158"/>
      <c r="J97" s="1158"/>
      <c r="K97" s="1158"/>
      <c r="L97" s="1158"/>
      <c r="M97" s="1158"/>
      <c r="N97" s="1158"/>
      <c r="O97" s="1158"/>
      <c r="P97" s="1158"/>
      <c r="Q97" s="1158"/>
      <c r="R97" s="1158"/>
      <c r="S97" s="1158"/>
      <c r="T97" s="1158"/>
      <c r="U97" s="1158"/>
      <c r="V97" s="1158"/>
      <c r="W97" s="1158"/>
      <c r="X97" s="1158"/>
      <c r="Y97" s="1158"/>
      <c r="Z97" s="1156"/>
      <c r="AA97" s="1156"/>
      <c r="AB97" s="1156"/>
      <c r="AC97" s="1156"/>
      <c r="AD97" s="1156"/>
      <c r="AE97" s="1156"/>
      <c r="AF97" s="1156"/>
      <c r="AG97" s="1156"/>
      <c r="AH97" s="1156"/>
      <c r="AI97" s="1156"/>
    </row>
    <row r="98" spans="1:35">
      <c r="A98" s="1156"/>
      <c r="B98" s="1156"/>
      <c r="C98" s="1156"/>
      <c r="D98" s="1156"/>
      <c r="E98" s="1158"/>
      <c r="F98" s="1158"/>
      <c r="G98" s="1158"/>
      <c r="H98" s="1158"/>
      <c r="I98" s="1158"/>
      <c r="J98" s="1158"/>
      <c r="K98" s="1158"/>
      <c r="L98" s="1158"/>
      <c r="M98" s="1158"/>
      <c r="N98" s="1158"/>
      <c r="O98" s="1158"/>
      <c r="P98" s="1158"/>
      <c r="Q98" s="1158"/>
      <c r="R98" s="1158"/>
      <c r="S98" s="1158"/>
      <c r="T98" s="1158"/>
      <c r="U98" s="1158"/>
      <c r="V98" s="1158"/>
      <c r="W98" s="1158"/>
      <c r="X98" s="1158"/>
      <c r="Y98" s="1158"/>
      <c r="Z98" s="1156"/>
      <c r="AA98" s="1156"/>
      <c r="AB98" s="1156"/>
      <c r="AC98" s="1156"/>
      <c r="AD98" s="1156"/>
      <c r="AE98" s="1156"/>
      <c r="AF98" s="1156"/>
      <c r="AG98" s="1156"/>
      <c r="AH98" s="1156"/>
      <c r="AI98" s="1156"/>
    </row>
    <row r="99" spans="1:35">
      <c r="A99" s="1156"/>
      <c r="B99" s="1156"/>
      <c r="C99" s="1156"/>
      <c r="D99" s="1156"/>
      <c r="E99" s="1158"/>
      <c r="F99" s="1158"/>
      <c r="G99" s="1158"/>
      <c r="H99" s="1158"/>
      <c r="I99" s="1158"/>
      <c r="J99" s="1158"/>
      <c r="K99" s="1158"/>
      <c r="L99" s="1158"/>
      <c r="M99" s="1158"/>
      <c r="N99" s="1158"/>
      <c r="O99" s="1158"/>
      <c r="P99" s="1158"/>
      <c r="Q99" s="1158"/>
      <c r="R99" s="1158"/>
      <c r="S99" s="1158"/>
      <c r="T99" s="1158"/>
      <c r="U99" s="1158"/>
      <c r="V99" s="1158"/>
      <c r="W99" s="1158"/>
      <c r="X99" s="1158"/>
      <c r="Y99" s="1158"/>
      <c r="Z99" s="1156"/>
      <c r="AA99" s="1156"/>
      <c r="AB99" s="1156"/>
      <c r="AC99" s="1156"/>
      <c r="AD99" s="1156"/>
      <c r="AE99" s="1156"/>
      <c r="AF99" s="1156"/>
      <c r="AG99" s="1156"/>
      <c r="AH99" s="1156"/>
      <c r="AI99" s="1156"/>
    </row>
    <row r="100" spans="1:35">
      <c r="A100" s="1156"/>
      <c r="B100" s="1156"/>
      <c r="C100" s="1156"/>
      <c r="D100" s="1156"/>
      <c r="E100" s="1158"/>
      <c r="F100" s="1158"/>
      <c r="G100" s="1158"/>
      <c r="H100" s="1158"/>
      <c r="I100" s="1158"/>
      <c r="J100" s="1158"/>
      <c r="K100" s="1158"/>
      <c r="L100" s="1158"/>
      <c r="M100" s="1158"/>
      <c r="N100" s="1158"/>
      <c r="O100" s="1158"/>
      <c r="P100" s="1158"/>
      <c r="Q100" s="1158"/>
      <c r="R100" s="1158"/>
      <c r="S100" s="1158"/>
      <c r="T100" s="1158"/>
      <c r="U100" s="1158"/>
      <c r="V100" s="1158"/>
      <c r="W100" s="1158"/>
      <c r="X100" s="1158"/>
      <c r="Y100" s="1158"/>
      <c r="Z100" s="1156"/>
      <c r="AA100" s="1156"/>
      <c r="AB100" s="1156"/>
      <c r="AC100" s="1156"/>
      <c r="AD100" s="1156"/>
      <c r="AE100" s="1156"/>
      <c r="AF100" s="1156"/>
      <c r="AG100" s="1156"/>
      <c r="AH100" s="1156"/>
      <c r="AI100" s="1156"/>
    </row>
    <row r="101" spans="1:35">
      <c r="A101" s="1156"/>
      <c r="B101" s="1156"/>
      <c r="C101" s="1156"/>
      <c r="D101" s="1156"/>
      <c r="E101" s="1158"/>
      <c r="F101" s="1158"/>
      <c r="G101" s="1158"/>
      <c r="H101" s="1158"/>
      <c r="I101" s="1158"/>
      <c r="J101" s="1158"/>
      <c r="K101" s="1158"/>
      <c r="L101" s="1158"/>
      <c r="M101" s="1158"/>
      <c r="N101" s="1158"/>
      <c r="O101" s="1158"/>
      <c r="P101" s="1158"/>
      <c r="Q101" s="1158"/>
      <c r="R101" s="1158"/>
      <c r="S101" s="1158"/>
      <c r="T101" s="1158"/>
      <c r="U101" s="1158"/>
      <c r="V101" s="1158"/>
      <c r="W101" s="1158"/>
      <c r="X101" s="1158"/>
      <c r="Y101" s="1158"/>
      <c r="Z101" s="1156"/>
      <c r="AA101" s="1156"/>
      <c r="AB101" s="1156"/>
      <c r="AC101" s="1156"/>
      <c r="AD101" s="1156"/>
      <c r="AE101" s="1156"/>
      <c r="AF101" s="1156"/>
      <c r="AG101" s="1156"/>
      <c r="AH101" s="1156"/>
      <c r="AI101" s="1156"/>
    </row>
    <row r="102" spans="1:35">
      <c r="A102" s="1156"/>
      <c r="B102" s="1156"/>
      <c r="C102" s="1156"/>
      <c r="D102" s="1156"/>
      <c r="E102" s="1158"/>
      <c r="F102" s="1158"/>
      <c r="G102" s="1158"/>
      <c r="H102" s="1158"/>
      <c r="I102" s="1158"/>
      <c r="J102" s="1158"/>
      <c r="K102" s="1158"/>
      <c r="L102" s="1158"/>
      <c r="M102" s="1158"/>
      <c r="N102" s="1158"/>
      <c r="O102" s="1158"/>
      <c r="P102" s="1158"/>
      <c r="Q102" s="1158"/>
      <c r="R102" s="1158"/>
      <c r="S102" s="1158"/>
      <c r="T102" s="1158"/>
      <c r="U102" s="1158"/>
      <c r="V102" s="1158"/>
      <c r="W102" s="1158"/>
      <c r="X102" s="1158"/>
      <c r="Y102" s="1158"/>
      <c r="Z102" s="1156"/>
      <c r="AA102" s="1156"/>
      <c r="AB102" s="1156"/>
      <c r="AC102" s="1156"/>
      <c r="AD102" s="1156"/>
      <c r="AE102" s="1156"/>
      <c r="AF102" s="1156"/>
      <c r="AG102" s="1156"/>
      <c r="AH102" s="1156"/>
      <c r="AI102" s="1156"/>
    </row>
    <row r="103" spans="1:35">
      <c r="A103" s="1156"/>
      <c r="B103" s="1156"/>
      <c r="C103" s="1156"/>
      <c r="D103" s="1156"/>
      <c r="E103" s="1158"/>
      <c r="F103" s="1158"/>
      <c r="G103" s="1158"/>
      <c r="H103" s="1158"/>
      <c r="I103" s="1158"/>
      <c r="J103" s="1158"/>
      <c r="K103" s="1158"/>
      <c r="L103" s="1158"/>
      <c r="M103" s="1158"/>
      <c r="N103" s="1158"/>
      <c r="O103" s="1158"/>
      <c r="P103" s="1158"/>
      <c r="Q103" s="1158"/>
      <c r="R103" s="1158"/>
      <c r="S103" s="1158"/>
      <c r="T103" s="1158"/>
      <c r="U103" s="1158"/>
      <c r="V103" s="1158"/>
      <c r="W103" s="1158"/>
      <c r="X103" s="1158"/>
      <c r="Y103" s="1158"/>
      <c r="Z103" s="1156"/>
      <c r="AA103" s="1156"/>
      <c r="AB103" s="1156"/>
      <c r="AC103" s="1156"/>
      <c r="AD103" s="1156"/>
      <c r="AE103" s="1156"/>
      <c r="AF103" s="1156"/>
      <c r="AG103" s="1156"/>
      <c r="AH103" s="1156"/>
      <c r="AI103" s="1156"/>
    </row>
    <row r="104" spans="1:35">
      <c r="A104" s="1156"/>
      <c r="B104" s="1156"/>
      <c r="C104" s="1156"/>
      <c r="D104" s="1156"/>
      <c r="E104" s="1158"/>
      <c r="F104" s="1158"/>
      <c r="G104" s="1158"/>
      <c r="H104" s="1158"/>
      <c r="I104" s="1158"/>
      <c r="J104" s="1158"/>
      <c r="K104" s="1158"/>
      <c r="L104" s="1158"/>
      <c r="M104" s="1158"/>
      <c r="N104" s="1158"/>
      <c r="O104" s="1158"/>
      <c r="P104" s="1158"/>
      <c r="Q104" s="1158"/>
      <c r="R104" s="1158"/>
      <c r="S104" s="1158"/>
      <c r="T104" s="1158"/>
      <c r="U104" s="1158"/>
      <c r="V104" s="1158"/>
      <c r="W104" s="1158"/>
      <c r="X104" s="1158"/>
      <c r="Y104" s="1158"/>
      <c r="Z104" s="1156"/>
      <c r="AA104" s="1156"/>
      <c r="AB104" s="1156"/>
      <c r="AC104" s="1156"/>
      <c r="AD104" s="1156"/>
      <c r="AE104" s="1156"/>
      <c r="AF104" s="1156"/>
      <c r="AG104" s="1156"/>
      <c r="AH104" s="1156"/>
      <c r="AI104" s="1156"/>
    </row>
    <row r="105" spans="1:35">
      <c r="A105" s="1156"/>
      <c r="B105" s="1156"/>
      <c r="C105" s="1156"/>
      <c r="D105" s="1156"/>
      <c r="E105" s="1158"/>
      <c r="F105" s="1158"/>
      <c r="G105" s="1158"/>
      <c r="H105" s="1158"/>
      <c r="I105" s="1158"/>
      <c r="J105" s="1158"/>
      <c r="K105" s="1158"/>
      <c r="L105" s="1158"/>
      <c r="M105" s="1158"/>
      <c r="N105" s="1158"/>
      <c r="O105" s="1158"/>
      <c r="P105" s="1158"/>
      <c r="Q105" s="1158"/>
      <c r="R105" s="1158"/>
      <c r="S105" s="1158"/>
      <c r="T105" s="1158"/>
      <c r="U105" s="1158"/>
      <c r="V105" s="1158"/>
      <c r="W105" s="1158"/>
      <c r="X105" s="1158"/>
      <c r="Y105" s="1158"/>
      <c r="Z105" s="1156"/>
      <c r="AA105" s="1156"/>
      <c r="AB105" s="1156"/>
      <c r="AC105" s="1156"/>
      <c r="AD105" s="1156"/>
      <c r="AE105" s="1156"/>
      <c r="AF105" s="1156"/>
      <c r="AG105" s="1156"/>
      <c r="AH105" s="1156"/>
      <c r="AI105" s="1156"/>
    </row>
    <row r="106" spans="1:35">
      <c r="A106" s="1156"/>
      <c r="B106" s="1156"/>
      <c r="C106" s="1156"/>
      <c r="D106" s="1156"/>
      <c r="E106" s="1158"/>
      <c r="F106" s="1158"/>
      <c r="G106" s="1158"/>
      <c r="H106" s="1158"/>
      <c r="I106" s="1158"/>
      <c r="J106" s="1158"/>
      <c r="K106" s="1158"/>
      <c r="L106" s="1158"/>
      <c r="M106" s="1158"/>
      <c r="N106" s="1158"/>
      <c r="O106" s="1158"/>
      <c r="P106" s="1158"/>
      <c r="Q106" s="1158"/>
      <c r="R106" s="1158"/>
      <c r="S106" s="1158"/>
      <c r="T106" s="1158"/>
      <c r="U106" s="1158"/>
      <c r="V106" s="1158"/>
      <c r="W106" s="1158"/>
      <c r="X106" s="1158"/>
      <c r="Y106" s="1158"/>
      <c r="Z106" s="1156"/>
      <c r="AA106" s="1156"/>
      <c r="AB106" s="1156"/>
      <c r="AC106" s="1156"/>
      <c r="AD106" s="1156"/>
      <c r="AE106" s="1156"/>
      <c r="AF106" s="1156"/>
      <c r="AG106" s="1156"/>
      <c r="AH106" s="1156"/>
      <c r="AI106" s="1156"/>
    </row>
    <row r="107" spans="1:35">
      <c r="A107" s="1156"/>
      <c r="B107" s="1156"/>
      <c r="C107" s="1156"/>
      <c r="D107" s="1156"/>
      <c r="E107" s="1158"/>
      <c r="F107" s="1158"/>
      <c r="G107" s="1158"/>
      <c r="H107" s="1158"/>
      <c r="I107" s="1158"/>
      <c r="J107" s="1158"/>
      <c r="K107" s="1158"/>
      <c r="L107" s="1158"/>
      <c r="M107" s="1158"/>
      <c r="N107" s="1158"/>
      <c r="O107" s="1158"/>
      <c r="P107" s="1158"/>
      <c r="Q107" s="1158"/>
      <c r="R107" s="1158"/>
      <c r="S107" s="1158"/>
      <c r="T107" s="1158"/>
      <c r="U107" s="1158"/>
      <c r="V107" s="1158"/>
      <c r="W107" s="1158"/>
      <c r="X107" s="1158"/>
      <c r="Y107" s="1158"/>
      <c r="Z107" s="1156"/>
      <c r="AA107" s="1156"/>
      <c r="AB107" s="1156"/>
      <c r="AC107" s="1156"/>
      <c r="AD107" s="1156"/>
      <c r="AE107" s="1156"/>
      <c r="AF107" s="1156"/>
      <c r="AG107" s="1156"/>
      <c r="AH107" s="1156"/>
      <c r="AI107" s="1156"/>
    </row>
    <row r="108" spans="1:35">
      <c r="A108" s="1156"/>
      <c r="B108" s="1156"/>
      <c r="C108" s="1156"/>
      <c r="D108" s="1156"/>
      <c r="E108" s="1158"/>
      <c r="F108" s="1158"/>
      <c r="G108" s="1158"/>
      <c r="H108" s="1158"/>
      <c r="I108" s="1158"/>
      <c r="J108" s="1158"/>
      <c r="K108" s="1158"/>
      <c r="L108" s="1158"/>
      <c r="M108" s="1158"/>
      <c r="N108" s="1158"/>
      <c r="O108" s="1158"/>
      <c r="P108" s="1158"/>
      <c r="Q108" s="1158"/>
      <c r="R108" s="1158"/>
      <c r="S108" s="1158"/>
      <c r="T108" s="1158"/>
      <c r="U108" s="1158"/>
      <c r="V108" s="1158"/>
      <c r="W108" s="1158"/>
      <c r="X108" s="1158"/>
      <c r="Y108" s="1158"/>
      <c r="Z108" s="1156"/>
      <c r="AA108" s="1156"/>
      <c r="AB108" s="1156"/>
      <c r="AC108" s="1156"/>
      <c r="AD108" s="1156"/>
      <c r="AE108" s="1156"/>
      <c r="AF108" s="1156"/>
      <c r="AG108" s="1156"/>
      <c r="AH108" s="1156"/>
      <c r="AI108" s="1156"/>
    </row>
    <row r="109" spans="1:35">
      <c r="A109" s="1156"/>
      <c r="B109" s="1156"/>
      <c r="C109" s="1156"/>
      <c r="D109" s="1156"/>
      <c r="E109" s="1158"/>
      <c r="F109" s="1158"/>
      <c r="G109" s="1158"/>
      <c r="H109" s="1158"/>
      <c r="I109" s="1158"/>
      <c r="J109" s="1158"/>
      <c r="K109" s="1158"/>
      <c r="L109" s="1158"/>
      <c r="M109" s="1158"/>
      <c r="N109" s="1158"/>
      <c r="O109" s="1158"/>
      <c r="P109" s="1158"/>
      <c r="Q109" s="1158"/>
      <c r="R109" s="1158"/>
      <c r="S109" s="1158"/>
      <c r="T109" s="1158"/>
      <c r="U109" s="1158"/>
      <c r="V109" s="1158"/>
      <c r="W109" s="1158"/>
      <c r="X109" s="1158"/>
      <c r="Y109" s="1158"/>
      <c r="Z109" s="1156"/>
      <c r="AA109" s="1156"/>
      <c r="AB109" s="1156"/>
      <c r="AC109" s="1156"/>
      <c r="AD109" s="1156"/>
      <c r="AE109" s="1156"/>
      <c r="AF109" s="1156"/>
      <c r="AG109" s="1156"/>
      <c r="AH109" s="1156"/>
      <c r="AI109" s="1156"/>
    </row>
    <row r="110" spans="1:35">
      <c r="A110" s="1156"/>
      <c r="B110" s="1156"/>
      <c r="C110" s="1156"/>
      <c r="D110" s="1156"/>
      <c r="E110" s="1158"/>
      <c r="F110" s="1158"/>
      <c r="G110" s="1158"/>
      <c r="H110" s="1158"/>
      <c r="I110" s="1158"/>
      <c r="J110" s="1158"/>
      <c r="K110" s="1158"/>
      <c r="L110" s="1158"/>
      <c r="M110" s="1158"/>
      <c r="N110" s="1158"/>
      <c r="O110" s="1158"/>
      <c r="P110" s="1158"/>
      <c r="Q110" s="1158"/>
      <c r="R110" s="1158"/>
      <c r="S110" s="1158"/>
      <c r="T110" s="1158"/>
      <c r="U110" s="1158"/>
      <c r="V110" s="1158"/>
      <c r="W110" s="1158"/>
      <c r="X110" s="1158"/>
      <c r="Y110" s="1158"/>
      <c r="Z110" s="1156"/>
      <c r="AA110" s="1156"/>
      <c r="AB110" s="1156"/>
      <c r="AC110" s="1156"/>
      <c r="AD110" s="1156"/>
      <c r="AE110" s="1156"/>
      <c r="AF110" s="1156"/>
      <c r="AG110" s="1156"/>
      <c r="AH110" s="1156"/>
      <c r="AI110" s="1156"/>
    </row>
    <row r="111" spans="1:35">
      <c r="A111" s="1156"/>
      <c r="B111" s="1156"/>
      <c r="C111" s="1156"/>
      <c r="D111" s="1156"/>
      <c r="E111" s="1158"/>
      <c r="F111" s="1158"/>
      <c r="G111" s="1158"/>
      <c r="H111" s="1158"/>
      <c r="I111" s="1158"/>
      <c r="J111" s="1158"/>
      <c r="K111" s="1158"/>
      <c r="L111" s="1158"/>
      <c r="M111" s="1158"/>
      <c r="N111" s="1158"/>
      <c r="O111" s="1158"/>
      <c r="P111" s="1158"/>
      <c r="Q111" s="1158"/>
      <c r="R111" s="1158"/>
      <c r="S111" s="1158"/>
      <c r="T111" s="1158"/>
      <c r="U111" s="1158"/>
      <c r="V111" s="1158"/>
      <c r="W111" s="1158"/>
      <c r="X111" s="1158"/>
      <c r="Y111" s="1158"/>
      <c r="Z111" s="1156"/>
      <c r="AA111" s="1156"/>
      <c r="AB111" s="1156"/>
      <c r="AC111" s="1156"/>
      <c r="AD111" s="1156"/>
      <c r="AE111" s="1156"/>
      <c r="AF111" s="1156"/>
      <c r="AG111" s="1156"/>
      <c r="AH111" s="1156"/>
      <c r="AI111" s="1156"/>
    </row>
    <row r="112" spans="1:35">
      <c r="A112" s="1156"/>
      <c r="B112" s="1156"/>
      <c r="C112" s="1156"/>
      <c r="D112" s="1156"/>
      <c r="E112" s="1158"/>
      <c r="F112" s="1158"/>
      <c r="G112" s="1158"/>
      <c r="H112" s="1158"/>
      <c r="I112" s="1158"/>
      <c r="J112" s="1158"/>
      <c r="K112" s="1158"/>
      <c r="L112" s="1158"/>
      <c r="M112" s="1158"/>
      <c r="N112" s="1158"/>
      <c r="O112" s="1158"/>
      <c r="P112" s="1158"/>
      <c r="Q112" s="1158"/>
      <c r="R112" s="1158"/>
      <c r="S112" s="1158"/>
      <c r="T112" s="1158"/>
      <c r="U112" s="1158"/>
      <c r="V112" s="1158"/>
      <c r="W112" s="1158"/>
      <c r="X112" s="1158"/>
      <c r="Y112" s="1158"/>
      <c r="Z112" s="1156"/>
      <c r="AA112" s="1156"/>
      <c r="AB112" s="1156"/>
      <c r="AC112" s="1156"/>
      <c r="AD112" s="1156"/>
      <c r="AE112" s="1156"/>
      <c r="AF112" s="1156"/>
      <c r="AG112" s="1156"/>
      <c r="AH112" s="1156"/>
      <c r="AI112" s="1156"/>
    </row>
    <row r="113" spans="1:35">
      <c r="A113" s="1156"/>
      <c r="B113" s="1156"/>
      <c r="C113" s="1156"/>
      <c r="D113" s="1156"/>
      <c r="E113" s="1158"/>
      <c r="F113" s="1158"/>
      <c r="G113" s="1158"/>
      <c r="H113" s="1158"/>
      <c r="I113" s="1158"/>
      <c r="J113" s="1158"/>
      <c r="K113" s="1158"/>
      <c r="L113" s="1158"/>
      <c r="M113" s="1158"/>
      <c r="N113" s="1158"/>
      <c r="O113" s="1158"/>
      <c r="P113" s="1158"/>
      <c r="Q113" s="1158"/>
      <c r="R113" s="1158"/>
      <c r="S113" s="1158"/>
      <c r="T113" s="1158"/>
      <c r="U113" s="1158"/>
      <c r="V113" s="1158"/>
      <c r="W113" s="1158"/>
      <c r="X113" s="1158"/>
      <c r="Y113" s="1158"/>
      <c r="Z113" s="1156"/>
      <c r="AA113" s="1156"/>
      <c r="AB113" s="1156"/>
      <c r="AC113" s="1156"/>
      <c r="AD113" s="1156"/>
      <c r="AE113" s="1156"/>
      <c r="AF113" s="1156"/>
      <c r="AG113" s="1156"/>
      <c r="AH113" s="1156"/>
      <c r="AI113" s="1156"/>
    </row>
    <row r="114" spans="1:35">
      <c r="A114" s="1156"/>
      <c r="B114" s="1156"/>
      <c r="C114" s="1156"/>
      <c r="D114" s="1156"/>
      <c r="E114" s="1158"/>
      <c r="F114" s="1158"/>
      <c r="G114" s="1158"/>
      <c r="H114" s="1158"/>
      <c r="I114" s="1158"/>
      <c r="J114" s="1158"/>
      <c r="K114" s="1158"/>
      <c r="L114" s="1158"/>
      <c r="M114" s="1158"/>
      <c r="N114" s="1158"/>
      <c r="O114" s="1158"/>
      <c r="P114" s="1158"/>
      <c r="Q114" s="1158"/>
      <c r="R114" s="1158"/>
      <c r="S114" s="1158"/>
      <c r="T114" s="1158"/>
      <c r="U114" s="1158"/>
      <c r="V114" s="1158"/>
      <c r="W114" s="1158"/>
      <c r="X114" s="1158"/>
      <c r="Y114" s="1158"/>
      <c r="Z114" s="1156"/>
      <c r="AA114" s="1156"/>
      <c r="AB114" s="1156"/>
      <c r="AC114" s="1156"/>
      <c r="AD114" s="1156"/>
      <c r="AE114" s="1156"/>
      <c r="AF114" s="1156"/>
      <c r="AG114" s="1156"/>
      <c r="AH114" s="1156"/>
      <c r="AI114" s="1156"/>
    </row>
    <row r="115" spans="1:35">
      <c r="A115" s="1156"/>
      <c r="B115" s="1156"/>
      <c r="C115" s="1156"/>
      <c r="D115" s="1156"/>
      <c r="E115" s="1158"/>
      <c r="F115" s="1158"/>
      <c r="G115" s="1158"/>
      <c r="H115" s="1158"/>
      <c r="I115" s="1158"/>
      <c r="J115" s="1158"/>
      <c r="K115" s="1158"/>
      <c r="L115" s="1158"/>
      <c r="M115" s="1158"/>
      <c r="N115" s="1158"/>
      <c r="O115" s="1158"/>
      <c r="P115" s="1158"/>
      <c r="Q115" s="1158"/>
      <c r="R115" s="1158"/>
      <c r="S115" s="1158"/>
      <c r="T115" s="1158"/>
      <c r="U115" s="1158"/>
      <c r="V115" s="1158"/>
      <c r="W115" s="1158"/>
      <c r="X115" s="1158"/>
      <c r="Y115" s="1158"/>
      <c r="Z115" s="1156"/>
      <c r="AA115" s="1156"/>
      <c r="AB115" s="1156"/>
      <c r="AC115" s="1156"/>
      <c r="AD115" s="1156"/>
      <c r="AE115" s="1156"/>
      <c r="AF115" s="1156"/>
      <c r="AG115" s="1156"/>
      <c r="AH115" s="1156"/>
      <c r="AI115" s="1156"/>
    </row>
    <row r="116" spans="1:35">
      <c r="A116" s="1156"/>
      <c r="B116" s="1156"/>
      <c r="C116" s="1156"/>
      <c r="D116" s="1156"/>
      <c r="E116" s="1158"/>
      <c r="F116" s="1158"/>
      <c r="G116" s="1158"/>
      <c r="H116" s="1158"/>
      <c r="I116" s="1158"/>
      <c r="J116" s="1158"/>
      <c r="K116" s="1158"/>
      <c r="L116" s="1158"/>
      <c r="M116" s="1158"/>
      <c r="N116" s="1158"/>
      <c r="O116" s="1158"/>
      <c r="P116" s="1158"/>
      <c r="Q116" s="1158"/>
      <c r="R116" s="1158"/>
      <c r="S116" s="1158"/>
      <c r="T116" s="1158"/>
      <c r="U116" s="1158"/>
      <c r="V116" s="1158"/>
      <c r="W116" s="1158"/>
      <c r="X116" s="1158"/>
      <c r="Y116" s="1158"/>
      <c r="Z116" s="1156"/>
      <c r="AA116" s="1156"/>
      <c r="AB116" s="1156"/>
      <c r="AC116" s="1156"/>
      <c r="AD116" s="1156"/>
      <c r="AE116" s="1156"/>
      <c r="AF116" s="1156"/>
      <c r="AG116" s="1156"/>
      <c r="AH116" s="1156"/>
      <c r="AI116" s="1156"/>
    </row>
    <row r="117" spans="1:35">
      <c r="A117" s="1156"/>
      <c r="B117" s="1156"/>
      <c r="C117" s="1156"/>
      <c r="D117" s="1156"/>
      <c r="E117" s="1158"/>
      <c r="F117" s="1158"/>
      <c r="G117" s="1158"/>
      <c r="H117" s="1158"/>
      <c r="I117" s="1158"/>
      <c r="J117" s="1158"/>
      <c r="K117" s="1158"/>
      <c r="L117" s="1158"/>
      <c r="M117" s="1158"/>
      <c r="N117" s="1158"/>
      <c r="O117" s="1158"/>
      <c r="P117" s="1158"/>
      <c r="Q117" s="1158"/>
      <c r="R117" s="1158"/>
      <c r="S117" s="1158"/>
      <c r="T117" s="1158"/>
      <c r="U117" s="1158"/>
      <c r="V117" s="1158"/>
      <c r="W117" s="1158"/>
      <c r="X117" s="1158"/>
      <c r="Y117" s="1158"/>
      <c r="Z117" s="1156"/>
      <c r="AA117" s="1156"/>
      <c r="AB117" s="1156"/>
      <c r="AC117" s="1156"/>
      <c r="AD117" s="1156"/>
      <c r="AE117" s="1156"/>
      <c r="AF117" s="1156"/>
      <c r="AG117" s="1156"/>
      <c r="AH117" s="1156"/>
      <c r="AI117" s="1156"/>
    </row>
    <row r="118" spans="1:35">
      <c r="A118" s="1156"/>
      <c r="B118" s="1156"/>
      <c r="C118" s="1156"/>
      <c r="D118" s="1156"/>
      <c r="E118" s="1158"/>
      <c r="F118" s="1158"/>
      <c r="G118" s="1158"/>
      <c r="H118" s="1158"/>
      <c r="I118" s="1158"/>
      <c r="J118" s="1158"/>
      <c r="K118" s="1158"/>
      <c r="L118" s="1158"/>
      <c r="M118" s="1158"/>
      <c r="N118" s="1158"/>
      <c r="O118" s="1158"/>
      <c r="P118" s="1158"/>
      <c r="Q118" s="1158"/>
      <c r="R118" s="1158"/>
      <c r="S118" s="1158"/>
      <c r="T118" s="1158"/>
      <c r="U118" s="1158"/>
      <c r="V118" s="1158"/>
      <c r="W118" s="1158"/>
      <c r="X118" s="1158"/>
      <c r="Y118" s="1158"/>
      <c r="Z118" s="1156"/>
      <c r="AA118" s="1156"/>
      <c r="AB118" s="1156"/>
      <c r="AC118" s="1156"/>
      <c r="AD118" s="1156"/>
      <c r="AE118" s="1156"/>
      <c r="AF118" s="1156"/>
      <c r="AG118" s="1156"/>
      <c r="AH118" s="1156"/>
      <c r="AI118" s="1156"/>
    </row>
    <row r="119" spans="1:35">
      <c r="A119" s="1156"/>
      <c r="B119" s="1156"/>
      <c r="C119" s="1156"/>
      <c r="D119" s="1156"/>
      <c r="E119" s="1158"/>
      <c r="F119" s="1158"/>
      <c r="G119" s="1158"/>
      <c r="H119" s="1158"/>
      <c r="I119" s="1158"/>
      <c r="J119" s="1158"/>
      <c r="K119" s="1158"/>
      <c r="L119" s="1158"/>
      <c r="M119" s="1158"/>
      <c r="N119" s="1158"/>
      <c r="O119" s="1158"/>
      <c r="P119" s="1158"/>
      <c r="Q119" s="1158"/>
      <c r="R119" s="1158"/>
      <c r="S119" s="1158"/>
      <c r="T119" s="1158"/>
      <c r="U119" s="1158"/>
      <c r="V119" s="1158"/>
      <c r="W119" s="1158"/>
      <c r="X119" s="1158"/>
      <c r="Y119" s="1158"/>
      <c r="Z119" s="1156"/>
      <c r="AA119" s="1156"/>
      <c r="AB119" s="1156"/>
      <c r="AC119" s="1156"/>
      <c r="AD119" s="1156"/>
      <c r="AE119" s="1156"/>
      <c r="AF119" s="1156"/>
      <c r="AG119" s="1156"/>
      <c r="AH119" s="1156"/>
      <c r="AI119" s="1156"/>
    </row>
    <row r="120" spans="1:35">
      <c r="A120" s="1156"/>
      <c r="B120" s="1156"/>
      <c r="C120" s="1156"/>
      <c r="D120" s="1156"/>
      <c r="E120" s="1158"/>
      <c r="F120" s="1158"/>
      <c r="G120" s="1158"/>
      <c r="H120" s="1158"/>
      <c r="I120" s="1158"/>
      <c r="J120" s="1158"/>
      <c r="K120" s="1158"/>
      <c r="L120" s="1158"/>
      <c r="M120" s="1158"/>
      <c r="N120" s="1158"/>
      <c r="O120" s="1158"/>
      <c r="P120" s="1158"/>
      <c r="Q120" s="1158"/>
      <c r="R120" s="1158"/>
      <c r="S120" s="1158"/>
      <c r="T120" s="1158"/>
      <c r="U120" s="1158"/>
      <c r="V120" s="1158"/>
      <c r="W120" s="1158"/>
      <c r="X120" s="1158"/>
      <c r="Y120" s="1158"/>
      <c r="Z120" s="1156"/>
      <c r="AA120" s="1156"/>
      <c r="AB120" s="1156"/>
      <c r="AC120" s="1156"/>
      <c r="AD120" s="1156"/>
      <c r="AE120" s="1156"/>
      <c r="AF120" s="1156"/>
      <c r="AG120" s="1156"/>
      <c r="AH120" s="1156"/>
      <c r="AI120" s="1156"/>
    </row>
    <row r="121" spans="1:35">
      <c r="A121" s="1156"/>
      <c r="B121" s="1156"/>
      <c r="C121" s="1156"/>
      <c r="D121" s="1156"/>
      <c r="E121" s="1158"/>
      <c r="F121" s="1158"/>
      <c r="G121" s="1158"/>
      <c r="H121" s="1158"/>
      <c r="I121" s="1158"/>
      <c r="J121" s="1158"/>
      <c r="K121" s="1158"/>
      <c r="L121" s="1158"/>
      <c r="M121" s="1158"/>
      <c r="N121" s="1158"/>
      <c r="O121" s="1158"/>
      <c r="P121" s="1158"/>
      <c r="Q121" s="1158"/>
      <c r="R121" s="1158"/>
      <c r="S121" s="1158"/>
      <c r="T121" s="1158"/>
      <c r="U121" s="1158"/>
      <c r="V121" s="1158"/>
      <c r="W121" s="1158"/>
      <c r="X121" s="1158"/>
      <c r="Y121" s="1158"/>
      <c r="Z121" s="1156"/>
      <c r="AA121" s="1156"/>
      <c r="AB121" s="1156"/>
      <c r="AC121" s="1156"/>
      <c r="AD121" s="1156"/>
      <c r="AE121" s="1156"/>
      <c r="AF121" s="1156"/>
      <c r="AG121" s="1156"/>
      <c r="AH121" s="1156"/>
      <c r="AI121" s="1156"/>
    </row>
    <row r="122" spans="1:35">
      <c r="A122" s="1156"/>
      <c r="B122" s="1156"/>
      <c r="C122" s="1156"/>
      <c r="D122" s="1156"/>
      <c r="E122" s="1158"/>
      <c r="F122" s="1158"/>
      <c r="G122" s="1158"/>
      <c r="H122" s="1158"/>
      <c r="I122" s="1158"/>
      <c r="J122" s="1158"/>
      <c r="K122" s="1158"/>
      <c r="L122" s="1158"/>
      <c r="M122" s="1158"/>
      <c r="N122" s="1158"/>
      <c r="O122" s="1158"/>
      <c r="P122" s="1158"/>
      <c r="Q122" s="1158"/>
      <c r="R122" s="1158"/>
      <c r="S122" s="1158"/>
      <c r="T122" s="1158"/>
      <c r="U122" s="1158"/>
      <c r="V122" s="1158"/>
      <c r="W122" s="1158"/>
      <c r="X122" s="1158"/>
      <c r="Y122" s="1158"/>
      <c r="Z122" s="1156"/>
      <c r="AA122" s="1156"/>
      <c r="AB122" s="1156"/>
      <c r="AC122" s="1156"/>
      <c r="AD122" s="1156"/>
      <c r="AE122" s="1156"/>
      <c r="AF122" s="1156"/>
      <c r="AG122" s="1156"/>
      <c r="AH122" s="1156"/>
      <c r="AI122" s="1156"/>
    </row>
    <row r="123" spans="1:35">
      <c r="A123" s="1156"/>
      <c r="B123" s="1156"/>
      <c r="C123" s="1156"/>
      <c r="D123" s="1156"/>
      <c r="E123" s="1158"/>
      <c r="F123" s="1158"/>
      <c r="G123" s="1158"/>
      <c r="H123" s="1158"/>
      <c r="I123" s="1158"/>
      <c r="J123" s="1158"/>
      <c r="K123" s="1158"/>
      <c r="L123" s="1158"/>
      <c r="M123" s="1158"/>
      <c r="N123" s="1158"/>
      <c r="O123" s="1158"/>
      <c r="P123" s="1158"/>
      <c r="Q123" s="1158"/>
      <c r="R123" s="1158"/>
      <c r="S123" s="1158"/>
      <c r="T123" s="1158"/>
      <c r="U123" s="1158"/>
      <c r="V123" s="1158"/>
      <c r="W123" s="1158"/>
      <c r="X123" s="1158"/>
      <c r="Y123" s="1158"/>
      <c r="Z123" s="1156"/>
      <c r="AA123" s="1156"/>
      <c r="AB123" s="1156"/>
      <c r="AC123" s="1156"/>
      <c r="AD123" s="1156"/>
      <c r="AE123" s="1156"/>
      <c r="AF123" s="1156"/>
      <c r="AG123" s="1156"/>
      <c r="AH123" s="1156"/>
      <c r="AI123" s="1156"/>
    </row>
    <row r="124" spans="1:35">
      <c r="A124" s="1156"/>
      <c r="B124" s="1156"/>
      <c r="C124" s="1156"/>
      <c r="D124" s="1156"/>
      <c r="E124" s="1158"/>
      <c r="F124" s="1158"/>
      <c r="G124" s="1158"/>
      <c r="H124" s="1158"/>
      <c r="I124" s="1158"/>
      <c r="J124" s="1158"/>
      <c r="K124" s="1158"/>
      <c r="L124" s="1158"/>
      <c r="M124" s="1158"/>
      <c r="N124" s="1158"/>
      <c r="O124" s="1158"/>
      <c r="P124" s="1158"/>
      <c r="Q124" s="1158"/>
      <c r="R124" s="1158"/>
      <c r="S124" s="1158"/>
      <c r="T124" s="1158"/>
      <c r="U124" s="1158"/>
      <c r="V124" s="1158"/>
      <c r="W124" s="1158"/>
      <c r="X124" s="1158"/>
      <c r="Y124" s="1158"/>
      <c r="Z124" s="1156"/>
      <c r="AA124" s="1156"/>
      <c r="AB124" s="1156"/>
      <c r="AC124" s="1156"/>
      <c r="AD124" s="1156"/>
      <c r="AE124" s="1156"/>
      <c r="AF124" s="1156"/>
      <c r="AG124" s="1156"/>
      <c r="AH124" s="1156"/>
      <c r="AI124" s="1156"/>
    </row>
    <row r="125" spans="1:35">
      <c r="A125" s="1156"/>
      <c r="B125" s="1156"/>
      <c r="C125" s="1156"/>
      <c r="D125" s="1156"/>
      <c r="E125" s="1158"/>
      <c r="F125" s="1158"/>
      <c r="G125" s="1158"/>
      <c r="H125" s="1158"/>
      <c r="I125" s="1158"/>
      <c r="J125" s="1158"/>
      <c r="K125" s="1158"/>
      <c r="L125" s="1158"/>
      <c r="M125" s="1158"/>
      <c r="N125" s="1158"/>
      <c r="O125" s="1158"/>
      <c r="P125" s="1158"/>
      <c r="Q125" s="1158"/>
      <c r="R125" s="1158"/>
      <c r="S125" s="1158"/>
      <c r="T125" s="1158"/>
      <c r="U125" s="1158"/>
      <c r="V125" s="1158"/>
      <c r="W125" s="1158"/>
      <c r="X125" s="1158"/>
      <c r="Y125" s="1158"/>
      <c r="Z125" s="1156"/>
      <c r="AA125" s="1156"/>
      <c r="AB125" s="1156"/>
      <c r="AC125" s="1156"/>
      <c r="AD125" s="1156"/>
      <c r="AE125" s="1156"/>
      <c r="AF125" s="1156"/>
      <c r="AG125" s="1156"/>
      <c r="AH125" s="1156"/>
      <c r="AI125" s="1156"/>
    </row>
    <row r="126" spans="1:35">
      <c r="A126" s="1156"/>
      <c r="B126" s="1156"/>
      <c r="C126" s="1156"/>
      <c r="D126" s="1156"/>
      <c r="E126" s="1158"/>
      <c r="F126" s="1158"/>
      <c r="G126" s="1158"/>
      <c r="H126" s="1158"/>
      <c r="I126" s="1158"/>
      <c r="J126" s="1158"/>
      <c r="K126" s="1158"/>
      <c r="L126" s="1158"/>
      <c r="M126" s="1158"/>
      <c r="N126" s="1158"/>
      <c r="O126" s="1158"/>
      <c r="P126" s="1158"/>
      <c r="Q126" s="1158"/>
      <c r="R126" s="1158"/>
      <c r="S126" s="1158"/>
      <c r="T126" s="1158"/>
      <c r="U126" s="1158"/>
      <c r="V126" s="1158"/>
      <c r="W126" s="1158"/>
      <c r="X126" s="1158"/>
      <c r="Y126" s="1158"/>
      <c r="Z126" s="1156"/>
      <c r="AA126" s="1156"/>
      <c r="AB126" s="1156"/>
      <c r="AC126" s="1156"/>
      <c r="AD126" s="1156"/>
      <c r="AE126" s="1156"/>
      <c r="AF126" s="1156"/>
      <c r="AG126" s="1156"/>
      <c r="AH126" s="1156"/>
      <c r="AI126" s="1156"/>
    </row>
    <row r="127" spans="1:35">
      <c r="A127" s="1156"/>
      <c r="B127" s="1156"/>
      <c r="C127" s="1156"/>
      <c r="D127" s="1156"/>
      <c r="E127" s="1158"/>
      <c r="F127" s="1158"/>
      <c r="G127" s="1158"/>
      <c r="H127" s="1158"/>
      <c r="I127" s="1158"/>
      <c r="J127" s="1158"/>
      <c r="K127" s="1158"/>
      <c r="L127" s="1158"/>
      <c r="M127" s="1158"/>
      <c r="N127" s="1158"/>
      <c r="O127" s="1158"/>
      <c r="P127" s="1158"/>
      <c r="Q127" s="1158"/>
      <c r="R127" s="1158"/>
      <c r="S127" s="1158"/>
      <c r="T127" s="1158"/>
      <c r="U127" s="1158"/>
      <c r="V127" s="1158"/>
      <c r="W127" s="1158"/>
      <c r="X127" s="1158"/>
      <c r="Y127" s="1158"/>
      <c r="Z127" s="1156"/>
      <c r="AA127" s="1156"/>
      <c r="AB127" s="1156"/>
      <c r="AC127" s="1156"/>
      <c r="AD127" s="1156"/>
      <c r="AE127" s="1156"/>
      <c r="AF127" s="1156"/>
      <c r="AG127" s="1156"/>
      <c r="AH127" s="1156"/>
      <c r="AI127" s="1156"/>
    </row>
    <row r="128" spans="1:35">
      <c r="A128" s="1156"/>
      <c r="B128" s="1156"/>
      <c r="C128" s="1156"/>
      <c r="D128" s="1156"/>
      <c r="E128" s="1158"/>
      <c r="F128" s="1158"/>
      <c r="G128" s="1158"/>
      <c r="H128" s="1158"/>
      <c r="I128" s="1158"/>
      <c r="J128" s="1158"/>
      <c r="K128" s="1158"/>
      <c r="L128" s="1158"/>
      <c r="M128" s="1158"/>
      <c r="N128" s="1158"/>
      <c r="O128" s="1158"/>
      <c r="P128" s="1158"/>
      <c r="Q128" s="1158"/>
      <c r="R128" s="1158"/>
      <c r="S128" s="1158"/>
      <c r="T128" s="1158"/>
      <c r="U128" s="1158"/>
      <c r="V128" s="1158"/>
      <c r="W128" s="1158"/>
      <c r="X128" s="1158"/>
      <c r="Y128" s="1158"/>
      <c r="Z128" s="1156"/>
      <c r="AA128" s="1156"/>
      <c r="AB128" s="1156"/>
      <c r="AC128" s="1156"/>
      <c r="AD128" s="1156"/>
      <c r="AE128" s="1156"/>
      <c r="AF128" s="1156"/>
      <c r="AG128" s="1156"/>
      <c r="AH128" s="1156"/>
      <c r="AI128" s="1156"/>
    </row>
    <row r="129" spans="1:35">
      <c r="A129" s="1156"/>
      <c r="B129" s="1156"/>
      <c r="C129" s="1156"/>
      <c r="D129" s="1156"/>
      <c r="E129" s="1158"/>
      <c r="F129" s="1158"/>
      <c r="G129" s="1158"/>
      <c r="H129" s="1158"/>
      <c r="I129" s="1158"/>
      <c r="J129" s="1158"/>
      <c r="K129" s="1158"/>
      <c r="L129" s="1158"/>
      <c r="M129" s="1158"/>
      <c r="N129" s="1158"/>
      <c r="O129" s="1158"/>
      <c r="P129" s="1158"/>
      <c r="Q129" s="1158"/>
      <c r="R129" s="1158"/>
      <c r="S129" s="1158"/>
      <c r="T129" s="1158"/>
      <c r="U129" s="1158"/>
      <c r="V129" s="1158"/>
      <c r="W129" s="1158"/>
      <c r="X129" s="1158"/>
      <c r="Y129" s="1158"/>
      <c r="Z129" s="1156"/>
      <c r="AA129" s="1156"/>
      <c r="AB129" s="1156"/>
      <c r="AC129" s="1156"/>
      <c r="AD129" s="1156"/>
      <c r="AE129" s="1156"/>
      <c r="AF129" s="1156"/>
      <c r="AG129" s="1156"/>
      <c r="AH129" s="1156"/>
      <c r="AI129" s="1156"/>
    </row>
    <row r="130" spans="1:35">
      <c r="A130" s="1156"/>
      <c r="B130" s="1156"/>
      <c r="C130" s="1156"/>
      <c r="D130" s="1156"/>
      <c r="E130" s="1158"/>
      <c r="F130" s="1158"/>
      <c r="G130" s="1158"/>
      <c r="H130" s="1158"/>
      <c r="I130" s="1158"/>
      <c r="J130" s="1158"/>
      <c r="K130" s="1158"/>
      <c r="L130" s="1158"/>
      <c r="M130" s="1158"/>
      <c r="N130" s="1158"/>
      <c r="O130" s="1158"/>
      <c r="P130" s="1158"/>
      <c r="Q130" s="1158"/>
      <c r="R130" s="1158"/>
      <c r="S130" s="1158"/>
      <c r="T130" s="1158"/>
      <c r="U130" s="1158"/>
      <c r="V130" s="1158"/>
      <c r="W130" s="1158"/>
      <c r="X130" s="1158"/>
      <c r="Y130" s="1158"/>
      <c r="Z130" s="1156"/>
      <c r="AA130" s="1156"/>
      <c r="AB130" s="1156"/>
      <c r="AC130" s="1156"/>
      <c r="AD130" s="1156"/>
      <c r="AE130" s="1156"/>
      <c r="AF130" s="1156"/>
      <c r="AG130" s="1156"/>
      <c r="AH130" s="1156"/>
      <c r="AI130" s="1156"/>
    </row>
    <row r="131" spans="1:35">
      <c r="A131" s="1156"/>
      <c r="B131" s="1156"/>
      <c r="C131" s="1156"/>
      <c r="D131" s="1156"/>
      <c r="E131" s="1158"/>
      <c r="F131" s="1158"/>
      <c r="G131" s="1158"/>
      <c r="H131" s="1158"/>
      <c r="I131" s="1158"/>
      <c r="J131" s="1158"/>
      <c r="K131" s="1158"/>
      <c r="L131" s="1158"/>
      <c r="M131" s="1158"/>
      <c r="N131" s="1158"/>
      <c r="O131" s="1158"/>
      <c r="P131" s="1158"/>
      <c r="Q131" s="1158"/>
      <c r="R131" s="1158"/>
      <c r="S131" s="1158"/>
      <c r="T131" s="1158"/>
      <c r="U131" s="1158"/>
      <c r="V131" s="1158"/>
      <c r="W131" s="1158"/>
      <c r="X131" s="1158"/>
      <c r="Y131" s="1158"/>
      <c r="Z131" s="1156"/>
      <c r="AA131" s="1156"/>
      <c r="AB131" s="1156"/>
      <c r="AC131" s="1156"/>
      <c r="AD131" s="1156"/>
      <c r="AE131" s="1156"/>
      <c r="AF131" s="1156"/>
      <c r="AG131" s="1156"/>
      <c r="AH131" s="1156"/>
      <c r="AI131" s="1156"/>
    </row>
    <row r="132" spans="1:35">
      <c r="A132" s="1156"/>
      <c r="B132" s="1156"/>
      <c r="C132" s="1156"/>
      <c r="D132" s="1156"/>
      <c r="E132" s="1158"/>
      <c r="F132" s="1158"/>
      <c r="G132" s="1158"/>
      <c r="H132" s="1158"/>
      <c r="I132" s="1158"/>
      <c r="J132" s="1158"/>
      <c r="K132" s="1158"/>
      <c r="L132" s="1158"/>
      <c r="M132" s="1158"/>
      <c r="N132" s="1158"/>
      <c r="O132" s="1158"/>
      <c r="P132" s="1158"/>
      <c r="Q132" s="1158"/>
      <c r="R132" s="1158"/>
      <c r="S132" s="1158"/>
      <c r="T132" s="1158"/>
      <c r="U132" s="1158"/>
      <c r="V132" s="1158"/>
      <c r="W132" s="1158"/>
      <c r="X132" s="1158"/>
      <c r="Y132" s="1158"/>
      <c r="Z132" s="1156"/>
      <c r="AA132" s="1156"/>
      <c r="AB132" s="1156"/>
      <c r="AC132" s="1156"/>
      <c r="AD132" s="1156"/>
      <c r="AE132" s="1156"/>
      <c r="AF132" s="1156"/>
      <c r="AG132" s="1156"/>
      <c r="AH132" s="1156"/>
      <c r="AI132" s="1156"/>
    </row>
    <row r="133" spans="1:35">
      <c r="A133" s="1156"/>
      <c r="B133" s="1156"/>
      <c r="C133" s="1156"/>
      <c r="D133" s="1156"/>
      <c r="E133" s="1158"/>
      <c r="F133" s="1158"/>
      <c r="G133" s="1158"/>
      <c r="H133" s="1158"/>
      <c r="I133" s="1158"/>
      <c r="J133" s="1158"/>
      <c r="K133" s="1158"/>
      <c r="L133" s="1158"/>
      <c r="M133" s="1158"/>
      <c r="N133" s="1158"/>
      <c r="O133" s="1158"/>
      <c r="P133" s="1158"/>
      <c r="Q133" s="1158"/>
      <c r="R133" s="1158"/>
      <c r="S133" s="1158"/>
      <c r="T133" s="1158"/>
      <c r="U133" s="1158"/>
      <c r="V133" s="1158"/>
      <c r="W133" s="1158"/>
      <c r="X133" s="1158"/>
      <c r="Y133" s="1158"/>
      <c r="Z133" s="1156"/>
      <c r="AA133" s="1156"/>
      <c r="AB133" s="1156"/>
      <c r="AC133" s="1156"/>
      <c r="AD133" s="1156"/>
      <c r="AE133" s="1156"/>
      <c r="AF133" s="1156"/>
      <c r="AG133" s="1156"/>
      <c r="AH133" s="1156"/>
      <c r="AI133" s="1156"/>
    </row>
    <row r="134" spans="1:35">
      <c r="A134" s="1156"/>
      <c r="B134" s="1156"/>
      <c r="C134" s="1156"/>
      <c r="D134" s="1156"/>
      <c r="E134" s="1158"/>
      <c r="F134" s="1158"/>
      <c r="G134" s="1158"/>
      <c r="H134" s="1158"/>
      <c r="I134" s="1158"/>
      <c r="J134" s="1158"/>
      <c r="K134" s="1158"/>
      <c r="L134" s="1158"/>
      <c r="M134" s="1158"/>
      <c r="N134" s="1158"/>
      <c r="O134" s="1158"/>
      <c r="P134" s="1158"/>
      <c r="Q134" s="1158"/>
      <c r="R134" s="1158"/>
      <c r="S134" s="1158"/>
      <c r="T134" s="1158"/>
      <c r="U134" s="1158"/>
      <c r="V134" s="1158"/>
      <c r="W134" s="1158"/>
      <c r="X134" s="1158"/>
      <c r="Y134" s="1158"/>
      <c r="Z134" s="1156"/>
      <c r="AA134" s="1156"/>
      <c r="AB134" s="1156"/>
      <c r="AC134" s="1156"/>
      <c r="AD134" s="1156"/>
      <c r="AE134" s="1156"/>
      <c r="AF134" s="1156"/>
      <c r="AG134" s="1156"/>
      <c r="AH134" s="1156"/>
      <c r="AI134" s="1156"/>
    </row>
    <row r="135" spans="1:35">
      <c r="A135" s="1156"/>
      <c r="B135" s="1156"/>
      <c r="C135" s="1156"/>
      <c r="D135" s="1156"/>
      <c r="E135" s="1158"/>
      <c r="F135" s="1158"/>
      <c r="G135" s="1158"/>
      <c r="H135" s="1158"/>
      <c r="I135" s="1158"/>
      <c r="J135" s="1158"/>
      <c r="K135" s="1158"/>
      <c r="L135" s="1158"/>
      <c r="M135" s="1158"/>
      <c r="N135" s="1158"/>
      <c r="O135" s="1158"/>
      <c r="P135" s="1158"/>
      <c r="Q135" s="1158"/>
      <c r="R135" s="1158"/>
      <c r="S135" s="1158"/>
      <c r="T135" s="1158"/>
      <c r="U135" s="1158"/>
      <c r="V135" s="1158"/>
      <c r="W135" s="1158"/>
      <c r="X135" s="1158"/>
      <c r="Y135" s="1158"/>
      <c r="Z135" s="1156"/>
      <c r="AA135" s="1156"/>
      <c r="AB135" s="1156"/>
      <c r="AC135" s="1156"/>
      <c r="AD135" s="1156"/>
      <c r="AE135" s="1156"/>
      <c r="AF135" s="1156"/>
      <c r="AG135" s="1156"/>
      <c r="AH135" s="1156"/>
      <c r="AI135" s="1156"/>
    </row>
    <row r="136" spans="1:35">
      <c r="A136" s="1156"/>
      <c r="B136" s="1156"/>
      <c r="C136" s="1156"/>
      <c r="D136" s="1156"/>
      <c r="E136" s="1158"/>
      <c r="F136" s="1158"/>
      <c r="G136" s="1158"/>
      <c r="H136" s="1158"/>
      <c r="I136" s="1158"/>
      <c r="J136" s="1158"/>
      <c r="K136" s="1158"/>
      <c r="L136" s="1158"/>
      <c r="M136" s="1158"/>
      <c r="N136" s="1158"/>
      <c r="O136" s="1158"/>
      <c r="P136" s="1158"/>
      <c r="Q136" s="1158"/>
      <c r="R136" s="1158"/>
      <c r="S136" s="1158"/>
      <c r="T136" s="1158"/>
      <c r="U136" s="1158"/>
      <c r="V136" s="1158"/>
      <c r="W136" s="1158"/>
      <c r="X136" s="1158"/>
      <c r="Y136" s="1158"/>
      <c r="Z136" s="1156"/>
      <c r="AA136" s="1156"/>
      <c r="AB136" s="1156"/>
      <c r="AC136" s="1156"/>
      <c r="AD136" s="1156"/>
      <c r="AE136" s="1156"/>
      <c r="AF136" s="1156"/>
      <c r="AG136" s="1156"/>
      <c r="AH136" s="1156"/>
      <c r="AI136" s="1156"/>
    </row>
    <row r="137" spans="1:35">
      <c r="A137" s="1156"/>
      <c r="B137" s="1156"/>
      <c r="C137" s="1156"/>
      <c r="D137" s="1156"/>
      <c r="E137" s="1158"/>
      <c r="F137" s="1158"/>
      <c r="G137" s="1158"/>
      <c r="H137" s="1158"/>
      <c r="I137" s="1158"/>
      <c r="J137" s="1158"/>
      <c r="K137" s="1158"/>
      <c r="L137" s="1158"/>
      <c r="M137" s="1158"/>
      <c r="N137" s="1158"/>
      <c r="O137" s="1158"/>
      <c r="P137" s="1158"/>
      <c r="Q137" s="1158"/>
      <c r="R137" s="1158"/>
      <c r="S137" s="1158"/>
      <c r="T137" s="1158"/>
      <c r="U137" s="1158"/>
      <c r="V137" s="1158"/>
      <c r="W137" s="1158"/>
      <c r="X137" s="1158"/>
      <c r="Y137" s="1158"/>
      <c r="Z137" s="1156"/>
      <c r="AA137" s="1156"/>
      <c r="AB137" s="1156"/>
      <c r="AC137" s="1156"/>
      <c r="AD137" s="1156"/>
      <c r="AE137" s="1156"/>
      <c r="AF137" s="1156"/>
      <c r="AG137" s="1156"/>
      <c r="AH137" s="1156"/>
      <c r="AI137" s="1156"/>
    </row>
    <row r="138" spans="1:35">
      <c r="A138" s="1156"/>
      <c r="B138" s="1156"/>
      <c r="C138" s="1156"/>
      <c r="D138" s="1156"/>
      <c r="E138" s="1158"/>
      <c r="F138" s="1158"/>
      <c r="G138" s="1158"/>
      <c r="H138" s="1158"/>
      <c r="I138" s="1158"/>
      <c r="J138" s="1158"/>
      <c r="K138" s="1158"/>
      <c r="L138" s="1158"/>
      <c r="M138" s="1158"/>
      <c r="N138" s="1158"/>
      <c r="O138" s="1158"/>
      <c r="P138" s="1158"/>
      <c r="Q138" s="1158"/>
      <c r="R138" s="1158"/>
      <c r="S138" s="1158"/>
      <c r="T138" s="1158"/>
      <c r="U138" s="1158"/>
      <c r="V138" s="1158"/>
      <c r="W138" s="1158"/>
      <c r="X138" s="1158"/>
      <c r="Y138" s="1158"/>
      <c r="Z138" s="1156"/>
      <c r="AA138" s="1156"/>
      <c r="AB138" s="1156"/>
      <c r="AC138" s="1156"/>
      <c r="AD138" s="1156"/>
      <c r="AE138" s="1156"/>
      <c r="AF138" s="1156"/>
      <c r="AG138" s="1156"/>
      <c r="AH138" s="1156"/>
      <c r="AI138" s="1156"/>
    </row>
    <row r="139" spans="1:35">
      <c r="A139" s="1156"/>
      <c r="B139" s="1156"/>
      <c r="C139" s="1156"/>
      <c r="D139" s="1156"/>
      <c r="E139" s="1158"/>
      <c r="F139" s="1158"/>
      <c r="G139" s="1158"/>
      <c r="H139" s="1158"/>
      <c r="I139" s="1158"/>
      <c r="J139" s="1158"/>
      <c r="K139" s="1158"/>
      <c r="L139" s="1158"/>
      <c r="M139" s="1158"/>
      <c r="N139" s="1158"/>
      <c r="O139" s="1158"/>
      <c r="P139" s="1158"/>
      <c r="Q139" s="1158"/>
      <c r="R139" s="1158"/>
      <c r="S139" s="1158"/>
      <c r="T139" s="1158"/>
      <c r="U139" s="1158"/>
      <c r="V139" s="1158"/>
      <c r="W139" s="1158"/>
      <c r="X139" s="1158"/>
      <c r="Y139" s="1158"/>
      <c r="Z139" s="1156"/>
      <c r="AA139" s="1156"/>
      <c r="AB139" s="1156"/>
      <c r="AC139" s="1156"/>
      <c r="AD139" s="1156"/>
      <c r="AE139" s="1156"/>
      <c r="AF139" s="1156"/>
      <c r="AG139" s="1156"/>
      <c r="AH139" s="1156"/>
      <c r="AI139" s="1156"/>
    </row>
    <row r="140" spans="1:35">
      <c r="A140" s="1156"/>
      <c r="B140" s="1156"/>
      <c r="C140" s="1156"/>
      <c r="D140" s="1156"/>
      <c r="E140" s="1158"/>
      <c r="F140" s="1158"/>
      <c r="G140" s="1158"/>
      <c r="H140" s="1158"/>
      <c r="I140" s="1158"/>
      <c r="J140" s="1158"/>
      <c r="K140" s="1158"/>
      <c r="L140" s="1158"/>
      <c r="M140" s="1158"/>
      <c r="N140" s="1158"/>
      <c r="O140" s="1158"/>
      <c r="P140" s="1158"/>
      <c r="Q140" s="1158"/>
      <c r="R140" s="1158"/>
      <c r="S140" s="1158"/>
      <c r="T140" s="1158"/>
      <c r="U140" s="1158"/>
      <c r="V140" s="1158"/>
      <c r="W140" s="1158"/>
      <c r="X140" s="1158"/>
      <c r="Y140" s="1158"/>
      <c r="Z140" s="1156"/>
      <c r="AA140" s="1156"/>
      <c r="AB140" s="1156"/>
      <c r="AC140" s="1156"/>
      <c r="AD140" s="1156"/>
      <c r="AE140" s="1156"/>
      <c r="AF140" s="1156"/>
      <c r="AG140" s="1156"/>
      <c r="AH140" s="1156"/>
      <c r="AI140" s="1156"/>
    </row>
    <row r="141" spans="1:35">
      <c r="A141" s="1156"/>
      <c r="B141" s="1156"/>
      <c r="C141" s="1156"/>
      <c r="D141" s="1156"/>
      <c r="E141" s="1158"/>
      <c r="F141" s="1158"/>
      <c r="G141" s="1158"/>
      <c r="H141" s="1158"/>
      <c r="I141" s="1158"/>
      <c r="J141" s="1158"/>
      <c r="K141" s="1158"/>
      <c r="L141" s="1158"/>
      <c r="M141" s="1158"/>
      <c r="N141" s="1158"/>
      <c r="O141" s="1158"/>
      <c r="P141" s="1158"/>
      <c r="Q141" s="1158"/>
      <c r="R141" s="1158"/>
      <c r="S141" s="1158"/>
      <c r="T141" s="1158"/>
      <c r="U141" s="1158"/>
      <c r="V141" s="1158"/>
      <c r="W141" s="1158"/>
      <c r="X141" s="1158"/>
      <c r="Y141" s="1158"/>
      <c r="Z141" s="1156"/>
      <c r="AA141" s="1156"/>
      <c r="AB141" s="1156"/>
      <c r="AC141" s="1156"/>
      <c r="AD141" s="1156"/>
      <c r="AE141" s="1156"/>
      <c r="AF141" s="1156"/>
      <c r="AG141" s="1156"/>
      <c r="AH141" s="1156"/>
      <c r="AI141" s="1156"/>
    </row>
    <row r="142" spans="1:35">
      <c r="A142" s="1156"/>
      <c r="B142" s="1156"/>
      <c r="C142" s="1156"/>
      <c r="D142" s="1156"/>
      <c r="E142" s="1158"/>
      <c r="F142" s="1158"/>
      <c r="G142" s="1158"/>
      <c r="H142" s="1158"/>
      <c r="I142" s="1158"/>
      <c r="J142" s="1158"/>
      <c r="K142" s="1158"/>
      <c r="L142" s="1158"/>
      <c r="M142" s="1158"/>
      <c r="N142" s="1158"/>
      <c r="O142" s="1158"/>
      <c r="P142" s="1158"/>
      <c r="Q142" s="1158"/>
      <c r="R142" s="1158"/>
      <c r="S142" s="1158"/>
      <c r="T142" s="1158"/>
      <c r="U142" s="1158"/>
      <c r="V142" s="1158"/>
      <c r="W142" s="1158"/>
      <c r="X142" s="1158"/>
      <c r="Y142" s="1158"/>
      <c r="Z142" s="1156"/>
      <c r="AA142" s="1156"/>
      <c r="AB142" s="1156"/>
      <c r="AC142" s="1156"/>
      <c r="AD142" s="1156"/>
      <c r="AE142" s="1156"/>
      <c r="AF142" s="1156"/>
      <c r="AG142" s="1156"/>
      <c r="AH142" s="1156"/>
      <c r="AI142" s="1156"/>
    </row>
    <row r="143" spans="1:35" s="1165" customFormat="1">
      <c r="A143" s="1156"/>
      <c r="B143" s="1156"/>
      <c r="C143" s="1156"/>
      <c r="D143" s="1156"/>
      <c r="E143" s="1158"/>
      <c r="F143" s="1158"/>
      <c r="G143" s="1158"/>
      <c r="H143" s="1158"/>
      <c r="I143" s="1158"/>
      <c r="J143" s="1158"/>
      <c r="K143" s="1158"/>
      <c r="L143" s="1158"/>
      <c r="M143" s="1158"/>
      <c r="N143" s="1158"/>
      <c r="O143" s="1158"/>
      <c r="P143" s="1158"/>
      <c r="Q143" s="1158"/>
      <c r="R143" s="1158"/>
      <c r="S143" s="1158"/>
      <c r="T143" s="1158"/>
      <c r="U143" s="1158"/>
      <c r="V143" s="1158"/>
      <c r="W143" s="1158"/>
      <c r="X143" s="1158"/>
      <c r="Y143" s="1158"/>
      <c r="Z143" s="1156"/>
      <c r="AA143" s="1156"/>
      <c r="AB143" s="1156"/>
      <c r="AC143" s="1156"/>
      <c r="AD143" s="1156"/>
      <c r="AE143" s="1156"/>
      <c r="AF143" s="1156"/>
      <c r="AG143" s="1156"/>
      <c r="AH143" s="1156"/>
      <c r="AI143" s="1156"/>
    </row>
    <row r="144" spans="1:35" s="1165" customFormat="1">
      <c r="A144" s="1156"/>
      <c r="B144" s="1156"/>
      <c r="C144" s="1156"/>
      <c r="D144" s="1156"/>
      <c r="E144" s="1158"/>
      <c r="F144" s="1158"/>
      <c r="G144" s="1158"/>
      <c r="H144" s="1158"/>
      <c r="I144" s="1158"/>
      <c r="J144" s="1158"/>
      <c r="K144" s="1158"/>
      <c r="L144" s="1158"/>
      <c r="M144" s="1158"/>
      <c r="N144" s="1158"/>
      <c r="O144" s="1158"/>
      <c r="P144" s="1158"/>
      <c r="Q144" s="1158"/>
      <c r="R144" s="1158"/>
      <c r="S144" s="1158"/>
      <c r="T144" s="1158"/>
      <c r="U144" s="1158"/>
      <c r="V144" s="1158"/>
      <c r="W144" s="1158"/>
      <c r="X144" s="1158"/>
      <c r="Y144" s="1158"/>
      <c r="Z144" s="1156"/>
      <c r="AA144" s="1156"/>
      <c r="AB144" s="1156"/>
      <c r="AC144" s="1156"/>
      <c r="AD144" s="1156"/>
      <c r="AE144" s="1156"/>
      <c r="AF144" s="1156"/>
      <c r="AG144" s="1156"/>
      <c r="AH144" s="1156"/>
      <c r="AI144" s="1156"/>
    </row>
    <row r="145" spans="1:35" s="1165" customFormat="1">
      <c r="A145" s="1156"/>
      <c r="B145" s="1156"/>
      <c r="C145" s="1156"/>
      <c r="D145" s="1156"/>
      <c r="E145" s="1158"/>
      <c r="F145" s="1158"/>
      <c r="G145" s="1158"/>
      <c r="H145" s="1158"/>
      <c r="I145" s="1158"/>
      <c r="J145" s="1158"/>
      <c r="K145" s="1158"/>
      <c r="L145" s="1158"/>
      <c r="M145" s="1158"/>
      <c r="N145" s="1158"/>
      <c r="O145" s="1158"/>
      <c r="P145" s="1158"/>
      <c r="Q145" s="1158"/>
      <c r="R145" s="1158"/>
      <c r="S145" s="1158"/>
      <c r="T145" s="1158"/>
      <c r="U145" s="1158"/>
      <c r="V145" s="1158"/>
      <c r="W145" s="1158"/>
      <c r="X145" s="1158"/>
      <c r="Y145" s="1158"/>
      <c r="Z145" s="1156"/>
      <c r="AA145" s="1156"/>
      <c r="AB145" s="1156"/>
      <c r="AC145" s="1156"/>
      <c r="AD145" s="1156"/>
      <c r="AE145" s="1156"/>
      <c r="AF145" s="1156"/>
      <c r="AG145" s="1156"/>
      <c r="AH145" s="1156"/>
      <c r="AI145" s="1156"/>
    </row>
    <row r="146" spans="1:35" s="1165" customFormat="1">
      <c r="A146" s="1156"/>
      <c r="B146" s="1156"/>
      <c r="C146" s="1156"/>
      <c r="D146" s="1156"/>
      <c r="E146" s="1158"/>
      <c r="F146" s="1158"/>
      <c r="G146" s="1158"/>
      <c r="H146" s="1158"/>
      <c r="I146" s="1158"/>
      <c r="J146" s="1158"/>
      <c r="K146" s="1158"/>
      <c r="L146" s="1158"/>
      <c r="M146" s="1158"/>
      <c r="N146" s="1158"/>
      <c r="O146" s="1158"/>
      <c r="P146" s="1158"/>
      <c r="Q146" s="1158"/>
      <c r="R146" s="1158"/>
      <c r="S146" s="1158"/>
      <c r="T146" s="1158"/>
      <c r="U146" s="1158"/>
      <c r="V146" s="1158"/>
      <c r="W146" s="1158"/>
      <c r="X146" s="1158"/>
      <c r="Y146" s="1158"/>
      <c r="Z146" s="1156"/>
      <c r="AA146" s="1156"/>
      <c r="AB146" s="1156"/>
      <c r="AC146" s="1156"/>
      <c r="AD146" s="1156"/>
      <c r="AE146" s="1156"/>
      <c r="AF146" s="1156"/>
      <c r="AG146" s="1156"/>
      <c r="AH146" s="1156"/>
      <c r="AI146" s="1156"/>
    </row>
    <row r="147" spans="1:35" s="1165" customFormat="1">
      <c r="A147" s="1156"/>
      <c r="B147" s="1156"/>
      <c r="C147" s="1156"/>
      <c r="D147" s="1156"/>
      <c r="E147" s="1158"/>
      <c r="F147" s="1158"/>
      <c r="G147" s="1158"/>
      <c r="H147" s="1158"/>
      <c r="I147" s="1158"/>
      <c r="J147" s="1158"/>
      <c r="K147" s="1158"/>
      <c r="L147" s="1158"/>
      <c r="M147" s="1158"/>
      <c r="N147" s="1158"/>
      <c r="O147" s="1158"/>
      <c r="P147" s="1158"/>
      <c r="Q147" s="1158"/>
      <c r="R147" s="1158"/>
      <c r="S147" s="1158"/>
      <c r="T147" s="1158"/>
      <c r="U147" s="1158"/>
      <c r="V147" s="1158"/>
      <c r="W147" s="1158"/>
      <c r="X147" s="1158"/>
      <c r="Y147" s="1158"/>
      <c r="Z147" s="1156"/>
      <c r="AA147" s="1156"/>
      <c r="AB147" s="1156"/>
      <c r="AC147" s="1156"/>
      <c r="AD147" s="1156"/>
      <c r="AE147" s="1156"/>
      <c r="AF147" s="1156"/>
      <c r="AG147" s="1156"/>
      <c r="AH147" s="1156"/>
      <c r="AI147" s="1156"/>
    </row>
    <row r="148" spans="1:35" s="1165" customFormat="1">
      <c r="A148" s="1156"/>
      <c r="B148" s="1156"/>
      <c r="C148" s="1156"/>
      <c r="D148" s="1156"/>
      <c r="E148" s="1158"/>
      <c r="F148" s="1158"/>
      <c r="G148" s="1158"/>
      <c r="H148" s="1158"/>
      <c r="I148" s="1158"/>
      <c r="J148" s="1158"/>
      <c r="K148" s="1158"/>
      <c r="L148" s="1158"/>
      <c r="M148" s="1158"/>
      <c r="N148" s="1158"/>
      <c r="O148" s="1158"/>
      <c r="P148" s="1158"/>
      <c r="Q148" s="1158"/>
      <c r="R148" s="1158"/>
      <c r="S148" s="1158"/>
      <c r="T148" s="1158"/>
      <c r="U148" s="1158"/>
      <c r="V148" s="1158"/>
      <c r="W148" s="1158"/>
      <c r="X148" s="1158"/>
      <c r="Y148" s="1158"/>
      <c r="Z148" s="1156"/>
      <c r="AA148" s="1156"/>
      <c r="AB148" s="1156"/>
      <c r="AC148" s="1156"/>
      <c r="AD148" s="1156"/>
      <c r="AE148" s="1156"/>
      <c r="AF148" s="1156"/>
      <c r="AG148" s="1156"/>
      <c r="AH148" s="1156"/>
      <c r="AI148" s="1156"/>
    </row>
    <row r="149" spans="1:35" s="1165" customFormat="1">
      <c r="A149" s="1156"/>
      <c r="B149" s="1156"/>
      <c r="C149" s="1156"/>
      <c r="D149" s="1156"/>
      <c r="E149" s="1158"/>
      <c r="F149" s="1158"/>
      <c r="G149" s="1158"/>
      <c r="H149" s="1158"/>
      <c r="I149" s="1158"/>
      <c r="J149" s="1158"/>
      <c r="K149" s="1158"/>
      <c r="L149" s="1158"/>
      <c r="M149" s="1158"/>
      <c r="N149" s="1158"/>
      <c r="O149" s="1158"/>
      <c r="P149" s="1158"/>
      <c r="Q149" s="1158"/>
      <c r="R149" s="1158"/>
      <c r="S149" s="1158"/>
      <c r="T149" s="1158"/>
      <c r="U149" s="1158"/>
      <c r="V149" s="1158"/>
      <c r="W149" s="1158"/>
      <c r="X149" s="1158"/>
      <c r="Y149" s="1158"/>
      <c r="Z149" s="1156"/>
      <c r="AA149" s="1156"/>
      <c r="AB149" s="1156"/>
      <c r="AC149" s="1156"/>
      <c r="AD149" s="1156"/>
      <c r="AE149" s="1156"/>
      <c r="AF149" s="1156"/>
      <c r="AG149" s="1156"/>
      <c r="AH149" s="1156"/>
      <c r="AI149" s="1156"/>
    </row>
    <row r="150" spans="1:35" s="1165" customFormat="1">
      <c r="A150" s="1156"/>
      <c r="B150" s="1156"/>
      <c r="C150" s="1156"/>
      <c r="D150" s="1156"/>
      <c r="E150" s="1158"/>
      <c r="F150" s="1158"/>
      <c r="G150" s="1158"/>
      <c r="H150" s="1158"/>
      <c r="I150" s="1158"/>
      <c r="J150" s="1158"/>
      <c r="K150" s="1158"/>
      <c r="L150" s="1158"/>
      <c r="M150" s="1158"/>
      <c r="N150" s="1158"/>
      <c r="O150" s="1158"/>
      <c r="P150" s="1158"/>
      <c r="Q150" s="1158"/>
      <c r="R150" s="1158"/>
      <c r="S150" s="1158"/>
      <c r="T150" s="1158"/>
      <c r="U150" s="1158"/>
      <c r="V150" s="1158"/>
      <c r="W150" s="1158"/>
      <c r="X150" s="1158"/>
      <c r="Y150" s="1158"/>
      <c r="Z150" s="1156"/>
      <c r="AA150" s="1156"/>
      <c r="AB150" s="1156"/>
      <c r="AC150" s="1156"/>
      <c r="AD150" s="1156"/>
      <c r="AE150" s="1156"/>
      <c r="AF150" s="1156"/>
      <c r="AG150" s="1156"/>
      <c r="AH150" s="1156"/>
      <c r="AI150" s="1156"/>
    </row>
    <row r="151" spans="1:35" s="1165" customFormat="1">
      <c r="A151" s="1156"/>
      <c r="B151" s="1156"/>
      <c r="C151" s="1156"/>
      <c r="D151" s="1156"/>
      <c r="E151" s="1158"/>
      <c r="F151" s="1158"/>
      <c r="G151" s="1158"/>
      <c r="H151" s="1158"/>
      <c r="I151" s="1158"/>
      <c r="J151" s="1158"/>
      <c r="K151" s="1158"/>
      <c r="L151" s="1158"/>
      <c r="M151" s="1158"/>
      <c r="N151" s="1158"/>
      <c r="O151" s="1158"/>
      <c r="P151" s="1158"/>
      <c r="Q151" s="1158"/>
      <c r="R151" s="1158"/>
      <c r="S151" s="1158"/>
      <c r="T151" s="1158"/>
      <c r="U151" s="1158"/>
      <c r="V151" s="1158"/>
      <c r="W151" s="1158"/>
      <c r="X151" s="1158"/>
      <c r="Y151" s="1158"/>
      <c r="Z151" s="1156"/>
      <c r="AA151" s="1156"/>
      <c r="AB151" s="1156"/>
      <c r="AC151" s="1156"/>
      <c r="AD151" s="1156"/>
      <c r="AE151" s="1156"/>
      <c r="AF151" s="1156"/>
      <c r="AG151" s="1156"/>
      <c r="AH151" s="1156"/>
      <c r="AI151" s="1156"/>
    </row>
    <row r="152" spans="1:35" s="1165" customFormat="1">
      <c r="A152" s="1156"/>
      <c r="B152" s="1156"/>
      <c r="C152" s="1156"/>
      <c r="D152" s="1156"/>
      <c r="E152" s="1158"/>
      <c r="F152" s="1158"/>
      <c r="G152" s="1158"/>
      <c r="H152" s="1158"/>
      <c r="I152" s="1158"/>
      <c r="J152" s="1158"/>
      <c r="K152" s="1158"/>
      <c r="L152" s="1158"/>
      <c r="M152" s="1158"/>
      <c r="N152" s="1158"/>
      <c r="O152" s="1158"/>
      <c r="P152" s="1158"/>
      <c r="Q152" s="1158"/>
      <c r="R152" s="1158"/>
      <c r="S152" s="1158"/>
      <c r="T152" s="1158"/>
      <c r="U152" s="1158"/>
      <c r="V152" s="1158"/>
      <c r="W152" s="1158"/>
      <c r="X152" s="1158"/>
      <c r="Y152" s="1158"/>
      <c r="Z152" s="1156"/>
      <c r="AA152" s="1156"/>
      <c r="AB152" s="1156"/>
      <c r="AC152" s="1156"/>
      <c r="AD152" s="1156"/>
      <c r="AE152" s="1156"/>
      <c r="AF152" s="1156"/>
      <c r="AG152" s="1156"/>
      <c r="AH152" s="1156"/>
      <c r="AI152" s="1156"/>
    </row>
    <row r="153" spans="1:35" s="1165" customFormat="1">
      <c r="A153" s="1156"/>
      <c r="B153" s="1156"/>
      <c r="C153" s="1156"/>
      <c r="D153" s="1156"/>
      <c r="E153" s="1158"/>
      <c r="F153" s="1158"/>
      <c r="G153" s="1158"/>
      <c r="H153" s="1158"/>
      <c r="I153" s="1158"/>
      <c r="J153" s="1158"/>
      <c r="K153" s="1158"/>
      <c r="L153" s="1158"/>
      <c r="M153" s="1158"/>
      <c r="N153" s="1158"/>
      <c r="O153" s="1158"/>
      <c r="P153" s="1158"/>
      <c r="Q153" s="1158"/>
      <c r="R153" s="1158"/>
      <c r="S153" s="1158"/>
      <c r="T153" s="1158"/>
      <c r="U153" s="1158"/>
      <c r="V153" s="1158"/>
      <c r="W153" s="1158"/>
      <c r="X153" s="1158"/>
      <c r="Y153" s="1158"/>
      <c r="Z153" s="1156"/>
      <c r="AA153" s="1156"/>
      <c r="AB153" s="1156"/>
      <c r="AC153" s="1156"/>
      <c r="AD153" s="1156"/>
      <c r="AE153" s="1156"/>
      <c r="AF153" s="1156"/>
      <c r="AG153" s="1156"/>
      <c r="AH153" s="1156"/>
      <c r="AI153" s="1156"/>
    </row>
    <row r="154" spans="1:35" s="1165" customFormat="1">
      <c r="A154" s="1156"/>
      <c r="B154" s="1156"/>
      <c r="C154" s="1156"/>
      <c r="D154" s="1156"/>
      <c r="E154" s="1158"/>
      <c r="F154" s="1158"/>
      <c r="G154" s="1158"/>
      <c r="H154" s="1158"/>
      <c r="I154" s="1158"/>
      <c r="J154" s="1158"/>
      <c r="K154" s="1158"/>
      <c r="L154" s="1158"/>
      <c r="M154" s="1158"/>
      <c r="N154" s="1158"/>
      <c r="O154" s="1158"/>
      <c r="P154" s="1158"/>
      <c r="Q154" s="1158"/>
      <c r="R154" s="1158"/>
      <c r="S154" s="1158"/>
      <c r="T154" s="1158"/>
      <c r="U154" s="1158"/>
      <c r="V154" s="1158"/>
      <c r="W154" s="1158"/>
      <c r="X154" s="1158"/>
      <c r="Y154" s="1158"/>
      <c r="Z154" s="1156"/>
      <c r="AA154" s="1156"/>
      <c r="AB154" s="1156"/>
      <c r="AC154" s="1156"/>
      <c r="AD154" s="1156"/>
      <c r="AE154" s="1156"/>
      <c r="AF154" s="1156"/>
      <c r="AG154" s="1156"/>
      <c r="AH154" s="1156"/>
      <c r="AI154" s="1156"/>
    </row>
    <row r="155" spans="1:35" s="1165" customFormat="1">
      <c r="A155" s="1156"/>
      <c r="B155" s="1156"/>
      <c r="C155" s="1156"/>
      <c r="D155" s="1156"/>
      <c r="E155" s="1158"/>
      <c r="F155" s="1158"/>
      <c r="G155" s="1158"/>
      <c r="H155" s="1158"/>
      <c r="I155" s="1158"/>
      <c r="J155" s="1158"/>
      <c r="K155" s="1158"/>
      <c r="L155" s="1158"/>
      <c r="M155" s="1158"/>
      <c r="N155" s="1158"/>
      <c r="O155" s="1158"/>
      <c r="P155" s="1158"/>
      <c r="Q155" s="1158"/>
      <c r="R155" s="1158"/>
      <c r="S155" s="1158"/>
      <c r="T155" s="1158"/>
      <c r="U155" s="1158"/>
      <c r="V155" s="1158"/>
      <c r="W155" s="1158"/>
      <c r="X155" s="1158"/>
      <c r="Y155" s="1158"/>
      <c r="Z155" s="1156"/>
      <c r="AA155" s="1156"/>
      <c r="AB155" s="1156"/>
      <c r="AC155" s="1156"/>
      <c r="AD155" s="1156"/>
      <c r="AE155" s="1156"/>
      <c r="AF155" s="1156"/>
      <c r="AG155" s="1156"/>
      <c r="AH155" s="1156"/>
      <c r="AI155" s="1156"/>
    </row>
    <row r="156" spans="1:35" s="1165" customFormat="1">
      <c r="A156" s="1156"/>
      <c r="B156" s="1156"/>
      <c r="C156" s="1156"/>
      <c r="D156" s="1156"/>
      <c r="E156" s="1158"/>
      <c r="F156" s="1158"/>
      <c r="G156" s="1158"/>
      <c r="H156" s="1158"/>
      <c r="I156" s="1158"/>
      <c r="J156" s="1158"/>
      <c r="K156" s="1158"/>
      <c r="L156" s="1158"/>
      <c r="M156" s="1158"/>
      <c r="N156" s="1158"/>
      <c r="O156" s="1158"/>
      <c r="P156" s="1158"/>
      <c r="Q156" s="1158"/>
      <c r="R156" s="1158"/>
      <c r="S156" s="1158"/>
      <c r="T156" s="1158"/>
      <c r="U156" s="1158"/>
      <c r="V156" s="1158"/>
      <c r="W156" s="1158"/>
      <c r="X156" s="1158"/>
      <c r="Y156" s="1158"/>
      <c r="Z156" s="1156"/>
      <c r="AA156" s="1156"/>
      <c r="AB156" s="1156"/>
      <c r="AC156" s="1156"/>
      <c r="AD156" s="1156"/>
      <c r="AE156" s="1156"/>
      <c r="AF156" s="1156"/>
      <c r="AG156" s="1156"/>
      <c r="AH156" s="1156"/>
      <c r="AI156" s="1156"/>
    </row>
    <row r="157" spans="1:35" s="1165" customFormat="1">
      <c r="A157" s="1156"/>
      <c r="B157" s="1156"/>
      <c r="C157" s="1156"/>
      <c r="D157" s="1156"/>
      <c r="E157" s="1158"/>
      <c r="F157" s="1158"/>
      <c r="G157" s="1158"/>
      <c r="H157" s="1158"/>
      <c r="I157" s="1158"/>
      <c r="J157" s="1158"/>
      <c r="K157" s="1158"/>
      <c r="L157" s="1158"/>
      <c r="M157" s="1158"/>
      <c r="N157" s="1158"/>
      <c r="O157" s="1158"/>
      <c r="P157" s="1158"/>
      <c r="Q157" s="1158"/>
      <c r="R157" s="1158"/>
      <c r="S157" s="1158"/>
      <c r="T157" s="1158"/>
      <c r="U157" s="1158"/>
      <c r="V157" s="1158"/>
      <c r="W157" s="1158"/>
      <c r="X157" s="1158"/>
      <c r="Y157" s="1158"/>
      <c r="Z157" s="1156"/>
      <c r="AA157" s="1156"/>
      <c r="AB157" s="1156"/>
      <c r="AC157" s="1156"/>
      <c r="AD157" s="1156"/>
      <c r="AE157" s="1156"/>
      <c r="AF157" s="1156"/>
      <c r="AG157" s="1156"/>
      <c r="AH157" s="1156"/>
      <c r="AI157" s="1156"/>
    </row>
    <row r="158" spans="1:35" s="1165" customFormat="1">
      <c r="A158" s="1156"/>
      <c r="B158" s="1156"/>
      <c r="C158" s="1156"/>
      <c r="D158" s="1156"/>
      <c r="E158" s="1158"/>
      <c r="F158" s="1158"/>
      <c r="G158" s="1158"/>
      <c r="H158" s="1158"/>
      <c r="I158" s="1158"/>
      <c r="J158" s="1158"/>
      <c r="K158" s="1158"/>
      <c r="L158" s="1158"/>
      <c r="M158" s="1158"/>
      <c r="N158" s="1158"/>
      <c r="O158" s="1158"/>
      <c r="P158" s="1158"/>
      <c r="Q158" s="1158"/>
      <c r="R158" s="1158"/>
      <c r="S158" s="1158"/>
      <c r="T158" s="1158"/>
      <c r="U158" s="1158"/>
      <c r="V158" s="1158"/>
      <c r="W158" s="1158"/>
      <c r="X158" s="1158"/>
      <c r="Y158" s="1158"/>
      <c r="Z158" s="1156"/>
      <c r="AA158" s="1156"/>
      <c r="AB158" s="1156"/>
      <c r="AC158" s="1156"/>
      <c r="AD158" s="1156"/>
      <c r="AE158" s="1156"/>
      <c r="AF158" s="1156"/>
      <c r="AG158" s="1156"/>
      <c r="AH158" s="1156"/>
      <c r="AI158" s="1156"/>
    </row>
    <row r="159" spans="1:35" s="1165" customFormat="1">
      <c r="A159" s="1156"/>
      <c r="B159" s="1156"/>
      <c r="C159" s="1156"/>
      <c r="D159" s="1156"/>
      <c r="E159" s="1158"/>
      <c r="F159" s="1158"/>
      <c r="G159" s="1158"/>
      <c r="H159" s="1158"/>
      <c r="I159" s="1158"/>
      <c r="J159" s="1158"/>
      <c r="K159" s="1158"/>
      <c r="L159" s="1158"/>
      <c r="M159" s="1158"/>
      <c r="N159" s="1158"/>
      <c r="O159" s="1158"/>
      <c r="P159" s="1158"/>
      <c r="Q159" s="1158"/>
      <c r="R159" s="1158"/>
      <c r="S159" s="1158"/>
      <c r="T159" s="1158"/>
      <c r="U159" s="1158"/>
      <c r="V159" s="1158"/>
      <c r="W159" s="1158"/>
      <c r="X159" s="1158"/>
      <c r="Y159" s="1158"/>
      <c r="Z159" s="1156"/>
      <c r="AA159" s="1156"/>
      <c r="AB159" s="1156"/>
      <c r="AC159" s="1156"/>
      <c r="AD159" s="1156"/>
      <c r="AE159" s="1156"/>
      <c r="AF159" s="1156"/>
      <c r="AG159" s="1156"/>
      <c r="AH159" s="1156"/>
      <c r="AI159" s="1156"/>
    </row>
    <row r="160" spans="1:35" s="1165" customFormat="1">
      <c r="A160" s="1156"/>
      <c r="B160" s="1156"/>
      <c r="C160" s="1156"/>
      <c r="D160" s="1156"/>
      <c r="E160" s="1158"/>
      <c r="F160" s="1158"/>
      <c r="G160" s="1158"/>
      <c r="H160" s="1158"/>
      <c r="I160" s="1158"/>
      <c r="J160" s="1158"/>
      <c r="K160" s="1158"/>
      <c r="L160" s="1158"/>
      <c r="M160" s="1158"/>
      <c r="N160" s="1158"/>
      <c r="O160" s="1158"/>
      <c r="P160" s="1158"/>
      <c r="Q160" s="1158"/>
      <c r="R160" s="1158"/>
      <c r="S160" s="1158"/>
      <c r="T160" s="1158"/>
      <c r="U160" s="1158"/>
      <c r="V160" s="1158"/>
      <c r="W160" s="1158"/>
      <c r="X160" s="1158"/>
      <c r="Y160" s="1158"/>
      <c r="Z160" s="1156"/>
      <c r="AA160" s="1156"/>
      <c r="AB160" s="1156"/>
      <c r="AC160" s="1156"/>
      <c r="AD160" s="1156"/>
      <c r="AE160" s="1156"/>
      <c r="AF160" s="1156"/>
      <c r="AG160" s="1156"/>
      <c r="AH160" s="1156"/>
      <c r="AI160" s="1156"/>
    </row>
    <row r="161" spans="1:35" s="1165" customFormat="1">
      <c r="A161" s="1156"/>
      <c r="B161" s="1156"/>
      <c r="C161" s="1156"/>
      <c r="D161" s="1156"/>
      <c r="E161" s="1158"/>
      <c r="F161" s="1158"/>
      <c r="G161" s="1158"/>
      <c r="H161" s="1158"/>
      <c r="I161" s="1158"/>
      <c r="J161" s="1158"/>
      <c r="K161" s="1158"/>
      <c r="L161" s="1158"/>
      <c r="M161" s="1158"/>
      <c r="N161" s="1158"/>
      <c r="O161" s="1158"/>
      <c r="P161" s="1158"/>
      <c r="Q161" s="1158"/>
      <c r="R161" s="1158"/>
      <c r="S161" s="1158"/>
      <c r="T161" s="1158"/>
      <c r="U161" s="1158"/>
      <c r="V161" s="1158"/>
      <c r="W161" s="1158"/>
      <c r="X161" s="1158"/>
      <c r="Y161" s="1158"/>
      <c r="Z161" s="1156"/>
      <c r="AA161" s="1156"/>
      <c r="AB161" s="1156"/>
      <c r="AC161" s="1156"/>
      <c r="AD161" s="1156"/>
      <c r="AE161" s="1156"/>
      <c r="AF161" s="1156"/>
      <c r="AG161" s="1156"/>
      <c r="AH161" s="1156"/>
      <c r="AI161" s="1156"/>
    </row>
    <row r="162" spans="1:35" s="1165" customFormat="1">
      <c r="A162" s="1156"/>
      <c r="B162" s="1156"/>
      <c r="C162" s="1156"/>
      <c r="D162" s="1156"/>
      <c r="E162" s="1158"/>
      <c r="F162" s="1158"/>
      <c r="G162" s="1158"/>
      <c r="H162" s="1158"/>
      <c r="I162" s="1158"/>
      <c r="J162" s="1158"/>
      <c r="K162" s="1158"/>
      <c r="L162" s="1158"/>
      <c r="M162" s="1158"/>
      <c r="N162" s="1158"/>
      <c r="O162" s="1158"/>
      <c r="P162" s="1158"/>
      <c r="Q162" s="1158"/>
      <c r="R162" s="1158"/>
      <c r="S162" s="1158"/>
      <c r="T162" s="1158"/>
      <c r="U162" s="1158"/>
      <c r="V162" s="1158"/>
      <c r="W162" s="1158"/>
      <c r="X162" s="1158"/>
      <c r="Y162" s="1158"/>
      <c r="Z162" s="1156"/>
      <c r="AA162" s="1156"/>
      <c r="AB162" s="1156"/>
      <c r="AC162" s="1156"/>
      <c r="AD162" s="1156"/>
      <c r="AE162" s="1156"/>
      <c r="AF162" s="1156"/>
      <c r="AG162" s="1156"/>
      <c r="AH162" s="1156"/>
      <c r="AI162" s="1156"/>
    </row>
    <row r="163" spans="1:35" s="1165" customFormat="1">
      <c r="A163" s="1156"/>
      <c r="B163" s="1156"/>
      <c r="C163" s="1156"/>
      <c r="D163" s="1156"/>
      <c r="E163" s="1158"/>
      <c r="F163" s="1158"/>
      <c r="G163" s="1158"/>
      <c r="H163" s="1158"/>
      <c r="I163" s="1158"/>
      <c r="J163" s="1158"/>
      <c r="K163" s="1158"/>
      <c r="L163" s="1158"/>
      <c r="M163" s="1158"/>
      <c r="N163" s="1158"/>
      <c r="O163" s="1158"/>
      <c r="P163" s="1158"/>
      <c r="Q163" s="1158"/>
      <c r="R163" s="1158"/>
      <c r="S163" s="1158"/>
      <c r="T163" s="1158"/>
      <c r="U163" s="1158"/>
      <c r="V163" s="1158"/>
      <c r="W163" s="1158"/>
      <c r="X163" s="1158"/>
      <c r="Y163" s="1158"/>
      <c r="Z163" s="1156"/>
      <c r="AA163" s="1156"/>
      <c r="AB163" s="1156"/>
      <c r="AC163" s="1156"/>
      <c r="AD163" s="1156"/>
      <c r="AE163" s="1156"/>
      <c r="AF163" s="1156"/>
      <c r="AG163" s="1156"/>
      <c r="AH163" s="1156"/>
      <c r="AI163" s="1156"/>
    </row>
    <row r="164" spans="1:35" s="1165" customFormat="1">
      <c r="A164" s="1156"/>
      <c r="B164" s="1156"/>
      <c r="C164" s="1156"/>
      <c r="D164" s="1156"/>
      <c r="E164" s="1158"/>
      <c r="F164" s="1158"/>
      <c r="G164" s="1158"/>
      <c r="H164" s="1158"/>
      <c r="I164" s="1158"/>
      <c r="J164" s="1158"/>
      <c r="K164" s="1158"/>
      <c r="L164" s="1158"/>
      <c r="M164" s="1158"/>
      <c r="N164" s="1158"/>
      <c r="O164" s="1158"/>
      <c r="P164" s="1158"/>
      <c r="Q164" s="1158"/>
      <c r="R164" s="1158"/>
      <c r="S164" s="1158"/>
      <c r="T164" s="1158"/>
      <c r="U164" s="1158"/>
      <c r="V164" s="1158"/>
      <c r="W164" s="1158"/>
      <c r="X164" s="1158"/>
      <c r="Y164" s="1158"/>
      <c r="Z164" s="1156"/>
      <c r="AA164" s="1156"/>
      <c r="AB164" s="1156"/>
      <c r="AC164" s="1156"/>
      <c r="AD164" s="1156"/>
      <c r="AE164" s="1156"/>
      <c r="AF164" s="1156"/>
      <c r="AG164" s="1156"/>
      <c r="AH164" s="1156"/>
      <c r="AI164" s="1156"/>
    </row>
    <row r="165" spans="1:35" s="1165" customFormat="1">
      <c r="A165" s="1156"/>
      <c r="B165" s="1156"/>
      <c r="C165" s="1156"/>
      <c r="D165" s="1156"/>
      <c r="E165" s="1158"/>
      <c r="F165" s="1158"/>
      <c r="G165" s="1158"/>
      <c r="H165" s="1158"/>
      <c r="I165" s="1158"/>
      <c r="J165" s="1158"/>
      <c r="K165" s="1158"/>
      <c r="L165" s="1158"/>
      <c r="M165" s="1158"/>
      <c r="N165" s="1158"/>
      <c r="O165" s="1158"/>
      <c r="P165" s="1158"/>
      <c r="Q165" s="1158"/>
      <c r="R165" s="1158"/>
      <c r="S165" s="1158"/>
      <c r="T165" s="1158"/>
      <c r="U165" s="1158"/>
      <c r="V165" s="1158"/>
      <c r="W165" s="1158"/>
      <c r="X165" s="1158"/>
      <c r="Y165" s="1158"/>
      <c r="Z165" s="1156"/>
      <c r="AA165" s="1156"/>
      <c r="AB165" s="1156"/>
      <c r="AC165" s="1156"/>
      <c r="AD165" s="1156"/>
      <c r="AE165" s="1156"/>
      <c r="AF165" s="1156"/>
      <c r="AG165" s="1156"/>
      <c r="AH165" s="1156"/>
      <c r="AI165" s="1156"/>
    </row>
    <row r="166" spans="1:35" s="1165" customFormat="1">
      <c r="A166" s="1156"/>
      <c r="B166" s="1156"/>
      <c r="C166" s="1156"/>
      <c r="D166" s="1156"/>
      <c r="E166" s="1158"/>
      <c r="F166" s="1158"/>
      <c r="G166" s="1158"/>
      <c r="H166" s="1158"/>
      <c r="I166" s="1158"/>
      <c r="J166" s="1158"/>
      <c r="K166" s="1158"/>
      <c r="L166" s="1158"/>
      <c r="M166" s="1158"/>
      <c r="N166" s="1158"/>
      <c r="O166" s="1158"/>
      <c r="P166" s="1158"/>
      <c r="Q166" s="1158"/>
      <c r="R166" s="1158"/>
      <c r="S166" s="1158"/>
      <c r="T166" s="1158"/>
      <c r="U166" s="1158"/>
      <c r="V166" s="1158"/>
      <c r="W166" s="1158"/>
      <c r="X166" s="1158"/>
      <c r="Y166" s="1158"/>
      <c r="Z166" s="1156"/>
      <c r="AA166" s="1156"/>
      <c r="AB166" s="1156"/>
      <c r="AC166" s="1156"/>
      <c r="AD166" s="1156"/>
      <c r="AE166" s="1156"/>
      <c r="AF166" s="1156"/>
      <c r="AG166" s="1156"/>
      <c r="AH166" s="1156"/>
      <c r="AI166" s="1156"/>
    </row>
    <row r="167" spans="1:35" s="1165" customFormat="1">
      <c r="A167" s="1156"/>
      <c r="B167" s="1156"/>
      <c r="C167" s="1156"/>
      <c r="D167" s="1156"/>
      <c r="E167" s="1158"/>
      <c r="F167" s="1158"/>
      <c r="G167" s="1158"/>
      <c r="H167" s="1158"/>
      <c r="I167" s="1158"/>
      <c r="J167" s="1158"/>
      <c r="K167" s="1158"/>
      <c r="L167" s="1158"/>
      <c r="M167" s="1158"/>
      <c r="N167" s="1158"/>
      <c r="O167" s="1158"/>
      <c r="P167" s="1158"/>
      <c r="Q167" s="1158"/>
      <c r="R167" s="1158"/>
      <c r="S167" s="1158"/>
      <c r="T167" s="1158"/>
      <c r="U167" s="1158"/>
      <c r="V167" s="1158"/>
      <c r="W167" s="1158"/>
      <c r="X167" s="1158"/>
      <c r="Y167" s="1158"/>
      <c r="Z167" s="1156"/>
      <c r="AA167" s="1156"/>
      <c r="AB167" s="1156"/>
      <c r="AC167" s="1156"/>
      <c r="AD167" s="1156"/>
      <c r="AE167" s="1156"/>
      <c r="AF167" s="1156"/>
      <c r="AG167" s="1156"/>
      <c r="AH167" s="1156"/>
      <c r="AI167" s="1156"/>
    </row>
    <row r="168" spans="1:35" s="1165" customFormat="1">
      <c r="A168" s="1156"/>
      <c r="B168" s="1156"/>
      <c r="C168" s="1156"/>
      <c r="D168" s="1156"/>
      <c r="E168" s="1158"/>
      <c r="F168" s="1158"/>
      <c r="G168" s="1158"/>
      <c r="H168" s="1158"/>
      <c r="I168" s="1158"/>
      <c r="J168" s="1158"/>
      <c r="K168" s="1158"/>
      <c r="L168" s="1158"/>
      <c r="M168" s="1158"/>
      <c r="N168" s="1158"/>
      <c r="O168" s="1158"/>
      <c r="P168" s="1158"/>
      <c r="Q168" s="1158"/>
      <c r="R168" s="1158"/>
      <c r="S168" s="1158"/>
      <c r="T168" s="1158"/>
      <c r="U168" s="1158"/>
      <c r="V168" s="1158"/>
      <c r="W168" s="1158"/>
      <c r="X168" s="1158"/>
      <c r="Y168" s="1158"/>
      <c r="Z168" s="1156"/>
      <c r="AA168" s="1156"/>
      <c r="AB168" s="1156"/>
      <c r="AC168" s="1156"/>
      <c r="AD168" s="1156"/>
      <c r="AE168" s="1156"/>
      <c r="AF168" s="1156"/>
      <c r="AG168" s="1156"/>
      <c r="AH168" s="1156"/>
      <c r="AI168" s="1156"/>
    </row>
    <row r="169" spans="1:35" s="1165" customFormat="1">
      <c r="A169" s="1156"/>
      <c r="B169" s="1156"/>
      <c r="C169" s="1156"/>
      <c r="D169" s="1156"/>
      <c r="E169" s="1158"/>
      <c r="F169" s="1158"/>
      <c r="G169" s="1158"/>
      <c r="H169" s="1158"/>
      <c r="I169" s="1158"/>
      <c r="J169" s="1158"/>
      <c r="K169" s="1158"/>
      <c r="L169" s="1158"/>
      <c r="M169" s="1158"/>
      <c r="N169" s="1158"/>
      <c r="O169" s="1158"/>
      <c r="P169" s="1158"/>
      <c r="Q169" s="1158"/>
      <c r="R169" s="1158"/>
      <c r="S169" s="1158"/>
      <c r="T169" s="1158"/>
      <c r="U169" s="1158"/>
      <c r="V169" s="1158"/>
      <c r="W169" s="1158"/>
      <c r="X169" s="1158"/>
      <c r="Y169" s="1158"/>
      <c r="Z169" s="1156"/>
      <c r="AA169" s="1156"/>
      <c r="AB169" s="1156"/>
      <c r="AC169" s="1156"/>
      <c r="AD169" s="1156"/>
      <c r="AE169" s="1156"/>
      <c r="AF169" s="1156"/>
      <c r="AG169" s="1156"/>
      <c r="AH169" s="1156"/>
      <c r="AI169" s="1156"/>
    </row>
    <row r="170" spans="1:35" s="1165" customFormat="1">
      <c r="A170" s="1156"/>
      <c r="B170" s="1156"/>
      <c r="C170" s="1156"/>
      <c r="D170" s="1156"/>
      <c r="E170" s="1158"/>
      <c r="F170" s="1158"/>
      <c r="G170" s="1158"/>
      <c r="H170" s="1158"/>
      <c r="I170" s="1158"/>
      <c r="J170" s="1158"/>
      <c r="K170" s="1158"/>
      <c r="L170" s="1158"/>
      <c r="M170" s="1158"/>
      <c r="N170" s="1158"/>
      <c r="O170" s="1158"/>
      <c r="P170" s="1158"/>
      <c r="Q170" s="1158"/>
      <c r="R170" s="1158"/>
      <c r="S170" s="1158"/>
      <c r="T170" s="1158"/>
      <c r="U170" s="1158"/>
      <c r="V170" s="1158"/>
      <c r="W170" s="1158"/>
      <c r="X170" s="1158"/>
      <c r="Y170" s="1158"/>
      <c r="Z170" s="1156"/>
      <c r="AA170" s="1156"/>
      <c r="AB170" s="1156"/>
      <c r="AC170" s="1156"/>
      <c r="AD170" s="1156"/>
      <c r="AE170" s="1156"/>
      <c r="AF170" s="1156"/>
      <c r="AG170" s="1156"/>
      <c r="AH170" s="1156"/>
      <c r="AI170" s="1156"/>
    </row>
    <row r="171" spans="1:35" s="1165" customFormat="1">
      <c r="A171" s="1156"/>
      <c r="B171" s="1156"/>
      <c r="C171" s="1156"/>
      <c r="D171" s="1156"/>
      <c r="E171" s="1158"/>
      <c r="F171" s="1158"/>
      <c r="G171" s="1158"/>
      <c r="H171" s="1158"/>
      <c r="I171" s="1158"/>
      <c r="J171" s="1158"/>
      <c r="K171" s="1158"/>
      <c r="L171" s="1158"/>
      <c r="M171" s="1158"/>
      <c r="N171" s="1158"/>
      <c r="O171" s="1158"/>
      <c r="P171" s="1158"/>
      <c r="Q171" s="1158"/>
      <c r="R171" s="1158"/>
      <c r="S171" s="1158"/>
      <c r="T171" s="1158"/>
      <c r="U171" s="1158"/>
      <c r="V171" s="1158"/>
      <c r="W171" s="1158"/>
      <c r="X171" s="1158"/>
      <c r="Y171" s="1158"/>
      <c r="Z171" s="1156"/>
      <c r="AA171" s="1156"/>
      <c r="AB171" s="1156"/>
      <c r="AC171" s="1156"/>
      <c r="AD171" s="1156"/>
      <c r="AE171" s="1156"/>
      <c r="AF171" s="1156"/>
      <c r="AG171" s="1156"/>
      <c r="AH171" s="1156"/>
      <c r="AI171" s="1156"/>
    </row>
    <row r="172" spans="1:35" s="1165" customFormat="1">
      <c r="A172" s="1156"/>
      <c r="B172" s="1156"/>
      <c r="C172" s="1156"/>
      <c r="D172" s="1156"/>
      <c r="E172" s="1158"/>
      <c r="F172" s="1158"/>
      <c r="G172" s="1158"/>
      <c r="H172" s="1158"/>
      <c r="I172" s="1158"/>
      <c r="J172" s="1158"/>
      <c r="K172" s="1158"/>
      <c r="L172" s="1158"/>
      <c r="M172" s="1158"/>
      <c r="N172" s="1158"/>
      <c r="O172" s="1158"/>
      <c r="P172" s="1158"/>
      <c r="Q172" s="1158"/>
      <c r="R172" s="1158"/>
      <c r="S172" s="1158"/>
      <c r="T172" s="1158"/>
      <c r="U172" s="1158"/>
      <c r="V172" s="1158"/>
      <c r="W172" s="1158"/>
      <c r="X172" s="1158"/>
      <c r="Y172" s="1158"/>
      <c r="Z172" s="1156"/>
      <c r="AA172" s="1156"/>
      <c r="AB172" s="1156"/>
      <c r="AC172" s="1156"/>
      <c r="AD172" s="1156"/>
      <c r="AE172" s="1156"/>
      <c r="AF172" s="1156"/>
      <c r="AG172" s="1156"/>
      <c r="AH172" s="1156"/>
      <c r="AI172" s="1156"/>
    </row>
    <row r="173" spans="1:35" s="1165" customFormat="1">
      <c r="A173" s="1156"/>
      <c r="B173" s="1156"/>
      <c r="C173" s="1156"/>
      <c r="D173" s="1156"/>
      <c r="E173" s="1158"/>
      <c r="F173" s="1158"/>
      <c r="G173" s="1158"/>
      <c r="H173" s="1158"/>
      <c r="I173" s="1158"/>
      <c r="J173" s="1158"/>
      <c r="K173" s="1158"/>
      <c r="L173" s="1158"/>
      <c r="M173" s="1158"/>
      <c r="N173" s="1158"/>
      <c r="O173" s="1158"/>
      <c r="P173" s="1158"/>
      <c r="Q173" s="1158"/>
      <c r="R173" s="1158"/>
      <c r="S173" s="1158"/>
      <c r="T173" s="1158"/>
      <c r="U173" s="1158"/>
      <c r="V173" s="1158"/>
      <c r="W173" s="1158"/>
      <c r="X173" s="1158"/>
      <c r="Y173" s="1158"/>
      <c r="Z173" s="1156"/>
      <c r="AA173" s="1156"/>
      <c r="AB173" s="1156"/>
      <c r="AC173" s="1156"/>
      <c r="AD173" s="1156"/>
      <c r="AE173" s="1156"/>
      <c r="AF173" s="1156"/>
      <c r="AG173" s="1156"/>
      <c r="AH173" s="1156"/>
      <c r="AI173" s="1156"/>
    </row>
    <row r="174" spans="1:35" s="1165" customFormat="1">
      <c r="A174" s="1156"/>
      <c r="B174" s="1156"/>
      <c r="C174" s="1156"/>
      <c r="D174" s="1156"/>
      <c r="E174" s="1158"/>
      <c r="F174" s="1158"/>
      <c r="G174" s="1158"/>
      <c r="H174" s="1158"/>
      <c r="I174" s="1158"/>
      <c r="J174" s="1158"/>
      <c r="K174" s="1158"/>
      <c r="L174" s="1158"/>
      <c r="M174" s="1158"/>
      <c r="N174" s="1158"/>
      <c r="O174" s="1158"/>
      <c r="P174" s="1158"/>
      <c r="Q174" s="1158"/>
      <c r="R174" s="1158"/>
      <c r="S174" s="1158"/>
      <c r="T174" s="1158"/>
      <c r="U174" s="1158"/>
      <c r="V174" s="1158"/>
      <c r="W174" s="1158"/>
      <c r="X174" s="1158"/>
      <c r="Y174" s="1158"/>
      <c r="Z174" s="1156"/>
      <c r="AA174" s="1156"/>
      <c r="AB174" s="1156"/>
      <c r="AC174" s="1156"/>
      <c r="AD174" s="1156"/>
      <c r="AE174" s="1156"/>
      <c r="AF174" s="1156"/>
      <c r="AG174" s="1156"/>
      <c r="AH174" s="1156"/>
      <c r="AI174" s="1156"/>
    </row>
    <row r="175" spans="1:35" s="1165" customFormat="1">
      <c r="A175" s="1156"/>
      <c r="B175" s="1156"/>
      <c r="C175" s="1156"/>
      <c r="D175" s="1156"/>
      <c r="E175" s="1158"/>
      <c r="F175" s="1158"/>
      <c r="G175" s="1158"/>
      <c r="H175" s="1158"/>
      <c r="I175" s="1158"/>
      <c r="J175" s="1158"/>
      <c r="K175" s="1158"/>
      <c r="L175" s="1158"/>
      <c r="M175" s="1158"/>
      <c r="N175" s="1158"/>
      <c r="O175" s="1158"/>
      <c r="P175" s="1158"/>
      <c r="Q175" s="1158"/>
      <c r="R175" s="1158"/>
      <c r="S175" s="1158"/>
      <c r="T175" s="1158"/>
      <c r="U175" s="1158"/>
      <c r="V175" s="1158"/>
      <c r="W175" s="1158"/>
      <c r="X175" s="1158"/>
      <c r="Y175" s="1158"/>
      <c r="Z175" s="1156"/>
      <c r="AA175" s="1156"/>
      <c r="AB175" s="1156"/>
      <c r="AC175" s="1156"/>
      <c r="AD175" s="1156"/>
      <c r="AE175" s="1156"/>
      <c r="AF175" s="1156"/>
      <c r="AG175" s="1156"/>
      <c r="AH175" s="1156"/>
      <c r="AI175" s="1156"/>
    </row>
    <row r="176" spans="1:35" s="1165" customFormat="1">
      <c r="A176" s="1156"/>
      <c r="B176" s="1156"/>
      <c r="C176" s="1156"/>
      <c r="D176" s="1156"/>
      <c r="E176" s="1158"/>
      <c r="F176" s="1158"/>
      <c r="G176" s="1158"/>
      <c r="H176" s="1158"/>
      <c r="I176" s="1158"/>
      <c r="J176" s="1158"/>
      <c r="K176" s="1158"/>
      <c r="L176" s="1158"/>
      <c r="M176" s="1158"/>
      <c r="N176" s="1158"/>
      <c r="O176" s="1158"/>
      <c r="P176" s="1158"/>
      <c r="Q176" s="1158"/>
      <c r="R176" s="1158"/>
      <c r="S176" s="1158"/>
      <c r="T176" s="1158"/>
      <c r="U176" s="1158"/>
      <c r="V176" s="1158"/>
      <c r="W176" s="1158"/>
      <c r="X176" s="1158"/>
      <c r="Y176" s="1158"/>
      <c r="Z176" s="1156"/>
      <c r="AA176" s="1156"/>
      <c r="AB176" s="1156"/>
      <c r="AC176" s="1156"/>
      <c r="AD176" s="1156"/>
      <c r="AE176" s="1156"/>
      <c r="AF176" s="1156"/>
      <c r="AG176" s="1156"/>
      <c r="AH176" s="1156"/>
      <c r="AI176" s="1156"/>
    </row>
    <row r="177" spans="1:35" s="1165" customFormat="1">
      <c r="A177" s="1156"/>
      <c r="B177" s="1156"/>
      <c r="C177" s="1156"/>
      <c r="D177" s="1156"/>
      <c r="E177" s="1158"/>
      <c r="F177" s="1158"/>
      <c r="G177" s="1158"/>
      <c r="H177" s="1158"/>
      <c r="I177" s="1158"/>
      <c r="J177" s="1158"/>
      <c r="K177" s="1158"/>
      <c r="L177" s="1158"/>
      <c r="M177" s="1158"/>
      <c r="N177" s="1158"/>
      <c r="O177" s="1158"/>
      <c r="P177" s="1158"/>
      <c r="Q177" s="1158"/>
      <c r="R177" s="1158"/>
      <c r="S177" s="1158"/>
      <c r="T177" s="1158"/>
      <c r="U177" s="1158"/>
      <c r="V177" s="1158"/>
      <c r="W177" s="1158"/>
      <c r="X177" s="1158"/>
      <c r="Y177" s="1158"/>
      <c r="Z177" s="1156"/>
      <c r="AA177" s="1156"/>
      <c r="AB177" s="1156"/>
      <c r="AC177" s="1156"/>
      <c r="AD177" s="1156"/>
      <c r="AE177" s="1156"/>
      <c r="AF177" s="1156"/>
      <c r="AG177" s="1156"/>
      <c r="AH177" s="1156"/>
      <c r="AI177" s="1156"/>
    </row>
    <row r="178" spans="1:35" s="1165" customFormat="1">
      <c r="A178" s="1156"/>
      <c r="B178" s="1156"/>
      <c r="C178" s="1156"/>
      <c r="D178" s="1156"/>
      <c r="E178" s="1158"/>
      <c r="F178" s="1158"/>
      <c r="G178" s="1158"/>
      <c r="H178" s="1158"/>
      <c r="I178" s="1158"/>
      <c r="J178" s="1158"/>
      <c r="K178" s="1158"/>
      <c r="L178" s="1158"/>
      <c r="M178" s="1158"/>
      <c r="N178" s="1158"/>
      <c r="O178" s="1158"/>
      <c r="P178" s="1158"/>
      <c r="Q178" s="1158"/>
      <c r="R178" s="1158"/>
      <c r="S178" s="1158"/>
      <c r="T178" s="1158"/>
      <c r="U178" s="1158"/>
      <c r="V178" s="1158"/>
      <c r="W178" s="1158"/>
      <c r="X178" s="1158"/>
      <c r="Y178" s="1158"/>
      <c r="Z178" s="1156"/>
      <c r="AA178" s="1156"/>
      <c r="AB178" s="1156"/>
      <c r="AC178" s="1156"/>
      <c r="AD178" s="1156"/>
      <c r="AE178" s="1156"/>
      <c r="AF178" s="1156"/>
      <c r="AG178" s="1156"/>
      <c r="AH178" s="1156"/>
      <c r="AI178" s="1156"/>
    </row>
    <row r="179" spans="1:35" s="1165" customFormat="1">
      <c r="A179" s="1156"/>
      <c r="B179" s="1156"/>
      <c r="C179" s="1156"/>
      <c r="D179" s="1156"/>
      <c r="E179" s="1158"/>
      <c r="F179" s="1158"/>
      <c r="G179" s="1158"/>
      <c r="H179" s="1158"/>
      <c r="I179" s="1158"/>
      <c r="J179" s="1158"/>
      <c r="K179" s="1158"/>
      <c r="L179" s="1158"/>
      <c r="M179" s="1158"/>
      <c r="N179" s="1158"/>
      <c r="O179" s="1158"/>
      <c r="P179" s="1158"/>
      <c r="Q179" s="1158"/>
      <c r="R179" s="1158"/>
      <c r="S179" s="1158"/>
      <c r="T179" s="1158"/>
      <c r="U179" s="1158"/>
      <c r="V179" s="1158"/>
      <c r="W179" s="1158"/>
      <c r="X179" s="1158"/>
      <c r="Y179" s="1158"/>
      <c r="Z179" s="1156"/>
      <c r="AA179" s="1156"/>
      <c r="AB179" s="1156"/>
      <c r="AC179" s="1156"/>
      <c r="AD179" s="1156"/>
      <c r="AE179" s="1156"/>
      <c r="AF179" s="1156"/>
      <c r="AG179" s="1156"/>
      <c r="AH179" s="1156"/>
      <c r="AI179" s="1156"/>
    </row>
    <row r="180" spans="1:35" s="1165" customFormat="1">
      <c r="A180" s="1156"/>
      <c r="B180" s="1156"/>
      <c r="C180" s="1156"/>
      <c r="D180" s="1156"/>
      <c r="E180" s="1158"/>
      <c r="F180" s="1158"/>
      <c r="G180" s="1158"/>
      <c r="H180" s="1158"/>
      <c r="I180" s="1158"/>
      <c r="J180" s="1158"/>
      <c r="K180" s="1158"/>
      <c r="L180" s="1158"/>
      <c r="M180" s="1158"/>
      <c r="N180" s="1158"/>
      <c r="O180" s="1158"/>
      <c r="P180" s="1158"/>
      <c r="Q180" s="1158"/>
      <c r="R180" s="1158"/>
      <c r="S180" s="1158"/>
      <c r="T180" s="1158"/>
      <c r="U180" s="1158"/>
      <c r="V180" s="1158"/>
      <c r="W180" s="1158"/>
      <c r="X180" s="1158"/>
      <c r="Y180" s="1158"/>
      <c r="Z180" s="1156"/>
      <c r="AA180" s="1156"/>
      <c r="AB180" s="1156"/>
      <c r="AC180" s="1156"/>
      <c r="AD180" s="1156"/>
      <c r="AE180" s="1156"/>
      <c r="AF180" s="1156"/>
      <c r="AG180" s="1156"/>
      <c r="AH180" s="1156"/>
      <c r="AI180" s="1156"/>
    </row>
    <row r="181" spans="1:35" s="1165" customFormat="1">
      <c r="A181" s="1156"/>
      <c r="B181" s="1156"/>
      <c r="C181" s="1156"/>
      <c r="D181" s="1156"/>
      <c r="E181" s="1158"/>
      <c r="F181" s="1158"/>
      <c r="G181" s="1158"/>
      <c r="H181" s="1158"/>
      <c r="I181" s="1158"/>
      <c r="J181" s="1158"/>
      <c r="K181" s="1158"/>
      <c r="L181" s="1158"/>
      <c r="M181" s="1158"/>
      <c r="N181" s="1158"/>
      <c r="O181" s="1158"/>
      <c r="P181" s="1158"/>
      <c r="Q181" s="1158"/>
      <c r="R181" s="1158"/>
      <c r="S181" s="1158"/>
      <c r="T181" s="1158"/>
      <c r="U181" s="1158"/>
      <c r="V181" s="1158"/>
      <c r="W181" s="1158"/>
      <c r="X181" s="1158"/>
      <c r="Y181" s="1158"/>
      <c r="Z181" s="1156"/>
      <c r="AA181" s="1156"/>
      <c r="AB181" s="1156"/>
      <c r="AC181" s="1156"/>
      <c r="AD181" s="1156"/>
      <c r="AE181" s="1156"/>
      <c r="AF181" s="1156"/>
      <c r="AG181" s="1156"/>
      <c r="AH181" s="1156"/>
      <c r="AI181" s="1156"/>
    </row>
    <row r="182" spans="1:35" s="1165" customFormat="1">
      <c r="A182" s="1156"/>
      <c r="B182" s="1156"/>
      <c r="C182" s="1156"/>
      <c r="D182" s="1156"/>
      <c r="E182" s="1158"/>
      <c r="F182" s="1158"/>
      <c r="G182" s="1158"/>
      <c r="H182" s="1158"/>
      <c r="I182" s="1158"/>
      <c r="J182" s="1158"/>
      <c r="K182" s="1158"/>
      <c r="L182" s="1158"/>
      <c r="M182" s="1158"/>
      <c r="N182" s="1158"/>
      <c r="O182" s="1158"/>
      <c r="P182" s="1158"/>
      <c r="Q182" s="1158"/>
      <c r="R182" s="1158"/>
      <c r="S182" s="1158"/>
      <c r="T182" s="1158"/>
      <c r="U182" s="1158"/>
      <c r="V182" s="1158"/>
      <c r="W182" s="1158"/>
      <c r="X182" s="1158"/>
      <c r="Y182" s="1158"/>
      <c r="Z182" s="1156"/>
      <c r="AA182" s="1156"/>
      <c r="AB182" s="1156"/>
      <c r="AC182" s="1156"/>
      <c r="AD182" s="1156"/>
      <c r="AE182" s="1156"/>
      <c r="AF182" s="1156"/>
      <c r="AG182" s="1156"/>
      <c r="AH182" s="1156"/>
      <c r="AI182" s="1156"/>
    </row>
    <row r="183" spans="1:35" s="1165" customFormat="1">
      <c r="A183" s="1156"/>
      <c r="B183" s="1156"/>
      <c r="C183" s="1156"/>
      <c r="D183" s="1156"/>
      <c r="E183" s="1158"/>
      <c r="F183" s="1158"/>
      <c r="G183" s="1158"/>
      <c r="H183" s="1158"/>
      <c r="I183" s="1158"/>
      <c r="J183" s="1158"/>
      <c r="K183" s="1158"/>
      <c r="L183" s="1158"/>
      <c r="M183" s="1158"/>
      <c r="N183" s="1158"/>
      <c r="O183" s="1158"/>
      <c r="P183" s="1158"/>
      <c r="Q183" s="1158"/>
      <c r="R183" s="1158"/>
      <c r="S183" s="1158"/>
      <c r="T183" s="1158"/>
      <c r="U183" s="1158"/>
      <c r="V183" s="1158"/>
      <c r="W183" s="1158"/>
      <c r="X183" s="1158"/>
      <c r="Y183" s="1158"/>
      <c r="Z183" s="1156"/>
      <c r="AA183" s="1156"/>
      <c r="AB183" s="1156"/>
      <c r="AC183" s="1156"/>
      <c r="AD183" s="1156"/>
      <c r="AE183" s="1156"/>
      <c r="AF183" s="1156"/>
      <c r="AG183" s="1156"/>
      <c r="AH183" s="1156"/>
      <c r="AI183" s="1156"/>
    </row>
    <row r="184" spans="1:35" s="1165" customFormat="1">
      <c r="A184" s="1156"/>
      <c r="B184" s="1156"/>
      <c r="C184" s="1156"/>
      <c r="D184" s="1156"/>
      <c r="E184" s="1158"/>
      <c r="F184" s="1158"/>
      <c r="G184" s="1158"/>
      <c r="H184" s="1158"/>
      <c r="I184" s="1158"/>
      <c r="J184" s="1158"/>
      <c r="K184" s="1158"/>
      <c r="L184" s="1158"/>
      <c r="M184" s="1158"/>
      <c r="N184" s="1158"/>
      <c r="O184" s="1158"/>
      <c r="P184" s="1158"/>
      <c r="Q184" s="1158"/>
      <c r="R184" s="1158"/>
      <c r="S184" s="1158"/>
      <c r="T184" s="1158"/>
      <c r="U184" s="1158"/>
      <c r="V184" s="1158"/>
      <c r="W184" s="1158"/>
      <c r="X184" s="1158"/>
      <c r="Y184" s="1158"/>
      <c r="Z184" s="1156"/>
      <c r="AA184" s="1156"/>
      <c r="AB184" s="1156"/>
      <c r="AC184" s="1156"/>
      <c r="AD184" s="1156"/>
      <c r="AE184" s="1156"/>
      <c r="AF184" s="1156"/>
      <c r="AG184" s="1156"/>
      <c r="AH184" s="1156"/>
      <c r="AI184" s="1156"/>
    </row>
    <row r="185" spans="1:35" s="1165" customFormat="1">
      <c r="A185" s="1156"/>
      <c r="B185" s="1156"/>
      <c r="C185" s="1156"/>
      <c r="D185" s="1156"/>
      <c r="E185" s="1158"/>
      <c r="F185" s="1158"/>
      <c r="G185" s="1158"/>
      <c r="H185" s="1158"/>
      <c r="I185" s="1158"/>
      <c r="J185" s="1158"/>
      <c r="K185" s="1158"/>
      <c r="L185" s="1158"/>
      <c r="M185" s="1158"/>
      <c r="N185" s="1158"/>
      <c r="O185" s="1158"/>
      <c r="P185" s="1158"/>
      <c r="Q185" s="1158"/>
      <c r="R185" s="1158"/>
      <c r="S185" s="1158"/>
      <c r="T185" s="1158"/>
      <c r="U185" s="1158"/>
      <c r="V185" s="1158"/>
      <c r="W185" s="1158"/>
      <c r="X185" s="1158"/>
      <c r="Y185" s="1158"/>
      <c r="Z185" s="1156"/>
      <c r="AA185" s="1156"/>
      <c r="AB185" s="1156"/>
      <c r="AC185" s="1156"/>
      <c r="AD185" s="1156"/>
      <c r="AE185" s="1156"/>
      <c r="AF185" s="1156"/>
      <c r="AG185" s="1156"/>
      <c r="AH185" s="1156"/>
      <c r="AI185" s="1156"/>
    </row>
    <row r="186" spans="1:35" s="1165" customFormat="1">
      <c r="A186" s="1156"/>
      <c r="B186" s="1156"/>
      <c r="C186" s="1156"/>
      <c r="D186" s="1156"/>
      <c r="E186" s="1158"/>
      <c r="F186" s="1158"/>
      <c r="G186" s="1158"/>
      <c r="H186" s="1158"/>
      <c r="I186" s="1158"/>
      <c r="J186" s="1158"/>
      <c r="K186" s="1158"/>
      <c r="L186" s="1158"/>
      <c r="M186" s="1158"/>
      <c r="N186" s="1158"/>
      <c r="O186" s="1158"/>
      <c r="P186" s="1158"/>
      <c r="Q186" s="1158"/>
      <c r="R186" s="1158"/>
      <c r="S186" s="1158"/>
      <c r="T186" s="1158"/>
      <c r="U186" s="1158"/>
      <c r="V186" s="1158"/>
      <c r="W186" s="1158"/>
      <c r="X186" s="1158"/>
      <c r="Y186" s="1158"/>
      <c r="Z186" s="1156"/>
      <c r="AA186" s="1156"/>
      <c r="AB186" s="1156"/>
      <c r="AC186" s="1156"/>
      <c r="AD186" s="1156"/>
      <c r="AE186" s="1156"/>
      <c r="AF186" s="1156"/>
      <c r="AG186" s="1156"/>
      <c r="AH186" s="1156"/>
      <c r="AI186" s="1156"/>
    </row>
    <row r="187" spans="1:35" s="1165" customFormat="1">
      <c r="A187" s="1156"/>
      <c r="B187" s="1156"/>
      <c r="C187" s="1156"/>
      <c r="D187" s="1156"/>
      <c r="E187" s="1158"/>
      <c r="F187" s="1158"/>
      <c r="G187" s="1158"/>
      <c r="H187" s="1158"/>
      <c r="I187" s="1158"/>
      <c r="J187" s="1158"/>
      <c r="K187" s="1158"/>
      <c r="L187" s="1158"/>
      <c r="M187" s="1158"/>
      <c r="N187" s="1158"/>
      <c r="O187" s="1158"/>
      <c r="P187" s="1158"/>
      <c r="Q187" s="1158"/>
      <c r="R187" s="1158"/>
      <c r="S187" s="1158"/>
      <c r="T187" s="1158"/>
      <c r="U187" s="1158"/>
      <c r="V187" s="1158"/>
      <c r="W187" s="1158"/>
      <c r="X187" s="1158"/>
      <c r="Y187" s="1158"/>
      <c r="Z187" s="1156"/>
      <c r="AA187" s="1156"/>
      <c r="AB187" s="1156"/>
      <c r="AC187" s="1156"/>
      <c r="AD187" s="1156"/>
      <c r="AE187" s="1156"/>
      <c r="AF187" s="1156"/>
      <c r="AG187" s="1156"/>
      <c r="AH187" s="1156"/>
      <c r="AI187" s="1156"/>
    </row>
    <row r="188" spans="1:35" s="1165" customFormat="1">
      <c r="A188" s="1156"/>
      <c r="B188" s="1156"/>
      <c r="C188" s="1156"/>
      <c r="D188" s="1156"/>
      <c r="E188" s="1158"/>
      <c r="F188" s="1158"/>
      <c r="G188" s="1158"/>
      <c r="H188" s="1158"/>
      <c r="I188" s="1158"/>
      <c r="J188" s="1158"/>
      <c r="K188" s="1158"/>
      <c r="L188" s="1158"/>
      <c r="M188" s="1158"/>
      <c r="N188" s="1158"/>
      <c r="O188" s="1158"/>
      <c r="P188" s="1158"/>
      <c r="Q188" s="1158"/>
      <c r="R188" s="1158"/>
      <c r="S188" s="1158"/>
      <c r="T188" s="1158"/>
      <c r="U188" s="1158"/>
      <c r="V188" s="1158"/>
      <c r="W188" s="1158"/>
      <c r="X188" s="1158"/>
      <c r="Y188" s="1158"/>
      <c r="Z188" s="1156"/>
      <c r="AA188" s="1156"/>
      <c r="AB188" s="1156"/>
      <c r="AC188" s="1156"/>
      <c r="AD188" s="1156"/>
      <c r="AE188" s="1156"/>
      <c r="AF188" s="1156"/>
      <c r="AG188" s="1156"/>
      <c r="AH188" s="1156"/>
      <c r="AI188" s="1156"/>
    </row>
    <row r="189" spans="1:35" s="1165" customFormat="1">
      <c r="A189" s="1156"/>
      <c r="B189" s="1156"/>
      <c r="C189" s="1156"/>
      <c r="D189" s="1156"/>
      <c r="E189" s="1158"/>
      <c r="F189" s="1158"/>
      <c r="G189" s="1158"/>
      <c r="H189" s="1158"/>
      <c r="I189" s="1158"/>
      <c r="J189" s="1158"/>
      <c r="K189" s="1158"/>
      <c r="L189" s="1158"/>
      <c r="M189" s="1158"/>
      <c r="N189" s="1158"/>
      <c r="O189" s="1158"/>
      <c r="P189" s="1158"/>
      <c r="Q189" s="1158"/>
      <c r="R189" s="1158"/>
      <c r="S189" s="1158"/>
      <c r="T189" s="1158"/>
      <c r="U189" s="1158"/>
      <c r="V189" s="1158"/>
      <c r="W189" s="1158"/>
      <c r="X189" s="1158"/>
      <c r="Y189" s="1158"/>
      <c r="Z189" s="1156"/>
      <c r="AA189" s="1156"/>
      <c r="AB189" s="1156"/>
      <c r="AC189" s="1156"/>
      <c r="AD189" s="1156"/>
      <c r="AE189" s="1156"/>
      <c r="AF189" s="1156"/>
      <c r="AG189" s="1156"/>
      <c r="AH189" s="1156"/>
      <c r="AI189" s="1156"/>
    </row>
    <row r="190" spans="1:35" s="1165" customFormat="1">
      <c r="A190" s="1156"/>
      <c r="B190" s="1156"/>
      <c r="C190" s="1156"/>
      <c r="D190" s="1156"/>
      <c r="E190" s="1158"/>
      <c r="F190" s="1158"/>
      <c r="G190" s="1158"/>
      <c r="H190" s="1158"/>
      <c r="I190" s="1158"/>
      <c r="J190" s="1158"/>
      <c r="K190" s="1158"/>
      <c r="L190" s="1158"/>
      <c r="M190" s="1158"/>
      <c r="N190" s="1158"/>
      <c r="O190" s="1158"/>
      <c r="P190" s="1158"/>
      <c r="Q190" s="1158"/>
      <c r="R190" s="1158"/>
      <c r="S190" s="1158"/>
      <c r="T190" s="1158"/>
      <c r="U190" s="1158"/>
      <c r="V190" s="1158"/>
      <c r="W190" s="1158"/>
      <c r="X190" s="1158"/>
      <c r="Y190" s="1158"/>
      <c r="Z190" s="1156"/>
      <c r="AA190" s="1156"/>
      <c r="AB190" s="1156"/>
      <c r="AC190" s="1156"/>
      <c r="AD190" s="1156"/>
      <c r="AE190" s="1156"/>
      <c r="AF190" s="1156"/>
      <c r="AG190" s="1156"/>
      <c r="AH190" s="1156"/>
      <c r="AI190" s="1156"/>
    </row>
    <row r="191" spans="1:35" s="1165" customFormat="1">
      <c r="A191" s="1156"/>
      <c r="B191" s="1156"/>
      <c r="C191" s="1156"/>
      <c r="D191" s="1156"/>
      <c r="E191" s="1158"/>
      <c r="F191" s="1158"/>
      <c r="G191" s="1158"/>
      <c r="H191" s="1158"/>
      <c r="I191" s="1158"/>
      <c r="J191" s="1158"/>
      <c r="K191" s="1158"/>
      <c r="L191" s="1158"/>
      <c r="M191" s="1158"/>
      <c r="N191" s="1158"/>
      <c r="O191" s="1158"/>
      <c r="P191" s="1158"/>
      <c r="Q191" s="1158"/>
      <c r="R191" s="1158"/>
      <c r="S191" s="1158"/>
      <c r="T191" s="1158"/>
      <c r="U191" s="1158"/>
      <c r="V191" s="1158"/>
      <c r="W191" s="1158"/>
      <c r="X191" s="1158"/>
      <c r="Y191" s="1158"/>
      <c r="Z191" s="1156"/>
      <c r="AA191" s="1156"/>
      <c r="AB191" s="1156"/>
      <c r="AC191" s="1156"/>
      <c r="AD191" s="1156"/>
      <c r="AE191" s="1156"/>
      <c r="AF191" s="1156"/>
      <c r="AG191" s="1156"/>
      <c r="AH191" s="1156"/>
      <c r="AI191" s="1156"/>
    </row>
    <row r="192" spans="1:35" s="1165" customFormat="1">
      <c r="A192" s="1156"/>
      <c r="B192" s="1156"/>
      <c r="C192" s="1156"/>
      <c r="D192" s="1156"/>
      <c r="E192" s="1158"/>
      <c r="F192" s="1158"/>
      <c r="G192" s="1158"/>
      <c r="H192" s="1158"/>
      <c r="I192" s="1158"/>
      <c r="J192" s="1158"/>
      <c r="K192" s="1158"/>
      <c r="L192" s="1158"/>
      <c r="M192" s="1158"/>
      <c r="N192" s="1158"/>
      <c r="O192" s="1158"/>
      <c r="P192" s="1158"/>
      <c r="Q192" s="1158"/>
      <c r="R192" s="1158"/>
      <c r="S192" s="1158"/>
      <c r="T192" s="1158"/>
      <c r="U192" s="1158"/>
      <c r="V192" s="1158"/>
      <c r="W192" s="1158"/>
      <c r="X192" s="1158"/>
      <c r="Y192" s="1158"/>
      <c r="Z192" s="1156"/>
      <c r="AA192" s="1156"/>
      <c r="AB192" s="1156"/>
      <c r="AC192" s="1156"/>
      <c r="AD192" s="1156"/>
      <c r="AE192" s="1156"/>
      <c r="AF192" s="1156"/>
      <c r="AG192" s="1156"/>
      <c r="AH192" s="1156"/>
      <c r="AI192" s="1156"/>
    </row>
    <row r="193" spans="1:35" s="1165" customFormat="1">
      <c r="A193" s="1156"/>
      <c r="B193" s="1156"/>
      <c r="C193" s="1156"/>
      <c r="D193" s="1156"/>
      <c r="E193" s="1158"/>
      <c r="F193" s="1158"/>
      <c r="G193" s="1158"/>
      <c r="H193" s="1158"/>
      <c r="I193" s="1158"/>
      <c r="J193" s="1158"/>
      <c r="K193" s="1158"/>
      <c r="L193" s="1158"/>
      <c r="M193" s="1158"/>
      <c r="N193" s="1158"/>
      <c r="O193" s="1158"/>
      <c r="P193" s="1158"/>
      <c r="Q193" s="1158"/>
      <c r="R193" s="1158"/>
      <c r="S193" s="1158"/>
      <c r="T193" s="1158"/>
      <c r="U193" s="1158"/>
      <c r="V193" s="1158"/>
      <c r="W193" s="1158"/>
      <c r="X193" s="1158"/>
      <c r="Y193" s="1158"/>
      <c r="Z193" s="1156"/>
      <c r="AA193" s="1156"/>
      <c r="AB193" s="1156"/>
      <c r="AC193" s="1156"/>
      <c r="AD193" s="1156"/>
      <c r="AE193" s="1156"/>
      <c r="AF193" s="1156"/>
      <c r="AG193" s="1156"/>
      <c r="AH193" s="1156"/>
      <c r="AI193" s="1156"/>
    </row>
    <row r="194" spans="1:35" s="1165" customFormat="1">
      <c r="A194" s="1156"/>
      <c r="B194" s="1156"/>
      <c r="C194" s="1156"/>
      <c r="D194" s="1156"/>
      <c r="E194" s="1158"/>
      <c r="F194" s="1158"/>
      <c r="G194" s="1158"/>
      <c r="H194" s="1158"/>
      <c r="I194" s="1158"/>
      <c r="J194" s="1158"/>
      <c r="K194" s="1158"/>
      <c r="L194" s="1158"/>
      <c r="M194" s="1158"/>
      <c r="N194" s="1158"/>
      <c r="O194" s="1158"/>
      <c r="P194" s="1158"/>
      <c r="Q194" s="1158"/>
      <c r="R194" s="1158"/>
      <c r="S194" s="1158"/>
      <c r="T194" s="1158"/>
      <c r="U194" s="1158"/>
      <c r="V194" s="1158"/>
      <c r="W194" s="1158"/>
      <c r="X194" s="1158"/>
      <c r="Y194" s="1158"/>
      <c r="Z194" s="1156"/>
      <c r="AA194" s="1156"/>
      <c r="AB194" s="1156"/>
      <c r="AC194" s="1156"/>
      <c r="AD194" s="1156"/>
      <c r="AE194" s="1156"/>
      <c r="AF194" s="1156"/>
      <c r="AG194" s="1156"/>
      <c r="AH194" s="1156"/>
      <c r="AI194" s="1156"/>
    </row>
    <row r="195" spans="1:35" s="1165" customFormat="1">
      <c r="A195" s="1156"/>
      <c r="B195" s="1156"/>
      <c r="C195" s="1156"/>
      <c r="D195" s="1156"/>
      <c r="E195" s="1158"/>
      <c r="F195" s="1158"/>
      <c r="G195" s="1158"/>
      <c r="H195" s="1158"/>
      <c r="I195" s="1158"/>
      <c r="J195" s="1158"/>
      <c r="K195" s="1158"/>
      <c r="L195" s="1158"/>
      <c r="M195" s="1158"/>
      <c r="N195" s="1158"/>
      <c r="O195" s="1158"/>
      <c r="P195" s="1158"/>
      <c r="Q195" s="1158"/>
      <c r="R195" s="1158"/>
      <c r="S195" s="1158"/>
      <c r="T195" s="1158"/>
      <c r="U195" s="1158"/>
      <c r="V195" s="1158"/>
      <c r="W195" s="1158"/>
      <c r="X195" s="1158"/>
      <c r="Y195" s="1158"/>
      <c r="Z195" s="1156"/>
      <c r="AA195" s="1156"/>
      <c r="AB195" s="1156"/>
      <c r="AC195" s="1156"/>
      <c r="AD195" s="1156"/>
      <c r="AE195" s="1156"/>
      <c r="AF195" s="1156"/>
      <c r="AG195" s="1156"/>
      <c r="AH195" s="1156"/>
      <c r="AI195" s="1156"/>
    </row>
    <row r="196" spans="1:35" s="1165" customFormat="1">
      <c r="A196" s="1156"/>
      <c r="B196" s="1156"/>
      <c r="C196" s="1156"/>
      <c r="D196" s="1156"/>
      <c r="E196" s="1158"/>
      <c r="F196" s="1158"/>
      <c r="G196" s="1158"/>
      <c r="H196" s="1158"/>
      <c r="I196" s="1158"/>
      <c r="J196" s="1158"/>
      <c r="K196" s="1158"/>
      <c r="L196" s="1158"/>
      <c r="M196" s="1158"/>
      <c r="N196" s="1158"/>
      <c r="O196" s="1158"/>
      <c r="P196" s="1158"/>
      <c r="Q196" s="1158"/>
      <c r="R196" s="1158"/>
      <c r="S196" s="1158"/>
      <c r="T196" s="1158"/>
      <c r="U196" s="1158"/>
      <c r="V196" s="1158"/>
      <c r="W196" s="1158"/>
      <c r="X196" s="1158"/>
      <c r="Y196" s="1158"/>
      <c r="Z196" s="1156"/>
      <c r="AA196" s="1156"/>
      <c r="AB196" s="1156"/>
      <c r="AC196" s="1156"/>
      <c r="AD196" s="1156"/>
      <c r="AE196" s="1156"/>
      <c r="AF196" s="1156"/>
      <c r="AG196" s="1156"/>
      <c r="AH196" s="1156"/>
      <c r="AI196" s="1156"/>
    </row>
    <row r="197" spans="1:35" s="1165" customFormat="1">
      <c r="A197" s="1156"/>
      <c r="B197" s="1156"/>
      <c r="C197" s="1156"/>
      <c r="D197" s="1156"/>
      <c r="E197" s="1158"/>
      <c r="F197" s="1158"/>
      <c r="G197" s="1158"/>
      <c r="H197" s="1158"/>
      <c r="I197" s="1158"/>
      <c r="J197" s="1158"/>
      <c r="K197" s="1158"/>
      <c r="L197" s="1158"/>
      <c r="M197" s="1158"/>
      <c r="N197" s="1158"/>
      <c r="O197" s="1158"/>
      <c r="P197" s="1158"/>
      <c r="Q197" s="1158"/>
      <c r="R197" s="1158"/>
      <c r="S197" s="1158"/>
      <c r="T197" s="1158"/>
      <c r="U197" s="1158"/>
      <c r="V197" s="1158"/>
      <c r="W197" s="1158"/>
      <c r="X197" s="1158"/>
      <c r="Y197" s="1158"/>
      <c r="Z197" s="1156"/>
      <c r="AA197" s="1156"/>
      <c r="AB197" s="1156"/>
      <c r="AC197" s="1156"/>
      <c r="AD197" s="1156"/>
      <c r="AE197" s="1156"/>
      <c r="AF197" s="1156"/>
      <c r="AG197" s="1156"/>
      <c r="AH197" s="1156"/>
      <c r="AI197" s="1156"/>
    </row>
    <row r="198" spans="1:35" s="1165" customFormat="1">
      <c r="A198" s="1156"/>
      <c r="B198" s="1156"/>
      <c r="C198" s="1156"/>
      <c r="D198" s="1156"/>
      <c r="E198" s="1158"/>
      <c r="F198" s="1158"/>
      <c r="G198" s="1158"/>
      <c r="H198" s="1158"/>
      <c r="I198" s="1158"/>
      <c r="J198" s="1158"/>
      <c r="K198" s="1158"/>
      <c r="L198" s="1158"/>
      <c r="M198" s="1158"/>
      <c r="N198" s="1158"/>
      <c r="O198" s="1158"/>
      <c r="P198" s="1158"/>
      <c r="Q198" s="1158"/>
      <c r="R198" s="1158"/>
      <c r="S198" s="1158"/>
      <c r="T198" s="1158"/>
      <c r="U198" s="1158"/>
      <c r="V198" s="1158"/>
      <c r="W198" s="1158"/>
      <c r="X198" s="1158"/>
      <c r="Y198" s="1158"/>
      <c r="Z198" s="1156"/>
      <c r="AA198" s="1156"/>
      <c r="AB198" s="1156"/>
      <c r="AC198" s="1156"/>
      <c r="AD198" s="1156"/>
      <c r="AE198" s="1156"/>
      <c r="AF198" s="1156"/>
      <c r="AG198" s="1156"/>
      <c r="AH198" s="1156"/>
      <c r="AI198" s="1156"/>
    </row>
    <row r="199" spans="1:35" s="1165" customFormat="1">
      <c r="A199" s="1156"/>
      <c r="B199" s="1156"/>
      <c r="C199" s="1156"/>
      <c r="D199" s="1156"/>
      <c r="E199" s="1158"/>
      <c r="F199" s="1158"/>
      <c r="G199" s="1158"/>
      <c r="H199" s="1158"/>
      <c r="I199" s="1158"/>
      <c r="J199" s="1158"/>
      <c r="K199" s="1158"/>
      <c r="L199" s="1158"/>
      <c r="M199" s="1158"/>
      <c r="N199" s="1158"/>
      <c r="O199" s="1158"/>
      <c r="P199" s="1158"/>
      <c r="Q199" s="1158"/>
      <c r="R199" s="1158"/>
      <c r="S199" s="1158"/>
      <c r="T199" s="1158"/>
      <c r="U199" s="1158"/>
      <c r="V199" s="1158"/>
      <c r="W199" s="1158"/>
      <c r="X199" s="1158"/>
      <c r="Y199" s="1158"/>
      <c r="Z199" s="1156"/>
      <c r="AA199" s="1156"/>
      <c r="AB199" s="1156"/>
      <c r="AC199" s="1156"/>
      <c r="AD199" s="1156"/>
      <c r="AE199" s="1156"/>
      <c r="AF199" s="1156"/>
      <c r="AG199" s="1156"/>
      <c r="AH199" s="1156"/>
      <c r="AI199" s="1156"/>
    </row>
    <row r="200" spans="1:35" s="1165" customFormat="1">
      <c r="A200" s="1156"/>
      <c r="B200" s="1156"/>
      <c r="C200" s="1156"/>
      <c r="D200" s="1156"/>
      <c r="E200" s="1158"/>
      <c r="F200" s="1158"/>
      <c r="G200" s="1158"/>
      <c r="H200" s="1158"/>
      <c r="I200" s="1158"/>
      <c r="J200" s="1158"/>
      <c r="K200" s="1158"/>
      <c r="L200" s="1158"/>
      <c r="M200" s="1158"/>
      <c r="N200" s="1158"/>
      <c r="O200" s="1158"/>
      <c r="P200" s="1158"/>
      <c r="Q200" s="1158"/>
      <c r="R200" s="1158"/>
      <c r="S200" s="1158"/>
      <c r="T200" s="1158"/>
      <c r="U200" s="1158"/>
      <c r="V200" s="1158"/>
      <c r="W200" s="1158"/>
      <c r="X200" s="1158"/>
      <c r="Y200" s="1158"/>
      <c r="Z200" s="1156"/>
      <c r="AA200" s="1156"/>
      <c r="AB200" s="1156"/>
      <c r="AC200" s="1156"/>
      <c r="AD200" s="1156"/>
      <c r="AE200" s="1156"/>
      <c r="AF200" s="1156"/>
      <c r="AG200" s="1156"/>
      <c r="AH200" s="1156"/>
      <c r="AI200" s="1156"/>
    </row>
    <row r="201" spans="1:35" s="1165" customFormat="1">
      <c r="A201" s="1156"/>
      <c r="B201" s="1156"/>
      <c r="C201" s="1156"/>
      <c r="D201" s="1156"/>
      <c r="E201" s="1158"/>
      <c r="F201" s="1158"/>
      <c r="G201" s="1158"/>
      <c r="H201" s="1158"/>
      <c r="I201" s="1158"/>
      <c r="J201" s="1158"/>
      <c r="K201" s="1158"/>
      <c r="L201" s="1158"/>
      <c r="M201" s="1158"/>
      <c r="N201" s="1158"/>
      <c r="O201" s="1158"/>
      <c r="P201" s="1158"/>
      <c r="Q201" s="1158"/>
      <c r="R201" s="1158"/>
      <c r="S201" s="1158"/>
      <c r="T201" s="1158"/>
      <c r="U201" s="1158"/>
      <c r="V201" s="1158"/>
      <c r="W201" s="1158"/>
      <c r="X201" s="1158"/>
      <c r="Y201" s="1158"/>
      <c r="Z201" s="1156"/>
      <c r="AA201" s="1156"/>
      <c r="AB201" s="1156"/>
      <c r="AC201" s="1156"/>
      <c r="AD201" s="1156"/>
      <c r="AE201" s="1156"/>
      <c r="AF201" s="1156"/>
      <c r="AG201" s="1156"/>
      <c r="AH201" s="1156"/>
      <c r="AI201" s="1156"/>
    </row>
    <row r="202" spans="1:35" s="1165" customFormat="1">
      <c r="A202" s="1156"/>
      <c r="B202" s="1156"/>
      <c r="C202" s="1156"/>
      <c r="D202" s="1156"/>
      <c r="E202" s="1158"/>
      <c r="F202" s="1158"/>
      <c r="G202" s="1158"/>
      <c r="H202" s="1158"/>
      <c r="I202" s="1158"/>
      <c r="J202" s="1158"/>
      <c r="K202" s="1158"/>
      <c r="L202" s="1158"/>
      <c r="M202" s="1158"/>
      <c r="N202" s="1158"/>
      <c r="O202" s="1158"/>
      <c r="P202" s="1158"/>
      <c r="Q202" s="1158"/>
      <c r="R202" s="1158"/>
      <c r="S202" s="1158"/>
      <c r="T202" s="1158"/>
      <c r="U202" s="1158"/>
      <c r="V202" s="1158"/>
      <c r="W202" s="1158"/>
      <c r="X202" s="1158"/>
      <c r="Y202" s="1158"/>
      <c r="Z202" s="1156"/>
      <c r="AA202" s="1156"/>
      <c r="AB202" s="1156"/>
      <c r="AC202" s="1156"/>
      <c r="AD202" s="1156"/>
      <c r="AE202" s="1156"/>
      <c r="AF202" s="1156"/>
      <c r="AG202" s="1156"/>
      <c r="AH202" s="1156"/>
      <c r="AI202" s="1156"/>
    </row>
    <row r="203" spans="1:35" s="1165" customFormat="1">
      <c r="A203" s="1156"/>
      <c r="B203" s="1156"/>
      <c r="C203" s="1156"/>
      <c r="D203" s="1156"/>
      <c r="E203" s="1158"/>
      <c r="F203" s="1158"/>
      <c r="G203" s="1158"/>
      <c r="H203" s="1158"/>
      <c r="I203" s="1158"/>
      <c r="J203" s="1158"/>
      <c r="K203" s="1158"/>
      <c r="L203" s="1158"/>
      <c r="M203" s="1158"/>
      <c r="N203" s="1158"/>
      <c r="O203" s="1158"/>
      <c r="P203" s="1158"/>
      <c r="Q203" s="1158"/>
      <c r="R203" s="1158"/>
      <c r="S203" s="1158"/>
      <c r="T203" s="1158"/>
      <c r="U203" s="1158"/>
      <c r="V203" s="1158"/>
      <c r="W203" s="1158"/>
      <c r="X203" s="1158"/>
      <c r="Y203" s="1158"/>
      <c r="Z203" s="1156"/>
      <c r="AA203" s="1156"/>
      <c r="AB203" s="1156"/>
      <c r="AC203" s="1156"/>
      <c r="AD203" s="1156"/>
      <c r="AE203" s="1156"/>
      <c r="AF203" s="1156"/>
      <c r="AG203" s="1156"/>
      <c r="AH203" s="1156"/>
      <c r="AI203" s="1156"/>
    </row>
    <row r="204" spans="1:35" s="1165" customFormat="1">
      <c r="A204" s="1156"/>
      <c r="B204" s="1156"/>
      <c r="C204" s="1156"/>
      <c r="D204" s="1156"/>
      <c r="E204" s="1158"/>
      <c r="F204" s="1158"/>
      <c r="G204" s="1158"/>
      <c r="H204" s="1158"/>
      <c r="I204" s="1158"/>
      <c r="J204" s="1158"/>
      <c r="K204" s="1158"/>
      <c r="L204" s="1158"/>
      <c r="M204" s="1158"/>
      <c r="N204" s="1158"/>
      <c r="O204" s="1158"/>
      <c r="P204" s="1158"/>
      <c r="Q204" s="1158"/>
      <c r="R204" s="1158"/>
      <c r="S204" s="1158"/>
      <c r="T204" s="1158"/>
      <c r="U204" s="1158"/>
      <c r="V204" s="1158"/>
      <c r="W204" s="1158"/>
      <c r="X204" s="1158"/>
      <c r="Y204" s="1158"/>
      <c r="Z204" s="1156"/>
      <c r="AA204" s="1156"/>
      <c r="AB204" s="1156"/>
      <c r="AC204" s="1156"/>
      <c r="AD204" s="1156"/>
      <c r="AE204" s="1156"/>
      <c r="AF204" s="1156"/>
      <c r="AG204" s="1156"/>
      <c r="AH204" s="1156"/>
      <c r="AI204" s="1156"/>
    </row>
    <row r="205" spans="1:35" s="1165" customFormat="1">
      <c r="A205" s="1156"/>
      <c r="B205" s="1156"/>
      <c r="C205" s="1156"/>
      <c r="D205" s="1156"/>
      <c r="E205" s="1158"/>
      <c r="F205" s="1158"/>
      <c r="G205" s="1158"/>
      <c r="H205" s="1158"/>
      <c r="I205" s="1158"/>
      <c r="J205" s="1158"/>
      <c r="K205" s="1158"/>
      <c r="L205" s="1158"/>
      <c r="M205" s="1158"/>
      <c r="N205" s="1158"/>
      <c r="O205" s="1158"/>
      <c r="P205" s="1158"/>
      <c r="Q205" s="1158"/>
      <c r="R205" s="1158"/>
      <c r="S205" s="1158"/>
      <c r="T205" s="1158"/>
      <c r="U205" s="1158"/>
      <c r="V205" s="1158"/>
      <c r="W205" s="1158"/>
      <c r="X205" s="1158"/>
      <c r="Y205" s="1158"/>
      <c r="Z205" s="1156"/>
      <c r="AA205" s="1156"/>
      <c r="AB205" s="1156"/>
      <c r="AC205" s="1156"/>
      <c r="AD205" s="1156"/>
      <c r="AE205" s="1156"/>
      <c r="AF205" s="1156"/>
      <c r="AG205" s="1156"/>
      <c r="AH205" s="1156"/>
      <c r="AI205" s="1156"/>
    </row>
    <row r="206" spans="1:35" s="1165" customFormat="1">
      <c r="A206" s="1156"/>
      <c r="B206" s="1156"/>
      <c r="C206" s="1156"/>
      <c r="D206" s="1156"/>
      <c r="E206" s="1158"/>
      <c r="F206" s="1158"/>
      <c r="G206" s="1158"/>
      <c r="H206" s="1158"/>
      <c r="I206" s="1158"/>
      <c r="J206" s="1158"/>
      <c r="K206" s="1158"/>
      <c r="L206" s="1158"/>
      <c r="M206" s="1158"/>
      <c r="N206" s="1158"/>
      <c r="O206" s="1158"/>
      <c r="P206" s="1158"/>
      <c r="Q206" s="1158"/>
      <c r="R206" s="1158"/>
      <c r="S206" s="1158"/>
      <c r="T206" s="1158"/>
      <c r="U206" s="1158"/>
      <c r="V206" s="1158"/>
      <c r="W206" s="1158"/>
      <c r="X206" s="1158"/>
      <c r="Y206" s="1158"/>
      <c r="Z206" s="1156"/>
      <c r="AA206" s="1156"/>
      <c r="AB206" s="1156"/>
      <c r="AC206" s="1156"/>
      <c r="AD206" s="1156"/>
      <c r="AE206" s="1156"/>
      <c r="AF206" s="1156"/>
      <c r="AG206" s="1156"/>
      <c r="AH206" s="1156"/>
      <c r="AI206" s="1156"/>
    </row>
    <row r="207" spans="1:35" s="1165" customFormat="1">
      <c r="A207" s="1156"/>
      <c r="B207" s="1156"/>
      <c r="C207" s="1156"/>
      <c r="D207" s="1156"/>
      <c r="E207" s="1158"/>
      <c r="F207" s="1158"/>
      <c r="G207" s="1158"/>
      <c r="H207" s="1158"/>
      <c r="I207" s="1158"/>
      <c r="J207" s="1158"/>
      <c r="K207" s="1158"/>
      <c r="L207" s="1158"/>
      <c r="M207" s="1158"/>
      <c r="N207" s="1158"/>
      <c r="O207" s="1158"/>
      <c r="P207" s="1158"/>
      <c r="Q207" s="1158"/>
      <c r="R207" s="1158"/>
      <c r="S207" s="1158"/>
      <c r="T207" s="1158"/>
      <c r="U207" s="1158"/>
      <c r="V207" s="1158"/>
      <c r="W207" s="1158"/>
      <c r="X207" s="1158"/>
      <c r="Y207" s="1158"/>
      <c r="Z207" s="1156"/>
      <c r="AA207" s="1156"/>
      <c r="AB207" s="1156"/>
      <c r="AC207" s="1156"/>
      <c r="AD207" s="1156"/>
      <c r="AE207" s="1156"/>
      <c r="AF207" s="1156"/>
      <c r="AG207" s="1156"/>
      <c r="AH207" s="1156"/>
      <c r="AI207" s="1156"/>
    </row>
    <row r="208" spans="1:35" s="1165" customFormat="1">
      <c r="A208" s="1156"/>
      <c r="B208" s="1156"/>
      <c r="C208" s="1156"/>
      <c r="D208" s="1156"/>
      <c r="E208" s="1158"/>
      <c r="F208" s="1158"/>
      <c r="G208" s="1158"/>
      <c r="H208" s="1158"/>
      <c r="I208" s="1158"/>
      <c r="J208" s="1158"/>
      <c r="K208" s="1158"/>
      <c r="L208" s="1158"/>
      <c r="M208" s="1158"/>
      <c r="N208" s="1158"/>
      <c r="O208" s="1158"/>
      <c r="P208" s="1158"/>
      <c r="Q208" s="1158"/>
      <c r="R208" s="1158"/>
      <c r="S208" s="1158"/>
      <c r="T208" s="1158"/>
      <c r="U208" s="1158"/>
      <c r="V208" s="1158"/>
      <c r="W208" s="1158"/>
      <c r="X208" s="1158"/>
      <c r="Y208" s="1158"/>
      <c r="Z208" s="1156"/>
      <c r="AA208" s="1156"/>
      <c r="AB208" s="1156"/>
      <c r="AC208" s="1156"/>
      <c r="AD208" s="1156"/>
      <c r="AE208" s="1156"/>
      <c r="AF208" s="1156"/>
      <c r="AG208" s="1156"/>
      <c r="AH208" s="1156"/>
      <c r="AI208" s="1156"/>
    </row>
    <row r="209" spans="1:35" s="1165" customFormat="1">
      <c r="A209" s="1156"/>
      <c r="B209" s="1156"/>
      <c r="C209" s="1156"/>
      <c r="D209" s="1156"/>
      <c r="E209" s="1158"/>
      <c r="F209" s="1158"/>
      <c r="G209" s="1158"/>
      <c r="H209" s="1158"/>
      <c r="I209" s="1158"/>
      <c r="J209" s="1158"/>
      <c r="K209" s="1158"/>
      <c r="L209" s="1158"/>
      <c r="M209" s="1158"/>
      <c r="N209" s="1158"/>
      <c r="O209" s="1158"/>
      <c r="P209" s="1158"/>
      <c r="Q209" s="1158"/>
      <c r="R209" s="1158"/>
      <c r="S209" s="1158"/>
      <c r="T209" s="1158"/>
      <c r="U209" s="1158"/>
      <c r="V209" s="1158"/>
      <c r="W209" s="1158"/>
      <c r="X209" s="1158"/>
      <c r="Y209" s="1158"/>
      <c r="Z209" s="1156"/>
      <c r="AA209" s="1156"/>
      <c r="AB209" s="1156"/>
      <c r="AC209" s="1156"/>
      <c r="AD209" s="1156"/>
      <c r="AE209" s="1156"/>
      <c r="AF209" s="1156"/>
      <c r="AG209" s="1156"/>
      <c r="AH209" s="1156"/>
      <c r="AI209" s="1156"/>
    </row>
    <row r="210" spans="1:35" s="1165" customFormat="1">
      <c r="A210" s="1156"/>
      <c r="B210" s="1156"/>
      <c r="C210" s="1156"/>
      <c r="D210" s="1156"/>
      <c r="E210" s="1158"/>
      <c r="F210" s="1158"/>
      <c r="G210" s="1158"/>
      <c r="H210" s="1158"/>
      <c r="I210" s="1158"/>
      <c r="J210" s="1158"/>
      <c r="K210" s="1158"/>
      <c r="L210" s="1158"/>
      <c r="M210" s="1158"/>
      <c r="N210" s="1158"/>
      <c r="O210" s="1158"/>
      <c r="P210" s="1158"/>
      <c r="Q210" s="1158"/>
      <c r="R210" s="1158"/>
      <c r="S210" s="1158"/>
      <c r="T210" s="1158"/>
      <c r="U210" s="1158"/>
      <c r="V210" s="1158"/>
      <c r="W210" s="1158"/>
      <c r="X210" s="1158"/>
      <c r="Y210" s="1158"/>
      <c r="Z210" s="1156"/>
      <c r="AA210" s="1156"/>
      <c r="AB210" s="1156"/>
      <c r="AC210" s="1156"/>
      <c r="AD210" s="1156"/>
      <c r="AE210" s="1156"/>
      <c r="AF210" s="1156"/>
      <c r="AG210" s="1156"/>
      <c r="AH210" s="1156"/>
      <c r="AI210" s="1156"/>
    </row>
    <row r="211" spans="1:35" s="1165" customFormat="1">
      <c r="A211" s="1156"/>
      <c r="B211" s="1156"/>
      <c r="C211" s="1156"/>
      <c r="D211" s="1156"/>
      <c r="E211" s="1158"/>
      <c r="F211" s="1158"/>
      <c r="G211" s="1158"/>
      <c r="H211" s="1158"/>
      <c r="I211" s="1158"/>
      <c r="J211" s="1158"/>
      <c r="K211" s="1158"/>
      <c r="L211" s="1158"/>
      <c r="M211" s="1158"/>
      <c r="N211" s="1158"/>
      <c r="O211" s="1158"/>
      <c r="P211" s="1158"/>
      <c r="Q211" s="1158"/>
      <c r="R211" s="1158"/>
      <c r="S211" s="1158"/>
      <c r="T211" s="1158"/>
      <c r="U211" s="1158"/>
      <c r="V211" s="1158"/>
      <c r="W211" s="1158"/>
      <c r="X211" s="1158"/>
      <c r="Y211" s="1158"/>
      <c r="Z211" s="1156"/>
      <c r="AA211" s="1156"/>
      <c r="AB211" s="1156"/>
      <c r="AC211" s="1156"/>
      <c r="AD211" s="1156"/>
      <c r="AE211" s="1156"/>
      <c r="AF211" s="1156"/>
      <c r="AG211" s="1156"/>
      <c r="AH211" s="1156"/>
      <c r="AI211" s="1156"/>
    </row>
    <row r="212" spans="1:35" s="1165" customFormat="1">
      <c r="A212" s="1156"/>
      <c r="B212" s="1156"/>
      <c r="C212" s="1156"/>
      <c r="D212" s="1156"/>
      <c r="E212" s="1158"/>
      <c r="F212" s="1158"/>
      <c r="G212" s="1158"/>
      <c r="H212" s="1158"/>
      <c r="I212" s="1158"/>
      <c r="J212" s="1158"/>
      <c r="K212" s="1158"/>
      <c r="L212" s="1158"/>
      <c r="M212" s="1158"/>
      <c r="N212" s="1158"/>
      <c r="O212" s="1158"/>
      <c r="P212" s="1158"/>
      <c r="Q212" s="1158"/>
      <c r="R212" s="1158"/>
      <c r="S212" s="1158"/>
      <c r="T212" s="1158"/>
      <c r="U212" s="1158"/>
      <c r="V212" s="1158"/>
      <c r="W212" s="1158"/>
      <c r="X212" s="1158"/>
      <c r="Y212" s="1158"/>
      <c r="Z212" s="1156"/>
      <c r="AA212" s="1156"/>
      <c r="AB212" s="1156"/>
      <c r="AC212" s="1156"/>
      <c r="AD212" s="1156"/>
      <c r="AE212" s="1156"/>
      <c r="AF212" s="1156"/>
      <c r="AG212" s="1156"/>
      <c r="AH212" s="1156"/>
      <c r="AI212" s="1156"/>
    </row>
    <row r="213" spans="1:35" s="1165" customFormat="1">
      <c r="A213" s="1156"/>
      <c r="B213" s="1156"/>
      <c r="C213" s="1156"/>
      <c r="D213" s="1156"/>
      <c r="E213" s="1158"/>
      <c r="F213" s="1158"/>
      <c r="G213" s="1158"/>
      <c r="H213" s="1158"/>
      <c r="I213" s="1158"/>
      <c r="J213" s="1158"/>
      <c r="K213" s="1158"/>
      <c r="L213" s="1158"/>
      <c r="M213" s="1158"/>
      <c r="N213" s="1158"/>
      <c r="O213" s="1158"/>
      <c r="P213" s="1158"/>
      <c r="Q213" s="1158"/>
      <c r="R213" s="1158"/>
      <c r="S213" s="1158"/>
      <c r="T213" s="1158"/>
      <c r="U213" s="1158"/>
      <c r="V213" s="1158"/>
      <c r="W213" s="1158"/>
      <c r="X213" s="1158"/>
      <c r="Y213" s="1158"/>
      <c r="Z213" s="1156"/>
      <c r="AA213" s="1156"/>
      <c r="AB213" s="1156"/>
      <c r="AC213" s="1156"/>
      <c r="AD213" s="1156"/>
      <c r="AE213" s="1156"/>
      <c r="AF213" s="1156"/>
      <c r="AG213" s="1156"/>
      <c r="AH213" s="1156"/>
      <c r="AI213" s="1156"/>
    </row>
    <row r="214" spans="1:35" s="1165" customFormat="1">
      <c r="A214" s="1156"/>
      <c r="B214" s="1156"/>
      <c r="C214" s="1156"/>
      <c r="D214" s="1156"/>
      <c r="E214" s="1158"/>
      <c r="F214" s="1158"/>
      <c r="G214" s="1158"/>
      <c r="H214" s="1158"/>
      <c r="I214" s="1158"/>
      <c r="J214" s="1158"/>
      <c r="K214" s="1158"/>
      <c r="L214" s="1158"/>
      <c r="M214" s="1158"/>
      <c r="N214" s="1158"/>
      <c r="O214" s="1158"/>
      <c r="P214" s="1158"/>
      <c r="Q214" s="1158"/>
      <c r="R214" s="1158"/>
      <c r="S214" s="1158"/>
      <c r="T214" s="1158"/>
      <c r="U214" s="1158"/>
      <c r="V214" s="1158"/>
      <c r="W214" s="1158"/>
      <c r="X214" s="1158"/>
      <c r="Y214" s="1158"/>
      <c r="Z214" s="1156"/>
      <c r="AA214" s="1156"/>
      <c r="AB214" s="1156"/>
      <c r="AC214" s="1156"/>
      <c r="AD214" s="1156"/>
      <c r="AE214" s="1156"/>
      <c r="AF214" s="1156"/>
      <c r="AG214" s="1156"/>
      <c r="AH214" s="1156"/>
      <c r="AI214" s="1156"/>
    </row>
    <row r="215" spans="1:35" s="1165" customFormat="1">
      <c r="A215" s="1156"/>
      <c r="B215" s="1156"/>
      <c r="C215" s="1156"/>
      <c r="D215" s="1156"/>
      <c r="E215" s="1158"/>
      <c r="F215" s="1158"/>
      <c r="G215" s="1158"/>
      <c r="H215" s="1158"/>
      <c r="I215" s="1158"/>
      <c r="J215" s="1158"/>
      <c r="K215" s="1158"/>
      <c r="L215" s="1158"/>
      <c r="M215" s="1158"/>
      <c r="N215" s="1158"/>
      <c r="O215" s="1158"/>
      <c r="P215" s="1158"/>
      <c r="Q215" s="1158"/>
      <c r="R215" s="1158"/>
      <c r="S215" s="1158"/>
      <c r="T215" s="1158"/>
      <c r="U215" s="1158"/>
      <c r="V215" s="1158"/>
      <c r="W215" s="1158"/>
      <c r="X215" s="1158"/>
      <c r="Y215" s="1158"/>
      <c r="Z215" s="1156"/>
      <c r="AA215" s="1156"/>
      <c r="AB215" s="1156"/>
      <c r="AC215" s="1156"/>
      <c r="AD215" s="1156"/>
      <c r="AE215" s="1156"/>
      <c r="AF215" s="1156"/>
      <c r="AG215" s="1156"/>
      <c r="AH215" s="1156"/>
      <c r="AI215" s="1156"/>
    </row>
    <row r="216" spans="1:35" s="1165" customFormat="1">
      <c r="A216" s="1156"/>
      <c r="B216" s="1156"/>
      <c r="C216" s="1156"/>
      <c r="D216" s="1156"/>
      <c r="E216" s="1158"/>
      <c r="F216" s="1158"/>
      <c r="G216" s="1158"/>
      <c r="H216" s="1158"/>
      <c r="I216" s="1158"/>
      <c r="J216" s="1158"/>
      <c r="K216" s="1158"/>
      <c r="L216" s="1158"/>
      <c r="M216" s="1158"/>
      <c r="N216" s="1158"/>
      <c r="O216" s="1158"/>
      <c r="P216" s="1158"/>
      <c r="Q216" s="1158"/>
      <c r="R216" s="1158"/>
      <c r="S216" s="1158"/>
      <c r="T216" s="1158"/>
      <c r="U216" s="1158"/>
      <c r="V216" s="1158"/>
      <c r="W216" s="1158"/>
      <c r="X216" s="1158"/>
      <c r="Y216" s="1158"/>
      <c r="Z216" s="1156"/>
      <c r="AA216" s="1156"/>
      <c r="AB216" s="1156"/>
      <c r="AC216" s="1156"/>
      <c r="AD216" s="1156"/>
      <c r="AE216" s="1156"/>
      <c r="AF216" s="1156"/>
      <c r="AG216" s="1156"/>
      <c r="AH216" s="1156"/>
      <c r="AI216" s="1156"/>
    </row>
    <row r="217" spans="1:35" s="1165" customFormat="1">
      <c r="A217" s="1156"/>
      <c r="B217" s="1156"/>
      <c r="C217" s="1156"/>
      <c r="D217" s="1156"/>
      <c r="E217" s="1158"/>
      <c r="F217" s="1158"/>
      <c r="G217" s="1158"/>
      <c r="H217" s="1158"/>
      <c r="I217" s="1158"/>
      <c r="J217" s="1158"/>
      <c r="K217" s="1158"/>
      <c r="L217" s="1158"/>
      <c r="M217" s="1158"/>
      <c r="N217" s="1158"/>
      <c r="O217" s="1158"/>
      <c r="P217" s="1158"/>
      <c r="Q217" s="1158"/>
      <c r="R217" s="1158"/>
      <c r="S217" s="1158"/>
      <c r="T217" s="1158"/>
      <c r="U217" s="1158"/>
      <c r="V217" s="1158"/>
      <c r="W217" s="1158"/>
      <c r="X217" s="1158"/>
      <c r="Y217" s="1158"/>
      <c r="Z217" s="1156"/>
      <c r="AA217" s="1156"/>
      <c r="AB217" s="1156"/>
      <c r="AC217" s="1156"/>
      <c r="AD217" s="1156"/>
      <c r="AE217" s="1156"/>
      <c r="AF217" s="1156"/>
      <c r="AG217" s="1156"/>
      <c r="AH217" s="1156"/>
      <c r="AI217" s="1156"/>
    </row>
    <row r="218" spans="1:35" s="1165" customFormat="1">
      <c r="A218" s="1156"/>
      <c r="B218" s="1156"/>
      <c r="C218" s="1156"/>
      <c r="D218" s="1156"/>
      <c r="E218" s="1158"/>
      <c r="F218" s="1158"/>
      <c r="G218" s="1158"/>
      <c r="H218" s="1158"/>
      <c r="I218" s="1158"/>
      <c r="J218" s="1158"/>
      <c r="K218" s="1158"/>
      <c r="L218" s="1158"/>
      <c r="M218" s="1158"/>
      <c r="N218" s="1158"/>
      <c r="O218" s="1158"/>
      <c r="P218" s="1158"/>
      <c r="Q218" s="1158"/>
      <c r="R218" s="1158"/>
      <c r="S218" s="1158"/>
      <c r="T218" s="1158"/>
      <c r="U218" s="1158"/>
      <c r="V218" s="1158"/>
      <c r="W218" s="1158"/>
      <c r="X218" s="1158"/>
      <c r="Y218" s="1158"/>
      <c r="Z218" s="1156"/>
      <c r="AA218" s="1156"/>
      <c r="AB218" s="1156"/>
      <c r="AC218" s="1156"/>
      <c r="AD218" s="1156"/>
      <c r="AE218" s="1156"/>
      <c r="AF218" s="1156"/>
      <c r="AG218" s="1156"/>
      <c r="AH218" s="1156"/>
      <c r="AI218" s="1156"/>
    </row>
    <row r="219" spans="1:35" s="1165" customFormat="1">
      <c r="A219" s="1156"/>
      <c r="B219" s="1156"/>
      <c r="C219" s="1156"/>
      <c r="D219" s="1156"/>
      <c r="E219" s="1158"/>
      <c r="F219" s="1158"/>
      <c r="G219" s="1158"/>
      <c r="H219" s="1158"/>
      <c r="I219" s="1158"/>
      <c r="J219" s="1158"/>
      <c r="K219" s="1158"/>
      <c r="L219" s="1158"/>
      <c r="M219" s="1158"/>
      <c r="N219" s="1158"/>
      <c r="O219" s="1158"/>
      <c r="P219" s="1158"/>
      <c r="Q219" s="1158"/>
      <c r="R219" s="1158"/>
      <c r="S219" s="1158"/>
      <c r="T219" s="1158"/>
      <c r="U219" s="1158"/>
      <c r="V219" s="1158"/>
      <c r="W219" s="1158"/>
      <c r="X219" s="1158"/>
      <c r="Y219" s="1158"/>
      <c r="Z219" s="1156"/>
      <c r="AA219" s="1156"/>
      <c r="AB219" s="1156"/>
      <c r="AC219" s="1156"/>
      <c r="AD219" s="1156"/>
      <c r="AE219" s="1156"/>
      <c r="AF219" s="1156"/>
      <c r="AG219" s="1156"/>
      <c r="AH219" s="1156"/>
      <c r="AI219" s="1156"/>
    </row>
    <row r="220" spans="1:35" s="1165" customFormat="1">
      <c r="A220" s="1156"/>
      <c r="B220" s="1156"/>
      <c r="C220" s="1156"/>
      <c r="D220" s="1156"/>
      <c r="E220" s="1158"/>
      <c r="F220" s="1158"/>
      <c r="G220" s="1158"/>
      <c r="H220" s="1158"/>
      <c r="I220" s="1158"/>
      <c r="J220" s="1158"/>
      <c r="K220" s="1158"/>
      <c r="L220" s="1158"/>
      <c r="M220" s="1158"/>
      <c r="N220" s="1158"/>
      <c r="O220" s="1158"/>
      <c r="P220" s="1158"/>
      <c r="Q220" s="1158"/>
      <c r="R220" s="1158"/>
      <c r="S220" s="1158"/>
      <c r="T220" s="1158"/>
      <c r="U220" s="1158"/>
      <c r="V220" s="1158"/>
      <c r="W220" s="1158"/>
      <c r="X220" s="1158"/>
      <c r="Y220" s="1158"/>
      <c r="Z220" s="1156"/>
      <c r="AA220" s="1156"/>
      <c r="AB220" s="1156"/>
      <c r="AC220" s="1156"/>
      <c r="AD220" s="1156"/>
      <c r="AE220" s="1156"/>
      <c r="AF220" s="1156"/>
      <c r="AG220" s="1156"/>
      <c r="AH220" s="1156"/>
      <c r="AI220" s="1156"/>
    </row>
    <row r="221" spans="1:35" s="1165" customFormat="1">
      <c r="A221" s="1156"/>
      <c r="B221" s="1156"/>
      <c r="C221" s="1156"/>
      <c r="D221" s="1156"/>
      <c r="E221" s="1158"/>
      <c r="F221" s="1158"/>
      <c r="G221" s="1158"/>
      <c r="H221" s="1158"/>
      <c r="I221" s="1158"/>
      <c r="J221" s="1158"/>
      <c r="K221" s="1158"/>
      <c r="L221" s="1158"/>
      <c r="M221" s="1158"/>
      <c r="N221" s="1158"/>
      <c r="O221" s="1158"/>
      <c r="P221" s="1158"/>
      <c r="Q221" s="1158"/>
      <c r="R221" s="1158"/>
      <c r="S221" s="1158"/>
      <c r="T221" s="1158"/>
      <c r="U221" s="1158"/>
      <c r="V221" s="1158"/>
      <c r="W221" s="1158"/>
      <c r="X221" s="1158"/>
      <c r="Y221" s="1158"/>
      <c r="Z221" s="1156"/>
      <c r="AA221" s="1156"/>
      <c r="AB221" s="1156"/>
      <c r="AC221" s="1156"/>
      <c r="AD221" s="1156"/>
      <c r="AE221" s="1156"/>
      <c r="AF221" s="1156"/>
      <c r="AG221" s="1156"/>
      <c r="AH221" s="1156"/>
      <c r="AI221" s="1156"/>
    </row>
    <row r="222" spans="1:35" s="1165" customFormat="1">
      <c r="A222" s="1156"/>
      <c r="B222" s="1156"/>
      <c r="C222" s="1156"/>
      <c r="D222" s="1156"/>
      <c r="E222" s="1158"/>
      <c r="F222" s="1158"/>
      <c r="G222" s="1158"/>
      <c r="H222" s="1158"/>
      <c r="I222" s="1158"/>
      <c r="J222" s="1158"/>
      <c r="K222" s="1158"/>
      <c r="L222" s="1158"/>
      <c r="M222" s="1158"/>
      <c r="N222" s="1158"/>
      <c r="O222" s="1158"/>
      <c r="P222" s="1158"/>
      <c r="Q222" s="1158"/>
      <c r="R222" s="1158"/>
      <c r="S222" s="1158"/>
      <c r="T222" s="1158"/>
      <c r="U222" s="1158"/>
      <c r="V222" s="1158"/>
      <c r="W222" s="1158"/>
      <c r="X222" s="1158"/>
      <c r="Y222" s="1158"/>
      <c r="Z222" s="1156"/>
      <c r="AA222" s="1156"/>
      <c r="AB222" s="1156"/>
      <c r="AC222" s="1156"/>
      <c r="AD222" s="1156"/>
      <c r="AE222" s="1156"/>
      <c r="AF222" s="1156"/>
      <c r="AG222" s="1156"/>
      <c r="AH222" s="1156"/>
      <c r="AI222" s="1156"/>
    </row>
    <row r="223" spans="1:35" s="1165" customFormat="1">
      <c r="A223" s="1156"/>
      <c r="B223" s="1156"/>
      <c r="C223" s="1156"/>
      <c r="D223" s="1156"/>
      <c r="E223" s="1158"/>
      <c r="F223" s="1158"/>
      <c r="G223" s="1158"/>
      <c r="H223" s="1158"/>
      <c r="I223" s="1158"/>
      <c r="J223" s="1158"/>
      <c r="K223" s="1158"/>
      <c r="L223" s="1158"/>
      <c r="M223" s="1158"/>
      <c r="N223" s="1158"/>
      <c r="O223" s="1158"/>
      <c r="P223" s="1158"/>
      <c r="Q223" s="1158"/>
      <c r="R223" s="1158"/>
      <c r="S223" s="1158"/>
      <c r="T223" s="1158"/>
      <c r="U223" s="1158"/>
      <c r="V223" s="1158"/>
      <c r="W223" s="1158"/>
      <c r="X223" s="1158"/>
      <c r="Y223" s="1158"/>
      <c r="Z223" s="1156"/>
      <c r="AA223" s="1156"/>
      <c r="AB223" s="1156"/>
      <c r="AC223" s="1156"/>
      <c r="AD223" s="1156"/>
      <c r="AE223" s="1156"/>
      <c r="AF223" s="1156"/>
      <c r="AG223" s="1156"/>
      <c r="AH223" s="1156"/>
      <c r="AI223" s="1156"/>
    </row>
    <row r="224" spans="1:35" s="1165" customFormat="1">
      <c r="A224" s="1156"/>
      <c r="B224" s="1156"/>
      <c r="C224" s="1156"/>
      <c r="D224" s="1156"/>
      <c r="E224" s="1158"/>
      <c r="F224" s="1158"/>
      <c r="G224" s="1158"/>
      <c r="H224" s="1158"/>
      <c r="I224" s="1158"/>
      <c r="J224" s="1158"/>
      <c r="K224" s="1158"/>
      <c r="L224" s="1158"/>
      <c r="M224" s="1158"/>
      <c r="N224" s="1158"/>
      <c r="O224" s="1158"/>
      <c r="P224" s="1158"/>
      <c r="Q224" s="1158"/>
      <c r="R224" s="1158"/>
      <c r="S224" s="1158"/>
      <c r="T224" s="1158"/>
      <c r="U224" s="1158"/>
      <c r="V224" s="1158"/>
      <c r="W224" s="1158"/>
      <c r="X224" s="1158"/>
      <c r="Y224" s="1158"/>
      <c r="Z224" s="1156"/>
      <c r="AA224" s="1156"/>
      <c r="AB224" s="1156"/>
      <c r="AC224" s="1156"/>
      <c r="AD224" s="1156"/>
      <c r="AE224" s="1156"/>
      <c r="AF224" s="1156"/>
      <c r="AG224" s="1156"/>
      <c r="AH224" s="1156"/>
      <c r="AI224" s="1156"/>
    </row>
    <row r="225" spans="1:35" s="1165" customFormat="1">
      <c r="A225" s="1156"/>
      <c r="B225" s="1156"/>
      <c r="C225" s="1156"/>
      <c r="D225" s="1156"/>
      <c r="E225" s="1158"/>
      <c r="F225" s="1158"/>
      <c r="G225" s="1158"/>
      <c r="H225" s="1158"/>
      <c r="I225" s="1158"/>
      <c r="J225" s="1158"/>
      <c r="K225" s="1158"/>
      <c r="L225" s="1158"/>
      <c r="M225" s="1158"/>
      <c r="N225" s="1158"/>
      <c r="O225" s="1158"/>
      <c r="P225" s="1158"/>
      <c r="Q225" s="1158"/>
      <c r="R225" s="1158"/>
      <c r="S225" s="1158"/>
      <c r="T225" s="1158"/>
      <c r="U225" s="1158"/>
      <c r="V225" s="1158"/>
      <c r="W225" s="1158"/>
      <c r="X225" s="1158"/>
      <c r="Y225" s="1158"/>
      <c r="Z225" s="1156"/>
      <c r="AA225" s="1156"/>
      <c r="AB225" s="1156"/>
      <c r="AC225" s="1156"/>
      <c r="AD225" s="1156"/>
      <c r="AE225" s="1156"/>
      <c r="AF225" s="1156"/>
      <c r="AG225" s="1156"/>
      <c r="AH225" s="1156"/>
      <c r="AI225" s="1156"/>
    </row>
    <row r="226" spans="1:35" s="1165" customFormat="1">
      <c r="A226" s="1156"/>
      <c r="B226" s="1156"/>
      <c r="C226" s="1156"/>
      <c r="D226" s="1156"/>
      <c r="E226" s="1158"/>
      <c r="F226" s="1158"/>
      <c r="G226" s="1158"/>
      <c r="H226" s="1158"/>
      <c r="I226" s="1158"/>
      <c r="J226" s="1158"/>
      <c r="K226" s="1158"/>
      <c r="L226" s="1158"/>
      <c r="M226" s="1158"/>
      <c r="N226" s="1158"/>
      <c r="O226" s="1158"/>
      <c r="P226" s="1158"/>
      <c r="Q226" s="1158"/>
      <c r="R226" s="1158"/>
      <c r="S226" s="1158"/>
      <c r="T226" s="1158"/>
      <c r="U226" s="1158"/>
      <c r="V226" s="1158"/>
      <c r="W226" s="1158"/>
      <c r="X226" s="1158"/>
      <c r="Y226" s="1158"/>
      <c r="Z226" s="1156"/>
      <c r="AA226" s="1156"/>
      <c r="AB226" s="1156"/>
      <c r="AC226" s="1156"/>
      <c r="AD226" s="1156"/>
      <c r="AE226" s="1156"/>
      <c r="AF226" s="1156"/>
      <c r="AG226" s="1156"/>
      <c r="AH226" s="1156"/>
      <c r="AI226" s="1156"/>
    </row>
    <row r="227" spans="1:35" s="1165" customFormat="1">
      <c r="A227" s="1156"/>
      <c r="B227" s="1156"/>
      <c r="C227" s="1156"/>
      <c r="D227" s="1156"/>
      <c r="E227" s="1158"/>
      <c r="F227" s="1158"/>
      <c r="G227" s="1158"/>
      <c r="H227" s="1158"/>
      <c r="I227" s="1158"/>
      <c r="J227" s="1158"/>
      <c r="K227" s="1158"/>
      <c r="L227" s="1158"/>
      <c r="M227" s="1158"/>
      <c r="N227" s="1158"/>
      <c r="O227" s="1158"/>
      <c r="P227" s="1158"/>
      <c r="Q227" s="1158"/>
      <c r="R227" s="1158"/>
      <c r="S227" s="1158"/>
      <c r="T227" s="1158"/>
      <c r="U227" s="1158"/>
      <c r="V227" s="1158"/>
      <c r="W227" s="1158"/>
      <c r="X227" s="1158"/>
      <c r="Y227" s="1158"/>
      <c r="Z227" s="1156"/>
      <c r="AA227" s="1156"/>
      <c r="AB227" s="1156"/>
      <c r="AC227" s="1156"/>
      <c r="AD227" s="1156"/>
      <c r="AE227" s="1156"/>
      <c r="AF227" s="1156"/>
      <c r="AG227" s="1156"/>
      <c r="AH227" s="1156"/>
      <c r="AI227" s="1156"/>
    </row>
    <row r="228" spans="1:35" s="1165" customFormat="1">
      <c r="A228" s="1156"/>
      <c r="B228" s="1156"/>
      <c r="C228" s="1156"/>
      <c r="D228" s="1156"/>
      <c r="E228" s="1158"/>
      <c r="F228" s="1158"/>
      <c r="G228" s="1158"/>
      <c r="H228" s="1158"/>
      <c r="I228" s="1158"/>
      <c r="J228" s="1158"/>
      <c r="K228" s="1158"/>
      <c r="L228" s="1158"/>
      <c r="M228" s="1158"/>
      <c r="N228" s="1158"/>
      <c r="O228" s="1158"/>
      <c r="P228" s="1158"/>
      <c r="Q228" s="1158"/>
      <c r="R228" s="1158"/>
      <c r="S228" s="1158"/>
      <c r="T228" s="1158"/>
      <c r="U228" s="1158"/>
      <c r="V228" s="1158"/>
      <c r="W228" s="1158"/>
      <c r="X228" s="1158"/>
      <c r="Y228" s="1158"/>
      <c r="Z228" s="1156"/>
      <c r="AA228" s="1156"/>
      <c r="AB228" s="1156"/>
      <c r="AC228" s="1156"/>
      <c r="AD228" s="1156"/>
      <c r="AE228" s="1156"/>
      <c r="AF228" s="1156"/>
      <c r="AG228" s="1156"/>
      <c r="AH228" s="1156"/>
      <c r="AI228" s="1156"/>
    </row>
    <row r="229" spans="1:35" s="1165" customFormat="1">
      <c r="A229" s="1156"/>
      <c r="B229" s="1156"/>
      <c r="C229" s="1156"/>
      <c r="D229" s="1156"/>
      <c r="E229" s="1158"/>
      <c r="F229" s="1158"/>
      <c r="G229" s="1158"/>
      <c r="H229" s="1158"/>
      <c r="I229" s="1158"/>
      <c r="J229" s="1158"/>
      <c r="K229" s="1158"/>
      <c r="L229" s="1158"/>
      <c r="M229" s="1158"/>
      <c r="N229" s="1158"/>
      <c r="O229" s="1158"/>
      <c r="P229" s="1158"/>
      <c r="Q229" s="1158"/>
      <c r="R229" s="1158"/>
      <c r="S229" s="1158"/>
      <c r="T229" s="1158"/>
      <c r="U229" s="1158"/>
      <c r="V229" s="1158"/>
      <c r="W229" s="1158"/>
      <c r="X229" s="1158"/>
      <c r="Y229" s="1158"/>
      <c r="Z229" s="1156"/>
      <c r="AA229" s="1156"/>
      <c r="AB229" s="1156"/>
      <c r="AC229" s="1156"/>
      <c r="AD229" s="1156"/>
      <c r="AE229" s="1156"/>
      <c r="AF229" s="1156"/>
      <c r="AG229" s="1156"/>
      <c r="AH229" s="1156"/>
      <c r="AI229" s="1156"/>
    </row>
    <row r="230" spans="1:35" s="1165" customFormat="1">
      <c r="A230" s="1156"/>
      <c r="B230" s="1156"/>
      <c r="C230" s="1156"/>
      <c r="D230" s="1156"/>
      <c r="E230" s="1158"/>
      <c r="F230" s="1158"/>
      <c r="G230" s="1158"/>
      <c r="H230" s="1158"/>
      <c r="I230" s="1158"/>
      <c r="J230" s="1158"/>
      <c r="K230" s="1158"/>
      <c r="L230" s="1158"/>
      <c r="M230" s="1158"/>
      <c r="N230" s="1158"/>
      <c r="O230" s="1158"/>
      <c r="P230" s="1158"/>
      <c r="Q230" s="1158"/>
      <c r="R230" s="1158"/>
      <c r="S230" s="1158"/>
      <c r="T230" s="1158"/>
      <c r="U230" s="1158"/>
      <c r="V230" s="1158"/>
      <c r="W230" s="1158"/>
      <c r="X230" s="1158"/>
      <c r="Y230" s="1158"/>
      <c r="Z230" s="1156"/>
      <c r="AA230" s="1156"/>
      <c r="AB230" s="1156"/>
      <c r="AC230" s="1156"/>
      <c r="AD230" s="1156"/>
      <c r="AE230" s="1156"/>
      <c r="AF230" s="1156"/>
      <c r="AG230" s="1156"/>
      <c r="AH230" s="1156"/>
      <c r="AI230" s="1156"/>
    </row>
    <row r="231" spans="1:35" s="1165" customFormat="1">
      <c r="A231" s="1156"/>
      <c r="B231" s="1156"/>
      <c r="C231" s="1156"/>
      <c r="D231" s="1156"/>
      <c r="E231" s="1158"/>
      <c r="F231" s="1158"/>
      <c r="G231" s="1158"/>
      <c r="H231" s="1158"/>
      <c r="I231" s="1158"/>
      <c r="J231" s="1158"/>
      <c r="K231" s="1158"/>
      <c r="L231" s="1158"/>
      <c r="M231" s="1158"/>
      <c r="N231" s="1158"/>
      <c r="O231" s="1158"/>
      <c r="P231" s="1158"/>
      <c r="Q231" s="1158"/>
      <c r="R231" s="1158"/>
      <c r="S231" s="1158"/>
      <c r="T231" s="1158"/>
      <c r="U231" s="1158"/>
      <c r="V231" s="1158"/>
      <c r="W231" s="1158"/>
      <c r="X231" s="1158"/>
      <c r="Y231" s="1158"/>
      <c r="Z231" s="1156"/>
      <c r="AA231" s="1156"/>
      <c r="AB231" s="1156"/>
      <c r="AC231" s="1156"/>
      <c r="AD231" s="1156"/>
      <c r="AE231" s="1156"/>
      <c r="AF231" s="1156"/>
      <c r="AG231" s="1156"/>
      <c r="AH231" s="1156"/>
      <c r="AI231" s="1156"/>
    </row>
    <row r="232" spans="1:35" s="1165" customFormat="1">
      <c r="A232" s="1156"/>
      <c r="B232" s="1156"/>
      <c r="C232" s="1156"/>
      <c r="D232" s="1156"/>
      <c r="E232" s="1158"/>
      <c r="F232" s="1158"/>
      <c r="G232" s="1158"/>
      <c r="H232" s="1158"/>
      <c r="I232" s="1158"/>
      <c r="J232" s="1158"/>
      <c r="K232" s="1158"/>
      <c r="L232" s="1158"/>
      <c r="M232" s="1158"/>
      <c r="N232" s="1158"/>
      <c r="O232" s="1158"/>
      <c r="P232" s="1158"/>
      <c r="Q232" s="1158"/>
      <c r="R232" s="1158"/>
      <c r="S232" s="1158"/>
      <c r="T232" s="1158"/>
      <c r="U232" s="1158"/>
      <c r="V232" s="1158"/>
      <c r="W232" s="1158"/>
      <c r="X232" s="1158"/>
      <c r="Y232" s="1158"/>
      <c r="Z232" s="1156"/>
      <c r="AA232" s="1156"/>
      <c r="AB232" s="1156"/>
      <c r="AC232" s="1156"/>
      <c r="AD232" s="1156"/>
      <c r="AE232" s="1156"/>
      <c r="AF232" s="1156"/>
      <c r="AG232" s="1156"/>
      <c r="AH232" s="1156"/>
      <c r="AI232" s="1156"/>
    </row>
    <row r="233" spans="1:35" s="1165" customFormat="1">
      <c r="A233" s="1156"/>
      <c r="B233" s="1156"/>
      <c r="C233" s="1156"/>
      <c r="D233" s="1156"/>
      <c r="E233" s="1158"/>
      <c r="F233" s="1158"/>
      <c r="G233" s="1158"/>
      <c r="H233" s="1158"/>
      <c r="I233" s="1158"/>
      <c r="J233" s="1158"/>
      <c r="K233" s="1158"/>
      <c r="L233" s="1158"/>
      <c r="M233" s="1158"/>
      <c r="N233" s="1158"/>
      <c r="O233" s="1158"/>
      <c r="P233" s="1158"/>
      <c r="Q233" s="1158"/>
      <c r="R233" s="1158"/>
      <c r="S233" s="1158"/>
      <c r="T233" s="1158"/>
      <c r="U233" s="1158"/>
      <c r="V233" s="1158"/>
      <c r="W233" s="1158"/>
      <c r="X233" s="1158"/>
      <c r="Y233" s="1158"/>
      <c r="Z233" s="1156"/>
      <c r="AA233" s="1156"/>
      <c r="AB233" s="1156"/>
      <c r="AC233" s="1156"/>
      <c r="AD233" s="1156"/>
      <c r="AE233" s="1156"/>
      <c r="AF233" s="1156"/>
      <c r="AG233" s="1156"/>
      <c r="AH233" s="1156"/>
      <c r="AI233" s="1156"/>
    </row>
    <row r="234" spans="1:35" s="1165" customFormat="1">
      <c r="A234" s="1156"/>
      <c r="B234" s="1156"/>
      <c r="C234" s="1156"/>
      <c r="D234" s="1156"/>
      <c r="E234" s="1158"/>
      <c r="F234" s="1158"/>
      <c r="G234" s="1158"/>
      <c r="H234" s="1158"/>
      <c r="I234" s="1158"/>
      <c r="J234" s="1158"/>
      <c r="K234" s="1158"/>
      <c r="L234" s="1158"/>
      <c r="M234" s="1158"/>
      <c r="N234" s="1158"/>
      <c r="O234" s="1158"/>
      <c r="P234" s="1158"/>
      <c r="Q234" s="1158"/>
      <c r="R234" s="1158"/>
      <c r="S234" s="1158"/>
      <c r="T234" s="1158"/>
      <c r="U234" s="1158"/>
      <c r="V234" s="1158"/>
      <c r="W234" s="1158"/>
      <c r="X234" s="1158"/>
      <c r="Y234" s="1158"/>
      <c r="Z234" s="1156"/>
      <c r="AA234" s="1156"/>
      <c r="AB234" s="1156"/>
      <c r="AC234" s="1156"/>
      <c r="AD234" s="1156"/>
      <c r="AE234" s="1156"/>
      <c r="AF234" s="1156"/>
      <c r="AG234" s="1156"/>
      <c r="AH234" s="1156"/>
      <c r="AI234" s="1156"/>
    </row>
    <row r="235" spans="1:35" s="1165" customFormat="1">
      <c r="A235" s="1156"/>
      <c r="B235" s="1156"/>
      <c r="C235" s="1156"/>
      <c r="D235" s="1156"/>
      <c r="E235" s="1158"/>
      <c r="F235" s="1158"/>
      <c r="G235" s="1158"/>
      <c r="H235" s="1158"/>
      <c r="I235" s="1158"/>
      <c r="J235" s="1158"/>
      <c r="K235" s="1158"/>
      <c r="L235" s="1158"/>
      <c r="M235" s="1158"/>
      <c r="N235" s="1158"/>
      <c r="O235" s="1158"/>
      <c r="P235" s="1158"/>
      <c r="Q235" s="1158"/>
      <c r="R235" s="1158"/>
      <c r="S235" s="1158"/>
      <c r="T235" s="1158"/>
      <c r="U235" s="1158"/>
      <c r="V235" s="1158"/>
      <c r="W235" s="1158"/>
      <c r="X235" s="1158"/>
      <c r="Y235" s="1158"/>
      <c r="Z235" s="1156"/>
      <c r="AA235" s="1156"/>
      <c r="AB235" s="1156"/>
      <c r="AC235" s="1156"/>
      <c r="AD235" s="1156"/>
      <c r="AE235" s="1156"/>
      <c r="AF235" s="1156"/>
      <c r="AG235" s="1156"/>
      <c r="AH235" s="1156"/>
      <c r="AI235" s="1156"/>
    </row>
    <row r="236" spans="1:35" s="1165" customFormat="1">
      <c r="A236" s="1156"/>
      <c r="B236" s="1156"/>
      <c r="C236" s="1156"/>
      <c r="D236" s="1156"/>
      <c r="E236" s="1158"/>
      <c r="F236" s="1158"/>
      <c r="G236" s="1158"/>
      <c r="H236" s="1158"/>
      <c r="I236" s="1158"/>
      <c r="J236" s="1158"/>
      <c r="K236" s="1158"/>
      <c r="L236" s="1158"/>
      <c r="M236" s="1158"/>
      <c r="N236" s="1158"/>
      <c r="O236" s="1158"/>
      <c r="P236" s="1158"/>
      <c r="Q236" s="1158"/>
      <c r="R236" s="1158"/>
      <c r="S236" s="1158"/>
      <c r="T236" s="1158"/>
      <c r="U236" s="1158"/>
      <c r="V236" s="1158"/>
      <c r="W236" s="1158"/>
      <c r="X236" s="1158"/>
      <c r="Y236" s="1158"/>
      <c r="Z236" s="1156"/>
      <c r="AA236" s="1156"/>
      <c r="AB236" s="1156"/>
      <c r="AC236" s="1156"/>
      <c r="AD236" s="1156"/>
      <c r="AE236" s="1156"/>
      <c r="AF236" s="1156"/>
      <c r="AG236" s="1156"/>
      <c r="AH236" s="1156"/>
      <c r="AI236" s="1156"/>
    </row>
    <row r="237" spans="1:35" s="1165" customFormat="1">
      <c r="A237" s="1156"/>
      <c r="B237" s="1156"/>
      <c r="C237" s="1156"/>
      <c r="D237" s="1156"/>
      <c r="E237" s="1158"/>
      <c r="F237" s="1158"/>
      <c r="G237" s="1158"/>
      <c r="H237" s="1158"/>
      <c r="I237" s="1158"/>
      <c r="J237" s="1158"/>
      <c r="K237" s="1158"/>
      <c r="L237" s="1158"/>
      <c r="M237" s="1158"/>
      <c r="N237" s="1158"/>
      <c r="O237" s="1158"/>
      <c r="P237" s="1158"/>
      <c r="Q237" s="1158"/>
      <c r="R237" s="1158"/>
      <c r="S237" s="1158"/>
      <c r="T237" s="1158"/>
      <c r="U237" s="1158"/>
      <c r="V237" s="1158"/>
      <c r="W237" s="1158"/>
      <c r="X237" s="1158"/>
      <c r="Y237" s="1158"/>
      <c r="Z237" s="1156"/>
      <c r="AA237" s="1156"/>
      <c r="AB237" s="1156"/>
      <c r="AC237" s="1156"/>
      <c r="AD237" s="1156"/>
      <c r="AE237" s="1156"/>
      <c r="AF237" s="1156"/>
      <c r="AG237" s="1156"/>
      <c r="AH237" s="1156"/>
      <c r="AI237" s="1156"/>
    </row>
    <row r="238" spans="1:35" s="1165" customFormat="1">
      <c r="A238" s="1156"/>
      <c r="B238" s="1156"/>
      <c r="C238" s="1156"/>
      <c r="D238" s="1156"/>
      <c r="E238" s="1158"/>
      <c r="F238" s="1158"/>
      <c r="G238" s="1158"/>
      <c r="H238" s="1158"/>
      <c r="I238" s="1158"/>
      <c r="J238" s="1158"/>
      <c r="K238" s="1158"/>
      <c r="L238" s="1158"/>
      <c r="M238" s="1158"/>
      <c r="N238" s="1158"/>
      <c r="O238" s="1158"/>
      <c r="P238" s="1158"/>
      <c r="Q238" s="1158"/>
      <c r="R238" s="1158"/>
      <c r="S238" s="1158"/>
      <c r="T238" s="1158"/>
      <c r="U238" s="1158"/>
      <c r="V238" s="1158"/>
      <c r="W238" s="1158"/>
      <c r="X238" s="1158"/>
      <c r="Y238" s="1158"/>
      <c r="Z238" s="1156"/>
      <c r="AA238" s="1156"/>
      <c r="AB238" s="1156"/>
      <c r="AC238" s="1156"/>
      <c r="AD238" s="1156"/>
      <c r="AE238" s="1156"/>
      <c r="AF238" s="1156"/>
      <c r="AG238" s="1156"/>
      <c r="AH238" s="1156"/>
      <c r="AI238" s="1156"/>
    </row>
    <row r="239" spans="1:35" s="1165" customFormat="1">
      <c r="A239" s="1156"/>
      <c r="B239" s="1156"/>
      <c r="C239" s="1156"/>
      <c r="D239" s="1156"/>
      <c r="E239" s="1158"/>
      <c r="F239" s="1158"/>
      <c r="G239" s="1158"/>
      <c r="H239" s="1158"/>
      <c r="I239" s="1158"/>
      <c r="J239" s="1158"/>
      <c r="K239" s="1158"/>
      <c r="L239" s="1158"/>
      <c r="M239" s="1158"/>
      <c r="N239" s="1158"/>
      <c r="O239" s="1158"/>
      <c r="P239" s="1158"/>
      <c r="Q239" s="1158"/>
      <c r="R239" s="1158"/>
      <c r="S239" s="1158"/>
      <c r="T239" s="1158"/>
      <c r="U239" s="1158"/>
      <c r="V239" s="1158"/>
      <c r="W239" s="1158"/>
      <c r="X239" s="1158"/>
      <c r="Y239" s="1158"/>
      <c r="Z239" s="1156"/>
      <c r="AA239" s="1156"/>
      <c r="AB239" s="1156"/>
      <c r="AC239" s="1156"/>
      <c r="AD239" s="1156"/>
      <c r="AE239" s="1156"/>
      <c r="AF239" s="1156"/>
      <c r="AG239" s="1156"/>
      <c r="AH239" s="1156"/>
      <c r="AI239" s="1156"/>
    </row>
    <row r="240" spans="1:35" s="1165" customFormat="1">
      <c r="A240" s="1156"/>
      <c r="B240" s="1156"/>
      <c r="C240" s="1156"/>
      <c r="D240" s="1156"/>
      <c r="E240" s="1158"/>
      <c r="F240" s="1158"/>
      <c r="G240" s="1158"/>
      <c r="H240" s="1158"/>
      <c r="I240" s="1158"/>
      <c r="J240" s="1158"/>
      <c r="K240" s="1158"/>
      <c r="L240" s="1158"/>
      <c r="M240" s="1158"/>
      <c r="N240" s="1158"/>
      <c r="O240" s="1158"/>
      <c r="P240" s="1158"/>
      <c r="Q240" s="1158"/>
      <c r="R240" s="1158"/>
      <c r="S240" s="1158"/>
      <c r="T240" s="1158"/>
      <c r="U240" s="1158"/>
      <c r="V240" s="1158"/>
      <c r="W240" s="1158"/>
      <c r="X240" s="1158"/>
      <c r="Y240" s="1158"/>
      <c r="Z240" s="1156"/>
      <c r="AA240" s="1156"/>
      <c r="AB240" s="1156"/>
      <c r="AC240" s="1156"/>
      <c r="AD240" s="1156"/>
      <c r="AE240" s="1156"/>
      <c r="AF240" s="1156"/>
      <c r="AG240" s="1156"/>
      <c r="AH240" s="1156"/>
      <c r="AI240" s="1156"/>
    </row>
    <row r="241" spans="1:35" s="1165" customFormat="1">
      <c r="A241" s="1156"/>
      <c r="B241" s="1156"/>
      <c r="C241" s="1156"/>
      <c r="D241" s="1156"/>
      <c r="E241" s="1158"/>
      <c r="F241" s="1158"/>
      <c r="G241" s="1158"/>
      <c r="H241" s="1158"/>
      <c r="I241" s="1158"/>
      <c r="J241" s="1158"/>
      <c r="K241" s="1158"/>
      <c r="L241" s="1158"/>
      <c r="M241" s="1158"/>
      <c r="N241" s="1158"/>
      <c r="O241" s="1158"/>
      <c r="P241" s="1158"/>
      <c r="Q241" s="1158"/>
      <c r="R241" s="1158"/>
      <c r="S241" s="1158"/>
      <c r="T241" s="1158"/>
      <c r="U241" s="1158"/>
      <c r="V241" s="1158"/>
      <c r="W241" s="1158"/>
      <c r="X241" s="1158"/>
      <c r="Y241" s="1158"/>
      <c r="Z241" s="1156"/>
      <c r="AA241" s="1156"/>
      <c r="AB241" s="1156"/>
      <c r="AC241" s="1156"/>
      <c r="AD241" s="1156"/>
      <c r="AE241" s="1156"/>
      <c r="AF241" s="1156"/>
      <c r="AG241" s="1156"/>
      <c r="AH241" s="1156"/>
      <c r="AI241" s="1156"/>
    </row>
    <row r="242" spans="1:35" s="1165" customFormat="1">
      <c r="A242" s="1156"/>
      <c r="B242" s="1156"/>
      <c r="C242" s="1156"/>
      <c r="D242" s="1156"/>
      <c r="E242" s="1158"/>
      <c r="F242" s="1158"/>
      <c r="G242" s="1158"/>
      <c r="H242" s="1158"/>
      <c r="I242" s="1158"/>
      <c r="J242" s="1158"/>
      <c r="K242" s="1158"/>
      <c r="L242" s="1158"/>
      <c r="M242" s="1158"/>
      <c r="N242" s="1158"/>
      <c r="O242" s="1158"/>
      <c r="P242" s="1158"/>
      <c r="Q242" s="1158"/>
      <c r="R242" s="1158"/>
      <c r="S242" s="1158"/>
      <c r="T242" s="1158"/>
      <c r="U242" s="1158"/>
      <c r="V242" s="1158"/>
      <c r="W242" s="1158"/>
      <c r="X242" s="1158"/>
      <c r="Y242" s="1158"/>
      <c r="Z242" s="1156"/>
      <c r="AA242" s="1156"/>
      <c r="AB242" s="1156"/>
      <c r="AC242" s="1156"/>
      <c r="AD242" s="1156"/>
      <c r="AE242" s="1156"/>
      <c r="AF242" s="1156"/>
      <c r="AG242" s="1156"/>
      <c r="AH242" s="1156"/>
      <c r="AI242" s="1156"/>
    </row>
    <row r="243" spans="1:35" s="1165" customFormat="1">
      <c r="A243" s="1156"/>
      <c r="B243" s="1156"/>
      <c r="C243" s="1156"/>
      <c r="D243" s="1156"/>
      <c r="E243" s="1158"/>
      <c r="F243" s="1158"/>
      <c r="G243" s="1158"/>
      <c r="H243" s="1158"/>
      <c r="I243" s="1158"/>
      <c r="J243" s="1158"/>
      <c r="K243" s="1158"/>
      <c r="L243" s="1158"/>
      <c r="M243" s="1158"/>
      <c r="N243" s="1158"/>
      <c r="O243" s="1158"/>
      <c r="P243" s="1158"/>
      <c r="Q243" s="1158"/>
      <c r="R243" s="1158"/>
      <c r="S243" s="1158"/>
      <c r="T243" s="1158"/>
      <c r="U243" s="1158"/>
      <c r="V243" s="1158"/>
      <c r="W243" s="1158"/>
      <c r="X243" s="1158"/>
      <c r="Y243" s="1158"/>
      <c r="Z243" s="1156"/>
      <c r="AA243" s="1156"/>
      <c r="AB243" s="1156"/>
      <c r="AC243" s="1156"/>
      <c r="AD243" s="1156"/>
      <c r="AE243" s="1156"/>
      <c r="AF243" s="1156"/>
      <c r="AG243" s="1156"/>
      <c r="AH243" s="1156"/>
      <c r="AI243" s="1156"/>
    </row>
    <row r="244" spans="1:35" s="1165" customFormat="1">
      <c r="A244" s="1156"/>
      <c r="B244" s="1156"/>
      <c r="C244" s="1156"/>
      <c r="D244" s="1156"/>
      <c r="E244" s="1158"/>
      <c r="F244" s="1158"/>
      <c r="G244" s="1158"/>
      <c r="H244" s="1158"/>
      <c r="I244" s="1158"/>
      <c r="J244" s="1158"/>
      <c r="K244" s="1158"/>
      <c r="L244" s="1158"/>
      <c r="M244" s="1158"/>
      <c r="N244" s="1158"/>
      <c r="O244" s="1158"/>
      <c r="P244" s="1158"/>
      <c r="Q244" s="1158"/>
      <c r="R244" s="1158"/>
      <c r="S244" s="1158"/>
      <c r="T244" s="1158"/>
      <c r="U244" s="1158"/>
      <c r="V244" s="1158"/>
      <c r="W244" s="1158"/>
      <c r="X244" s="1158"/>
      <c r="Y244" s="1158"/>
      <c r="Z244" s="1156"/>
      <c r="AA244" s="1156"/>
      <c r="AB244" s="1156"/>
      <c r="AC244" s="1156"/>
      <c r="AD244" s="1156"/>
      <c r="AE244" s="1156"/>
      <c r="AF244" s="1156"/>
      <c r="AG244" s="1156"/>
      <c r="AH244" s="1156"/>
      <c r="AI244" s="1156"/>
    </row>
    <row r="245" spans="1:35" s="1165" customFormat="1">
      <c r="A245" s="1156"/>
      <c r="B245" s="1156"/>
      <c r="C245" s="1156"/>
      <c r="D245" s="1156"/>
      <c r="E245" s="1158"/>
      <c r="F245" s="1158"/>
      <c r="G245" s="1158"/>
      <c r="H245" s="1158"/>
      <c r="I245" s="1158"/>
      <c r="J245" s="1158"/>
      <c r="K245" s="1158"/>
      <c r="L245" s="1158"/>
      <c r="M245" s="1158"/>
      <c r="N245" s="1158"/>
      <c r="O245" s="1158"/>
      <c r="P245" s="1158"/>
      <c r="Q245" s="1158"/>
      <c r="R245" s="1158"/>
      <c r="S245" s="1158"/>
      <c r="T245" s="1158"/>
      <c r="U245" s="1158"/>
      <c r="V245" s="1158"/>
      <c r="W245" s="1158"/>
      <c r="X245" s="1158"/>
      <c r="Y245" s="1158"/>
      <c r="Z245" s="1156"/>
      <c r="AA245" s="1156"/>
      <c r="AB245" s="1156"/>
      <c r="AC245" s="1156"/>
      <c r="AD245" s="1156"/>
      <c r="AE245" s="1156"/>
      <c r="AF245" s="1156"/>
      <c r="AG245" s="1156"/>
      <c r="AH245" s="1156"/>
      <c r="AI245" s="1156"/>
    </row>
    <row r="246" spans="1:35" s="1165" customFormat="1">
      <c r="A246" s="1156"/>
      <c r="B246" s="1156"/>
      <c r="C246" s="1156"/>
      <c r="D246" s="1156"/>
      <c r="E246" s="1158"/>
      <c r="F246" s="1158"/>
      <c r="G246" s="1158"/>
      <c r="H246" s="1158"/>
      <c r="I246" s="1158"/>
      <c r="J246" s="1158"/>
      <c r="K246" s="1158"/>
      <c r="L246" s="1158"/>
      <c r="M246" s="1158"/>
      <c r="N246" s="1158"/>
      <c r="O246" s="1158"/>
      <c r="P246" s="1158"/>
      <c r="Q246" s="1158"/>
      <c r="R246" s="1158"/>
      <c r="S246" s="1158"/>
      <c r="T246" s="1158"/>
      <c r="U246" s="1158"/>
      <c r="V246" s="1158"/>
      <c r="W246" s="1158"/>
      <c r="X246" s="1158"/>
      <c r="Y246" s="1158"/>
      <c r="Z246" s="1156"/>
      <c r="AA246" s="1156"/>
      <c r="AB246" s="1156"/>
      <c r="AC246" s="1156"/>
      <c r="AD246" s="1156"/>
      <c r="AE246" s="1156"/>
      <c r="AF246" s="1156"/>
      <c r="AG246" s="1156"/>
      <c r="AH246" s="1156"/>
      <c r="AI246" s="1156"/>
    </row>
    <row r="247" spans="1:35" s="1165" customFormat="1">
      <c r="A247" s="1156"/>
      <c r="B247" s="1156"/>
      <c r="C247" s="1156"/>
      <c r="D247" s="1156"/>
      <c r="E247" s="1158"/>
      <c r="F247" s="1158"/>
      <c r="G247" s="1158"/>
      <c r="H247" s="1158"/>
      <c r="I247" s="1158"/>
      <c r="J247" s="1158"/>
      <c r="K247" s="1158"/>
      <c r="L247" s="1158"/>
      <c r="M247" s="1158"/>
      <c r="N247" s="1158"/>
      <c r="O247" s="1158"/>
      <c r="P247" s="1158"/>
      <c r="Q247" s="1158"/>
      <c r="R247" s="1158"/>
      <c r="S247" s="1158"/>
      <c r="T247" s="1158"/>
      <c r="U247" s="1158"/>
      <c r="V247" s="1158"/>
      <c r="W247" s="1158"/>
      <c r="X247" s="1158"/>
      <c r="Y247" s="1158"/>
      <c r="Z247" s="1156"/>
      <c r="AA247" s="1156"/>
      <c r="AB247" s="1156"/>
      <c r="AC247" s="1156"/>
      <c r="AD247" s="1156"/>
      <c r="AE247" s="1156"/>
      <c r="AF247" s="1156"/>
      <c r="AG247" s="1156"/>
      <c r="AH247" s="1156"/>
      <c r="AI247" s="1156"/>
    </row>
    <row r="248" spans="1:35" s="1165" customFormat="1">
      <c r="A248" s="1156"/>
      <c r="B248" s="1156"/>
      <c r="C248" s="1156"/>
      <c r="D248" s="1156"/>
      <c r="E248" s="1158"/>
      <c r="F248" s="1158"/>
      <c r="G248" s="1158"/>
      <c r="H248" s="1158"/>
      <c r="I248" s="1158"/>
      <c r="J248" s="1158"/>
      <c r="K248" s="1158"/>
      <c r="L248" s="1158"/>
      <c r="M248" s="1158"/>
      <c r="N248" s="1158"/>
      <c r="O248" s="1158"/>
      <c r="P248" s="1158"/>
      <c r="Q248" s="1158"/>
      <c r="R248" s="1158"/>
      <c r="S248" s="1158"/>
      <c r="T248" s="1158"/>
      <c r="U248" s="1158"/>
      <c r="V248" s="1158"/>
      <c r="W248" s="1158"/>
      <c r="X248" s="1158"/>
      <c r="Y248" s="1158"/>
      <c r="Z248" s="1156"/>
      <c r="AA248" s="1156"/>
      <c r="AB248" s="1156"/>
      <c r="AC248" s="1156"/>
      <c r="AD248" s="1156"/>
      <c r="AE248" s="1156"/>
      <c r="AF248" s="1156"/>
      <c r="AG248" s="1156"/>
      <c r="AH248" s="1156"/>
      <c r="AI248" s="1156"/>
    </row>
    <row r="249" spans="1:35" s="1165" customFormat="1">
      <c r="A249" s="1156"/>
      <c r="B249" s="1156"/>
      <c r="C249" s="1156"/>
      <c r="D249" s="1156"/>
      <c r="E249" s="1158"/>
      <c r="F249" s="1158"/>
      <c r="G249" s="1158"/>
      <c r="H249" s="1158"/>
      <c r="I249" s="1158"/>
      <c r="J249" s="1158"/>
      <c r="K249" s="1158"/>
      <c r="L249" s="1158"/>
      <c r="M249" s="1158"/>
      <c r="N249" s="1158"/>
      <c r="O249" s="1158"/>
      <c r="P249" s="1158"/>
      <c r="Q249" s="1158"/>
      <c r="R249" s="1158"/>
      <c r="S249" s="1158"/>
      <c r="T249" s="1158"/>
      <c r="U249" s="1158"/>
      <c r="V249" s="1158"/>
      <c r="W249" s="1158"/>
      <c r="X249" s="1158"/>
      <c r="Y249" s="1158"/>
      <c r="Z249" s="1156"/>
      <c r="AA249" s="1156"/>
      <c r="AB249" s="1156"/>
      <c r="AC249" s="1156"/>
      <c r="AD249" s="1156"/>
      <c r="AE249" s="1156"/>
      <c r="AF249" s="1156"/>
      <c r="AG249" s="1156"/>
      <c r="AH249" s="1156"/>
      <c r="AI249" s="1156"/>
    </row>
    <row r="250" spans="1:35" s="1165" customFormat="1">
      <c r="A250" s="1156"/>
      <c r="B250" s="1156"/>
      <c r="C250" s="1156"/>
      <c r="D250" s="1156"/>
      <c r="E250" s="1158"/>
      <c r="F250" s="1158"/>
      <c r="G250" s="1158"/>
      <c r="H250" s="1158"/>
      <c r="I250" s="1158"/>
      <c r="J250" s="1158"/>
      <c r="K250" s="1158"/>
      <c r="L250" s="1158"/>
      <c r="M250" s="1158"/>
      <c r="N250" s="1158"/>
      <c r="O250" s="1158"/>
      <c r="P250" s="1158"/>
      <c r="Q250" s="1158"/>
      <c r="R250" s="1158"/>
      <c r="S250" s="1158"/>
      <c r="T250" s="1158"/>
      <c r="U250" s="1158"/>
      <c r="V250" s="1158"/>
      <c r="W250" s="1158"/>
      <c r="X250" s="1158"/>
      <c r="Y250" s="1158"/>
      <c r="Z250" s="1156"/>
      <c r="AA250" s="1156"/>
      <c r="AB250" s="1156"/>
      <c r="AC250" s="1156"/>
      <c r="AD250" s="1156"/>
      <c r="AE250" s="1156"/>
      <c r="AF250" s="1156"/>
      <c r="AG250" s="1156"/>
      <c r="AH250" s="1156"/>
      <c r="AI250" s="1156"/>
    </row>
    <row r="251" spans="1:35" s="1165" customFormat="1">
      <c r="A251" s="1156"/>
      <c r="B251" s="1156"/>
      <c r="C251" s="1156"/>
      <c r="D251" s="1156"/>
      <c r="E251" s="1158"/>
      <c r="F251" s="1158"/>
      <c r="G251" s="1158"/>
      <c r="H251" s="1158"/>
      <c r="I251" s="1158"/>
      <c r="J251" s="1158"/>
      <c r="K251" s="1158"/>
      <c r="L251" s="1158"/>
      <c r="M251" s="1158"/>
      <c r="N251" s="1158"/>
      <c r="O251" s="1158"/>
      <c r="P251" s="1158"/>
      <c r="Q251" s="1158"/>
      <c r="R251" s="1158"/>
      <c r="S251" s="1158"/>
      <c r="T251" s="1158"/>
      <c r="U251" s="1158"/>
      <c r="V251" s="1158"/>
      <c r="W251" s="1158"/>
      <c r="X251" s="1158"/>
      <c r="Y251" s="1158"/>
      <c r="Z251" s="1156"/>
      <c r="AA251" s="1156"/>
      <c r="AB251" s="1156"/>
      <c r="AC251" s="1156"/>
      <c r="AD251" s="1156"/>
      <c r="AE251" s="1156"/>
      <c r="AF251" s="1156"/>
      <c r="AG251" s="1156"/>
      <c r="AH251" s="1156"/>
      <c r="AI251" s="1156"/>
    </row>
    <row r="252" spans="1:35" s="1165" customFormat="1">
      <c r="A252" s="1156"/>
      <c r="B252" s="1156"/>
      <c r="C252" s="1156"/>
      <c r="D252" s="1156"/>
      <c r="E252" s="1158"/>
      <c r="F252" s="1158"/>
      <c r="G252" s="1158"/>
      <c r="H252" s="1158"/>
      <c r="I252" s="1158"/>
      <c r="J252" s="1158"/>
      <c r="K252" s="1158"/>
      <c r="L252" s="1158"/>
      <c r="M252" s="1158"/>
      <c r="N252" s="1158"/>
      <c r="O252" s="1158"/>
      <c r="P252" s="1158"/>
      <c r="Q252" s="1158"/>
      <c r="R252" s="1158"/>
      <c r="S252" s="1158"/>
      <c r="T252" s="1158"/>
      <c r="U252" s="1158"/>
      <c r="V252" s="1158"/>
      <c r="W252" s="1158"/>
      <c r="X252" s="1158"/>
      <c r="Y252" s="1158"/>
      <c r="Z252" s="1156"/>
      <c r="AA252" s="1156"/>
      <c r="AB252" s="1156"/>
      <c r="AC252" s="1156"/>
      <c r="AD252" s="1156"/>
      <c r="AE252" s="1156"/>
      <c r="AF252" s="1156"/>
      <c r="AG252" s="1156"/>
      <c r="AH252" s="1156"/>
      <c r="AI252" s="1156"/>
    </row>
    <row r="253" spans="1:35" s="1165" customFormat="1">
      <c r="A253" s="1156"/>
      <c r="B253" s="1156"/>
      <c r="C253" s="1156"/>
      <c r="D253" s="1156"/>
      <c r="E253" s="1158"/>
      <c r="F253" s="1158"/>
      <c r="G253" s="1158"/>
      <c r="H253" s="1158"/>
      <c r="I253" s="1158"/>
      <c r="J253" s="1158"/>
      <c r="K253" s="1158"/>
      <c r="L253" s="1158"/>
      <c r="M253" s="1158"/>
      <c r="N253" s="1158"/>
      <c r="O253" s="1158"/>
      <c r="P253" s="1158"/>
      <c r="Q253" s="1158"/>
      <c r="R253" s="1158"/>
      <c r="S253" s="1158"/>
      <c r="T253" s="1158"/>
      <c r="U253" s="1158"/>
      <c r="V253" s="1158"/>
      <c r="W253" s="1158"/>
      <c r="X253" s="1158"/>
      <c r="Y253" s="1158"/>
      <c r="Z253" s="1156"/>
      <c r="AA253" s="1156"/>
      <c r="AB253" s="1156"/>
      <c r="AC253" s="1156"/>
      <c r="AD253" s="1156"/>
      <c r="AE253" s="1156"/>
      <c r="AF253" s="1156"/>
      <c r="AG253" s="1156"/>
      <c r="AH253" s="1156"/>
      <c r="AI253" s="1156"/>
    </row>
    <row r="254" spans="1:35" s="1165" customFormat="1">
      <c r="A254" s="1156"/>
      <c r="B254" s="1156"/>
      <c r="C254" s="1156"/>
      <c r="D254" s="1156"/>
      <c r="E254" s="1158"/>
      <c r="F254" s="1158"/>
      <c r="G254" s="1158"/>
      <c r="H254" s="1158"/>
      <c r="I254" s="1158"/>
      <c r="J254" s="1158"/>
      <c r="K254" s="1158"/>
      <c r="L254" s="1158"/>
      <c r="M254" s="1158"/>
      <c r="N254" s="1158"/>
      <c r="O254" s="1158"/>
      <c r="P254" s="1158"/>
      <c r="Q254" s="1158"/>
      <c r="R254" s="1158"/>
      <c r="S254" s="1158"/>
      <c r="T254" s="1158"/>
      <c r="U254" s="1158"/>
      <c r="V254" s="1158"/>
      <c r="W254" s="1158"/>
      <c r="X254" s="1158"/>
      <c r="Y254" s="1158"/>
      <c r="Z254" s="1156"/>
      <c r="AA254" s="1156"/>
      <c r="AB254" s="1156"/>
      <c r="AC254" s="1156"/>
      <c r="AD254" s="1156"/>
      <c r="AE254" s="1156"/>
      <c r="AF254" s="1156"/>
      <c r="AG254" s="1156"/>
      <c r="AH254" s="1156"/>
      <c r="AI254" s="1156"/>
    </row>
    <row r="255" spans="1:35" s="1165" customFormat="1">
      <c r="A255" s="1156"/>
      <c r="B255" s="1156"/>
      <c r="C255" s="1156"/>
      <c r="D255" s="1156"/>
      <c r="E255" s="1158"/>
      <c r="F255" s="1158"/>
      <c r="G255" s="1158"/>
      <c r="H255" s="1158"/>
      <c r="I255" s="1158"/>
      <c r="J255" s="1158"/>
      <c r="K255" s="1158"/>
      <c r="L255" s="1158"/>
      <c r="M255" s="1158"/>
      <c r="N255" s="1158"/>
      <c r="O255" s="1158"/>
      <c r="P255" s="1158"/>
      <c r="Q255" s="1158"/>
      <c r="R255" s="1158"/>
      <c r="S255" s="1158"/>
      <c r="T255" s="1158"/>
      <c r="U255" s="1158"/>
      <c r="V255" s="1158"/>
      <c r="W255" s="1158"/>
      <c r="X255" s="1158"/>
      <c r="Y255" s="1158"/>
      <c r="Z255" s="1156"/>
      <c r="AA255" s="1156"/>
      <c r="AB255" s="1156"/>
      <c r="AC255" s="1156"/>
      <c r="AD255" s="1156"/>
      <c r="AE255" s="1156"/>
      <c r="AF255" s="1156"/>
      <c r="AG255" s="1156"/>
      <c r="AH255" s="1156"/>
      <c r="AI255" s="1156"/>
    </row>
    <row r="256" spans="1:35" s="1165" customFormat="1">
      <c r="A256" s="1156"/>
      <c r="B256" s="1156"/>
      <c r="C256" s="1156"/>
      <c r="D256" s="1156"/>
      <c r="E256" s="1158"/>
      <c r="F256" s="1158"/>
      <c r="G256" s="1158"/>
      <c r="H256" s="1158"/>
      <c r="I256" s="1158"/>
      <c r="J256" s="1158"/>
      <c r="K256" s="1158"/>
      <c r="L256" s="1158"/>
      <c r="M256" s="1158"/>
      <c r="N256" s="1158"/>
      <c r="O256" s="1158"/>
      <c r="P256" s="1158"/>
      <c r="Q256" s="1158"/>
      <c r="R256" s="1158"/>
      <c r="S256" s="1158"/>
      <c r="T256" s="1158"/>
      <c r="U256" s="1158"/>
      <c r="V256" s="1158"/>
      <c r="W256" s="1158"/>
      <c r="X256" s="1158"/>
      <c r="Y256" s="1158"/>
      <c r="Z256" s="1156"/>
      <c r="AA256" s="1156"/>
      <c r="AB256" s="1156"/>
      <c r="AC256" s="1156"/>
      <c r="AD256" s="1156"/>
      <c r="AE256" s="1156"/>
      <c r="AF256" s="1156"/>
      <c r="AG256" s="1156"/>
      <c r="AH256" s="1156"/>
      <c r="AI256" s="1156"/>
    </row>
    <row r="257" spans="1:35" s="1165" customFormat="1">
      <c r="A257" s="1156"/>
      <c r="B257" s="1156"/>
      <c r="C257" s="1156"/>
      <c r="D257" s="1156"/>
      <c r="E257" s="1158"/>
      <c r="F257" s="1158"/>
      <c r="G257" s="1158"/>
      <c r="H257" s="1158"/>
      <c r="I257" s="1158"/>
      <c r="J257" s="1158"/>
      <c r="K257" s="1158"/>
      <c r="L257" s="1158"/>
      <c r="M257" s="1158"/>
      <c r="N257" s="1158"/>
      <c r="O257" s="1158"/>
      <c r="P257" s="1158"/>
      <c r="Q257" s="1158"/>
      <c r="R257" s="1158"/>
      <c r="S257" s="1158"/>
      <c r="T257" s="1158"/>
      <c r="U257" s="1158"/>
      <c r="V257" s="1158"/>
      <c r="W257" s="1158"/>
      <c r="X257" s="1158"/>
      <c r="Y257" s="1158"/>
      <c r="Z257" s="1156"/>
      <c r="AA257" s="1156"/>
      <c r="AB257" s="1156"/>
      <c r="AC257" s="1156"/>
      <c r="AD257" s="1156"/>
      <c r="AE257" s="1156"/>
      <c r="AF257" s="1156"/>
      <c r="AG257" s="1156"/>
      <c r="AH257" s="1156"/>
      <c r="AI257" s="1156"/>
    </row>
    <row r="258" spans="1:35" s="1165" customFormat="1">
      <c r="A258" s="1156"/>
      <c r="B258" s="1156"/>
      <c r="C258" s="1156"/>
      <c r="D258" s="1156"/>
      <c r="E258" s="1158"/>
      <c r="F258" s="1158"/>
      <c r="G258" s="1158"/>
      <c r="H258" s="1158"/>
      <c r="I258" s="1158"/>
      <c r="J258" s="1158"/>
      <c r="K258" s="1158"/>
      <c r="L258" s="1158"/>
      <c r="M258" s="1158"/>
      <c r="N258" s="1158"/>
      <c r="O258" s="1158"/>
      <c r="P258" s="1158"/>
      <c r="Q258" s="1158"/>
      <c r="R258" s="1158"/>
      <c r="S258" s="1158"/>
      <c r="T258" s="1158"/>
      <c r="U258" s="1158"/>
      <c r="V258" s="1158"/>
      <c r="W258" s="1158"/>
      <c r="X258" s="1158"/>
      <c r="Y258" s="1158"/>
      <c r="Z258" s="1156"/>
      <c r="AA258" s="1156"/>
      <c r="AB258" s="1156"/>
      <c r="AC258" s="1156"/>
      <c r="AD258" s="1156"/>
      <c r="AE258" s="1156"/>
      <c r="AF258" s="1156"/>
      <c r="AG258" s="1156"/>
      <c r="AH258" s="1156"/>
      <c r="AI258" s="1156"/>
    </row>
    <row r="259" spans="1:35" s="1165" customFormat="1">
      <c r="A259" s="1156"/>
      <c r="B259" s="1156"/>
      <c r="C259" s="1156"/>
      <c r="D259" s="1156"/>
      <c r="E259" s="1158"/>
      <c r="F259" s="1158"/>
      <c r="G259" s="1158"/>
      <c r="H259" s="1158"/>
      <c r="I259" s="1158"/>
      <c r="J259" s="1158"/>
      <c r="K259" s="1158"/>
      <c r="L259" s="1158"/>
      <c r="M259" s="1158"/>
      <c r="N259" s="1158"/>
      <c r="O259" s="1158"/>
      <c r="P259" s="1158"/>
      <c r="Q259" s="1158"/>
      <c r="R259" s="1158"/>
      <c r="S259" s="1158"/>
      <c r="T259" s="1158"/>
      <c r="U259" s="1158"/>
      <c r="V259" s="1158"/>
      <c r="W259" s="1158"/>
      <c r="X259" s="1158"/>
      <c r="Y259" s="1158"/>
      <c r="Z259" s="1156"/>
      <c r="AA259" s="1156"/>
      <c r="AB259" s="1156"/>
      <c r="AC259" s="1156"/>
      <c r="AD259" s="1156"/>
      <c r="AE259" s="1156"/>
      <c r="AF259" s="1156"/>
      <c r="AG259" s="1156"/>
      <c r="AH259" s="1156"/>
      <c r="AI259" s="1156"/>
    </row>
    <row r="260" spans="1:35" s="1165" customFormat="1">
      <c r="A260" s="1156"/>
      <c r="B260" s="1156"/>
      <c r="C260" s="1156"/>
      <c r="D260" s="1156"/>
      <c r="E260" s="1158"/>
      <c r="F260" s="1158"/>
      <c r="G260" s="1158"/>
      <c r="H260" s="1158"/>
      <c r="I260" s="1158"/>
      <c r="J260" s="1158"/>
      <c r="K260" s="1158"/>
      <c r="L260" s="1158"/>
      <c r="M260" s="1158"/>
      <c r="N260" s="1158"/>
      <c r="O260" s="1158"/>
      <c r="P260" s="1158"/>
      <c r="Q260" s="1158"/>
      <c r="R260" s="1158"/>
      <c r="S260" s="1158"/>
      <c r="T260" s="1158"/>
      <c r="U260" s="1158"/>
      <c r="V260" s="1158"/>
      <c r="W260" s="1158"/>
      <c r="X260" s="1158"/>
      <c r="Y260" s="1158"/>
      <c r="Z260" s="1156"/>
      <c r="AA260" s="1156"/>
      <c r="AB260" s="1156"/>
      <c r="AC260" s="1156"/>
      <c r="AD260" s="1156"/>
      <c r="AE260" s="1156"/>
      <c r="AF260" s="1156"/>
      <c r="AG260" s="1156"/>
      <c r="AH260" s="1156"/>
      <c r="AI260" s="1156"/>
    </row>
    <row r="261" spans="1:35" s="1165" customFormat="1">
      <c r="A261" s="1156"/>
      <c r="B261" s="1156"/>
      <c r="C261" s="1156"/>
      <c r="D261" s="1156"/>
      <c r="E261" s="1158"/>
      <c r="F261" s="1158"/>
      <c r="G261" s="1158"/>
      <c r="H261" s="1158"/>
      <c r="I261" s="1158"/>
      <c r="J261" s="1158"/>
      <c r="K261" s="1158"/>
      <c r="L261" s="1158"/>
      <c r="M261" s="1158"/>
      <c r="N261" s="1158"/>
      <c r="O261" s="1158"/>
      <c r="P261" s="1158"/>
      <c r="Q261" s="1158"/>
      <c r="R261" s="1158"/>
      <c r="S261" s="1158"/>
      <c r="T261" s="1158"/>
      <c r="U261" s="1158"/>
      <c r="V261" s="1158"/>
      <c r="W261" s="1158"/>
      <c r="X261" s="1158"/>
      <c r="Y261" s="1158"/>
      <c r="Z261" s="1156"/>
      <c r="AA261" s="1156"/>
      <c r="AB261" s="1156"/>
      <c r="AC261" s="1156"/>
      <c r="AD261" s="1156"/>
      <c r="AE261" s="1156"/>
      <c r="AF261" s="1156"/>
      <c r="AG261" s="1156"/>
      <c r="AH261" s="1156"/>
      <c r="AI261" s="1156"/>
    </row>
    <row r="262" spans="1:35" s="1165" customFormat="1">
      <c r="A262" s="1156"/>
      <c r="B262" s="1156"/>
      <c r="C262" s="1156"/>
      <c r="D262" s="1156"/>
      <c r="E262" s="1158"/>
      <c r="F262" s="1158"/>
      <c r="G262" s="1158"/>
      <c r="H262" s="1158"/>
      <c r="I262" s="1158"/>
      <c r="J262" s="1158"/>
      <c r="K262" s="1158"/>
      <c r="L262" s="1158"/>
      <c r="M262" s="1158"/>
      <c r="N262" s="1158"/>
      <c r="O262" s="1158"/>
      <c r="P262" s="1158"/>
      <c r="Q262" s="1158"/>
      <c r="R262" s="1158"/>
      <c r="S262" s="1158"/>
      <c r="T262" s="1158"/>
      <c r="U262" s="1158"/>
      <c r="V262" s="1158"/>
      <c r="W262" s="1158"/>
      <c r="X262" s="1158"/>
      <c r="Y262" s="1158"/>
      <c r="Z262" s="1156"/>
      <c r="AA262" s="1156"/>
      <c r="AB262" s="1156"/>
      <c r="AC262" s="1156"/>
      <c r="AD262" s="1156"/>
      <c r="AE262" s="1156"/>
      <c r="AF262" s="1156"/>
      <c r="AG262" s="1156"/>
      <c r="AH262" s="1156"/>
      <c r="AI262" s="1156"/>
    </row>
    <row r="263" spans="1:35" s="1165" customFormat="1">
      <c r="A263" s="1156"/>
      <c r="B263" s="1156"/>
      <c r="C263" s="1156"/>
      <c r="D263" s="1156"/>
      <c r="E263" s="1158"/>
      <c r="F263" s="1158"/>
      <c r="G263" s="1158"/>
      <c r="H263" s="1158"/>
      <c r="I263" s="1158"/>
      <c r="J263" s="1158"/>
      <c r="K263" s="1158"/>
      <c r="L263" s="1158"/>
      <c r="M263" s="1158"/>
      <c r="N263" s="1158"/>
      <c r="O263" s="1158"/>
      <c r="P263" s="1158"/>
      <c r="Q263" s="1158"/>
      <c r="R263" s="1158"/>
      <c r="S263" s="1158"/>
      <c r="T263" s="1158"/>
      <c r="U263" s="1158"/>
      <c r="V263" s="1158"/>
      <c r="W263" s="1158"/>
      <c r="X263" s="1158"/>
      <c r="Y263" s="1158"/>
      <c r="Z263" s="1156"/>
      <c r="AA263" s="1156"/>
      <c r="AB263" s="1156"/>
      <c r="AC263" s="1156"/>
      <c r="AD263" s="1156"/>
      <c r="AE263" s="1156"/>
      <c r="AF263" s="1156"/>
      <c r="AG263" s="1156"/>
      <c r="AH263" s="1156"/>
      <c r="AI263" s="1156"/>
    </row>
    <row r="264" spans="1:35" s="1165" customFormat="1">
      <c r="A264" s="1156"/>
      <c r="B264" s="1156"/>
      <c r="C264" s="1156"/>
      <c r="D264" s="1156"/>
      <c r="E264" s="1158"/>
      <c r="F264" s="1158"/>
      <c r="G264" s="1158"/>
      <c r="H264" s="1158"/>
      <c r="I264" s="1158"/>
      <c r="J264" s="1158"/>
      <c r="K264" s="1158"/>
      <c r="L264" s="1158"/>
      <c r="M264" s="1158"/>
      <c r="N264" s="1158"/>
      <c r="O264" s="1158"/>
      <c r="P264" s="1158"/>
      <c r="Q264" s="1158"/>
      <c r="R264" s="1158"/>
      <c r="S264" s="1158"/>
      <c r="T264" s="1158"/>
      <c r="U264" s="1158"/>
      <c r="V264" s="1158"/>
      <c r="W264" s="1158"/>
      <c r="X264" s="1158"/>
      <c r="Y264" s="1158"/>
      <c r="Z264" s="1156"/>
      <c r="AA264" s="1156"/>
      <c r="AB264" s="1156"/>
      <c r="AC264" s="1156"/>
      <c r="AD264" s="1156"/>
      <c r="AE264" s="1156"/>
      <c r="AF264" s="1156"/>
      <c r="AG264" s="1156"/>
      <c r="AH264" s="1156"/>
      <c r="AI264" s="1156"/>
    </row>
    <row r="265" spans="1:35" s="1165" customFormat="1">
      <c r="A265" s="1156"/>
      <c r="B265" s="1156"/>
      <c r="C265" s="1156"/>
      <c r="D265" s="1156"/>
      <c r="E265" s="1158"/>
      <c r="F265" s="1158"/>
      <c r="G265" s="1158"/>
      <c r="H265" s="1158"/>
      <c r="I265" s="1158"/>
      <c r="J265" s="1158"/>
      <c r="K265" s="1158"/>
      <c r="L265" s="1158"/>
      <c r="M265" s="1158"/>
      <c r="N265" s="1158"/>
      <c r="O265" s="1158"/>
      <c r="P265" s="1158"/>
      <c r="Q265" s="1158"/>
      <c r="R265" s="1158"/>
      <c r="S265" s="1158"/>
      <c r="T265" s="1158"/>
      <c r="U265" s="1158"/>
      <c r="V265" s="1158"/>
      <c r="W265" s="1158"/>
      <c r="X265" s="1158"/>
      <c r="Y265" s="1158"/>
      <c r="Z265" s="1156"/>
      <c r="AA265" s="1156"/>
      <c r="AB265" s="1156"/>
      <c r="AC265" s="1156"/>
      <c r="AD265" s="1156"/>
      <c r="AE265" s="1156"/>
      <c r="AF265" s="1156"/>
      <c r="AG265" s="1156"/>
      <c r="AH265" s="1156"/>
      <c r="AI265" s="1156"/>
    </row>
    <row r="266" spans="1:35" s="1165" customFormat="1">
      <c r="A266" s="1156"/>
      <c r="B266" s="1156"/>
      <c r="C266" s="1156"/>
      <c r="D266" s="1156"/>
      <c r="E266" s="1158"/>
      <c r="F266" s="1158"/>
      <c r="G266" s="1158"/>
      <c r="H266" s="1158"/>
      <c r="I266" s="1158"/>
      <c r="J266" s="1158"/>
      <c r="K266" s="1158"/>
      <c r="L266" s="1158"/>
      <c r="M266" s="1158"/>
      <c r="N266" s="1158"/>
      <c r="O266" s="1158"/>
      <c r="P266" s="1158"/>
      <c r="Q266" s="1158"/>
      <c r="R266" s="1158"/>
      <c r="S266" s="1158"/>
      <c r="T266" s="1158"/>
      <c r="U266" s="1158"/>
      <c r="V266" s="1158"/>
      <c r="W266" s="1158"/>
      <c r="X266" s="1158"/>
      <c r="Y266" s="1158"/>
      <c r="Z266" s="1156"/>
      <c r="AA266" s="1156"/>
      <c r="AB266" s="1156"/>
      <c r="AC266" s="1156"/>
      <c r="AD266" s="1156"/>
      <c r="AE266" s="1156"/>
      <c r="AF266" s="1156"/>
      <c r="AG266" s="1156"/>
      <c r="AH266" s="1156"/>
      <c r="AI266" s="1156"/>
    </row>
    <row r="267" spans="1:35" s="1165" customFormat="1">
      <c r="A267" s="1156"/>
      <c r="B267" s="1156"/>
      <c r="C267" s="1156"/>
      <c r="D267" s="1156"/>
      <c r="E267" s="1158"/>
      <c r="F267" s="1158"/>
      <c r="G267" s="1158"/>
      <c r="H267" s="1158"/>
      <c r="I267" s="1158"/>
      <c r="J267" s="1158"/>
      <c r="K267" s="1158"/>
      <c r="L267" s="1158"/>
      <c r="M267" s="1158"/>
      <c r="N267" s="1158"/>
      <c r="O267" s="1158"/>
      <c r="P267" s="1158"/>
      <c r="Q267" s="1158"/>
      <c r="R267" s="1158"/>
      <c r="S267" s="1158"/>
      <c r="T267" s="1158"/>
      <c r="U267" s="1158"/>
      <c r="V267" s="1158"/>
      <c r="W267" s="1158"/>
      <c r="X267" s="1158"/>
      <c r="Y267" s="1158"/>
      <c r="Z267" s="1156"/>
      <c r="AA267" s="1156"/>
      <c r="AB267" s="1156"/>
      <c r="AC267" s="1156"/>
      <c r="AD267" s="1156"/>
      <c r="AE267" s="1156"/>
      <c r="AF267" s="1156"/>
      <c r="AG267" s="1156"/>
      <c r="AH267" s="1156"/>
      <c r="AI267" s="1156"/>
    </row>
    <row r="268" spans="1:35" s="1165" customFormat="1">
      <c r="A268" s="1156"/>
      <c r="B268" s="1156"/>
      <c r="C268" s="1156"/>
      <c r="D268" s="1156"/>
      <c r="E268" s="1158"/>
      <c r="F268" s="1158"/>
      <c r="G268" s="1158"/>
      <c r="H268" s="1158"/>
      <c r="I268" s="1158"/>
      <c r="J268" s="1158"/>
      <c r="K268" s="1158"/>
      <c r="L268" s="1158"/>
      <c r="M268" s="1158"/>
      <c r="N268" s="1158"/>
      <c r="O268" s="1158"/>
      <c r="P268" s="1158"/>
      <c r="Q268" s="1158"/>
      <c r="R268" s="1158"/>
      <c r="S268" s="1158"/>
      <c r="T268" s="1158"/>
      <c r="U268" s="1158"/>
      <c r="V268" s="1158"/>
      <c r="W268" s="1158"/>
      <c r="X268" s="1158"/>
      <c r="Y268" s="1158"/>
      <c r="Z268" s="1156"/>
      <c r="AA268" s="1156"/>
      <c r="AB268" s="1156"/>
      <c r="AC268" s="1156"/>
      <c r="AD268" s="1156"/>
      <c r="AE268" s="1156"/>
      <c r="AF268" s="1156"/>
      <c r="AG268" s="1156"/>
      <c r="AH268" s="1156"/>
      <c r="AI268" s="1156"/>
    </row>
    <row r="269" spans="1:35" s="1165" customFormat="1">
      <c r="A269" s="1156"/>
      <c r="B269" s="1156"/>
      <c r="C269" s="1156"/>
      <c r="D269" s="1156"/>
      <c r="E269" s="1158"/>
      <c r="F269" s="1158"/>
      <c r="G269" s="1158"/>
      <c r="H269" s="1158"/>
      <c r="I269" s="1158"/>
      <c r="J269" s="1158"/>
      <c r="K269" s="1158"/>
      <c r="L269" s="1158"/>
      <c r="M269" s="1158"/>
      <c r="N269" s="1158"/>
      <c r="O269" s="1158"/>
      <c r="P269" s="1158"/>
      <c r="Q269" s="1158"/>
      <c r="R269" s="1158"/>
      <c r="S269" s="1158"/>
      <c r="T269" s="1158"/>
      <c r="U269" s="1158"/>
      <c r="V269" s="1158"/>
      <c r="W269" s="1158"/>
      <c r="X269" s="1158"/>
      <c r="Y269" s="1158"/>
      <c r="Z269" s="1156"/>
      <c r="AA269" s="1156"/>
      <c r="AB269" s="1156"/>
      <c r="AC269" s="1156"/>
      <c r="AD269" s="1156"/>
      <c r="AE269" s="1156"/>
      <c r="AF269" s="1156"/>
      <c r="AG269" s="1156"/>
      <c r="AH269" s="1156"/>
      <c r="AI269" s="1156"/>
    </row>
    <row r="270" spans="1:35" s="1165" customFormat="1">
      <c r="A270" s="1156"/>
      <c r="B270" s="1156"/>
      <c r="C270" s="1156"/>
      <c r="D270" s="1156"/>
      <c r="E270" s="1158"/>
      <c r="F270" s="1158"/>
      <c r="G270" s="1158"/>
      <c r="H270" s="1158"/>
      <c r="I270" s="1158"/>
      <c r="J270" s="1158"/>
      <c r="K270" s="1158"/>
      <c r="L270" s="1158"/>
      <c r="M270" s="1158"/>
      <c r="N270" s="1158"/>
      <c r="O270" s="1158"/>
      <c r="P270" s="1158"/>
      <c r="Q270" s="1158"/>
      <c r="R270" s="1158"/>
      <c r="S270" s="1158"/>
      <c r="T270" s="1158"/>
      <c r="U270" s="1158"/>
      <c r="V270" s="1158"/>
      <c r="W270" s="1158"/>
      <c r="X270" s="1158"/>
      <c r="Y270" s="1158"/>
      <c r="Z270" s="1156"/>
      <c r="AA270" s="1156"/>
      <c r="AB270" s="1156"/>
      <c r="AC270" s="1156"/>
      <c r="AD270" s="1156"/>
      <c r="AE270" s="1156"/>
      <c r="AF270" s="1156"/>
      <c r="AG270" s="1156"/>
      <c r="AH270" s="1156"/>
      <c r="AI270" s="1156"/>
    </row>
    <row r="271" spans="1:35" s="1165" customFormat="1">
      <c r="A271" s="1156"/>
      <c r="B271" s="1156"/>
      <c r="C271" s="1156"/>
      <c r="D271" s="1156"/>
      <c r="E271" s="1158"/>
      <c r="F271" s="1158"/>
      <c r="G271" s="1158"/>
      <c r="H271" s="1158"/>
      <c r="I271" s="1158"/>
      <c r="J271" s="1158"/>
      <c r="K271" s="1158"/>
      <c r="L271" s="1158"/>
      <c r="M271" s="1158"/>
      <c r="N271" s="1158"/>
      <c r="O271" s="1158"/>
      <c r="P271" s="1158"/>
      <c r="Q271" s="1158"/>
      <c r="R271" s="1158"/>
      <c r="S271" s="1158"/>
      <c r="T271" s="1158"/>
      <c r="U271" s="1158"/>
      <c r="V271" s="1158"/>
      <c r="W271" s="1158"/>
      <c r="X271" s="1158"/>
      <c r="Y271" s="1158"/>
      <c r="Z271" s="1156"/>
      <c r="AA271" s="1156"/>
      <c r="AB271" s="1156"/>
      <c r="AC271" s="1156"/>
      <c r="AD271" s="1156"/>
      <c r="AE271" s="1156"/>
      <c r="AF271" s="1156"/>
      <c r="AG271" s="1156"/>
      <c r="AH271" s="1156"/>
      <c r="AI271" s="1156"/>
    </row>
    <row r="272" spans="1:35" s="1165" customFormat="1">
      <c r="A272" s="1156"/>
      <c r="B272" s="1156"/>
      <c r="C272" s="1156"/>
      <c r="D272" s="1156"/>
      <c r="E272" s="1158"/>
      <c r="F272" s="1158"/>
      <c r="G272" s="1158"/>
      <c r="H272" s="1158"/>
      <c r="I272" s="1158"/>
      <c r="J272" s="1158"/>
      <c r="K272" s="1158"/>
      <c r="L272" s="1158"/>
      <c r="M272" s="1158"/>
      <c r="N272" s="1158"/>
      <c r="O272" s="1158"/>
      <c r="P272" s="1158"/>
      <c r="Q272" s="1158"/>
      <c r="R272" s="1158"/>
      <c r="S272" s="1158"/>
      <c r="T272" s="1158"/>
      <c r="U272" s="1158"/>
      <c r="V272" s="1158"/>
      <c r="W272" s="1158"/>
      <c r="X272" s="1158"/>
      <c r="Y272" s="1158"/>
      <c r="Z272" s="1156"/>
      <c r="AA272" s="1156"/>
      <c r="AB272" s="1156"/>
      <c r="AC272" s="1156"/>
      <c r="AD272" s="1156"/>
      <c r="AE272" s="1156"/>
      <c r="AF272" s="1156"/>
      <c r="AG272" s="1156"/>
      <c r="AH272" s="1156"/>
      <c r="AI272" s="1156"/>
    </row>
    <row r="273" spans="1:35" s="1165" customFormat="1">
      <c r="A273" s="1156"/>
      <c r="B273" s="1156"/>
      <c r="C273" s="1156"/>
      <c r="D273" s="1156"/>
      <c r="E273" s="1158"/>
      <c r="F273" s="1158"/>
      <c r="G273" s="1158"/>
      <c r="H273" s="1158"/>
      <c r="I273" s="1158"/>
      <c r="J273" s="1158"/>
      <c r="K273" s="1158"/>
      <c r="L273" s="1158"/>
      <c r="M273" s="1158"/>
      <c r="N273" s="1158"/>
      <c r="O273" s="1158"/>
      <c r="P273" s="1158"/>
      <c r="Q273" s="1158"/>
      <c r="R273" s="1158"/>
      <c r="S273" s="1158"/>
      <c r="T273" s="1158"/>
      <c r="U273" s="1158"/>
      <c r="V273" s="1158"/>
      <c r="W273" s="1158"/>
      <c r="X273" s="1158"/>
      <c r="Y273" s="1158"/>
      <c r="Z273" s="1156"/>
      <c r="AA273" s="1156"/>
      <c r="AB273" s="1156"/>
      <c r="AC273" s="1156"/>
      <c r="AD273" s="1156"/>
      <c r="AE273" s="1156"/>
      <c r="AF273" s="1156"/>
      <c r="AG273" s="1156"/>
      <c r="AH273" s="1156"/>
      <c r="AI273" s="1156"/>
    </row>
    <row r="274" spans="1:35" s="1165" customFormat="1">
      <c r="A274" s="1156"/>
      <c r="B274" s="1156"/>
      <c r="C274" s="1156"/>
      <c r="D274" s="1156"/>
      <c r="E274" s="1158"/>
      <c r="F274" s="1158"/>
      <c r="G274" s="1158"/>
      <c r="H274" s="1158"/>
      <c r="I274" s="1158"/>
      <c r="J274" s="1158"/>
      <c r="K274" s="1158"/>
      <c r="L274" s="1158"/>
      <c r="M274" s="1158"/>
      <c r="N274" s="1158"/>
      <c r="O274" s="1158"/>
      <c r="P274" s="1158"/>
      <c r="Q274" s="1158"/>
      <c r="R274" s="1158"/>
      <c r="S274" s="1158"/>
      <c r="T274" s="1158"/>
      <c r="U274" s="1158"/>
      <c r="V274" s="1158"/>
      <c r="W274" s="1158"/>
      <c r="X274" s="1158"/>
      <c r="Y274" s="1158"/>
      <c r="Z274" s="1156"/>
      <c r="AA274" s="1156"/>
      <c r="AB274" s="1156"/>
      <c r="AC274" s="1156"/>
      <c r="AD274" s="1156"/>
      <c r="AE274" s="1156"/>
      <c r="AF274" s="1156"/>
      <c r="AG274" s="1156"/>
      <c r="AH274" s="1156"/>
      <c r="AI274" s="1156"/>
    </row>
    <row r="275" spans="1:35" s="1165" customFormat="1">
      <c r="A275" s="1156"/>
      <c r="B275" s="1156"/>
      <c r="C275" s="1156"/>
      <c r="D275" s="1156"/>
      <c r="E275" s="1158"/>
      <c r="F275" s="1158"/>
      <c r="G275" s="1158"/>
      <c r="H275" s="1158"/>
      <c r="I275" s="1158"/>
      <c r="J275" s="1158"/>
      <c r="K275" s="1158"/>
      <c r="L275" s="1158"/>
      <c r="M275" s="1158"/>
      <c r="N275" s="1158"/>
      <c r="O275" s="1158"/>
      <c r="P275" s="1158"/>
      <c r="Q275" s="1158"/>
      <c r="R275" s="1158"/>
      <c r="S275" s="1158"/>
      <c r="T275" s="1158"/>
      <c r="U275" s="1158"/>
      <c r="V275" s="1158"/>
      <c r="W275" s="1158"/>
      <c r="X275" s="1158"/>
      <c r="Y275" s="1158"/>
      <c r="Z275" s="1156"/>
      <c r="AA275" s="1156"/>
      <c r="AB275" s="1156"/>
      <c r="AC275" s="1156"/>
      <c r="AD275" s="1156"/>
      <c r="AE275" s="1156"/>
      <c r="AF275" s="1156"/>
      <c r="AG275" s="1156"/>
      <c r="AH275" s="1156"/>
      <c r="AI275" s="1156"/>
    </row>
    <row r="276" spans="1:35" s="1165" customFormat="1">
      <c r="A276" s="1156"/>
      <c r="B276" s="1156"/>
      <c r="C276" s="1156"/>
      <c r="D276" s="1156"/>
      <c r="E276" s="1158"/>
      <c r="F276" s="1158"/>
      <c r="G276" s="1158"/>
      <c r="H276" s="1158"/>
      <c r="I276" s="1158"/>
      <c r="J276" s="1158"/>
      <c r="K276" s="1158"/>
      <c r="L276" s="1158"/>
      <c r="M276" s="1158"/>
      <c r="N276" s="1158"/>
      <c r="O276" s="1158"/>
      <c r="P276" s="1158"/>
      <c r="Q276" s="1158"/>
      <c r="R276" s="1158"/>
      <c r="S276" s="1158"/>
      <c r="T276" s="1158"/>
      <c r="U276" s="1158"/>
      <c r="V276" s="1158"/>
      <c r="W276" s="1158"/>
      <c r="X276" s="1158"/>
      <c r="Y276" s="1158"/>
      <c r="Z276" s="1156"/>
      <c r="AA276" s="1156"/>
      <c r="AB276" s="1156"/>
      <c r="AC276" s="1156"/>
      <c r="AD276" s="1156"/>
      <c r="AE276" s="1156"/>
      <c r="AF276" s="1156"/>
      <c r="AG276" s="1156"/>
      <c r="AH276" s="1156"/>
      <c r="AI276" s="1156"/>
    </row>
    <row r="277" spans="1:35" s="1165" customFormat="1">
      <c r="A277" s="1156"/>
      <c r="B277" s="1156"/>
      <c r="C277" s="1156"/>
      <c r="D277" s="1156"/>
      <c r="E277" s="1158"/>
      <c r="F277" s="1158"/>
      <c r="G277" s="1158"/>
      <c r="H277" s="1158"/>
      <c r="I277" s="1158"/>
      <c r="J277" s="1158"/>
      <c r="K277" s="1158"/>
      <c r="L277" s="1158"/>
      <c r="M277" s="1158"/>
      <c r="N277" s="1158"/>
      <c r="O277" s="1158"/>
      <c r="P277" s="1158"/>
      <c r="Q277" s="1158"/>
      <c r="R277" s="1158"/>
      <c r="S277" s="1158"/>
      <c r="T277" s="1158"/>
      <c r="U277" s="1158"/>
      <c r="V277" s="1158"/>
      <c r="W277" s="1158"/>
      <c r="X277" s="1158"/>
      <c r="Y277" s="1158"/>
      <c r="Z277" s="1156"/>
      <c r="AA277" s="1156"/>
      <c r="AB277" s="1156"/>
      <c r="AC277" s="1156"/>
      <c r="AD277" s="1156"/>
      <c r="AE277" s="1156"/>
      <c r="AF277" s="1156"/>
      <c r="AG277" s="1156"/>
      <c r="AH277" s="1156"/>
      <c r="AI277" s="1156"/>
    </row>
    <row r="278" spans="1:35" s="1165" customFormat="1">
      <c r="A278" s="1156"/>
      <c r="B278" s="1156"/>
      <c r="C278" s="1156"/>
      <c r="D278" s="1156"/>
      <c r="E278" s="1158"/>
      <c r="F278" s="1158"/>
      <c r="G278" s="1158"/>
      <c r="H278" s="1158"/>
      <c r="I278" s="1158"/>
      <c r="J278" s="1158"/>
      <c r="K278" s="1158"/>
      <c r="L278" s="1158"/>
      <c r="M278" s="1158"/>
      <c r="N278" s="1158"/>
      <c r="O278" s="1158"/>
      <c r="P278" s="1158"/>
      <c r="Q278" s="1158"/>
      <c r="R278" s="1158"/>
      <c r="S278" s="1158"/>
      <c r="T278" s="1158"/>
      <c r="U278" s="1158"/>
      <c r="V278" s="1158"/>
      <c r="W278" s="1158"/>
      <c r="X278" s="1158"/>
      <c r="Y278" s="1158"/>
      <c r="Z278" s="1156"/>
      <c r="AA278" s="1156"/>
      <c r="AB278" s="1156"/>
      <c r="AC278" s="1156"/>
      <c r="AD278" s="1156"/>
      <c r="AE278" s="1156"/>
      <c r="AF278" s="1156"/>
      <c r="AG278" s="1156"/>
      <c r="AH278" s="1156"/>
      <c r="AI278" s="1156"/>
    </row>
    <row r="279" spans="1:35" s="1165" customFormat="1">
      <c r="A279" s="1156"/>
      <c r="B279" s="1156"/>
      <c r="C279" s="1156"/>
      <c r="D279" s="1156"/>
      <c r="E279" s="1158"/>
      <c r="F279" s="1158"/>
      <c r="G279" s="1158"/>
      <c r="H279" s="1158"/>
      <c r="I279" s="1158"/>
      <c r="J279" s="1158"/>
      <c r="K279" s="1158"/>
      <c r="L279" s="1158"/>
      <c r="M279" s="1158"/>
      <c r="N279" s="1158"/>
      <c r="O279" s="1158"/>
      <c r="P279" s="1158"/>
      <c r="Q279" s="1158"/>
      <c r="R279" s="1158"/>
      <c r="S279" s="1158"/>
      <c r="T279" s="1158"/>
      <c r="U279" s="1158"/>
      <c r="V279" s="1158"/>
      <c r="W279" s="1158"/>
      <c r="X279" s="1158"/>
      <c r="Y279" s="1158"/>
      <c r="Z279" s="1156"/>
      <c r="AA279" s="1156"/>
      <c r="AB279" s="1156"/>
      <c r="AC279" s="1156"/>
      <c r="AD279" s="1156"/>
      <c r="AE279" s="1156"/>
      <c r="AF279" s="1156"/>
      <c r="AG279" s="1156"/>
      <c r="AH279" s="1156"/>
      <c r="AI279" s="1156"/>
    </row>
    <row r="280" spans="1:35" s="1165" customFormat="1">
      <c r="A280" s="1156"/>
      <c r="B280" s="1156"/>
      <c r="C280" s="1156"/>
      <c r="D280" s="1156"/>
      <c r="E280" s="1158"/>
      <c r="F280" s="1158"/>
      <c r="G280" s="1158"/>
      <c r="H280" s="1158"/>
      <c r="I280" s="1158"/>
      <c r="J280" s="1158"/>
      <c r="K280" s="1158"/>
      <c r="L280" s="1158"/>
      <c r="M280" s="1158"/>
      <c r="N280" s="1158"/>
      <c r="O280" s="1158"/>
      <c r="P280" s="1158"/>
      <c r="Q280" s="1158"/>
      <c r="R280" s="1158"/>
      <c r="S280" s="1158"/>
      <c r="T280" s="1158"/>
      <c r="U280" s="1158"/>
      <c r="V280" s="1158"/>
      <c r="W280" s="1158"/>
      <c r="X280" s="1158"/>
      <c r="Y280" s="1158"/>
      <c r="Z280" s="1156"/>
      <c r="AA280" s="1156"/>
      <c r="AB280" s="1156"/>
      <c r="AC280" s="1156"/>
      <c r="AD280" s="1156"/>
      <c r="AE280" s="1156"/>
      <c r="AF280" s="1156"/>
      <c r="AG280" s="1156"/>
      <c r="AH280" s="1156"/>
      <c r="AI280" s="1156"/>
    </row>
    <row r="281" spans="1:35" s="1165" customFormat="1">
      <c r="A281" s="1156"/>
      <c r="B281" s="1156"/>
      <c r="C281" s="1156"/>
      <c r="D281" s="1156"/>
      <c r="E281" s="1158"/>
      <c r="F281" s="1158"/>
      <c r="G281" s="1158"/>
      <c r="H281" s="1158"/>
      <c r="I281" s="1158"/>
      <c r="J281" s="1158"/>
      <c r="K281" s="1158"/>
      <c r="L281" s="1158"/>
      <c r="M281" s="1158"/>
      <c r="N281" s="1158"/>
      <c r="O281" s="1158"/>
      <c r="P281" s="1158"/>
      <c r="Q281" s="1158"/>
      <c r="R281" s="1158"/>
      <c r="S281" s="1158"/>
      <c r="T281" s="1158"/>
      <c r="U281" s="1158"/>
      <c r="V281" s="1158"/>
      <c r="W281" s="1158"/>
      <c r="X281" s="1158"/>
      <c r="Y281" s="1158"/>
      <c r="Z281" s="1156"/>
      <c r="AA281" s="1156"/>
      <c r="AB281" s="1156"/>
      <c r="AC281" s="1156"/>
      <c r="AD281" s="1156"/>
      <c r="AE281" s="1156"/>
      <c r="AF281" s="1156"/>
      <c r="AG281" s="1156"/>
      <c r="AH281" s="1156"/>
      <c r="AI281" s="1156"/>
    </row>
    <row r="282" spans="1:35" s="1165" customFormat="1">
      <c r="A282" s="1156"/>
      <c r="B282" s="1156"/>
      <c r="C282" s="1156"/>
      <c r="D282" s="1156"/>
      <c r="E282" s="1158"/>
      <c r="F282" s="1158"/>
      <c r="G282" s="1158"/>
      <c r="H282" s="1158"/>
      <c r="I282" s="1158"/>
      <c r="J282" s="1158"/>
      <c r="K282" s="1158"/>
      <c r="L282" s="1158"/>
      <c r="M282" s="1158"/>
      <c r="N282" s="1158"/>
      <c r="O282" s="1158"/>
      <c r="P282" s="1158"/>
      <c r="Q282" s="1158"/>
      <c r="R282" s="1158"/>
      <c r="S282" s="1158"/>
      <c r="T282" s="1158"/>
      <c r="U282" s="1158"/>
      <c r="V282" s="1158"/>
      <c r="W282" s="1158"/>
      <c r="X282" s="1158"/>
      <c r="Y282" s="1158"/>
      <c r="Z282" s="1156"/>
      <c r="AA282" s="1156"/>
      <c r="AB282" s="1156"/>
      <c r="AC282" s="1156"/>
      <c r="AD282" s="1156"/>
      <c r="AE282" s="1156"/>
      <c r="AF282" s="1156"/>
      <c r="AG282" s="1156"/>
      <c r="AH282" s="1156"/>
      <c r="AI282" s="1156"/>
    </row>
    <row r="283" spans="1:35" s="1165" customFormat="1">
      <c r="A283" s="1156"/>
      <c r="B283" s="1156"/>
      <c r="C283" s="1156"/>
      <c r="D283" s="1156"/>
      <c r="E283" s="1158"/>
      <c r="F283" s="1158"/>
      <c r="G283" s="1158"/>
      <c r="H283" s="1158"/>
      <c r="I283" s="1158"/>
      <c r="J283" s="1158"/>
      <c r="K283" s="1158"/>
      <c r="L283" s="1158"/>
      <c r="M283" s="1158"/>
      <c r="N283" s="1158"/>
      <c r="O283" s="1158"/>
      <c r="P283" s="1158"/>
      <c r="Q283" s="1158"/>
      <c r="R283" s="1158"/>
      <c r="S283" s="1158"/>
      <c r="T283" s="1158"/>
      <c r="U283" s="1158"/>
      <c r="V283" s="1158"/>
      <c r="W283" s="1158"/>
      <c r="X283" s="1158"/>
      <c r="Y283" s="1158"/>
      <c r="Z283" s="1156"/>
      <c r="AA283" s="1156"/>
      <c r="AB283" s="1156"/>
      <c r="AC283" s="1156"/>
      <c r="AD283" s="1156"/>
      <c r="AE283" s="1156"/>
      <c r="AF283" s="1156"/>
      <c r="AG283" s="1156"/>
      <c r="AH283" s="1156"/>
      <c r="AI283" s="1156"/>
    </row>
    <row r="284" spans="1:35" s="1165" customFormat="1">
      <c r="A284" s="1156"/>
      <c r="B284" s="1156"/>
      <c r="C284" s="1156"/>
      <c r="D284" s="1156"/>
      <c r="E284" s="1158"/>
      <c r="F284" s="1158"/>
      <c r="G284" s="1158"/>
      <c r="H284" s="1158"/>
      <c r="I284" s="1158"/>
      <c r="J284" s="1158"/>
      <c r="K284" s="1158"/>
      <c r="L284" s="1158"/>
      <c r="M284" s="1158"/>
      <c r="N284" s="1158"/>
      <c r="O284" s="1158"/>
      <c r="P284" s="1158"/>
      <c r="Q284" s="1158"/>
      <c r="R284" s="1158"/>
      <c r="S284" s="1158"/>
      <c r="T284" s="1158"/>
      <c r="U284" s="1158"/>
      <c r="V284" s="1158"/>
      <c r="W284" s="1158"/>
      <c r="X284" s="1158"/>
      <c r="Y284" s="1158"/>
      <c r="Z284" s="1156"/>
      <c r="AA284" s="1156"/>
      <c r="AB284" s="1156"/>
      <c r="AC284" s="1156"/>
      <c r="AD284" s="1156"/>
      <c r="AE284" s="1156"/>
      <c r="AF284" s="1156"/>
      <c r="AG284" s="1156"/>
      <c r="AH284" s="1156"/>
      <c r="AI284" s="1156"/>
    </row>
    <row r="285" spans="1:35" s="1165" customFormat="1">
      <c r="A285" s="1156"/>
      <c r="B285" s="1156"/>
      <c r="C285" s="1156"/>
      <c r="D285" s="1156"/>
      <c r="E285" s="1158"/>
      <c r="F285" s="1158"/>
      <c r="G285" s="1158"/>
      <c r="H285" s="1158"/>
      <c r="I285" s="1158"/>
      <c r="J285" s="1158"/>
      <c r="K285" s="1158"/>
      <c r="L285" s="1158"/>
      <c r="M285" s="1158"/>
      <c r="N285" s="1158"/>
      <c r="O285" s="1158"/>
      <c r="P285" s="1158"/>
      <c r="Q285" s="1158"/>
      <c r="R285" s="1158"/>
      <c r="S285" s="1158"/>
      <c r="T285" s="1158"/>
      <c r="U285" s="1158"/>
      <c r="V285" s="1158"/>
      <c r="W285" s="1158"/>
      <c r="X285" s="1158"/>
      <c r="Y285" s="1158"/>
      <c r="Z285" s="1156"/>
      <c r="AA285" s="1156"/>
      <c r="AB285" s="1156"/>
      <c r="AC285" s="1156"/>
      <c r="AD285" s="1156"/>
      <c r="AE285" s="1156"/>
      <c r="AF285" s="1156"/>
      <c r="AG285" s="1156"/>
      <c r="AH285" s="1156"/>
      <c r="AI285" s="1156"/>
    </row>
    <row r="286" spans="1:35" s="1165" customFormat="1">
      <c r="A286" s="1156"/>
      <c r="B286" s="1156"/>
      <c r="C286" s="1156"/>
      <c r="D286" s="1156"/>
      <c r="E286" s="1158"/>
      <c r="F286" s="1158"/>
      <c r="G286" s="1158"/>
      <c r="H286" s="1158"/>
      <c r="I286" s="1158"/>
      <c r="J286" s="1158"/>
      <c r="K286" s="1158"/>
      <c r="L286" s="1158"/>
      <c r="M286" s="1158"/>
      <c r="N286" s="1158"/>
      <c r="O286" s="1158"/>
      <c r="P286" s="1158"/>
      <c r="Q286" s="1158"/>
      <c r="R286" s="1158"/>
      <c r="S286" s="1158"/>
      <c r="T286" s="1158"/>
      <c r="U286" s="1158"/>
      <c r="V286" s="1158"/>
      <c r="W286" s="1158"/>
      <c r="X286" s="1158"/>
      <c r="Y286" s="1158"/>
      <c r="Z286" s="1156"/>
      <c r="AA286" s="1156"/>
      <c r="AB286" s="1156"/>
      <c r="AC286" s="1156"/>
      <c r="AD286" s="1156"/>
      <c r="AE286" s="1156"/>
      <c r="AF286" s="1156"/>
      <c r="AG286" s="1156"/>
      <c r="AH286" s="1156"/>
      <c r="AI286" s="1156"/>
    </row>
    <row r="287" spans="1:35" s="1165" customFormat="1">
      <c r="A287" s="1156"/>
      <c r="B287" s="1156"/>
      <c r="C287" s="1156"/>
      <c r="D287" s="1156"/>
      <c r="E287" s="1158"/>
      <c r="F287" s="1158"/>
      <c r="G287" s="1158"/>
      <c r="H287" s="1158"/>
      <c r="I287" s="1158"/>
      <c r="J287" s="1158"/>
      <c r="K287" s="1158"/>
      <c r="L287" s="1158"/>
      <c r="M287" s="1158"/>
      <c r="N287" s="1158"/>
      <c r="O287" s="1158"/>
      <c r="P287" s="1158"/>
      <c r="Q287" s="1158"/>
      <c r="R287" s="1158"/>
      <c r="S287" s="1158"/>
      <c r="T287" s="1158"/>
      <c r="U287" s="1158"/>
      <c r="V287" s="1158"/>
      <c r="W287" s="1158"/>
      <c r="X287" s="1158"/>
      <c r="Y287" s="1158"/>
      <c r="Z287" s="1156"/>
      <c r="AA287" s="1156"/>
      <c r="AB287" s="1156"/>
      <c r="AC287" s="1156"/>
      <c r="AD287" s="1156"/>
      <c r="AE287" s="1156"/>
      <c r="AF287" s="1156"/>
      <c r="AG287" s="1156"/>
      <c r="AH287" s="1156"/>
      <c r="AI287" s="1156"/>
    </row>
    <row r="288" spans="1:35" s="1165" customFormat="1">
      <c r="A288" s="1156"/>
      <c r="B288" s="1156"/>
      <c r="C288" s="1156"/>
      <c r="D288" s="1156"/>
      <c r="E288" s="1158"/>
      <c r="F288" s="1158"/>
      <c r="G288" s="1158"/>
      <c r="H288" s="1158"/>
      <c r="I288" s="1158"/>
      <c r="J288" s="1158"/>
      <c r="K288" s="1158"/>
      <c r="L288" s="1158"/>
      <c r="M288" s="1158"/>
      <c r="N288" s="1158"/>
      <c r="O288" s="1158"/>
      <c r="P288" s="1158"/>
      <c r="Q288" s="1158"/>
      <c r="R288" s="1158"/>
      <c r="S288" s="1158"/>
      <c r="T288" s="1158"/>
      <c r="U288" s="1158"/>
      <c r="V288" s="1158"/>
      <c r="W288" s="1158"/>
      <c r="X288" s="1158"/>
      <c r="Y288" s="1158"/>
      <c r="Z288" s="1156"/>
      <c r="AA288" s="1156"/>
      <c r="AB288" s="1156"/>
      <c r="AC288" s="1156"/>
      <c r="AD288" s="1156"/>
      <c r="AE288" s="1156"/>
      <c r="AF288" s="1156"/>
      <c r="AG288" s="1156"/>
      <c r="AH288" s="1156"/>
      <c r="AI288" s="1156"/>
    </row>
    <row r="289" spans="1:35" s="1165" customFormat="1">
      <c r="A289" s="1156"/>
      <c r="B289" s="1156"/>
      <c r="C289" s="1156"/>
      <c r="D289" s="1156"/>
      <c r="E289" s="1158"/>
      <c r="F289" s="1158"/>
      <c r="G289" s="1158"/>
      <c r="H289" s="1158"/>
      <c r="I289" s="1158"/>
      <c r="J289" s="1158"/>
      <c r="K289" s="1158"/>
      <c r="L289" s="1158"/>
      <c r="M289" s="1158"/>
      <c r="N289" s="1158"/>
      <c r="O289" s="1158"/>
      <c r="P289" s="1158"/>
      <c r="Q289" s="1158"/>
      <c r="R289" s="1158"/>
      <c r="S289" s="1158"/>
      <c r="T289" s="1158"/>
      <c r="U289" s="1158"/>
      <c r="V289" s="1158"/>
      <c r="W289" s="1158"/>
      <c r="X289" s="1158"/>
      <c r="Y289" s="1158"/>
      <c r="Z289" s="1156"/>
      <c r="AA289" s="1156"/>
      <c r="AB289" s="1156"/>
      <c r="AC289" s="1156"/>
      <c r="AD289" s="1156"/>
      <c r="AE289" s="1156"/>
      <c r="AF289" s="1156"/>
      <c r="AG289" s="1156"/>
      <c r="AH289" s="1156"/>
      <c r="AI289" s="1156"/>
    </row>
    <row r="290" spans="1:35" s="1165" customFormat="1">
      <c r="A290" s="1156"/>
      <c r="B290" s="1156"/>
      <c r="C290" s="1156"/>
      <c r="D290" s="1156"/>
      <c r="E290" s="1158"/>
      <c r="F290" s="1158"/>
      <c r="G290" s="1158"/>
      <c r="H290" s="1158"/>
      <c r="I290" s="1158"/>
      <c r="J290" s="1158"/>
      <c r="K290" s="1158"/>
      <c r="L290" s="1158"/>
      <c r="M290" s="1158"/>
      <c r="N290" s="1158"/>
      <c r="O290" s="1158"/>
      <c r="P290" s="1158"/>
      <c r="Q290" s="1158"/>
      <c r="R290" s="1158"/>
      <c r="S290" s="1158"/>
      <c r="T290" s="1158"/>
      <c r="U290" s="1158"/>
      <c r="V290" s="1158"/>
      <c r="W290" s="1158"/>
      <c r="X290" s="1158"/>
      <c r="Y290" s="1158"/>
      <c r="Z290" s="1156"/>
      <c r="AA290" s="1156"/>
      <c r="AB290" s="1156"/>
      <c r="AC290" s="1156"/>
      <c r="AD290" s="1156"/>
      <c r="AE290" s="1156"/>
      <c r="AF290" s="1156"/>
      <c r="AG290" s="1156"/>
      <c r="AH290" s="1156"/>
      <c r="AI290" s="1156"/>
    </row>
    <row r="291" spans="1:35" s="1165" customFormat="1">
      <c r="A291" s="1156"/>
      <c r="B291" s="1156"/>
      <c r="C291" s="1156"/>
      <c r="D291" s="1156"/>
      <c r="E291" s="1158"/>
      <c r="F291" s="1158"/>
      <c r="G291" s="1158"/>
      <c r="H291" s="1158"/>
      <c r="I291" s="1158"/>
      <c r="J291" s="1158"/>
      <c r="K291" s="1158"/>
      <c r="L291" s="1158"/>
      <c r="M291" s="1158"/>
      <c r="N291" s="1158"/>
      <c r="O291" s="1158"/>
      <c r="P291" s="1158"/>
      <c r="Q291" s="1158"/>
      <c r="R291" s="1158"/>
      <c r="S291" s="1158"/>
      <c r="T291" s="1158"/>
      <c r="U291" s="1158"/>
      <c r="V291" s="1158"/>
      <c r="W291" s="1158"/>
      <c r="X291" s="1158"/>
      <c r="Y291" s="1158"/>
      <c r="Z291" s="1156"/>
      <c r="AA291" s="1156"/>
      <c r="AB291" s="1156"/>
      <c r="AC291" s="1156"/>
      <c r="AD291" s="1156"/>
      <c r="AE291" s="1156"/>
      <c r="AF291" s="1156"/>
      <c r="AG291" s="1156"/>
      <c r="AH291" s="1156"/>
      <c r="AI291" s="1156"/>
    </row>
    <row r="292" spans="1:35" s="1165" customFormat="1">
      <c r="A292" s="1156"/>
      <c r="B292" s="1156"/>
      <c r="C292" s="1156"/>
      <c r="D292" s="1156"/>
      <c r="E292" s="1158"/>
      <c r="F292" s="1158"/>
      <c r="G292" s="1158"/>
      <c r="H292" s="1158"/>
      <c r="I292" s="1158"/>
      <c r="J292" s="1158"/>
      <c r="K292" s="1158"/>
      <c r="L292" s="1158"/>
      <c r="M292" s="1158"/>
      <c r="N292" s="1158"/>
      <c r="O292" s="1158"/>
      <c r="P292" s="1158"/>
      <c r="Q292" s="1158"/>
      <c r="R292" s="1158"/>
      <c r="S292" s="1158"/>
      <c r="T292" s="1158"/>
      <c r="U292" s="1158"/>
      <c r="V292" s="1158"/>
      <c r="W292" s="1158"/>
      <c r="X292" s="1158"/>
      <c r="Y292" s="1158"/>
      <c r="Z292" s="1156"/>
      <c r="AA292" s="1156"/>
      <c r="AB292" s="1156"/>
      <c r="AC292" s="1156"/>
      <c r="AD292" s="1156"/>
      <c r="AE292" s="1156"/>
      <c r="AF292" s="1156"/>
      <c r="AG292" s="1156"/>
      <c r="AH292" s="1156"/>
      <c r="AI292" s="1156"/>
    </row>
    <row r="293" spans="1:35" s="1165" customFormat="1">
      <c r="A293" s="1156"/>
      <c r="B293" s="1156"/>
      <c r="C293" s="1156"/>
      <c r="D293" s="1156"/>
      <c r="E293" s="1158"/>
      <c r="F293" s="1158"/>
      <c r="G293" s="1158"/>
      <c r="H293" s="1158"/>
      <c r="I293" s="1158"/>
      <c r="J293" s="1158"/>
      <c r="K293" s="1158"/>
      <c r="L293" s="1158"/>
      <c r="M293" s="1158"/>
      <c r="N293" s="1158"/>
      <c r="O293" s="1158"/>
      <c r="P293" s="1158"/>
      <c r="Q293" s="1158"/>
      <c r="R293" s="1158"/>
      <c r="S293" s="1158"/>
      <c r="T293" s="1158"/>
      <c r="U293" s="1158"/>
      <c r="V293" s="1158"/>
      <c r="W293" s="1158"/>
      <c r="X293" s="1158"/>
      <c r="Y293" s="1158"/>
      <c r="Z293" s="1156"/>
      <c r="AA293" s="1156"/>
      <c r="AB293" s="1156"/>
      <c r="AC293" s="1156"/>
      <c r="AD293" s="1156"/>
      <c r="AE293" s="1156"/>
      <c r="AF293" s="1156"/>
      <c r="AG293" s="1156"/>
      <c r="AH293" s="1156"/>
      <c r="AI293" s="1156"/>
    </row>
    <row r="294" spans="1:35" s="1165" customFormat="1">
      <c r="A294" s="1156"/>
      <c r="B294" s="1156"/>
      <c r="C294" s="1156"/>
      <c r="D294" s="1156"/>
      <c r="E294" s="1158"/>
      <c r="F294" s="1158"/>
      <c r="G294" s="1158"/>
      <c r="H294" s="1158"/>
      <c r="I294" s="1158"/>
      <c r="J294" s="1158"/>
      <c r="K294" s="1158"/>
      <c r="L294" s="1158"/>
      <c r="M294" s="1158"/>
      <c r="N294" s="1158"/>
      <c r="O294" s="1158"/>
      <c r="P294" s="1158"/>
      <c r="Q294" s="1158"/>
      <c r="R294" s="1158"/>
      <c r="S294" s="1158"/>
      <c r="T294" s="1158"/>
      <c r="U294" s="1158"/>
      <c r="V294" s="1158"/>
      <c r="W294" s="1158"/>
      <c r="X294" s="1158"/>
      <c r="Y294" s="1158"/>
      <c r="Z294" s="1156"/>
      <c r="AA294" s="1156"/>
      <c r="AB294" s="1156"/>
      <c r="AC294" s="1156"/>
      <c r="AD294" s="1156"/>
      <c r="AE294" s="1156"/>
      <c r="AF294" s="1156"/>
      <c r="AG294" s="1156"/>
      <c r="AH294" s="1156"/>
      <c r="AI294" s="1156"/>
    </row>
    <row r="295" spans="1:35" s="1165" customFormat="1">
      <c r="A295" s="1156"/>
      <c r="B295" s="1156"/>
      <c r="C295" s="1156"/>
      <c r="D295" s="1156"/>
      <c r="E295" s="1158"/>
      <c r="F295" s="1158"/>
      <c r="G295" s="1158"/>
      <c r="H295" s="1158"/>
      <c r="I295" s="1158"/>
      <c r="J295" s="1158"/>
      <c r="K295" s="1158"/>
      <c r="L295" s="1158"/>
      <c r="M295" s="1158"/>
      <c r="N295" s="1158"/>
      <c r="O295" s="1158"/>
      <c r="P295" s="1158"/>
      <c r="Q295" s="1158"/>
      <c r="R295" s="1158"/>
      <c r="S295" s="1158"/>
      <c r="T295" s="1158"/>
      <c r="U295" s="1158"/>
      <c r="V295" s="1158"/>
      <c r="W295" s="1158"/>
      <c r="X295" s="1158"/>
      <c r="Y295" s="1158"/>
      <c r="Z295" s="1156"/>
      <c r="AA295" s="1156"/>
      <c r="AB295" s="1156"/>
      <c r="AC295" s="1156"/>
      <c r="AD295" s="1156"/>
      <c r="AE295" s="1156"/>
      <c r="AF295" s="1156"/>
      <c r="AG295" s="1156"/>
      <c r="AH295" s="1156"/>
      <c r="AI295" s="1156"/>
    </row>
    <row r="296" spans="1:35" s="1165" customFormat="1">
      <c r="A296" s="1156"/>
      <c r="B296" s="1156"/>
      <c r="C296" s="1156"/>
      <c r="D296" s="1156"/>
      <c r="E296" s="1158"/>
      <c r="F296" s="1158"/>
      <c r="G296" s="1158"/>
      <c r="H296" s="1158"/>
      <c r="I296" s="1158"/>
      <c r="J296" s="1158"/>
      <c r="K296" s="1158"/>
      <c r="L296" s="1158"/>
      <c r="M296" s="1158"/>
      <c r="N296" s="1158"/>
      <c r="O296" s="1158"/>
      <c r="P296" s="1158"/>
      <c r="Q296" s="1158"/>
      <c r="R296" s="1158"/>
      <c r="S296" s="1158"/>
      <c r="T296" s="1158"/>
      <c r="U296" s="1158"/>
      <c r="V296" s="1158"/>
      <c r="W296" s="1158"/>
      <c r="X296" s="1158"/>
      <c r="Y296" s="1158"/>
      <c r="Z296" s="1156"/>
      <c r="AA296" s="1156"/>
      <c r="AB296" s="1156"/>
      <c r="AC296" s="1156"/>
      <c r="AD296" s="1156"/>
      <c r="AE296" s="1156"/>
      <c r="AF296" s="1156"/>
      <c r="AG296" s="1156"/>
      <c r="AH296" s="1156"/>
      <c r="AI296" s="1156"/>
    </row>
    <row r="297" spans="1:35" s="1165" customFormat="1">
      <c r="A297" s="1156"/>
      <c r="B297" s="1156"/>
      <c r="C297" s="1156"/>
      <c r="D297" s="1156"/>
      <c r="E297" s="1158"/>
      <c r="F297" s="1158"/>
      <c r="G297" s="1158"/>
      <c r="H297" s="1158"/>
      <c r="I297" s="1158"/>
      <c r="J297" s="1158"/>
      <c r="K297" s="1158"/>
      <c r="L297" s="1158"/>
      <c r="M297" s="1158"/>
      <c r="N297" s="1158"/>
      <c r="O297" s="1158"/>
      <c r="P297" s="1158"/>
      <c r="Q297" s="1158"/>
      <c r="R297" s="1158"/>
      <c r="S297" s="1158"/>
      <c r="T297" s="1158"/>
      <c r="U297" s="1158"/>
      <c r="V297" s="1158"/>
      <c r="W297" s="1158"/>
      <c r="X297" s="1158"/>
      <c r="Y297" s="1158"/>
      <c r="Z297" s="1156"/>
      <c r="AA297" s="1156"/>
      <c r="AB297" s="1156"/>
      <c r="AC297" s="1156"/>
      <c r="AD297" s="1156"/>
      <c r="AE297" s="1156"/>
      <c r="AF297" s="1156"/>
      <c r="AG297" s="1156"/>
      <c r="AH297" s="1156"/>
      <c r="AI297" s="1156"/>
    </row>
    <row r="298" spans="1:35" s="1165" customFormat="1">
      <c r="A298" s="1156"/>
      <c r="B298" s="1156"/>
      <c r="C298" s="1156"/>
      <c r="D298" s="1156"/>
      <c r="E298" s="1158"/>
      <c r="F298" s="1158"/>
      <c r="G298" s="1158"/>
      <c r="H298" s="1158"/>
      <c r="I298" s="1158"/>
      <c r="J298" s="1158"/>
      <c r="K298" s="1158"/>
      <c r="L298" s="1158"/>
      <c r="M298" s="1158"/>
      <c r="N298" s="1158"/>
      <c r="O298" s="1158"/>
      <c r="P298" s="1158"/>
      <c r="Q298" s="1158"/>
      <c r="R298" s="1158"/>
      <c r="S298" s="1158"/>
      <c r="T298" s="1158"/>
      <c r="U298" s="1158"/>
      <c r="V298" s="1158"/>
      <c r="W298" s="1158"/>
      <c r="X298" s="1158"/>
      <c r="Y298" s="1158"/>
      <c r="Z298" s="1156"/>
      <c r="AA298" s="1156"/>
      <c r="AB298" s="1156"/>
      <c r="AC298" s="1156"/>
      <c r="AD298" s="1156"/>
      <c r="AE298" s="1156"/>
      <c r="AF298" s="1156"/>
      <c r="AG298" s="1156"/>
      <c r="AH298" s="1156"/>
      <c r="AI298" s="1156"/>
    </row>
    <row r="299" spans="1:35" s="1165" customFormat="1">
      <c r="A299" s="1156"/>
      <c r="B299" s="1156"/>
      <c r="C299" s="1156"/>
      <c r="D299" s="1156"/>
      <c r="E299" s="1158"/>
      <c r="F299" s="1158"/>
      <c r="G299" s="1158"/>
      <c r="H299" s="1158"/>
      <c r="I299" s="1158"/>
      <c r="J299" s="1158"/>
      <c r="K299" s="1158"/>
      <c r="L299" s="1158"/>
      <c r="M299" s="1158"/>
      <c r="N299" s="1158"/>
      <c r="O299" s="1158"/>
      <c r="P299" s="1158"/>
      <c r="Q299" s="1158"/>
      <c r="R299" s="1158"/>
      <c r="S299" s="1158"/>
      <c r="T299" s="1158"/>
      <c r="U299" s="1158"/>
      <c r="V299" s="1158"/>
      <c r="W299" s="1158"/>
      <c r="X299" s="1158"/>
      <c r="Y299" s="1158"/>
      <c r="Z299" s="1156"/>
      <c r="AA299" s="1156"/>
      <c r="AB299" s="1156"/>
      <c r="AC299" s="1156"/>
      <c r="AD299" s="1156"/>
      <c r="AE299" s="1156"/>
      <c r="AF299" s="1156"/>
      <c r="AG299" s="1156"/>
      <c r="AH299" s="1156"/>
      <c r="AI299" s="1156"/>
    </row>
    <row r="300" spans="1:35" s="1165" customFormat="1">
      <c r="A300" s="1156"/>
      <c r="B300" s="1156"/>
      <c r="C300" s="1156"/>
      <c r="D300" s="1156"/>
      <c r="E300" s="1158"/>
      <c r="F300" s="1158"/>
      <c r="G300" s="1158"/>
      <c r="H300" s="1158"/>
      <c r="I300" s="1158"/>
      <c r="J300" s="1158"/>
      <c r="K300" s="1158"/>
      <c r="L300" s="1158"/>
      <c r="M300" s="1158"/>
      <c r="N300" s="1158"/>
      <c r="O300" s="1158"/>
      <c r="P300" s="1158"/>
      <c r="Q300" s="1158"/>
      <c r="R300" s="1158"/>
      <c r="S300" s="1158"/>
      <c r="T300" s="1158"/>
      <c r="U300" s="1158"/>
      <c r="V300" s="1158"/>
      <c r="W300" s="1158"/>
      <c r="X300" s="1158"/>
      <c r="Y300" s="1158"/>
      <c r="Z300" s="1156"/>
      <c r="AA300" s="1156"/>
      <c r="AB300" s="1156"/>
      <c r="AC300" s="1156"/>
      <c r="AD300" s="1156"/>
      <c r="AE300" s="1156"/>
      <c r="AF300" s="1156"/>
      <c r="AG300" s="1156"/>
      <c r="AH300" s="1156"/>
      <c r="AI300" s="1156"/>
    </row>
    <row r="301" spans="1:35" s="1165" customFormat="1">
      <c r="A301" s="1156"/>
      <c r="B301" s="1156"/>
      <c r="C301" s="1156"/>
      <c r="D301" s="1156"/>
      <c r="E301" s="1158"/>
      <c r="F301" s="1158"/>
      <c r="G301" s="1158"/>
      <c r="H301" s="1158"/>
      <c r="I301" s="1158"/>
      <c r="J301" s="1158"/>
      <c r="K301" s="1158"/>
      <c r="L301" s="1158"/>
      <c r="M301" s="1158"/>
      <c r="N301" s="1158"/>
      <c r="O301" s="1158"/>
      <c r="P301" s="1158"/>
      <c r="Q301" s="1158"/>
      <c r="R301" s="1158"/>
      <c r="S301" s="1158"/>
      <c r="T301" s="1158"/>
      <c r="U301" s="1158"/>
      <c r="V301" s="1158"/>
      <c r="W301" s="1158"/>
      <c r="X301" s="1158"/>
      <c r="Y301" s="1158"/>
      <c r="Z301" s="1156"/>
      <c r="AA301" s="1156"/>
      <c r="AB301" s="1156"/>
      <c r="AC301" s="1156"/>
      <c r="AD301" s="1156"/>
      <c r="AE301" s="1156"/>
      <c r="AF301" s="1156"/>
      <c r="AG301" s="1156"/>
      <c r="AH301" s="1156"/>
      <c r="AI301" s="1156"/>
    </row>
    <row r="302" spans="1:35" s="1165" customFormat="1">
      <c r="A302" s="1156"/>
      <c r="B302" s="1156"/>
      <c r="C302" s="1156"/>
      <c r="D302" s="1156"/>
      <c r="E302" s="1158"/>
      <c r="F302" s="1158"/>
      <c r="G302" s="1158"/>
      <c r="H302" s="1158"/>
      <c r="I302" s="1158"/>
      <c r="J302" s="1158"/>
      <c r="K302" s="1158"/>
      <c r="L302" s="1158"/>
      <c r="M302" s="1158"/>
      <c r="N302" s="1158"/>
      <c r="O302" s="1158"/>
      <c r="P302" s="1158"/>
      <c r="Q302" s="1158"/>
      <c r="R302" s="1158"/>
      <c r="S302" s="1158"/>
      <c r="T302" s="1158"/>
      <c r="U302" s="1158"/>
      <c r="V302" s="1158"/>
      <c r="W302" s="1158"/>
      <c r="X302" s="1158"/>
      <c r="Y302" s="1158"/>
      <c r="Z302" s="1156"/>
      <c r="AA302" s="1156"/>
      <c r="AB302" s="1156"/>
      <c r="AC302" s="1156"/>
      <c r="AD302" s="1156"/>
      <c r="AE302" s="1156"/>
      <c r="AF302" s="1156"/>
      <c r="AG302" s="1156"/>
      <c r="AH302" s="1156"/>
      <c r="AI302" s="1156"/>
    </row>
    <row r="303" spans="1:35" s="1165" customFormat="1">
      <c r="A303" s="1156"/>
      <c r="B303" s="1156"/>
      <c r="C303" s="1156"/>
      <c r="D303" s="1156"/>
      <c r="E303" s="1158"/>
      <c r="F303" s="1158"/>
      <c r="G303" s="1158"/>
      <c r="H303" s="1158"/>
      <c r="I303" s="1158"/>
      <c r="J303" s="1158"/>
      <c r="K303" s="1158"/>
      <c r="L303" s="1158"/>
      <c r="M303" s="1158"/>
      <c r="N303" s="1158"/>
      <c r="O303" s="1158"/>
      <c r="P303" s="1158"/>
      <c r="Q303" s="1158"/>
      <c r="R303" s="1158"/>
      <c r="S303" s="1158"/>
      <c r="T303" s="1158"/>
      <c r="U303" s="1158"/>
      <c r="V303" s="1158"/>
      <c r="W303" s="1158"/>
      <c r="X303" s="1158"/>
      <c r="Y303" s="1158"/>
      <c r="Z303" s="1156"/>
      <c r="AA303" s="1156"/>
      <c r="AB303" s="1156"/>
      <c r="AC303" s="1156"/>
      <c r="AD303" s="1156"/>
      <c r="AE303" s="1156"/>
      <c r="AF303" s="1156"/>
      <c r="AG303" s="1156"/>
      <c r="AH303" s="1156"/>
      <c r="AI303" s="1156"/>
    </row>
    <row r="304" spans="1:35" s="1165" customFormat="1">
      <c r="A304" s="1156"/>
      <c r="B304" s="1156"/>
      <c r="C304" s="1156"/>
      <c r="D304" s="1156"/>
      <c r="E304" s="1158"/>
      <c r="F304" s="1158"/>
      <c r="G304" s="1158"/>
      <c r="H304" s="1158"/>
      <c r="I304" s="1158"/>
      <c r="J304" s="1158"/>
      <c r="K304" s="1158"/>
      <c r="L304" s="1158"/>
      <c r="M304" s="1158"/>
      <c r="N304" s="1158"/>
      <c r="O304" s="1158"/>
      <c r="P304" s="1158"/>
      <c r="Q304" s="1158"/>
      <c r="R304" s="1158"/>
      <c r="S304" s="1158"/>
      <c r="T304" s="1158"/>
      <c r="U304" s="1158"/>
      <c r="V304" s="1158"/>
      <c r="W304" s="1158"/>
      <c r="X304" s="1158"/>
      <c r="Y304" s="1158"/>
      <c r="Z304" s="1156"/>
      <c r="AA304" s="1156"/>
      <c r="AB304" s="1156"/>
      <c r="AC304" s="1156"/>
      <c r="AD304" s="1156"/>
      <c r="AE304" s="1156"/>
      <c r="AF304" s="1156"/>
      <c r="AG304" s="1156"/>
      <c r="AH304" s="1156"/>
      <c r="AI304" s="1156"/>
    </row>
    <row r="305" spans="1:35" s="1165" customFormat="1">
      <c r="A305" s="1156"/>
      <c r="B305" s="1156"/>
      <c r="C305" s="1156"/>
      <c r="D305" s="1156"/>
      <c r="E305" s="1158"/>
      <c r="F305" s="1158"/>
      <c r="G305" s="1158"/>
      <c r="H305" s="1158"/>
      <c r="I305" s="1158"/>
      <c r="J305" s="1158"/>
      <c r="K305" s="1158"/>
      <c r="L305" s="1158"/>
      <c r="M305" s="1158"/>
      <c r="N305" s="1158"/>
      <c r="O305" s="1158"/>
      <c r="P305" s="1158"/>
      <c r="Q305" s="1158"/>
      <c r="R305" s="1158"/>
      <c r="S305" s="1158"/>
      <c r="T305" s="1158"/>
      <c r="U305" s="1158"/>
      <c r="V305" s="1158"/>
      <c r="W305" s="1158"/>
      <c r="X305" s="1158"/>
      <c r="Y305" s="1158"/>
      <c r="Z305" s="1156"/>
      <c r="AA305" s="1156"/>
      <c r="AB305" s="1156"/>
      <c r="AC305" s="1156"/>
      <c r="AD305" s="1156"/>
      <c r="AE305" s="1156"/>
      <c r="AF305" s="1156"/>
      <c r="AG305" s="1156"/>
      <c r="AH305" s="1156"/>
      <c r="AI305" s="1156"/>
    </row>
    <row r="306" spans="1:35" s="1165" customFormat="1">
      <c r="A306" s="1156"/>
      <c r="B306" s="1156"/>
      <c r="C306" s="1156"/>
      <c r="D306" s="1156"/>
      <c r="E306" s="1158"/>
      <c r="F306" s="1158"/>
      <c r="G306" s="1158"/>
      <c r="H306" s="1158"/>
      <c r="I306" s="1158"/>
      <c r="J306" s="1158"/>
      <c r="K306" s="1158"/>
      <c r="L306" s="1158"/>
      <c r="M306" s="1158"/>
      <c r="N306" s="1158"/>
      <c r="O306" s="1158"/>
      <c r="P306" s="1158"/>
      <c r="Q306" s="1158"/>
      <c r="R306" s="1158"/>
      <c r="S306" s="1158"/>
      <c r="T306" s="1158"/>
      <c r="U306" s="1158"/>
      <c r="V306" s="1158"/>
      <c r="W306" s="1158"/>
      <c r="X306" s="1158"/>
      <c r="Y306" s="1158"/>
      <c r="Z306" s="1156"/>
      <c r="AA306" s="1156"/>
      <c r="AB306" s="1156"/>
      <c r="AC306" s="1156"/>
      <c r="AD306" s="1156"/>
      <c r="AE306" s="1156"/>
      <c r="AF306" s="1156"/>
      <c r="AG306" s="1156"/>
      <c r="AH306" s="1156"/>
      <c r="AI306" s="1156"/>
    </row>
    <row r="307" spans="1:35" s="1165" customFormat="1">
      <c r="A307" s="1156"/>
      <c r="B307" s="1156"/>
      <c r="C307" s="1156"/>
      <c r="D307" s="1156"/>
      <c r="E307" s="1158"/>
      <c r="F307" s="1158"/>
      <c r="G307" s="1158"/>
      <c r="H307" s="1158"/>
      <c r="I307" s="1158"/>
      <c r="J307" s="1158"/>
      <c r="K307" s="1158"/>
      <c r="L307" s="1158"/>
      <c r="M307" s="1158"/>
      <c r="N307" s="1158"/>
      <c r="O307" s="1158"/>
      <c r="P307" s="1158"/>
      <c r="Q307" s="1158"/>
      <c r="R307" s="1158"/>
      <c r="S307" s="1158"/>
      <c r="T307" s="1158"/>
      <c r="U307" s="1158"/>
      <c r="V307" s="1158"/>
      <c r="W307" s="1158"/>
      <c r="X307" s="1158"/>
      <c r="Y307" s="1158"/>
      <c r="Z307" s="1156"/>
      <c r="AA307" s="1156"/>
      <c r="AB307" s="1156"/>
      <c r="AC307" s="1156"/>
      <c r="AD307" s="1156"/>
      <c r="AE307" s="1156"/>
      <c r="AF307" s="1156"/>
      <c r="AG307" s="1156"/>
      <c r="AH307" s="1156"/>
      <c r="AI307" s="1156"/>
    </row>
    <row r="308" spans="1:35" s="1165" customFormat="1">
      <c r="A308" s="1156"/>
      <c r="B308" s="1156"/>
      <c r="C308" s="1156"/>
      <c r="D308" s="1156"/>
      <c r="E308" s="1158"/>
      <c r="F308" s="1158"/>
      <c r="G308" s="1158"/>
      <c r="H308" s="1158"/>
      <c r="I308" s="1158"/>
      <c r="J308" s="1158"/>
      <c r="K308" s="1158"/>
      <c r="L308" s="1158"/>
      <c r="M308" s="1158"/>
      <c r="N308" s="1158"/>
      <c r="O308" s="1158"/>
      <c r="P308" s="1158"/>
      <c r="Q308" s="1158"/>
      <c r="R308" s="1158"/>
      <c r="S308" s="1158"/>
      <c r="T308" s="1158"/>
      <c r="U308" s="1158"/>
      <c r="V308" s="1158"/>
      <c r="W308" s="1158"/>
      <c r="X308" s="1158"/>
      <c r="Y308" s="1158"/>
      <c r="Z308" s="1156"/>
      <c r="AA308" s="1156"/>
      <c r="AB308" s="1156"/>
      <c r="AC308" s="1156"/>
      <c r="AD308" s="1156"/>
      <c r="AE308" s="1156"/>
      <c r="AF308" s="1156"/>
      <c r="AG308" s="1156"/>
      <c r="AH308" s="1156"/>
      <c r="AI308" s="1156"/>
    </row>
    <row r="309" spans="1:35" s="1165" customFormat="1">
      <c r="A309" s="1156"/>
      <c r="B309" s="1156"/>
      <c r="C309" s="1156"/>
      <c r="D309" s="1156"/>
      <c r="E309" s="1158"/>
      <c r="F309" s="1158"/>
      <c r="G309" s="1158"/>
      <c r="H309" s="1158"/>
      <c r="I309" s="1158"/>
      <c r="J309" s="1158"/>
      <c r="K309" s="1158"/>
      <c r="L309" s="1158"/>
      <c r="M309" s="1158"/>
      <c r="N309" s="1158"/>
      <c r="O309" s="1158"/>
      <c r="P309" s="1158"/>
      <c r="Q309" s="1158"/>
      <c r="R309" s="1158"/>
      <c r="S309" s="1158"/>
      <c r="T309" s="1158"/>
      <c r="U309" s="1158"/>
      <c r="V309" s="1158"/>
      <c r="W309" s="1158"/>
      <c r="X309" s="1158"/>
      <c r="Y309" s="1158"/>
      <c r="Z309" s="1156"/>
      <c r="AA309" s="1156"/>
      <c r="AB309" s="1156"/>
      <c r="AC309" s="1156"/>
      <c r="AD309" s="1156"/>
      <c r="AE309" s="1156"/>
      <c r="AF309" s="1156"/>
      <c r="AG309" s="1156"/>
      <c r="AH309" s="1156"/>
      <c r="AI309" s="1156"/>
    </row>
    <row r="310" spans="1:35" s="1165" customFormat="1">
      <c r="A310" s="1156"/>
      <c r="B310" s="1156"/>
      <c r="C310" s="1156"/>
      <c r="D310" s="1156"/>
      <c r="E310" s="1158"/>
      <c r="F310" s="1158"/>
      <c r="G310" s="1158"/>
      <c r="H310" s="1158"/>
      <c r="I310" s="1158"/>
      <c r="J310" s="1158"/>
      <c r="K310" s="1158"/>
      <c r="L310" s="1158"/>
      <c r="M310" s="1158"/>
      <c r="N310" s="1158"/>
      <c r="O310" s="1158"/>
      <c r="P310" s="1158"/>
      <c r="Q310" s="1158"/>
      <c r="R310" s="1158"/>
      <c r="S310" s="1158"/>
      <c r="T310" s="1158"/>
      <c r="U310" s="1158"/>
      <c r="V310" s="1158"/>
      <c r="W310" s="1158"/>
      <c r="X310" s="1158"/>
      <c r="Y310" s="1158"/>
      <c r="Z310" s="1156"/>
      <c r="AA310" s="1156"/>
      <c r="AB310" s="1156"/>
      <c r="AC310" s="1156"/>
      <c r="AD310" s="1156"/>
      <c r="AE310" s="1156"/>
      <c r="AF310" s="1156"/>
      <c r="AG310" s="1156"/>
      <c r="AH310" s="1156"/>
      <c r="AI310" s="1156"/>
    </row>
    <row r="311" spans="1:35" s="1165" customFormat="1">
      <c r="A311" s="1156"/>
      <c r="B311" s="1156"/>
      <c r="C311" s="1156"/>
      <c r="D311" s="1156"/>
      <c r="E311" s="1158"/>
      <c r="F311" s="1158"/>
      <c r="G311" s="1158"/>
      <c r="H311" s="1158"/>
      <c r="I311" s="1158"/>
      <c r="J311" s="1158"/>
      <c r="K311" s="1158"/>
      <c r="L311" s="1158"/>
      <c r="M311" s="1158"/>
      <c r="N311" s="1158"/>
      <c r="O311" s="1158"/>
      <c r="P311" s="1158"/>
      <c r="Q311" s="1158"/>
      <c r="R311" s="1158"/>
      <c r="S311" s="1158"/>
      <c r="T311" s="1158"/>
      <c r="U311" s="1158"/>
      <c r="V311" s="1158"/>
      <c r="W311" s="1158"/>
      <c r="X311" s="1158"/>
      <c r="Y311" s="1158"/>
      <c r="Z311" s="1156"/>
      <c r="AA311" s="1156"/>
      <c r="AB311" s="1156"/>
      <c r="AC311" s="1156"/>
      <c r="AD311" s="1156"/>
      <c r="AE311" s="1156"/>
      <c r="AF311" s="1156"/>
      <c r="AG311" s="1156"/>
      <c r="AH311" s="1156"/>
      <c r="AI311" s="1156"/>
    </row>
    <row r="312" spans="1:35" s="1165" customFormat="1">
      <c r="A312" s="1156"/>
      <c r="B312" s="1156"/>
      <c r="C312" s="1156"/>
      <c r="D312" s="1156"/>
      <c r="E312" s="1158"/>
      <c r="F312" s="1158"/>
      <c r="G312" s="1158"/>
      <c r="H312" s="1158"/>
      <c r="I312" s="1158"/>
      <c r="J312" s="1158"/>
      <c r="K312" s="1158"/>
      <c r="L312" s="1158"/>
      <c r="M312" s="1158"/>
      <c r="N312" s="1158"/>
      <c r="O312" s="1158"/>
      <c r="P312" s="1158"/>
      <c r="Q312" s="1158"/>
      <c r="R312" s="1158"/>
      <c r="S312" s="1158"/>
      <c r="T312" s="1158"/>
      <c r="U312" s="1158"/>
      <c r="V312" s="1158"/>
      <c r="W312" s="1158"/>
      <c r="X312" s="1158"/>
      <c r="Y312" s="1158"/>
      <c r="Z312" s="1156"/>
      <c r="AA312" s="1156"/>
      <c r="AB312" s="1156"/>
      <c r="AC312" s="1156"/>
      <c r="AD312" s="1156"/>
      <c r="AE312" s="1156"/>
      <c r="AF312" s="1156"/>
      <c r="AG312" s="1156"/>
      <c r="AH312" s="1156"/>
      <c r="AI312" s="1156"/>
    </row>
    <row r="313" spans="1:35" s="1165" customFormat="1">
      <c r="A313" s="1156"/>
      <c r="B313" s="1156"/>
      <c r="C313" s="1156"/>
      <c r="D313" s="1156"/>
      <c r="E313" s="1158"/>
      <c r="F313" s="1158"/>
      <c r="G313" s="1158"/>
      <c r="H313" s="1158"/>
      <c r="I313" s="1158"/>
      <c r="J313" s="1158"/>
      <c r="K313" s="1158"/>
      <c r="L313" s="1158"/>
      <c r="M313" s="1158"/>
      <c r="N313" s="1158"/>
      <c r="O313" s="1158"/>
      <c r="P313" s="1158"/>
      <c r="Q313" s="1158"/>
      <c r="R313" s="1158"/>
      <c r="S313" s="1158"/>
      <c r="T313" s="1158"/>
      <c r="U313" s="1158"/>
      <c r="V313" s="1158"/>
      <c r="W313" s="1158"/>
      <c r="X313" s="1158"/>
      <c r="Y313" s="1158"/>
      <c r="Z313" s="1156"/>
      <c r="AA313" s="1156"/>
      <c r="AB313" s="1156"/>
      <c r="AC313" s="1156"/>
      <c r="AD313" s="1156"/>
      <c r="AE313" s="1156"/>
      <c r="AF313" s="1156"/>
      <c r="AG313" s="1156"/>
      <c r="AH313" s="1156"/>
      <c r="AI313" s="1156"/>
    </row>
    <row r="314" spans="1:35" s="1165" customFormat="1">
      <c r="A314" s="1156"/>
      <c r="B314" s="1156"/>
      <c r="C314" s="1156"/>
      <c r="D314" s="1156"/>
      <c r="E314" s="1158"/>
      <c r="F314" s="1158"/>
      <c r="G314" s="1158"/>
      <c r="H314" s="1158"/>
      <c r="I314" s="1158"/>
      <c r="J314" s="1158"/>
      <c r="K314" s="1158"/>
      <c r="L314" s="1158"/>
      <c r="M314" s="1158"/>
      <c r="N314" s="1158"/>
      <c r="O314" s="1158"/>
      <c r="P314" s="1158"/>
      <c r="Q314" s="1158"/>
      <c r="R314" s="1158"/>
      <c r="S314" s="1158"/>
      <c r="T314" s="1158"/>
      <c r="U314" s="1158"/>
      <c r="V314" s="1158"/>
      <c r="W314" s="1158"/>
      <c r="X314" s="1158"/>
      <c r="Y314" s="1158"/>
      <c r="Z314" s="1156"/>
      <c r="AA314" s="1156"/>
      <c r="AB314" s="1156"/>
      <c r="AC314" s="1156"/>
      <c r="AD314" s="1156"/>
      <c r="AE314" s="1156"/>
      <c r="AF314" s="1156"/>
      <c r="AG314" s="1156"/>
      <c r="AH314" s="1156"/>
      <c r="AI314" s="1156"/>
    </row>
    <row r="315" spans="1:35" s="1165" customFormat="1">
      <c r="A315" s="1156"/>
      <c r="B315" s="1156"/>
      <c r="C315" s="1156"/>
      <c r="D315" s="1156"/>
      <c r="E315" s="1158"/>
      <c r="F315" s="1158"/>
      <c r="G315" s="1158"/>
      <c r="H315" s="1158"/>
      <c r="I315" s="1158"/>
      <c r="J315" s="1158"/>
      <c r="K315" s="1158"/>
      <c r="L315" s="1158"/>
      <c r="M315" s="1158"/>
      <c r="N315" s="1158"/>
      <c r="O315" s="1158"/>
      <c r="P315" s="1158"/>
      <c r="Q315" s="1158"/>
      <c r="R315" s="1158"/>
      <c r="S315" s="1158"/>
      <c r="T315" s="1158"/>
      <c r="U315" s="1158"/>
      <c r="V315" s="1158"/>
      <c r="W315" s="1158"/>
      <c r="X315" s="1158"/>
      <c r="Y315" s="1158"/>
      <c r="Z315" s="1156"/>
      <c r="AA315" s="1156"/>
      <c r="AB315" s="1156"/>
      <c r="AC315" s="1156"/>
      <c r="AD315" s="1156"/>
      <c r="AE315" s="1156"/>
      <c r="AF315" s="1156"/>
      <c r="AG315" s="1156"/>
      <c r="AH315" s="1156"/>
      <c r="AI315" s="1156"/>
    </row>
    <row r="316" spans="1:35" s="1165" customFormat="1">
      <c r="A316" s="1156"/>
      <c r="B316" s="1156"/>
      <c r="C316" s="1156"/>
      <c r="D316" s="1156"/>
      <c r="E316" s="1158"/>
      <c r="F316" s="1158"/>
      <c r="G316" s="1158"/>
      <c r="H316" s="1158"/>
      <c r="I316" s="1158"/>
      <c r="J316" s="1158"/>
      <c r="K316" s="1158"/>
      <c r="L316" s="1158"/>
      <c r="M316" s="1158"/>
      <c r="N316" s="1158"/>
      <c r="O316" s="1158"/>
      <c r="P316" s="1158"/>
      <c r="Q316" s="1158"/>
      <c r="R316" s="1158"/>
      <c r="S316" s="1158"/>
      <c r="T316" s="1158"/>
      <c r="U316" s="1158"/>
      <c r="V316" s="1158"/>
      <c r="W316" s="1158"/>
      <c r="X316" s="1158"/>
      <c r="Y316" s="1158"/>
      <c r="Z316" s="1156"/>
      <c r="AA316" s="1156"/>
      <c r="AB316" s="1156"/>
      <c r="AC316" s="1156"/>
      <c r="AD316" s="1156"/>
      <c r="AE316" s="1156"/>
      <c r="AF316" s="1156"/>
      <c r="AG316" s="1156"/>
      <c r="AH316" s="1156"/>
      <c r="AI316" s="1156"/>
    </row>
    <row r="317" spans="1:35" s="1165" customFormat="1">
      <c r="A317" s="1156"/>
      <c r="B317" s="1156"/>
      <c r="C317" s="1156"/>
      <c r="D317" s="1156"/>
      <c r="E317" s="1158"/>
      <c r="F317" s="1158"/>
      <c r="G317" s="1158"/>
      <c r="H317" s="1158"/>
      <c r="I317" s="1158"/>
      <c r="J317" s="1158"/>
      <c r="K317" s="1158"/>
      <c r="L317" s="1158"/>
      <c r="M317" s="1158"/>
      <c r="N317" s="1158"/>
      <c r="O317" s="1158"/>
      <c r="P317" s="1158"/>
      <c r="Q317" s="1158"/>
      <c r="R317" s="1158"/>
      <c r="S317" s="1158"/>
      <c r="T317" s="1158"/>
      <c r="U317" s="1158"/>
      <c r="V317" s="1158"/>
      <c r="W317" s="1158"/>
      <c r="X317" s="1158"/>
      <c r="Y317" s="1158"/>
      <c r="Z317" s="1156"/>
      <c r="AA317" s="1156"/>
      <c r="AB317" s="1156"/>
      <c r="AC317" s="1156"/>
      <c r="AD317" s="1156"/>
      <c r="AE317" s="1156"/>
      <c r="AF317" s="1156"/>
      <c r="AG317" s="1156"/>
      <c r="AH317" s="1156"/>
      <c r="AI317" s="1156"/>
    </row>
    <row r="318" spans="1:35" s="1165" customFormat="1">
      <c r="A318" s="1156"/>
      <c r="B318" s="1156"/>
      <c r="C318" s="1156"/>
      <c r="D318" s="1156"/>
      <c r="E318" s="1158"/>
      <c r="F318" s="1158"/>
      <c r="G318" s="1158"/>
      <c r="H318" s="1158"/>
      <c r="I318" s="1158"/>
      <c r="J318" s="1158"/>
      <c r="K318" s="1158"/>
      <c r="L318" s="1158"/>
      <c r="M318" s="1158"/>
      <c r="N318" s="1158"/>
      <c r="O318" s="1158"/>
      <c r="P318" s="1158"/>
      <c r="Q318" s="1158"/>
      <c r="R318" s="1158"/>
      <c r="S318" s="1158"/>
      <c r="T318" s="1158"/>
      <c r="U318" s="1158"/>
      <c r="V318" s="1158"/>
      <c r="W318" s="1158"/>
      <c r="X318" s="1158"/>
      <c r="Y318" s="1158"/>
      <c r="Z318" s="1156"/>
      <c r="AA318" s="1156"/>
      <c r="AB318" s="1156"/>
      <c r="AC318" s="1156"/>
      <c r="AD318" s="1156"/>
      <c r="AE318" s="1156"/>
      <c r="AF318" s="1156"/>
      <c r="AG318" s="1156"/>
      <c r="AH318" s="1156"/>
      <c r="AI318" s="1156"/>
    </row>
    <row r="319" spans="1:35" s="1165" customFormat="1">
      <c r="A319" s="1156"/>
      <c r="B319" s="1156"/>
      <c r="C319" s="1156"/>
      <c r="D319" s="1156"/>
      <c r="E319" s="1158"/>
      <c r="F319" s="1158"/>
      <c r="G319" s="1158"/>
      <c r="H319" s="1158"/>
      <c r="I319" s="1158"/>
      <c r="J319" s="1158"/>
      <c r="K319" s="1158"/>
      <c r="L319" s="1158"/>
      <c r="M319" s="1158"/>
      <c r="N319" s="1158"/>
      <c r="O319" s="1158"/>
      <c r="P319" s="1158"/>
      <c r="Q319" s="1158"/>
      <c r="R319" s="1158"/>
      <c r="S319" s="1158"/>
      <c r="T319" s="1158"/>
      <c r="U319" s="1158"/>
      <c r="V319" s="1158"/>
      <c r="W319" s="1158"/>
      <c r="X319" s="1158"/>
      <c r="Y319" s="1158"/>
      <c r="Z319" s="1156"/>
      <c r="AA319" s="1156"/>
      <c r="AB319" s="1156"/>
      <c r="AC319" s="1156"/>
      <c r="AD319" s="1156"/>
      <c r="AE319" s="1156"/>
      <c r="AF319" s="1156"/>
      <c r="AG319" s="1156"/>
      <c r="AH319" s="1156"/>
      <c r="AI319" s="1156"/>
    </row>
    <row r="320" spans="1:35" s="1165" customFormat="1">
      <c r="A320" s="1156"/>
      <c r="B320" s="1156"/>
      <c r="C320" s="1156"/>
      <c r="D320" s="1156"/>
      <c r="E320" s="1158"/>
      <c r="F320" s="1158"/>
      <c r="G320" s="1158"/>
      <c r="H320" s="1158"/>
      <c r="I320" s="1158"/>
      <c r="J320" s="1158"/>
      <c r="K320" s="1158"/>
      <c r="L320" s="1158"/>
      <c r="M320" s="1158"/>
      <c r="N320" s="1158"/>
      <c r="O320" s="1158"/>
      <c r="P320" s="1158"/>
      <c r="Q320" s="1158"/>
      <c r="R320" s="1158"/>
      <c r="S320" s="1158"/>
      <c r="T320" s="1158"/>
      <c r="U320" s="1158"/>
      <c r="V320" s="1158"/>
      <c r="W320" s="1158"/>
      <c r="X320" s="1158"/>
      <c r="Y320" s="1158"/>
      <c r="Z320" s="1156"/>
      <c r="AA320" s="1156"/>
      <c r="AB320" s="1156"/>
      <c r="AC320" s="1156"/>
      <c r="AD320" s="1156"/>
      <c r="AE320" s="1156"/>
      <c r="AF320" s="1156"/>
      <c r="AG320" s="1156"/>
      <c r="AH320" s="1156"/>
      <c r="AI320" s="1156"/>
    </row>
    <row r="321" spans="1:35" s="1165" customFormat="1">
      <c r="A321" s="1156"/>
      <c r="B321" s="1156"/>
      <c r="C321" s="1156"/>
      <c r="D321" s="1156"/>
      <c r="E321" s="1158"/>
      <c r="F321" s="1158"/>
      <c r="G321" s="1158"/>
      <c r="H321" s="1158"/>
      <c r="I321" s="1158"/>
      <c r="J321" s="1158"/>
      <c r="K321" s="1158"/>
      <c r="L321" s="1158"/>
      <c r="M321" s="1158"/>
      <c r="N321" s="1158"/>
      <c r="O321" s="1158"/>
      <c r="P321" s="1158"/>
      <c r="Q321" s="1158"/>
      <c r="R321" s="1158"/>
      <c r="S321" s="1158"/>
      <c r="T321" s="1158"/>
      <c r="U321" s="1158"/>
      <c r="V321" s="1158"/>
      <c r="W321" s="1158"/>
      <c r="X321" s="1158"/>
      <c r="Y321" s="1158"/>
      <c r="Z321" s="1156"/>
      <c r="AA321" s="1156"/>
      <c r="AB321" s="1156"/>
      <c r="AC321" s="1156"/>
      <c r="AD321" s="1156"/>
      <c r="AE321" s="1156"/>
      <c r="AF321" s="1156"/>
      <c r="AG321" s="1156"/>
      <c r="AH321" s="1156"/>
      <c r="AI321" s="1156"/>
    </row>
    <row r="322" spans="1:35" s="1165" customFormat="1">
      <c r="A322" s="1156"/>
      <c r="B322" s="1156"/>
      <c r="C322" s="1156"/>
      <c r="D322" s="1156"/>
      <c r="E322" s="1158"/>
      <c r="F322" s="1158"/>
      <c r="G322" s="1158"/>
      <c r="H322" s="1158"/>
      <c r="I322" s="1158"/>
      <c r="J322" s="1158"/>
      <c r="K322" s="1158"/>
      <c r="L322" s="1158"/>
      <c r="M322" s="1158"/>
      <c r="N322" s="1158"/>
      <c r="O322" s="1158"/>
      <c r="P322" s="1158"/>
      <c r="Q322" s="1158"/>
      <c r="R322" s="1158"/>
      <c r="S322" s="1158"/>
      <c r="T322" s="1158"/>
      <c r="U322" s="1158"/>
      <c r="V322" s="1158"/>
      <c r="W322" s="1158"/>
      <c r="X322" s="1158"/>
      <c r="Y322" s="1158"/>
      <c r="Z322" s="1156"/>
      <c r="AA322" s="1156"/>
      <c r="AB322" s="1156"/>
      <c r="AC322" s="1156"/>
      <c r="AD322" s="1156"/>
      <c r="AE322" s="1156"/>
      <c r="AF322" s="1156"/>
      <c r="AG322" s="1156"/>
      <c r="AH322" s="1156"/>
      <c r="AI322" s="1156"/>
    </row>
    <row r="323" spans="1:35" s="1165" customFormat="1">
      <c r="A323" s="1156"/>
      <c r="B323" s="1156"/>
      <c r="C323" s="1156"/>
      <c r="D323" s="1156"/>
      <c r="E323" s="1158"/>
      <c r="F323" s="1158"/>
      <c r="G323" s="1158"/>
      <c r="H323" s="1158"/>
      <c r="I323" s="1158"/>
      <c r="J323" s="1158"/>
      <c r="K323" s="1158"/>
      <c r="L323" s="1158"/>
      <c r="M323" s="1158"/>
      <c r="N323" s="1158"/>
      <c r="O323" s="1158"/>
      <c r="P323" s="1158"/>
      <c r="Q323" s="1158"/>
      <c r="R323" s="1158"/>
      <c r="S323" s="1158"/>
      <c r="T323" s="1158"/>
      <c r="U323" s="1158"/>
      <c r="V323" s="1158"/>
      <c r="W323" s="1158"/>
      <c r="X323" s="1158"/>
      <c r="Y323" s="1158"/>
      <c r="Z323" s="1156"/>
      <c r="AA323" s="1156"/>
      <c r="AB323" s="1156"/>
      <c r="AC323" s="1156"/>
      <c r="AD323" s="1156"/>
      <c r="AE323" s="1156"/>
      <c r="AF323" s="1156"/>
      <c r="AG323" s="1156"/>
      <c r="AH323" s="1156"/>
      <c r="AI323" s="1156"/>
    </row>
    <row r="324" spans="1:35" s="1165" customFormat="1">
      <c r="A324" s="1156"/>
      <c r="B324" s="1156"/>
      <c r="C324" s="1156"/>
      <c r="D324" s="1156"/>
      <c r="E324" s="1158"/>
      <c r="F324" s="1158"/>
      <c r="G324" s="1158"/>
      <c r="H324" s="1158"/>
      <c r="I324" s="1158"/>
      <c r="J324" s="1158"/>
      <c r="K324" s="1158"/>
      <c r="L324" s="1158"/>
      <c r="M324" s="1158"/>
      <c r="N324" s="1158"/>
      <c r="O324" s="1158"/>
      <c r="P324" s="1158"/>
      <c r="Q324" s="1158"/>
      <c r="R324" s="1158"/>
      <c r="S324" s="1158"/>
      <c r="T324" s="1158"/>
      <c r="U324" s="1158"/>
      <c r="V324" s="1158"/>
      <c r="W324" s="1158"/>
      <c r="X324" s="1158"/>
      <c r="Y324" s="1158"/>
      <c r="Z324" s="1156"/>
      <c r="AA324" s="1156"/>
      <c r="AB324" s="1156"/>
      <c r="AC324" s="1156"/>
      <c r="AD324" s="1156"/>
      <c r="AE324" s="1156"/>
      <c r="AF324" s="1156"/>
      <c r="AG324" s="1156"/>
      <c r="AH324" s="1156"/>
      <c r="AI324" s="1156"/>
    </row>
    <row r="325" spans="1:35" s="1165" customFormat="1">
      <c r="A325" s="1156"/>
      <c r="B325" s="1156"/>
      <c r="C325" s="1156"/>
      <c r="D325" s="1156"/>
      <c r="E325" s="1158"/>
      <c r="F325" s="1158"/>
      <c r="G325" s="1158"/>
      <c r="H325" s="1158"/>
      <c r="I325" s="1158"/>
      <c r="J325" s="1158"/>
      <c r="K325" s="1158"/>
      <c r="L325" s="1158"/>
      <c r="M325" s="1158"/>
      <c r="N325" s="1158"/>
      <c r="O325" s="1158"/>
      <c r="P325" s="1158"/>
      <c r="Q325" s="1158"/>
      <c r="R325" s="1158"/>
      <c r="S325" s="1158"/>
      <c r="T325" s="1158"/>
      <c r="U325" s="1158"/>
      <c r="V325" s="1158"/>
      <c r="W325" s="1158"/>
      <c r="X325" s="1158"/>
      <c r="Y325" s="1158"/>
      <c r="Z325" s="1156"/>
      <c r="AA325" s="1156"/>
      <c r="AB325" s="1156"/>
      <c r="AC325" s="1156"/>
      <c r="AD325" s="1156"/>
      <c r="AE325" s="1156"/>
      <c r="AF325" s="1156"/>
      <c r="AG325" s="1156"/>
      <c r="AH325" s="1156"/>
      <c r="AI325" s="1156"/>
    </row>
    <row r="326" spans="1:35" s="1165" customFormat="1">
      <c r="A326" s="1156"/>
      <c r="B326" s="1156"/>
      <c r="C326" s="1156"/>
      <c r="D326" s="1156"/>
      <c r="E326" s="1158"/>
      <c r="F326" s="1158"/>
      <c r="G326" s="1158"/>
      <c r="H326" s="1158"/>
      <c r="I326" s="1158"/>
      <c r="J326" s="1158"/>
      <c r="K326" s="1158"/>
      <c r="L326" s="1158"/>
      <c r="M326" s="1158"/>
      <c r="N326" s="1158"/>
      <c r="O326" s="1158"/>
      <c r="P326" s="1158"/>
      <c r="Q326" s="1158"/>
      <c r="R326" s="1158"/>
      <c r="S326" s="1158"/>
      <c r="T326" s="1158"/>
      <c r="U326" s="1158"/>
      <c r="V326" s="1158"/>
      <c r="W326" s="1158"/>
      <c r="X326" s="1158"/>
      <c r="Y326" s="1158"/>
      <c r="Z326" s="1156"/>
      <c r="AA326" s="1156"/>
      <c r="AB326" s="1156"/>
      <c r="AC326" s="1156"/>
      <c r="AD326" s="1156"/>
      <c r="AE326" s="1156"/>
      <c r="AF326" s="1156"/>
      <c r="AG326" s="1156"/>
      <c r="AH326" s="1156"/>
      <c r="AI326" s="1156"/>
    </row>
    <row r="327" spans="1:35" s="1165" customFormat="1">
      <c r="A327" s="1156"/>
      <c r="B327" s="1156"/>
      <c r="C327" s="1156"/>
      <c r="D327" s="1156"/>
      <c r="E327" s="1158"/>
      <c r="F327" s="1158"/>
      <c r="G327" s="1158"/>
      <c r="H327" s="1158"/>
      <c r="I327" s="1158"/>
      <c r="J327" s="1158"/>
      <c r="K327" s="1158"/>
      <c r="L327" s="1158"/>
      <c r="M327" s="1158"/>
      <c r="N327" s="1158"/>
      <c r="O327" s="1158"/>
      <c r="P327" s="1158"/>
      <c r="Q327" s="1158"/>
      <c r="R327" s="1158"/>
      <c r="S327" s="1158"/>
      <c r="T327" s="1158"/>
      <c r="U327" s="1158"/>
      <c r="V327" s="1158"/>
      <c r="W327" s="1158"/>
      <c r="X327" s="1158"/>
      <c r="Y327" s="1158"/>
      <c r="Z327" s="1156"/>
      <c r="AA327" s="1156"/>
      <c r="AB327" s="1156"/>
      <c r="AC327" s="1156"/>
      <c r="AD327" s="1156"/>
      <c r="AE327" s="1156"/>
      <c r="AF327" s="1156"/>
      <c r="AG327" s="1156"/>
      <c r="AH327" s="1156"/>
      <c r="AI327" s="1156"/>
    </row>
    <row r="328" spans="1:35" s="1165" customFormat="1">
      <c r="A328" s="1156"/>
      <c r="B328" s="1156"/>
      <c r="C328" s="1156"/>
      <c r="D328" s="1156"/>
      <c r="E328" s="1158"/>
      <c r="F328" s="1158"/>
      <c r="G328" s="1158"/>
      <c r="H328" s="1158"/>
      <c r="I328" s="1158"/>
      <c r="J328" s="1158"/>
      <c r="K328" s="1158"/>
      <c r="L328" s="1158"/>
      <c r="M328" s="1158"/>
      <c r="N328" s="1158"/>
      <c r="O328" s="1158"/>
      <c r="P328" s="1158"/>
      <c r="Q328" s="1158"/>
      <c r="R328" s="1158"/>
      <c r="S328" s="1158"/>
      <c r="T328" s="1158"/>
      <c r="U328" s="1158"/>
      <c r="V328" s="1158"/>
      <c r="W328" s="1158"/>
      <c r="X328" s="1158"/>
      <c r="Y328" s="1158"/>
      <c r="Z328" s="1156"/>
      <c r="AA328" s="1156"/>
      <c r="AB328" s="1156"/>
      <c r="AC328" s="1156"/>
      <c r="AD328" s="1156"/>
      <c r="AE328" s="1156"/>
      <c r="AF328" s="1156"/>
      <c r="AG328" s="1156"/>
      <c r="AH328" s="1156"/>
      <c r="AI328" s="1156"/>
    </row>
    <row r="329" spans="1:35" s="1165" customFormat="1">
      <c r="A329" s="1156"/>
      <c r="B329" s="1156"/>
      <c r="C329" s="1156"/>
      <c r="D329" s="1156"/>
      <c r="E329" s="1158"/>
      <c r="F329" s="1158"/>
      <c r="G329" s="1158"/>
      <c r="H329" s="1158"/>
      <c r="I329" s="1158"/>
      <c r="J329" s="1158"/>
      <c r="K329" s="1158"/>
      <c r="L329" s="1158"/>
      <c r="M329" s="1158"/>
      <c r="N329" s="1158"/>
      <c r="O329" s="1158"/>
      <c r="P329" s="1158"/>
      <c r="Q329" s="1158"/>
      <c r="R329" s="1158"/>
      <c r="S329" s="1158"/>
      <c r="T329" s="1158"/>
      <c r="U329" s="1158"/>
      <c r="V329" s="1158"/>
      <c r="W329" s="1158"/>
      <c r="X329" s="1158"/>
      <c r="Y329" s="1158"/>
      <c r="Z329" s="1156"/>
      <c r="AA329" s="1156"/>
      <c r="AB329" s="1156"/>
      <c r="AC329" s="1156"/>
      <c r="AD329" s="1156"/>
      <c r="AE329" s="1156"/>
      <c r="AF329" s="1156"/>
      <c r="AG329" s="1156"/>
      <c r="AH329" s="1156"/>
      <c r="AI329" s="1156"/>
    </row>
    <row r="330" spans="1:35" s="1165" customFormat="1">
      <c r="A330" s="1156"/>
      <c r="B330" s="1156"/>
      <c r="C330" s="1156"/>
      <c r="D330" s="1156"/>
      <c r="E330" s="1158"/>
      <c r="F330" s="1158"/>
      <c r="G330" s="1158"/>
      <c r="H330" s="1158"/>
      <c r="I330" s="1158"/>
      <c r="J330" s="1158"/>
      <c r="K330" s="1158"/>
      <c r="L330" s="1158"/>
      <c r="M330" s="1158"/>
      <c r="N330" s="1158"/>
      <c r="O330" s="1158"/>
      <c r="P330" s="1158"/>
      <c r="Q330" s="1158"/>
      <c r="R330" s="1158"/>
      <c r="S330" s="1158"/>
      <c r="T330" s="1158"/>
      <c r="U330" s="1158"/>
      <c r="V330" s="1158"/>
      <c r="W330" s="1158"/>
      <c r="X330" s="1158"/>
      <c r="Y330" s="1158"/>
      <c r="Z330" s="1156"/>
      <c r="AA330" s="1156"/>
      <c r="AB330" s="1156"/>
      <c r="AC330" s="1156"/>
      <c r="AD330" s="1156"/>
      <c r="AE330" s="1156"/>
      <c r="AF330" s="1156"/>
      <c r="AG330" s="1156"/>
      <c r="AH330" s="1156"/>
      <c r="AI330" s="1156"/>
    </row>
    <row r="331" spans="1:35" s="1165" customFormat="1">
      <c r="A331" s="1156"/>
      <c r="B331" s="1156"/>
      <c r="C331" s="1156"/>
      <c r="D331" s="1156"/>
      <c r="E331" s="1158"/>
      <c r="F331" s="1158"/>
      <c r="G331" s="1158"/>
      <c r="H331" s="1158"/>
      <c r="I331" s="1158"/>
      <c r="J331" s="1158"/>
      <c r="K331" s="1158"/>
      <c r="L331" s="1158"/>
      <c r="M331" s="1158"/>
      <c r="N331" s="1158"/>
      <c r="O331" s="1158"/>
      <c r="P331" s="1158"/>
      <c r="Q331" s="1158"/>
      <c r="R331" s="1158"/>
      <c r="S331" s="1158"/>
      <c r="T331" s="1158"/>
      <c r="U331" s="1158"/>
      <c r="V331" s="1158"/>
      <c r="W331" s="1158"/>
      <c r="X331" s="1158"/>
      <c r="Y331" s="1158"/>
      <c r="Z331" s="1156"/>
      <c r="AA331" s="1156"/>
      <c r="AB331" s="1156"/>
      <c r="AC331" s="1156"/>
      <c r="AD331" s="1156"/>
      <c r="AE331" s="1156"/>
      <c r="AF331" s="1156"/>
      <c r="AG331" s="1156"/>
      <c r="AH331" s="1156"/>
      <c r="AI331" s="1156"/>
    </row>
    <row r="332" spans="1:35" s="1165" customFormat="1">
      <c r="A332" s="1156"/>
      <c r="B332" s="1156"/>
      <c r="C332" s="1156"/>
      <c r="D332" s="1156"/>
      <c r="E332" s="1158"/>
      <c r="F332" s="1158"/>
      <c r="G332" s="1158"/>
      <c r="H332" s="1158"/>
      <c r="I332" s="1158"/>
      <c r="J332" s="1158"/>
      <c r="K332" s="1158"/>
      <c r="L332" s="1158"/>
      <c r="M332" s="1158"/>
      <c r="N332" s="1158"/>
      <c r="O332" s="1158"/>
      <c r="P332" s="1158"/>
      <c r="Q332" s="1158"/>
      <c r="R332" s="1158"/>
      <c r="S332" s="1158"/>
      <c r="T332" s="1158"/>
      <c r="U332" s="1158"/>
      <c r="V332" s="1158"/>
      <c r="W332" s="1158"/>
      <c r="X332" s="1158"/>
      <c r="Y332" s="1158"/>
      <c r="Z332" s="1156"/>
      <c r="AA332" s="1156"/>
      <c r="AB332" s="1156"/>
      <c r="AC332" s="1156"/>
      <c r="AD332" s="1156"/>
      <c r="AE332" s="1156"/>
      <c r="AF332" s="1156"/>
      <c r="AG332" s="1156"/>
      <c r="AH332" s="1156"/>
      <c r="AI332" s="1156"/>
    </row>
    <row r="333" spans="1:35" s="1165" customFormat="1">
      <c r="A333" s="1156"/>
      <c r="B333" s="1156"/>
      <c r="C333" s="1156"/>
      <c r="D333" s="1156"/>
      <c r="E333" s="1158"/>
      <c r="F333" s="1158"/>
      <c r="G333" s="1158"/>
      <c r="H333" s="1158"/>
      <c r="I333" s="1158"/>
      <c r="J333" s="1158"/>
      <c r="K333" s="1158"/>
      <c r="L333" s="1158"/>
      <c r="M333" s="1158"/>
      <c r="N333" s="1158"/>
      <c r="O333" s="1158"/>
      <c r="P333" s="1158"/>
      <c r="Q333" s="1158"/>
      <c r="R333" s="1158"/>
      <c r="S333" s="1158"/>
      <c r="T333" s="1158"/>
      <c r="U333" s="1158"/>
      <c r="V333" s="1158"/>
      <c r="W333" s="1158"/>
      <c r="X333" s="1158"/>
      <c r="Y333" s="1158"/>
      <c r="Z333" s="1156"/>
      <c r="AA333" s="1156"/>
      <c r="AB333" s="1156"/>
      <c r="AC333" s="1156"/>
      <c r="AD333" s="1156"/>
      <c r="AE333" s="1156"/>
      <c r="AF333" s="1156"/>
      <c r="AG333" s="1156"/>
      <c r="AH333" s="1156"/>
      <c r="AI333" s="1156"/>
    </row>
    <row r="334" spans="1:35" s="1165" customFormat="1">
      <c r="A334" s="1156"/>
      <c r="B334" s="1156"/>
      <c r="C334" s="1156"/>
      <c r="D334" s="1156"/>
      <c r="E334" s="1158"/>
      <c r="F334" s="1158"/>
      <c r="G334" s="1158"/>
      <c r="H334" s="1158"/>
      <c r="I334" s="1158"/>
      <c r="J334" s="1158"/>
      <c r="K334" s="1158"/>
      <c r="L334" s="1158"/>
      <c r="M334" s="1158"/>
      <c r="N334" s="1158"/>
      <c r="O334" s="1158"/>
      <c r="P334" s="1158"/>
      <c r="Q334" s="1158"/>
      <c r="R334" s="1158"/>
      <c r="S334" s="1158"/>
      <c r="T334" s="1158"/>
      <c r="U334" s="1158"/>
      <c r="V334" s="1158"/>
      <c r="W334" s="1158"/>
      <c r="X334" s="1158"/>
      <c r="Y334" s="1158"/>
      <c r="Z334" s="1156"/>
      <c r="AA334" s="1156"/>
      <c r="AB334" s="1156"/>
      <c r="AC334" s="1156"/>
      <c r="AD334" s="1156"/>
      <c r="AE334" s="1156"/>
      <c r="AF334" s="1156"/>
      <c r="AG334" s="1156"/>
      <c r="AH334" s="1156"/>
      <c r="AI334" s="1156"/>
    </row>
    <row r="335" spans="1:35" s="1165" customFormat="1">
      <c r="A335" s="1156"/>
      <c r="B335" s="1156"/>
      <c r="C335" s="1156"/>
      <c r="D335" s="1156"/>
      <c r="E335" s="1158"/>
      <c r="F335" s="1158"/>
      <c r="G335" s="1158"/>
      <c r="H335" s="1158"/>
      <c r="I335" s="1158"/>
      <c r="J335" s="1158"/>
      <c r="K335" s="1158"/>
      <c r="L335" s="1158"/>
      <c r="M335" s="1158"/>
      <c r="N335" s="1158"/>
      <c r="O335" s="1158"/>
      <c r="P335" s="1158"/>
      <c r="Q335" s="1158"/>
      <c r="R335" s="1158"/>
      <c r="S335" s="1158"/>
      <c r="T335" s="1158"/>
      <c r="U335" s="1158"/>
      <c r="V335" s="1158"/>
      <c r="W335" s="1158"/>
      <c r="X335" s="1158"/>
      <c r="Y335" s="1158"/>
      <c r="Z335" s="1156"/>
      <c r="AA335" s="1156"/>
      <c r="AB335" s="1156"/>
      <c r="AC335" s="1156"/>
      <c r="AD335" s="1156"/>
      <c r="AE335" s="1156"/>
      <c r="AF335" s="1156"/>
      <c r="AG335" s="1156"/>
      <c r="AH335" s="1156"/>
      <c r="AI335" s="1156"/>
    </row>
    <row r="336" spans="1:35" s="1165" customFormat="1">
      <c r="A336" s="1156"/>
      <c r="B336" s="1156"/>
      <c r="C336" s="1156"/>
      <c r="D336" s="1156"/>
      <c r="E336" s="1158"/>
      <c r="F336" s="1158"/>
      <c r="G336" s="1158"/>
      <c r="H336" s="1158"/>
      <c r="I336" s="1158"/>
      <c r="J336" s="1158"/>
      <c r="K336" s="1158"/>
      <c r="L336" s="1158"/>
      <c r="M336" s="1158"/>
      <c r="N336" s="1158"/>
      <c r="O336" s="1158"/>
      <c r="P336" s="1158"/>
      <c r="Q336" s="1158"/>
      <c r="R336" s="1158"/>
      <c r="S336" s="1158"/>
      <c r="T336" s="1158"/>
      <c r="U336" s="1158"/>
      <c r="V336" s="1158"/>
      <c r="W336" s="1158"/>
      <c r="X336" s="1158"/>
      <c r="Y336" s="1158"/>
      <c r="Z336" s="1156"/>
      <c r="AA336" s="1156"/>
      <c r="AB336" s="1156"/>
      <c r="AC336" s="1156"/>
      <c r="AD336" s="1156"/>
      <c r="AE336" s="1156"/>
      <c r="AF336" s="1156"/>
      <c r="AG336" s="1156"/>
      <c r="AH336" s="1156"/>
      <c r="AI336" s="1156"/>
    </row>
    <row r="337" spans="1:35" s="1165" customFormat="1">
      <c r="A337" s="1156"/>
      <c r="B337" s="1156"/>
      <c r="C337" s="1156"/>
      <c r="D337" s="1156"/>
      <c r="E337" s="1158"/>
      <c r="F337" s="1158"/>
      <c r="G337" s="1158"/>
      <c r="H337" s="1158"/>
      <c r="I337" s="1158"/>
      <c r="J337" s="1158"/>
      <c r="K337" s="1158"/>
      <c r="L337" s="1158"/>
      <c r="M337" s="1158"/>
      <c r="N337" s="1158"/>
      <c r="O337" s="1158"/>
      <c r="P337" s="1158"/>
      <c r="Q337" s="1158"/>
      <c r="R337" s="1158"/>
      <c r="S337" s="1158"/>
      <c r="T337" s="1158"/>
      <c r="U337" s="1158"/>
      <c r="V337" s="1158"/>
      <c r="W337" s="1158"/>
      <c r="X337" s="1158"/>
      <c r="Y337" s="1158"/>
      <c r="Z337" s="1156"/>
      <c r="AA337" s="1156"/>
      <c r="AB337" s="1156"/>
      <c r="AC337" s="1156"/>
      <c r="AD337" s="1156"/>
      <c r="AE337" s="1156"/>
      <c r="AF337" s="1156"/>
      <c r="AG337" s="1156"/>
      <c r="AH337" s="1156"/>
      <c r="AI337" s="1156"/>
    </row>
    <row r="338" spans="1:35" s="1165" customFormat="1">
      <c r="A338" s="1156"/>
      <c r="B338" s="1156"/>
      <c r="C338" s="1156"/>
      <c r="D338" s="1156"/>
      <c r="E338" s="1158"/>
      <c r="F338" s="1158"/>
      <c r="G338" s="1158"/>
      <c r="H338" s="1158"/>
      <c r="I338" s="1158"/>
      <c r="J338" s="1158"/>
      <c r="K338" s="1158"/>
      <c r="L338" s="1158"/>
      <c r="M338" s="1158"/>
      <c r="N338" s="1158"/>
      <c r="O338" s="1158"/>
      <c r="P338" s="1158"/>
      <c r="Q338" s="1158"/>
      <c r="R338" s="1158"/>
      <c r="S338" s="1158"/>
      <c r="T338" s="1158"/>
      <c r="U338" s="1158"/>
      <c r="V338" s="1158"/>
      <c r="W338" s="1158"/>
      <c r="X338" s="1158"/>
      <c r="Y338" s="1158"/>
      <c r="Z338" s="1156"/>
      <c r="AA338" s="1156"/>
      <c r="AB338" s="1156"/>
      <c r="AC338" s="1156"/>
      <c r="AD338" s="1156"/>
      <c r="AE338" s="1156"/>
      <c r="AF338" s="1156"/>
      <c r="AG338" s="1156"/>
      <c r="AH338" s="1156"/>
      <c r="AI338" s="1156"/>
    </row>
    <row r="339" spans="1:35" s="1165" customFormat="1">
      <c r="A339" s="1156"/>
      <c r="B339" s="1156"/>
      <c r="C339" s="1156"/>
      <c r="D339" s="1156"/>
      <c r="E339" s="1158"/>
      <c r="F339" s="1158"/>
      <c r="G339" s="1158"/>
      <c r="H339" s="1158"/>
      <c r="I339" s="1158"/>
      <c r="J339" s="1158"/>
      <c r="K339" s="1158"/>
      <c r="L339" s="1158"/>
      <c r="M339" s="1158"/>
      <c r="N339" s="1158"/>
      <c r="O339" s="1158"/>
      <c r="P339" s="1158"/>
      <c r="Q339" s="1158"/>
      <c r="R339" s="1158"/>
      <c r="S339" s="1158"/>
      <c r="T339" s="1158"/>
      <c r="U339" s="1158"/>
      <c r="V339" s="1158"/>
      <c r="W339" s="1158"/>
      <c r="X339" s="1158"/>
      <c r="Y339" s="1158"/>
      <c r="Z339" s="1156"/>
      <c r="AA339" s="1156"/>
      <c r="AB339" s="1156"/>
      <c r="AC339" s="1156"/>
      <c r="AD339" s="1156"/>
      <c r="AE339" s="1156"/>
      <c r="AF339" s="1156"/>
      <c r="AG339" s="1156"/>
      <c r="AH339" s="1156"/>
      <c r="AI339" s="1156"/>
    </row>
    <row r="340" spans="1:35" s="1165" customFormat="1">
      <c r="A340" s="1156"/>
      <c r="B340" s="1156"/>
      <c r="C340" s="1156"/>
      <c r="D340" s="1156"/>
      <c r="E340" s="1158"/>
      <c r="F340" s="1158"/>
      <c r="G340" s="1158"/>
      <c r="H340" s="1158"/>
      <c r="I340" s="1158"/>
      <c r="J340" s="1158"/>
      <c r="K340" s="1158"/>
      <c r="L340" s="1158"/>
      <c r="M340" s="1158"/>
      <c r="N340" s="1158"/>
      <c r="O340" s="1158"/>
      <c r="P340" s="1158"/>
      <c r="Q340" s="1158"/>
      <c r="R340" s="1158"/>
      <c r="S340" s="1158"/>
      <c r="T340" s="1158"/>
      <c r="U340" s="1158"/>
      <c r="V340" s="1158"/>
      <c r="W340" s="1158"/>
      <c r="X340" s="1158"/>
      <c r="Y340" s="1158"/>
      <c r="Z340" s="1156"/>
      <c r="AA340" s="1156"/>
      <c r="AB340" s="1156"/>
      <c r="AC340" s="1156"/>
      <c r="AD340" s="1156"/>
      <c r="AE340" s="1156"/>
      <c r="AF340" s="1156"/>
      <c r="AG340" s="1156"/>
      <c r="AH340" s="1156"/>
      <c r="AI340" s="1156"/>
    </row>
    <row r="341" spans="1:35" s="1165" customFormat="1">
      <c r="A341" s="1156"/>
      <c r="B341" s="1156"/>
      <c r="C341" s="1156"/>
      <c r="D341" s="1156"/>
      <c r="E341" s="1158"/>
      <c r="F341" s="1158"/>
      <c r="G341" s="1158"/>
      <c r="H341" s="1158"/>
      <c r="I341" s="1158"/>
      <c r="J341" s="1158"/>
      <c r="K341" s="1158"/>
      <c r="L341" s="1158"/>
      <c r="M341" s="1158"/>
      <c r="N341" s="1158"/>
      <c r="O341" s="1158"/>
      <c r="P341" s="1158"/>
      <c r="Q341" s="1158"/>
      <c r="R341" s="1158"/>
      <c r="S341" s="1158"/>
      <c r="T341" s="1158"/>
      <c r="U341" s="1158"/>
      <c r="V341" s="1158"/>
      <c r="W341" s="1158"/>
      <c r="X341" s="1158"/>
      <c r="Y341" s="1158"/>
      <c r="Z341" s="1156"/>
      <c r="AA341" s="1156"/>
      <c r="AB341" s="1156"/>
      <c r="AC341" s="1156"/>
      <c r="AD341" s="1156"/>
      <c r="AE341" s="1156"/>
      <c r="AF341" s="1156"/>
      <c r="AG341" s="1156"/>
      <c r="AH341" s="1156"/>
      <c r="AI341" s="1156"/>
    </row>
    <row r="342" spans="1:35" s="1165" customFormat="1">
      <c r="A342" s="1156"/>
      <c r="B342" s="1156"/>
      <c r="C342" s="1156"/>
      <c r="D342" s="1156"/>
      <c r="E342" s="1158"/>
      <c r="F342" s="1158"/>
      <c r="G342" s="1158"/>
      <c r="H342" s="1158"/>
      <c r="I342" s="1158"/>
      <c r="J342" s="1158"/>
      <c r="K342" s="1158"/>
      <c r="L342" s="1158"/>
      <c r="M342" s="1158"/>
      <c r="N342" s="1158"/>
      <c r="O342" s="1158"/>
      <c r="P342" s="1158"/>
      <c r="Q342" s="1158"/>
      <c r="R342" s="1158"/>
      <c r="S342" s="1158"/>
      <c r="T342" s="1158"/>
      <c r="U342" s="1158"/>
      <c r="V342" s="1158"/>
      <c r="W342" s="1158"/>
      <c r="X342" s="1158"/>
      <c r="Y342" s="1158"/>
      <c r="Z342" s="1156"/>
      <c r="AA342" s="1156"/>
      <c r="AB342" s="1156"/>
      <c r="AC342" s="1156"/>
      <c r="AD342" s="1156"/>
      <c r="AE342" s="1156"/>
      <c r="AF342" s="1156"/>
      <c r="AG342" s="1156"/>
      <c r="AH342" s="1156"/>
      <c r="AI342" s="1156"/>
    </row>
    <row r="343" spans="1:35" s="1165" customFormat="1">
      <c r="A343" s="1156"/>
      <c r="B343" s="1156"/>
      <c r="C343" s="1156"/>
      <c r="D343" s="1156"/>
      <c r="E343" s="1158"/>
      <c r="F343" s="1158"/>
      <c r="G343" s="1158"/>
      <c r="H343" s="1158"/>
      <c r="I343" s="1158"/>
      <c r="J343" s="1158"/>
      <c r="K343" s="1158"/>
      <c r="L343" s="1158"/>
      <c r="M343" s="1158"/>
      <c r="N343" s="1158"/>
      <c r="O343" s="1158"/>
      <c r="P343" s="1158"/>
      <c r="Q343" s="1158"/>
      <c r="R343" s="1158"/>
      <c r="S343" s="1158"/>
      <c r="T343" s="1158"/>
      <c r="U343" s="1158"/>
      <c r="V343" s="1158"/>
      <c r="W343" s="1158"/>
      <c r="X343" s="1158"/>
      <c r="Y343" s="1158"/>
      <c r="Z343" s="1156"/>
      <c r="AA343" s="1156"/>
      <c r="AB343" s="1156"/>
      <c r="AC343" s="1156"/>
      <c r="AD343" s="1156"/>
      <c r="AE343" s="1156"/>
      <c r="AF343" s="1156"/>
      <c r="AG343" s="1156"/>
      <c r="AH343" s="1156"/>
      <c r="AI343" s="1156"/>
    </row>
    <row r="344" spans="1:35" s="1165" customFormat="1">
      <c r="A344" s="1156"/>
      <c r="B344" s="1156"/>
      <c r="C344" s="1156"/>
      <c r="D344" s="1156"/>
      <c r="E344" s="1158"/>
      <c r="F344" s="1158"/>
      <c r="G344" s="1158"/>
      <c r="H344" s="1158"/>
      <c r="I344" s="1158"/>
      <c r="J344" s="1158"/>
      <c r="K344" s="1158"/>
      <c r="L344" s="1158"/>
      <c r="M344" s="1158"/>
      <c r="N344" s="1158"/>
      <c r="O344" s="1158"/>
      <c r="P344" s="1158"/>
      <c r="Q344" s="1158"/>
      <c r="R344" s="1158"/>
      <c r="S344" s="1158"/>
      <c r="T344" s="1158"/>
      <c r="U344" s="1158"/>
      <c r="V344" s="1158"/>
      <c r="W344" s="1158"/>
      <c r="X344" s="1158"/>
      <c r="Y344" s="1158"/>
      <c r="Z344" s="1156"/>
      <c r="AA344" s="1156"/>
      <c r="AB344" s="1156"/>
      <c r="AC344" s="1156"/>
      <c r="AD344" s="1156"/>
      <c r="AE344" s="1156"/>
      <c r="AF344" s="1156"/>
      <c r="AG344" s="1156"/>
      <c r="AH344" s="1156"/>
      <c r="AI344" s="1156"/>
    </row>
    <row r="345" spans="1:35" s="1165" customFormat="1">
      <c r="A345" s="1156"/>
      <c r="B345" s="1156"/>
      <c r="C345" s="1156"/>
      <c r="D345" s="1156"/>
      <c r="E345" s="1158"/>
      <c r="F345" s="1158"/>
      <c r="G345" s="1158"/>
      <c r="H345" s="1158"/>
      <c r="I345" s="1158"/>
      <c r="J345" s="1158"/>
      <c r="K345" s="1158"/>
      <c r="L345" s="1158"/>
      <c r="M345" s="1158"/>
      <c r="N345" s="1158"/>
      <c r="O345" s="1158"/>
      <c r="P345" s="1158"/>
      <c r="Q345" s="1158"/>
      <c r="R345" s="1158"/>
      <c r="S345" s="1158"/>
      <c r="T345" s="1158"/>
      <c r="U345" s="1158"/>
      <c r="V345" s="1158"/>
      <c r="W345" s="1158"/>
      <c r="X345" s="1158"/>
      <c r="Y345" s="1158"/>
      <c r="Z345" s="1156"/>
      <c r="AA345" s="1156"/>
      <c r="AB345" s="1156"/>
      <c r="AC345" s="1156"/>
      <c r="AD345" s="1156"/>
      <c r="AE345" s="1156"/>
      <c r="AF345" s="1156"/>
      <c r="AG345" s="1156"/>
      <c r="AH345" s="1156"/>
      <c r="AI345" s="1156"/>
    </row>
    <row r="346" spans="1:35" s="1165" customFormat="1">
      <c r="A346" s="1156"/>
      <c r="B346" s="1156"/>
      <c r="C346" s="1156"/>
      <c r="D346" s="1156"/>
      <c r="E346" s="1158"/>
      <c r="F346" s="1158"/>
      <c r="G346" s="1158"/>
      <c r="H346" s="1158"/>
      <c r="I346" s="1158"/>
      <c r="J346" s="1158"/>
      <c r="K346" s="1158"/>
      <c r="L346" s="1158"/>
      <c r="M346" s="1158"/>
      <c r="N346" s="1158"/>
      <c r="O346" s="1158"/>
      <c r="P346" s="1158"/>
      <c r="Q346" s="1158"/>
      <c r="R346" s="1158"/>
      <c r="S346" s="1158"/>
      <c r="T346" s="1158"/>
      <c r="U346" s="1158"/>
      <c r="V346" s="1158"/>
      <c r="W346" s="1158"/>
      <c r="X346" s="1158"/>
      <c r="Y346" s="1158"/>
      <c r="Z346" s="1156"/>
      <c r="AA346" s="1156"/>
      <c r="AB346" s="1156"/>
      <c r="AC346" s="1156"/>
      <c r="AD346" s="1156"/>
      <c r="AE346" s="1156"/>
      <c r="AF346" s="1156"/>
      <c r="AG346" s="1156"/>
      <c r="AH346" s="1156"/>
      <c r="AI346" s="1156"/>
    </row>
    <row r="347" spans="1:35" s="1165" customFormat="1">
      <c r="A347" s="1156"/>
      <c r="B347" s="1156"/>
      <c r="C347" s="1156"/>
      <c r="D347" s="1156"/>
      <c r="E347" s="1158"/>
      <c r="F347" s="1158"/>
      <c r="G347" s="1158"/>
      <c r="H347" s="1158"/>
      <c r="I347" s="1158"/>
      <c r="J347" s="1158"/>
      <c r="K347" s="1158"/>
      <c r="L347" s="1158"/>
      <c r="M347" s="1158"/>
      <c r="N347" s="1158"/>
      <c r="O347" s="1158"/>
      <c r="P347" s="1158"/>
      <c r="Q347" s="1158"/>
      <c r="R347" s="1158"/>
      <c r="S347" s="1158"/>
      <c r="T347" s="1158"/>
      <c r="U347" s="1158"/>
      <c r="V347" s="1158"/>
      <c r="W347" s="1158"/>
      <c r="X347" s="1158"/>
      <c r="Y347" s="1158"/>
      <c r="Z347" s="1156"/>
      <c r="AA347" s="1156"/>
      <c r="AB347" s="1156"/>
      <c r="AC347" s="1156"/>
      <c r="AD347" s="1156"/>
      <c r="AE347" s="1156"/>
      <c r="AF347" s="1156"/>
      <c r="AG347" s="1156"/>
      <c r="AH347" s="1156"/>
      <c r="AI347" s="1156"/>
    </row>
    <row r="348" spans="1:35" s="1165" customFormat="1">
      <c r="A348" s="1156"/>
      <c r="B348" s="1156"/>
      <c r="C348" s="1156"/>
      <c r="D348" s="1156"/>
      <c r="E348" s="1158"/>
      <c r="F348" s="1158"/>
      <c r="G348" s="1158"/>
      <c r="H348" s="1158"/>
      <c r="I348" s="1158"/>
      <c r="J348" s="1158"/>
      <c r="K348" s="1158"/>
      <c r="L348" s="1158"/>
      <c r="M348" s="1158"/>
      <c r="N348" s="1158"/>
      <c r="O348" s="1158"/>
      <c r="P348" s="1158"/>
      <c r="Q348" s="1158"/>
      <c r="R348" s="1158"/>
      <c r="S348" s="1158"/>
      <c r="T348" s="1158"/>
      <c r="U348" s="1158"/>
      <c r="V348" s="1158"/>
      <c r="W348" s="1158"/>
      <c r="X348" s="1158"/>
      <c r="Y348" s="1158"/>
      <c r="Z348" s="1156"/>
      <c r="AA348" s="1156"/>
      <c r="AB348" s="1156"/>
      <c r="AC348" s="1156"/>
      <c r="AD348" s="1156"/>
      <c r="AE348" s="1156"/>
      <c r="AF348" s="1156"/>
      <c r="AG348" s="1156"/>
      <c r="AH348" s="1156"/>
      <c r="AI348" s="1156"/>
    </row>
    <row r="349" spans="1:35" s="1165" customFormat="1">
      <c r="A349" s="1156"/>
      <c r="B349" s="1156"/>
      <c r="C349" s="1156"/>
      <c r="D349" s="1156"/>
      <c r="E349" s="1158"/>
      <c r="F349" s="1158"/>
      <c r="G349" s="1158"/>
      <c r="H349" s="1158"/>
      <c r="I349" s="1158"/>
      <c r="J349" s="1158"/>
      <c r="K349" s="1158"/>
      <c r="L349" s="1158"/>
      <c r="M349" s="1158"/>
      <c r="N349" s="1158"/>
      <c r="O349" s="1158"/>
      <c r="P349" s="1158"/>
      <c r="Q349" s="1158"/>
      <c r="R349" s="1158"/>
      <c r="S349" s="1158"/>
      <c r="T349" s="1158"/>
      <c r="U349" s="1158"/>
      <c r="V349" s="1158"/>
      <c r="W349" s="1158"/>
      <c r="X349" s="1158"/>
      <c r="Y349" s="1158"/>
      <c r="Z349" s="1156"/>
      <c r="AA349" s="1156"/>
      <c r="AB349" s="1156"/>
      <c r="AC349" s="1156"/>
      <c r="AD349" s="1156"/>
      <c r="AE349" s="1156"/>
      <c r="AF349" s="1156"/>
      <c r="AG349" s="1156"/>
      <c r="AH349" s="1156"/>
      <c r="AI349" s="1156"/>
    </row>
    <row r="350" spans="1:35" s="1165" customFormat="1">
      <c r="A350" s="1156"/>
      <c r="B350" s="1156"/>
      <c r="C350" s="1156"/>
      <c r="D350" s="1156"/>
      <c r="E350" s="1158"/>
      <c r="F350" s="1158"/>
      <c r="G350" s="1158"/>
      <c r="H350" s="1158"/>
      <c r="I350" s="1158"/>
      <c r="J350" s="1158"/>
      <c r="K350" s="1158"/>
      <c r="L350" s="1158"/>
      <c r="M350" s="1158"/>
      <c r="N350" s="1158"/>
      <c r="O350" s="1158"/>
      <c r="P350" s="1158"/>
      <c r="Q350" s="1158"/>
      <c r="R350" s="1158"/>
      <c r="S350" s="1158"/>
      <c r="T350" s="1158"/>
      <c r="U350" s="1158"/>
      <c r="V350" s="1158"/>
      <c r="W350" s="1158"/>
      <c r="X350" s="1158"/>
      <c r="Y350" s="1158"/>
      <c r="Z350" s="1156"/>
      <c r="AA350" s="1156"/>
      <c r="AB350" s="1156"/>
      <c r="AC350" s="1156"/>
      <c r="AD350" s="1156"/>
      <c r="AE350" s="1156"/>
      <c r="AF350" s="1156"/>
      <c r="AG350" s="1156"/>
      <c r="AH350" s="1156"/>
      <c r="AI350" s="1156"/>
    </row>
    <row r="351" spans="1:35" s="1165" customFormat="1">
      <c r="A351" s="1156"/>
      <c r="B351" s="1156"/>
      <c r="C351" s="1156"/>
      <c r="D351" s="1156"/>
      <c r="E351" s="1158"/>
      <c r="F351" s="1158"/>
      <c r="G351" s="1158"/>
      <c r="H351" s="1158"/>
      <c r="I351" s="1158"/>
      <c r="J351" s="1158"/>
      <c r="K351" s="1158"/>
      <c r="L351" s="1158"/>
      <c r="M351" s="1158"/>
      <c r="N351" s="1158"/>
      <c r="O351" s="1158"/>
      <c r="P351" s="1158"/>
      <c r="Q351" s="1158"/>
      <c r="R351" s="1158"/>
      <c r="S351" s="1158"/>
      <c r="T351" s="1158"/>
      <c r="U351" s="1158"/>
      <c r="V351" s="1158"/>
      <c r="W351" s="1158"/>
      <c r="X351" s="1158"/>
      <c r="Y351" s="1158"/>
      <c r="Z351" s="1156"/>
      <c r="AA351" s="1156"/>
      <c r="AB351" s="1156"/>
      <c r="AC351" s="1156"/>
      <c r="AD351" s="1156"/>
      <c r="AE351" s="1156"/>
      <c r="AF351" s="1156"/>
      <c r="AG351" s="1156"/>
      <c r="AH351" s="1156"/>
      <c r="AI351" s="1156"/>
    </row>
    <row r="352" spans="1:35" s="1165" customFormat="1">
      <c r="A352" s="1156"/>
      <c r="B352" s="1156"/>
      <c r="C352" s="1156"/>
      <c r="D352" s="1156"/>
      <c r="E352" s="1158"/>
      <c r="F352" s="1158"/>
      <c r="G352" s="1158"/>
      <c r="H352" s="1158"/>
      <c r="I352" s="1158"/>
      <c r="J352" s="1158"/>
      <c r="K352" s="1158"/>
      <c r="L352" s="1158"/>
      <c r="M352" s="1158"/>
      <c r="N352" s="1158"/>
      <c r="O352" s="1158"/>
      <c r="P352" s="1158"/>
      <c r="Q352" s="1158"/>
      <c r="R352" s="1158"/>
      <c r="S352" s="1158"/>
      <c r="T352" s="1158"/>
      <c r="U352" s="1158"/>
      <c r="V352" s="1158"/>
      <c r="W352" s="1158"/>
      <c r="X352" s="1158"/>
      <c r="Y352" s="1158"/>
      <c r="Z352" s="1156"/>
      <c r="AA352" s="1156"/>
      <c r="AB352" s="1156"/>
      <c r="AC352" s="1156"/>
      <c r="AD352" s="1156"/>
      <c r="AE352" s="1156"/>
      <c r="AF352" s="1156"/>
      <c r="AG352" s="1156"/>
      <c r="AH352" s="1156"/>
      <c r="AI352" s="1156"/>
    </row>
    <row r="353" spans="1:35" s="1165" customFormat="1">
      <c r="A353" s="1156"/>
      <c r="B353" s="1156"/>
      <c r="C353" s="1156"/>
      <c r="D353" s="1156"/>
      <c r="E353" s="1158"/>
      <c r="F353" s="1158"/>
      <c r="G353" s="1158"/>
      <c r="H353" s="1158"/>
      <c r="I353" s="1158"/>
      <c r="J353" s="1158"/>
      <c r="K353" s="1158"/>
      <c r="L353" s="1158"/>
      <c r="M353" s="1158"/>
      <c r="N353" s="1158"/>
      <c r="O353" s="1158"/>
      <c r="P353" s="1158"/>
      <c r="Q353" s="1158"/>
      <c r="R353" s="1158"/>
      <c r="S353" s="1158"/>
      <c r="T353" s="1158"/>
      <c r="U353" s="1158"/>
      <c r="V353" s="1158"/>
      <c r="W353" s="1158"/>
      <c r="X353" s="1158"/>
      <c r="Y353" s="1158"/>
      <c r="Z353" s="1156"/>
      <c r="AA353" s="1156"/>
      <c r="AB353" s="1156"/>
      <c r="AC353" s="1156"/>
      <c r="AD353" s="1156"/>
      <c r="AE353" s="1156"/>
      <c r="AF353" s="1156"/>
      <c r="AG353" s="1156"/>
      <c r="AH353" s="1156"/>
      <c r="AI353" s="1156"/>
    </row>
    <row r="354" spans="1:35" s="1165" customFormat="1">
      <c r="A354" s="1156"/>
      <c r="B354" s="1156"/>
      <c r="C354" s="1156"/>
      <c r="D354" s="1156"/>
      <c r="E354" s="1158"/>
      <c r="F354" s="1158"/>
      <c r="G354" s="1158"/>
      <c r="H354" s="1158"/>
      <c r="I354" s="1158"/>
      <c r="J354" s="1158"/>
      <c r="K354" s="1158"/>
      <c r="L354" s="1158"/>
      <c r="M354" s="1158"/>
      <c r="N354" s="1158"/>
      <c r="O354" s="1158"/>
      <c r="P354" s="1158"/>
      <c r="Q354" s="1158"/>
      <c r="R354" s="1158"/>
      <c r="S354" s="1158"/>
      <c r="T354" s="1158"/>
      <c r="U354" s="1158"/>
      <c r="V354" s="1158"/>
      <c r="W354" s="1158"/>
      <c r="X354" s="1158"/>
      <c r="Y354" s="1158"/>
      <c r="Z354" s="1156"/>
      <c r="AA354" s="1156"/>
      <c r="AB354" s="1156"/>
      <c r="AC354" s="1156"/>
      <c r="AD354" s="1156"/>
      <c r="AE354" s="1156"/>
      <c r="AF354" s="1156"/>
      <c r="AG354" s="1156"/>
      <c r="AH354" s="1156"/>
      <c r="AI354" s="1156"/>
    </row>
    <row r="355" spans="1:35" s="1165" customFormat="1">
      <c r="A355" s="1156"/>
      <c r="B355" s="1156"/>
      <c r="C355" s="1156"/>
      <c r="D355" s="1156"/>
      <c r="E355" s="1158"/>
      <c r="F355" s="1158"/>
      <c r="G355" s="1158"/>
      <c r="H355" s="1158"/>
      <c r="I355" s="1158"/>
      <c r="J355" s="1158"/>
      <c r="K355" s="1158"/>
      <c r="L355" s="1158"/>
      <c r="M355" s="1158"/>
      <c r="N355" s="1158"/>
      <c r="O355" s="1158"/>
      <c r="P355" s="1158"/>
      <c r="Q355" s="1158"/>
      <c r="R355" s="1158"/>
      <c r="S355" s="1158"/>
      <c r="T355" s="1158"/>
      <c r="U355" s="1158"/>
      <c r="V355" s="1158"/>
      <c r="W355" s="1158"/>
      <c r="X355" s="1158"/>
      <c r="Y355" s="1158"/>
      <c r="Z355" s="1156"/>
      <c r="AA355" s="1156"/>
      <c r="AB355" s="1156"/>
      <c r="AC355" s="1156"/>
      <c r="AD355" s="1156"/>
      <c r="AE355" s="1156"/>
      <c r="AF355" s="1156"/>
      <c r="AG355" s="1156"/>
      <c r="AH355" s="1156"/>
      <c r="AI355" s="1156"/>
    </row>
    <row r="356" spans="1:35" s="1165" customFormat="1">
      <c r="A356" s="1156"/>
      <c r="B356" s="1156"/>
      <c r="C356" s="1156"/>
      <c r="D356" s="1156"/>
      <c r="E356" s="1158"/>
      <c r="F356" s="1158"/>
      <c r="G356" s="1158"/>
      <c r="H356" s="1158"/>
      <c r="I356" s="1158"/>
      <c r="J356" s="1158"/>
      <c r="K356" s="1158"/>
      <c r="L356" s="1158"/>
      <c r="M356" s="1158"/>
      <c r="N356" s="1158"/>
      <c r="O356" s="1158"/>
      <c r="P356" s="1158"/>
      <c r="Q356" s="1158"/>
      <c r="R356" s="1158"/>
      <c r="S356" s="1158"/>
      <c r="T356" s="1158"/>
      <c r="U356" s="1158"/>
      <c r="V356" s="1158"/>
      <c r="W356" s="1158"/>
      <c r="X356" s="1158"/>
      <c r="Y356" s="1158"/>
      <c r="Z356" s="1156"/>
      <c r="AA356" s="1156"/>
      <c r="AB356" s="1156"/>
      <c r="AC356" s="1156"/>
      <c r="AD356" s="1156"/>
      <c r="AE356" s="1156"/>
      <c r="AF356" s="1156"/>
      <c r="AG356" s="1156"/>
      <c r="AH356" s="1156"/>
      <c r="AI356" s="1156"/>
    </row>
    <row r="357" spans="1:35" s="1165" customFormat="1">
      <c r="A357" s="1156"/>
      <c r="B357" s="1156"/>
      <c r="C357" s="1156"/>
      <c r="D357" s="1156"/>
      <c r="E357" s="1158"/>
      <c r="F357" s="1158"/>
      <c r="G357" s="1158"/>
      <c r="H357" s="1158"/>
      <c r="I357" s="1158"/>
      <c r="J357" s="1158"/>
      <c r="K357" s="1158"/>
      <c r="L357" s="1158"/>
      <c r="M357" s="1158"/>
      <c r="N357" s="1158"/>
      <c r="O357" s="1158"/>
      <c r="P357" s="1158"/>
      <c r="Q357" s="1158"/>
      <c r="R357" s="1158"/>
      <c r="S357" s="1158"/>
      <c r="T357" s="1158"/>
      <c r="U357" s="1158"/>
      <c r="V357" s="1158"/>
      <c r="W357" s="1158"/>
      <c r="X357" s="1158"/>
      <c r="Y357" s="1158"/>
      <c r="Z357" s="1156"/>
      <c r="AA357" s="1156"/>
      <c r="AB357" s="1156"/>
      <c r="AC357" s="1156"/>
      <c r="AD357" s="1156"/>
      <c r="AE357" s="1156"/>
      <c r="AF357" s="1156"/>
      <c r="AG357" s="1156"/>
      <c r="AH357" s="1156"/>
      <c r="AI357" s="1156"/>
    </row>
    <row r="358" spans="1:35" s="1165" customFormat="1">
      <c r="A358" s="1156"/>
      <c r="B358" s="1156"/>
      <c r="C358" s="1156"/>
      <c r="D358" s="1156"/>
      <c r="E358" s="1158"/>
      <c r="F358" s="1158"/>
      <c r="G358" s="1158"/>
      <c r="H358" s="1158"/>
      <c r="I358" s="1158"/>
      <c r="J358" s="1158"/>
      <c r="K358" s="1158"/>
      <c r="L358" s="1158"/>
      <c r="M358" s="1158"/>
      <c r="N358" s="1158"/>
      <c r="O358" s="1158"/>
      <c r="P358" s="1158"/>
      <c r="Q358" s="1158"/>
      <c r="R358" s="1158"/>
      <c r="S358" s="1158"/>
      <c r="T358" s="1158"/>
      <c r="U358" s="1158"/>
      <c r="V358" s="1158"/>
      <c r="W358" s="1158"/>
      <c r="X358" s="1158"/>
      <c r="Y358" s="1158"/>
      <c r="Z358" s="1156"/>
      <c r="AA358" s="1156"/>
      <c r="AB358" s="1156"/>
      <c r="AC358" s="1156"/>
      <c r="AD358" s="1156"/>
      <c r="AE358" s="1156"/>
      <c r="AF358" s="1156"/>
      <c r="AG358" s="1156"/>
      <c r="AH358" s="1156"/>
      <c r="AI358" s="1156"/>
    </row>
    <row r="359" spans="1:35" s="1165" customFormat="1">
      <c r="A359" s="1156"/>
      <c r="B359" s="1156"/>
      <c r="C359" s="1156"/>
      <c r="D359" s="1156"/>
      <c r="E359" s="1158"/>
      <c r="F359" s="1158"/>
      <c r="G359" s="1158"/>
      <c r="H359" s="1158"/>
      <c r="I359" s="1158"/>
      <c r="J359" s="1158"/>
      <c r="K359" s="1158"/>
      <c r="L359" s="1158"/>
      <c r="M359" s="1158"/>
      <c r="N359" s="1158"/>
      <c r="O359" s="1158"/>
      <c r="P359" s="1158"/>
      <c r="Q359" s="1158"/>
      <c r="R359" s="1158"/>
      <c r="S359" s="1158"/>
      <c r="T359" s="1158"/>
      <c r="U359" s="1158"/>
      <c r="V359" s="1158"/>
      <c r="W359" s="1158"/>
      <c r="X359" s="1158"/>
      <c r="Y359" s="1158"/>
      <c r="Z359" s="1156"/>
      <c r="AA359" s="1156"/>
      <c r="AB359" s="1156"/>
      <c r="AC359" s="1156"/>
      <c r="AD359" s="1156"/>
      <c r="AE359" s="1156"/>
      <c r="AF359" s="1156"/>
      <c r="AG359" s="1156"/>
      <c r="AH359" s="1156"/>
      <c r="AI359" s="1156"/>
    </row>
    <row r="360" spans="1:35" s="1165" customFormat="1">
      <c r="A360" s="1156"/>
      <c r="B360" s="1156"/>
      <c r="C360" s="1156"/>
      <c r="D360" s="1156"/>
      <c r="E360" s="1158"/>
      <c r="F360" s="1158"/>
      <c r="G360" s="1158"/>
      <c r="H360" s="1158"/>
      <c r="I360" s="1158"/>
      <c r="J360" s="1158"/>
      <c r="K360" s="1158"/>
      <c r="L360" s="1158"/>
      <c r="M360" s="1158"/>
      <c r="N360" s="1158"/>
      <c r="O360" s="1158"/>
      <c r="P360" s="1158"/>
      <c r="Q360" s="1158"/>
      <c r="R360" s="1158"/>
      <c r="S360" s="1158"/>
      <c r="T360" s="1158"/>
      <c r="U360" s="1158"/>
      <c r="V360" s="1158"/>
      <c r="W360" s="1158"/>
      <c r="X360" s="1158"/>
      <c r="Y360" s="1158"/>
      <c r="Z360" s="1156"/>
      <c r="AA360" s="1156"/>
      <c r="AB360" s="1156"/>
      <c r="AC360" s="1156"/>
      <c r="AD360" s="1156"/>
      <c r="AE360" s="1156"/>
      <c r="AF360" s="1156"/>
      <c r="AG360" s="1156"/>
      <c r="AH360" s="1156"/>
      <c r="AI360" s="1156"/>
    </row>
    <row r="361" spans="1:35" s="1165" customFormat="1">
      <c r="A361" s="1156"/>
      <c r="B361" s="1156"/>
      <c r="C361" s="1156"/>
      <c r="D361" s="1156"/>
      <c r="E361" s="1158"/>
      <c r="F361" s="1158"/>
      <c r="G361" s="1158"/>
      <c r="H361" s="1158"/>
      <c r="I361" s="1158"/>
      <c r="J361" s="1158"/>
      <c r="K361" s="1158"/>
      <c r="L361" s="1158"/>
      <c r="M361" s="1158"/>
      <c r="N361" s="1158"/>
      <c r="O361" s="1158"/>
      <c r="P361" s="1158"/>
      <c r="Q361" s="1158"/>
      <c r="R361" s="1158"/>
      <c r="S361" s="1158"/>
      <c r="T361" s="1158"/>
      <c r="U361" s="1158"/>
      <c r="V361" s="1158"/>
      <c r="W361" s="1158"/>
      <c r="X361" s="1158"/>
      <c r="Y361" s="1158"/>
      <c r="Z361" s="1156"/>
      <c r="AA361" s="1156"/>
      <c r="AB361" s="1156"/>
      <c r="AC361" s="1156"/>
      <c r="AD361" s="1156"/>
      <c r="AE361" s="1156"/>
      <c r="AF361" s="1156"/>
      <c r="AG361" s="1156"/>
      <c r="AH361" s="1156"/>
      <c r="AI361" s="1156"/>
    </row>
    <row r="362" spans="1:35" s="1165" customFormat="1">
      <c r="A362" s="1156"/>
      <c r="B362" s="1156"/>
      <c r="C362" s="1156"/>
      <c r="D362" s="1156"/>
      <c r="E362" s="1158"/>
      <c r="F362" s="1158"/>
      <c r="G362" s="1158"/>
      <c r="H362" s="1158"/>
      <c r="I362" s="1158"/>
      <c r="J362" s="1158"/>
      <c r="K362" s="1158"/>
      <c r="L362" s="1158"/>
      <c r="M362" s="1158"/>
      <c r="N362" s="1158"/>
      <c r="O362" s="1158"/>
      <c r="P362" s="1158"/>
      <c r="Q362" s="1158"/>
      <c r="R362" s="1158"/>
      <c r="S362" s="1158"/>
      <c r="T362" s="1158"/>
      <c r="U362" s="1158"/>
      <c r="V362" s="1158"/>
      <c r="W362" s="1158"/>
      <c r="X362" s="1158"/>
      <c r="Y362" s="1158"/>
      <c r="Z362" s="1156"/>
      <c r="AA362" s="1156"/>
      <c r="AB362" s="1156"/>
      <c r="AC362" s="1156"/>
      <c r="AD362" s="1156"/>
      <c r="AE362" s="1156"/>
      <c r="AF362" s="1156"/>
      <c r="AG362" s="1156"/>
      <c r="AH362" s="1156"/>
      <c r="AI362" s="1156"/>
    </row>
    <row r="363" spans="1:35" s="1165" customFormat="1">
      <c r="A363" s="1156"/>
      <c r="B363" s="1156"/>
      <c r="C363" s="1156"/>
      <c r="D363" s="1156"/>
      <c r="E363" s="1158"/>
      <c r="F363" s="1158"/>
      <c r="G363" s="1158"/>
      <c r="H363" s="1158"/>
      <c r="I363" s="1158"/>
      <c r="J363" s="1158"/>
      <c r="K363" s="1158"/>
      <c r="L363" s="1158"/>
      <c r="M363" s="1158"/>
      <c r="N363" s="1158"/>
      <c r="O363" s="1158"/>
      <c r="P363" s="1158"/>
      <c r="Q363" s="1158"/>
      <c r="R363" s="1158"/>
      <c r="S363" s="1158"/>
      <c r="T363" s="1158"/>
      <c r="U363" s="1158"/>
      <c r="V363" s="1158"/>
      <c r="W363" s="1158"/>
      <c r="X363" s="1158"/>
      <c r="Y363" s="1158"/>
      <c r="Z363" s="1156"/>
      <c r="AA363" s="1156"/>
      <c r="AB363" s="1156"/>
      <c r="AC363" s="1156"/>
      <c r="AD363" s="1156"/>
      <c r="AE363" s="1156"/>
      <c r="AF363" s="1156"/>
      <c r="AG363" s="1156"/>
      <c r="AH363" s="1156"/>
      <c r="AI363" s="1156"/>
    </row>
    <row r="364" spans="1:35" s="1165" customFormat="1">
      <c r="A364" s="1156"/>
      <c r="B364" s="1156"/>
      <c r="C364" s="1156"/>
      <c r="D364" s="1156"/>
      <c r="E364" s="1158"/>
      <c r="F364" s="1158"/>
      <c r="G364" s="1158"/>
      <c r="H364" s="1158"/>
      <c r="I364" s="1158"/>
      <c r="J364" s="1158"/>
      <c r="K364" s="1158"/>
      <c r="L364" s="1158"/>
      <c r="M364" s="1158"/>
      <c r="N364" s="1158"/>
      <c r="O364" s="1158"/>
      <c r="P364" s="1158"/>
      <c r="Q364" s="1158"/>
      <c r="R364" s="1158"/>
      <c r="S364" s="1158"/>
      <c r="T364" s="1158"/>
      <c r="U364" s="1158"/>
      <c r="V364" s="1158"/>
      <c r="W364" s="1158"/>
      <c r="X364" s="1158"/>
      <c r="Y364" s="1158"/>
      <c r="Z364" s="1156"/>
      <c r="AA364" s="1156"/>
      <c r="AB364" s="1156"/>
      <c r="AC364" s="1156"/>
      <c r="AD364" s="1156"/>
      <c r="AE364" s="1156"/>
      <c r="AF364" s="1156"/>
      <c r="AG364" s="1156"/>
      <c r="AH364" s="1156"/>
      <c r="AI364" s="1156"/>
    </row>
    <row r="365" spans="1:35" s="1165" customFormat="1">
      <c r="A365" s="1156"/>
      <c r="B365" s="1156"/>
      <c r="C365" s="1156"/>
      <c r="D365" s="1156"/>
      <c r="E365" s="1158"/>
      <c r="F365" s="1158"/>
      <c r="G365" s="1158"/>
      <c r="H365" s="1158"/>
      <c r="I365" s="1158"/>
      <c r="J365" s="1158"/>
      <c r="K365" s="1158"/>
      <c r="L365" s="1158"/>
      <c r="M365" s="1158"/>
      <c r="N365" s="1158"/>
      <c r="O365" s="1158"/>
      <c r="P365" s="1158"/>
      <c r="Q365" s="1158"/>
      <c r="R365" s="1158"/>
      <c r="S365" s="1158"/>
      <c r="T365" s="1158"/>
      <c r="U365" s="1158"/>
      <c r="V365" s="1158"/>
      <c r="W365" s="1158"/>
      <c r="X365" s="1158"/>
      <c r="Y365" s="1158"/>
      <c r="Z365" s="1156"/>
      <c r="AA365" s="1156"/>
      <c r="AB365" s="1156"/>
      <c r="AC365" s="1156"/>
      <c r="AD365" s="1156"/>
      <c r="AE365" s="1156"/>
      <c r="AF365" s="1156"/>
      <c r="AG365" s="1156"/>
      <c r="AH365" s="1156"/>
      <c r="AI365" s="1156"/>
    </row>
    <row r="366" spans="1:35" s="1165" customFormat="1">
      <c r="A366" s="1156"/>
      <c r="B366" s="1156"/>
      <c r="C366" s="1156"/>
      <c r="D366" s="1156"/>
      <c r="E366" s="1158"/>
      <c r="F366" s="1158"/>
      <c r="G366" s="1158"/>
      <c r="H366" s="1158"/>
      <c r="I366" s="1158"/>
      <c r="J366" s="1158"/>
      <c r="K366" s="1158"/>
      <c r="L366" s="1158"/>
      <c r="M366" s="1158"/>
      <c r="N366" s="1158"/>
      <c r="O366" s="1158"/>
      <c r="P366" s="1158"/>
      <c r="Q366" s="1158"/>
      <c r="R366" s="1158"/>
      <c r="S366" s="1158"/>
      <c r="T366" s="1158"/>
      <c r="U366" s="1158"/>
      <c r="V366" s="1158"/>
      <c r="W366" s="1158"/>
      <c r="X366" s="1158"/>
      <c r="Y366" s="1158"/>
      <c r="Z366" s="1156"/>
      <c r="AA366" s="1156"/>
      <c r="AB366" s="1156"/>
      <c r="AC366" s="1156"/>
      <c r="AD366" s="1156"/>
      <c r="AE366" s="1156"/>
      <c r="AF366" s="1156"/>
      <c r="AG366" s="1156"/>
      <c r="AH366" s="1156"/>
      <c r="AI366" s="1156"/>
    </row>
    <row r="367" spans="1:35" s="1165" customFormat="1">
      <c r="A367" s="1156"/>
      <c r="B367" s="1156"/>
      <c r="C367" s="1156"/>
      <c r="D367" s="1156"/>
      <c r="E367" s="1158"/>
      <c r="F367" s="1158"/>
      <c r="G367" s="1158"/>
      <c r="H367" s="1158"/>
      <c r="I367" s="1158"/>
      <c r="J367" s="1158"/>
      <c r="K367" s="1158"/>
      <c r="L367" s="1158"/>
      <c r="M367" s="1158"/>
      <c r="N367" s="1158"/>
      <c r="O367" s="1158"/>
      <c r="P367" s="1158"/>
      <c r="Q367" s="1158"/>
      <c r="R367" s="1158"/>
      <c r="S367" s="1158"/>
      <c r="T367" s="1158"/>
      <c r="U367" s="1158"/>
      <c r="V367" s="1158"/>
      <c r="W367" s="1158"/>
      <c r="X367" s="1158"/>
      <c r="Y367" s="1158"/>
      <c r="Z367" s="1156"/>
      <c r="AA367" s="1156"/>
      <c r="AB367" s="1156"/>
      <c r="AC367" s="1156"/>
      <c r="AD367" s="1156"/>
      <c r="AE367" s="1156"/>
      <c r="AF367" s="1156"/>
      <c r="AG367" s="1156"/>
      <c r="AH367" s="1156"/>
      <c r="AI367" s="1156"/>
    </row>
    <row r="368" spans="1:35" s="1165" customFormat="1">
      <c r="A368" s="1156"/>
      <c r="B368" s="1156"/>
      <c r="C368" s="1156"/>
      <c r="D368" s="1156"/>
      <c r="E368" s="1158"/>
      <c r="F368" s="1158"/>
      <c r="G368" s="1158"/>
      <c r="H368" s="1158"/>
      <c r="I368" s="1158"/>
      <c r="J368" s="1158"/>
      <c r="K368" s="1158"/>
      <c r="L368" s="1158"/>
      <c r="M368" s="1158"/>
      <c r="N368" s="1158"/>
      <c r="O368" s="1158"/>
      <c r="P368" s="1158"/>
      <c r="Q368" s="1158"/>
      <c r="R368" s="1158"/>
      <c r="S368" s="1158"/>
      <c r="T368" s="1158"/>
      <c r="U368" s="1158"/>
      <c r="V368" s="1158"/>
      <c r="W368" s="1158"/>
      <c r="X368" s="1158"/>
      <c r="Y368" s="1158"/>
      <c r="Z368" s="1156"/>
      <c r="AA368" s="1156"/>
      <c r="AB368" s="1156"/>
      <c r="AC368" s="1156"/>
      <c r="AD368" s="1156"/>
      <c r="AE368" s="1156"/>
      <c r="AF368" s="1156"/>
      <c r="AG368" s="1156"/>
      <c r="AH368" s="1156"/>
      <c r="AI368" s="1156"/>
    </row>
    <row r="369" spans="1:35" s="1165" customFormat="1">
      <c r="A369" s="1156"/>
      <c r="B369" s="1156"/>
      <c r="C369" s="1156"/>
      <c r="D369" s="1156"/>
      <c r="E369" s="1158"/>
      <c r="F369" s="1158"/>
      <c r="G369" s="1158"/>
      <c r="H369" s="1158"/>
      <c r="I369" s="1158"/>
      <c r="J369" s="1158"/>
      <c r="K369" s="1158"/>
      <c r="L369" s="1158"/>
      <c r="M369" s="1158"/>
      <c r="N369" s="1158"/>
      <c r="O369" s="1158"/>
      <c r="P369" s="1158"/>
      <c r="Q369" s="1158"/>
      <c r="R369" s="1158"/>
      <c r="S369" s="1158"/>
      <c r="T369" s="1158"/>
      <c r="U369" s="1158"/>
      <c r="V369" s="1158"/>
      <c r="W369" s="1158"/>
      <c r="X369" s="1158"/>
      <c r="Y369" s="1158"/>
      <c r="Z369" s="1156"/>
      <c r="AA369" s="1156"/>
      <c r="AB369" s="1156"/>
      <c r="AC369" s="1156"/>
      <c r="AD369" s="1156"/>
      <c r="AE369" s="1156"/>
      <c r="AF369" s="1156"/>
      <c r="AG369" s="1156"/>
      <c r="AH369" s="1156"/>
      <c r="AI369" s="1156"/>
    </row>
    <row r="370" spans="1:35" s="1165" customFormat="1">
      <c r="A370" s="1156"/>
      <c r="B370" s="1156"/>
      <c r="C370" s="1156"/>
      <c r="D370" s="1156"/>
      <c r="E370" s="1158"/>
      <c r="F370" s="1158"/>
      <c r="G370" s="1158"/>
      <c r="H370" s="1158"/>
      <c r="I370" s="1158"/>
      <c r="J370" s="1158"/>
      <c r="K370" s="1158"/>
      <c r="L370" s="1158"/>
      <c r="M370" s="1158"/>
      <c r="N370" s="1158"/>
      <c r="O370" s="1158"/>
      <c r="P370" s="1158"/>
      <c r="Q370" s="1158"/>
      <c r="R370" s="1158"/>
      <c r="S370" s="1158"/>
      <c r="T370" s="1158"/>
      <c r="U370" s="1158"/>
      <c r="V370" s="1158"/>
      <c r="W370" s="1158"/>
      <c r="X370" s="1158"/>
      <c r="Y370" s="1158"/>
      <c r="Z370" s="1156"/>
      <c r="AA370" s="1156"/>
      <c r="AB370" s="1156"/>
      <c r="AC370" s="1156"/>
      <c r="AD370" s="1156"/>
      <c r="AE370" s="1156"/>
      <c r="AF370" s="1156"/>
      <c r="AG370" s="1156"/>
      <c r="AH370" s="1156"/>
      <c r="AI370" s="1156"/>
    </row>
    <row r="371" spans="1:35" s="1165" customFormat="1">
      <c r="A371" s="1156"/>
      <c r="B371" s="1156"/>
      <c r="C371" s="1156"/>
      <c r="D371" s="1156"/>
      <c r="E371" s="1158"/>
      <c r="F371" s="1158"/>
      <c r="G371" s="1158"/>
      <c r="H371" s="1158"/>
      <c r="I371" s="1158"/>
      <c r="J371" s="1158"/>
      <c r="K371" s="1158"/>
      <c r="L371" s="1158"/>
      <c r="M371" s="1158"/>
      <c r="N371" s="1158"/>
      <c r="O371" s="1158"/>
      <c r="P371" s="1158"/>
      <c r="Q371" s="1158"/>
      <c r="R371" s="1158"/>
      <c r="S371" s="1158"/>
      <c r="T371" s="1158"/>
      <c r="U371" s="1158"/>
      <c r="V371" s="1158"/>
      <c r="W371" s="1158"/>
      <c r="X371" s="1158"/>
      <c r="Y371" s="1158"/>
      <c r="Z371" s="1156"/>
      <c r="AA371" s="1156"/>
      <c r="AB371" s="1156"/>
      <c r="AC371" s="1156"/>
      <c r="AD371" s="1156"/>
      <c r="AE371" s="1156"/>
      <c r="AF371" s="1156"/>
      <c r="AG371" s="1156"/>
      <c r="AH371" s="1156"/>
      <c r="AI371" s="1156"/>
    </row>
    <row r="372" spans="1:35" s="1165" customFormat="1">
      <c r="A372" s="1156"/>
      <c r="B372" s="1156"/>
      <c r="C372" s="1156"/>
      <c r="D372" s="1156"/>
      <c r="E372" s="1158"/>
      <c r="F372" s="1158"/>
      <c r="G372" s="1158"/>
      <c r="H372" s="1158"/>
      <c r="I372" s="1158"/>
      <c r="J372" s="1158"/>
      <c r="K372" s="1158"/>
      <c r="L372" s="1158"/>
      <c r="M372" s="1158"/>
      <c r="N372" s="1158"/>
      <c r="O372" s="1158"/>
      <c r="P372" s="1158"/>
      <c r="Q372" s="1158"/>
      <c r="R372" s="1158"/>
      <c r="S372" s="1158"/>
      <c r="T372" s="1158"/>
      <c r="U372" s="1158"/>
      <c r="V372" s="1158"/>
      <c r="W372" s="1158"/>
      <c r="X372" s="1158"/>
      <c r="Y372" s="1158"/>
      <c r="Z372" s="1156"/>
      <c r="AA372" s="1156"/>
      <c r="AB372" s="1156"/>
      <c r="AC372" s="1156"/>
      <c r="AD372" s="1156"/>
      <c r="AE372" s="1156"/>
      <c r="AF372" s="1156"/>
      <c r="AG372" s="1156"/>
      <c r="AH372" s="1156"/>
      <c r="AI372" s="1156"/>
    </row>
    <row r="373" spans="1:35" s="1165" customFormat="1">
      <c r="A373" s="1156"/>
      <c r="B373" s="1156"/>
      <c r="C373" s="1156"/>
      <c r="D373" s="1156"/>
      <c r="E373" s="1158"/>
      <c r="F373" s="1158"/>
      <c r="G373" s="1158"/>
      <c r="H373" s="1158"/>
      <c r="I373" s="1158"/>
      <c r="J373" s="1158"/>
      <c r="K373" s="1158"/>
      <c r="L373" s="1158"/>
      <c r="M373" s="1158"/>
      <c r="N373" s="1158"/>
      <c r="O373" s="1158"/>
      <c r="P373" s="1158"/>
      <c r="Q373" s="1158"/>
      <c r="R373" s="1158"/>
      <c r="S373" s="1158"/>
      <c r="T373" s="1158"/>
      <c r="U373" s="1158"/>
      <c r="V373" s="1158"/>
      <c r="W373" s="1158"/>
      <c r="X373" s="1158"/>
      <c r="Y373" s="1158"/>
      <c r="Z373" s="1156"/>
      <c r="AA373" s="1156"/>
      <c r="AB373" s="1156"/>
      <c r="AC373" s="1156"/>
      <c r="AD373" s="1156"/>
      <c r="AE373" s="1156"/>
      <c r="AF373" s="1156"/>
      <c r="AG373" s="1156"/>
      <c r="AH373" s="1156"/>
      <c r="AI373" s="1156"/>
    </row>
    <row r="374" spans="1:35" s="1165" customFormat="1">
      <c r="A374" s="1156"/>
      <c r="B374" s="1156"/>
      <c r="C374" s="1156"/>
      <c r="D374" s="1156"/>
      <c r="E374" s="1158"/>
      <c r="F374" s="1158"/>
      <c r="G374" s="1158"/>
      <c r="H374" s="1158"/>
      <c r="I374" s="1158"/>
      <c r="J374" s="1158"/>
      <c r="K374" s="1158"/>
      <c r="L374" s="1158"/>
      <c r="M374" s="1158"/>
      <c r="N374" s="1158"/>
      <c r="O374" s="1158"/>
      <c r="P374" s="1158"/>
      <c r="Q374" s="1158"/>
      <c r="R374" s="1158"/>
      <c r="S374" s="1158"/>
      <c r="T374" s="1158"/>
      <c r="U374" s="1158"/>
      <c r="V374" s="1158"/>
      <c r="W374" s="1158"/>
      <c r="X374" s="1158"/>
      <c r="Y374" s="1158"/>
      <c r="Z374" s="1156"/>
      <c r="AA374" s="1156"/>
      <c r="AB374" s="1156"/>
      <c r="AC374" s="1156"/>
      <c r="AD374" s="1156"/>
      <c r="AE374" s="1156"/>
      <c r="AF374" s="1156"/>
      <c r="AG374" s="1156"/>
      <c r="AH374" s="1156"/>
      <c r="AI374" s="1156"/>
    </row>
    <row r="375" spans="1:35" s="1165" customFormat="1">
      <c r="A375" s="1156"/>
      <c r="B375" s="1156"/>
      <c r="C375" s="1156"/>
      <c r="D375" s="1156"/>
      <c r="E375" s="1158"/>
      <c r="F375" s="1158"/>
      <c r="G375" s="1158"/>
      <c r="H375" s="1158"/>
      <c r="I375" s="1158"/>
      <c r="J375" s="1158"/>
      <c r="K375" s="1158"/>
      <c r="L375" s="1158"/>
      <c r="M375" s="1158"/>
      <c r="N375" s="1158"/>
      <c r="O375" s="1158"/>
      <c r="P375" s="1158"/>
      <c r="Q375" s="1158"/>
      <c r="R375" s="1158"/>
      <c r="S375" s="1158"/>
      <c r="T375" s="1158"/>
      <c r="U375" s="1158"/>
      <c r="V375" s="1158"/>
      <c r="W375" s="1158"/>
      <c r="X375" s="1158"/>
      <c r="Y375" s="1158"/>
      <c r="Z375" s="1156"/>
      <c r="AA375" s="1156"/>
      <c r="AB375" s="1156"/>
      <c r="AC375" s="1156"/>
      <c r="AD375" s="1156"/>
      <c r="AE375" s="1156"/>
      <c r="AF375" s="1156"/>
      <c r="AG375" s="1156"/>
      <c r="AH375" s="1156"/>
      <c r="AI375" s="1156"/>
    </row>
    <row r="376" spans="1:35" s="1165" customFormat="1">
      <c r="A376" s="1156"/>
      <c r="B376" s="1156"/>
      <c r="C376" s="1156"/>
      <c r="D376" s="1156"/>
      <c r="E376" s="1158"/>
      <c r="F376" s="1158"/>
      <c r="G376" s="1158"/>
      <c r="H376" s="1158"/>
      <c r="I376" s="1158"/>
      <c r="J376" s="1158"/>
      <c r="K376" s="1158"/>
      <c r="L376" s="1158"/>
      <c r="M376" s="1158"/>
      <c r="N376" s="1158"/>
      <c r="O376" s="1158"/>
      <c r="P376" s="1158"/>
      <c r="Q376" s="1158"/>
      <c r="R376" s="1158"/>
      <c r="S376" s="1158"/>
      <c r="T376" s="1158"/>
      <c r="U376" s="1158"/>
      <c r="V376" s="1158"/>
      <c r="W376" s="1158"/>
      <c r="X376" s="1158"/>
      <c r="Y376" s="1158"/>
      <c r="Z376" s="1156"/>
      <c r="AA376" s="1156"/>
      <c r="AB376" s="1156"/>
      <c r="AC376" s="1156"/>
      <c r="AD376" s="1156"/>
      <c r="AE376" s="1156"/>
      <c r="AF376" s="1156"/>
      <c r="AG376" s="1156"/>
      <c r="AH376" s="1156"/>
      <c r="AI376" s="1156"/>
    </row>
    <row r="377" spans="1:35" s="1165" customFormat="1">
      <c r="A377" s="1156"/>
      <c r="B377" s="1156"/>
      <c r="C377" s="1156"/>
      <c r="D377" s="1156"/>
      <c r="E377" s="1158"/>
      <c r="F377" s="1158"/>
      <c r="G377" s="1158"/>
      <c r="H377" s="1158"/>
      <c r="I377" s="1158"/>
      <c r="J377" s="1158"/>
      <c r="K377" s="1158"/>
      <c r="L377" s="1158"/>
      <c r="M377" s="1158"/>
      <c r="N377" s="1158"/>
      <c r="O377" s="1158"/>
      <c r="P377" s="1158"/>
      <c r="Q377" s="1158"/>
      <c r="R377" s="1158"/>
      <c r="S377" s="1158"/>
      <c r="T377" s="1158"/>
      <c r="U377" s="1158"/>
      <c r="V377" s="1158"/>
      <c r="W377" s="1158"/>
      <c r="X377" s="1158"/>
      <c r="Y377" s="1158"/>
      <c r="Z377" s="1156"/>
      <c r="AA377" s="1156"/>
      <c r="AB377" s="1156"/>
      <c r="AC377" s="1156"/>
      <c r="AD377" s="1156"/>
      <c r="AE377" s="1156"/>
      <c r="AF377" s="1156"/>
      <c r="AG377" s="1156"/>
      <c r="AH377" s="1156"/>
      <c r="AI377" s="1156"/>
    </row>
    <row r="378" spans="1:35" s="1165" customFormat="1">
      <c r="A378" s="1156"/>
      <c r="B378" s="1156"/>
      <c r="C378" s="1156"/>
      <c r="D378" s="1156"/>
      <c r="E378" s="1158"/>
      <c r="F378" s="1158"/>
      <c r="G378" s="1158"/>
      <c r="H378" s="1158"/>
      <c r="I378" s="1158"/>
      <c r="J378" s="1158"/>
      <c r="K378" s="1158"/>
      <c r="L378" s="1158"/>
      <c r="M378" s="1158"/>
      <c r="N378" s="1158"/>
      <c r="O378" s="1158"/>
      <c r="P378" s="1158"/>
      <c r="Q378" s="1158"/>
      <c r="R378" s="1158"/>
      <c r="S378" s="1158"/>
      <c r="T378" s="1158"/>
      <c r="U378" s="1158"/>
      <c r="V378" s="1158"/>
      <c r="W378" s="1158"/>
      <c r="X378" s="1158"/>
      <c r="Y378" s="1158"/>
      <c r="Z378" s="1156"/>
      <c r="AA378" s="1156"/>
      <c r="AB378" s="1156"/>
      <c r="AC378" s="1156"/>
      <c r="AD378" s="1156"/>
      <c r="AE378" s="1156"/>
      <c r="AF378" s="1156"/>
      <c r="AG378" s="1156"/>
      <c r="AH378" s="1156"/>
      <c r="AI378" s="1156"/>
    </row>
    <row r="379" spans="1:35" s="1165" customFormat="1">
      <c r="A379" s="1156"/>
      <c r="B379" s="1156"/>
      <c r="C379" s="1156"/>
      <c r="D379" s="1156"/>
      <c r="E379" s="1158"/>
      <c r="F379" s="1158"/>
      <c r="G379" s="1158"/>
      <c r="H379" s="1158"/>
      <c r="I379" s="1158"/>
      <c r="J379" s="1158"/>
      <c r="K379" s="1158"/>
      <c r="L379" s="1158"/>
      <c r="M379" s="1158"/>
      <c r="N379" s="1158"/>
      <c r="O379" s="1158"/>
      <c r="P379" s="1158"/>
      <c r="Q379" s="1158"/>
      <c r="R379" s="1158"/>
      <c r="S379" s="1158"/>
      <c r="T379" s="1158"/>
      <c r="U379" s="1158"/>
      <c r="V379" s="1158"/>
      <c r="W379" s="1158"/>
      <c r="X379" s="1158"/>
      <c r="Y379" s="1158"/>
      <c r="Z379" s="1156"/>
      <c r="AA379" s="1156"/>
      <c r="AB379" s="1156"/>
      <c r="AC379" s="1156"/>
      <c r="AD379" s="1156"/>
      <c r="AE379" s="1156"/>
      <c r="AF379" s="1156"/>
      <c r="AG379" s="1156"/>
      <c r="AH379" s="1156"/>
      <c r="AI379" s="1156"/>
    </row>
    <row r="380" spans="1:35" s="1165" customFormat="1">
      <c r="A380" s="1156"/>
      <c r="B380" s="1156"/>
      <c r="C380" s="1156"/>
      <c r="D380" s="1156"/>
      <c r="E380" s="1158"/>
      <c r="F380" s="1158"/>
      <c r="G380" s="1158"/>
      <c r="H380" s="1158"/>
      <c r="I380" s="1158"/>
      <c r="J380" s="1158"/>
      <c r="K380" s="1158"/>
      <c r="L380" s="1158"/>
      <c r="M380" s="1158"/>
      <c r="N380" s="1158"/>
      <c r="O380" s="1158"/>
      <c r="P380" s="1158"/>
      <c r="Q380" s="1158"/>
      <c r="R380" s="1158"/>
      <c r="S380" s="1158"/>
      <c r="T380" s="1158"/>
      <c r="U380" s="1158"/>
      <c r="V380" s="1158"/>
      <c r="W380" s="1158"/>
      <c r="X380" s="1158"/>
      <c r="Y380" s="1158"/>
      <c r="Z380" s="1156"/>
      <c r="AA380" s="1156"/>
      <c r="AB380" s="1156"/>
      <c r="AC380" s="1156"/>
      <c r="AD380" s="1156"/>
      <c r="AE380" s="1156"/>
      <c r="AF380" s="1156"/>
      <c r="AG380" s="1156"/>
      <c r="AH380" s="1156"/>
      <c r="AI380" s="1156"/>
    </row>
    <row r="381" spans="1:35" s="1165" customFormat="1">
      <c r="A381" s="1156"/>
      <c r="B381" s="1156"/>
      <c r="C381" s="1156"/>
      <c r="D381" s="1156"/>
      <c r="E381" s="1158"/>
      <c r="F381" s="1158"/>
      <c r="G381" s="1158"/>
      <c r="H381" s="1158"/>
      <c r="I381" s="1158"/>
      <c r="J381" s="1158"/>
      <c r="K381" s="1158"/>
      <c r="L381" s="1158"/>
      <c r="M381" s="1158"/>
      <c r="N381" s="1158"/>
      <c r="O381" s="1158"/>
      <c r="P381" s="1158"/>
      <c r="Q381" s="1158"/>
      <c r="R381" s="1158"/>
      <c r="S381" s="1158"/>
      <c r="T381" s="1158"/>
      <c r="U381" s="1158"/>
      <c r="V381" s="1158"/>
      <c r="W381" s="1158"/>
      <c r="X381" s="1158"/>
      <c r="Y381" s="1158"/>
      <c r="Z381" s="1156"/>
      <c r="AA381" s="1156"/>
      <c r="AB381" s="1156"/>
      <c r="AC381" s="1156"/>
      <c r="AD381" s="1156"/>
      <c r="AE381" s="1156"/>
      <c r="AF381" s="1156"/>
      <c r="AG381" s="1156"/>
      <c r="AH381" s="1156"/>
      <c r="AI381" s="1156"/>
    </row>
    <row r="382" spans="1:35" s="1165" customFormat="1">
      <c r="A382" s="1156"/>
      <c r="B382" s="1156"/>
      <c r="C382" s="1156"/>
      <c r="D382" s="1156"/>
      <c r="E382" s="1158"/>
      <c r="F382" s="1158"/>
      <c r="G382" s="1158"/>
      <c r="H382" s="1158"/>
      <c r="I382" s="1158"/>
      <c r="J382" s="1158"/>
      <c r="K382" s="1158"/>
      <c r="L382" s="1158"/>
      <c r="M382" s="1158"/>
      <c r="N382" s="1158"/>
      <c r="O382" s="1158"/>
      <c r="P382" s="1158"/>
      <c r="Q382" s="1158"/>
      <c r="R382" s="1158"/>
      <c r="S382" s="1158"/>
      <c r="T382" s="1158"/>
      <c r="U382" s="1158"/>
      <c r="V382" s="1158"/>
      <c r="W382" s="1158"/>
      <c r="X382" s="1158"/>
      <c r="Y382" s="1158"/>
      <c r="Z382" s="1156"/>
      <c r="AA382" s="1156"/>
      <c r="AB382" s="1156"/>
      <c r="AC382" s="1156"/>
      <c r="AD382" s="1156"/>
      <c r="AE382" s="1156"/>
      <c r="AF382" s="1156"/>
      <c r="AG382" s="1156"/>
      <c r="AH382" s="1156"/>
      <c r="AI382" s="1156"/>
    </row>
    <row r="383" spans="1:35" s="1165" customFormat="1">
      <c r="A383" s="1156"/>
      <c r="B383" s="1156"/>
      <c r="C383" s="1156"/>
      <c r="D383" s="1156"/>
      <c r="E383" s="1158"/>
      <c r="F383" s="1158"/>
      <c r="G383" s="1158"/>
      <c r="H383" s="1158"/>
      <c r="I383" s="1158"/>
      <c r="J383" s="1158"/>
      <c r="K383" s="1158"/>
      <c r="L383" s="1158"/>
      <c r="M383" s="1158"/>
      <c r="N383" s="1158"/>
      <c r="O383" s="1158"/>
      <c r="P383" s="1158"/>
      <c r="Q383" s="1158"/>
      <c r="R383" s="1158"/>
      <c r="S383" s="1158"/>
      <c r="T383" s="1158"/>
      <c r="U383" s="1158"/>
      <c r="V383" s="1158"/>
      <c r="W383" s="1158"/>
      <c r="X383" s="1158"/>
      <c r="Y383" s="1158"/>
      <c r="Z383" s="1156"/>
      <c r="AA383" s="1156"/>
      <c r="AB383" s="1156"/>
      <c r="AC383" s="1156"/>
      <c r="AD383" s="1156"/>
      <c r="AE383" s="1156"/>
      <c r="AF383" s="1156"/>
      <c r="AG383" s="1156"/>
      <c r="AH383" s="1156"/>
      <c r="AI383" s="1156"/>
    </row>
    <row r="384" spans="1:35" s="1165" customFormat="1">
      <c r="A384" s="1156"/>
      <c r="B384" s="1156"/>
      <c r="C384" s="1156"/>
      <c r="D384" s="1156"/>
      <c r="E384" s="1158"/>
      <c r="F384" s="1158"/>
      <c r="G384" s="1158"/>
      <c r="H384" s="1158"/>
      <c r="I384" s="1158"/>
      <c r="J384" s="1158"/>
      <c r="K384" s="1158"/>
      <c r="L384" s="1158"/>
      <c r="M384" s="1158"/>
      <c r="N384" s="1158"/>
      <c r="O384" s="1158"/>
      <c r="P384" s="1158"/>
      <c r="Q384" s="1158"/>
      <c r="R384" s="1158"/>
      <c r="S384" s="1158"/>
      <c r="T384" s="1158"/>
      <c r="U384" s="1158"/>
      <c r="V384" s="1158"/>
      <c r="W384" s="1158"/>
      <c r="X384" s="1158"/>
      <c r="Y384" s="1158"/>
      <c r="Z384" s="1156"/>
      <c r="AA384" s="1156"/>
      <c r="AB384" s="1156"/>
      <c r="AC384" s="1156"/>
      <c r="AD384" s="1156"/>
      <c r="AE384" s="1156"/>
      <c r="AF384" s="1156"/>
      <c r="AG384" s="1156"/>
      <c r="AH384" s="1156"/>
      <c r="AI384" s="1156"/>
    </row>
    <row r="385" spans="1:35" s="1165" customFormat="1">
      <c r="A385" s="1156"/>
      <c r="B385" s="1156"/>
      <c r="C385" s="1156"/>
      <c r="D385" s="1156"/>
      <c r="E385" s="1158"/>
      <c r="F385" s="1158"/>
      <c r="G385" s="1158"/>
      <c r="H385" s="1158"/>
      <c r="I385" s="1158"/>
      <c r="J385" s="1158"/>
      <c r="K385" s="1158"/>
      <c r="L385" s="1158"/>
      <c r="M385" s="1158"/>
      <c r="N385" s="1158"/>
      <c r="O385" s="1158"/>
      <c r="P385" s="1158"/>
      <c r="Q385" s="1158"/>
      <c r="R385" s="1158"/>
      <c r="S385" s="1158"/>
      <c r="T385" s="1158"/>
      <c r="U385" s="1158"/>
      <c r="V385" s="1158"/>
      <c r="W385" s="1158"/>
      <c r="X385" s="1158"/>
      <c r="Y385" s="1158"/>
      <c r="Z385" s="1156"/>
      <c r="AA385" s="1156"/>
      <c r="AB385" s="1156"/>
      <c r="AC385" s="1156"/>
      <c r="AD385" s="1156"/>
      <c r="AE385" s="1156"/>
      <c r="AF385" s="1156"/>
      <c r="AG385" s="1156"/>
      <c r="AH385" s="1156"/>
      <c r="AI385" s="1156"/>
    </row>
    <row r="386" spans="1:35" s="1165" customFormat="1">
      <c r="A386" s="1156"/>
      <c r="B386" s="1156"/>
      <c r="C386" s="1156"/>
      <c r="D386" s="1156"/>
      <c r="E386" s="1158"/>
      <c r="F386" s="1158"/>
      <c r="G386" s="1158"/>
      <c r="H386" s="1158"/>
      <c r="I386" s="1158"/>
      <c r="J386" s="1158"/>
      <c r="K386" s="1158"/>
      <c r="L386" s="1158"/>
      <c r="M386" s="1158"/>
      <c r="N386" s="1158"/>
      <c r="O386" s="1158"/>
      <c r="P386" s="1158"/>
      <c r="Q386" s="1158"/>
      <c r="R386" s="1158"/>
      <c r="S386" s="1158"/>
      <c r="T386" s="1158"/>
      <c r="U386" s="1158"/>
      <c r="V386" s="1158"/>
      <c r="W386" s="1158"/>
      <c r="X386" s="1158"/>
      <c r="Y386" s="1158"/>
      <c r="Z386" s="1156"/>
      <c r="AA386" s="1156"/>
      <c r="AB386" s="1156"/>
      <c r="AC386" s="1156"/>
      <c r="AD386" s="1156"/>
      <c r="AE386" s="1156"/>
      <c r="AF386" s="1156"/>
      <c r="AG386" s="1156"/>
      <c r="AH386" s="1156"/>
      <c r="AI386" s="1156"/>
    </row>
    <row r="387" spans="1:35" s="1165" customFormat="1">
      <c r="A387" s="1156"/>
      <c r="B387" s="1156"/>
      <c r="C387" s="1156"/>
      <c r="D387" s="1156"/>
      <c r="E387" s="1158"/>
      <c r="F387" s="1158"/>
      <c r="G387" s="1158"/>
      <c r="H387" s="1158"/>
      <c r="I387" s="1158"/>
      <c r="J387" s="1158"/>
      <c r="K387" s="1158"/>
      <c r="L387" s="1158"/>
      <c r="M387" s="1158"/>
      <c r="N387" s="1158"/>
      <c r="O387" s="1158"/>
      <c r="P387" s="1158"/>
      <c r="Q387" s="1158"/>
      <c r="R387" s="1158"/>
      <c r="S387" s="1158"/>
      <c r="T387" s="1158"/>
      <c r="U387" s="1158"/>
      <c r="V387" s="1158"/>
      <c r="W387" s="1158"/>
      <c r="X387" s="1158"/>
      <c r="Y387" s="1158"/>
      <c r="Z387" s="1156"/>
      <c r="AA387" s="1156"/>
      <c r="AB387" s="1156"/>
      <c r="AC387" s="1156"/>
      <c r="AD387" s="1156"/>
      <c r="AE387" s="1156"/>
      <c r="AF387" s="1156"/>
      <c r="AG387" s="1156"/>
      <c r="AH387" s="1156"/>
      <c r="AI387" s="1156"/>
    </row>
    <row r="388" spans="1:35" s="1165" customFormat="1">
      <c r="A388" s="1156"/>
      <c r="B388" s="1156"/>
      <c r="C388" s="1156"/>
      <c r="D388" s="1156"/>
      <c r="E388" s="1158"/>
      <c r="F388" s="1158"/>
      <c r="G388" s="1158"/>
      <c r="H388" s="1158"/>
      <c r="I388" s="1158"/>
      <c r="J388" s="1158"/>
      <c r="K388" s="1158"/>
      <c r="L388" s="1158"/>
      <c r="M388" s="1158"/>
      <c r="N388" s="1158"/>
      <c r="O388" s="1158"/>
      <c r="P388" s="1158"/>
      <c r="Q388" s="1158"/>
      <c r="R388" s="1158"/>
      <c r="S388" s="1158"/>
      <c r="T388" s="1158"/>
      <c r="U388" s="1158"/>
      <c r="V388" s="1158"/>
      <c r="W388" s="1158"/>
      <c r="X388" s="1158"/>
      <c r="Y388" s="1158"/>
      <c r="Z388" s="1156"/>
      <c r="AA388" s="1156"/>
      <c r="AB388" s="1156"/>
      <c r="AC388" s="1156"/>
      <c r="AD388" s="1156"/>
      <c r="AE388" s="1156"/>
      <c r="AF388" s="1156"/>
      <c r="AG388" s="1156"/>
      <c r="AH388" s="1156"/>
      <c r="AI388" s="1156"/>
    </row>
    <row r="389" spans="1:35" s="1165" customFormat="1">
      <c r="A389" s="1156"/>
      <c r="B389" s="1156"/>
      <c r="C389" s="1156"/>
      <c r="D389" s="1156"/>
      <c r="E389" s="1158"/>
      <c r="F389" s="1158"/>
      <c r="G389" s="1158"/>
      <c r="H389" s="1158"/>
      <c r="I389" s="1158"/>
      <c r="J389" s="1158"/>
      <c r="K389" s="1158"/>
      <c r="L389" s="1158"/>
      <c r="M389" s="1158"/>
      <c r="N389" s="1158"/>
      <c r="O389" s="1158"/>
      <c r="P389" s="1158"/>
      <c r="Q389" s="1158"/>
      <c r="R389" s="1158"/>
      <c r="S389" s="1158"/>
      <c r="T389" s="1158"/>
      <c r="U389" s="1158"/>
      <c r="V389" s="1158"/>
      <c r="W389" s="1158"/>
      <c r="X389" s="1158"/>
      <c r="Y389" s="1158"/>
      <c r="Z389" s="1156"/>
      <c r="AA389" s="1156"/>
      <c r="AB389" s="1156"/>
      <c r="AC389" s="1156"/>
      <c r="AD389" s="1156"/>
      <c r="AE389" s="1156"/>
      <c r="AF389" s="1156"/>
      <c r="AG389" s="1156"/>
      <c r="AH389" s="1156"/>
      <c r="AI389" s="1156"/>
    </row>
    <row r="390" spans="1:35" s="1165" customFormat="1">
      <c r="A390" s="1156"/>
      <c r="B390" s="1156"/>
      <c r="C390" s="1156"/>
      <c r="D390" s="1156"/>
      <c r="E390" s="1158"/>
      <c r="F390" s="1158"/>
      <c r="G390" s="1158"/>
      <c r="H390" s="1158"/>
      <c r="I390" s="1158"/>
      <c r="J390" s="1158"/>
      <c r="K390" s="1158"/>
      <c r="L390" s="1158"/>
      <c r="M390" s="1158"/>
      <c r="N390" s="1158"/>
      <c r="O390" s="1158"/>
      <c r="P390" s="1158"/>
      <c r="Q390" s="1158"/>
      <c r="R390" s="1158"/>
      <c r="S390" s="1158"/>
      <c r="T390" s="1158"/>
      <c r="U390" s="1158"/>
      <c r="V390" s="1158"/>
      <c r="W390" s="1158"/>
      <c r="X390" s="1158"/>
      <c r="Y390" s="1158"/>
      <c r="Z390" s="1156"/>
      <c r="AA390" s="1156"/>
      <c r="AB390" s="1156"/>
      <c r="AC390" s="1156"/>
      <c r="AD390" s="1156"/>
      <c r="AE390" s="1156"/>
      <c r="AF390" s="1156"/>
      <c r="AG390" s="1156"/>
      <c r="AH390" s="1156"/>
      <c r="AI390" s="1156"/>
    </row>
    <row r="391" spans="1:35" s="1165" customFormat="1">
      <c r="A391" s="1156"/>
      <c r="B391" s="1156"/>
      <c r="C391" s="1156"/>
      <c r="D391" s="1156"/>
      <c r="E391" s="1158"/>
      <c r="F391" s="1158"/>
      <c r="G391" s="1158"/>
      <c r="H391" s="1158"/>
      <c r="I391" s="1158"/>
      <c r="J391" s="1158"/>
      <c r="K391" s="1158"/>
      <c r="L391" s="1158"/>
      <c r="M391" s="1158"/>
      <c r="N391" s="1158"/>
      <c r="O391" s="1158"/>
      <c r="P391" s="1158"/>
      <c r="Q391" s="1158"/>
      <c r="R391" s="1158"/>
      <c r="S391" s="1158"/>
      <c r="T391" s="1158"/>
      <c r="U391" s="1158"/>
      <c r="V391" s="1158"/>
      <c r="W391" s="1158"/>
      <c r="X391" s="1158"/>
      <c r="Y391" s="1158"/>
      <c r="Z391" s="1156"/>
      <c r="AA391" s="1156"/>
      <c r="AB391" s="1156"/>
      <c r="AC391" s="1156"/>
      <c r="AD391" s="1156"/>
      <c r="AE391" s="1156"/>
      <c r="AF391" s="1156"/>
      <c r="AG391" s="1156"/>
      <c r="AH391" s="1156"/>
      <c r="AI391" s="1156"/>
    </row>
    <row r="392" spans="1:35" s="1165" customFormat="1">
      <c r="A392" s="1156"/>
      <c r="B392" s="1156"/>
      <c r="C392" s="1156"/>
      <c r="D392" s="1156"/>
      <c r="E392" s="1158"/>
      <c r="F392" s="1158"/>
      <c r="G392" s="1158"/>
      <c r="H392" s="1158"/>
      <c r="I392" s="1158"/>
      <c r="J392" s="1158"/>
      <c r="K392" s="1158"/>
      <c r="L392" s="1158"/>
      <c r="M392" s="1158"/>
      <c r="N392" s="1158"/>
      <c r="O392" s="1158"/>
      <c r="P392" s="1158"/>
      <c r="Q392" s="1158"/>
      <c r="R392" s="1158"/>
      <c r="S392" s="1158"/>
      <c r="T392" s="1158"/>
      <c r="U392" s="1158"/>
      <c r="V392" s="1158"/>
      <c r="W392" s="1158"/>
      <c r="X392" s="1158"/>
      <c r="Y392" s="1158"/>
      <c r="Z392" s="1156"/>
      <c r="AA392" s="1156"/>
      <c r="AB392" s="1156"/>
      <c r="AC392" s="1156"/>
      <c r="AD392" s="1156"/>
      <c r="AE392" s="1156"/>
      <c r="AF392" s="1156"/>
      <c r="AG392" s="1156"/>
      <c r="AH392" s="1156"/>
      <c r="AI392" s="1156"/>
    </row>
    <row r="393" spans="1:35" s="1165" customFormat="1">
      <c r="A393" s="1156"/>
      <c r="B393" s="1156"/>
      <c r="C393" s="1156"/>
      <c r="D393" s="1156"/>
      <c r="E393" s="1158"/>
      <c r="F393" s="1158"/>
      <c r="G393" s="1158"/>
      <c r="H393" s="1158"/>
      <c r="I393" s="1158"/>
      <c r="J393" s="1158"/>
      <c r="K393" s="1158"/>
      <c r="L393" s="1158"/>
      <c r="M393" s="1158"/>
      <c r="N393" s="1158"/>
      <c r="O393" s="1158"/>
      <c r="P393" s="1158"/>
      <c r="Q393" s="1158"/>
      <c r="R393" s="1158"/>
      <c r="S393" s="1158"/>
      <c r="T393" s="1158"/>
      <c r="U393" s="1158"/>
      <c r="V393" s="1158"/>
      <c r="W393" s="1158"/>
      <c r="X393" s="1158"/>
      <c r="Y393" s="1158"/>
      <c r="Z393" s="1156"/>
      <c r="AA393" s="1156"/>
      <c r="AB393" s="1156"/>
      <c r="AC393" s="1156"/>
      <c r="AD393" s="1156"/>
      <c r="AE393" s="1156"/>
      <c r="AF393" s="1156"/>
      <c r="AG393" s="1156"/>
      <c r="AH393" s="1156"/>
      <c r="AI393" s="1156"/>
    </row>
    <row r="394" spans="1:35" s="1165" customFormat="1">
      <c r="A394" s="1156"/>
      <c r="B394" s="1156"/>
      <c r="C394" s="1156"/>
      <c r="D394" s="1156"/>
      <c r="E394" s="1158"/>
      <c r="F394" s="1158"/>
      <c r="G394" s="1158"/>
      <c r="H394" s="1158"/>
      <c r="I394" s="1158"/>
      <c r="J394" s="1158"/>
      <c r="K394" s="1158"/>
      <c r="L394" s="1158"/>
      <c r="M394" s="1158"/>
      <c r="N394" s="1158"/>
      <c r="O394" s="1158"/>
      <c r="P394" s="1158"/>
      <c r="Q394" s="1158"/>
      <c r="R394" s="1158"/>
      <c r="S394" s="1158"/>
      <c r="T394" s="1158"/>
      <c r="U394" s="1158"/>
      <c r="V394" s="1158"/>
      <c r="W394" s="1158"/>
      <c r="X394" s="1158"/>
      <c r="Y394" s="1158"/>
      <c r="Z394" s="1156"/>
      <c r="AA394" s="1156"/>
      <c r="AB394" s="1156"/>
      <c r="AC394" s="1156"/>
      <c r="AD394" s="1156"/>
      <c r="AE394" s="1156"/>
      <c r="AF394" s="1156"/>
      <c r="AG394" s="1156"/>
      <c r="AH394" s="1156"/>
      <c r="AI394" s="1156"/>
    </row>
    <row r="395" spans="1:35" s="1165" customFormat="1">
      <c r="A395" s="1156"/>
      <c r="B395" s="1156"/>
      <c r="C395" s="1156"/>
      <c r="D395" s="1156"/>
      <c r="E395" s="1158"/>
      <c r="F395" s="1158"/>
      <c r="G395" s="1158"/>
      <c r="H395" s="1158"/>
      <c r="I395" s="1158"/>
      <c r="J395" s="1158"/>
      <c r="K395" s="1158"/>
      <c r="L395" s="1158"/>
      <c r="M395" s="1158"/>
      <c r="N395" s="1158"/>
      <c r="O395" s="1158"/>
      <c r="P395" s="1158"/>
      <c r="Q395" s="1158"/>
      <c r="R395" s="1158"/>
      <c r="S395" s="1158"/>
      <c r="T395" s="1158"/>
      <c r="U395" s="1158"/>
      <c r="V395" s="1158"/>
      <c r="W395" s="1158"/>
      <c r="X395" s="1158"/>
      <c r="Y395" s="1158"/>
      <c r="Z395" s="1156"/>
      <c r="AA395" s="1156"/>
      <c r="AB395" s="1156"/>
      <c r="AC395" s="1156"/>
      <c r="AD395" s="1156"/>
      <c r="AE395" s="1156"/>
      <c r="AF395" s="1156"/>
      <c r="AG395" s="1156"/>
      <c r="AH395" s="1156"/>
      <c r="AI395" s="1156"/>
    </row>
  </sheetData>
  <autoFilter ref="A11:AQ14"/>
  <mergeCells count="23">
    <mergeCell ref="O17:S17"/>
    <mergeCell ref="A7:AI7"/>
    <mergeCell ref="A1:AI1"/>
    <mergeCell ref="A2:AI2"/>
    <mergeCell ref="A3:AI3"/>
    <mergeCell ref="A4:K4"/>
    <mergeCell ref="A5:K5"/>
    <mergeCell ref="O23:S23"/>
    <mergeCell ref="Z16:AI16"/>
    <mergeCell ref="AG25:AH25"/>
    <mergeCell ref="S27:Y27"/>
    <mergeCell ref="A8:AI8"/>
    <mergeCell ref="A9:A10"/>
    <mergeCell ref="B9:AF9"/>
    <mergeCell ref="AG9:AG10"/>
    <mergeCell ref="AH9:AH10"/>
    <mergeCell ref="AI9:AI10"/>
    <mergeCell ref="AH17:AI17"/>
    <mergeCell ref="AH23:AI23"/>
    <mergeCell ref="AB17:AF17"/>
    <mergeCell ref="AB23:AF23"/>
    <mergeCell ref="U17:AA17"/>
    <mergeCell ref="U23:AA23"/>
  </mergeCells>
  <pageMargins left="0" right="0" top="0" bottom="0.389583333333333" header="0" footer="0"/>
  <pageSetup paperSize="9" scale="73" orientation="landscape" r:id="rId1"/>
  <colBreaks count="1" manualBreakCount="1">
    <brk id="35" max="1048575"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O32"/>
  <sheetViews>
    <sheetView view="pageBreakPreview" topLeftCell="A17" zoomScale="55" zoomScaleNormal="55" zoomScaleSheetLayoutView="55" workbookViewId="0">
      <selection activeCell="Q26" sqref="Q26"/>
    </sheetView>
  </sheetViews>
  <sheetFormatPr defaultRowHeight="14.25"/>
  <cols>
    <col min="1" max="1" width="6.42578125" style="239" customWidth="1"/>
    <col min="2" max="2" width="24.140625" style="239" customWidth="1"/>
    <col min="3" max="33" width="6.42578125" style="239" customWidth="1"/>
    <col min="34" max="34" width="9.7109375" style="239" customWidth="1"/>
    <col min="35" max="35" width="21.5703125" style="239" customWidth="1"/>
    <col min="36" max="16384" width="9.140625" style="239"/>
  </cols>
  <sheetData>
    <row r="1" spans="1:35" ht="25.5">
      <c r="A1" s="1270" t="s">
        <v>0</v>
      </c>
      <c r="B1" s="1270"/>
      <c r="C1" s="1270"/>
      <c r="D1" s="1270"/>
      <c r="E1" s="1270"/>
      <c r="F1" s="1270"/>
      <c r="G1" s="1270"/>
      <c r="H1" s="1270"/>
      <c r="I1" s="1270"/>
      <c r="J1" s="1270"/>
      <c r="K1" s="1270"/>
      <c r="L1" s="1270"/>
      <c r="M1" s="1270"/>
      <c r="N1" s="1270"/>
      <c r="O1" s="1270"/>
      <c r="P1" s="1270"/>
      <c r="Q1" s="1270"/>
      <c r="R1" s="1270"/>
      <c r="S1" s="1270"/>
      <c r="T1" s="1270"/>
      <c r="U1" s="1270"/>
      <c r="V1" s="1270"/>
      <c r="W1" s="1270"/>
      <c r="X1" s="1270"/>
      <c r="Y1" s="1270"/>
      <c r="Z1" s="1270"/>
      <c r="AA1" s="1270"/>
      <c r="AB1" s="1270"/>
      <c r="AC1" s="1270"/>
      <c r="AD1" s="1270"/>
      <c r="AE1" s="1270"/>
      <c r="AF1" s="1270"/>
      <c r="AG1" s="1270"/>
      <c r="AH1" s="1270"/>
      <c r="AI1" s="1270"/>
    </row>
    <row r="2" spans="1:35" ht="25.5">
      <c r="A2" s="1270" t="s">
        <v>65</v>
      </c>
      <c r="B2" s="1270"/>
      <c r="C2" s="1270"/>
      <c r="D2" s="1270"/>
      <c r="E2" s="1270"/>
      <c r="F2" s="1270"/>
      <c r="G2" s="1270"/>
      <c r="H2" s="1270"/>
      <c r="I2" s="1270"/>
      <c r="J2" s="1270"/>
      <c r="K2" s="1270"/>
      <c r="L2" s="1270"/>
      <c r="M2" s="1270"/>
      <c r="N2" s="1270"/>
      <c r="O2" s="1270"/>
      <c r="P2" s="1270"/>
      <c r="Q2" s="1270"/>
      <c r="R2" s="1270"/>
      <c r="S2" s="1270"/>
      <c r="T2" s="1270"/>
      <c r="U2" s="1270"/>
      <c r="V2" s="1270"/>
      <c r="W2" s="1270"/>
      <c r="X2" s="1270"/>
      <c r="Y2" s="1270"/>
      <c r="Z2" s="1270"/>
      <c r="AA2" s="1270"/>
      <c r="AB2" s="1270"/>
      <c r="AC2" s="1270"/>
      <c r="AD2" s="1270"/>
      <c r="AE2" s="1270"/>
      <c r="AF2" s="1270"/>
      <c r="AG2" s="1270"/>
      <c r="AH2" s="1270"/>
      <c r="AI2" s="1270"/>
    </row>
    <row r="3" spans="1:35" ht="18.75">
      <c r="A3" s="1309" t="s">
        <v>39</v>
      </c>
      <c r="B3" s="1309"/>
      <c r="C3" s="1309"/>
      <c r="D3" s="1309"/>
      <c r="E3" s="1309"/>
      <c r="F3" s="1309"/>
      <c r="G3" s="1309"/>
      <c r="H3" s="1309"/>
      <c r="I3" s="1309"/>
      <c r="J3" s="1309"/>
      <c r="K3" s="1309"/>
      <c r="L3" s="1309"/>
      <c r="M3" s="1309"/>
      <c r="N3" s="1309"/>
      <c r="O3" s="1309"/>
      <c r="P3" s="1309"/>
      <c r="Q3" s="1309"/>
      <c r="R3" s="1309"/>
      <c r="S3" s="1309"/>
      <c r="T3" s="1309"/>
      <c r="U3" s="1309"/>
      <c r="V3" s="1309"/>
      <c r="W3" s="1309"/>
      <c r="X3" s="1309"/>
      <c r="Y3" s="1309"/>
      <c r="Z3" s="1309"/>
      <c r="AA3" s="1309"/>
      <c r="AB3" s="1309"/>
      <c r="AC3" s="1309"/>
      <c r="AD3" s="1309"/>
      <c r="AE3" s="1309"/>
      <c r="AF3" s="1309"/>
      <c r="AG3" s="1309"/>
      <c r="AH3" s="1309"/>
      <c r="AI3" s="1309"/>
    </row>
    <row r="4" spans="1:35" ht="26.25">
      <c r="A4" s="1271" t="s">
        <v>115</v>
      </c>
      <c r="B4" s="1271"/>
      <c r="C4" s="1271"/>
      <c r="D4" s="1271"/>
      <c r="E4" s="1271"/>
      <c r="F4" s="1271"/>
      <c r="G4" s="1271"/>
      <c r="H4" s="1271"/>
      <c r="I4" s="1271"/>
      <c r="J4" s="1271"/>
      <c r="K4" s="1271"/>
      <c r="L4" s="1271"/>
      <c r="M4" s="1271"/>
      <c r="N4" s="237"/>
      <c r="O4" s="237"/>
      <c r="P4" s="237"/>
      <c r="Q4" s="237"/>
      <c r="R4" s="237"/>
      <c r="S4" s="237"/>
      <c r="T4" s="237"/>
      <c r="U4" s="237"/>
      <c r="V4" s="237"/>
      <c r="W4" s="237"/>
      <c r="X4" s="1270"/>
      <c r="Y4" s="1270"/>
      <c r="Z4" s="1270"/>
      <c r="AA4" s="1270"/>
      <c r="AB4" s="1270"/>
      <c r="AC4" s="1270"/>
      <c r="AD4" s="1270"/>
      <c r="AE4" s="1270"/>
      <c r="AF4" s="1270"/>
      <c r="AG4" s="1270"/>
      <c r="AH4" s="1270"/>
      <c r="AI4" s="237"/>
    </row>
    <row r="5" spans="1:35" ht="25.5">
      <c r="A5" s="1273" t="s">
        <v>292</v>
      </c>
      <c r="B5" s="1273"/>
      <c r="C5" s="1273"/>
      <c r="D5" s="1273"/>
      <c r="E5" s="1273"/>
      <c r="F5" s="1273"/>
      <c r="G5" s="1273"/>
      <c r="H5" s="1273"/>
      <c r="I5" s="1273"/>
      <c r="J5" s="1273"/>
      <c r="K5" s="1273"/>
      <c r="L5" s="1273"/>
      <c r="M5" s="1273"/>
      <c r="N5" s="237"/>
      <c r="O5" s="237"/>
      <c r="P5" s="237"/>
      <c r="Q5" s="237"/>
      <c r="R5" s="237"/>
      <c r="S5" s="237"/>
      <c r="T5" s="237"/>
      <c r="U5" s="237"/>
      <c r="V5" s="237"/>
      <c r="W5" s="237"/>
      <c r="X5" s="1270"/>
      <c r="Y5" s="1270"/>
      <c r="Z5" s="1270"/>
      <c r="AA5" s="1270"/>
      <c r="AB5" s="1270"/>
      <c r="AC5" s="1270"/>
      <c r="AD5" s="1270"/>
      <c r="AE5" s="1270"/>
      <c r="AF5" s="1270"/>
      <c r="AG5" s="1270"/>
      <c r="AH5" s="1270"/>
      <c r="AI5" s="237"/>
    </row>
    <row r="6" spans="1:35" ht="25.5">
      <c r="A6" s="237"/>
      <c r="B6" s="237"/>
      <c r="C6" s="237"/>
      <c r="D6" s="237"/>
      <c r="E6" s="237"/>
      <c r="F6" s="237"/>
      <c r="G6" s="237"/>
      <c r="H6" s="237"/>
      <c r="I6" s="237"/>
      <c r="J6" s="237"/>
      <c r="K6" s="237"/>
      <c r="L6" s="237"/>
      <c r="M6" s="237"/>
      <c r="N6" s="237"/>
      <c r="O6" s="237"/>
      <c r="P6" s="237"/>
      <c r="Q6" s="237"/>
      <c r="R6" s="237"/>
      <c r="S6" s="237"/>
      <c r="T6" s="237"/>
      <c r="U6" s="237"/>
      <c r="V6" s="237"/>
      <c r="W6" s="237"/>
      <c r="X6" s="237"/>
      <c r="Y6" s="237"/>
      <c r="Z6" s="237"/>
      <c r="AA6" s="237"/>
      <c r="AB6" s="237"/>
      <c r="AC6" s="237"/>
      <c r="AD6" s="237"/>
      <c r="AE6" s="237"/>
      <c r="AF6" s="237"/>
      <c r="AG6" s="237"/>
      <c r="AH6" s="237"/>
      <c r="AI6" s="237"/>
    </row>
    <row r="7" spans="1:35" ht="25.5">
      <c r="A7" s="1270" t="s">
        <v>554</v>
      </c>
      <c r="B7" s="1270"/>
      <c r="C7" s="1270"/>
      <c r="D7" s="1270"/>
      <c r="E7" s="1270"/>
      <c r="F7" s="1270"/>
      <c r="G7" s="1270"/>
      <c r="H7" s="1270"/>
      <c r="I7" s="1270"/>
      <c r="J7" s="1270"/>
      <c r="K7" s="1270"/>
      <c r="L7" s="1270"/>
      <c r="M7" s="1270"/>
      <c r="N7" s="1270"/>
      <c r="O7" s="1270"/>
      <c r="P7" s="1270"/>
      <c r="Q7" s="1270"/>
      <c r="R7" s="1270"/>
      <c r="S7" s="1270"/>
      <c r="T7" s="1270"/>
      <c r="U7" s="1270"/>
      <c r="V7" s="1270"/>
      <c r="W7" s="1270"/>
      <c r="X7" s="1270"/>
      <c r="Y7" s="1270"/>
      <c r="Z7" s="1270"/>
      <c r="AA7" s="1270"/>
      <c r="AB7" s="1270"/>
      <c r="AC7" s="1270"/>
      <c r="AD7" s="1270"/>
      <c r="AE7" s="1270"/>
      <c r="AF7" s="1270"/>
      <c r="AG7" s="1270"/>
      <c r="AH7" s="1270"/>
      <c r="AI7" s="1270"/>
    </row>
    <row r="8" spans="1:35" ht="15.75">
      <c r="A8" s="427"/>
      <c r="B8" s="427"/>
      <c r="C8" s="427"/>
      <c r="D8" s="427"/>
      <c r="E8" s="427"/>
      <c r="F8" s="427"/>
      <c r="G8" s="427"/>
      <c r="H8" s="427"/>
      <c r="I8" s="427"/>
      <c r="J8" s="427"/>
      <c r="K8" s="427"/>
      <c r="L8" s="427"/>
      <c r="M8" s="427"/>
      <c r="N8" s="427"/>
      <c r="O8" s="427"/>
      <c r="P8" s="427"/>
      <c r="Q8" s="427"/>
      <c r="R8" s="427"/>
      <c r="S8" s="427"/>
      <c r="T8" s="427"/>
      <c r="U8" s="427"/>
      <c r="V8" s="427"/>
      <c r="W8" s="427"/>
      <c r="X8" s="427"/>
      <c r="Y8" s="427"/>
      <c r="Z8" s="427"/>
      <c r="AA8" s="427"/>
      <c r="AB8" s="427"/>
      <c r="AC8" s="427"/>
      <c r="AD8" s="427"/>
      <c r="AE8" s="427"/>
      <c r="AF8" s="427"/>
      <c r="AG8" s="427"/>
      <c r="AH8" s="820"/>
      <c r="AI8" s="427"/>
    </row>
    <row r="9" spans="1:35" s="422" customFormat="1" ht="30.75" customHeight="1">
      <c r="A9" s="1280" t="s">
        <v>41</v>
      </c>
      <c r="B9" s="1280" t="s">
        <v>12</v>
      </c>
      <c r="C9" s="1280" t="s">
        <v>27</v>
      </c>
      <c r="D9" s="1280"/>
      <c r="E9" s="1280"/>
      <c r="F9" s="1280"/>
      <c r="G9" s="1280"/>
      <c r="H9" s="1280"/>
      <c r="I9" s="1280"/>
      <c r="J9" s="1280"/>
      <c r="K9" s="1280"/>
      <c r="L9" s="1280"/>
      <c r="M9" s="1280"/>
      <c r="N9" s="1280"/>
      <c r="O9" s="1280"/>
      <c r="P9" s="1280"/>
      <c r="Q9" s="1280"/>
      <c r="R9" s="1280"/>
      <c r="S9" s="1280"/>
      <c r="T9" s="1280"/>
      <c r="U9" s="1280"/>
      <c r="V9" s="1280"/>
      <c r="W9" s="1280"/>
      <c r="X9" s="1280"/>
      <c r="Y9" s="1280"/>
      <c r="Z9" s="1280"/>
      <c r="AA9" s="1280"/>
      <c r="AB9" s="1280"/>
      <c r="AC9" s="1280"/>
      <c r="AD9" s="1280"/>
      <c r="AE9" s="1280"/>
      <c r="AF9" s="1280"/>
      <c r="AG9" s="1280"/>
      <c r="AH9" s="1307" t="s">
        <v>424</v>
      </c>
      <c r="AI9" s="1285" t="s">
        <v>44</v>
      </c>
    </row>
    <row r="10" spans="1:35" s="422" customFormat="1" ht="51.75" customHeight="1">
      <c r="A10" s="1280"/>
      <c r="B10" s="1280"/>
      <c r="C10" s="812">
        <v>1</v>
      </c>
      <c r="D10" s="812">
        <v>2</v>
      </c>
      <c r="E10" s="812">
        <v>3</v>
      </c>
      <c r="F10" s="812">
        <v>4</v>
      </c>
      <c r="G10" s="812">
        <v>5</v>
      </c>
      <c r="H10" s="812">
        <v>6</v>
      </c>
      <c r="I10" s="812">
        <v>7</v>
      </c>
      <c r="J10" s="812">
        <v>8</v>
      </c>
      <c r="K10" s="812">
        <v>9</v>
      </c>
      <c r="L10" s="812">
        <v>10</v>
      </c>
      <c r="M10" s="812">
        <v>11</v>
      </c>
      <c r="N10" s="812">
        <v>12</v>
      </c>
      <c r="O10" s="812">
        <v>13</v>
      </c>
      <c r="P10" s="812">
        <v>14</v>
      </c>
      <c r="Q10" s="812">
        <v>15</v>
      </c>
      <c r="R10" s="812">
        <v>16</v>
      </c>
      <c r="S10" s="812">
        <v>17</v>
      </c>
      <c r="T10" s="812">
        <v>18</v>
      </c>
      <c r="U10" s="847">
        <v>19</v>
      </c>
      <c r="V10" s="812">
        <v>20</v>
      </c>
      <c r="W10" s="812">
        <v>21</v>
      </c>
      <c r="X10" s="812">
        <v>22</v>
      </c>
      <c r="Y10" s="812">
        <v>23</v>
      </c>
      <c r="Z10" s="812">
        <v>24</v>
      </c>
      <c r="AA10" s="812">
        <v>25</v>
      </c>
      <c r="AB10" s="812">
        <v>26</v>
      </c>
      <c r="AC10" s="812">
        <v>27</v>
      </c>
      <c r="AD10" s="812">
        <v>28</v>
      </c>
      <c r="AE10" s="812">
        <v>29</v>
      </c>
      <c r="AF10" s="812">
        <v>30</v>
      </c>
      <c r="AG10" s="812">
        <v>31</v>
      </c>
      <c r="AH10" s="1308"/>
      <c r="AI10" s="1285"/>
    </row>
    <row r="11" spans="1:35" ht="18.75" hidden="1">
      <c r="A11" s="418" t="s">
        <v>152</v>
      </c>
      <c r="B11" s="418" t="s">
        <v>311</v>
      </c>
      <c r="C11" s="418">
        <f t="shared" ref="C11:AG11" si="0">COUNTIF(C12:C17,"x")+COUNTIF(C12:C17,"cn")+COUNTIF(C12:C17,"cnđ")+COUNTIF(C12:C17,"đ")</f>
        <v>6</v>
      </c>
      <c r="D11" s="418">
        <f t="shared" si="0"/>
        <v>6</v>
      </c>
      <c r="E11" s="418">
        <f t="shared" si="0"/>
        <v>6</v>
      </c>
      <c r="F11" s="418">
        <f t="shared" si="0"/>
        <v>6</v>
      </c>
      <c r="G11" s="418">
        <f t="shared" si="0"/>
        <v>6</v>
      </c>
      <c r="H11" s="418">
        <f t="shared" si="0"/>
        <v>6</v>
      </c>
      <c r="I11" s="418">
        <f t="shared" si="0"/>
        <v>6</v>
      </c>
      <c r="J11" s="418">
        <f t="shared" si="0"/>
        <v>6</v>
      </c>
      <c r="K11" s="418">
        <f t="shared" si="0"/>
        <v>6</v>
      </c>
      <c r="L11" s="418">
        <f t="shared" si="0"/>
        <v>6</v>
      </c>
      <c r="M11" s="418">
        <f t="shared" si="0"/>
        <v>6</v>
      </c>
      <c r="N11" s="418">
        <f t="shared" si="0"/>
        <v>6</v>
      </c>
      <c r="O11" s="418">
        <f t="shared" si="0"/>
        <v>6</v>
      </c>
      <c r="P11" s="418">
        <f t="shared" si="0"/>
        <v>6</v>
      </c>
      <c r="Q11" s="418">
        <f t="shared" si="0"/>
        <v>6</v>
      </c>
      <c r="R11" s="418">
        <f t="shared" si="0"/>
        <v>6</v>
      </c>
      <c r="S11" s="418">
        <f t="shared" si="0"/>
        <v>6</v>
      </c>
      <c r="T11" s="418">
        <f t="shared" si="0"/>
        <v>6</v>
      </c>
      <c r="U11" s="418">
        <f t="shared" si="0"/>
        <v>6</v>
      </c>
      <c r="V11" s="418">
        <f t="shared" si="0"/>
        <v>6</v>
      </c>
      <c r="W11" s="418">
        <f t="shared" si="0"/>
        <v>6</v>
      </c>
      <c r="X11" s="418">
        <f t="shared" si="0"/>
        <v>6</v>
      </c>
      <c r="Y11" s="418">
        <f t="shared" si="0"/>
        <v>6</v>
      </c>
      <c r="Z11" s="418">
        <f t="shared" si="0"/>
        <v>6</v>
      </c>
      <c r="AA11" s="418">
        <f t="shared" si="0"/>
        <v>6</v>
      </c>
      <c r="AB11" s="418">
        <f t="shared" si="0"/>
        <v>6</v>
      </c>
      <c r="AC11" s="418">
        <f t="shared" si="0"/>
        <v>6</v>
      </c>
      <c r="AD11" s="418">
        <f t="shared" si="0"/>
        <v>6</v>
      </c>
      <c r="AE11" s="418">
        <f t="shared" si="0"/>
        <v>6</v>
      </c>
      <c r="AF11" s="418">
        <f t="shared" si="0"/>
        <v>6</v>
      </c>
      <c r="AG11" s="418">
        <f t="shared" si="0"/>
        <v>6</v>
      </c>
      <c r="AH11" s="418">
        <f>SUM(AH12:AH17)</f>
        <v>186</v>
      </c>
      <c r="AI11" s="419"/>
    </row>
    <row r="12" spans="1:35" s="354" customFormat="1" ht="47.25" customHeight="1">
      <c r="A12" s="348">
        <v>1</v>
      </c>
      <c r="B12" s="511" t="str">
        <f>+'Biểu 1 TH CÔNG'!C83</f>
        <v>Thảo Vong</v>
      </c>
      <c r="C12" s="751" t="s">
        <v>123</v>
      </c>
      <c r="D12" s="751" t="s">
        <v>123</v>
      </c>
      <c r="E12" s="751" t="s">
        <v>123</v>
      </c>
      <c r="F12" s="751" t="s">
        <v>123</v>
      </c>
      <c r="G12" s="751" t="s">
        <v>123</v>
      </c>
      <c r="H12" s="751" t="s">
        <v>123</v>
      </c>
      <c r="I12" s="751" t="s">
        <v>123</v>
      </c>
      <c r="J12" s="751" t="s">
        <v>123</v>
      </c>
      <c r="K12" s="751" t="s">
        <v>123</v>
      </c>
      <c r="L12" s="751" t="s">
        <v>123</v>
      </c>
      <c r="M12" s="751" t="s">
        <v>123</v>
      </c>
      <c r="N12" s="751" t="s">
        <v>123</v>
      </c>
      <c r="O12" s="751" t="s">
        <v>123</v>
      </c>
      <c r="P12" s="751" t="s">
        <v>123</v>
      </c>
      <c r="Q12" s="751" t="s">
        <v>123</v>
      </c>
      <c r="R12" s="751" t="s">
        <v>123</v>
      </c>
      <c r="S12" s="751" t="s">
        <v>123</v>
      </c>
      <c r="T12" s="751" t="s">
        <v>123</v>
      </c>
      <c r="U12" s="751" t="s">
        <v>123</v>
      </c>
      <c r="V12" s="751" t="s">
        <v>123</v>
      </c>
      <c r="W12" s="751" t="s">
        <v>123</v>
      </c>
      <c r="X12" s="751" t="s">
        <v>123</v>
      </c>
      <c r="Y12" s="751" t="s">
        <v>123</v>
      </c>
      <c r="Z12" s="751" t="s">
        <v>123</v>
      </c>
      <c r="AA12" s="751" t="s">
        <v>123</v>
      </c>
      <c r="AB12" s="751" t="s">
        <v>123</v>
      </c>
      <c r="AC12" s="751" t="s">
        <v>123</v>
      </c>
      <c r="AD12" s="751" t="s">
        <v>123</v>
      </c>
      <c r="AE12" s="751" t="s">
        <v>123</v>
      </c>
      <c r="AF12" s="751" t="s">
        <v>123</v>
      </c>
      <c r="AG12" s="751" t="s">
        <v>123</v>
      </c>
      <c r="AH12" s="752">
        <f t="shared" ref="AH12:AH17" si="1">COUNTIF(C12:AG12,"X")</f>
        <v>31</v>
      </c>
      <c r="AI12" s="420"/>
    </row>
    <row r="13" spans="1:35" s="354" customFormat="1" ht="47.25" customHeight="1">
      <c r="A13" s="348">
        <v>2</v>
      </c>
      <c r="B13" s="511" t="str">
        <f>+'Biểu 1 TH CÔNG'!C84</f>
        <v>Nàng Veng</v>
      </c>
      <c r="C13" s="751" t="s">
        <v>123</v>
      </c>
      <c r="D13" s="751" t="s">
        <v>123</v>
      </c>
      <c r="E13" s="751" t="s">
        <v>123</v>
      </c>
      <c r="F13" s="751" t="s">
        <v>123</v>
      </c>
      <c r="G13" s="751" t="s">
        <v>123</v>
      </c>
      <c r="H13" s="751" t="s">
        <v>123</v>
      </c>
      <c r="I13" s="751" t="s">
        <v>123</v>
      </c>
      <c r="J13" s="751" t="s">
        <v>123</v>
      </c>
      <c r="K13" s="751" t="s">
        <v>123</v>
      </c>
      <c r="L13" s="751" t="s">
        <v>123</v>
      </c>
      <c r="M13" s="751" t="s">
        <v>123</v>
      </c>
      <c r="N13" s="751" t="s">
        <v>123</v>
      </c>
      <c r="O13" s="751" t="s">
        <v>123</v>
      </c>
      <c r="P13" s="751" t="s">
        <v>123</v>
      </c>
      <c r="Q13" s="751" t="s">
        <v>123</v>
      </c>
      <c r="R13" s="751" t="s">
        <v>123</v>
      </c>
      <c r="S13" s="751" t="s">
        <v>123</v>
      </c>
      <c r="T13" s="751" t="s">
        <v>123</v>
      </c>
      <c r="U13" s="751" t="s">
        <v>123</v>
      </c>
      <c r="V13" s="751" t="s">
        <v>123</v>
      </c>
      <c r="W13" s="751" t="s">
        <v>123</v>
      </c>
      <c r="X13" s="751" t="s">
        <v>123</v>
      </c>
      <c r="Y13" s="751" t="s">
        <v>123</v>
      </c>
      <c r="Z13" s="751" t="s">
        <v>123</v>
      </c>
      <c r="AA13" s="751" t="s">
        <v>123</v>
      </c>
      <c r="AB13" s="751" t="s">
        <v>123</v>
      </c>
      <c r="AC13" s="751" t="s">
        <v>123</v>
      </c>
      <c r="AD13" s="751" t="s">
        <v>123</v>
      </c>
      <c r="AE13" s="751" t="s">
        <v>123</v>
      </c>
      <c r="AF13" s="751" t="s">
        <v>123</v>
      </c>
      <c r="AG13" s="751" t="s">
        <v>123</v>
      </c>
      <c r="AH13" s="752">
        <f t="shared" si="1"/>
        <v>31</v>
      </c>
      <c r="AI13" s="420"/>
    </row>
    <row r="14" spans="1:35" s="354" customFormat="1" ht="47.25" customHeight="1">
      <c r="A14" s="348">
        <v>3</v>
      </c>
      <c r="B14" s="511" t="str">
        <f>+'Biểu 1 TH CÔNG'!C85</f>
        <v>Thảo Đuông Chăn</v>
      </c>
      <c r="C14" s="751" t="s">
        <v>123</v>
      </c>
      <c r="D14" s="751" t="s">
        <v>123</v>
      </c>
      <c r="E14" s="751" t="s">
        <v>123</v>
      </c>
      <c r="F14" s="751" t="s">
        <v>123</v>
      </c>
      <c r="G14" s="751" t="s">
        <v>123</v>
      </c>
      <c r="H14" s="751" t="s">
        <v>123</v>
      </c>
      <c r="I14" s="751" t="s">
        <v>123</v>
      </c>
      <c r="J14" s="751" t="s">
        <v>123</v>
      </c>
      <c r="K14" s="751" t="s">
        <v>123</v>
      </c>
      <c r="L14" s="751" t="s">
        <v>123</v>
      </c>
      <c r="M14" s="751" t="s">
        <v>123</v>
      </c>
      <c r="N14" s="751" t="s">
        <v>123</v>
      </c>
      <c r="O14" s="751" t="s">
        <v>123</v>
      </c>
      <c r="P14" s="751" t="s">
        <v>123</v>
      </c>
      <c r="Q14" s="751" t="s">
        <v>123</v>
      </c>
      <c r="R14" s="751" t="s">
        <v>123</v>
      </c>
      <c r="S14" s="751" t="s">
        <v>123</v>
      </c>
      <c r="T14" s="751" t="s">
        <v>123</v>
      </c>
      <c r="U14" s="751" t="s">
        <v>123</v>
      </c>
      <c r="V14" s="751" t="s">
        <v>123</v>
      </c>
      <c r="W14" s="751" t="s">
        <v>123</v>
      </c>
      <c r="X14" s="751" t="s">
        <v>123</v>
      </c>
      <c r="Y14" s="751" t="s">
        <v>123</v>
      </c>
      <c r="Z14" s="751" t="s">
        <v>123</v>
      </c>
      <c r="AA14" s="751" t="s">
        <v>123</v>
      </c>
      <c r="AB14" s="751" t="s">
        <v>123</v>
      </c>
      <c r="AC14" s="751" t="s">
        <v>123</v>
      </c>
      <c r="AD14" s="751" t="s">
        <v>123</v>
      </c>
      <c r="AE14" s="751" t="s">
        <v>123</v>
      </c>
      <c r="AF14" s="751" t="s">
        <v>123</v>
      </c>
      <c r="AG14" s="751" t="s">
        <v>123</v>
      </c>
      <c r="AH14" s="752">
        <f t="shared" si="1"/>
        <v>31</v>
      </c>
      <c r="AI14" s="420"/>
    </row>
    <row r="15" spans="1:35" s="354" customFormat="1" ht="47.25" customHeight="1">
      <c r="A15" s="348">
        <v>4</v>
      </c>
      <c r="B15" s="511" t="str">
        <f>+'Biểu 1 TH CÔNG'!C86</f>
        <v>Nàng Peng</v>
      </c>
      <c r="C15" s="751" t="s">
        <v>123</v>
      </c>
      <c r="D15" s="751" t="s">
        <v>123</v>
      </c>
      <c r="E15" s="751" t="s">
        <v>123</v>
      </c>
      <c r="F15" s="751" t="s">
        <v>123</v>
      </c>
      <c r="G15" s="751" t="s">
        <v>123</v>
      </c>
      <c r="H15" s="751" t="s">
        <v>123</v>
      </c>
      <c r="I15" s="751" t="s">
        <v>123</v>
      </c>
      <c r="J15" s="751" t="s">
        <v>123</v>
      </c>
      <c r="K15" s="751" t="s">
        <v>123</v>
      </c>
      <c r="L15" s="751" t="s">
        <v>123</v>
      </c>
      <c r="M15" s="751" t="s">
        <v>123</v>
      </c>
      <c r="N15" s="751" t="s">
        <v>123</v>
      </c>
      <c r="O15" s="751" t="s">
        <v>123</v>
      </c>
      <c r="P15" s="751" t="s">
        <v>123</v>
      </c>
      <c r="Q15" s="751" t="s">
        <v>123</v>
      </c>
      <c r="R15" s="751" t="s">
        <v>123</v>
      </c>
      <c r="S15" s="751" t="s">
        <v>123</v>
      </c>
      <c r="T15" s="751" t="s">
        <v>123</v>
      </c>
      <c r="U15" s="751" t="s">
        <v>123</v>
      </c>
      <c r="V15" s="751" t="s">
        <v>123</v>
      </c>
      <c r="W15" s="751" t="s">
        <v>123</v>
      </c>
      <c r="X15" s="751" t="s">
        <v>123</v>
      </c>
      <c r="Y15" s="751" t="s">
        <v>123</v>
      </c>
      <c r="Z15" s="751" t="s">
        <v>123</v>
      </c>
      <c r="AA15" s="751" t="s">
        <v>123</v>
      </c>
      <c r="AB15" s="751" t="s">
        <v>123</v>
      </c>
      <c r="AC15" s="751" t="s">
        <v>123</v>
      </c>
      <c r="AD15" s="751" t="s">
        <v>123</v>
      </c>
      <c r="AE15" s="751" t="s">
        <v>123</v>
      </c>
      <c r="AF15" s="751" t="s">
        <v>123</v>
      </c>
      <c r="AG15" s="751" t="s">
        <v>123</v>
      </c>
      <c r="AH15" s="752">
        <f t="shared" si="1"/>
        <v>31</v>
      </c>
      <c r="AI15" s="420"/>
    </row>
    <row r="16" spans="1:35" s="354" customFormat="1" ht="47.25" customHeight="1">
      <c r="A16" s="348">
        <v>5</v>
      </c>
      <c r="B16" s="511" t="str">
        <f>+'Biểu 1 TH CÔNG'!C87</f>
        <v>Thảo Xay Tho</v>
      </c>
      <c r="C16" s="751" t="s">
        <v>123</v>
      </c>
      <c r="D16" s="751" t="s">
        <v>123</v>
      </c>
      <c r="E16" s="751" t="s">
        <v>123</v>
      </c>
      <c r="F16" s="751" t="s">
        <v>123</v>
      </c>
      <c r="G16" s="751" t="s">
        <v>123</v>
      </c>
      <c r="H16" s="751" t="s">
        <v>123</v>
      </c>
      <c r="I16" s="751" t="s">
        <v>123</v>
      </c>
      <c r="J16" s="751" t="s">
        <v>123</v>
      </c>
      <c r="K16" s="751" t="s">
        <v>123</v>
      </c>
      <c r="L16" s="751" t="s">
        <v>123</v>
      </c>
      <c r="M16" s="751" t="s">
        <v>123</v>
      </c>
      <c r="N16" s="751" t="s">
        <v>123</v>
      </c>
      <c r="O16" s="751" t="s">
        <v>123</v>
      </c>
      <c r="P16" s="751" t="s">
        <v>123</v>
      </c>
      <c r="Q16" s="751" t="s">
        <v>123</v>
      </c>
      <c r="R16" s="751" t="s">
        <v>123</v>
      </c>
      <c r="S16" s="751" t="s">
        <v>123</v>
      </c>
      <c r="T16" s="751" t="s">
        <v>123</v>
      </c>
      <c r="U16" s="751" t="s">
        <v>123</v>
      </c>
      <c r="V16" s="751" t="s">
        <v>123</v>
      </c>
      <c r="W16" s="751" t="s">
        <v>123</v>
      </c>
      <c r="X16" s="751" t="s">
        <v>123</v>
      </c>
      <c r="Y16" s="751" t="s">
        <v>123</v>
      </c>
      <c r="Z16" s="751" t="s">
        <v>123</v>
      </c>
      <c r="AA16" s="751" t="s">
        <v>123</v>
      </c>
      <c r="AB16" s="751" t="s">
        <v>123</v>
      </c>
      <c r="AC16" s="751" t="s">
        <v>123</v>
      </c>
      <c r="AD16" s="751" t="s">
        <v>123</v>
      </c>
      <c r="AE16" s="751" t="s">
        <v>123</v>
      </c>
      <c r="AF16" s="751" t="s">
        <v>123</v>
      </c>
      <c r="AG16" s="751" t="s">
        <v>123</v>
      </c>
      <c r="AH16" s="752">
        <f t="shared" si="1"/>
        <v>31</v>
      </c>
      <c r="AI16" s="420"/>
    </row>
    <row r="17" spans="1:41" s="354" customFormat="1" ht="47.25" customHeight="1">
      <c r="A17" s="348">
        <v>6</v>
      </c>
      <c r="B17" s="511" t="str">
        <f>+'Biểu 1 TH CÔNG'!C88</f>
        <v>Nàng Xia Lô</v>
      </c>
      <c r="C17" s="751" t="s">
        <v>123</v>
      </c>
      <c r="D17" s="751" t="s">
        <v>123</v>
      </c>
      <c r="E17" s="751" t="s">
        <v>123</v>
      </c>
      <c r="F17" s="751" t="s">
        <v>123</v>
      </c>
      <c r="G17" s="751" t="s">
        <v>123</v>
      </c>
      <c r="H17" s="751" t="s">
        <v>123</v>
      </c>
      <c r="I17" s="751" t="s">
        <v>123</v>
      </c>
      <c r="J17" s="751" t="s">
        <v>123</v>
      </c>
      <c r="K17" s="751" t="s">
        <v>123</v>
      </c>
      <c r="L17" s="751" t="s">
        <v>123</v>
      </c>
      <c r="M17" s="751" t="s">
        <v>123</v>
      </c>
      <c r="N17" s="751" t="s">
        <v>123</v>
      </c>
      <c r="O17" s="751" t="s">
        <v>123</v>
      </c>
      <c r="P17" s="751" t="s">
        <v>123</v>
      </c>
      <c r="Q17" s="751" t="s">
        <v>123</v>
      </c>
      <c r="R17" s="751" t="s">
        <v>123</v>
      </c>
      <c r="S17" s="751" t="s">
        <v>123</v>
      </c>
      <c r="T17" s="751" t="s">
        <v>123</v>
      </c>
      <c r="U17" s="751" t="s">
        <v>123</v>
      </c>
      <c r="V17" s="751" t="s">
        <v>123</v>
      </c>
      <c r="W17" s="751" t="s">
        <v>123</v>
      </c>
      <c r="X17" s="751" t="s">
        <v>123</v>
      </c>
      <c r="Y17" s="751" t="s">
        <v>123</v>
      </c>
      <c r="Z17" s="751" t="s">
        <v>123</v>
      </c>
      <c r="AA17" s="751" t="s">
        <v>123</v>
      </c>
      <c r="AB17" s="751" t="s">
        <v>123</v>
      </c>
      <c r="AC17" s="751" t="s">
        <v>123</v>
      </c>
      <c r="AD17" s="751" t="s">
        <v>123</v>
      </c>
      <c r="AE17" s="751" t="s">
        <v>123</v>
      </c>
      <c r="AF17" s="751" t="s">
        <v>123</v>
      </c>
      <c r="AG17" s="751" t="s">
        <v>123</v>
      </c>
      <c r="AH17" s="752">
        <f t="shared" si="1"/>
        <v>31</v>
      </c>
      <c r="AI17" s="420"/>
    </row>
    <row r="18" spans="1:41" ht="47.25" customHeight="1">
      <c r="A18" s="512"/>
      <c r="B18" s="754" t="s">
        <v>304</v>
      </c>
      <c r="C18" s="753">
        <f>+C11</f>
        <v>6</v>
      </c>
      <c r="D18" s="753">
        <f t="shared" ref="D18:AG18" si="2">+D11</f>
        <v>6</v>
      </c>
      <c r="E18" s="753">
        <f t="shared" si="2"/>
        <v>6</v>
      </c>
      <c r="F18" s="753">
        <f t="shared" si="2"/>
        <v>6</v>
      </c>
      <c r="G18" s="753">
        <f t="shared" si="2"/>
        <v>6</v>
      </c>
      <c r="H18" s="753">
        <f t="shared" si="2"/>
        <v>6</v>
      </c>
      <c r="I18" s="753">
        <f t="shared" si="2"/>
        <v>6</v>
      </c>
      <c r="J18" s="753">
        <f t="shared" si="2"/>
        <v>6</v>
      </c>
      <c r="K18" s="753">
        <f t="shared" si="2"/>
        <v>6</v>
      </c>
      <c r="L18" s="753">
        <f t="shared" si="2"/>
        <v>6</v>
      </c>
      <c r="M18" s="753">
        <f t="shared" si="2"/>
        <v>6</v>
      </c>
      <c r="N18" s="753">
        <f t="shared" si="2"/>
        <v>6</v>
      </c>
      <c r="O18" s="753">
        <f t="shared" si="2"/>
        <v>6</v>
      </c>
      <c r="P18" s="753">
        <f t="shared" si="2"/>
        <v>6</v>
      </c>
      <c r="Q18" s="753">
        <f t="shared" si="2"/>
        <v>6</v>
      </c>
      <c r="R18" s="753">
        <f t="shared" si="2"/>
        <v>6</v>
      </c>
      <c r="S18" s="753">
        <f t="shared" si="2"/>
        <v>6</v>
      </c>
      <c r="T18" s="753">
        <f t="shared" si="2"/>
        <v>6</v>
      </c>
      <c r="U18" s="753">
        <f t="shared" si="2"/>
        <v>6</v>
      </c>
      <c r="V18" s="753">
        <f t="shared" si="2"/>
        <v>6</v>
      </c>
      <c r="W18" s="753">
        <f t="shared" si="2"/>
        <v>6</v>
      </c>
      <c r="X18" s="753">
        <f t="shared" si="2"/>
        <v>6</v>
      </c>
      <c r="Y18" s="753">
        <f t="shared" si="2"/>
        <v>6</v>
      </c>
      <c r="Z18" s="753">
        <f t="shared" si="2"/>
        <v>6</v>
      </c>
      <c r="AA18" s="753">
        <f t="shared" si="2"/>
        <v>6</v>
      </c>
      <c r="AB18" s="753">
        <f t="shared" si="2"/>
        <v>6</v>
      </c>
      <c r="AC18" s="753">
        <f t="shared" si="2"/>
        <v>6</v>
      </c>
      <c r="AD18" s="753">
        <f t="shared" si="2"/>
        <v>6</v>
      </c>
      <c r="AE18" s="753">
        <f t="shared" si="2"/>
        <v>6</v>
      </c>
      <c r="AF18" s="753">
        <f t="shared" si="2"/>
        <v>6</v>
      </c>
      <c r="AG18" s="753">
        <f t="shared" si="2"/>
        <v>6</v>
      </c>
      <c r="AH18" s="753">
        <f>+AH11</f>
        <v>186</v>
      </c>
      <c r="AI18" s="419"/>
    </row>
    <row r="19" spans="1:41" ht="12" customHeight="1">
      <c r="A19" s="421"/>
      <c r="G19" s="421"/>
      <c r="H19" s="421"/>
      <c r="I19" s="421"/>
      <c r="J19" s="421"/>
      <c r="K19" s="421"/>
      <c r="L19" s="421"/>
      <c r="M19" s="421"/>
      <c r="N19" s="421"/>
      <c r="O19" s="421"/>
      <c r="P19" s="421"/>
      <c r="Q19" s="421"/>
      <c r="R19" s="421"/>
      <c r="S19" s="421"/>
      <c r="T19" s="421"/>
      <c r="U19" s="421"/>
      <c r="V19" s="421"/>
      <c r="W19" s="421"/>
      <c r="X19" s="421"/>
      <c r="Y19" s="421"/>
      <c r="Z19" s="421"/>
      <c r="AA19" s="421"/>
      <c r="AB19" s="421"/>
      <c r="AC19" s="421"/>
      <c r="AD19" s="421"/>
      <c r="AE19" s="421"/>
      <c r="AF19" s="421"/>
      <c r="AG19" s="421"/>
      <c r="AH19" s="421"/>
      <c r="AI19" s="421"/>
    </row>
    <row r="20" spans="1:41" ht="28.5" customHeight="1">
      <c r="A20" s="421"/>
      <c r="B20" s="755" t="s">
        <v>124</v>
      </c>
      <c r="C20" s="562" t="s">
        <v>305</v>
      </c>
      <c r="D20" s="561"/>
      <c r="E20" s="561"/>
      <c r="F20" s="561"/>
      <c r="G20" s="561"/>
      <c r="H20" s="421"/>
      <c r="I20" s="421"/>
      <c r="J20" s="421"/>
      <c r="K20" s="421"/>
      <c r="L20" s="421"/>
      <c r="M20" s="421"/>
      <c r="N20" s="421"/>
      <c r="O20" s="421"/>
      <c r="P20" s="421"/>
      <c r="Q20" s="421"/>
      <c r="R20" s="421"/>
      <c r="S20" s="421"/>
      <c r="T20" s="421"/>
      <c r="U20" s="421"/>
      <c r="V20" s="421"/>
      <c r="W20" s="421"/>
      <c r="X20" s="421"/>
      <c r="Y20" s="421"/>
      <c r="Z20" s="421"/>
      <c r="AA20" s="1303" t="s">
        <v>587</v>
      </c>
      <c r="AB20" s="1303"/>
      <c r="AC20" s="1303"/>
      <c r="AD20" s="1303"/>
      <c r="AE20" s="1303"/>
      <c r="AF20" s="1303"/>
      <c r="AG20" s="1303"/>
      <c r="AH20" s="1303"/>
      <c r="AI20" s="1303"/>
    </row>
    <row r="21" spans="1:41" ht="11.25" customHeight="1">
      <c r="A21" s="421"/>
      <c r="B21" s="229"/>
      <c r="C21" s="421"/>
      <c r="D21" s="421"/>
      <c r="E21" s="421"/>
      <c r="F21" s="421"/>
      <c r="G21" s="421"/>
      <c r="H21" s="421"/>
      <c r="I21" s="421"/>
      <c r="J21" s="421"/>
      <c r="K21" s="421"/>
      <c r="L21" s="421"/>
      <c r="M21" s="421"/>
      <c r="N21" s="421"/>
      <c r="O21" s="421"/>
      <c r="P21" s="421"/>
      <c r="Q21" s="421"/>
      <c r="R21" s="421"/>
      <c r="S21" s="421"/>
      <c r="T21" s="421"/>
      <c r="U21" s="421"/>
      <c r="V21" s="421"/>
      <c r="W21" s="421"/>
      <c r="X21" s="421"/>
      <c r="Y21" s="421"/>
      <c r="Z21" s="421"/>
      <c r="AA21" s="421"/>
      <c r="AB21" s="421"/>
    </row>
    <row r="22" spans="1:41" s="559" customFormat="1" ht="27.75" customHeight="1">
      <c r="A22" s="848"/>
      <c r="B22" s="1304" t="s">
        <v>35</v>
      </c>
      <c r="C22" s="1304"/>
      <c r="D22" s="1304"/>
      <c r="E22" s="1304"/>
      <c r="I22" s="1305" t="s">
        <v>113</v>
      </c>
      <c r="J22" s="1305"/>
      <c r="K22" s="1305"/>
      <c r="L22" s="1305"/>
      <c r="O22" s="560" t="s">
        <v>346</v>
      </c>
      <c r="U22" s="1305" t="s">
        <v>437</v>
      </c>
      <c r="V22" s="1305"/>
      <c r="W22" s="1305"/>
      <c r="X22" s="1305"/>
      <c r="Y22" s="1305"/>
      <c r="Z22" s="560"/>
      <c r="AA22" s="1305" t="s">
        <v>108</v>
      </c>
      <c r="AB22" s="1305"/>
      <c r="AC22" s="1305"/>
      <c r="AD22" s="1305"/>
      <c r="AE22" s="1305"/>
      <c r="AG22" s="1306" t="s">
        <v>461</v>
      </c>
      <c r="AH22" s="1306"/>
      <c r="AI22" s="1306"/>
      <c r="AJ22" s="835"/>
      <c r="AK22" s="835"/>
      <c r="AL22" s="835"/>
      <c r="AM22" s="835"/>
      <c r="AN22" s="835"/>
      <c r="AO22" s="835"/>
    </row>
    <row r="23" spans="1:41" ht="15">
      <c r="A23" s="829"/>
      <c r="B23" s="829"/>
      <c r="C23" s="829"/>
      <c r="D23" s="829"/>
      <c r="E23" s="829"/>
      <c r="F23" s="829"/>
      <c r="G23" s="829"/>
      <c r="H23" s="829"/>
      <c r="I23" s="829"/>
      <c r="J23" s="829"/>
      <c r="K23" s="829"/>
      <c r="L23" s="829"/>
      <c r="M23" s="829"/>
      <c r="N23" s="829"/>
      <c r="O23" s="829"/>
      <c r="P23" s="829"/>
      <c r="Q23" s="829"/>
      <c r="R23" s="829"/>
      <c r="S23" s="829"/>
      <c r="T23" s="829"/>
      <c r="U23" s="829"/>
      <c r="V23" s="829"/>
      <c r="W23" s="829"/>
      <c r="X23" s="829"/>
      <c r="Y23" s="829"/>
      <c r="Z23" s="829"/>
      <c r="AA23" s="829"/>
      <c r="AB23" s="829"/>
      <c r="AC23" s="829"/>
      <c r="AD23" s="829"/>
      <c r="AE23" s="829"/>
      <c r="AF23" s="829"/>
      <c r="AG23" s="829"/>
      <c r="AH23" s="829"/>
      <c r="AI23" s="829"/>
    </row>
    <row r="32" spans="1:41" s="561" customFormat="1" ht="26.25" customHeight="1">
      <c r="A32" s="849"/>
      <c r="B32" s="849"/>
      <c r="C32" s="863"/>
      <c r="D32" s="864"/>
      <c r="E32" s="864"/>
      <c r="F32" s="864"/>
      <c r="G32" s="864"/>
      <c r="H32" s="864"/>
      <c r="I32" s="1302" t="s">
        <v>524</v>
      </c>
      <c r="J32" s="1302"/>
      <c r="K32" s="1302"/>
      <c r="L32" s="1302"/>
      <c r="M32" s="865"/>
      <c r="N32" s="864"/>
      <c r="O32" s="864"/>
      <c r="P32" s="864"/>
      <c r="Q32" s="864"/>
      <c r="R32" s="864"/>
      <c r="S32" s="864"/>
      <c r="U32" s="1302" t="s">
        <v>110</v>
      </c>
      <c r="V32" s="1302"/>
      <c r="W32" s="1302"/>
      <c r="X32" s="1302"/>
      <c r="Y32" s="1302"/>
      <c r="AA32" s="1302" t="s">
        <v>290</v>
      </c>
      <c r="AB32" s="1302"/>
      <c r="AC32" s="1302"/>
      <c r="AD32" s="1302"/>
      <c r="AE32" s="1302"/>
      <c r="AF32" s="865"/>
      <c r="AH32" s="1302" t="s">
        <v>314</v>
      </c>
      <c r="AI32" s="1302"/>
      <c r="AJ32" s="865"/>
      <c r="AK32" s="865"/>
      <c r="AL32" s="865"/>
      <c r="AM32" s="865"/>
      <c r="AN32" s="865"/>
    </row>
  </sheetData>
  <mergeCells count="23">
    <mergeCell ref="A5:M5"/>
    <mergeCell ref="X5:AH5"/>
    <mergeCell ref="A1:AI1"/>
    <mergeCell ref="A2:AI2"/>
    <mergeCell ref="A3:AI3"/>
    <mergeCell ref="A4:M4"/>
    <mergeCell ref="X4:AH4"/>
    <mergeCell ref="B22:E22"/>
    <mergeCell ref="AA22:AE22"/>
    <mergeCell ref="AG22:AI22"/>
    <mergeCell ref="A7:AI7"/>
    <mergeCell ref="A9:A10"/>
    <mergeCell ref="B9:B10"/>
    <mergeCell ref="C9:AG9"/>
    <mergeCell ref="AH9:AH10"/>
    <mergeCell ref="AI9:AI10"/>
    <mergeCell ref="I22:L22"/>
    <mergeCell ref="U22:Y22"/>
    <mergeCell ref="AH32:AI32"/>
    <mergeCell ref="I32:L32"/>
    <mergeCell ref="U32:Y32"/>
    <mergeCell ref="AA32:AE32"/>
    <mergeCell ref="AA20:AI20"/>
  </mergeCells>
  <pageMargins left="0.2" right="0.2" top="0.51181102362204722" bottom="0.44" header="0.31496062992125984" footer="0.31496062992125984"/>
  <pageSetup paperSize="9" scale="54"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W118"/>
  <sheetViews>
    <sheetView topLeftCell="A85" zoomScale="55" zoomScaleNormal="55" zoomScaleSheetLayoutView="55" workbookViewId="0">
      <selection activeCell="R113" sqref="R113"/>
    </sheetView>
  </sheetViews>
  <sheetFormatPr defaultColWidth="9.140625" defaultRowHeight="15"/>
  <cols>
    <col min="1" max="2" width="6" style="829" customWidth="1"/>
    <col min="3" max="3" width="25.7109375" style="829" customWidth="1"/>
    <col min="4" max="8" width="5.7109375" style="829" customWidth="1"/>
    <col min="9" max="9" width="5.7109375" style="1099" customWidth="1"/>
    <col min="10" max="34" width="5.7109375" style="829" customWidth="1"/>
    <col min="35" max="35" width="11.28515625" style="829" customWidth="1"/>
    <col min="36" max="36" width="8" style="829" customWidth="1"/>
    <col min="37" max="37" width="10" style="829" customWidth="1"/>
    <col min="38" max="38" width="8" style="829" customWidth="1"/>
    <col min="39" max="39" width="11.5703125" style="829" customWidth="1"/>
    <col min="40" max="40" width="17.5703125" style="829" customWidth="1"/>
    <col min="41" max="41" width="16.42578125" style="829" customWidth="1"/>
    <col min="42" max="42" width="12.7109375" style="829" customWidth="1"/>
    <col min="43" max="44" width="11.140625" style="829" customWidth="1"/>
    <col min="45" max="45" width="17.7109375" style="829" customWidth="1"/>
    <col min="46" max="46" width="12" style="829" customWidth="1"/>
    <col min="47" max="16384" width="9.140625" style="829"/>
  </cols>
  <sheetData>
    <row r="1" spans="1:44" s="225" customFormat="1" ht="28.5" customHeight="1">
      <c r="A1" s="1270" t="s">
        <v>0</v>
      </c>
      <c r="B1" s="1270"/>
      <c r="C1" s="1270"/>
      <c r="D1" s="1270"/>
      <c r="E1" s="1270"/>
      <c r="F1" s="1270"/>
      <c r="G1" s="1270"/>
      <c r="H1" s="1270"/>
      <c r="I1" s="1270"/>
      <c r="J1" s="1270"/>
      <c r="K1" s="1270"/>
      <c r="L1" s="1270"/>
      <c r="M1" s="1270"/>
      <c r="N1" s="1270"/>
      <c r="O1" s="1270"/>
      <c r="P1" s="1270"/>
      <c r="Q1" s="1270"/>
      <c r="R1" s="1270"/>
      <c r="S1" s="1270"/>
      <c r="T1" s="1270"/>
      <c r="U1" s="1270"/>
      <c r="V1" s="1270"/>
      <c r="W1" s="1270"/>
      <c r="X1" s="1270"/>
      <c r="Y1" s="1270"/>
      <c r="Z1" s="1270"/>
      <c r="AA1" s="1270"/>
      <c r="AB1" s="1270"/>
      <c r="AC1" s="1270"/>
      <c r="AD1" s="1270"/>
      <c r="AE1" s="1270"/>
      <c r="AF1" s="1270"/>
      <c r="AG1" s="1270"/>
      <c r="AH1" s="1270"/>
      <c r="AI1" s="1270"/>
      <c r="AJ1" s="1270"/>
      <c r="AK1" s="1270"/>
      <c r="AL1" s="1270"/>
      <c r="AM1" s="1270"/>
      <c r="AN1" s="1270"/>
      <c r="AO1" s="1168"/>
    </row>
    <row r="2" spans="1:44" s="225" customFormat="1" ht="20.25" customHeight="1">
      <c r="A2" s="1270" t="s">
        <v>65</v>
      </c>
      <c r="B2" s="1270"/>
      <c r="C2" s="1270"/>
      <c r="D2" s="1270"/>
      <c r="E2" s="1270"/>
      <c r="F2" s="1270"/>
      <c r="G2" s="1270"/>
      <c r="H2" s="1270"/>
      <c r="I2" s="1270"/>
      <c r="J2" s="1270"/>
      <c r="K2" s="1270"/>
      <c r="L2" s="1270"/>
      <c r="M2" s="1270"/>
      <c r="N2" s="1270"/>
      <c r="O2" s="1270"/>
      <c r="P2" s="1270"/>
      <c r="Q2" s="1270"/>
      <c r="R2" s="1270"/>
      <c r="S2" s="1270"/>
      <c r="T2" s="1270"/>
      <c r="U2" s="1270"/>
      <c r="V2" s="1270"/>
      <c r="W2" s="1270"/>
      <c r="X2" s="1270"/>
      <c r="Y2" s="1270"/>
      <c r="Z2" s="1270"/>
      <c r="AA2" s="1270"/>
      <c r="AB2" s="1270"/>
      <c r="AC2" s="1270"/>
      <c r="AD2" s="1270"/>
      <c r="AE2" s="1270"/>
      <c r="AF2" s="1270"/>
      <c r="AG2" s="1270"/>
      <c r="AH2" s="1270"/>
      <c r="AI2" s="1270"/>
      <c r="AJ2" s="1270"/>
      <c r="AK2" s="1270"/>
      <c r="AL2" s="1270"/>
      <c r="AM2" s="1270"/>
      <c r="AN2" s="1270"/>
      <c r="AO2" s="1168"/>
    </row>
    <row r="3" spans="1:44" s="225" customFormat="1" ht="20.25" customHeight="1">
      <c r="A3" s="1309" t="s">
        <v>39</v>
      </c>
      <c r="B3" s="1309"/>
      <c r="C3" s="1309"/>
      <c r="D3" s="1309"/>
      <c r="E3" s="1309"/>
      <c r="F3" s="1309"/>
      <c r="G3" s="1309"/>
      <c r="H3" s="1309"/>
      <c r="I3" s="1309"/>
      <c r="J3" s="1309"/>
      <c r="K3" s="1309"/>
      <c r="L3" s="1309"/>
      <c r="M3" s="1309"/>
      <c r="N3" s="1309"/>
      <c r="O3" s="1309"/>
      <c r="P3" s="1309"/>
      <c r="Q3" s="1309"/>
      <c r="R3" s="1309"/>
      <c r="S3" s="1309"/>
      <c r="T3" s="1309"/>
      <c r="U3" s="1309"/>
      <c r="V3" s="1309"/>
      <c r="W3" s="1309"/>
      <c r="X3" s="1309"/>
      <c r="Y3" s="1309"/>
      <c r="Z3" s="1309"/>
      <c r="AA3" s="1309"/>
      <c r="AB3" s="1309"/>
      <c r="AC3" s="1309"/>
      <c r="AD3" s="1309"/>
      <c r="AE3" s="1309"/>
      <c r="AF3" s="1309"/>
      <c r="AG3" s="1309"/>
      <c r="AH3" s="1309"/>
      <c r="AI3" s="1309"/>
      <c r="AJ3" s="1309"/>
      <c r="AK3" s="1309"/>
      <c r="AL3" s="1309"/>
      <c r="AM3" s="1309"/>
      <c r="AN3" s="1309"/>
      <c r="AO3" s="1171"/>
      <c r="AP3" s="830"/>
    </row>
    <row r="4" spans="1:44" s="230" customFormat="1" ht="29.25" customHeight="1">
      <c r="A4" s="1271" t="s">
        <v>115</v>
      </c>
      <c r="B4" s="1271"/>
      <c r="C4" s="1271"/>
      <c r="D4" s="1271"/>
      <c r="E4" s="1271"/>
      <c r="F4" s="1271"/>
      <c r="G4" s="1271"/>
      <c r="H4" s="1271"/>
      <c r="I4" s="1271"/>
      <c r="J4" s="1271"/>
      <c r="K4" s="1271"/>
      <c r="L4" s="1271"/>
      <c r="M4" s="1271"/>
      <c r="N4" s="1271"/>
      <c r="O4" s="237"/>
      <c r="P4" s="237"/>
      <c r="Q4" s="237"/>
      <c r="R4" s="237"/>
      <c r="S4" s="237"/>
      <c r="T4" s="237"/>
      <c r="U4" s="237"/>
      <c r="V4" s="237"/>
      <c r="W4" s="237"/>
      <c r="X4" s="237"/>
      <c r="Y4" s="1270"/>
      <c r="Z4" s="1270"/>
      <c r="AA4" s="1270"/>
      <c r="AB4" s="1270"/>
      <c r="AC4" s="1270"/>
      <c r="AD4" s="1270"/>
      <c r="AE4" s="1270"/>
      <c r="AF4" s="1270"/>
      <c r="AG4" s="1270"/>
      <c r="AH4" s="1270"/>
      <c r="AI4" s="1270"/>
      <c r="AJ4" s="1270"/>
      <c r="AK4" s="1270"/>
      <c r="AL4" s="1270"/>
      <c r="AM4" s="1270"/>
      <c r="AN4" s="237"/>
      <c r="AO4" s="237"/>
    </row>
    <row r="5" spans="1:44" s="230" customFormat="1" ht="24" customHeight="1">
      <c r="A5" s="1273" t="s">
        <v>292</v>
      </c>
      <c r="B5" s="1273"/>
      <c r="C5" s="1273"/>
      <c r="D5" s="1273"/>
      <c r="E5" s="1273"/>
      <c r="F5" s="1273"/>
      <c r="G5" s="1273"/>
      <c r="H5" s="1273"/>
      <c r="I5" s="1273"/>
      <c r="J5" s="1273"/>
      <c r="K5" s="1273"/>
      <c r="L5" s="1273"/>
      <c r="M5" s="1273"/>
      <c r="N5" s="1273"/>
      <c r="O5" s="237"/>
      <c r="P5" s="237"/>
      <c r="Q5" s="237"/>
      <c r="R5" s="237"/>
      <c r="S5" s="237"/>
      <c r="T5" s="237"/>
      <c r="U5" s="237"/>
      <c r="V5" s="237"/>
      <c r="W5" s="237"/>
      <c r="X5" s="237"/>
      <c r="Y5" s="1270"/>
      <c r="Z5" s="1270"/>
      <c r="AA5" s="1270"/>
      <c r="AB5" s="1270"/>
      <c r="AC5" s="1270"/>
      <c r="AD5" s="1270"/>
      <c r="AE5" s="1270"/>
      <c r="AF5" s="1270"/>
      <c r="AG5" s="1270"/>
      <c r="AH5" s="1270"/>
      <c r="AI5" s="1270"/>
      <c r="AJ5" s="1270"/>
      <c r="AK5" s="1270"/>
      <c r="AL5" s="1270"/>
      <c r="AM5" s="1270"/>
      <c r="AN5" s="237"/>
      <c r="AO5" s="237"/>
    </row>
    <row r="6" spans="1:44" s="448" customFormat="1" ht="20.25" customHeight="1">
      <c r="A6" s="237"/>
      <c r="B6" s="237"/>
      <c r="C6" s="237"/>
      <c r="D6" s="237"/>
      <c r="E6" s="237"/>
      <c r="F6" s="237"/>
      <c r="G6" s="237"/>
      <c r="H6" s="237"/>
      <c r="I6" s="1092"/>
      <c r="J6" s="237"/>
      <c r="K6" s="237"/>
      <c r="L6" s="237"/>
      <c r="M6" s="237"/>
      <c r="N6" s="237"/>
      <c r="O6" s="237"/>
      <c r="P6" s="237"/>
      <c r="Q6" s="237"/>
      <c r="R6" s="237"/>
      <c r="S6" s="237"/>
      <c r="T6" s="237"/>
      <c r="U6" s="237"/>
      <c r="V6" s="237"/>
      <c r="W6" s="237"/>
      <c r="X6" s="237"/>
      <c r="Y6" s="237"/>
      <c r="Z6" s="237"/>
      <c r="AA6" s="237"/>
      <c r="AB6" s="237"/>
      <c r="AC6" s="237"/>
      <c r="AD6" s="237"/>
      <c r="AE6" s="237"/>
      <c r="AF6" s="237"/>
      <c r="AG6" s="237"/>
      <c r="AH6" s="237"/>
      <c r="AI6" s="237"/>
      <c r="AJ6" s="237"/>
      <c r="AK6" s="237"/>
      <c r="AL6" s="237"/>
      <c r="AM6" s="237"/>
      <c r="AN6" s="237"/>
      <c r="AO6" s="237"/>
    </row>
    <row r="7" spans="1:44" s="421" customFormat="1" ht="25.5">
      <c r="A7" s="1270" t="s">
        <v>552</v>
      </c>
      <c r="B7" s="1270"/>
      <c r="C7" s="1270"/>
      <c r="D7" s="1270"/>
      <c r="E7" s="1270"/>
      <c r="F7" s="1270"/>
      <c r="G7" s="1270"/>
      <c r="H7" s="1270"/>
      <c r="I7" s="1270"/>
      <c r="J7" s="1270"/>
      <c r="K7" s="1270"/>
      <c r="L7" s="1270"/>
      <c r="M7" s="1270"/>
      <c r="N7" s="1270"/>
      <c r="O7" s="1270"/>
      <c r="P7" s="1270"/>
      <c r="Q7" s="1270"/>
      <c r="R7" s="1270"/>
      <c r="S7" s="1270"/>
      <c r="T7" s="1270"/>
      <c r="U7" s="1270"/>
      <c r="V7" s="1270"/>
      <c r="W7" s="1270"/>
      <c r="X7" s="1270"/>
      <c r="Y7" s="1270"/>
      <c r="Z7" s="1270"/>
      <c r="AA7" s="1270"/>
      <c r="AB7" s="1270"/>
      <c r="AC7" s="1270"/>
      <c r="AD7" s="1270"/>
      <c r="AE7" s="1270"/>
      <c r="AF7" s="1270"/>
      <c r="AG7" s="1270"/>
      <c r="AH7" s="1270"/>
      <c r="AI7" s="1270"/>
      <c r="AJ7" s="1270"/>
      <c r="AK7" s="1270"/>
      <c r="AL7" s="1270"/>
      <c r="AM7" s="1270"/>
      <c r="AN7" s="1270"/>
      <c r="AO7" s="1168"/>
    </row>
    <row r="8" spans="1:44" ht="15.75">
      <c r="A8" s="427"/>
      <c r="B8" s="427"/>
      <c r="C8" s="427"/>
      <c r="D8" s="427"/>
      <c r="E8" s="427"/>
      <c r="F8" s="427"/>
      <c r="G8" s="427"/>
      <c r="H8" s="427"/>
      <c r="I8" s="1093"/>
      <c r="J8" s="427"/>
      <c r="K8" s="427"/>
      <c r="L8" s="427"/>
      <c r="M8" s="427"/>
      <c r="N8" s="427"/>
      <c r="O8" s="427"/>
      <c r="P8" s="427"/>
      <c r="Q8" s="427"/>
      <c r="R8" s="427"/>
      <c r="S8" s="427"/>
      <c r="T8" s="427"/>
      <c r="U8" s="427"/>
      <c r="V8" s="427"/>
      <c r="W8" s="427"/>
      <c r="X8" s="427"/>
      <c r="Y8" s="427"/>
      <c r="Z8" s="427"/>
      <c r="AA8" s="427"/>
      <c r="AB8" s="427"/>
      <c r="AC8" s="427"/>
      <c r="AD8" s="427"/>
      <c r="AE8" s="427"/>
      <c r="AF8" s="427"/>
      <c r="AG8" s="427"/>
      <c r="AH8" s="427"/>
      <c r="AI8" s="427"/>
      <c r="AJ8" s="1313" t="s">
        <v>299</v>
      </c>
      <c r="AK8" s="1313"/>
      <c r="AL8" s="1313"/>
      <c r="AM8" s="1313"/>
      <c r="AN8" s="427"/>
      <c r="AO8" s="427"/>
    </row>
    <row r="9" spans="1:44" s="226" customFormat="1" ht="22.5" customHeight="1">
      <c r="A9" s="1278" t="s">
        <v>41</v>
      </c>
      <c r="B9" s="1314"/>
      <c r="C9" s="1280" t="s">
        <v>12</v>
      </c>
      <c r="D9" s="1280" t="s">
        <v>27</v>
      </c>
      <c r="E9" s="1280"/>
      <c r="F9" s="1280"/>
      <c r="G9" s="1280"/>
      <c r="H9" s="1280"/>
      <c r="I9" s="1280"/>
      <c r="J9" s="1280"/>
      <c r="K9" s="1280"/>
      <c r="L9" s="1280"/>
      <c r="M9" s="1280"/>
      <c r="N9" s="1280"/>
      <c r="O9" s="1280"/>
      <c r="P9" s="1280"/>
      <c r="Q9" s="1280"/>
      <c r="R9" s="1280"/>
      <c r="S9" s="1280"/>
      <c r="T9" s="1280"/>
      <c r="U9" s="1280"/>
      <c r="V9" s="1280"/>
      <c r="W9" s="1280"/>
      <c r="X9" s="1280"/>
      <c r="Y9" s="1280"/>
      <c r="Z9" s="1280"/>
      <c r="AA9" s="1280"/>
      <c r="AB9" s="1280"/>
      <c r="AC9" s="1280"/>
      <c r="AD9" s="1280"/>
      <c r="AE9" s="1280"/>
      <c r="AF9" s="1280"/>
      <c r="AG9" s="1280"/>
      <c r="AH9" s="1280"/>
      <c r="AI9" s="1318" t="s">
        <v>300</v>
      </c>
      <c r="AJ9" s="1319"/>
      <c r="AK9" s="1319"/>
      <c r="AL9" s="1319"/>
      <c r="AM9" s="1320"/>
      <c r="AN9" s="1285" t="s">
        <v>44</v>
      </c>
      <c r="AO9" s="526"/>
      <c r="AQ9" s="238"/>
      <c r="AR9" s="238"/>
    </row>
    <row r="10" spans="1:44" s="226" customFormat="1" ht="129" customHeight="1">
      <c r="A10" s="1315"/>
      <c r="B10" s="1316"/>
      <c r="C10" s="1317"/>
      <c r="D10" s="1172">
        <v>1</v>
      </c>
      <c r="E10" s="1172">
        <v>2</v>
      </c>
      <c r="F10" s="1172">
        <v>3</v>
      </c>
      <c r="G10" s="1172">
        <v>4</v>
      </c>
      <c r="H10" s="1172">
        <v>5</v>
      </c>
      <c r="I10" s="1213">
        <v>6</v>
      </c>
      <c r="J10" s="1183">
        <v>7</v>
      </c>
      <c r="K10" s="1172">
        <v>8</v>
      </c>
      <c r="L10" s="1172">
        <v>9</v>
      </c>
      <c r="M10" s="1172">
        <v>10</v>
      </c>
      <c r="N10" s="1172">
        <v>11</v>
      </c>
      <c r="O10" s="1172">
        <v>12</v>
      </c>
      <c r="P10" s="1172">
        <v>13</v>
      </c>
      <c r="Q10" s="1183">
        <v>14</v>
      </c>
      <c r="R10" s="1172">
        <v>15</v>
      </c>
      <c r="S10" s="1172">
        <v>16</v>
      </c>
      <c r="T10" s="1172">
        <v>17</v>
      </c>
      <c r="U10" s="1172">
        <v>18</v>
      </c>
      <c r="V10" s="1172">
        <v>19</v>
      </c>
      <c r="W10" s="1172">
        <v>20</v>
      </c>
      <c r="X10" s="1183">
        <v>21</v>
      </c>
      <c r="Y10" s="1172">
        <v>22</v>
      </c>
      <c r="Z10" s="1172">
        <v>23</v>
      </c>
      <c r="AA10" s="1172">
        <v>24</v>
      </c>
      <c r="AB10" s="1172">
        <v>25</v>
      </c>
      <c r="AC10" s="1172">
        <v>26</v>
      </c>
      <c r="AD10" s="1172">
        <v>27</v>
      </c>
      <c r="AE10" s="1183">
        <v>28</v>
      </c>
      <c r="AF10" s="1172">
        <v>29</v>
      </c>
      <c r="AG10" s="1172">
        <v>30</v>
      </c>
      <c r="AH10" s="1172">
        <v>31</v>
      </c>
      <c r="AI10" s="831" t="s">
        <v>301</v>
      </c>
      <c r="AJ10" s="831" t="s">
        <v>302</v>
      </c>
      <c r="AK10" s="831" t="s">
        <v>484</v>
      </c>
      <c r="AL10" s="831" t="s">
        <v>485</v>
      </c>
      <c r="AM10" s="831" t="s">
        <v>303</v>
      </c>
      <c r="AN10" s="1321"/>
      <c r="AO10" s="526"/>
    </row>
    <row r="11" spans="1:44" s="519" customFormat="1" ht="42" customHeight="1">
      <c r="A11" s="517">
        <v>1</v>
      </c>
      <c r="B11" s="538"/>
      <c r="C11" s="539" t="str">
        <f>+'[5]TỔNG MỦ TẠP'!$B9</f>
        <v>Phò Thưng</v>
      </c>
      <c r="D11" s="540" t="s">
        <v>123</v>
      </c>
      <c r="E11" s="540" t="s">
        <v>123</v>
      </c>
      <c r="F11" s="540" t="s">
        <v>123</v>
      </c>
      <c r="G11" s="540" t="s">
        <v>123</v>
      </c>
      <c r="H11" s="540" t="s">
        <v>123</v>
      </c>
      <c r="I11" s="1094" t="s">
        <v>123</v>
      </c>
      <c r="J11" s="540" t="s">
        <v>122</v>
      </c>
      <c r="K11" s="540" t="s">
        <v>123</v>
      </c>
      <c r="L11" s="540" t="s">
        <v>123</v>
      </c>
      <c r="M11" s="540" t="s">
        <v>123</v>
      </c>
      <c r="N11" s="540" t="s">
        <v>123</v>
      </c>
      <c r="O11" s="540" t="s">
        <v>123</v>
      </c>
      <c r="P11" s="540" t="s">
        <v>123</v>
      </c>
      <c r="Q11" s="540" t="s">
        <v>122</v>
      </c>
      <c r="R11" s="540" t="s">
        <v>123</v>
      </c>
      <c r="S11" s="540" t="s">
        <v>123</v>
      </c>
      <c r="T11" s="540" t="s">
        <v>123</v>
      </c>
      <c r="U11" s="540" t="s">
        <v>123</v>
      </c>
      <c r="V11" s="540" t="s">
        <v>123</v>
      </c>
      <c r="W11" s="540" t="s">
        <v>123</v>
      </c>
      <c r="X11" s="540" t="s">
        <v>122</v>
      </c>
      <c r="Y11" s="540" t="s">
        <v>123</v>
      </c>
      <c r="Z11" s="540" t="s">
        <v>123</v>
      </c>
      <c r="AA11" s="541" t="s">
        <v>123</v>
      </c>
      <c r="AB11" s="540" t="s">
        <v>123</v>
      </c>
      <c r="AC11" s="540" t="s">
        <v>123</v>
      </c>
      <c r="AD11" s="540" t="s">
        <v>123</v>
      </c>
      <c r="AE11" s="540" t="s">
        <v>122</v>
      </c>
      <c r="AF11" s="540" t="s">
        <v>123</v>
      </c>
      <c r="AG11" s="542" t="s">
        <v>123</v>
      </c>
      <c r="AH11" s="542" t="s">
        <v>123</v>
      </c>
      <c r="AI11" s="543">
        <f>COUNTIF(D11:AH11,"x")</f>
        <v>27</v>
      </c>
      <c r="AJ11" s="543">
        <f>COUNTIF(D11:AH11,"cn")</f>
        <v>4</v>
      </c>
      <c r="AK11" s="543">
        <f>COUNTIF(D11:AH11,"đ")</f>
        <v>0</v>
      </c>
      <c r="AL11" s="543">
        <f>COUNTIF(D11:AH11,"đcn")</f>
        <v>0</v>
      </c>
      <c r="AM11" s="543">
        <f>SUM(AI11:AL11)</f>
        <v>31</v>
      </c>
      <c r="AN11" s="544"/>
      <c r="AO11" s="545"/>
    </row>
    <row r="12" spans="1:44" s="519" customFormat="1" ht="42" customHeight="1">
      <c r="A12" s="517">
        <v>2</v>
      </c>
      <c r="B12" s="538"/>
      <c r="C12" s="539" t="str">
        <f>+'[5]TỔNG MỦ TẠP'!$B10</f>
        <v>A Nhợp</v>
      </c>
      <c r="D12" s="540" t="s">
        <v>123</v>
      </c>
      <c r="E12" s="540" t="s">
        <v>123</v>
      </c>
      <c r="F12" s="540" t="s">
        <v>123</v>
      </c>
      <c r="G12" s="540" t="s">
        <v>123</v>
      </c>
      <c r="H12" s="540" t="s">
        <v>123</v>
      </c>
      <c r="I12" s="1094" t="s">
        <v>123</v>
      </c>
      <c r="J12" s="540" t="s">
        <v>122</v>
      </c>
      <c r="K12" s="540" t="s">
        <v>123</v>
      </c>
      <c r="L12" s="540" t="s">
        <v>123</v>
      </c>
      <c r="M12" s="540" t="s">
        <v>123</v>
      </c>
      <c r="N12" s="540" t="s">
        <v>123</v>
      </c>
      <c r="O12" s="540" t="s">
        <v>123</v>
      </c>
      <c r="P12" s="540" t="s">
        <v>123</v>
      </c>
      <c r="Q12" s="540" t="s">
        <v>122</v>
      </c>
      <c r="R12" s="540" t="s">
        <v>123</v>
      </c>
      <c r="S12" s="540" t="s">
        <v>123</v>
      </c>
      <c r="T12" s="540" t="s">
        <v>123</v>
      </c>
      <c r="U12" s="540" t="s">
        <v>123</v>
      </c>
      <c r="V12" s="540" t="s">
        <v>123</v>
      </c>
      <c r="W12" s="540"/>
      <c r="X12" s="540" t="s">
        <v>122</v>
      </c>
      <c r="Y12" s="540" t="s">
        <v>123</v>
      </c>
      <c r="Z12" s="540" t="s">
        <v>123</v>
      </c>
      <c r="AA12" s="540" t="s">
        <v>123</v>
      </c>
      <c r="AB12" s="540" t="s">
        <v>123</v>
      </c>
      <c r="AC12" s="540" t="s">
        <v>123</v>
      </c>
      <c r="AD12" s="540" t="s">
        <v>123</v>
      </c>
      <c r="AE12" s="540" t="s">
        <v>122</v>
      </c>
      <c r="AF12" s="540" t="s">
        <v>123</v>
      </c>
      <c r="AG12" s="540" t="s">
        <v>123</v>
      </c>
      <c r="AH12" s="540" t="s">
        <v>123</v>
      </c>
      <c r="AI12" s="543">
        <f t="shared" ref="AI12:AI75" si="0">COUNTIF(D12:AH12,"x")</f>
        <v>26</v>
      </c>
      <c r="AJ12" s="543">
        <f t="shared" ref="AJ12:AJ75" si="1">COUNTIF(D12:AH12,"cn")</f>
        <v>4</v>
      </c>
      <c r="AK12" s="543">
        <f t="shared" ref="AK12:AK75" si="2">COUNTIF(D12:AH12,"đ")</f>
        <v>0</v>
      </c>
      <c r="AL12" s="543">
        <f t="shared" ref="AL12:AL75" si="3">COUNTIF(D12:AH12,"đcn")</f>
        <v>0</v>
      </c>
      <c r="AM12" s="543">
        <f t="shared" ref="AM12:AM75" si="4">SUM(AI12:AL12)</f>
        <v>30</v>
      </c>
      <c r="AN12" s="544"/>
      <c r="AO12" s="545"/>
    </row>
    <row r="13" spans="1:44" s="519" customFormat="1" ht="42" customHeight="1">
      <c r="A13" s="517">
        <v>3</v>
      </c>
      <c r="B13" s="538"/>
      <c r="C13" s="539" t="str">
        <f>+'[5]TỔNG MỦ TẠP'!$B11</f>
        <v>Van</v>
      </c>
      <c r="D13" s="540"/>
      <c r="E13" s="540"/>
      <c r="F13" s="540" t="s">
        <v>123</v>
      </c>
      <c r="G13" s="540" t="s">
        <v>123</v>
      </c>
      <c r="H13" s="540" t="s">
        <v>123</v>
      </c>
      <c r="I13" s="1094" t="s">
        <v>123</v>
      </c>
      <c r="J13" s="540" t="s">
        <v>122</v>
      </c>
      <c r="K13" s="540" t="s">
        <v>123</v>
      </c>
      <c r="L13" s="540" t="s">
        <v>123</v>
      </c>
      <c r="M13" s="540" t="s">
        <v>123</v>
      </c>
      <c r="N13" s="540" t="s">
        <v>123</v>
      </c>
      <c r="O13" s="540" t="s">
        <v>123</v>
      </c>
      <c r="P13" s="540"/>
      <c r="Q13" s="540" t="s">
        <v>122</v>
      </c>
      <c r="R13" s="540" t="s">
        <v>123</v>
      </c>
      <c r="S13" s="540" t="s">
        <v>123</v>
      </c>
      <c r="T13" s="540" t="s">
        <v>123</v>
      </c>
      <c r="U13" s="540" t="s">
        <v>123</v>
      </c>
      <c r="V13" s="540" t="s">
        <v>123</v>
      </c>
      <c r="W13" s="540"/>
      <c r="X13" s="540" t="s">
        <v>122</v>
      </c>
      <c r="Y13" s="540" t="s">
        <v>123</v>
      </c>
      <c r="Z13" s="540" t="s">
        <v>123</v>
      </c>
      <c r="AA13" s="540" t="s">
        <v>123</v>
      </c>
      <c r="AB13" s="540" t="s">
        <v>123</v>
      </c>
      <c r="AC13" s="540" t="s">
        <v>123</v>
      </c>
      <c r="AD13" s="540" t="s">
        <v>123</v>
      </c>
      <c r="AE13" s="540" t="s">
        <v>122</v>
      </c>
      <c r="AF13" s="540" t="s">
        <v>123</v>
      </c>
      <c r="AG13" s="542" t="s">
        <v>123</v>
      </c>
      <c r="AH13" s="542" t="s">
        <v>123</v>
      </c>
      <c r="AI13" s="543">
        <f t="shared" si="0"/>
        <v>23</v>
      </c>
      <c r="AJ13" s="543">
        <f t="shared" si="1"/>
        <v>4</v>
      </c>
      <c r="AK13" s="543">
        <f t="shared" si="2"/>
        <v>0</v>
      </c>
      <c r="AL13" s="543">
        <f t="shared" si="3"/>
        <v>0</v>
      </c>
      <c r="AM13" s="543">
        <f t="shared" si="4"/>
        <v>27</v>
      </c>
      <c r="AN13" s="544"/>
      <c r="AO13" s="545"/>
    </row>
    <row r="14" spans="1:44" s="519" customFormat="1" ht="42" customHeight="1">
      <c r="A14" s="517">
        <v>4</v>
      </c>
      <c r="B14" s="538"/>
      <c r="C14" s="539" t="str">
        <f>+'[5]TỔNG MỦ TẠP'!$B12</f>
        <v>Thảo Khọt</v>
      </c>
      <c r="D14" s="540" t="s">
        <v>123</v>
      </c>
      <c r="E14" s="540" t="s">
        <v>123</v>
      </c>
      <c r="F14" s="540" t="s">
        <v>123</v>
      </c>
      <c r="G14" s="540" t="s">
        <v>123</v>
      </c>
      <c r="H14" s="540" t="s">
        <v>123</v>
      </c>
      <c r="I14" s="1094" t="s">
        <v>123</v>
      </c>
      <c r="J14" s="540" t="s">
        <v>122</v>
      </c>
      <c r="K14" s="540" t="s">
        <v>123</v>
      </c>
      <c r="L14" s="540" t="s">
        <v>123</v>
      </c>
      <c r="M14" s="540" t="s">
        <v>123</v>
      </c>
      <c r="N14" s="540" t="s">
        <v>123</v>
      </c>
      <c r="O14" s="540" t="s">
        <v>123</v>
      </c>
      <c r="P14" s="540" t="s">
        <v>123</v>
      </c>
      <c r="Q14" s="540" t="s">
        <v>122</v>
      </c>
      <c r="R14" s="540" t="s">
        <v>123</v>
      </c>
      <c r="S14" s="540" t="s">
        <v>123</v>
      </c>
      <c r="T14" s="540" t="s">
        <v>123</v>
      </c>
      <c r="U14" s="540" t="s">
        <v>123</v>
      </c>
      <c r="V14" s="540" t="s">
        <v>123</v>
      </c>
      <c r="W14" s="540" t="s">
        <v>123</v>
      </c>
      <c r="X14" s="540" t="s">
        <v>122</v>
      </c>
      <c r="Y14" s="540" t="s">
        <v>123</v>
      </c>
      <c r="Z14" s="540" t="s">
        <v>123</v>
      </c>
      <c r="AA14" s="540" t="s">
        <v>123</v>
      </c>
      <c r="AB14" s="540" t="s">
        <v>123</v>
      </c>
      <c r="AC14" s="540" t="s">
        <v>123</v>
      </c>
      <c r="AD14" s="540" t="s">
        <v>123</v>
      </c>
      <c r="AE14" s="540" t="s">
        <v>122</v>
      </c>
      <c r="AF14" s="540" t="s">
        <v>123</v>
      </c>
      <c r="AG14" s="540" t="s">
        <v>123</v>
      </c>
      <c r="AH14" s="540" t="s">
        <v>123</v>
      </c>
      <c r="AI14" s="543">
        <f t="shared" si="0"/>
        <v>27</v>
      </c>
      <c r="AJ14" s="543">
        <f t="shared" si="1"/>
        <v>4</v>
      </c>
      <c r="AK14" s="543">
        <f t="shared" si="2"/>
        <v>0</v>
      </c>
      <c r="AL14" s="543">
        <f t="shared" si="3"/>
        <v>0</v>
      </c>
      <c r="AM14" s="543">
        <f t="shared" si="4"/>
        <v>31</v>
      </c>
      <c r="AN14" s="544"/>
      <c r="AO14" s="545"/>
    </row>
    <row r="15" spans="1:44" s="519" customFormat="1" ht="42" customHeight="1">
      <c r="A15" s="517">
        <v>5</v>
      </c>
      <c r="B15" s="538"/>
      <c r="C15" s="539" t="str">
        <f>+'[5]TỔNG MỦ TẠP'!$B13</f>
        <v>A Cơ</v>
      </c>
      <c r="D15" s="540" t="s">
        <v>123</v>
      </c>
      <c r="E15" s="540" t="s">
        <v>123</v>
      </c>
      <c r="F15" s="540" t="s">
        <v>123</v>
      </c>
      <c r="G15" s="540" t="s">
        <v>123</v>
      </c>
      <c r="H15" s="540" t="s">
        <v>123</v>
      </c>
      <c r="I15" s="1094" t="s">
        <v>123</v>
      </c>
      <c r="J15" s="540" t="s">
        <v>122</v>
      </c>
      <c r="K15" s="540" t="s">
        <v>123</v>
      </c>
      <c r="L15" s="540" t="s">
        <v>123</v>
      </c>
      <c r="M15" s="540" t="s">
        <v>123</v>
      </c>
      <c r="N15" s="540" t="s">
        <v>123</v>
      </c>
      <c r="O15" s="540" t="s">
        <v>123</v>
      </c>
      <c r="P15" s="540" t="s">
        <v>123</v>
      </c>
      <c r="Q15" s="540" t="s">
        <v>122</v>
      </c>
      <c r="R15" s="540" t="s">
        <v>123</v>
      </c>
      <c r="S15" s="540" t="s">
        <v>123</v>
      </c>
      <c r="T15" s="540" t="s">
        <v>123</v>
      </c>
      <c r="U15" s="540" t="s">
        <v>123</v>
      </c>
      <c r="V15" s="540" t="s">
        <v>123</v>
      </c>
      <c r="W15" s="540" t="s">
        <v>123</v>
      </c>
      <c r="X15" s="540" t="s">
        <v>122</v>
      </c>
      <c r="Y15" s="540" t="s">
        <v>123</v>
      </c>
      <c r="Z15" s="540" t="s">
        <v>123</v>
      </c>
      <c r="AA15" s="540" t="s">
        <v>123</v>
      </c>
      <c r="AB15" s="540" t="s">
        <v>123</v>
      </c>
      <c r="AC15" s="540" t="s">
        <v>123</v>
      </c>
      <c r="AD15" s="540" t="s">
        <v>123</v>
      </c>
      <c r="AE15" s="540" t="s">
        <v>122</v>
      </c>
      <c r="AF15" s="540" t="s">
        <v>123</v>
      </c>
      <c r="AG15" s="540" t="s">
        <v>123</v>
      </c>
      <c r="AH15" s="540" t="s">
        <v>123</v>
      </c>
      <c r="AI15" s="543">
        <f t="shared" si="0"/>
        <v>27</v>
      </c>
      <c r="AJ15" s="543">
        <f t="shared" si="1"/>
        <v>4</v>
      </c>
      <c r="AK15" s="543">
        <f t="shared" si="2"/>
        <v>0</v>
      </c>
      <c r="AL15" s="543">
        <f t="shared" si="3"/>
        <v>0</v>
      </c>
      <c r="AM15" s="543">
        <f t="shared" si="4"/>
        <v>31</v>
      </c>
      <c r="AN15" s="544"/>
      <c r="AO15" s="545"/>
    </row>
    <row r="16" spans="1:44" s="519" customFormat="1" ht="42" customHeight="1">
      <c r="A16" s="517">
        <v>6</v>
      </c>
      <c r="B16" s="538"/>
      <c r="C16" s="539" t="str">
        <f>+'[5]TỔNG MỦ TẠP'!$B14</f>
        <v>Phơ</v>
      </c>
      <c r="D16" s="540" t="s">
        <v>123</v>
      </c>
      <c r="E16" s="540" t="s">
        <v>123</v>
      </c>
      <c r="F16" s="540" t="s">
        <v>123</v>
      </c>
      <c r="G16" s="540" t="s">
        <v>123</v>
      </c>
      <c r="H16" s="540" t="s">
        <v>123</v>
      </c>
      <c r="I16" s="1094" t="s">
        <v>123</v>
      </c>
      <c r="J16" s="540" t="s">
        <v>122</v>
      </c>
      <c r="K16" s="540" t="s">
        <v>123</v>
      </c>
      <c r="L16" s="540" t="s">
        <v>123</v>
      </c>
      <c r="M16" s="540" t="s">
        <v>123</v>
      </c>
      <c r="N16" s="540" t="s">
        <v>123</v>
      </c>
      <c r="O16" s="540" t="s">
        <v>123</v>
      </c>
      <c r="P16" s="540" t="s">
        <v>123</v>
      </c>
      <c r="Q16" s="540"/>
      <c r="R16" s="540" t="s">
        <v>123</v>
      </c>
      <c r="S16" s="540" t="s">
        <v>123</v>
      </c>
      <c r="T16" s="540" t="s">
        <v>123</v>
      </c>
      <c r="U16" s="540" t="s">
        <v>123</v>
      </c>
      <c r="V16" s="540" t="s">
        <v>123</v>
      </c>
      <c r="W16" s="540" t="s">
        <v>123</v>
      </c>
      <c r="X16" s="540"/>
      <c r="Y16" s="540" t="s">
        <v>123</v>
      </c>
      <c r="Z16" s="540" t="s">
        <v>123</v>
      </c>
      <c r="AA16" s="540" t="s">
        <v>123</v>
      </c>
      <c r="AB16" s="540" t="s">
        <v>123</v>
      </c>
      <c r="AC16" s="540" t="s">
        <v>123</v>
      </c>
      <c r="AD16" s="540" t="s">
        <v>123</v>
      </c>
      <c r="AE16" s="540" t="s">
        <v>122</v>
      </c>
      <c r="AF16" s="540" t="s">
        <v>123</v>
      </c>
      <c r="AG16" s="542" t="s">
        <v>123</v>
      </c>
      <c r="AH16" s="542" t="s">
        <v>123</v>
      </c>
      <c r="AI16" s="543">
        <f t="shared" si="0"/>
        <v>27</v>
      </c>
      <c r="AJ16" s="543">
        <f t="shared" si="1"/>
        <v>2</v>
      </c>
      <c r="AK16" s="543">
        <f t="shared" si="2"/>
        <v>0</v>
      </c>
      <c r="AL16" s="543">
        <f t="shared" si="3"/>
        <v>0</v>
      </c>
      <c r="AM16" s="543">
        <f t="shared" si="4"/>
        <v>29</v>
      </c>
      <c r="AN16" s="544"/>
      <c r="AO16" s="545"/>
    </row>
    <row r="17" spans="1:41" s="519" customFormat="1" ht="42" customHeight="1">
      <c r="A17" s="517">
        <v>7</v>
      </c>
      <c r="B17" s="538"/>
      <c r="C17" s="539" t="str">
        <f>+'[5]TỔNG MỦ TẠP'!$B15</f>
        <v>A phơ</v>
      </c>
      <c r="D17" s="540" t="s">
        <v>123</v>
      </c>
      <c r="E17" s="540" t="s">
        <v>123</v>
      </c>
      <c r="F17" s="540" t="s">
        <v>123</v>
      </c>
      <c r="G17" s="540" t="s">
        <v>123</v>
      </c>
      <c r="H17" s="540" t="s">
        <v>123</v>
      </c>
      <c r="I17" s="1094" t="s">
        <v>123</v>
      </c>
      <c r="J17" s="540" t="s">
        <v>122</v>
      </c>
      <c r="K17" s="540" t="s">
        <v>123</v>
      </c>
      <c r="L17" s="540" t="s">
        <v>123</v>
      </c>
      <c r="M17" s="540" t="s">
        <v>123</v>
      </c>
      <c r="N17" s="540" t="s">
        <v>123</v>
      </c>
      <c r="O17" s="540" t="s">
        <v>123</v>
      </c>
      <c r="P17" s="540" t="s">
        <v>123</v>
      </c>
      <c r="Q17" s="540" t="s">
        <v>122</v>
      </c>
      <c r="R17" s="540" t="s">
        <v>123</v>
      </c>
      <c r="S17" s="540" t="s">
        <v>123</v>
      </c>
      <c r="T17" s="540" t="s">
        <v>123</v>
      </c>
      <c r="U17" s="540" t="s">
        <v>123</v>
      </c>
      <c r="V17" s="540" t="s">
        <v>123</v>
      </c>
      <c r="W17" s="540" t="s">
        <v>123</v>
      </c>
      <c r="X17" s="540" t="s">
        <v>122</v>
      </c>
      <c r="Y17" s="540" t="s">
        <v>123</v>
      </c>
      <c r="Z17" s="540" t="s">
        <v>123</v>
      </c>
      <c r="AA17" s="540" t="s">
        <v>123</v>
      </c>
      <c r="AB17" s="540" t="s">
        <v>123</v>
      </c>
      <c r="AC17" s="540" t="s">
        <v>123</v>
      </c>
      <c r="AD17" s="540" t="s">
        <v>123</v>
      </c>
      <c r="AE17" s="540" t="s">
        <v>122</v>
      </c>
      <c r="AF17" s="540" t="s">
        <v>123</v>
      </c>
      <c r="AG17" s="540" t="s">
        <v>123</v>
      </c>
      <c r="AH17" s="540" t="s">
        <v>123</v>
      </c>
      <c r="AI17" s="543">
        <f t="shared" si="0"/>
        <v>27</v>
      </c>
      <c r="AJ17" s="543">
        <f t="shared" si="1"/>
        <v>4</v>
      </c>
      <c r="AK17" s="543">
        <f t="shared" si="2"/>
        <v>0</v>
      </c>
      <c r="AL17" s="543">
        <f t="shared" si="3"/>
        <v>0</v>
      </c>
      <c r="AM17" s="543">
        <f t="shared" si="4"/>
        <v>31</v>
      </c>
      <c r="AN17" s="544"/>
      <c r="AO17" s="545"/>
    </row>
    <row r="18" spans="1:41" s="519" customFormat="1" ht="42" customHeight="1">
      <c r="A18" s="517">
        <v>8</v>
      </c>
      <c r="B18" s="538"/>
      <c r="C18" s="539" t="str">
        <f>+'[5]TỔNG MỦ TẠP'!$B16</f>
        <v>Nang Đăm</v>
      </c>
      <c r="D18" s="540" t="s">
        <v>123</v>
      </c>
      <c r="E18" s="540" t="s">
        <v>123</v>
      </c>
      <c r="F18" s="540" t="s">
        <v>123</v>
      </c>
      <c r="G18" s="540" t="s">
        <v>123</v>
      </c>
      <c r="H18" s="540" t="s">
        <v>123</v>
      </c>
      <c r="I18" s="1094" t="s">
        <v>123</v>
      </c>
      <c r="J18" s="540" t="s">
        <v>122</v>
      </c>
      <c r="K18" s="540" t="s">
        <v>123</v>
      </c>
      <c r="L18" s="540" t="s">
        <v>123</v>
      </c>
      <c r="M18" s="540" t="s">
        <v>123</v>
      </c>
      <c r="N18" s="540" t="s">
        <v>123</v>
      </c>
      <c r="O18" s="540" t="s">
        <v>123</v>
      </c>
      <c r="P18" s="540" t="s">
        <v>123</v>
      </c>
      <c r="Q18" s="540" t="s">
        <v>122</v>
      </c>
      <c r="R18" s="540" t="s">
        <v>123</v>
      </c>
      <c r="S18" s="540" t="s">
        <v>123</v>
      </c>
      <c r="T18" s="540"/>
      <c r="U18" s="540" t="s">
        <v>123</v>
      </c>
      <c r="V18" s="540" t="s">
        <v>123</v>
      </c>
      <c r="W18" s="540" t="s">
        <v>123</v>
      </c>
      <c r="X18" s="540" t="s">
        <v>122</v>
      </c>
      <c r="Y18" s="540" t="s">
        <v>123</v>
      </c>
      <c r="Z18" s="540" t="s">
        <v>123</v>
      </c>
      <c r="AA18" s="540" t="s">
        <v>123</v>
      </c>
      <c r="AB18" s="540" t="s">
        <v>123</v>
      </c>
      <c r="AC18" s="540" t="s">
        <v>123</v>
      </c>
      <c r="AD18" s="540" t="s">
        <v>123</v>
      </c>
      <c r="AE18" s="540" t="s">
        <v>122</v>
      </c>
      <c r="AF18" s="540" t="s">
        <v>123</v>
      </c>
      <c r="AG18" s="540" t="s">
        <v>123</v>
      </c>
      <c r="AH18" s="540" t="s">
        <v>123</v>
      </c>
      <c r="AI18" s="543">
        <f t="shared" si="0"/>
        <v>26</v>
      </c>
      <c r="AJ18" s="543">
        <f t="shared" si="1"/>
        <v>4</v>
      </c>
      <c r="AK18" s="543">
        <f t="shared" si="2"/>
        <v>0</v>
      </c>
      <c r="AL18" s="543">
        <f t="shared" si="3"/>
        <v>0</v>
      </c>
      <c r="AM18" s="543">
        <f t="shared" si="4"/>
        <v>30</v>
      </c>
      <c r="AN18" s="544"/>
      <c r="AO18" s="545"/>
    </row>
    <row r="19" spans="1:41" s="519" customFormat="1" ht="42" customHeight="1">
      <c r="A19" s="517">
        <v>9</v>
      </c>
      <c r="B19" s="538"/>
      <c r="C19" s="539" t="str">
        <f>+'[5]TỔNG MỦ TẠP'!$B17</f>
        <v>Nang Sun</v>
      </c>
      <c r="D19" s="540" t="s">
        <v>123</v>
      </c>
      <c r="E19" s="540" t="s">
        <v>123</v>
      </c>
      <c r="F19" s="540" t="s">
        <v>123</v>
      </c>
      <c r="G19" s="540" t="s">
        <v>123</v>
      </c>
      <c r="H19" s="540" t="s">
        <v>123</v>
      </c>
      <c r="I19" s="1094" t="s">
        <v>123</v>
      </c>
      <c r="J19" s="540" t="s">
        <v>122</v>
      </c>
      <c r="K19" s="540" t="s">
        <v>123</v>
      </c>
      <c r="L19" s="540" t="s">
        <v>123</v>
      </c>
      <c r="M19" s="540" t="s">
        <v>123</v>
      </c>
      <c r="N19" s="540" t="s">
        <v>123</v>
      </c>
      <c r="O19" s="540" t="s">
        <v>123</v>
      </c>
      <c r="P19" s="540" t="s">
        <v>123</v>
      </c>
      <c r="Q19" s="540" t="s">
        <v>122</v>
      </c>
      <c r="R19" s="540" t="s">
        <v>123</v>
      </c>
      <c r="S19" s="540" t="s">
        <v>123</v>
      </c>
      <c r="T19" s="540" t="s">
        <v>123</v>
      </c>
      <c r="U19" s="540" t="s">
        <v>123</v>
      </c>
      <c r="V19" s="540" t="s">
        <v>123</v>
      </c>
      <c r="W19" s="540" t="s">
        <v>123</v>
      </c>
      <c r="X19" s="540" t="s">
        <v>122</v>
      </c>
      <c r="Y19" s="540" t="s">
        <v>123</v>
      </c>
      <c r="Z19" s="540" t="s">
        <v>123</v>
      </c>
      <c r="AA19" s="540" t="s">
        <v>123</v>
      </c>
      <c r="AB19" s="540" t="s">
        <v>123</v>
      </c>
      <c r="AC19" s="540" t="s">
        <v>123</v>
      </c>
      <c r="AD19" s="540" t="s">
        <v>123</v>
      </c>
      <c r="AE19" s="540" t="s">
        <v>122</v>
      </c>
      <c r="AF19" s="540" t="s">
        <v>123</v>
      </c>
      <c r="AG19" s="540" t="s">
        <v>123</v>
      </c>
      <c r="AH19" s="540" t="s">
        <v>123</v>
      </c>
      <c r="AI19" s="543">
        <f t="shared" si="0"/>
        <v>27</v>
      </c>
      <c r="AJ19" s="543">
        <f t="shared" si="1"/>
        <v>4</v>
      </c>
      <c r="AK19" s="543">
        <f t="shared" si="2"/>
        <v>0</v>
      </c>
      <c r="AL19" s="543">
        <f t="shared" si="3"/>
        <v>0</v>
      </c>
      <c r="AM19" s="543">
        <f t="shared" si="4"/>
        <v>31</v>
      </c>
      <c r="AN19" s="544"/>
      <c r="AO19" s="545"/>
    </row>
    <row r="20" spans="1:41" s="519" customFormat="1" ht="42" customHeight="1">
      <c r="A20" s="517">
        <v>10</v>
      </c>
      <c r="B20" s="538"/>
      <c r="C20" s="539" t="str">
        <f>+'[5]TỔNG MỦ TẠP'!$B18</f>
        <v>A Nghen</v>
      </c>
      <c r="D20" s="540" t="s">
        <v>123</v>
      </c>
      <c r="E20" s="540" t="s">
        <v>123</v>
      </c>
      <c r="F20" s="540" t="s">
        <v>123</v>
      </c>
      <c r="G20" s="540" t="s">
        <v>123</v>
      </c>
      <c r="H20" s="540"/>
      <c r="I20" s="1094" t="s">
        <v>123</v>
      </c>
      <c r="J20" s="540" t="s">
        <v>122</v>
      </c>
      <c r="K20" s="540" t="s">
        <v>123</v>
      </c>
      <c r="L20" s="540" t="s">
        <v>123</v>
      </c>
      <c r="M20" s="540" t="s">
        <v>123</v>
      </c>
      <c r="N20" s="540" t="s">
        <v>123</v>
      </c>
      <c r="O20" s="540" t="s">
        <v>123</v>
      </c>
      <c r="P20" s="540" t="s">
        <v>123</v>
      </c>
      <c r="Q20" s="540" t="s">
        <v>122</v>
      </c>
      <c r="R20" s="540" t="s">
        <v>123</v>
      </c>
      <c r="S20" s="540" t="s">
        <v>123</v>
      </c>
      <c r="T20" s="540" t="s">
        <v>123</v>
      </c>
      <c r="U20" s="540" t="s">
        <v>123</v>
      </c>
      <c r="V20" s="540"/>
      <c r="W20" s="540"/>
      <c r="X20" s="540" t="s">
        <v>122</v>
      </c>
      <c r="Y20" s="540" t="s">
        <v>123</v>
      </c>
      <c r="Z20" s="540" t="s">
        <v>123</v>
      </c>
      <c r="AA20" s="540" t="s">
        <v>123</v>
      </c>
      <c r="AB20" s="540" t="s">
        <v>123</v>
      </c>
      <c r="AC20" s="540" t="s">
        <v>123</v>
      </c>
      <c r="AD20" s="540" t="s">
        <v>123</v>
      </c>
      <c r="AE20" s="540" t="s">
        <v>122</v>
      </c>
      <c r="AF20" s="540" t="s">
        <v>123</v>
      </c>
      <c r="AG20" s="542" t="s">
        <v>123</v>
      </c>
      <c r="AH20" s="542" t="s">
        <v>123</v>
      </c>
      <c r="AI20" s="543">
        <f t="shared" si="0"/>
        <v>24</v>
      </c>
      <c r="AJ20" s="543">
        <f t="shared" si="1"/>
        <v>4</v>
      </c>
      <c r="AK20" s="543">
        <f t="shared" si="2"/>
        <v>0</v>
      </c>
      <c r="AL20" s="543">
        <f t="shared" si="3"/>
        <v>0</v>
      </c>
      <c r="AM20" s="543">
        <f t="shared" si="4"/>
        <v>28</v>
      </c>
      <c r="AN20" s="544"/>
      <c r="AO20" s="545"/>
    </row>
    <row r="21" spans="1:41" s="519" customFormat="1" ht="42" customHeight="1">
      <c r="A21" s="517">
        <v>11</v>
      </c>
      <c r="B21" s="538"/>
      <c r="C21" s="539" t="str">
        <f>+'[5]TỔNG MỦ TẠP'!$B19</f>
        <v>Nguyễn Thị Thanh Trà</v>
      </c>
      <c r="D21" s="540" t="s">
        <v>123</v>
      </c>
      <c r="E21" s="540" t="s">
        <v>123</v>
      </c>
      <c r="F21" s="540" t="s">
        <v>123</v>
      </c>
      <c r="G21" s="540" t="s">
        <v>123</v>
      </c>
      <c r="H21" s="540" t="s">
        <v>123</v>
      </c>
      <c r="I21" s="1094" t="s">
        <v>123</v>
      </c>
      <c r="J21" s="540" t="s">
        <v>122</v>
      </c>
      <c r="K21" s="540" t="s">
        <v>123</v>
      </c>
      <c r="L21" s="540" t="s">
        <v>123</v>
      </c>
      <c r="M21" s="540" t="s">
        <v>123</v>
      </c>
      <c r="N21" s="540" t="s">
        <v>123</v>
      </c>
      <c r="O21" s="540" t="s">
        <v>123</v>
      </c>
      <c r="P21" s="540" t="s">
        <v>123</v>
      </c>
      <c r="Q21" s="540" t="s">
        <v>122</v>
      </c>
      <c r="R21" s="540" t="s">
        <v>123</v>
      </c>
      <c r="S21" s="540" t="s">
        <v>123</v>
      </c>
      <c r="T21" s="540" t="s">
        <v>123</v>
      </c>
      <c r="U21" s="540" t="s">
        <v>123</v>
      </c>
      <c r="V21" s="540" t="s">
        <v>123</v>
      </c>
      <c r="W21" s="540" t="s">
        <v>123</v>
      </c>
      <c r="X21" s="540" t="s">
        <v>122</v>
      </c>
      <c r="Y21" s="540" t="s">
        <v>123</v>
      </c>
      <c r="Z21" s="540" t="s">
        <v>123</v>
      </c>
      <c r="AA21" s="540" t="s">
        <v>123</v>
      </c>
      <c r="AB21" s="540" t="s">
        <v>123</v>
      </c>
      <c r="AC21" s="540" t="s">
        <v>123</v>
      </c>
      <c r="AD21" s="540" t="s">
        <v>123</v>
      </c>
      <c r="AE21" s="540" t="s">
        <v>122</v>
      </c>
      <c r="AF21" s="540" t="s">
        <v>123</v>
      </c>
      <c r="AG21" s="542" t="s">
        <v>123</v>
      </c>
      <c r="AH21" s="542" t="s">
        <v>123</v>
      </c>
      <c r="AI21" s="543">
        <f t="shared" si="0"/>
        <v>27</v>
      </c>
      <c r="AJ21" s="543">
        <f t="shared" si="1"/>
        <v>4</v>
      </c>
      <c r="AK21" s="543">
        <f t="shared" si="2"/>
        <v>0</v>
      </c>
      <c r="AL21" s="543">
        <f t="shared" si="3"/>
        <v>0</v>
      </c>
      <c r="AM21" s="543">
        <f t="shared" si="4"/>
        <v>31</v>
      </c>
      <c r="AN21" s="544"/>
      <c r="AO21" s="545"/>
    </row>
    <row r="22" spans="1:41" s="519" customFormat="1" ht="42" customHeight="1">
      <c r="A22" s="517">
        <v>12</v>
      </c>
      <c r="B22" s="538"/>
      <c r="C22" s="539" t="str">
        <f>+'[5]TỔNG MỦ TẠP'!$B20</f>
        <v>Phò Thít</v>
      </c>
      <c r="D22" s="540" t="s">
        <v>123</v>
      </c>
      <c r="E22" s="540" t="s">
        <v>123</v>
      </c>
      <c r="F22" s="540" t="s">
        <v>123</v>
      </c>
      <c r="G22" s="540" t="s">
        <v>123</v>
      </c>
      <c r="H22" s="540" t="s">
        <v>123</v>
      </c>
      <c r="I22" s="1094" t="s">
        <v>123</v>
      </c>
      <c r="J22" s="540" t="s">
        <v>122</v>
      </c>
      <c r="K22" s="540" t="s">
        <v>123</v>
      </c>
      <c r="L22" s="540" t="s">
        <v>123</v>
      </c>
      <c r="M22" s="540" t="s">
        <v>123</v>
      </c>
      <c r="N22" s="540" t="s">
        <v>123</v>
      </c>
      <c r="O22" s="540" t="s">
        <v>123</v>
      </c>
      <c r="P22" s="540" t="s">
        <v>123</v>
      </c>
      <c r="Q22" s="540" t="s">
        <v>122</v>
      </c>
      <c r="R22" s="540" t="s">
        <v>123</v>
      </c>
      <c r="S22" s="540" t="s">
        <v>123</v>
      </c>
      <c r="T22" s="540" t="s">
        <v>123</v>
      </c>
      <c r="U22" s="540" t="s">
        <v>123</v>
      </c>
      <c r="V22" s="540" t="s">
        <v>123</v>
      </c>
      <c r="W22" s="540" t="s">
        <v>123</v>
      </c>
      <c r="X22" s="540" t="s">
        <v>122</v>
      </c>
      <c r="Y22" s="540" t="s">
        <v>123</v>
      </c>
      <c r="Z22" s="540" t="s">
        <v>123</v>
      </c>
      <c r="AA22" s="540" t="s">
        <v>123</v>
      </c>
      <c r="AB22" s="540" t="s">
        <v>123</v>
      </c>
      <c r="AC22" s="540" t="s">
        <v>123</v>
      </c>
      <c r="AD22" s="540" t="s">
        <v>123</v>
      </c>
      <c r="AE22" s="540" t="s">
        <v>122</v>
      </c>
      <c r="AF22" s="540" t="s">
        <v>123</v>
      </c>
      <c r="AG22" s="540" t="s">
        <v>123</v>
      </c>
      <c r="AH22" s="540" t="s">
        <v>123</v>
      </c>
      <c r="AI22" s="543">
        <f t="shared" si="0"/>
        <v>27</v>
      </c>
      <c r="AJ22" s="543">
        <f t="shared" si="1"/>
        <v>4</v>
      </c>
      <c r="AK22" s="543">
        <f t="shared" si="2"/>
        <v>0</v>
      </c>
      <c r="AL22" s="543">
        <f t="shared" si="3"/>
        <v>0</v>
      </c>
      <c r="AM22" s="543">
        <f t="shared" si="4"/>
        <v>31</v>
      </c>
      <c r="AN22" s="544"/>
      <c r="AO22" s="545"/>
    </row>
    <row r="23" spans="1:41" s="519" customFormat="1" ht="42" customHeight="1">
      <c r="A23" s="517">
        <v>13</v>
      </c>
      <c r="B23" s="538"/>
      <c r="C23" s="539" t="str">
        <f>+'[5]TỔNG MỦ TẠP'!$B21</f>
        <v>A Bợp</v>
      </c>
      <c r="D23" s="540" t="s">
        <v>123</v>
      </c>
      <c r="E23" s="540" t="s">
        <v>123</v>
      </c>
      <c r="F23" s="540" t="s">
        <v>123</v>
      </c>
      <c r="G23" s="540" t="s">
        <v>123</v>
      </c>
      <c r="H23" s="540" t="s">
        <v>123</v>
      </c>
      <c r="I23" s="1094" t="s">
        <v>123</v>
      </c>
      <c r="J23" s="540" t="s">
        <v>122</v>
      </c>
      <c r="K23" s="540" t="s">
        <v>123</v>
      </c>
      <c r="L23" s="540" t="s">
        <v>123</v>
      </c>
      <c r="M23" s="540" t="s">
        <v>123</v>
      </c>
      <c r="N23" s="540" t="s">
        <v>123</v>
      </c>
      <c r="O23" s="540" t="s">
        <v>123</v>
      </c>
      <c r="P23" s="540" t="s">
        <v>123</v>
      </c>
      <c r="Q23" s="540" t="s">
        <v>122</v>
      </c>
      <c r="R23" s="540" t="s">
        <v>123</v>
      </c>
      <c r="S23" s="540" t="s">
        <v>123</v>
      </c>
      <c r="T23" s="540" t="s">
        <v>123</v>
      </c>
      <c r="U23" s="540" t="s">
        <v>123</v>
      </c>
      <c r="V23" s="540" t="s">
        <v>123</v>
      </c>
      <c r="W23" s="540" t="s">
        <v>123</v>
      </c>
      <c r="X23" s="540" t="s">
        <v>122</v>
      </c>
      <c r="Y23" s="540" t="s">
        <v>123</v>
      </c>
      <c r="Z23" s="540" t="s">
        <v>123</v>
      </c>
      <c r="AA23" s="540" t="s">
        <v>123</v>
      </c>
      <c r="AB23" s="540" t="s">
        <v>123</v>
      </c>
      <c r="AC23" s="540" t="s">
        <v>123</v>
      </c>
      <c r="AD23" s="540" t="s">
        <v>123</v>
      </c>
      <c r="AE23" s="540" t="s">
        <v>122</v>
      </c>
      <c r="AF23" s="540" t="s">
        <v>123</v>
      </c>
      <c r="AG23" s="540" t="s">
        <v>123</v>
      </c>
      <c r="AH23" s="540" t="s">
        <v>123</v>
      </c>
      <c r="AI23" s="543">
        <f t="shared" si="0"/>
        <v>27</v>
      </c>
      <c r="AJ23" s="543">
        <f t="shared" si="1"/>
        <v>4</v>
      </c>
      <c r="AK23" s="543">
        <f t="shared" si="2"/>
        <v>0</v>
      </c>
      <c r="AL23" s="543">
        <f t="shared" si="3"/>
        <v>0</v>
      </c>
      <c r="AM23" s="543">
        <f t="shared" si="4"/>
        <v>31</v>
      </c>
      <c r="AN23" s="544"/>
      <c r="AO23" s="545"/>
    </row>
    <row r="24" spans="1:41" s="519" customFormat="1" ht="42" customHeight="1">
      <c r="A24" s="517">
        <v>14</v>
      </c>
      <c r="B24" s="538"/>
      <c r="C24" s="539" t="str">
        <f>+'[5]TỔNG MỦ TẠP'!$B22</f>
        <v>A Khai</v>
      </c>
      <c r="D24" s="540" t="s">
        <v>123</v>
      </c>
      <c r="E24" s="540" t="s">
        <v>123</v>
      </c>
      <c r="F24" s="540" t="s">
        <v>123</v>
      </c>
      <c r="G24" s="540" t="s">
        <v>123</v>
      </c>
      <c r="H24" s="540" t="s">
        <v>123</v>
      </c>
      <c r="I24" s="1094" t="s">
        <v>123</v>
      </c>
      <c r="J24" s="540" t="s">
        <v>122</v>
      </c>
      <c r="K24" s="540" t="s">
        <v>123</v>
      </c>
      <c r="L24" s="540" t="s">
        <v>123</v>
      </c>
      <c r="M24" s="540" t="s">
        <v>123</v>
      </c>
      <c r="N24" s="540" t="s">
        <v>123</v>
      </c>
      <c r="O24" s="540" t="s">
        <v>123</v>
      </c>
      <c r="P24" s="540" t="s">
        <v>123</v>
      </c>
      <c r="Q24" s="540" t="s">
        <v>122</v>
      </c>
      <c r="R24" s="540" t="s">
        <v>123</v>
      </c>
      <c r="S24" s="540" t="s">
        <v>123</v>
      </c>
      <c r="T24" s="540" t="s">
        <v>123</v>
      </c>
      <c r="U24" s="540" t="s">
        <v>123</v>
      </c>
      <c r="V24" s="540" t="s">
        <v>123</v>
      </c>
      <c r="W24" s="540" t="s">
        <v>123</v>
      </c>
      <c r="X24" s="540" t="s">
        <v>122</v>
      </c>
      <c r="Y24" s="540" t="s">
        <v>123</v>
      </c>
      <c r="Z24" s="540" t="s">
        <v>123</v>
      </c>
      <c r="AA24" s="540" t="s">
        <v>123</v>
      </c>
      <c r="AB24" s="540" t="s">
        <v>123</v>
      </c>
      <c r="AC24" s="540" t="s">
        <v>123</v>
      </c>
      <c r="AD24" s="540" t="s">
        <v>123</v>
      </c>
      <c r="AE24" s="540" t="s">
        <v>122</v>
      </c>
      <c r="AF24" s="540" t="s">
        <v>123</v>
      </c>
      <c r="AG24" s="540" t="s">
        <v>123</v>
      </c>
      <c r="AH24" s="540" t="s">
        <v>123</v>
      </c>
      <c r="AI24" s="543">
        <f t="shared" si="0"/>
        <v>27</v>
      </c>
      <c r="AJ24" s="543">
        <f t="shared" si="1"/>
        <v>4</v>
      </c>
      <c r="AK24" s="543">
        <f t="shared" si="2"/>
        <v>0</v>
      </c>
      <c r="AL24" s="543">
        <f t="shared" si="3"/>
        <v>0</v>
      </c>
      <c r="AM24" s="543">
        <f t="shared" si="4"/>
        <v>31</v>
      </c>
      <c r="AN24" s="544"/>
      <c r="AO24" s="545"/>
    </row>
    <row r="25" spans="1:41" s="519" customFormat="1" ht="42" customHeight="1">
      <c r="A25" s="517">
        <v>15</v>
      </c>
      <c r="B25" s="538"/>
      <c r="C25" s="539" t="str">
        <f>+'[5]TỔNG MỦ TẠP'!$B23</f>
        <v>Võ Thị Nguyên</v>
      </c>
      <c r="D25" s="540" t="s">
        <v>123</v>
      </c>
      <c r="E25" s="540" t="s">
        <v>123</v>
      </c>
      <c r="F25" s="540" t="s">
        <v>123</v>
      </c>
      <c r="G25" s="540" t="s">
        <v>123</v>
      </c>
      <c r="H25" s="540" t="s">
        <v>123</v>
      </c>
      <c r="I25" s="1094" t="s">
        <v>123</v>
      </c>
      <c r="J25" s="540" t="s">
        <v>122</v>
      </c>
      <c r="K25" s="540" t="s">
        <v>123</v>
      </c>
      <c r="L25" s="540" t="s">
        <v>123</v>
      </c>
      <c r="M25" s="540" t="s">
        <v>123</v>
      </c>
      <c r="N25" s="540" t="s">
        <v>123</v>
      </c>
      <c r="O25" s="540" t="s">
        <v>123</v>
      </c>
      <c r="P25" s="540" t="s">
        <v>123</v>
      </c>
      <c r="Q25" s="540" t="s">
        <v>122</v>
      </c>
      <c r="R25" s="540" t="s">
        <v>123</v>
      </c>
      <c r="S25" s="540" t="s">
        <v>123</v>
      </c>
      <c r="T25" s="540" t="s">
        <v>123</v>
      </c>
      <c r="U25" s="540" t="s">
        <v>123</v>
      </c>
      <c r="V25" s="540" t="s">
        <v>123</v>
      </c>
      <c r="W25" s="540" t="s">
        <v>123</v>
      </c>
      <c r="X25" s="540" t="s">
        <v>122</v>
      </c>
      <c r="Y25" s="540" t="s">
        <v>123</v>
      </c>
      <c r="Z25" s="540" t="s">
        <v>123</v>
      </c>
      <c r="AA25" s="540" t="s">
        <v>123</v>
      </c>
      <c r="AB25" s="540" t="s">
        <v>123</v>
      </c>
      <c r="AC25" s="540" t="s">
        <v>123</v>
      </c>
      <c r="AD25" s="540" t="s">
        <v>123</v>
      </c>
      <c r="AE25" s="540" t="s">
        <v>122</v>
      </c>
      <c r="AF25" s="540" t="s">
        <v>123</v>
      </c>
      <c r="AG25" s="540" t="s">
        <v>123</v>
      </c>
      <c r="AH25" s="540" t="s">
        <v>123</v>
      </c>
      <c r="AI25" s="543">
        <f t="shared" si="0"/>
        <v>27</v>
      </c>
      <c r="AJ25" s="543">
        <f t="shared" si="1"/>
        <v>4</v>
      </c>
      <c r="AK25" s="543">
        <f t="shared" si="2"/>
        <v>0</v>
      </c>
      <c r="AL25" s="543">
        <f t="shared" si="3"/>
        <v>0</v>
      </c>
      <c r="AM25" s="543">
        <f t="shared" si="4"/>
        <v>31</v>
      </c>
      <c r="AN25" s="544"/>
      <c r="AO25" s="545"/>
    </row>
    <row r="26" spans="1:41" s="519" customFormat="1" ht="42" customHeight="1">
      <c r="A26" s="517">
        <v>16</v>
      </c>
      <c r="B26" s="538"/>
      <c r="C26" s="539" t="str">
        <f>+'[5]TỔNG MỦ TẠP'!$B24</f>
        <v>Tà Lọt</v>
      </c>
      <c r="D26" s="540" t="s">
        <v>123</v>
      </c>
      <c r="E26" s="540" t="s">
        <v>123</v>
      </c>
      <c r="F26" s="540" t="s">
        <v>123</v>
      </c>
      <c r="G26" s="540" t="s">
        <v>123</v>
      </c>
      <c r="H26" s="540" t="s">
        <v>123</v>
      </c>
      <c r="I26" s="1094" t="s">
        <v>123</v>
      </c>
      <c r="J26" s="540" t="s">
        <v>122</v>
      </c>
      <c r="K26" s="540" t="s">
        <v>123</v>
      </c>
      <c r="L26" s="540" t="s">
        <v>123</v>
      </c>
      <c r="M26" s="540" t="s">
        <v>123</v>
      </c>
      <c r="N26" s="540" t="s">
        <v>123</v>
      </c>
      <c r="O26" s="540" t="s">
        <v>123</v>
      </c>
      <c r="P26" s="540" t="s">
        <v>123</v>
      </c>
      <c r="Q26" s="540" t="s">
        <v>122</v>
      </c>
      <c r="R26" s="540"/>
      <c r="S26" s="540" t="s">
        <v>123</v>
      </c>
      <c r="T26" s="540" t="s">
        <v>123</v>
      </c>
      <c r="U26" s="540" t="s">
        <v>123</v>
      </c>
      <c r="V26" s="540" t="s">
        <v>123</v>
      </c>
      <c r="W26" s="540" t="s">
        <v>123</v>
      </c>
      <c r="X26" s="540" t="s">
        <v>122</v>
      </c>
      <c r="Y26" s="540" t="s">
        <v>123</v>
      </c>
      <c r="Z26" s="540" t="s">
        <v>123</v>
      </c>
      <c r="AA26" s="540" t="s">
        <v>123</v>
      </c>
      <c r="AB26" s="540" t="s">
        <v>123</v>
      </c>
      <c r="AC26" s="540" t="s">
        <v>123</v>
      </c>
      <c r="AD26" s="540" t="s">
        <v>123</v>
      </c>
      <c r="AE26" s="540" t="s">
        <v>122</v>
      </c>
      <c r="AF26" s="540" t="s">
        <v>123</v>
      </c>
      <c r="AG26" s="540" t="s">
        <v>123</v>
      </c>
      <c r="AH26" s="540" t="s">
        <v>123</v>
      </c>
      <c r="AI26" s="543">
        <f t="shared" si="0"/>
        <v>26</v>
      </c>
      <c r="AJ26" s="543">
        <f t="shared" si="1"/>
        <v>4</v>
      </c>
      <c r="AK26" s="543">
        <f t="shared" si="2"/>
        <v>0</v>
      </c>
      <c r="AL26" s="543">
        <f t="shared" si="3"/>
        <v>0</v>
      </c>
      <c r="AM26" s="543">
        <f t="shared" si="4"/>
        <v>30</v>
      </c>
      <c r="AN26" s="544"/>
      <c r="AO26" s="545"/>
    </row>
    <row r="27" spans="1:41" s="519" customFormat="1" ht="42" customHeight="1">
      <c r="A27" s="517">
        <v>17</v>
      </c>
      <c r="B27" s="538"/>
      <c r="C27" s="539" t="str">
        <f>+'[5]TỔNG MỦ TẠP'!$B25</f>
        <v>A Han</v>
      </c>
      <c r="D27" s="540" t="s">
        <v>123</v>
      </c>
      <c r="E27" s="540" t="s">
        <v>123</v>
      </c>
      <c r="F27" s="540" t="s">
        <v>123</v>
      </c>
      <c r="G27" s="540"/>
      <c r="H27" s="540" t="s">
        <v>123</v>
      </c>
      <c r="I27" s="1094" t="s">
        <v>123</v>
      </c>
      <c r="J27" s="540" t="s">
        <v>122</v>
      </c>
      <c r="K27" s="540" t="s">
        <v>123</v>
      </c>
      <c r="L27" s="540" t="s">
        <v>123</v>
      </c>
      <c r="M27" s="540" t="s">
        <v>123</v>
      </c>
      <c r="N27" s="540" t="s">
        <v>123</v>
      </c>
      <c r="O27" s="540" t="s">
        <v>123</v>
      </c>
      <c r="P27" s="540" t="s">
        <v>123</v>
      </c>
      <c r="Q27" s="540" t="s">
        <v>122</v>
      </c>
      <c r="R27" s="540" t="s">
        <v>123</v>
      </c>
      <c r="S27" s="540" t="s">
        <v>123</v>
      </c>
      <c r="T27" s="540" t="s">
        <v>123</v>
      </c>
      <c r="U27" s="540" t="s">
        <v>123</v>
      </c>
      <c r="V27" s="540"/>
      <c r="W27" s="540"/>
      <c r="X27" s="540" t="s">
        <v>122</v>
      </c>
      <c r="Y27" s="540" t="s">
        <v>123</v>
      </c>
      <c r="Z27" s="540" t="s">
        <v>123</v>
      </c>
      <c r="AA27" s="540" t="s">
        <v>123</v>
      </c>
      <c r="AB27" s="540" t="s">
        <v>123</v>
      </c>
      <c r="AC27" s="540" t="s">
        <v>123</v>
      </c>
      <c r="AD27" s="540" t="s">
        <v>123</v>
      </c>
      <c r="AE27" s="540" t="s">
        <v>122</v>
      </c>
      <c r="AF27" s="540" t="s">
        <v>123</v>
      </c>
      <c r="AG27" s="540" t="s">
        <v>123</v>
      </c>
      <c r="AH27" s="540" t="s">
        <v>123</v>
      </c>
      <c r="AI27" s="543">
        <f t="shared" si="0"/>
        <v>24</v>
      </c>
      <c r="AJ27" s="543">
        <f t="shared" si="1"/>
        <v>4</v>
      </c>
      <c r="AK27" s="543">
        <f t="shared" si="2"/>
        <v>0</v>
      </c>
      <c r="AL27" s="543">
        <f t="shared" si="3"/>
        <v>0</v>
      </c>
      <c r="AM27" s="543">
        <f t="shared" si="4"/>
        <v>28</v>
      </c>
      <c r="AN27" s="544"/>
      <c r="AO27" s="545"/>
    </row>
    <row r="28" spans="1:41" s="519" customFormat="1" ht="42" customHeight="1">
      <c r="A28" s="517">
        <v>18</v>
      </c>
      <c r="B28" s="538"/>
      <c r="C28" s="539" t="str">
        <f>+'[5]TỔNG MỦ TẠP'!$B26</f>
        <v>A Nút</v>
      </c>
      <c r="D28" s="540" t="s">
        <v>123</v>
      </c>
      <c r="E28" s="540" t="s">
        <v>123</v>
      </c>
      <c r="F28" s="540" t="s">
        <v>123</v>
      </c>
      <c r="G28" s="540" t="s">
        <v>123</v>
      </c>
      <c r="H28" s="540" t="s">
        <v>123</v>
      </c>
      <c r="I28" s="1094" t="s">
        <v>123</v>
      </c>
      <c r="J28" s="540" t="s">
        <v>122</v>
      </c>
      <c r="K28" s="540" t="s">
        <v>123</v>
      </c>
      <c r="L28" s="540" t="s">
        <v>123</v>
      </c>
      <c r="M28" s="540" t="s">
        <v>123</v>
      </c>
      <c r="N28" s="540" t="s">
        <v>123</v>
      </c>
      <c r="O28" s="540" t="s">
        <v>123</v>
      </c>
      <c r="P28" s="540" t="s">
        <v>123</v>
      </c>
      <c r="Q28" s="540" t="s">
        <v>122</v>
      </c>
      <c r="R28" s="540" t="s">
        <v>123</v>
      </c>
      <c r="S28" s="540" t="s">
        <v>123</v>
      </c>
      <c r="T28" s="540" t="s">
        <v>123</v>
      </c>
      <c r="U28" s="540" t="s">
        <v>123</v>
      </c>
      <c r="V28" s="540" t="s">
        <v>123</v>
      </c>
      <c r="W28" s="540" t="s">
        <v>123</v>
      </c>
      <c r="X28" s="540" t="s">
        <v>122</v>
      </c>
      <c r="Y28" s="540" t="s">
        <v>123</v>
      </c>
      <c r="Z28" s="540" t="s">
        <v>123</v>
      </c>
      <c r="AA28" s="540" t="s">
        <v>123</v>
      </c>
      <c r="AB28" s="540" t="s">
        <v>123</v>
      </c>
      <c r="AC28" s="540" t="s">
        <v>123</v>
      </c>
      <c r="AD28" s="540" t="s">
        <v>123</v>
      </c>
      <c r="AE28" s="540" t="s">
        <v>122</v>
      </c>
      <c r="AF28" s="540" t="s">
        <v>123</v>
      </c>
      <c r="AG28" s="540" t="s">
        <v>123</v>
      </c>
      <c r="AH28" s="540" t="s">
        <v>123</v>
      </c>
      <c r="AI28" s="543">
        <f t="shared" si="0"/>
        <v>27</v>
      </c>
      <c r="AJ28" s="543">
        <f t="shared" si="1"/>
        <v>4</v>
      </c>
      <c r="AK28" s="543">
        <f t="shared" si="2"/>
        <v>0</v>
      </c>
      <c r="AL28" s="543">
        <f t="shared" si="3"/>
        <v>0</v>
      </c>
      <c r="AM28" s="543">
        <f t="shared" si="4"/>
        <v>31</v>
      </c>
      <c r="AN28" s="544"/>
      <c r="AO28" s="545"/>
    </row>
    <row r="29" spans="1:41" s="519" customFormat="1" ht="42" customHeight="1">
      <c r="A29" s="517">
        <v>19</v>
      </c>
      <c r="B29" s="538"/>
      <c r="C29" s="539" t="str">
        <f>+'[5]TỔNG MỦ TẠP'!$B27</f>
        <v>Thảo Buôn</v>
      </c>
      <c r="D29" s="540" t="s">
        <v>123</v>
      </c>
      <c r="E29" s="540" t="s">
        <v>123</v>
      </c>
      <c r="F29" s="540" t="s">
        <v>123</v>
      </c>
      <c r="G29" s="540" t="s">
        <v>123</v>
      </c>
      <c r="H29" s="540" t="s">
        <v>123</v>
      </c>
      <c r="I29" s="1094" t="s">
        <v>123</v>
      </c>
      <c r="J29" s="540" t="s">
        <v>122</v>
      </c>
      <c r="K29" s="540" t="s">
        <v>123</v>
      </c>
      <c r="L29" s="540" t="s">
        <v>123</v>
      </c>
      <c r="M29" s="540" t="s">
        <v>123</v>
      </c>
      <c r="N29" s="540" t="s">
        <v>123</v>
      </c>
      <c r="O29" s="540" t="s">
        <v>123</v>
      </c>
      <c r="P29" s="540" t="s">
        <v>123</v>
      </c>
      <c r="Q29" s="540" t="s">
        <v>122</v>
      </c>
      <c r="R29" s="540" t="s">
        <v>123</v>
      </c>
      <c r="S29" s="540" t="s">
        <v>123</v>
      </c>
      <c r="T29" s="540" t="s">
        <v>123</v>
      </c>
      <c r="U29" s="540" t="s">
        <v>123</v>
      </c>
      <c r="V29" s="540" t="s">
        <v>123</v>
      </c>
      <c r="W29" s="540"/>
      <c r="X29" s="540" t="s">
        <v>122</v>
      </c>
      <c r="Y29" s="540" t="s">
        <v>123</v>
      </c>
      <c r="Z29" s="540" t="s">
        <v>123</v>
      </c>
      <c r="AA29" s="540" t="s">
        <v>123</v>
      </c>
      <c r="AB29" s="540" t="s">
        <v>123</v>
      </c>
      <c r="AC29" s="540" t="s">
        <v>123</v>
      </c>
      <c r="AD29" s="540" t="s">
        <v>123</v>
      </c>
      <c r="AE29" s="540" t="s">
        <v>122</v>
      </c>
      <c r="AF29" s="540" t="s">
        <v>123</v>
      </c>
      <c r="AG29" s="540" t="s">
        <v>123</v>
      </c>
      <c r="AH29" s="540" t="s">
        <v>123</v>
      </c>
      <c r="AI29" s="543">
        <f t="shared" si="0"/>
        <v>26</v>
      </c>
      <c r="AJ29" s="543">
        <f t="shared" si="1"/>
        <v>4</v>
      </c>
      <c r="AK29" s="543">
        <f t="shared" si="2"/>
        <v>0</v>
      </c>
      <c r="AL29" s="543">
        <f t="shared" si="3"/>
        <v>0</v>
      </c>
      <c r="AM29" s="543">
        <f t="shared" si="4"/>
        <v>30</v>
      </c>
      <c r="AN29" s="544"/>
      <c r="AO29" s="545"/>
    </row>
    <row r="30" spans="1:41" s="519" customFormat="1" ht="42" customHeight="1">
      <c r="A30" s="517">
        <v>20</v>
      </c>
      <c r="B30" s="538"/>
      <c r="C30" s="539" t="str">
        <f>+'[5]TỔNG MỦ TẠP'!$B28</f>
        <v>Phò Lấp</v>
      </c>
      <c r="D30" s="542" t="s">
        <v>123</v>
      </c>
      <c r="E30" s="542" t="s">
        <v>123</v>
      </c>
      <c r="F30" s="542" t="s">
        <v>123</v>
      </c>
      <c r="G30" s="542" t="s">
        <v>123</v>
      </c>
      <c r="H30" s="542" t="s">
        <v>123</v>
      </c>
      <c r="I30" s="1095" t="s">
        <v>123</v>
      </c>
      <c r="J30" s="542" t="s">
        <v>122</v>
      </c>
      <c r="K30" s="542" t="s">
        <v>123</v>
      </c>
      <c r="L30" s="542" t="s">
        <v>123</v>
      </c>
      <c r="M30" s="542" t="s">
        <v>123</v>
      </c>
      <c r="N30" s="540" t="s">
        <v>123</v>
      </c>
      <c r="O30" s="542" t="s">
        <v>123</v>
      </c>
      <c r="P30" s="540" t="s">
        <v>123</v>
      </c>
      <c r="Q30" s="542" t="s">
        <v>122</v>
      </c>
      <c r="R30" s="540" t="s">
        <v>123</v>
      </c>
      <c r="S30" s="542" t="s">
        <v>123</v>
      </c>
      <c r="T30" s="542" t="s">
        <v>123</v>
      </c>
      <c r="U30" s="542" t="s">
        <v>123</v>
      </c>
      <c r="V30" s="542"/>
      <c r="W30" s="540" t="s">
        <v>123</v>
      </c>
      <c r="X30" s="542" t="s">
        <v>122</v>
      </c>
      <c r="Y30" s="542" t="s">
        <v>123</v>
      </c>
      <c r="Z30" s="542" t="s">
        <v>123</v>
      </c>
      <c r="AA30" s="542" t="s">
        <v>123</v>
      </c>
      <c r="AB30" s="542" t="s">
        <v>123</v>
      </c>
      <c r="AC30" s="542" t="s">
        <v>123</v>
      </c>
      <c r="AD30" s="540" t="s">
        <v>123</v>
      </c>
      <c r="AE30" s="540" t="s">
        <v>122</v>
      </c>
      <c r="AF30" s="540" t="s">
        <v>123</v>
      </c>
      <c r="AG30" s="540" t="s">
        <v>123</v>
      </c>
      <c r="AH30" s="540" t="s">
        <v>123</v>
      </c>
      <c r="AI30" s="543">
        <f t="shared" si="0"/>
        <v>26</v>
      </c>
      <c r="AJ30" s="543">
        <f t="shared" si="1"/>
        <v>4</v>
      </c>
      <c r="AK30" s="543">
        <f t="shared" si="2"/>
        <v>0</v>
      </c>
      <c r="AL30" s="543">
        <f t="shared" si="3"/>
        <v>0</v>
      </c>
      <c r="AM30" s="543">
        <f t="shared" si="4"/>
        <v>30</v>
      </c>
      <c r="AN30" s="544"/>
      <c r="AO30" s="545"/>
    </row>
    <row r="31" spans="1:41" s="519" customFormat="1" ht="42" customHeight="1">
      <c r="A31" s="517">
        <v>21</v>
      </c>
      <c r="B31" s="538"/>
      <c r="C31" s="539" t="str">
        <f>+'[5]TỔNG MỦ TẠP'!$B29</f>
        <v>Phò Nhạc</v>
      </c>
      <c r="D31" s="542" t="s">
        <v>123</v>
      </c>
      <c r="E31" s="542" t="s">
        <v>123</v>
      </c>
      <c r="F31" s="542" t="s">
        <v>123</v>
      </c>
      <c r="G31" s="542" t="s">
        <v>123</v>
      </c>
      <c r="H31" s="542" t="s">
        <v>123</v>
      </c>
      <c r="I31" s="1095" t="s">
        <v>123</v>
      </c>
      <c r="J31" s="542" t="s">
        <v>122</v>
      </c>
      <c r="K31" s="542" t="s">
        <v>123</v>
      </c>
      <c r="L31" s="542" t="s">
        <v>123</v>
      </c>
      <c r="M31" s="542" t="s">
        <v>123</v>
      </c>
      <c r="N31" s="540" t="s">
        <v>123</v>
      </c>
      <c r="O31" s="542" t="s">
        <v>123</v>
      </c>
      <c r="P31" s="540" t="s">
        <v>123</v>
      </c>
      <c r="Q31" s="542" t="s">
        <v>122</v>
      </c>
      <c r="R31" s="542" t="s">
        <v>123</v>
      </c>
      <c r="S31" s="542" t="s">
        <v>123</v>
      </c>
      <c r="T31" s="542" t="s">
        <v>123</v>
      </c>
      <c r="U31" s="542" t="s">
        <v>123</v>
      </c>
      <c r="V31" s="542" t="s">
        <v>123</v>
      </c>
      <c r="W31" s="540" t="s">
        <v>123</v>
      </c>
      <c r="X31" s="542" t="s">
        <v>122</v>
      </c>
      <c r="Y31" s="542" t="s">
        <v>123</v>
      </c>
      <c r="Z31" s="542" t="s">
        <v>123</v>
      </c>
      <c r="AA31" s="542" t="s">
        <v>123</v>
      </c>
      <c r="AB31" s="542" t="s">
        <v>123</v>
      </c>
      <c r="AC31" s="542" t="s">
        <v>123</v>
      </c>
      <c r="AD31" s="540" t="s">
        <v>123</v>
      </c>
      <c r="AE31" s="540" t="s">
        <v>122</v>
      </c>
      <c r="AF31" s="540" t="s">
        <v>123</v>
      </c>
      <c r="AG31" s="540" t="s">
        <v>123</v>
      </c>
      <c r="AH31" s="540" t="s">
        <v>123</v>
      </c>
      <c r="AI31" s="543">
        <f t="shared" si="0"/>
        <v>27</v>
      </c>
      <c r="AJ31" s="543">
        <f t="shared" si="1"/>
        <v>4</v>
      </c>
      <c r="AK31" s="543">
        <f t="shared" si="2"/>
        <v>0</v>
      </c>
      <c r="AL31" s="543">
        <f t="shared" si="3"/>
        <v>0</v>
      </c>
      <c r="AM31" s="543">
        <f t="shared" si="4"/>
        <v>31</v>
      </c>
      <c r="AN31" s="544"/>
      <c r="AO31" s="545"/>
    </row>
    <row r="32" spans="1:41" s="519" customFormat="1" ht="42" customHeight="1">
      <c r="A32" s="517">
        <v>22</v>
      </c>
      <c r="B32" s="538"/>
      <c r="C32" s="539" t="str">
        <f>+'[5]TỔNG MỦ TẠP'!$B30</f>
        <v>Nang Nọi</v>
      </c>
      <c r="D32" s="542" t="s">
        <v>123</v>
      </c>
      <c r="E32" s="542" t="s">
        <v>123</v>
      </c>
      <c r="F32" s="542" t="s">
        <v>123</v>
      </c>
      <c r="G32" s="542" t="s">
        <v>123</v>
      </c>
      <c r="H32" s="542" t="s">
        <v>123</v>
      </c>
      <c r="I32" s="1095" t="s">
        <v>123</v>
      </c>
      <c r="J32" s="542" t="s">
        <v>122</v>
      </c>
      <c r="K32" s="542" t="s">
        <v>123</v>
      </c>
      <c r="L32" s="542" t="s">
        <v>123</v>
      </c>
      <c r="M32" s="542" t="s">
        <v>123</v>
      </c>
      <c r="N32" s="540"/>
      <c r="O32" s="542" t="s">
        <v>123</v>
      </c>
      <c r="P32" s="540" t="s">
        <v>123</v>
      </c>
      <c r="Q32" s="542" t="s">
        <v>122</v>
      </c>
      <c r="R32" s="542" t="s">
        <v>123</v>
      </c>
      <c r="S32" s="542" t="s">
        <v>123</v>
      </c>
      <c r="T32" s="542" t="s">
        <v>123</v>
      </c>
      <c r="U32" s="542" t="s">
        <v>123</v>
      </c>
      <c r="V32" s="542" t="s">
        <v>123</v>
      </c>
      <c r="W32" s="540" t="s">
        <v>123</v>
      </c>
      <c r="X32" s="542" t="s">
        <v>122</v>
      </c>
      <c r="Y32" s="542"/>
      <c r="Z32" s="542" t="s">
        <v>123</v>
      </c>
      <c r="AA32" s="542" t="s">
        <v>123</v>
      </c>
      <c r="AB32" s="542" t="s">
        <v>123</v>
      </c>
      <c r="AC32" s="542" t="s">
        <v>123</v>
      </c>
      <c r="AD32" s="540" t="s">
        <v>123</v>
      </c>
      <c r="AE32" s="540" t="s">
        <v>122</v>
      </c>
      <c r="AF32" s="540" t="s">
        <v>123</v>
      </c>
      <c r="AG32" s="540"/>
      <c r="AH32" s="540" t="s">
        <v>123</v>
      </c>
      <c r="AI32" s="543">
        <f t="shared" si="0"/>
        <v>24</v>
      </c>
      <c r="AJ32" s="543">
        <f t="shared" si="1"/>
        <v>4</v>
      </c>
      <c r="AK32" s="543">
        <f t="shared" si="2"/>
        <v>0</v>
      </c>
      <c r="AL32" s="543">
        <f t="shared" si="3"/>
        <v>0</v>
      </c>
      <c r="AM32" s="543">
        <f t="shared" si="4"/>
        <v>28</v>
      </c>
      <c r="AN32" s="544"/>
      <c r="AO32" s="545"/>
    </row>
    <row r="33" spans="1:41" s="519" customFormat="1" ht="42" customHeight="1">
      <c r="A33" s="517">
        <v>23</v>
      </c>
      <c r="B33" s="538"/>
      <c r="C33" s="539" t="str">
        <f>+'[5]TỔNG MỦ TẠP'!$B31</f>
        <v>Húc</v>
      </c>
      <c r="D33" s="542" t="s">
        <v>123</v>
      </c>
      <c r="E33" s="542" t="s">
        <v>123</v>
      </c>
      <c r="F33" s="542" t="s">
        <v>123</v>
      </c>
      <c r="G33" s="542" t="s">
        <v>123</v>
      </c>
      <c r="H33" s="542" t="s">
        <v>123</v>
      </c>
      <c r="I33" s="1095" t="s">
        <v>123</v>
      </c>
      <c r="J33" s="542" t="s">
        <v>122</v>
      </c>
      <c r="K33" s="542" t="s">
        <v>123</v>
      </c>
      <c r="L33" s="542" t="s">
        <v>123</v>
      </c>
      <c r="M33" s="542" t="s">
        <v>123</v>
      </c>
      <c r="N33" s="540" t="s">
        <v>123</v>
      </c>
      <c r="O33" s="542" t="s">
        <v>123</v>
      </c>
      <c r="P33" s="540" t="s">
        <v>123</v>
      </c>
      <c r="Q33" s="542" t="s">
        <v>122</v>
      </c>
      <c r="R33" s="542" t="s">
        <v>123</v>
      </c>
      <c r="S33" s="542" t="s">
        <v>123</v>
      </c>
      <c r="T33" s="542" t="s">
        <v>123</v>
      </c>
      <c r="U33" s="542" t="s">
        <v>123</v>
      </c>
      <c r="V33" s="542"/>
      <c r="W33" s="540" t="s">
        <v>123</v>
      </c>
      <c r="X33" s="542" t="s">
        <v>122</v>
      </c>
      <c r="Y33" s="542" t="s">
        <v>123</v>
      </c>
      <c r="Z33" s="542" t="s">
        <v>123</v>
      </c>
      <c r="AA33" s="542" t="s">
        <v>123</v>
      </c>
      <c r="AB33" s="542" t="s">
        <v>123</v>
      </c>
      <c r="AC33" s="542" t="s">
        <v>123</v>
      </c>
      <c r="AD33" s="540" t="s">
        <v>123</v>
      </c>
      <c r="AE33" s="540" t="s">
        <v>122</v>
      </c>
      <c r="AF33" s="540" t="s">
        <v>123</v>
      </c>
      <c r="AG33" s="540" t="s">
        <v>123</v>
      </c>
      <c r="AH33" s="540" t="s">
        <v>123</v>
      </c>
      <c r="AI33" s="543">
        <f t="shared" si="0"/>
        <v>26</v>
      </c>
      <c r="AJ33" s="543">
        <f t="shared" si="1"/>
        <v>4</v>
      </c>
      <c r="AK33" s="543">
        <f t="shared" si="2"/>
        <v>0</v>
      </c>
      <c r="AL33" s="543">
        <f t="shared" si="3"/>
        <v>0</v>
      </c>
      <c r="AM33" s="543">
        <f t="shared" si="4"/>
        <v>30</v>
      </c>
      <c r="AN33" s="544"/>
      <c r="AO33" s="545"/>
    </row>
    <row r="34" spans="1:41" s="519" customFormat="1" ht="42" customHeight="1">
      <c r="A34" s="517">
        <v>24</v>
      </c>
      <c r="B34" s="538"/>
      <c r="C34" s="539" t="str">
        <f>+'[5]TỔNG MỦ TẠP'!$B32</f>
        <v>A Côm</v>
      </c>
      <c r="D34" s="542" t="s">
        <v>123</v>
      </c>
      <c r="E34" s="542" t="s">
        <v>123</v>
      </c>
      <c r="F34" s="542" t="s">
        <v>123</v>
      </c>
      <c r="G34" s="542" t="s">
        <v>123</v>
      </c>
      <c r="H34" s="542" t="s">
        <v>123</v>
      </c>
      <c r="I34" s="1095" t="s">
        <v>123</v>
      </c>
      <c r="J34" s="542" t="s">
        <v>122</v>
      </c>
      <c r="K34" s="542" t="s">
        <v>123</v>
      </c>
      <c r="L34" s="542" t="s">
        <v>123</v>
      </c>
      <c r="M34" s="542" t="s">
        <v>123</v>
      </c>
      <c r="N34" s="540" t="s">
        <v>123</v>
      </c>
      <c r="O34" s="542" t="s">
        <v>123</v>
      </c>
      <c r="P34" s="540" t="s">
        <v>123</v>
      </c>
      <c r="Q34" s="542" t="s">
        <v>122</v>
      </c>
      <c r="R34" s="542" t="s">
        <v>123</v>
      </c>
      <c r="S34" s="542" t="s">
        <v>123</v>
      </c>
      <c r="T34" s="542" t="s">
        <v>123</v>
      </c>
      <c r="U34" s="542" t="s">
        <v>123</v>
      </c>
      <c r="V34" s="542" t="s">
        <v>123</v>
      </c>
      <c r="W34" s="540" t="s">
        <v>123</v>
      </c>
      <c r="X34" s="542" t="s">
        <v>122</v>
      </c>
      <c r="Y34" s="542" t="s">
        <v>123</v>
      </c>
      <c r="Z34" s="542" t="s">
        <v>123</v>
      </c>
      <c r="AA34" s="542" t="s">
        <v>123</v>
      </c>
      <c r="AB34" s="542" t="s">
        <v>123</v>
      </c>
      <c r="AC34" s="542" t="s">
        <v>123</v>
      </c>
      <c r="AD34" s="540" t="s">
        <v>123</v>
      </c>
      <c r="AE34" s="540" t="s">
        <v>122</v>
      </c>
      <c r="AF34" s="540" t="s">
        <v>123</v>
      </c>
      <c r="AG34" s="540" t="s">
        <v>123</v>
      </c>
      <c r="AH34" s="540" t="s">
        <v>123</v>
      </c>
      <c r="AI34" s="543">
        <f t="shared" si="0"/>
        <v>27</v>
      </c>
      <c r="AJ34" s="543">
        <f t="shared" si="1"/>
        <v>4</v>
      </c>
      <c r="AK34" s="543">
        <f t="shared" si="2"/>
        <v>0</v>
      </c>
      <c r="AL34" s="543">
        <f t="shared" si="3"/>
        <v>0</v>
      </c>
      <c r="AM34" s="543">
        <f t="shared" si="4"/>
        <v>31</v>
      </c>
      <c r="AN34" s="544"/>
      <c r="AO34" s="545"/>
    </row>
    <row r="35" spans="1:41" s="519" customFormat="1" ht="42" customHeight="1">
      <c r="A35" s="517">
        <v>25</v>
      </c>
      <c r="B35" s="538"/>
      <c r="C35" s="539" t="str">
        <f>+'[5]TỔNG MỦ TẠP'!$B33</f>
        <v>Nang Phen</v>
      </c>
      <c r="D35" s="542" t="s">
        <v>123</v>
      </c>
      <c r="E35" s="542" t="s">
        <v>123</v>
      </c>
      <c r="F35" s="542" t="s">
        <v>123</v>
      </c>
      <c r="G35" s="542" t="s">
        <v>123</v>
      </c>
      <c r="H35" s="542" t="s">
        <v>123</v>
      </c>
      <c r="I35" s="1095" t="s">
        <v>123</v>
      </c>
      <c r="J35" s="542" t="s">
        <v>122</v>
      </c>
      <c r="K35" s="542" t="s">
        <v>123</v>
      </c>
      <c r="L35" s="542" t="s">
        <v>123</v>
      </c>
      <c r="M35" s="542" t="s">
        <v>123</v>
      </c>
      <c r="N35" s="540" t="s">
        <v>123</v>
      </c>
      <c r="O35" s="542" t="s">
        <v>123</v>
      </c>
      <c r="P35" s="540" t="s">
        <v>123</v>
      </c>
      <c r="Q35" s="542" t="s">
        <v>122</v>
      </c>
      <c r="R35" s="542" t="s">
        <v>123</v>
      </c>
      <c r="S35" s="542" t="s">
        <v>123</v>
      </c>
      <c r="T35" s="542" t="s">
        <v>123</v>
      </c>
      <c r="U35" s="542" t="s">
        <v>123</v>
      </c>
      <c r="V35" s="542" t="s">
        <v>123</v>
      </c>
      <c r="W35" s="540" t="s">
        <v>123</v>
      </c>
      <c r="X35" s="542" t="s">
        <v>122</v>
      </c>
      <c r="Y35" s="542" t="s">
        <v>123</v>
      </c>
      <c r="Z35" s="542" t="s">
        <v>123</v>
      </c>
      <c r="AA35" s="542" t="s">
        <v>123</v>
      </c>
      <c r="AB35" s="542" t="s">
        <v>123</v>
      </c>
      <c r="AC35" s="542" t="s">
        <v>123</v>
      </c>
      <c r="AD35" s="540" t="s">
        <v>123</v>
      </c>
      <c r="AE35" s="540" t="s">
        <v>122</v>
      </c>
      <c r="AF35" s="540" t="s">
        <v>123</v>
      </c>
      <c r="AG35" s="540" t="s">
        <v>123</v>
      </c>
      <c r="AH35" s="540" t="s">
        <v>123</v>
      </c>
      <c r="AI35" s="543">
        <f t="shared" si="0"/>
        <v>27</v>
      </c>
      <c r="AJ35" s="543">
        <f t="shared" si="1"/>
        <v>4</v>
      </c>
      <c r="AK35" s="543">
        <f t="shared" si="2"/>
        <v>0</v>
      </c>
      <c r="AL35" s="543">
        <f t="shared" si="3"/>
        <v>0</v>
      </c>
      <c r="AM35" s="543">
        <f t="shared" si="4"/>
        <v>31</v>
      </c>
      <c r="AN35" s="544"/>
      <c r="AO35" s="545"/>
    </row>
    <row r="36" spans="1:41" s="519" customFormat="1" ht="42" customHeight="1">
      <c r="A36" s="517">
        <v>26</v>
      </c>
      <c r="B36" s="538"/>
      <c r="C36" s="539" t="str">
        <f>+'[5]TỔNG MỦ TẠP'!$B34</f>
        <v>Thảo Đuôn</v>
      </c>
      <c r="D36" s="542" t="s">
        <v>123</v>
      </c>
      <c r="E36" s="542" t="s">
        <v>123</v>
      </c>
      <c r="F36" s="542" t="s">
        <v>123</v>
      </c>
      <c r="G36" s="542" t="s">
        <v>123</v>
      </c>
      <c r="H36" s="542" t="s">
        <v>123</v>
      </c>
      <c r="I36" s="1095" t="s">
        <v>123</v>
      </c>
      <c r="J36" s="542" t="s">
        <v>122</v>
      </c>
      <c r="K36" s="542" t="s">
        <v>123</v>
      </c>
      <c r="L36" s="542" t="s">
        <v>123</v>
      </c>
      <c r="M36" s="542" t="s">
        <v>123</v>
      </c>
      <c r="N36" s="540" t="s">
        <v>123</v>
      </c>
      <c r="O36" s="542" t="s">
        <v>123</v>
      </c>
      <c r="P36" s="540" t="s">
        <v>123</v>
      </c>
      <c r="Q36" s="542" t="s">
        <v>122</v>
      </c>
      <c r="R36" s="542" t="s">
        <v>123</v>
      </c>
      <c r="S36" s="542" t="s">
        <v>123</v>
      </c>
      <c r="T36" s="542" t="s">
        <v>123</v>
      </c>
      <c r="U36" s="542" t="s">
        <v>123</v>
      </c>
      <c r="V36" s="542" t="s">
        <v>123</v>
      </c>
      <c r="W36" s="540" t="s">
        <v>123</v>
      </c>
      <c r="X36" s="542" t="s">
        <v>122</v>
      </c>
      <c r="Y36" s="542" t="s">
        <v>123</v>
      </c>
      <c r="Z36" s="542" t="s">
        <v>123</v>
      </c>
      <c r="AA36" s="542" t="s">
        <v>123</v>
      </c>
      <c r="AB36" s="542" t="s">
        <v>123</v>
      </c>
      <c r="AC36" s="542" t="s">
        <v>123</v>
      </c>
      <c r="AD36" s="540" t="s">
        <v>123</v>
      </c>
      <c r="AE36" s="540" t="s">
        <v>122</v>
      </c>
      <c r="AF36" s="540" t="s">
        <v>123</v>
      </c>
      <c r="AG36" s="540" t="s">
        <v>123</v>
      </c>
      <c r="AH36" s="540" t="s">
        <v>123</v>
      </c>
      <c r="AI36" s="543">
        <f t="shared" si="0"/>
        <v>27</v>
      </c>
      <c r="AJ36" s="543">
        <f t="shared" si="1"/>
        <v>4</v>
      </c>
      <c r="AK36" s="543">
        <f t="shared" si="2"/>
        <v>0</v>
      </c>
      <c r="AL36" s="543">
        <f t="shared" si="3"/>
        <v>0</v>
      </c>
      <c r="AM36" s="543">
        <f t="shared" si="4"/>
        <v>31</v>
      </c>
      <c r="AN36" s="544"/>
      <c r="AO36" s="545"/>
    </row>
    <row r="37" spans="1:41" s="519" customFormat="1" ht="42" customHeight="1">
      <c r="A37" s="517">
        <v>27</v>
      </c>
      <c r="B37" s="538"/>
      <c r="C37" s="539" t="str">
        <f>+'[5]TỔNG MỦ TẠP'!$B35</f>
        <v>A Rơ</v>
      </c>
      <c r="D37" s="542" t="s">
        <v>123</v>
      </c>
      <c r="E37" s="542" t="s">
        <v>123</v>
      </c>
      <c r="F37" s="542" t="s">
        <v>123</v>
      </c>
      <c r="G37" s="542" t="s">
        <v>123</v>
      </c>
      <c r="H37" s="542" t="s">
        <v>123</v>
      </c>
      <c r="I37" s="1095" t="s">
        <v>123</v>
      </c>
      <c r="J37" s="542" t="s">
        <v>122</v>
      </c>
      <c r="K37" s="542" t="s">
        <v>123</v>
      </c>
      <c r="L37" s="542" t="s">
        <v>123</v>
      </c>
      <c r="M37" s="542" t="s">
        <v>123</v>
      </c>
      <c r="N37" s="540" t="s">
        <v>123</v>
      </c>
      <c r="O37" s="542" t="s">
        <v>123</v>
      </c>
      <c r="P37" s="540" t="s">
        <v>123</v>
      </c>
      <c r="Q37" s="542" t="s">
        <v>122</v>
      </c>
      <c r="R37" s="542" t="s">
        <v>123</v>
      </c>
      <c r="S37" s="542" t="s">
        <v>123</v>
      </c>
      <c r="T37" s="542" t="s">
        <v>123</v>
      </c>
      <c r="U37" s="542" t="s">
        <v>123</v>
      </c>
      <c r="V37" s="542" t="s">
        <v>123</v>
      </c>
      <c r="W37" s="540" t="s">
        <v>123</v>
      </c>
      <c r="X37" s="542" t="s">
        <v>122</v>
      </c>
      <c r="Y37" s="542" t="s">
        <v>123</v>
      </c>
      <c r="Z37" s="542" t="s">
        <v>123</v>
      </c>
      <c r="AA37" s="542" t="s">
        <v>123</v>
      </c>
      <c r="AB37" s="542" t="s">
        <v>123</v>
      </c>
      <c r="AC37" s="542" t="s">
        <v>123</v>
      </c>
      <c r="AD37" s="540" t="s">
        <v>123</v>
      </c>
      <c r="AE37" s="540" t="s">
        <v>122</v>
      </c>
      <c r="AF37" s="540" t="s">
        <v>123</v>
      </c>
      <c r="AG37" s="540" t="s">
        <v>123</v>
      </c>
      <c r="AH37" s="540" t="s">
        <v>123</v>
      </c>
      <c r="AI37" s="543">
        <f t="shared" si="0"/>
        <v>27</v>
      </c>
      <c r="AJ37" s="543">
        <f t="shared" si="1"/>
        <v>4</v>
      </c>
      <c r="AK37" s="543">
        <f t="shared" si="2"/>
        <v>0</v>
      </c>
      <c r="AL37" s="543">
        <f t="shared" si="3"/>
        <v>0</v>
      </c>
      <c r="AM37" s="543">
        <f t="shared" si="4"/>
        <v>31</v>
      </c>
      <c r="AN37" s="544"/>
      <c r="AO37" s="545"/>
    </row>
    <row r="38" spans="1:41" s="519" customFormat="1" ht="42" customHeight="1">
      <c r="A38" s="517">
        <v>28</v>
      </c>
      <c r="B38" s="538"/>
      <c r="C38" s="539" t="str">
        <f>+'[5]TỔNG MỦ TẠP'!$B36</f>
        <v>Thảo Xâm</v>
      </c>
      <c r="D38" s="542" t="s">
        <v>123</v>
      </c>
      <c r="E38" s="542" t="s">
        <v>123</v>
      </c>
      <c r="F38" s="542" t="s">
        <v>123</v>
      </c>
      <c r="G38" s="542" t="s">
        <v>123</v>
      </c>
      <c r="H38" s="542" t="s">
        <v>123</v>
      </c>
      <c r="I38" s="1095" t="s">
        <v>123</v>
      </c>
      <c r="J38" s="542" t="s">
        <v>122</v>
      </c>
      <c r="K38" s="542" t="s">
        <v>123</v>
      </c>
      <c r="L38" s="542" t="s">
        <v>123</v>
      </c>
      <c r="M38" s="542" t="s">
        <v>123</v>
      </c>
      <c r="N38" s="540" t="s">
        <v>123</v>
      </c>
      <c r="O38" s="542" t="s">
        <v>123</v>
      </c>
      <c r="P38" s="540" t="s">
        <v>123</v>
      </c>
      <c r="Q38" s="542" t="s">
        <v>122</v>
      </c>
      <c r="R38" s="542" t="s">
        <v>123</v>
      </c>
      <c r="S38" s="542" t="s">
        <v>123</v>
      </c>
      <c r="T38" s="542" t="s">
        <v>123</v>
      </c>
      <c r="U38" s="542" t="s">
        <v>123</v>
      </c>
      <c r="V38" s="542" t="s">
        <v>123</v>
      </c>
      <c r="W38" s="540" t="s">
        <v>123</v>
      </c>
      <c r="X38" s="542" t="s">
        <v>122</v>
      </c>
      <c r="Y38" s="542" t="s">
        <v>123</v>
      </c>
      <c r="Z38" s="542" t="s">
        <v>123</v>
      </c>
      <c r="AA38" s="542" t="s">
        <v>123</v>
      </c>
      <c r="AB38" s="542" t="s">
        <v>123</v>
      </c>
      <c r="AC38" s="542" t="s">
        <v>123</v>
      </c>
      <c r="AD38" s="540" t="s">
        <v>123</v>
      </c>
      <c r="AE38" s="540" t="s">
        <v>122</v>
      </c>
      <c r="AF38" s="540" t="s">
        <v>123</v>
      </c>
      <c r="AG38" s="540" t="s">
        <v>123</v>
      </c>
      <c r="AH38" s="540" t="s">
        <v>123</v>
      </c>
      <c r="AI38" s="543">
        <f t="shared" si="0"/>
        <v>27</v>
      </c>
      <c r="AJ38" s="543">
        <f t="shared" si="1"/>
        <v>4</v>
      </c>
      <c r="AK38" s="543">
        <f t="shared" si="2"/>
        <v>0</v>
      </c>
      <c r="AL38" s="543">
        <f t="shared" si="3"/>
        <v>0</v>
      </c>
      <c r="AM38" s="543">
        <f t="shared" si="4"/>
        <v>31</v>
      </c>
      <c r="AN38" s="544"/>
      <c r="AO38" s="545"/>
    </row>
    <row r="39" spans="1:41" s="519" customFormat="1" ht="42" customHeight="1">
      <c r="A39" s="517">
        <v>29</v>
      </c>
      <c r="B39" s="538"/>
      <c r="C39" s="539" t="str">
        <f>+'[5]TỔNG MỦ TẠP'!$B37</f>
        <v>Thảo Anh</v>
      </c>
      <c r="D39" s="542" t="s">
        <v>123</v>
      </c>
      <c r="E39" s="542" t="s">
        <v>123</v>
      </c>
      <c r="F39" s="542" t="s">
        <v>123</v>
      </c>
      <c r="G39" s="542" t="s">
        <v>123</v>
      </c>
      <c r="H39" s="542" t="s">
        <v>123</v>
      </c>
      <c r="I39" s="1095" t="s">
        <v>123</v>
      </c>
      <c r="J39" s="542" t="s">
        <v>122</v>
      </c>
      <c r="K39" s="542" t="s">
        <v>123</v>
      </c>
      <c r="L39" s="542" t="s">
        <v>123</v>
      </c>
      <c r="M39" s="542" t="s">
        <v>123</v>
      </c>
      <c r="N39" s="540" t="s">
        <v>123</v>
      </c>
      <c r="O39" s="542" t="s">
        <v>123</v>
      </c>
      <c r="P39" s="540" t="s">
        <v>123</v>
      </c>
      <c r="Q39" s="542" t="s">
        <v>122</v>
      </c>
      <c r="R39" s="542" t="s">
        <v>123</v>
      </c>
      <c r="S39" s="542" t="s">
        <v>123</v>
      </c>
      <c r="T39" s="542" t="s">
        <v>123</v>
      </c>
      <c r="U39" s="542" t="s">
        <v>123</v>
      </c>
      <c r="V39" s="542" t="s">
        <v>123</v>
      </c>
      <c r="W39" s="540" t="s">
        <v>123</v>
      </c>
      <c r="X39" s="542" t="s">
        <v>122</v>
      </c>
      <c r="Y39" s="542" t="s">
        <v>123</v>
      </c>
      <c r="Z39" s="542" t="s">
        <v>123</v>
      </c>
      <c r="AA39" s="542" t="s">
        <v>123</v>
      </c>
      <c r="AB39" s="542" t="s">
        <v>123</v>
      </c>
      <c r="AC39" s="542" t="s">
        <v>123</v>
      </c>
      <c r="AD39" s="540" t="s">
        <v>123</v>
      </c>
      <c r="AE39" s="540" t="s">
        <v>122</v>
      </c>
      <c r="AF39" s="540" t="s">
        <v>123</v>
      </c>
      <c r="AG39" s="540" t="s">
        <v>123</v>
      </c>
      <c r="AH39" s="540" t="s">
        <v>123</v>
      </c>
      <c r="AI39" s="543">
        <f t="shared" si="0"/>
        <v>27</v>
      </c>
      <c r="AJ39" s="543">
        <f t="shared" si="1"/>
        <v>4</v>
      </c>
      <c r="AK39" s="543">
        <f t="shared" si="2"/>
        <v>0</v>
      </c>
      <c r="AL39" s="543">
        <f t="shared" si="3"/>
        <v>0</v>
      </c>
      <c r="AM39" s="543">
        <f t="shared" si="4"/>
        <v>31</v>
      </c>
      <c r="AN39" s="544"/>
      <c r="AO39" s="545"/>
    </row>
    <row r="40" spans="1:41" s="519" customFormat="1" ht="42" customHeight="1">
      <c r="A40" s="517">
        <v>30</v>
      </c>
      <c r="B40" s="538"/>
      <c r="C40" s="539" t="str">
        <f>+'[5]TỔNG MỦ TẠP'!$B38</f>
        <v>Nang Banh</v>
      </c>
      <c r="D40" s="542" t="s">
        <v>123</v>
      </c>
      <c r="E40" s="542" t="s">
        <v>123</v>
      </c>
      <c r="F40" s="542" t="s">
        <v>123</v>
      </c>
      <c r="G40" s="542" t="s">
        <v>123</v>
      </c>
      <c r="H40" s="542" t="s">
        <v>123</v>
      </c>
      <c r="I40" s="1095" t="s">
        <v>123</v>
      </c>
      <c r="J40" s="542" t="s">
        <v>122</v>
      </c>
      <c r="K40" s="542" t="s">
        <v>123</v>
      </c>
      <c r="L40" s="542" t="s">
        <v>123</v>
      </c>
      <c r="M40" s="542" t="s">
        <v>123</v>
      </c>
      <c r="N40" s="540" t="s">
        <v>123</v>
      </c>
      <c r="O40" s="542" t="s">
        <v>123</v>
      </c>
      <c r="P40" s="540" t="s">
        <v>123</v>
      </c>
      <c r="Q40" s="542" t="s">
        <v>122</v>
      </c>
      <c r="R40" s="542" t="s">
        <v>123</v>
      </c>
      <c r="S40" s="542" t="s">
        <v>123</v>
      </c>
      <c r="T40" s="542" t="s">
        <v>123</v>
      </c>
      <c r="U40" s="542" t="s">
        <v>123</v>
      </c>
      <c r="V40" s="542" t="s">
        <v>123</v>
      </c>
      <c r="W40" s="540" t="s">
        <v>123</v>
      </c>
      <c r="X40" s="542" t="s">
        <v>122</v>
      </c>
      <c r="Y40" s="542" t="s">
        <v>123</v>
      </c>
      <c r="Z40" s="542" t="s">
        <v>123</v>
      </c>
      <c r="AA40" s="542" t="s">
        <v>123</v>
      </c>
      <c r="AB40" s="542" t="s">
        <v>123</v>
      </c>
      <c r="AC40" s="542" t="s">
        <v>123</v>
      </c>
      <c r="AD40" s="540" t="s">
        <v>123</v>
      </c>
      <c r="AE40" s="540" t="s">
        <v>122</v>
      </c>
      <c r="AF40" s="540" t="s">
        <v>123</v>
      </c>
      <c r="AG40" s="540" t="s">
        <v>123</v>
      </c>
      <c r="AH40" s="540" t="s">
        <v>123</v>
      </c>
      <c r="AI40" s="543">
        <f t="shared" si="0"/>
        <v>27</v>
      </c>
      <c r="AJ40" s="543">
        <f t="shared" si="1"/>
        <v>4</v>
      </c>
      <c r="AK40" s="543">
        <f t="shared" si="2"/>
        <v>0</v>
      </c>
      <c r="AL40" s="543">
        <f t="shared" si="3"/>
        <v>0</v>
      </c>
      <c r="AM40" s="543">
        <f t="shared" si="4"/>
        <v>31</v>
      </c>
      <c r="AN40" s="544"/>
      <c r="AO40" s="545"/>
    </row>
    <row r="41" spans="1:41" s="519" customFormat="1" ht="42" customHeight="1">
      <c r="A41" s="517">
        <v>31</v>
      </c>
      <c r="B41" s="538"/>
      <c r="C41" s="539" t="str">
        <f>+'[5]TỔNG MỦ TẠP'!$B39</f>
        <v>Thảo Boi</v>
      </c>
      <c r="D41" s="542" t="s">
        <v>123</v>
      </c>
      <c r="E41" s="542" t="s">
        <v>123</v>
      </c>
      <c r="F41" s="542" t="s">
        <v>123</v>
      </c>
      <c r="G41" s="542" t="s">
        <v>123</v>
      </c>
      <c r="H41" s="542" t="s">
        <v>123</v>
      </c>
      <c r="I41" s="1095" t="s">
        <v>123</v>
      </c>
      <c r="J41" s="542" t="s">
        <v>122</v>
      </c>
      <c r="K41" s="542" t="s">
        <v>123</v>
      </c>
      <c r="L41" s="542" t="s">
        <v>123</v>
      </c>
      <c r="M41" s="542" t="s">
        <v>123</v>
      </c>
      <c r="N41" s="540" t="s">
        <v>123</v>
      </c>
      <c r="O41" s="542" t="s">
        <v>123</v>
      </c>
      <c r="P41" s="540" t="s">
        <v>123</v>
      </c>
      <c r="Q41" s="542" t="s">
        <v>122</v>
      </c>
      <c r="R41" s="542" t="s">
        <v>123</v>
      </c>
      <c r="S41" s="542" t="s">
        <v>123</v>
      </c>
      <c r="T41" s="542" t="s">
        <v>123</v>
      </c>
      <c r="U41" s="542" t="s">
        <v>123</v>
      </c>
      <c r="V41" s="542" t="s">
        <v>123</v>
      </c>
      <c r="W41" s="540" t="s">
        <v>123</v>
      </c>
      <c r="X41" s="542" t="s">
        <v>122</v>
      </c>
      <c r="Y41" s="542" t="s">
        <v>123</v>
      </c>
      <c r="Z41" s="542" t="s">
        <v>123</v>
      </c>
      <c r="AA41" s="542" t="s">
        <v>123</v>
      </c>
      <c r="AB41" s="542" t="s">
        <v>123</v>
      </c>
      <c r="AC41" s="542" t="s">
        <v>123</v>
      </c>
      <c r="AD41" s="540" t="s">
        <v>123</v>
      </c>
      <c r="AE41" s="540" t="s">
        <v>122</v>
      </c>
      <c r="AF41" s="540" t="s">
        <v>123</v>
      </c>
      <c r="AG41" s="540" t="s">
        <v>123</v>
      </c>
      <c r="AH41" s="540" t="s">
        <v>123</v>
      </c>
      <c r="AI41" s="543">
        <f t="shared" si="0"/>
        <v>27</v>
      </c>
      <c r="AJ41" s="543">
        <f t="shared" si="1"/>
        <v>4</v>
      </c>
      <c r="AK41" s="543">
        <f t="shared" si="2"/>
        <v>0</v>
      </c>
      <c r="AL41" s="543">
        <f t="shared" si="3"/>
        <v>0</v>
      </c>
      <c r="AM41" s="543">
        <f t="shared" si="4"/>
        <v>31</v>
      </c>
      <c r="AN41" s="544"/>
      <c r="AO41" s="545"/>
    </row>
    <row r="42" spans="1:41" s="519" customFormat="1" ht="42" customHeight="1">
      <c r="A42" s="517">
        <v>32</v>
      </c>
      <c r="B42" s="538"/>
      <c r="C42" s="539" t="str">
        <f>+'[5]TỔNG MỦ TẠP'!$B40</f>
        <v>Cha Lơ</v>
      </c>
      <c r="D42" s="542" t="s">
        <v>123</v>
      </c>
      <c r="E42" s="542" t="s">
        <v>123</v>
      </c>
      <c r="F42" s="542" t="s">
        <v>123</v>
      </c>
      <c r="G42" s="542" t="s">
        <v>123</v>
      </c>
      <c r="H42" s="542" t="s">
        <v>123</v>
      </c>
      <c r="I42" s="1095" t="s">
        <v>123</v>
      </c>
      <c r="J42" s="542" t="s">
        <v>122</v>
      </c>
      <c r="K42" s="542" t="s">
        <v>123</v>
      </c>
      <c r="L42" s="542" t="s">
        <v>123</v>
      </c>
      <c r="M42" s="542" t="s">
        <v>123</v>
      </c>
      <c r="N42" s="540" t="s">
        <v>123</v>
      </c>
      <c r="O42" s="542" t="s">
        <v>123</v>
      </c>
      <c r="P42" s="540" t="s">
        <v>123</v>
      </c>
      <c r="Q42" s="542" t="s">
        <v>122</v>
      </c>
      <c r="R42" s="542" t="s">
        <v>123</v>
      </c>
      <c r="S42" s="542" t="s">
        <v>123</v>
      </c>
      <c r="T42" s="542" t="s">
        <v>123</v>
      </c>
      <c r="U42" s="542" t="s">
        <v>123</v>
      </c>
      <c r="V42" s="542"/>
      <c r="W42" s="540" t="s">
        <v>123</v>
      </c>
      <c r="X42" s="542" t="s">
        <v>122</v>
      </c>
      <c r="Y42" s="542" t="s">
        <v>123</v>
      </c>
      <c r="Z42" s="542" t="s">
        <v>123</v>
      </c>
      <c r="AA42" s="542" t="s">
        <v>123</v>
      </c>
      <c r="AB42" s="542" t="s">
        <v>123</v>
      </c>
      <c r="AC42" s="542" t="s">
        <v>123</v>
      </c>
      <c r="AD42" s="540" t="s">
        <v>123</v>
      </c>
      <c r="AE42" s="540" t="s">
        <v>122</v>
      </c>
      <c r="AF42" s="540" t="s">
        <v>123</v>
      </c>
      <c r="AG42" s="540" t="s">
        <v>123</v>
      </c>
      <c r="AH42" s="540" t="s">
        <v>123</v>
      </c>
      <c r="AI42" s="543">
        <f t="shared" si="0"/>
        <v>26</v>
      </c>
      <c r="AJ42" s="543">
        <f t="shared" si="1"/>
        <v>4</v>
      </c>
      <c r="AK42" s="543">
        <f t="shared" si="2"/>
        <v>0</v>
      </c>
      <c r="AL42" s="543">
        <f t="shared" si="3"/>
        <v>0</v>
      </c>
      <c r="AM42" s="543">
        <f t="shared" si="4"/>
        <v>30</v>
      </c>
      <c r="AN42" s="544"/>
      <c r="AO42" s="545"/>
    </row>
    <row r="43" spans="1:41" s="519" customFormat="1" ht="42" customHeight="1">
      <c r="A43" s="517">
        <v>33</v>
      </c>
      <c r="B43" s="538"/>
      <c r="C43" s="539" t="str">
        <f>+'[5]TỔNG MỦ TẠP'!$B41</f>
        <v>Nang Cung</v>
      </c>
      <c r="D43" s="542" t="s">
        <v>123</v>
      </c>
      <c r="E43" s="542" t="s">
        <v>123</v>
      </c>
      <c r="F43" s="542" t="s">
        <v>123</v>
      </c>
      <c r="G43" s="542" t="s">
        <v>123</v>
      </c>
      <c r="H43" s="542" t="s">
        <v>123</v>
      </c>
      <c r="I43" s="1095" t="s">
        <v>123</v>
      </c>
      <c r="J43" s="542"/>
      <c r="K43" s="542" t="s">
        <v>123</v>
      </c>
      <c r="L43" s="542" t="s">
        <v>123</v>
      </c>
      <c r="M43" s="542" t="s">
        <v>123</v>
      </c>
      <c r="N43" s="540" t="s">
        <v>123</v>
      </c>
      <c r="O43" s="542" t="s">
        <v>123</v>
      </c>
      <c r="P43" s="540" t="s">
        <v>123</v>
      </c>
      <c r="Q43" s="542" t="s">
        <v>122</v>
      </c>
      <c r="R43" s="542" t="s">
        <v>123</v>
      </c>
      <c r="S43" s="542" t="s">
        <v>123</v>
      </c>
      <c r="T43" s="542" t="s">
        <v>123</v>
      </c>
      <c r="U43" s="542" t="s">
        <v>123</v>
      </c>
      <c r="V43" s="542" t="s">
        <v>123</v>
      </c>
      <c r="W43" s="540" t="s">
        <v>123</v>
      </c>
      <c r="X43" s="542" t="s">
        <v>122</v>
      </c>
      <c r="Y43" s="542" t="s">
        <v>123</v>
      </c>
      <c r="Z43" s="542"/>
      <c r="AA43" s="542" t="s">
        <v>123</v>
      </c>
      <c r="AB43" s="542" t="s">
        <v>123</v>
      </c>
      <c r="AC43" s="542" t="s">
        <v>123</v>
      </c>
      <c r="AD43" s="540" t="s">
        <v>123</v>
      </c>
      <c r="AE43" s="542"/>
      <c r="AF43" s="540" t="s">
        <v>123</v>
      </c>
      <c r="AG43" s="540" t="s">
        <v>123</v>
      </c>
      <c r="AH43" s="540"/>
      <c r="AI43" s="543">
        <f t="shared" si="0"/>
        <v>25</v>
      </c>
      <c r="AJ43" s="543">
        <f t="shared" si="1"/>
        <v>2</v>
      </c>
      <c r="AK43" s="543">
        <f t="shared" si="2"/>
        <v>0</v>
      </c>
      <c r="AL43" s="543">
        <f t="shared" si="3"/>
        <v>0</v>
      </c>
      <c r="AM43" s="543">
        <f t="shared" si="4"/>
        <v>27</v>
      </c>
      <c r="AN43" s="544"/>
      <c r="AO43" s="545"/>
    </row>
    <row r="44" spans="1:41" s="519" customFormat="1" ht="42" customHeight="1">
      <c r="A44" s="517">
        <v>34</v>
      </c>
      <c r="B44" s="538"/>
      <c r="C44" s="539" t="str">
        <f>+'[5]TỔNG MỦ TẠP'!$B42</f>
        <v>Thảo Xen</v>
      </c>
      <c r="D44" s="542" t="s">
        <v>123</v>
      </c>
      <c r="E44" s="542" t="s">
        <v>123</v>
      </c>
      <c r="F44" s="542" t="s">
        <v>123</v>
      </c>
      <c r="G44" s="542" t="s">
        <v>123</v>
      </c>
      <c r="H44" s="542" t="s">
        <v>123</v>
      </c>
      <c r="I44" s="1095" t="s">
        <v>123</v>
      </c>
      <c r="J44" s="542" t="s">
        <v>122</v>
      </c>
      <c r="K44" s="542" t="s">
        <v>123</v>
      </c>
      <c r="L44" s="542" t="s">
        <v>123</v>
      </c>
      <c r="M44" s="542" t="s">
        <v>123</v>
      </c>
      <c r="N44" s="540" t="s">
        <v>123</v>
      </c>
      <c r="O44" s="542" t="s">
        <v>123</v>
      </c>
      <c r="P44" s="540" t="s">
        <v>123</v>
      </c>
      <c r="Q44" s="542" t="s">
        <v>122</v>
      </c>
      <c r="R44" s="542" t="s">
        <v>123</v>
      </c>
      <c r="S44" s="542" t="s">
        <v>123</v>
      </c>
      <c r="T44" s="542" t="s">
        <v>123</v>
      </c>
      <c r="U44" s="542" t="s">
        <v>123</v>
      </c>
      <c r="V44" s="542" t="s">
        <v>123</v>
      </c>
      <c r="W44" s="540" t="s">
        <v>123</v>
      </c>
      <c r="X44" s="542" t="s">
        <v>122</v>
      </c>
      <c r="Y44" s="542" t="s">
        <v>123</v>
      </c>
      <c r="Z44" s="542" t="s">
        <v>123</v>
      </c>
      <c r="AA44" s="542" t="s">
        <v>123</v>
      </c>
      <c r="AB44" s="542" t="s">
        <v>123</v>
      </c>
      <c r="AC44" s="542" t="s">
        <v>123</v>
      </c>
      <c r="AD44" s="540" t="s">
        <v>123</v>
      </c>
      <c r="AE44" s="540" t="s">
        <v>122</v>
      </c>
      <c r="AF44" s="540" t="s">
        <v>123</v>
      </c>
      <c r="AG44" s="540" t="s">
        <v>123</v>
      </c>
      <c r="AH44" s="540" t="s">
        <v>123</v>
      </c>
      <c r="AI44" s="543">
        <f t="shared" si="0"/>
        <v>27</v>
      </c>
      <c r="AJ44" s="543">
        <f t="shared" si="1"/>
        <v>4</v>
      </c>
      <c r="AK44" s="543">
        <f t="shared" si="2"/>
        <v>0</v>
      </c>
      <c r="AL44" s="543">
        <f t="shared" si="3"/>
        <v>0</v>
      </c>
      <c r="AM44" s="543">
        <f t="shared" si="4"/>
        <v>31</v>
      </c>
      <c r="AN44" s="544"/>
      <c r="AO44" s="545"/>
    </row>
    <row r="45" spans="1:41" s="519" customFormat="1" ht="42" customHeight="1">
      <c r="A45" s="517">
        <v>35</v>
      </c>
      <c r="B45" s="538"/>
      <c r="C45" s="539" t="str">
        <f>+'[5]TỔNG MỦ TẠP'!$B43</f>
        <v>Phò Nhuận</v>
      </c>
      <c r="D45" s="542" t="s">
        <v>123</v>
      </c>
      <c r="E45" s="542" t="s">
        <v>123</v>
      </c>
      <c r="F45" s="542"/>
      <c r="G45" s="542" t="s">
        <v>123</v>
      </c>
      <c r="H45" s="542" t="s">
        <v>123</v>
      </c>
      <c r="I45" s="1095"/>
      <c r="J45" s="542" t="s">
        <v>122</v>
      </c>
      <c r="K45" s="542"/>
      <c r="L45" s="542"/>
      <c r="M45" s="542"/>
      <c r="N45" s="542" t="s">
        <v>123</v>
      </c>
      <c r="O45" s="542"/>
      <c r="P45" s="542" t="s">
        <v>123</v>
      </c>
      <c r="Q45" s="542" t="s">
        <v>122</v>
      </c>
      <c r="R45" s="542" t="s">
        <v>123</v>
      </c>
      <c r="S45" s="542"/>
      <c r="T45" s="542" t="s">
        <v>123</v>
      </c>
      <c r="U45" s="542"/>
      <c r="V45" s="542" t="s">
        <v>123</v>
      </c>
      <c r="W45" s="540"/>
      <c r="X45" s="542" t="s">
        <v>122</v>
      </c>
      <c r="Y45" s="542" t="s">
        <v>123</v>
      </c>
      <c r="Z45" s="542" t="s">
        <v>123</v>
      </c>
      <c r="AA45" s="542"/>
      <c r="AB45" s="542"/>
      <c r="AC45" s="542"/>
      <c r="AD45" s="542"/>
      <c r="AE45" s="540" t="s">
        <v>122</v>
      </c>
      <c r="AF45" s="540"/>
      <c r="AG45" s="540" t="s">
        <v>123</v>
      </c>
      <c r="AH45" s="540" t="s">
        <v>123</v>
      </c>
      <c r="AI45" s="543">
        <f t="shared" si="0"/>
        <v>13</v>
      </c>
      <c r="AJ45" s="543">
        <f t="shared" si="1"/>
        <v>4</v>
      </c>
      <c r="AK45" s="543">
        <f t="shared" si="2"/>
        <v>0</v>
      </c>
      <c r="AL45" s="543">
        <f t="shared" si="3"/>
        <v>0</v>
      </c>
      <c r="AM45" s="543">
        <f t="shared" si="4"/>
        <v>17</v>
      </c>
      <c r="AN45" s="544"/>
      <c r="AO45" s="545"/>
    </row>
    <row r="46" spans="1:41" s="519" customFormat="1" ht="42" customHeight="1">
      <c r="A46" s="517">
        <v>36</v>
      </c>
      <c r="B46" s="517">
        <v>1</v>
      </c>
      <c r="C46" s="539" t="str">
        <f>+'[6]CHẤM CÔNG'!$B9</f>
        <v>Nàng Pong</v>
      </c>
      <c r="D46" s="547" t="s">
        <v>123</v>
      </c>
      <c r="E46" s="547" t="s">
        <v>123</v>
      </c>
      <c r="F46" s="547" t="s">
        <v>123</v>
      </c>
      <c r="G46" s="547" t="s">
        <v>123</v>
      </c>
      <c r="H46" s="547" t="s">
        <v>123</v>
      </c>
      <c r="I46" s="1096" t="s">
        <v>123</v>
      </c>
      <c r="J46" s="547" t="s">
        <v>122</v>
      </c>
      <c r="K46" s="547" t="s">
        <v>123</v>
      </c>
      <c r="L46" s="547" t="s">
        <v>123</v>
      </c>
      <c r="M46" s="548" t="s">
        <v>123</v>
      </c>
      <c r="N46" s="547" t="s">
        <v>123</v>
      </c>
      <c r="O46" s="547" t="s">
        <v>123</v>
      </c>
      <c r="P46" s="547" t="s">
        <v>123</v>
      </c>
      <c r="Q46" s="547" t="s">
        <v>486</v>
      </c>
      <c r="R46" s="547" t="s">
        <v>123</v>
      </c>
      <c r="S46" s="547" t="s">
        <v>123</v>
      </c>
      <c r="T46" s="547" t="s">
        <v>123</v>
      </c>
      <c r="U46" s="547" t="s">
        <v>123</v>
      </c>
      <c r="V46" s="547" t="s">
        <v>123</v>
      </c>
      <c r="W46" s="547" t="s">
        <v>123</v>
      </c>
      <c r="X46" s="547" t="s">
        <v>122</v>
      </c>
      <c r="Y46" s="547" t="s">
        <v>123</v>
      </c>
      <c r="Z46" s="547" t="s">
        <v>352</v>
      </c>
      <c r="AA46" s="547" t="s">
        <v>123</v>
      </c>
      <c r="AB46" s="547" t="s">
        <v>123</v>
      </c>
      <c r="AC46" s="547" t="s">
        <v>123</v>
      </c>
      <c r="AD46" s="547" t="s">
        <v>123</v>
      </c>
      <c r="AE46" s="547" t="s">
        <v>122</v>
      </c>
      <c r="AF46" s="547" t="s">
        <v>123</v>
      </c>
      <c r="AG46" s="547" t="s">
        <v>123</v>
      </c>
      <c r="AH46" s="547" t="s">
        <v>123</v>
      </c>
      <c r="AI46" s="543">
        <f t="shared" si="0"/>
        <v>26</v>
      </c>
      <c r="AJ46" s="543">
        <f t="shared" si="1"/>
        <v>3</v>
      </c>
      <c r="AK46" s="543">
        <f t="shared" si="2"/>
        <v>1</v>
      </c>
      <c r="AL46" s="543">
        <f t="shared" si="3"/>
        <v>1</v>
      </c>
      <c r="AM46" s="543">
        <f t="shared" si="4"/>
        <v>31</v>
      </c>
      <c r="AN46" s="544"/>
      <c r="AO46" s="545"/>
    </row>
    <row r="47" spans="1:41" s="519" customFormat="1" ht="42" customHeight="1">
      <c r="A47" s="517">
        <v>37</v>
      </c>
      <c r="B47" s="517">
        <v>2</v>
      </c>
      <c r="C47" s="539" t="str">
        <f>+'[6]CHẤM CÔNG'!$B10</f>
        <v>Thảo Ơ</v>
      </c>
      <c r="D47" s="547" t="s">
        <v>123</v>
      </c>
      <c r="E47" s="547" t="s">
        <v>123</v>
      </c>
      <c r="F47" s="547" t="s">
        <v>123</v>
      </c>
      <c r="G47" s="547" t="s">
        <v>123</v>
      </c>
      <c r="H47" s="547" t="s">
        <v>123</v>
      </c>
      <c r="I47" s="1096" t="s">
        <v>123</v>
      </c>
      <c r="J47" s="547" t="s">
        <v>122</v>
      </c>
      <c r="K47" s="547" t="s">
        <v>123</v>
      </c>
      <c r="L47" s="547" t="s">
        <v>123</v>
      </c>
      <c r="M47" s="548" t="s">
        <v>123</v>
      </c>
      <c r="N47" s="547" t="s">
        <v>123</v>
      </c>
      <c r="O47" s="547" t="s">
        <v>123</v>
      </c>
      <c r="P47" s="547" t="s">
        <v>123</v>
      </c>
      <c r="Q47" s="547" t="s">
        <v>486</v>
      </c>
      <c r="R47" s="547" t="s">
        <v>123</v>
      </c>
      <c r="S47" s="547" t="s">
        <v>123</v>
      </c>
      <c r="T47" s="547" t="s">
        <v>123</v>
      </c>
      <c r="U47" s="547" t="s">
        <v>123</v>
      </c>
      <c r="V47" s="547" t="s">
        <v>123</v>
      </c>
      <c r="W47" s="547" t="s">
        <v>123</v>
      </c>
      <c r="X47" s="547" t="s">
        <v>122</v>
      </c>
      <c r="Y47" s="547" t="s">
        <v>123</v>
      </c>
      <c r="Z47" s="547" t="s">
        <v>352</v>
      </c>
      <c r="AA47" s="547" t="s">
        <v>123</v>
      </c>
      <c r="AB47" s="547" t="s">
        <v>123</v>
      </c>
      <c r="AC47" s="547" t="s">
        <v>123</v>
      </c>
      <c r="AD47" s="547" t="s">
        <v>123</v>
      </c>
      <c r="AE47" s="547" t="s">
        <v>122</v>
      </c>
      <c r="AF47" s="547" t="s">
        <v>123</v>
      </c>
      <c r="AG47" s="547" t="s">
        <v>123</v>
      </c>
      <c r="AH47" s="547" t="s">
        <v>123</v>
      </c>
      <c r="AI47" s="543">
        <f t="shared" si="0"/>
        <v>26</v>
      </c>
      <c r="AJ47" s="543">
        <f t="shared" si="1"/>
        <v>3</v>
      </c>
      <c r="AK47" s="543">
        <f t="shared" si="2"/>
        <v>1</v>
      </c>
      <c r="AL47" s="543">
        <f t="shared" si="3"/>
        <v>1</v>
      </c>
      <c r="AM47" s="543">
        <f t="shared" si="4"/>
        <v>31</v>
      </c>
      <c r="AN47" s="544"/>
      <c r="AO47" s="545"/>
    </row>
    <row r="48" spans="1:41" s="519" customFormat="1" ht="42" customHeight="1">
      <c r="A48" s="517">
        <v>38</v>
      </c>
      <c r="B48" s="517">
        <v>3</v>
      </c>
      <c r="C48" s="539" t="str">
        <f>+'[6]CHẤM CÔNG'!$B11</f>
        <v>Thảo Ui</v>
      </c>
      <c r="D48" s="547" t="s">
        <v>123</v>
      </c>
      <c r="E48" s="547" t="s">
        <v>123</v>
      </c>
      <c r="F48" s="547" t="s">
        <v>123</v>
      </c>
      <c r="G48" s="547" t="s">
        <v>123</v>
      </c>
      <c r="H48" s="547" t="s">
        <v>123</v>
      </c>
      <c r="I48" s="1096" t="s">
        <v>123</v>
      </c>
      <c r="J48" s="547" t="s">
        <v>122</v>
      </c>
      <c r="K48" s="547" t="s">
        <v>123</v>
      </c>
      <c r="L48" s="547" t="s">
        <v>123</v>
      </c>
      <c r="M48" s="548" t="s">
        <v>123</v>
      </c>
      <c r="N48" s="547" t="s">
        <v>123</v>
      </c>
      <c r="O48" s="547" t="s">
        <v>123</v>
      </c>
      <c r="P48" s="547" t="s">
        <v>123</v>
      </c>
      <c r="Q48" s="547" t="s">
        <v>486</v>
      </c>
      <c r="R48" s="547" t="s">
        <v>123</v>
      </c>
      <c r="S48" s="547" t="s">
        <v>123</v>
      </c>
      <c r="T48" s="547" t="s">
        <v>123</v>
      </c>
      <c r="U48" s="547" t="s">
        <v>123</v>
      </c>
      <c r="V48" s="547" t="s">
        <v>123</v>
      </c>
      <c r="W48" s="547" t="s">
        <v>123</v>
      </c>
      <c r="X48" s="547" t="s">
        <v>122</v>
      </c>
      <c r="Y48" s="547" t="s">
        <v>123</v>
      </c>
      <c r="Z48" s="547" t="s">
        <v>352</v>
      </c>
      <c r="AA48" s="547" t="s">
        <v>123</v>
      </c>
      <c r="AB48" s="547" t="s">
        <v>123</v>
      </c>
      <c r="AC48" s="547" t="s">
        <v>123</v>
      </c>
      <c r="AD48" s="547" t="s">
        <v>123</v>
      </c>
      <c r="AE48" s="547" t="s">
        <v>122</v>
      </c>
      <c r="AF48" s="547" t="s">
        <v>123</v>
      </c>
      <c r="AG48" s="547" t="s">
        <v>123</v>
      </c>
      <c r="AH48" s="547" t="s">
        <v>123</v>
      </c>
      <c r="AI48" s="543">
        <f t="shared" si="0"/>
        <v>26</v>
      </c>
      <c r="AJ48" s="543">
        <f t="shared" si="1"/>
        <v>3</v>
      </c>
      <c r="AK48" s="543">
        <f t="shared" si="2"/>
        <v>1</v>
      </c>
      <c r="AL48" s="543">
        <f t="shared" si="3"/>
        <v>1</v>
      </c>
      <c r="AM48" s="543">
        <f t="shared" si="4"/>
        <v>31</v>
      </c>
      <c r="AN48" s="544"/>
      <c r="AO48" s="545"/>
    </row>
    <row r="49" spans="1:41" s="1212" customFormat="1" ht="42" customHeight="1">
      <c r="A49" s="1206">
        <v>39</v>
      </c>
      <c r="B49" s="1206">
        <v>4</v>
      </c>
      <c r="C49" s="1207" t="str">
        <f>+'[6]CHẤM CÔNG'!$B12</f>
        <v>Thảo Xoan Chay</v>
      </c>
      <c r="D49" s="1208" t="s">
        <v>123</v>
      </c>
      <c r="E49" s="1208" t="s">
        <v>123</v>
      </c>
      <c r="F49" s="1208" t="s">
        <v>123</v>
      </c>
      <c r="G49" s="1208" t="s">
        <v>123</v>
      </c>
      <c r="H49" s="1208" t="s">
        <v>123</v>
      </c>
      <c r="I49" s="1214" t="s">
        <v>123</v>
      </c>
      <c r="J49" s="1208" t="s">
        <v>122</v>
      </c>
      <c r="K49" s="1208" t="s">
        <v>123</v>
      </c>
      <c r="L49" s="1208" t="s">
        <v>123</v>
      </c>
      <c r="M49" s="1208" t="s">
        <v>123</v>
      </c>
      <c r="N49" s="1208" t="s">
        <v>123</v>
      </c>
      <c r="O49" s="1208" t="s">
        <v>123</v>
      </c>
      <c r="P49" s="1208" t="s">
        <v>123</v>
      </c>
      <c r="Q49" s="1208" t="s">
        <v>486</v>
      </c>
      <c r="R49" s="1208" t="s">
        <v>123</v>
      </c>
      <c r="S49" s="1208" t="s">
        <v>123</v>
      </c>
      <c r="T49" s="1208" t="s">
        <v>123</v>
      </c>
      <c r="U49" s="1208" t="s">
        <v>123</v>
      </c>
      <c r="V49" s="1208" t="s">
        <v>123</v>
      </c>
      <c r="W49" s="1208" t="s">
        <v>123</v>
      </c>
      <c r="X49" s="1208" t="s">
        <v>122</v>
      </c>
      <c r="Y49" s="1208" t="s">
        <v>123</v>
      </c>
      <c r="Z49" s="1208" t="s">
        <v>352</v>
      </c>
      <c r="AA49" s="1208" t="s">
        <v>123</v>
      </c>
      <c r="AB49" s="1208" t="s">
        <v>123</v>
      </c>
      <c r="AC49" s="1208" t="s">
        <v>123</v>
      </c>
      <c r="AD49" s="1208" t="s">
        <v>123</v>
      </c>
      <c r="AE49" s="1208" t="s">
        <v>122</v>
      </c>
      <c r="AF49" s="1208" t="s">
        <v>123</v>
      </c>
      <c r="AG49" s="1208" t="s">
        <v>123</v>
      </c>
      <c r="AH49" s="1208" t="s">
        <v>123</v>
      </c>
      <c r="AI49" s="1209">
        <f t="shared" si="0"/>
        <v>26</v>
      </c>
      <c r="AJ49" s="1209">
        <f t="shared" si="1"/>
        <v>3</v>
      </c>
      <c r="AK49" s="1209">
        <f t="shared" si="2"/>
        <v>1</v>
      </c>
      <c r="AL49" s="1209">
        <f t="shared" si="3"/>
        <v>1</v>
      </c>
      <c r="AM49" s="1209">
        <f t="shared" si="4"/>
        <v>31</v>
      </c>
      <c r="AN49" s="1210"/>
      <c r="AO49" s="1211"/>
    </row>
    <row r="50" spans="1:41" s="519" customFormat="1" ht="42" customHeight="1">
      <c r="A50" s="517">
        <v>40</v>
      </c>
      <c r="B50" s="517">
        <v>5</v>
      </c>
      <c r="C50" s="539" t="str">
        <f>+'[6]CHẤM CÔNG'!$B13</f>
        <v>Nàng Út</v>
      </c>
      <c r="D50" s="547" t="s">
        <v>123</v>
      </c>
      <c r="E50" s="547" t="s">
        <v>123</v>
      </c>
      <c r="F50" s="547" t="s">
        <v>123</v>
      </c>
      <c r="G50" s="547" t="s">
        <v>123</v>
      </c>
      <c r="H50" s="547" t="s">
        <v>123</v>
      </c>
      <c r="I50" s="1096" t="s">
        <v>123</v>
      </c>
      <c r="J50" s="547" t="s">
        <v>122</v>
      </c>
      <c r="K50" s="547" t="s">
        <v>123</v>
      </c>
      <c r="L50" s="547" t="s">
        <v>123</v>
      </c>
      <c r="M50" s="548" t="s">
        <v>123</v>
      </c>
      <c r="N50" s="547" t="s">
        <v>123</v>
      </c>
      <c r="O50" s="547" t="s">
        <v>123</v>
      </c>
      <c r="P50" s="547" t="s">
        <v>123</v>
      </c>
      <c r="Q50" s="547" t="s">
        <v>486</v>
      </c>
      <c r="R50" s="547" t="s">
        <v>123</v>
      </c>
      <c r="S50" s="547" t="s">
        <v>123</v>
      </c>
      <c r="T50" s="547" t="s">
        <v>123</v>
      </c>
      <c r="U50" s="547" t="s">
        <v>123</v>
      </c>
      <c r="V50" s="547" t="s">
        <v>123</v>
      </c>
      <c r="W50" s="547" t="s">
        <v>123</v>
      </c>
      <c r="X50" s="547" t="s">
        <v>122</v>
      </c>
      <c r="Y50" s="547" t="s">
        <v>123</v>
      </c>
      <c r="Z50" s="547" t="s">
        <v>352</v>
      </c>
      <c r="AA50" s="547" t="s">
        <v>123</v>
      </c>
      <c r="AB50" s="547" t="s">
        <v>123</v>
      </c>
      <c r="AC50" s="547" t="s">
        <v>123</v>
      </c>
      <c r="AD50" s="547" t="s">
        <v>123</v>
      </c>
      <c r="AE50" s="547" t="s">
        <v>122</v>
      </c>
      <c r="AF50" s="547" t="s">
        <v>123</v>
      </c>
      <c r="AG50" s="547" t="s">
        <v>123</v>
      </c>
      <c r="AH50" s="547" t="s">
        <v>123</v>
      </c>
      <c r="AI50" s="543">
        <f t="shared" si="0"/>
        <v>26</v>
      </c>
      <c r="AJ50" s="543">
        <f t="shared" si="1"/>
        <v>3</v>
      </c>
      <c r="AK50" s="543">
        <f t="shared" si="2"/>
        <v>1</v>
      </c>
      <c r="AL50" s="543">
        <f t="shared" si="3"/>
        <v>1</v>
      </c>
      <c r="AM50" s="543">
        <f t="shared" si="4"/>
        <v>31</v>
      </c>
      <c r="AN50" s="544"/>
      <c r="AO50" s="545"/>
    </row>
    <row r="51" spans="1:41" s="519" customFormat="1" ht="42" customHeight="1">
      <c r="A51" s="517">
        <v>41</v>
      </c>
      <c r="B51" s="517">
        <v>6</v>
      </c>
      <c r="C51" s="539" t="str">
        <f>+'[6]CHẤM CÔNG'!$B14</f>
        <v>Thảo Phôn Xay</v>
      </c>
      <c r="D51" s="547" t="s">
        <v>123</v>
      </c>
      <c r="E51" s="547" t="s">
        <v>123</v>
      </c>
      <c r="F51" s="547" t="s">
        <v>123</v>
      </c>
      <c r="G51" s="547" t="s">
        <v>123</v>
      </c>
      <c r="H51" s="547" t="s">
        <v>123</v>
      </c>
      <c r="I51" s="1096" t="s">
        <v>123</v>
      </c>
      <c r="J51" s="547" t="s">
        <v>122</v>
      </c>
      <c r="K51" s="547" t="s">
        <v>123</v>
      </c>
      <c r="L51" s="547" t="s">
        <v>123</v>
      </c>
      <c r="M51" s="548" t="s">
        <v>123</v>
      </c>
      <c r="N51" s="547" t="s">
        <v>123</v>
      </c>
      <c r="O51" s="547" t="s">
        <v>123</v>
      </c>
      <c r="P51" s="547" t="s">
        <v>123</v>
      </c>
      <c r="Q51" s="547" t="s">
        <v>486</v>
      </c>
      <c r="R51" s="547" t="s">
        <v>123</v>
      </c>
      <c r="S51" s="547" t="s">
        <v>123</v>
      </c>
      <c r="T51" s="547" t="s">
        <v>123</v>
      </c>
      <c r="U51" s="547" t="s">
        <v>123</v>
      </c>
      <c r="V51" s="547" t="s">
        <v>123</v>
      </c>
      <c r="W51" s="547" t="s">
        <v>123</v>
      </c>
      <c r="X51" s="547" t="s">
        <v>122</v>
      </c>
      <c r="Y51" s="547" t="s">
        <v>123</v>
      </c>
      <c r="Z51" s="547" t="s">
        <v>352</v>
      </c>
      <c r="AA51" s="547" t="s">
        <v>123</v>
      </c>
      <c r="AB51" s="547" t="s">
        <v>123</v>
      </c>
      <c r="AC51" s="547" t="s">
        <v>123</v>
      </c>
      <c r="AD51" s="547" t="s">
        <v>123</v>
      </c>
      <c r="AE51" s="547" t="s">
        <v>122</v>
      </c>
      <c r="AF51" s="547" t="s">
        <v>123</v>
      </c>
      <c r="AG51" s="547" t="s">
        <v>123</v>
      </c>
      <c r="AH51" s="547" t="s">
        <v>123</v>
      </c>
      <c r="AI51" s="543">
        <f t="shared" si="0"/>
        <v>26</v>
      </c>
      <c r="AJ51" s="543">
        <f t="shared" si="1"/>
        <v>3</v>
      </c>
      <c r="AK51" s="543">
        <f t="shared" si="2"/>
        <v>1</v>
      </c>
      <c r="AL51" s="543">
        <f t="shared" si="3"/>
        <v>1</v>
      </c>
      <c r="AM51" s="543">
        <f t="shared" si="4"/>
        <v>31</v>
      </c>
      <c r="AN51" s="544"/>
      <c r="AO51" s="545"/>
    </row>
    <row r="52" spans="1:41" s="519" customFormat="1" ht="42" customHeight="1">
      <c r="A52" s="517">
        <v>42</v>
      </c>
      <c r="B52" s="517">
        <v>7</v>
      </c>
      <c r="C52" s="539" t="str">
        <f>+'[6]CHẤM CÔNG'!$B15</f>
        <v>Nàng Phêng</v>
      </c>
      <c r="D52" s="547" t="s">
        <v>123</v>
      </c>
      <c r="E52" s="547" t="s">
        <v>123</v>
      </c>
      <c r="F52" s="547" t="s">
        <v>123</v>
      </c>
      <c r="G52" s="547" t="s">
        <v>123</v>
      </c>
      <c r="H52" s="547" t="s">
        <v>123</v>
      </c>
      <c r="I52" s="1096" t="s">
        <v>123</v>
      </c>
      <c r="J52" s="547" t="s">
        <v>122</v>
      </c>
      <c r="K52" s="547" t="s">
        <v>123</v>
      </c>
      <c r="L52" s="547" t="s">
        <v>123</v>
      </c>
      <c r="M52" s="548" t="s">
        <v>123</v>
      </c>
      <c r="N52" s="547" t="s">
        <v>123</v>
      </c>
      <c r="O52" s="547" t="s">
        <v>123</v>
      </c>
      <c r="P52" s="547" t="s">
        <v>123</v>
      </c>
      <c r="Q52" s="547" t="s">
        <v>486</v>
      </c>
      <c r="R52" s="547" t="s">
        <v>123</v>
      </c>
      <c r="S52" s="547" t="s">
        <v>123</v>
      </c>
      <c r="T52" s="547" t="s">
        <v>123</v>
      </c>
      <c r="U52" s="547" t="s">
        <v>123</v>
      </c>
      <c r="V52" s="547" t="s">
        <v>123</v>
      </c>
      <c r="W52" s="547" t="s">
        <v>123</v>
      </c>
      <c r="X52" s="547" t="s">
        <v>122</v>
      </c>
      <c r="Y52" s="547" t="s">
        <v>123</v>
      </c>
      <c r="Z52" s="547" t="s">
        <v>352</v>
      </c>
      <c r="AA52" s="547" t="s">
        <v>123</v>
      </c>
      <c r="AB52" s="547" t="s">
        <v>123</v>
      </c>
      <c r="AC52" s="547" t="s">
        <v>123</v>
      </c>
      <c r="AD52" s="547" t="s">
        <v>123</v>
      </c>
      <c r="AE52" s="547" t="s">
        <v>122</v>
      </c>
      <c r="AF52" s="547" t="s">
        <v>123</v>
      </c>
      <c r="AG52" s="547" t="s">
        <v>123</v>
      </c>
      <c r="AH52" s="547" t="s">
        <v>123</v>
      </c>
      <c r="AI52" s="543">
        <f t="shared" si="0"/>
        <v>26</v>
      </c>
      <c r="AJ52" s="543">
        <f t="shared" si="1"/>
        <v>3</v>
      </c>
      <c r="AK52" s="543">
        <f t="shared" si="2"/>
        <v>1</v>
      </c>
      <c r="AL52" s="543">
        <f t="shared" si="3"/>
        <v>1</v>
      </c>
      <c r="AM52" s="543">
        <f t="shared" si="4"/>
        <v>31</v>
      </c>
      <c r="AN52" s="544"/>
      <c r="AO52" s="545"/>
    </row>
    <row r="53" spans="1:41" s="519" customFormat="1" ht="42" customHeight="1">
      <c r="A53" s="517">
        <v>43</v>
      </c>
      <c r="B53" s="517">
        <v>8</v>
      </c>
      <c r="C53" s="539" t="str">
        <f>+'[6]CHẤM CÔNG'!$B16</f>
        <v>Thảo Phíc</v>
      </c>
      <c r="D53" s="547" t="s">
        <v>123</v>
      </c>
      <c r="E53" s="547" t="s">
        <v>123</v>
      </c>
      <c r="F53" s="547" t="s">
        <v>123</v>
      </c>
      <c r="G53" s="547" t="s">
        <v>123</v>
      </c>
      <c r="H53" s="547" t="s">
        <v>123</v>
      </c>
      <c r="I53" s="1096" t="s">
        <v>123</v>
      </c>
      <c r="J53" s="547" t="s">
        <v>122</v>
      </c>
      <c r="K53" s="547" t="s">
        <v>123</v>
      </c>
      <c r="L53" s="547" t="s">
        <v>123</v>
      </c>
      <c r="M53" s="548" t="s">
        <v>123</v>
      </c>
      <c r="N53" s="547" t="s">
        <v>123</v>
      </c>
      <c r="O53" s="547" t="s">
        <v>123</v>
      </c>
      <c r="P53" s="547" t="s">
        <v>123</v>
      </c>
      <c r="Q53" s="547" t="s">
        <v>486</v>
      </c>
      <c r="R53" s="547" t="s">
        <v>123</v>
      </c>
      <c r="S53" s="547" t="s">
        <v>123</v>
      </c>
      <c r="T53" s="547" t="s">
        <v>123</v>
      </c>
      <c r="U53" s="547" t="s">
        <v>123</v>
      </c>
      <c r="V53" s="547" t="s">
        <v>123</v>
      </c>
      <c r="W53" s="547" t="s">
        <v>123</v>
      </c>
      <c r="X53" s="547" t="s">
        <v>122</v>
      </c>
      <c r="Y53" s="547" t="s">
        <v>123</v>
      </c>
      <c r="Z53" s="547" t="s">
        <v>352</v>
      </c>
      <c r="AA53" s="547" t="s">
        <v>123</v>
      </c>
      <c r="AB53" s="547" t="s">
        <v>123</v>
      </c>
      <c r="AC53" s="547" t="s">
        <v>123</v>
      </c>
      <c r="AD53" s="547" t="s">
        <v>123</v>
      </c>
      <c r="AE53" s="547" t="s">
        <v>122</v>
      </c>
      <c r="AF53" s="547" t="s">
        <v>123</v>
      </c>
      <c r="AG53" s="547" t="s">
        <v>123</v>
      </c>
      <c r="AH53" s="547" t="s">
        <v>123</v>
      </c>
      <c r="AI53" s="543">
        <f t="shared" si="0"/>
        <v>26</v>
      </c>
      <c r="AJ53" s="543">
        <f t="shared" si="1"/>
        <v>3</v>
      </c>
      <c r="AK53" s="543">
        <f t="shared" si="2"/>
        <v>1</v>
      </c>
      <c r="AL53" s="543">
        <f t="shared" si="3"/>
        <v>1</v>
      </c>
      <c r="AM53" s="543">
        <f t="shared" si="4"/>
        <v>31</v>
      </c>
      <c r="AN53" s="544"/>
      <c r="AO53" s="545"/>
    </row>
    <row r="54" spans="1:41" s="519" customFormat="1" ht="42" customHeight="1">
      <c r="A54" s="517">
        <v>44</v>
      </c>
      <c r="B54" s="517">
        <v>9</v>
      </c>
      <c r="C54" s="539" t="str">
        <f>+'[6]CHẤM CÔNG'!$B17</f>
        <v>Nàng Chai</v>
      </c>
      <c r="D54" s="547" t="s">
        <v>123</v>
      </c>
      <c r="E54" s="547" t="s">
        <v>123</v>
      </c>
      <c r="F54" s="547" t="s">
        <v>123</v>
      </c>
      <c r="G54" s="547" t="s">
        <v>123</v>
      </c>
      <c r="H54" s="547" t="s">
        <v>123</v>
      </c>
      <c r="I54" s="1096" t="s">
        <v>123</v>
      </c>
      <c r="J54" s="547" t="s">
        <v>122</v>
      </c>
      <c r="K54" s="547" t="s">
        <v>123</v>
      </c>
      <c r="L54" s="547" t="s">
        <v>123</v>
      </c>
      <c r="M54" s="548" t="s">
        <v>123</v>
      </c>
      <c r="N54" s="547" t="s">
        <v>123</v>
      </c>
      <c r="O54" s="547" t="s">
        <v>123</v>
      </c>
      <c r="P54" s="547" t="s">
        <v>123</v>
      </c>
      <c r="Q54" s="547" t="s">
        <v>486</v>
      </c>
      <c r="R54" s="547" t="s">
        <v>123</v>
      </c>
      <c r="S54" s="547" t="s">
        <v>123</v>
      </c>
      <c r="T54" s="547" t="s">
        <v>123</v>
      </c>
      <c r="U54" s="547" t="s">
        <v>123</v>
      </c>
      <c r="V54" s="547" t="s">
        <v>123</v>
      </c>
      <c r="W54" s="547" t="s">
        <v>123</v>
      </c>
      <c r="X54" s="547" t="s">
        <v>122</v>
      </c>
      <c r="Y54" s="547" t="s">
        <v>123</v>
      </c>
      <c r="Z54" s="547" t="s">
        <v>352</v>
      </c>
      <c r="AA54" s="547" t="s">
        <v>123</v>
      </c>
      <c r="AB54" s="547" t="s">
        <v>123</v>
      </c>
      <c r="AC54" s="547" t="s">
        <v>123</v>
      </c>
      <c r="AD54" s="547" t="s">
        <v>123</v>
      </c>
      <c r="AE54" s="547" t="s">
        <v>122</v>
      </c>
      <c r="AF54" s="547" t="s">
        <v>123</v>
      </c>
      <c r="AG54" s="547" t="s">
        <v>123</v>
      </c>
      <c r="AH54" s="547" t="s">
        <v>123</v>
      </c>
      <c r="AI54" s="543">
        <f t="shared" si="0"/>
        <v>26</v>
      </c>
      <c r="AJ54" s="543">
        <f t="shared" si="1"/>
        <v>3</v>
      </c>
      <c r="AK54" s="543">
        <f t="shared" si="2"/>
        <v>1</v>
      </c>
      <c r="AL54" s="543">
        <f t="shared" si="3"/>
        <v>1</v>
      </c>
      <c r="AM54" s="543">
        <f t="shared" si="4"/>
        <v>31</v>
      </c>
      <c r="AN54" s="544"/>
      <c r="AO54" s="545"/>
    </row>
    <row r="55" spans="1:41" s="519" customFormat="1" ht="42" customHeight="1">
      <c r="A55" s="517">
        <v>45</v>
      </c>
      <c r="B55" s="517">
        <v>10</v>
      </c>
      <c r="C55" s="539" t="str">
        <f>+'[6]CHẤM CÔNG'!$B18</f>
        <v>Thảo Viêng</v>
      </c>
      <c r="D55" s="547" t="s">
        <v>123</v>
      </c>
      <c r="E55" s="547" t="s">
        <v>123</v>
      </c>
      <c r="F55" s="547" t="s">
        <v>123</v>
      </c>
      <c r="G55" s="547" t="s">
        <v>123</v>
      </c>
      <c r="H55" s="547" t="s">
        <v>123</v>
      </c>
      <c r="I55" s="1096" t="s">
        <v>123</v>
      </c>
      <c r="J55" s="547" t="s">
        <v>122</v>
      </c>
      <c r="K55" s="547" t="s">
        <v>123</v>
      </c>
      <c r="L55" s="547" t="s">
        <v>123</v>
      </c>
      <c r="M55" s="548" t="s">
        <v>123</v>
      </c>
      <c r="N55" s="547" t="s">
        <v>123</v>
      </c>
      <c r="O55" s="547" t="s">
        <v>123</v>
      </c>
      <c r="P55" s="547" t="s">
        <v>123</v>
      </c>
      <c r="Q55" s="547" t="s">
        <v>486</v>
      </c>
      <c r="R55" s="547" t="s">
        <v>123</v>
      </c>
      <c r="S55" s="547" t="s">
        <v>123</v>
      </c>
      <c r="T55" s="547" t="s">
        <v>123</v>
      </c>
      <c r="U55" s="547" t="s">
        <v>123</v>
      </c>
      <c r="V55" s="547" t="s">
        <v>123</v>
      </c>
      <c r="W55" s="547" t="s">
        <v>123</v>
      </c>
      <c r="X55" s="547" t="s">
        <v>122</v>
      </c>
      <c r="Y55" s="547" t="s">
        <v>123</v>
      </c>
      <c r="Z55" s="547" t="s">
        <v>352</v>
      </c>
      <c r="AA55" s="547" t="s">
        <v>123</v>
      </c>
      <c r="AB55" s="547" t="s">
        <v>123</v>
      </c>
      <c r="AC55" s="547" t="s">
        <v>123</v>
      </c>
      <c r="AD55" s="547" t="s">
        <v>123</v>
      </c>
      <c r="AE55" s="547" t="s">
        <v>122</v>
      </c>
      <c r="AF55" s="547" t="s">
        <v>123</v>
      </c>
      <c r="AG55" s="547" t="s">
        <v>123</v>
      </c>
      <c r="AH55" s="547" t="s">
        <v>123</v>
      </c>
      <c r="AI55" s="543">
        <f t="shared" si="0"/>
        <v>26</v>
      </c>
      <c r="AJ55" s="543">
        <f t="shared" si="1"/>
        <v>3</v>
      </c>
      <c r="AK55" s="543">
        <f t="shared" si="2"/>
        <v>1</v>
      </c>
      <c r="AL55" s="543">
        <f t="shared" si="3"/>
        <v>1</v>
      </c>
      <c r="AM55" s="543">
        <f t="shared" si="4"/>
        <v>31</v>
      </c>
      <c r="AN55" s="544"/>
      <c r="AO55" s="545"/>
    </row>
    <row r="56" spans="1:41" s="519" customFormat="1" ht="42" customHeight="1">
      <c r="A56" s="517">
        <v>46</v>
      </c>
      <c r="B56" s="517">
        <v>11</v>
      </c>
      <c r="C56" s="539" t="str">
        <f>+'[6]CHẤM CÔNG'!$B19</f>
        <v>Thảo Xượm</v>
      </c>
      <c r="D56" s="547" t="s">
        <v>123</v>
      </c>
      <c r="E56" s="547" t="s">
        <v>123</v>
      </c>
      <c r="F56" s="547" t="s">
        <v>123</v>
      </c>
      <c r="G56" s="547" t="s">
        <v>123</v>
      </c>
      <c r="H56" s="547" t="s">
        <v>123</v>
      </c>
      <c r="I56" s="1096" t="s">
        <v>123</v>
      </c>
      <c r="J56" s="547" t="s">
        <v>122</v>
      </c>
      <c r="K56" s="547" t="s">
        <v>123</v>
      </c>
      <c r="L56" s="547" t="s">
        <v>123</v>
      </c>
      <c r="M56" s="548" t="s">
        <v>123</v>
      </c>
      <c r="N56" s="547" t="s">
        <v>123</v>
      </c>
      <c r="O56" s="547" t="s">
        <v>123</v>
      </c>
      <c r="P56" s="547" t="s">
        <v>123</v>
      </c>
      <c r="Q56" s="547" t="s">
        <v>486</v>
      </c>
      <c r="R56" s="547" t="s">
        <v>123</v>
      </c>
      <c r="S56" s="547" t="s">
        <v>123</v>
      </c>
      <c r="T56" s="547" t="s">
        <v>123</v>
      </c>
      <c r="U56" s="547" t="s">
        <v>123</v>
      </c>
      <c r="V56" s="547" t="s">
        <v>123</v>
      </c>
      <c r="W56" s="547" t="s">
        <v>123</v>
      </c>
      <c r="X56" s="547" t="s">
        <v>122</v>
      </c>
      <c r="Y56" s="547" t="s">
        <v>123</v>
      </c>
      <c r="Z56" s="547" t="s">
        <v>352</v>
      </c>
      <c r="AA56" s="547" t="s">
        <v>123</v>
      </c>
      <c r="AB56" s="547" t="s">
        <v>123</v>
      </c>
      <c r="AC56" s="547" t="s">
        <v>123</v>
      </c>
      <c r="AD56" s="547" t="s">
        <v>123</v>
      </c>
      <c r="AE56" s="547" t="s">
        <v>122</v>
      </c>
      <c r="AF56" s="547" t="s">
        <v>123</v>
      </c>
      <c r="AG56" s="547" t="s">
        <v>123</v>
      </c>
      <c r="AH56" s="547" t="s">
        <v>123</v>
      </c>
      <c r="AI56" s="543">
        <f t="shared" si="0"/>
        <v>26</v>
      </c>
      <c r="AJ56" s="543">
        <f t="shared" si="1"/>
        <v>3</v>
      </c>
      <c r="AK56" s="543">
        <f t="shared" si="2"/>
        <v>1</v>
      </c>
      <c r="AL56" s="543">
        <f t="shared" si="3"/>
        <v>1</v>
      </c>
      <c r="AM56" s="543">
        <f t="shared" si="4"/>
        <v>31</v>
      </c>
      <c r="AN56" s="544"/>
      <c r="AO56" s="545"/>
    </row>
    <row r="57" spans="1:41" s="1212" customFormat="1" ht="42" customHeight="1">
      <c r="A57" s="1206">
        <v>47</v>
      </c>
      <c r="B57" s="1206">
        <v>12</v>
      </c>
      <c r="C57" s="1207" t="str">
        <f>+'[6]CHẤM CÔNG'!$B20</f>
        <v>Thảo Tích</v>
      </c>
      <c r="D57" s="1208" t="s">
        <v>123</v>
      </c>
      <c r="E57" s="1208" t="s">
        <v>123</v>
      </c>
      <c r="F57" s="1208" t="s">
        <v>123</v>
      </c>
      <c r="G57" s="1208" t="s">
        <v>123</v>
      </c>
      <c r="H57" s="1208" t="s">
        <v>123</v>
      </c>
      <c r="I57" s="1214" t="s">
        <v>123</v>
      </c>
      <c r="J57" s="1208" t="s">
        <v>122</v>
      </c>
      <c r="K57" s="1208" t="s">
        <v>123</v>
      </c>
      <c r="L57" s="1208" t="s">
        <v>123</v>
      </c>
      <c r="M57" s="1208" t="s">
        <v>123</v>
      </c>
      <c r="N57" s="1208" t="s">
        <v>123</v>
      </c>
      <c r="O57" s="1208" t="s">
        <v>123</v>
      </c>
      <c r="P57" s="1208" t="s">
        <v>123</v>
      </c>
      <c r="Q57" s="1208" t="s">
        <v>486</v>
      </c>
      <c r="R57" s="1208" t="s">
        <v>123</v>
      </c>
      <c r="S57" s="1208" t="s">
        <v>123</v>
      </c>
      <c r="T57" s="1208" t="s">
        <v>123</v>
      </c>
      <c r="U57" s="1208" t="s">
        <v>123</v>
      </c>
      <c r="V57" s="1208" t="s">
        <v>123</v>
      </c>
      <c r="W57" s="1208" t="s">
        <v>123</v>
      </c>
      <c r="X57" s="1208" t="s">
        <v>122</v>
      </c>
      <c r="Y57" s="1208" t="s">
        <v>123</v>
      </c>
      <c r="Z57" s="1208" t="s">
        <v>352</v>
      </c>
      <c r="AA57" s="1208" t="s">
        <v>123</v>
      </c>
      <c r="AB57" s="1208" t="s">
        <v>123</v>
      </c>
      <c r="AC57" s="1208" t="s">
        <v>123</v>
      </c>
      <c r="AD57" s="1208" t="s">
        <v>123</v>
      </c>
      <c r="AE57" s="1208" t="s">
        <v>122</v>
      </c>
      <c r="AF57" s="1208" t="s">
        <v>123</v>
      </c>
      <c r="AG57" s="1208" t="s">
        <v>123</v>
      </c>
      <c r="AH57" s="1208" t="s">
        <v>123</v>
      </c>
      <c r="AI57" s="1209">
        <f t="shared" si="0"/>
        <v>26</v>
      </c>
      <c r="AJ57" s="1209">
        <f t="shared" si="1"/>
        <v>3</v>
      </c>
      <c r="AK57" s="1209">
        <f t="shared" si="2"/>
        <v>1</v>
      </c>
      <c r="AL57" s="1209">
        <f t="shared" si="3"/>
        <v>1</v>
      </c>
      <c r="AM57" s="1209">
        <f t="shared" si="4"/>
        <v>31</v>
      </c>
      <c r="AN57" s="1210"/>
      <c r="AO57" s="1211"/>
    </row>
    <row r="58" spans="1:41" s="1212" customFormat="1" ht="42" customHeight="1">
      <c r="A58" s="1206">
        <v>48</v>
      </c>
      <c r="B58" s="1206">
        <v>13</v>
      </c>
      <c r="C58" s="1207" t="str">
        <f>+'[6]CHẤM CÔNG'!$B21</f>
        <v>Nàng Thoong</v>
      </c>
      <c r="D58" s="1208" t="s">
        <v>123</v>
      </c>
      <c r="E58" s="1208" t="s">
        <v>123</v>
      </c>
      <c r="F58" s="1208" t="s">
        <v>123</v>
      </c>
      <c r="G58" s="1208" t="s">
        <v>123</v>
      </c>
      <c r="H58" s="1208" t="s">
        <v>123</v>
      </c>
      <c r="I58" s="1214" t="s">
        <v>123</v>
      </c>
      <c r="J58" s="1208" t="s">
        <v>122</v>
      </c>
      <c r="K58" s="1208" t="s">
        <v>123</v>
      </c>
      <c r="L58" s="1208" t="s">
        <v>123</v>
      </c>
      <c r="M58" s="1208" t="s">
        <v>123</v>
      </c>
      <c r="N58" s="1208" t="s">
        <v>123</v>
      </c>
      <c r="O58" s="1208" t="s">
        <v>123</v>
      </c>
      <c r="P58" s="1208" t="s">
        <v>123</v>
      </c>
      <c r="Q58" s="1208" t="s">
        <v>486</v>
      </c>
      <c r="R58" s="1208" t="s">
        <v>123</v>
      </c>
      <c r="S58" s="1208" t="s">
        <v>123</v>
      </c>
      <c r="T58" s="1208" t="s">
        <v>123</v>
      </c>
      <c r="U58" s="1208" t="s">
        <v>123</v>
      </c>
      <c r="V58" s="1208" t="s">
        <v>123</v>
      </c>
      <c r="W58" s="1208" t="s">
        <v>123</v>
      </c>
      <c r="X58" s="1208" t="s">
        <v>122</v>
      </c>
      <c r="Y58" s="1208" t="s">
        <v>123</v>
      </c>
      <c r="Z58" s="1208" t="s">
        <v>352</v>
      </c>
      <c r="AA58" s="1208" t="s">
        <v>123</v>
      </c>
      <c r="AB58" s="1208" t="s">
        <v>123</v>
      </c>
      <c r="AC58" s="1208" t="s">
        <v>123</v>
      </c>
      <c r="AD58" s="1208" t="s">
        <v>123</v>
      </c>
      <c r="AE58" s="1208" t="s">
        <v>122</v>
      </c>
      <c r="AF58" s="1208" t="s">
        <v>123</v>
      </c>
      <c r="AG58" s="1208" t="s">
        <v>123</v>
      </c>
      <c r="AH58" s="1208" t="s">
        <v>123</v>
      </c>
      <c r="AI58" s="1209">
        <f t="shared" si="0"/>
        <v>26</v>
      </c>
      <c r="AJ58" s="1209">
        <f t="shared" si="1"/>
        <v>3</v>
      </c>
      <c r="AK58" s="1209">
        <f t="shared" si="2"/>
        <v>1</v>
      </c>
      <c r="AL58" s="1209">
        <f t="shared" si="3"/>
        <v>1</v>
      </c>
      <c r="AM58" s="1209">
        <f t="shared" si="4"/>
        <v>31</v>
      </c>
      <c r="AN58" s="1210"/>
      <c r="AO58" s="1211"/>
    </row>
    <row r="59" spans="1:41" s="519" customFormat="1" ht="42" customHeight="1">
      <c r="A59" s="517">
        <v>49</v>
      </c>
      <c r="B59" s="517">
        <v>14</v>
      </c>
      <c r="C59" s="539" t="str">
        <f>+'[6]CHẤM CÔNG'!$B22</f>
        <v>Thảo Tý 2</v>
      </c>
      <c r="D59" s="547" t="s">
        <v>123</v>
      </c>
      <c r="E59" s="547" t="s">
        <v>123</v>
      </c>
      <c r="F59" s="547" t="s">
        <v>123</v>
      </c>
      <c r="G59" s="547" t="s">
        <v>123</v>
      </c>
      <c r="H59" s="547" t="s">
        <v>123</v>
      </c>
      <c r="I59" s="1096" t="s">
        <v>123</v>
      </c>
      <c r="J59" s="547" t="s">
        <v>122</v>
      </c>
      <c r="K59" s="547" t="s">
        <v>123</v>
      </c>
      <c r="L59" s="547" t="s">
        <v>123</v>
      </c>
      <c r="M59" s="548" t="s">
        <v>123</v>
      </c>
      <c r="N59" s="547" t="s">
        <v>123</v>
      </c>
      <c r="O59" s="547" t="s">
        <v>123</v>
      </c>
      <c r="P59" s="547" t="s">
        <v>123</v>
      </c>
      <c r="Q59" s="547" t="s">
        <v>486</v>
      </c>
      <c r="R59" s="547" t="s">
        <v>123</v>
      </c>
      <c r="S59" s="547" t="s">
        <v>123</v>
      </c>
      <c r="T59" s="547" t="s">
        <v>123</v>
      </c>
      <c r="U59" s="547" t="s">
        <v>123</v>
      </c>
      <c r="V59" s="547" t="s">
        <v>123</v>
      </c>
      <c r="W59" s="547" t="s">
        <v>123</v>
      </c>
      <c r="X59" s="547" t="s">
        <v>122</v>
      </c>
      <c r="Y59" s="547" t="s">
        <v>123</v>
      </c>
      <c r="Z59" s="547" t="s">
        <v>352</v>
      </c>
      <c r="AA59" s="547" t="s">
        <v>123</v>
      </c>
      <c r="AB59" s="547" t="s">
        <v>123</v>
      </c>
      <c r="AC59" s="547" t="s">
        <v>123</v>
      </c>
      <c r="AD59" s="547" t="s">
        <v>123</v>
      </c>
      <c r="AE59" s="547" t="s">
        <v>122</v>
      </c>
      <c r="AF59" s="547" t="s">
        <v>123</v>
      </c>
      <c r="AG59" s="547" t="s">
        <v>123</v>
      </c>
      <c r="AH59" s="547" t="s">
        <v>123</v>
      </c>
      <c r="AI59" s="543">
        <f t="shared" si="0"/>
        <v>26</v>
      </c>
      <c r="AJ59" s="543">
        <f t="shared" si="1"/>
        <v>3</v>
      </c>
      <c r="AK59" s="543">
        <f t="shared" si="2"/>
        <v>1</v>
      </c>
      <c r="AL59" s="543">
        <f t="shared" si="3"/>
        <v>1</v>
      </c>
      <c r="AM59" s="543">
        <f t="shared" si="4"/>
        <v>31</v>
      </c>
      <c r="AN59" s="544"/>
      <c r="AO59" s="545"/>
    </row>
    <row r="60" spans="1:41" s="1212" customFormat="1" ht="42" customHeight="1">
      <c r="A60" s="1206">
        <v>50</v>
      </c>
      <c r="B60" s="1206">
        <v>15</v>
      </c>
      <c r="C60" s="1207" t="str">
        <f>+'[6]CHẤM CÔNG'!$B23</f>
        <v>Nàng Mui</v>
      </c>
      <c r="D60" s="1208" t="s">
        <v>123</v>
      </c>
      <c r="E60" s="1208" t="s">
        <v>123</v>
      </c>
      <c r="F60" s="1208" t="s">
        <v>123</v>
      </c>
      <c r="G60" s="1208" t="s">
        <v>123</v>
      </c>
      <c r="H60" s="1208" t="s">
        <v>123</v>
      </c>
      <c r="I60" s="1214" t="s">
        <v>123</v>
      </c>
      <c r="J60" s="1208" t="s">
        <v>122</v>
      </c>
      <c r="K60" s="1208" t="s">
        <v>123</v>
      </c>
      <c r="L60" s="1208" t="s">
        <v>123</v>
      </c>
      <c r="M60" s="1208" t="s">
        <v>123</v>
      </c>
      <c r="N60" s="1208" t="s">
        <v>123</v>
      </c>
      <c r="O60" s="1208" t="s">
        <v>123</v>
      </c>
      <c r="P60" s="1208" t="s">
        <v>123</v>
      </c>
      <c r="Q60" s="1208" t="s">
        <v>486</v>
      </c>
      <c r="R60" s="1208" t="s">
        <v>123</v>
      </c>
      <c r="S60" s="1208" t="s">
        <v>123</v>
      </c>
      <c r="T60" s="1208" t="s">
        <v>123</v>
      </c>
      <c r="U60" s="1208" t="s">
        <v>123</v>
      </c>
      <c r="V60" s="1208" t="s">
        <v>123</v>
      </c>
      <c r="W60" s="1208" t="s">
        <v>123</v>
      </c>
      <c r="X60" s="1208" t="s">
        <v>122</v>
      </c>
      <c r="Y60" s="1208" t="s">
        <v>123</v>
      </c>
      <c r="Z60" s="1208" t="s">
        <v>352</v>
      </c>
      <c r="AA60" s="1208" t="s">
        <v>123</v>
      </c>
      <c r="AB60" s="1208" t="s">
        <v>123</v>
      </c>
      <c r="AC60" s="1208" t="s">
        <v>123</v>
      </c>
      <c r="AD60" s="1208" t="s">
        <v>123</v>
      </c>
      <c r="AE60" s="1208" t="s">
        <v>122</v>
      </c>
      <c r="AF60" s="1208" t="s">
        <v>123</v>
      </c>
      <c r="AG60" s="1208" t="s">
        <v>123</v>
      </c>
      <c r="AH60" s="1208" t="s">
        <v>123</v>
      </c>
      <c r="AI60" s="1209">
        <f t="shared" si="0"/>
        <v>26</v>
      </c>
      <c r="AJ60" s="1209">
        <f t="shared" si="1"/>
        <v>3</v>
      </c>
      <c r="AK60" s="1209">
        <f t="shared" si="2"/>
        <v>1</v>
      </c>
      <c r="AL60" s="1209">
        <f t="shared" si="3"/>
        <v>1</v>
      </c>
      <c r="AM60" s="1209">
        <f t="shared" si="4"/>
        <v>31</v>
      </c>
      <c r="AN60" s="1210"/>
      <c r="AO60" s="1211"/>
    </row>
    <row r="61" spans="1:41" s="1212" customFormat="1" ht="42" customHeight="1">
      <c r="A61" s="1206">
        <v>51</v>
      </c>
      <c r="B61" s="1206">
        <v>16</v>
      </c>
      <c r="C61" s="1207" t="str">
        <f>+'[6]CHẤM CÔNG'!$B24</f>
        <v>Thảo Xay Phôn</v>
      </c>
      <c r="D61" s="1208" t="s">
        <v>123</v>
      </c>
      <c r="E61" s="1208" t="s">
        <v>123</v>
      </c>
      <c r="F61" s="1208" t="s">
        <v>123</v>
      </c>
      <c r="G61" s="1208" t="s">
        <v>123</v>
      </c>
      <c r="H61" s="1208" t="s">
        <v>123</v>
      </c>
      <c r="I61" s="1214" t="s">
        <v>123</v>
      </c>
      <c r="J61" s="1208" t="s">
        <v>122</v>
      </c>
      <c r="K61" s="1208" t="s">
        <v>123</v>
      </c>
      <c r="L61" s="1208" t="s">
        <v>123</v>
      </c>
      <c r="M61" s="1208" t="s">
        <v>123</v>
      </c>
      <c r="N61" s="1208" t="s">
        <v>123</v>
      </c>
      <c r="O61" s="1208" t="s">
        <v>123</v>
      </c>
      <c r="P61" s="1208" t="s">
        <v>123</v>
      </c>
      <c r="Q61" s="1208" t="s">
        <v>486</v>
      </c>
      <c r="R61" s="1208" t="s">
        <v>123</v>
      </c>
      <c r="S61" s="1208" t="s">
        <v>123</v>
      </c>
      <c r="T61" s="1208" t="s">
        <v>123</v>
      </c>
      <c r="U61" s="1208" t="s">
        <v>123</v>
      </c>
      <c r="V61" s="1208" t="s">
        <v>123</v>
      </c>
      <c r="W61" s="1208" t="s">
        <v>123</v>
      </c>
      <c r="X61" s="1208" t="s">
        <v>122</v>
      </c>
      <c r="Y61" s="1208" t="s">
        <v>123</v>
      </c>
      <c r="Z61" s="1208" t="s">
        <v>352</v>
      </c>
      <c r="AA61" s="1208" t="s">
        <v>123</v>
      </c>
      <c r="AB61" s="1208" t="s">
        <v>123</v>
      </c>
      <c r="AC61" s="1208" t="s">
        <v>123</v>
      </c>
      <c r="AD61" s="1208" t="s">
        <v>123</v>
      </c>
      <c r="AE61" s="1208" t="s">
        <v>122</v>
      </c>
      <c r="AF61" s="1208" t="s">
        <v>123</v>
      </c>
      <c r="AG61" s="1208" t="s">
        <v>123</v>
      </c>
      <c r="AH61" s="1208" t="s">
        <v>123</v>
      </c>
      <c r="AI61" s="1209">
        <f t="shared" si="0"/>
        <v>26</v>
      </c>
      <c r="AJ61" s="1209">
        <f t="shared" si="1"/>
        <v>3</v>
      </c>
      <c r="AK61" s="1209">
        <f t="shared" si="2"/>
        <v>1</v>
      </c>
      <c r="AL61" s="1209">
        <f t="shared" si="3"/>
        <v>1</v>
      </c>
      <c r="AM61" s="1209">
        <f t="shared" si="4"/>
        <v>31</v>
      </c>
      <c r="AN61" s="1210"/>
      <c r="AO61" s="1211"/>
    </row>
    <row r="62" spans="1:41" s="519" customFormat="1" ht="42" customHeight="1">
      <c r="A62" s="517">
        <v>52</v>
      </c>
      <c r="B62" s="517">
        <v>17</v>
      </c>
      <c r="C62" s="539" t="str">
        <f>+'[6]CHẤM CÔNG'!$B25</f>
        <v>Ning Dung 2</v>
      </c>
      <c r="D62" s="547" t="s">
        <v>123</v>
      </c>
      <c r="E62" s="547" t="s">
        <v>123</v>
      </c>
      <c r="F62" s="547" t="s">
        <v>123</v>
      </c>
      <c r="G62" s="547" t="s">
        <v>123</v>
      </c>
      <c r="H62" s="547" t="s">
        <v>123</v>
      </c>
      <c r="I62" s="1096" t="s">
        <v>123</v>
      </c>
      <c r="J62" s="547" t="s">
        <v>122</v>
      </c>
      <c r="K62" s="547" t="s">
        <v>123</v>
      </c>
      <c r="L62" s="547" t="s">
        <v>123</v>
      </c>
      <c r="M62" s="548" t="s">
        <v>123</v>
      </c>
      <c r="N62" s="547" t="s">
        <v>123</v>
      </c>
      <c r="O62" s="547" t="s">
        <v>123</v>
      </c>
      <c r="P62" s="547" t="s">
        <v>123</v>
      </c>
      <c r="Q62" s="547" t="s">
        <v>486</v>
      </c>
      <c r="R62" s="547" t="s">
        <v>123</v>
      </c>
      <c r="S62" s="547" t="s">
        <v>123</v>
      </c>
      <c r="T62" s="547" t="s">
        <v>123</v>
      </c>
      <c r="U62" s="547" t="s">
        <v>123</v>
      </c>
      <c r="V62" s="547" t="s">
        <v>123</v>
      </c>
      <c r="W62" s="547" t="s">
        <v>123</v>
      </c>
      <c r="X62" s="547" t="s">
        <v>122</v>
      </c>
      <c r="Y62" s="547" t="s">
        <v>123</v>
      </c>
      <c r="Z62" s="547" t="s">
        <v>352</v>
      </c>
      <c r="AA62" s="547" t="s">
        <v>123</v>
      </c>
      <c r="AB62" s="547" t="s">
        <v>123</v>
      </c>
      <c r="AC62" s="547" t="s">
        <v>123</v>
      </c>
      <c r="AD62" s="547" t="s">
        <v>123</v>
      </c>
      <c r="AE62" s="547" t="s">
        <v>122</v>
      </c>
      <c r="AF62" s="547" t="s">
        <v>123</v>
      </c>
      <c r="AG62" s="547" t="s">
        <v>123</v>
      </c>
      <c r="AH62" s="547" t="s">
        <v>123</v>
      </c>
      <c r="AI62" s="543">
        <f t="shared" si="0"/>
        <v>26</v>
      </c>
      <c r="AJ62" s="543">
        <f t="shared" si="1"/>
        <v>3</v>
      </c>
      <c r="AK62" s="543">
        <f t="shared" si="2"/>
        <v>1</v>
      </c>
      <c r="AL62" s="543">
        <f t="shared" si="3"/>
        <v>1</v>
      </c>
      <c r="AM62" s="543">
        <f t="shared" si="4"/>
        <v>31</v>
      </c>
      <c r="AN62" s="544"/>
      <c r="AO62" s="545"/>
    </row>
    <row r="63" spans="1:41" s="519" customFormat="1" ht="42" customHeight="1">
      <c r="A63" s="517">
        <v>53</v>
      </c>
      <c r="B63" s="517">
        <v>18</v>
      </c>
      <c r="C63" s="539" t="str">
        <f>+'[6]CHẤM CÔNG'!$B26</f>
        <v>Ning Dung</v>
      </c>
      <c r="D63" s="547" t="s">
        <v>123</v>
      </c>
      <c r="E63" s="547" t="s">
        <v>123</v>
      </c>
      <c r="F63" s="547" t="s">
        <v>123</v>
      </c>
      <c r="G63" s="547" t="s">
        <v>123</v>
      </c>
      <c r="H63" s="547" t="s">
        <v>123</v>
      </c>
      <c r="I63" s="1096" t="s">
        <v>123</v>
      </c>
      <c r="J63" s="547" t="s">
        <v>122</v>
      </c>
      <c r="K63" s="547" t="s">
        <v>123</v>
      </c>
      <c r="L63" s="547" t="s">
        <v>123</v>
      </c>
      <c r="M63" s="548" t="s">
        <v>123</v>
      </c>
      <c r="N63" s="547" t="s">
        <v>123</v>
      </c>
      <c r="O63" s="547" t="s">
        <v>123</v>
      </c>
      <c r="P63" s="547" t="s">
        <v>123</v>
      </c>
      <c r="Q63" s="547" t="s">
        <v>486</v>
      </c>
      <c r="R63" s="547" t="s">
        <v>123</v>
      </c>
      <c r="S63" s="547" t="s">
        <v>123</v>
      </c>
      <c r="T63" s="547" t="s">
        <v>123</v>
      </c>
      <c r="U63" s="547" t="s">
        <v>123</v>
      </c>
      <c r="V63" s="547" t="s">
        <v>123</v>
      </c>
      <c r="W63" s="547" t="s">
        <v>123</v>
      </c>
      <c r="X63" s="547" t="s">
        <v>122</v>
      </c>
      <c r="Y63" s="547" t="s">
        <v>123</v>
      </c>
      <c r="Z63" s="547" t="s">
        <v>352</v>
      </c>
      <c r="AA63" s="547" t="s">
        <v>123</v>
      </c>
      <c r="AB63" s="547" t="s">
        <v>123</v>
      </c>
      <c r="AC63" s="547" t="s">
        <v>123</v>
      </c>
      <c r="AD63" s="547" t="s">
        <v>123</v>
      </c>
      <c r="AE63" s="547" t="s">
        <v>122</v>
      </c>
      <c r="AF63" s="547" t="s">
        <v>123</v>
      </c>
      <c r="AG63" s="547" t="s">
        <v>123</v>
      </c>
      <c r="AH63" s="547" t="s">
        <v>123</v>
      </c>
      <c r="AI63" s="543">
        <f t="shared" si="0"/>
        <v>26</v>
      </c>
      <c r="AJ63" s="543">
        <f t="shared" si="1"/>
        <v>3</v>
      </c>
      <c r="AK63" s="543">
        <f t="shared" si="2"/>
        <v>1</v>
      </c>
      <c r="AL63" s="543">
        <f t="shared" si="3"/>
        <v>1</v>
      </c>
      <c r="AM63" s="543">
        <f t="shared" si="4"/>
        <v>31</v>
      </c>
      <c r="AN63" s="544"/>
      <c r="AO63" s="545"/>
    </row>
    <row r="64" spans="1:41" s="519" customFormat="1" ht="42" customHeight="1">
      <c r="A64" s="517">
        <v>54</v>
      </c>
      <c r="B64" s="517">
        <v>19</v>
      </c>
      <c r="C64" s="539" t="str">
        <f>+'[6]CHẤM CÔNG'!$B27</f>
        <v>Mua Chăn</v>
      </c>
      <c r="D64" s="547" t="s">
        <v>123</v>
      </c>
      <c r="E64" s="547" t="s">
        <v>123</v>
      </c>
      <c r="F64" s="547" t="s">
        <v>123</v>
      </c>
      <c r="G64" s="547" t="s">
        <v>123</v>
      </c>
      <c r="H64" s="547" t="s">
        <v>123</v>
      </c>
      <c r="I64" s="1096" t="s">
        <v>123</v>
      </c>
      <c r="J64" s="547" t="s">
        <v>122</v>
      </c>
      <c r="K64" s="547" t="s">
        <v>123</v>
      </c>
      <c r="L64" s="547" t="s">
        <v>123</v>
      </c>
      <c r="M64" s="548" t="s">
        <v>123</v>
      </c>
      <c r="N64" s="547" t="s">
        <v>123</v>
      </c>
      <c r="O64" s="547" t="s">
        <v>123</v>
      </c>
      <c r="P64" s="547" t="s">
        <v>123</v>
      </c>
      <c r="Q64" s="547" t="s">
        <v>486</v>
      </c>
      <c r="R64" s="547" t="s">
        <v>123</v>
      </c>
      <c r="S64" s="547" t="s">
        <v>123</v>
      </c>
      <c r="T64" s="547" t="s">
        <v>123</v>
      </c>
      <c r="U64" s="547" t="s">
        <v>123</v>
      </c>
      <c r="V64" s="547" t="s">
        <v>123</v>
      </c>
      <c r="W64" s="547" t="s">
        <v>123</v>
      </c>
      <c r="X64" s="547" t="s">
        <v>122</v>
      </c>
      <c r="Y64" s="547" t="s">
        <v>123</v>
      </c>
      <c r="Z64" s="547" t="s">
        <v>352</v>
      </c>
      <c r="AA64" s="547" t="s">
        <v>123</v>
      </c>
      <c r="AB64" s="547" t="s">
        <v>123</v>
      </c>
      <c r="AC64" s="547" t="s">
        <v>123</v>
      </c>
      <c r="AD64" s="547" t="s">
        <v>123</v>
      </c>
      <c r="AE64" s="547" t="s">
        <v>122</v>
      </c>
      <c r="AF64" s="547" t="s">
        <v>123</v>
      </c>
      <c r="AG64" s="547" t="s">
        <v>123</v>
      </c>
      <c r="AH64" s="547" t="s">
        <v>123</v>
      </c>
      <c r="AI64" s="543">
        <f t="shared" si="0"/>
        <v>26</v>
      </c>
      <c r="AJ64" s="543">
        <f t="shared" si="1"/>
        <v>3</v>
      </c>
      <c r="AK64" s="543">
        <f t="shared" si="2"/>
        <v>1</v>
      </c>
      <c r="AL64" s="543">
        <f t="shared" si="3"/>
        <v>1</v>
      </c>
      <c r="AM64" s="543">
        <f t="shared" si="4"/>
        <v>31</v>
      </c>
      <c r="AN64" s="544"/>
      <c r="AO64" s="545"/>
    </row>
    <row r="65" spans="1:41" s="519" customFormat="1" ht="42" customHeight="1">
      <c r="A65" s="517">
        <v>55</v>
      </c>
      <c r="B65" s="517">
        <v>20</v>
      </c>
      <c r="C65" s="539" t="str">
        <f>+'[6]CHẤM CÔNG'!$B28</f>
        <v>Thảo Chọi 2</v>
      </c>
      <c r="D65" s="547" t="s">
        <v>123</v>
      </c>
      <c r="E65" s="547" t="s">
        <v>123</v>
      </c>
      <c r="F65" s="547" t="s">
        <v>123</v>
      </c>
      <c r="G65" s="547" t="s">
        <v>123</v>
      </c>
      <c r="H65" s="547" t="s">
        <v>123</v>
      </c>
      <c r="I65" s="1096" t="s">
        <v>123</v>
      </c>
      <c r="J65" s="547" t="s">
        <v>122</v>
      </c>
      <c r="K65" s="547" t="s">
        <v>123</v>
      </c>
      <c r="L65" s="547" t="s">
        <v>123</v>
      </c>
      <c r="M65" s="548" t="s">
        <v>123</v>
      </c>
      <c r="N65" s="547" t="s">
        <v>123</v>
      </c>
      <c r="O65" s="547" t="s">
        <v>123</v>
      </c>
      <c r="P65" s="547" t="s">
        <v>123</v>
      </c>
      <c r="Q65" s="547" t="s">
        <v>486</v>
      </c>
      <c r="R65" s="547" t="s">
        <v>123</v>
      </c>
      <c r="S65" s="547" t="s">
        <v>123</v>
      </c>
      <c r="T65" s="547" t="s">
        <v>123</v>
      </c>
      <c r="U65" s="547" t="s">
        <v>123</v>
      </c>
      <c r="V65" s="547" t="s">
        <v>123</v>
      </c>
      <c r="W65" s="547" t="s">
        <v>123</v>
      </c>
      <c r="X65" s="547" t="s">
        <v>122</v>
      </c>
      <c r="Y65" s="547" t="s">
        <v>123</v>
      </c>
      <c r="Z65" s="547" t="s">
        <v>352</v>
      </c>
      <c r="AA65" s="547" t="s">
        <v>123</v>
      </c>
      <c r="AB65" s="547" t="s">
        <v>123</v>
      </c>
      <c r="AC65" s="547" t="s">
        <v>123</v>
      </c>
      <c r="AD65" s="547" t="s">
        <v>123</v>
      </c>
      <c r="AE65" s="547" t="s">
        <v>122</v>
      </c>
      <c r="AF65" s="547" t="s">
        <v>123</v>
      </c>
      <c r="AG65" s="547" t="s">
        <v>123</v>
      </c>
      <c r="AH65" s="547" t="s">
        <v>123</v>
      </c>
      <c r="AI65" s="543">
        <f t="shared" si="0"/>
        <v>26</v>
      </c>
      <c r="AJ65" s="543">
        <f t="shared" si="1"/>
        <v>3</v>
      </c>
      <c r="AK65" s="543">
        <f t="shared" si="2"/>
        <v>1</v>
      </c>
      <c r="AL65" s="543">
        <f t="shared" si="3"/>
        <v>1</v>
      </c>
      <c r="AM65" s="543">
        <f t="shared" si="4"/>
        <v>31</v>
      </c>
      <c r="AN65" s="544"/>
      <c r="AO65" s="545"/>
    </row>
    <row r="66" spans="1:41" s="519" customFormat="1" ht="42" customHeight="1">
      <c r="A66" s="517">
        <v>56</v>
      </c>
      <c r="B66" s="517">
        <v>21</v>
      </c>
      <c r="C66" s="539" t="str">
        <f>+'[6]CHẤM CÔNG'!$B29</f>
        <v>Thảo Sing</v>
      </c>
      <c r="D66" s="547" t="s">
        <v>123</v>
      </c>
      <c r="E66" s="547" t="s">
        <v>123</v>
      </c>
      <c r="F66" s="547" t="s">
        <v>123</v>
      </c>
      <c r="G66" s="547" t="s">
        <v>123</v>
      </c>
      <c r="H66" s="547" t="s">
        <v>123</v>
      </c>
      <c r="I66" s="1096" t="s">
        <v>123</v>
      </c>
      <c r="J66" s="547" t="s">
        <v>122</v>
      </c>
      <c r="K66" s="547" t="s">
        <v>123</v>
      </c>
      <c r="L66" s="547" t="s">
        <v>123</v>
      </c>
      <c r="M66" s="548" t="s">
        <v>123</v>
      </c>
      <c r="N66" s="547" t="s">
        <v>123</v>
      </c>
      <c r="O66" s="547" t="s">
        <v>123</v>
      </c>
      <c r="P66" s="547" t="s">
        <v>123</v>
      </c>
      <c r="Q66" s="547" t="s">
        <v>486</v>
      </c>
      <c r="R66" s="547" t="s">
        <v>123</v>
      </c>
      <c r="S66" s="547" t="s">
        <v>123</v>
      </c>
      <c r="T66" s="547" t="s">
        <v>123</v>
      </c>
      <c r="U66" s="547" t="s">
        <v>123</v>
      </c>
      <c r="V66" s="547" t="s">
        <v>123</v>
      </c>
      <c r="W66" s="547" t="s">
        <v>123</v>
      </c>
      <c r="X66" s="547" t="s">
        <v>122</v>
      </c>
      <c r="Y66" s="547" t="s">
        <v>123</v>
      </c>
      <c r="Z66" s="547" t="s">
        <v>352</v>
      </c>
      <c r="AA66" s="547" t="s">
        <v>123</v>
      </c>
      <c r="AB66" s="547" t="s">
        <v>123</v>
      </c>
      <c r="AC66" s="547" t="s">
        <v>123</v>
      </c>
      <c r="AD66" s="547" t="s">
        <v>123</v>
      </c>
      <c r="AE66" s="547" t="s">
        <v>122</v>
      </c>
      <c r="AF66" s="547" t="s">
        <v>123</v>
      </c>
      <c r="AG66" s="547" t="s">
        <v>123</v>
      </c>
      <c r="AH66" s="547" t="s">
        <v>123</v>
      </c>
      <c r="AI66" s="543">
        <f t="shared" si="0"/>
        <v>26</v>
      </c>
      <c r="AJ66" s="543">
        <f t="shared" si="1"/>
        <v>3</v>
      </c>
      <c r="AK66" s="543">
        <f t="shared" si="2"/>
        <v>1</v>
      </c>
      <c r="AL66" s="543">
        <f t="shared" si="3"/>
        <v>1</v>
      </c>
      <c r="AM66" s="543">
        <f t="shared" si="4"/>
        <v>31</v>
      </c>
      <c r="AN66" s="544"/>
      <c r="AO66" s="545"/>
    </row>
    <row r="67" spans="1:41" s="519" customFormat="1" ht="42" customHeight="1">
      <c r="A67" s="517">
        <v>57</v>
      </c>
      <c r="B67" s="517">
        <v>22</v>
      </c>
      <c r="C67" s="539" t="str">
        <f>+'[6]CHẤM CÔNG'!$B30</f>
        <v>Thảo Phu</v>
      </c>
      <c r="D67" s="547" t="s">
        <v>123</v>
      </c>
      <c r="E67" s="547" t="s">
        <v>123</v>
      </c>
      <c r="F67" s="547" t="s">
        <v>123</v>
      </c>
      <c r="G67" s="547" t="s">
        <v>123</v>
      </c>
      <c r="H67" s="547" t="s">
        <v>123</v>
      </c>
      <c r="I67" s="1096" t="s">
        <v>123</v>
      </c>
      <c r="J67" s="547" t="s">
        <v>122</v>
      </c>
      <c r="K67" s="547" t="s">
        <v>123</v>
      </c>
      <c r="L67" s="547" t="s">
        <v>123</v>
      </c>
      <c r="M67" s="548" t="s">
        <v>123</v>
      </c>
      <c r="N67" s="547" t="s">
        <v>123</v>
      </c>
      <c r="O67" s="547" t="s">
        <v>123</v>
      </c>
      <c r="P67" s="547" t="s">
        <v>123</v>
      </c>
      <c r="Q67" s="547" t="s">
        <v>486</v>
      </c>
      <c r="R67" s="547" t="s">
        <v>123</v>
      </c>
      <c r="S67" s="547" t="s">
        <v>123</v>
      </c>
      <c r="T67" s="547" t="s">
        <v>123</v>
      </c>
      <c r="U67" s="547" t="s">
        <v>123</v>
      </c>
      <c r="V67" s="547" t="s">
        <v>123</v>
      </c>
      <c r="W67" s="547" t="s">
        <v>123</v>
      </c>
      <c r="X67" s="547" t="s">
        <v>122</v>
      </c>
      <c r="Y67" s="547" t="s">
        <v>123</v>
      </c>
      <c r="Z67" s="547" t="s">
        <v>352</v>
      </c>
      <c r="AA67" s="547" t="s">
        <v>123</v>
      </c>
      <c r="AB67" s="547" t="s">
        <v>123</v>
      </c>
      <c r="AC67" s="547" t="s">
        <v>123</v>
      </c>
      <c r="AD67" s="547" t="s">
        <v>123</v>
      </c>
      <c r="AE67" s="547" t="s">
        <v>122</v>
      </c>
      <c r="AF67" s="547" t="s">
        <v>123</v>
      </c>
      <c r="AG67" s="547" t="s">
        <v>123</v>
      </c>
      <c r="AH67" s="547" t="s">
        <v>123</v>
      </c>
      <c r="AI67" s="543">
        <f t="shared" si="0"/>
        <v>26</v>
      </c>
      <c r="AJ67" s="543">
        <f t="shared" si="1"/>
        <v>3</v>
      </c>
      <c r="AK67" s="543">
        <f t="shared" si="2"/>
        <v>1</v>
      </c>
      <c r="AL67" s="543">
        <f t="shared" si="3"/>
        <v>1</v>
      </c>
      <c r="AM67" s="543">
        <f t="shared" si="4"/>
        <v>31</v>
      </c>
      <c r="AN67" s="544"/>
      <c r="AO67" s="545"/>
    </row>
    <row r="68" spans="1:41" s="519" customFormat="1" ht="42" customHeight="1">
      <c r="A68" s="517">
        <v>58</v>
      </c>
      <c r="B68" s="517">
        <v>23</v>
      </c>
      <c r="C68" s="539" t="str">
        <f>+'[6]CHẤM CÔNG'!$B31</f>
        <v>Nàng Tịa</v>
      </c>
      <c r="D68" s="547" t="s">
        <v>123</v>
      </c>
      <c r="E68" s="547" t="s">
        <v>123</v>
      </c>
      <c r="F68" s="547" t="s">
        <v>123</v>
      </c>
      <c r="G68" s="547" t="s">
        <v>123</v>
      </c>
      <c r="H68" s="547" t="s">
        <v>123</v>
      </c>
      <c r="I68" s="1096" t="s">
        <v>123</v>
      </c>
      <c r="J68" s="547" t="s">
        <v>122</v>
      </c>
      <c r="K68" s="547" t="s">
        <v>123</v>
      </c>
      <c r="L68" s="547" t="s">
        <v>123</v>
      </c>
      <c r="M68" s="548" t="s">
        <v>123</v>
      </c>
      <c r="N68" s="547" t="s">
        <v>123</v>
      </c>
      <c r="O68" s="547" t="s">
        <v>123</v>
      </c>
      <c r="P68" s="547" t="s">
        <v>123</v>
      </c>
      <c r="Q68" s="547" t="s">
        <v>486</v>
      </c>
      <c r="R68" s="547" t="s">
        <v>123</v>
      </c>
      <c r="S68" s="547" t="s">
        <v>123</v>
      </c>
      <c r="T68" s="547" t="s">
        <v>123</v>
      </c>
      <c r="U68" s="547" t="s">
        <v>123</v>
      </c>
      <c r="V68" s="547" t="s">
        <v>123</v>
      </c>
      <c r="W68" s="547" t="s">
        <v>123</v>
      </c>
      <c r="X68" s="547" t="s">
        <v>122</v>
      </c>
      <c r="Y68" s="547" t="s">
        <v>123</v>
      </c>
      <c r="Z68" s="547" t="s">
        <v>352</v>
      </c>
      <c r="AA68" s="547" t="s">
        <v>123</v>
      </c>
      <c r="AB68" s="547" t="s">
        <v>123</v>
      </c>
      <c r="AC68" s="547" t="s">
        <v>123</v>
      </c>
      <c r="AD68" s="547" t="s">
        <v>123</v>
      </c>
      <c r="AE68" s="547" t="s">
        <v>122</v>
      </c>
      <c r="AF68" s="547" t="s">
        <v>123</v>
      </c>
      <c r="AG68" s="547" t="s">
        <v>123</v>
      </c>
      <c r="AH68" s="547" t="s">
        <v>123</v>
      </c>
      <c r="AI68" s="543">
        <f t="shared" si="0"/>
        <v>26</v>
      </c>
      <c r="AJ68" s="543">
        <f t="shared" si="1"/>
        <v>3</v>
      </c>
      <c r="AK68" s="543">
        <f t="shared" si="2"/>
        <v>1</v>
      </c>
      <c r="AL68" s="543">
        <f t="shared" si="3"/>
        <v>1</v>
      </c>
      <c r="AM68" s="543">
        <f t="shared" si="4"/>
        <v>31</v>
      </c>
      <c r="AN68" s="544"/>
      <c r="AO68" s="545"/>
    </row>
    <row r="69" spans="1:41" s="519" customFormat="1" ht="42" customHeight="1">
      <c r="A69" s="517">
        <v>59</v>
      </c>
      <c r="B69" s="517">
        <v>24</v>
      </c>
      <c r="C69" s="539" t="str">
        <f>+'[6]CHẤM CÔNG'!$B32</f>
        <v>Thảo Tý</v>
      </c>
      <c r="D69" s="547" t="s">
        <v>123</v>
      </c>
      <c r="E69" s="547" t="s">
        <v>123</v>
      </c>
      <c r="F69" s="547" t="s">
        <v>123</v>
      </c>
      <c r="G69" s="547" t="s">
        <v>123</v>
      </c>
      <c r="H69" s="547" t="s">
        <v>123</v>
      </c>
      <c r="I69" s="1096" t="s">
        <v>123</v>
      </c>
      <c r="J69" s="547" t="s">
        <v>122</v>
      </c>
      <c r="K69" s="547" t="s">
        <v>123</v>
      </c>
      <c r="L69" s="547" t="s">
        <v>123</v>
      </c>
      <c r="M69" s="548" t="s">
        <v>123</v>
      </c>
      <c r="N69" s="547" t="s">
        <v>123</v>
      </c>
      <c r="O69" s="547" t="s">
        <v>123</v>
      </c>
      <c r="P69" s="547" t="s">
        <v>123</v>
      </c>
      <c r="Q69" s="547" t="s">
        <v>486</v>
      </c>
      <c r="R69" s="547" t="s">
        <v>123</v>
      </c>
      <c r="S69" s="547" t="s">
        <v>123</v>
      </c>
      <c r="T69" s="547" t="s">
        <v>123</v>
      </c>
      <c r="U69" s="547" t="s">
        <v>123</v>
      </c>
      <c r="V69" s="547" t="s">
        <v>123</v>
      </c>
      <c r="W69" s="547" t="s">
        <v>123</v>
      </c>
      <c r="X69" s="547" t="s">
        <v>122</v>
      </c>
      <c r="Y69" s="547" t="s">
        <v>123</v>
      </c>
      <c r="Z69" s="547" t="s">
        <v>352</v>
      </c>
      <c r="AA69" s="547" t="s">
        <v>123</v>
      </c>
      <c r="AB69" s="547" t="s">
        <v>123</v>
      </c>
      <c r="AC69" s="547" t="s">
        <v>123</v>
      </c>
      <c r="AD69" s="547" t="s">
        <v>123</v>
      </c>
      <c r="AE69" s="547" t="s">
        <v>122</v>
      </c>
      <c r="AF69" s="547" t="s">
        <v>123</v>
      </c>
      <c r="AG69" s="547" t="s">
        <v>123</v>
      </c>
      <c r="AH69" s="547" t="s">
        <v>123</v>
      </c>
      <c r="AI69" s="543">
        <f t="shared" si="0"/>
        <v>26</v>
      </c>
      <c r="AJ69" s="543">
        <f t="shared" si="1"/>
        <v>3</v>
      </c>
      <c r="AK69" s="543">
        <f t="shared" si="2"/>
        <v>1</v>
      </c>
      <c r="AL69" s="543">
        <f t="shared" si="3"/>
        <v>1</v>
      </c>
      <c r="AM69" s="543">
        <f t="shared" si="4"/>
        <v>31</v>
      </c>
      <c r="AN69" s="544"/>
      <c r="AO69" s="545"/>
    </row>
    <row r="70" spans="1:41" s="519" customFormat="1" ht="42" customHeight="1">
      <c r="A70" s="517">
        <v>60</v>
      </c>
      <c r="B70" s="517">
        <v>25</v>
      </c>
      <c r="C70" s="539" t="str">
        <f>+'[6]CHẤM CÔNG'!$B33</f>
        <v>Nàng Lếc</v>
      </c>
      <c r="D70" s="547" t="s">
        <v>123</v>
      </c>
      <c r="E70" s="547" t="s">
        <v>123</v>
      </c>
      <c r="F70" s="547" t="s">
        <v>123</v>
      </c>
      <c r="G70" s="547" t="s">
        <v>123</v>
      </c>
      <c r="H70" s="547" t="s">
        <v>123</v>
      </c>
      <c r="I70" s="1096" t="s">
        <v>123</v>
      </c>
      <c r="J70" s="547" t="s">
        <v>122</v>
      </c>
      <c r="K70" s="547" t="s">
        <v>123</v>
      </c>
      <c r="L70" s="547" t="s">
        <v>123</v>
      </c>
      <c r="M70" s="548" t="s">
        <v>123</v>
      </c>
      <c r="N70" s="547" t="s">
        <v>123</v>
      </c>
      <c r="O70" s="547" t="s">
        <v>123</v>
      </c>
      <c r="P70" s="547" t="s">
        <v>123</v>
      </c>
      <c r="Q70" s="547" t="s">
        <v>486</v>
      </c>
      <c r="R70" s="547" t="s">
        <v>123</v>
      </c>
      <c r="S70" s="547" t="s">
        <v>123</v>
      </c>
      <c r="T70" s="547" t="s">
        <v>123</v>
      </c>
      <c r="U70" s="547" t="s">
        <v>123</v>
      </c>
      <c r="V70" s="547" t="s">
        <v>123</v>
      </c>
      <c r="W70" s="547" t="s">
        <v>123</v>
      </c>
      <c r="X70" s="547" t="s">
        <v>122</v>
      </c>
      <c r="Y70" s="547" t="s">
        <v>123</v>
      </c>
      <c r="Z70" s="547" t="s">
        <v>352</v>
      </c>
      <c r="AA70" s="547" t="s">
        <v>123</v>
      </c>
      <c r="AB70" s="547" t="s">
        <v>123</v>
      </c>
      <c r="AC70" s="547" t="s">
        <v>123</v>
      </c>
      <c r="AD70" s="547" t="s">
        <v>123</v>
      </c>
      <c r="AE70" s="547" t="s">
        <v>122</v>
      </c>
      <c r="AF70" s="547" t="s">
        <v>123</v>
      </c>
      <c r="AG70" s="547" t="s">
        <v>123</v>
      </c>
      <c r="AH70" s="547" t="s">
        <v>123</v>
      </c>
      <c r="AI70" s="543">
        <f t="shared" si="0"/>
        <v>26</v>
      </c>
      <c r="AJ70" s="543">
        <f t="shared" si="1"/>
        <v>3</v>
      </c>
      <c r="AK70" s="543">
        <f t="shared" si="2"/>
        <v>1</v>
      </c>
      <c r="AL70" s="543">
        <f t="shared" si="3"/>
        <v>1</v>
      </c>
      <c r="AM70" s="543">
        <f t="shared" si="4"/>
        <v>31</v>
      </c>
      <c r="AN70" s="544"/>
      <c r="AO70" s="545"/>
    </row>
    <row r="71" spans="1:41" s="519" customFormat="1" ht="42" customHeight="1">
      <c r="A71" s="517">
        <v>61</v>
      </c>
      <c r="B71" s="517">
        <v>26</v>
      </c>
      <c r="C71" s="539" t="str">
        <f>+'[6]CHẤM CÔNG'!$B34</f>
        <v>Nàng Veo</v>
      </c>
      <c r="D71" s="547" t="s">
        <v>123</v>
      </c>
      <c r="E71" s="547" t="s">
        <v>123</v>
      </c>
      <c r="F71" s="547" t="s">
        <v>123</v>
      </c>
      <c r="G71" s="547" t="s">
        <v>123</v>
      </c>
      <c r="H71" s="547" t="s">
        <v>123</v>
      </c>
      <c r="I71" s="1096" t="s">
        <v>123</v>
      </c>
      <c r="J71" s="547" t="s">
        <v>122</v>
      </c>
      <c r="K71" s="547" t="s">
        <v>123</v>
      </c>
      <c r="L71" s="547" t="s">
        <v>123</v>
      </c>
      <c r="M71" s="548" t="s">
        <v>123</v>
      </c>
      <c r="N71" s="547" t="s">
        <v>123</v>
      </c>
      <c r="O71" s="547" t="s">
        <v>123</v>
      </c>
      <c r="P71" s="547" t="s">
        <v>123</v>
      </c>
      <c r="Q71" s="547" t="s">
        <v>486</v>
      </c>
      <c r="R71" s="547" t="s">
        <v>123</v>
      </c>
      <c r="S71" s="547" t="s">
        <v>123</v>
      </c>
      <c r="T71" s="547" t="s">
        <v>123</v>
      </c>
      <c r="U71" s="547" t="s">
        <v>123</v>
      </c>
      <c r="V71" s="547" t="s">
        <v>123</v>
      </c>
      <c r="W71" s="547" t="s">
        <v>123</v>
      </c>
      <c r="X71" s="547" t="s">
        <v>122</v>
      </c>
      <c r="Y71" s="547" t="s">
        <v>123</v>
      </c>
      <c r="Z71" s="547" t="s">
        <v>352</v>
      </c>
      <c r="AA71" s="547" t="s">
        <v>123</v>
      </c>
      <c r="AB71" s="547" t="s">
        <v>123</v>
      </c>
      <c r="AC71" s="547" t="s">
        <v>123</v>
      </c>
      <c r="AD71" s="547" t="s">
        <v>123</v>
      </c>
      <c r="AE71" s="547" t="s">
        <v>122</v>
      </c>
      <c r="AF71" s="547" t="s">
        <v>123</v>
      </c>
      <c r="AG71" s="547" t="s">
        <v>123</v>
      </c>
      <c r="AH71" s="547" t="s">
        <v>123</v>
      </c>
      <c r="AI71" s="543">
        <f t="shared" si="0"/>
        <v>26</v>
      </c>
      <c r="AJ71" s="543">
        <f t="shared" si="1"/>
        <v>3</v>
      </c>
      <c r="AK71" s="543">
        <f t="shared" si="2"/>
        <v>1</v>
      </c>
      <c r="AL71" s="543">
        <f t="shared" si="3"/>
        <v>1</v>
      </c>
      <c r="AM71" s="543">
        <f t="shared" si="4"/>
        <v>31</v>
      </c>
      <c r="AN71" s="544"/>
      <c r="AO71" s="545"/>
    </row>
    <row r="72" spans="1:41" s="519" customFormat="1" ht="42" customHeight="1">
      <c r="A72" s="517">
        <v>62</v>
      </c>
      <c r="B72" s="517">
        <v>27</v>
      </c>
      <c r="C72" s="539" t="str">
        <f>+'[6]CHẤM CÔNG'!$B35</f>
        <v>Thảo Chọi</v>
      </c>
      <c r="D72" s="547" t="s">
        <v>123</v>
      </c>
      <c r="E72" s="547" t="s">
        <v>123</v>
      </c>
      <c r="F72" s="547" t="s">
        <v>123</v>
      </c>
      <c r="G72" s="547" t="s">
        <v>123</v>
      </c>
      <c r="H72" s="547" t="s">
        <v>123</v>
      </c>
      <c r="I72" s="1096" t="s">
        <v>123</v>
      </c>
      <c r="J72" s="547" t="s">
        <v>122</v>
      </c>
      <c r="K72" s="547" t="s">
        <v>123</v>
      </c>
      <c r="L72" s="547" t="s">
        <v>123</v>
      </c>
      <c r="M72" s="548" t="s">
        <v>123</v>
      </c>
      <c r="N72" s="547" t="s">
        <v>123</v>
      </c>
      <c r="O72" s="547" t="s">
        <v>123</v>
      </c>
      <c r="P72" s="547" t="s">
        <v>123</v>
      </c>
      <c r="Q72" s="547" t="s">
        <v>486</v>
      </c>
      <c r="R72" s="547" t="s">
        <v>123</v>
      </c>
      <c r="S72" s="547" t="s">
        <v>123</v>
      </c>
      <c r="T72" s="547" t="s">
        <v>123</v>
      </c>
      <c r="U72" s="547" t="s">
        <v>123</v>
      </c>
      <c r="V72" s="547" t="s">
        <v>123</v>
      </c>
      <c r="W72" s="547" t="s">
        <v>123</v>
      </c>
      <c r="X72" s="547" t="s">
        <v>122</v>
      </c>
      <c r="Y72" s="547" t="s">
        <v>123</v>
      </c>
      <c r="Z72" s="547" t="s">
        <v>352</v>
      </c>
      <c r="AA72" s="547" t="s">
        <v>123</v>
      </c>
      <c r="AB72" s="547" t="s">
        <v>123</v>
      </c>
      <c r="AC72" s="547" t="s">
        <v>123</v>
      </c>
      <c r="AD72" s="547" t="s">
        <v>123</v>
      </c>
      <c r="AE72" s="547" t="s">
        <v>122</v>
      </c>
      <c r="AF72" s="547" t="s">
        <v>123</v>
      </c>
      <c r="AG72" s="547" t="s">
        <v>123</v>
      </c>
      <c r="AH72" s="547" t="s">
        <v>123</v>
      </c>
      <c r="AI72" s="543">
        <f t="shared" si="0"/>
        <v>26</v>
      </c>
      <c r="AJ72" s="543">
        <f t="shared" si="1"/>
        <v>3</v>
      </c>
      <c r="AK72" s="543">
        <f t="shared" si="2"/>
        <v>1</v>
      </c>
      <c r="AL72" s="543">
        <f t="shared" si="3"/>
        <v>1</v>
      </c>
      <c r="AM72" s="543">
        <f t="shared" si="4"/>
        <v>31</v>
      </c>
      <c r="AN72" s="544"/>
      <c r="AO72" s="545"/>
    </row>
    <row r="73" spans="1:41" s="519" customFormat="1" ht="42" customHeight="1">
      <c r="A73" s="517">
        <v>63</v>
      </c>
      <c r="B73" s="517">
        <v>28</v>
      </c>
      <c r="C73" s="539" t="str">
        <f>+'[6]CHẤM CÔNG'!$B36</f>
        <v>Nàng Nọi</v>
      </c>
      <c r="D73" s="547" t="s">
        <v>123</v>
      </c>
      <c r="E73" s="547" t="s">
        <v>123</v>
      </c>
      <c r="F73" s="547" t="s">
        <v>123</v>
      </c>
      <c r="G73" s="547" t="s">
        <v>123</v>
      </c>
      <c r="H73" s="547" t="s">
        <v>123</v>
      </c>
      <c r="I73" s="1096" t="s">
        <v>123</v>
      </c>
      <c r="J73" s="547" t="s">
        <v>122</v>
      </c>
      <c r="K73" s="547" t="s">
        <v>123</v>
      </c>
      <c r="L73" s="547" t="s">
        <v>123</v>
      </c>
      <c r="M73" s="548" t="s">
        <v>123</v>
      </c>
      <c r="N73" s="547" t="s">
        <v>123</v>
      </c>
      <c r="O73" s="547" t="s">
        <v>123</v>
      </c>
      <c r="P73" s="547" t="s">
        <v>123</v>
      </c>
      <c r="Q73" s="547" t="s">
        <v>486</v>
      </c>
      <c r="R73" s="547" t="s">
        <v>123</v>
      </c>
      <c r="S73" s="547" t="s">
        <v>123</v>
      </c>
      <c r="T73" s="547" t="s">
        <v>123</v>
      </c>
      <c r="U73" s="547" t="s">
        <v>123</v>
      </c>
      <c r="V73" s="547" t="s">
        <v>123</v>
      </c>
      <c r="W73" s="547" t="s">
        <v>123</v>
      </c>
      <c r="X73" s="547" t="s">
        <v>122</v>
      </c>
      <c r="Y73" s="547" t="s">
        <v>123</v>
      </c>
      <c r="Z73" s="547" t="s">
        <v>352</v>
      </c>
      <c r="AA73" s="547" t="s">
        <v>123</v>
      </c>
      <c r="AB73" s="547" t="s">
        <v>123</v>
      </c>
      <c r="AC73" s="547" t="s">
        <v>123</v>
      </c>
      <c r="AD73" s="547" t="s">
        <v>123</v>
      </c>
      <c r="AE73" s="547" t="s">
        <v>122</v>
      </c>
      <c r="AF73" s="547" t="s">
        <v>123</v>
      </c>
      <c r="AG73" s="547" t="s">
        <v>123</v>
      </c>
      <c r="AH73" s="547" t="s">
        <v>123</v>
      </c>
      <c r="AI73" s="543">
        <f t="shared" si="0"/>
        <v>26</v>
      </c>
      <c r="AJ73" s="543">
        <f t="shared" si="1"/>
        <v>3</v>
      </c>
      <c r="AK73" s="543">
        <f t="shared" si="2"/>
        <v>1</v>
      </c>
      <c r="AL73" s="543">
        <f t="shared" si="3"/>
        <v>1</v>
      </c>
      <c r="AM73" s="543">
        <f t="shared" si="4"/>
        <v>31</v>
      </c>
      <c r="AN73" s="544"/>
      <c r="AO73" s="545"/>
    </row>
    <row r="74" spans="1:41" s="519" customFormat="1" ht="42" customHeight="1">
      <c r="A74" s="517">
        <v>64</v>
      </c>
      <c r="B74" s="517">
        <v>29</v>
      </c>
      <c r="C74" s="539" t="str">
        <f>+'[6]CHẤM CÔNG'!$B37</f>
        <v>Thảo Uổn</v>
      </c>
      <c r="D74" s="547" t="s">
        <v>123</v>
      </c>
      <c r="E74" s="547" t="s">
        <v>123</v>
      </c>
      <c r="F74" s="547" t="s">
        <v>123</v>
      </c>
      <c r="G74" s="547" t="s">
        <v>123</v>
      </c>
      <c r="H74" s="547" t="s">
        <v>123</v>
      </c>
      <c r="I74" s="1096" t="s">
        <v>123</v>
      </c>
      <c r="J74" s="547" t="s">
        <v>122</v>
      </c>
      <c r="K74" s="547" t="s">
        <v>123</v>
      </c>
      <c r="L74" s="547" t="s">
        <v>123</v>
      </c>
      <c r="M74" s="548" t="s">
        <v>123</v>
      </c>
      <c r="N74" s="547" t="s">
        <v>123</v>
      </c>
      <c r="O74" s="547" t="s">
        <v>123</v>
      </c>
      <c r="P74" s="547" t="s">
        <v>123</v>
      </c>
      <c r="Q74" s="547" t="s">
        <v>486</v>
      </c>
      <c r="R74" s="547" t="s">
        <v>123</v>
      </c>
      <c r="S74" s="547" t="s">
        <v>123</v>
      </c>
      <c r="T74" s="547" t="s">
        <v>123</v>
      </c>
      <c r="U74" s="547" t="s">
        <v>123</v>
      </c>
      <c r="V74" s="547" t="s">
        <v>123</v>
      </c>
      <c r="W74" s="547" t="s">
        <v>123</v>
      </c>
      <c r="X74" s="547" t="s">
        <v>122</v>
      </c>
      <c r="Y74" s="547" t="s">
        <v>123</v>
      </c>
      <c r="Z74" s="547" t="s">
        <v>352</v>
      </c>
      <c r="AA74" s="547" t="s">
        <v>123</v>
      </c>
      <c r="AB74" s="547" t="s">
        <v>123</v>
      </c>
      <c r="AC74" s="547" t="s">
        <v>123</v>
      </c>
      <c r="AD74" s="547" t="s">
        <v>123</v>
      </c>
      <c r="AE74" s="547" t="s">
        <v>122</v>
      </c>
      <c r="AF74" s="547" t="s">
        <v>123</v>
      </c>
      <c r="AG74" s="547" t="s">
        <v>123</v>
      </c>
      <c r="AH74" s="547" t="s">
        <v>123</v>
      </c>
      <c r="AI74" s="543">
        <f t="shared" si="0"/>
        <v>26</v>
      </c>
      <c r="AJ74" s="543">
        <f t="shared" si="1"/>
        <v>3</v>
      </c>
      <c r="AK74" s="543">
        <f t="shared" si="2"/>
        <v>1</v>
      </c>
      <c r="AL74" s="543">
        <f t="shared" si="3"/>
        <v>1</v>
      </c>
      <c r="AM74" s="543">
        <f t="shared" si="4"/>
        <v>31</v>
      </c>
      <c r="AN74" s="544"/>
      <c r="AO74" s="545"/>
    </row>
    <row r="75" spans="1:41" s="519" customFormat="1" ht="42" customHeight="1">
      <c r="A75" s="517">
        <v>65</v>
      </c>
      <c r="B75" s="517">
        <v>30</v>
      </c>
      <c r="C75" s="539" t="str">
        <f>+'[6]CHẤM CÔNG'!$B38</f>
        <v>Nàng Văn</v>
      </c>
      <c r="D75" s="547" t="s">
        <v>123</v>
      </c>
      <c r="E75" s="547" t="s">
        <v>123</v>
      </c>
      <c r="F75" s="547" t="s">
        <v>123</v>
      </c>
      <c r="G75" s="547" t="s">
        <v>123</v>
      </c>
      <c r="H75" s="547" t="s">
        <v>123</v>
      </c>
      <c r="I75" s="1096" t="s">
        <v>123</v>
      </c>
      <c r="J75" s="547" t="s">
        <v>122</v>
      </c>
      <c r="K75" s="547" t="s">
        <v>123</v>
      </c>
      <c r="L75" s="547" t="s">
        <v>123</v>
      </c>
      <c r="M75" s="548" t="s">
        <v>123</v>
      </c>
      <c r="N75" s="547" t="s">
        <v>123</v>
      </c>
      <c r="O75" s="547" t="s">
        <v>123</v>
      </c>
      <c r="P75" s="547" t="s">
        <v>123</v>
      </c>
      <c r="Q75" s="547" t="s">
        <v>486</v>
      </c>
      <c r="R75" s="547" t="s">
        <v>123</v>
      </c>
      <c r="S75" s="547" t="s">
        <v>123</v>
      </c>
      <c r="T75" s="547" t="s">
        <v>123</v>
      </c>
      <c r="U75" s="547" t="s">
        <v>123</v>
      </c>
      <c r="V75" s="547" t="s">
        <v>123</v>
      </c>
      <c r="W75" s="547" t="s">
        <v>123</v>
      </c>
      <c r="X75" s="547" t="s">
        <v>122</v>
      </c>
      <c r="Y75" s="547" t="s">
        <v>123</v>
      </c>
      <c r="Z75" s="547" t="s">
        <v>352</v>
      </c>
      <c r="AA75" s="547" t="s">
        <v>123</v>
      </c>
      <c r="AB75" s="547" t="s">
        <v>123</v>
      </c>
      <c r="AC75" s="547" t="s">
        <v>123</v>
      </c>
      <c r="AD75" s="547" t="s">
        <v>123</v>
      </c>
      <c r="AE75" s="547" t="s">
        <v>122</v>
      </c>
      <c r="AF75" s="547" t="s">
        <v>123</v>
      </c>
      <c r="AG75" s="547" t="s">
        <v>123</v>
      </c>
      <c r="AH75" s="547" t="s">
        <v>123</v>
      </c>
      <c r="AI75" s="543">
        <f t="shared" si="0"/>
        <v>26</v>
      </c>
      <c r="AJ75" s="543">
        <f t="shared" si="1"/>
        <v>3</v>
      </c>
      <c r="AK75" s="543">
        <f t="shared" si="2"/>
        <v>1</v>
      </c>
      <c r="AL75" s="543">
        <f t="shared" si="3"/>
        <v>1</v>
      </c>
      <c r="AM75" s="543">
        <f t="shared" si="4"/>
        <v>31</v>
      </c>
      <c r="AN75" s="544"/>
      <c r="AO75" s="545"/>
    </row>
    <row r="76" spans="1:41" s="519" customFormat="1" ht="42" customHeight="1">
      <c r="A76" s="517">
        <v>66</v>
      </c>
      <c r="B76" s="517">
        <v>31</v>
      </c>
      <c r="C76" s="539" t="str">
        <f>+'[6]CHẤM CÔNG'!$B39</f>
        <v>Thảo Chòi</v>
      </c>
      <c r="D76" s="547" t="s">
        <v>123</v>
      </c>
      <c r="E76" s="547" t="s">
        <v>123</v>
      </c>
      <c r="F76" s="547" t="s">
        <v>123</v>
      </c>
      <c r="G76" s="547" t="s">
        <v>123</v>
      </c>
      <c r="H76" s="547" t="s">
        <v>123</v>
      </c>
      <c r="I76" s="1096" t="s">
        <v>123</v>
      </c>
      <c r="J76" s="547" t="s">
        <v>122</v>
      </c>
      <c r="K76" s="547" t="s">
        <v>123</v>
      </c>
      <c r="L76" s="547" t="s">
        <v>123</v>
      </c>
      <c r="M76" s="548" t="s">
        <v>123</v>
      </c>
      <c r="N76" s="547" t="s">
        <v>123</v>
      </c>
      <c r="O76" s="547" t="s">
        <v>123</v>
      </c>
      <c r="P76" s="547" t="s">
        <v>123</v>
      </c>
      <c r="Q76" s="547" t="s">
        <v>486</v>
      </c>
      <c r="R76" s="547" t="s">
        <v>123</v>
      </c>
      <c r="S76" s="547" t="s">
        <v>123</v>
      </c>
      <c r="T76" s="547" t="s">
        <v>123</v>
      </c>
      <c r="U76" s="547" t="s">
        <v>123</v>
      </c>
      <c r="V76" s="547" t="s">
        <v>123</v>
      </c>
      <c r="W76" s="547" t="s">
        <v>123</v>
      </c>
      <c r="X76" s="547" t="s">
        <v>122</v>
      </c>
      <c r="Y76" s="547" t="s">
        <v>123</v>
      </c>
      <c r="Z76" s="547" t="s">
        <v>352</v>
      </c>
      <c r="AA76" s="547" t="s">
        <v>123</v>
      </c>
      <c r="AB76" s="547" t="s">
        <v>123</v>
      </c>
      <c r="AC76" s="547" t="s">
        <v>123</v>
      </c>
      <c r="AD76" s="547" t="s">
        <v>123</v>
      </c>
      <c r="AE76" s="547" t="s">
        <v>122</v>
      </c>
      <c r="AF76" s="547" t="s">
        <v>123</v>
      </c>
      <c r="AG76" s="547" t="s">
        <v>123</v>
      </c>
      <c r="AH76" s="547" t="s">
        <v>123</v>
      </c>
      <c r="AI76" s="543">
        <f t="shared" ref="AI76:AI91" si="5">COUNTIF(D76:AH76,"x")</f>
        <v>26</v>
      </c>
      <c r="AJ76" s="543">
        <f t="shared" ref="AJ76:AJ91" si="6">COUNTIF(D76:AH76,"cn")</f>
        <v>3</v>
      </c>
      <c r="AK76" s="543">
        <f t="shared" ref="AK76:AK91" si="7">COUNTIF(D76:AH76,"đ")</f>
        <v>1</v>
      </c>
      <c r="AL76" s="543">
        <f t="shared" ref="AL76:AL91" si="8">COUNTIF(D76:AH76,"đcn")</f>
        <v>1</v>
      </c>
      <c r="AM76" s="543">
        <f t="shared" ref="AM76:AM91" si="9">SUM(AI76:AL76)</f>
        <v>31</v>
      </c>
      <c r="AN76" s="544"/>
      <c r="AO76" s="545"/>
    </row>
    <row r="77" spans="1:41" s="519" customFormat="1" ht="42" customHeight="1">
      <c r="A77" s="517">
        <v>67</v>
      </c>
      <c r="B77" s="517">
        <v>32</v>
      </c>
      <c r="C77" s="539" t="str">
        <f>+'[6]CHẤM CÔNG'!$B40</f>
        <v>Thảo Chanh</v>
      </c>
      <c r="D77" s="547" t="s">
        <v>123</v>
      </c>
      <c r="E77" s="547" t="s">
        <v>123</v>
      </c>
      <c r="F77" s="547" t="s">
        <v>123</v>
      </c>
      <c r="G77" s="547" t="s">
        <v>123</v>
      </c>
      <c r="H77" s="547" t="s">
        <v>123</v>
      </c>
      <c r="I77" s="1096" t="s">
        <v>123</v>
      </c>
      <c r="J77" s="547" t="s">
        <v>122</v>
      </c>
      <c r="K77" s="547" t="s">
        <v>123</v>
      </c>
      <c r="L77" s="547" t="s">
        <v>123</v>
      </c>
      <c r="M77" s="548" t="s">
        <v>123</v>
      </c>
      <c r="N77" s="547" t="s">
        <v>123</v>
      </c>
      <c r="O77" s="547" t="s">
        <v>123</v>
      </c>
      <c r="P77" s="547" t="s">
        <v>123</v>
      </c>
      <c r="Q77" s="547" t="s">
        <v>486</v>
      </c>
      <c r="R77" s="547" t="s">
        <v>123</v>
      </c>
      <c r="S77" s="547" t="s">
        <v>123</v>
      </c>
      <c r="T77" s="547" t="s">
        <v>123</v>
      </c>
      <c r="U77" s="547" t="s">
        <v>123</v>
      </c>
      <c r="V77" s="547" t="s">
        <v>123</v>
      </c>
      <c r="W77" s="547" t="s">
        <v>123</v>
      </c>
      <c r="X77" s="547" t="s">
        <v>122</v>
      </c>
      <c r="Y77" s="547" t="s">
        <v>123</v>
      </c>
      <c r="Z77" s="547" t="s">
        <v>352</v>
      </c>
      <c r="AA77" s="547" t="s">
        <v>123</v>
      </c>
      <c r="AB77" s="547" t="s">
        <v>123</v>
      </c>
      <c r="AC77" s="547" t="s">
        <v>123</v>
      </c>
      <c r="AD77" s="547" t="s">
        <v>123</v>
      </c>
      <c r="AE77" s="547" t="s">
        <v>122</v>
      </c>
      <c r="AF77" s="547" t="s">
        <v>123</v>
      </c>
      <c r="AG77" s="547" t="s">
        <v>123</v>
      </c>
      <c r="AH77" s="547" t="s">
        <v>123</v>
      </c>
      <c r="AI77" s="543">
        <f t="shared" si="5"/>
        <v>26</v>
      </c>
      <c r="AJ77" s="543">
        <f t="shared" si="6"/>
        <v>3</v>
      </c>
      <c r="AK77" s="543">
        <f t="shared" si="7"/>
        <v>1</v>
      </c>
      <c r="AL77" s="543">
        <f t="shared" si="8"/>
        <v>1</v>
      </c>
      <c r="AM77" s="543">
        <f t="shared" si="9"/>
        <v>31</v>
      </c>
      <c r="AN77" s="544"/>
      <c r="AO77" s="545"/>
    </row>
    <row r="78" spans="1:41" s="519" customFormat="1" ht="42" customHeight="1">
      <c r="A78" s="517">
        <v>68</v>
      </c>
      <c r="B78" s="517">
        <v>33</v>
      </c>
      <c r="C78" s="539" t="str">
        <f>+'[6]CHẤM CÔNG'!$B41</f>
        <v>Thảo Sa</v>
      </c>
      <c r="D78" s="547" t="s">
        <v>123</v>
      </c>
      <c r="E78" s="547" t="s">
        <v>123</v>
      </c>
      <c r="F78" s="547" t="s">
        <v>123</v>
      </c>
      <c r="G78" s="547" t="s">
        <v>123</v>
      </c>
      <c r="H78" s="547" t="s">
        <v>123</v>
      </c>
      <c r="I78" s="1096" t="s">
        <v>123</v>
      </c>
      <c r="J78" s="547" t="s">
        <v>122</v>
      </c>
      <c r="K78" s="547" t="s">
        <v>123</v>
      </c>
      <c r="L78" s="547" t="s">
        <v>123</v>
      </c>
      <c r="M78" s="548" t="s">
        <v>123</v>
      </c>
      <c r="N78" s="547" t="s">
        <v>123</v>
      </c>
      <c r="O78" s="547" t="s">
        <v>123</v>
      </c>
      <c r="P78" s="547" t="s">
        <v>123</v>
      </c>
      <c r="Q78" s="547" t="s">
        <v>486</v>
      </c>
      <c r="R78" s="547" t="s">
        <v>123</v>
      </c>
      <c r="S78" s="547" t="s">
        <v>123</v>
      </c>
      <c r="T78" s="547" t="s">
        <v>123</v>
      </c>
      <c r="U78" s="547" t="s">
        <v>123</v>
      </c>
      <c r="V78" s="547" t="s">
        <v>123</v>
      </c>
      <c r="W78" s="547" t="s">
        <v>123</v>
      </c>
      <c r="X78" s="547" t="s">
        <v>122</v>
      </c>
      <c r="Y78" s="547" t="s">
        <v>123</v>
      </c>
      <c r="Z78" s="547" t="s">
        <v>352</v>
      </c>
      <c r="AA78" s="547" t="s">
        <v>123</v>
      </c>
      <c r="AB78" s="547" t="s">
        <v>123</v>
      </c>
      <c r="AC78" s="547" t="s">
        <v>123</v>
      </c>
      <c r="AD78" s="547" t="s">
        <v>123</v>
      </c>
      <c r="AE78" s="547" t="s">
        <v>122</v>
      </c>
      <c r="AF78" s="547" t="s">
        <v>123</v>
      </c>
      <c r="AG78" s="547" t="s">
        <v>123</v>
      </c>
      <c r="AH78" s="547" t="s">
        <v>123</v>
      </c>
      <c r="AI78" s="543">
        <f t="shared" si="5"/>
        <v>26</v>
      </c>
      <c r="AJ78" s="543">
        <f t="shared" si="6"/>
        <v>3</v>
      </c>
      <c r="AK78" s="543">
        <f t="shared" si="7"/>
        <v>1</v>
      </c>
      <c r="AL78" s="543">
        <f t="shared" si="8"/>
        <v>1</v>
      </c>
      <c r="AM78" s="543">
        <f t="shared" si="9"/>
        <v>31</v>
      </c>
      <c r="AN78" s="544"/>
      <c r="AO78" s="545"/>
    </row>
    <row r="79" spans="1:41" s="519" customFormat="1" ht="42" customHeight="1">
      <c r="A79" s="517">
        <v>69</v>
      </c>
      <c r="B79" s="517">
        <v>34</v>
      </c>
      <c r="C79" s="539" t="str">
        <f>+'[6]CHẤM CÔNG'!$B42</f>
        <v>Nàng Phôn</v>
      </c>
      <c r="D79" s="547" t="s">
        <v>123</v>
      </c>
      <c r="E79" s="547" t="s">
        <v>123</v>
      </c>
      <c r="F79" s="547" t="s">
        <v>123</v>
      </c>
      <c r="G79" s="547" t="s">
        <v>123</v>
      </c>
      <c r="H79" s="547" t="s">
        <v>123</v>
      </c>
      <c r="I79" s="1096" t="s">
        <v>123</v>
      </c>
      <c r="J79" s="547" t="s">
        <v>122</v>
      </c>
      <c r="K79" s="547" t="s">
        <v>123</v>
      </c>
      <c r="L79" s="547" t="s">
        <v>123</v>
      </c>
      <c r="M79" s="548" t="s">
        <v>123</v>
      </c>
      <c r="N79" s="547" t="s">
        <v>123</v>
      </c>
      <c r="O79" s="547" t="s">
        <v>123</v>
      </c>
      <c r="P79" s="547" t="s">
        <v>123</v>
      </c>
      <c r="Q79" s="547" t="s">
        <v>486</v>
      </c>
      <c r="R79" s="547" t="s">
        <v>123</v>
      </c>
      <c r="S79" s="547" t="s">
        <v>123</v>
      </c>
      <c r="T79" s="547" t="s">
        <v>123</v>
      </c>
      <c r="U79" s="547" t="s">
        <v>123</v>
      </c>
      <c r="V79" s="547" t="s">
        <v>123</v>
      </c>
      <c r="W79" s="547" t="s">
        <v>123</v>
      </c>
      <c r="X79" s="547" t="s">
        <v>122</v>
      </c>
      <c r="Y79" s="547" t="s">
        <v>123</v>
      </c>
      <c r="Z79" s="547" t="s">
        <v>352</v>
      </c>
      <c r="AA79" s="547" t="s">
        <v>123</v>
      </c>
      <c r="AB79" s="547" t="s">
        <v>123</v>
      </c>
      <c r="AC79" s="547" t="s">
        <v>123</v>
      </c>
      <c r="AD79" s="547" t="s">
        <v>123</v>
      </c>
      <c r="AE79" s="547" t="s">
        <v>122</v>
      </c>
      <c r="AF79" s="547" t="s">
        <v>123</v>
      </c>
      <c r="AG79" s="547" t="s">
        <v>123</v>
      </c>
      <c r="AH79" s="547" t="s">
        <v>123</v>
      </c>
      <c r="AI79" s="543">
        <f t="shared" si="5"/>
        <v>26</v>
      </c>
      <c r="AJ79" s="543">
        <f t="shared" si="6"/>
        <v>3</v>
      </c>
      <c r="AK79" s="543">
        <f t="shared" si="7"/>
        <v>1</v>
      </c>
      <c r="AL79" s="543">
        <f t="shared" si="8"/>
        <v>1</v>
      </c>
      <c r="AM79" s="543">
        <f t="shared" si="9"/>
        <v>31</v>
      </c>
      <c r="AN79" s="544"/>
      <c r="AO79" s="545"/>
    </row>
    <row r="80" spans="1:41" s="519" customFormat="1" ht="42" customHeight="1">
      <c r="A80" s="517">
        <v>70</v>
      </c>
      <c r="B80" s="517">
        <v>35</v>
      </c>
      <c r="C80" s="539" t="str">
        <f>+'[6]CHẤM CÔNG'!$B43</f>
        <v>Thảo Mon</v>
      </c>
      <c r="D80" s="547" t="s">
        <v>123</v>
      </c>
      <c r="E80" s="547" t="s">
        <v>123</v>
      </c>
      <c r="F80" s="547" t="s">
        <v>123</v>
      </c>
      <c r="G80" s="547" t="s">
        <v>123</v>
      </c>
      <c r="H80" s="547" t="s">
        <v>123</v>
      </c>
      <c r="I80" s="1096" t="s">
        <v>123</v>
      </c>
      <c r="J80" s="547" t="s">
        <v>122</v>
      </c>
      <c r="K80" s="547" t="s">
        <v>123</v>
      </c>
      <c r="L80" s="547" t="s">
        <v>123</v>
      </c>
      <c r="M80" s="548" t="s">
        <v>123</v>
      </c>
      <c r="N80" s="547" t="s">
        <v>123</v>
      </c>
      <c r="O80" s="547" t="s">
        <v>123</v>
      </c>
      <c r="P80" s="547" t="s">
        <v>123</v>
      </c>
      <c r="Q80" s="547" t="s">
        <v>486</v>
      </c>
      <c r="R80" s="547" t="s">
        <v>123</v>
      </c>
      <c r="S80" s="547" t="s">
        <v>123</v>
      </c>
      <c r="T80" s="547" t="s">
        <v>123</v>
      </c>
      <c r="U80" s="547" t="s">
        <v>123</v>
      </c>
      <c r="V80" s="547" t="s">
        <v>123</v>
      </c>
      <c r="W80" s="547" t="s">
        <v>123</v>
      </c>
      <c r="X80" s="547" t="s">
        <v>122</v>
      </c>
      <c r="Y80" s="547" t="s">
        <v>123</v>
      </c>
      <c r="Z80" s="547" t="s">
        <v>352</v>
      </c>
      <c r="AA80" s="547" t="s">
        <v>123</v>
      </c>
      <c r="AB80" s="547" t="s">
        <v>123</v>
      </c>
      <c r="AC80" s="547" t="s">
        <v>123</v>
      </c>
      <c r="AD80" s="547" t="s">
        <v>123</v>
      </c>
      <c r="AE80" s="547" t="s">
        <v>122</v>
      </c>
      <c r="AF80" s="547" t="s">
        <v>123</v>
      </c>
      <c r="AG80" s="547" t="s">
        <v>123</v>
      </c>
      <c r="AH80" s="547" t="s">
        <v>123</v>
      </c>
      <c r="AI80" s="543">
        <f t="shared" si="5"/>
        <v>26</v>
      </c>
      <c r="AJ80" s="543">
        <f t="shared" si="6"/>
        <v>3</v>
      </c>
      <c r="AK80" s="543">
        <f t="shared" si="7"/>
        <v>1</v>
      </c>
      <c r="AL80" s="543">
        <f t="shared" si="8"/>
        <v>1</v>
      </c>
      <c r="AM80" s="543">
        <f t="shared" si="9"/>
        <v>31</v>
      </c>
      <c r="AN80" s="544"/>
      <c r="AO80" s="545"/>
    </row>
    <row r="81" spans="1:49" s="519" customFormat="1" ht="42" customHeight="1">
      <c r="A81" s="517">
        <v>71</v>
      </c>
      <c r="B81" s="517">
        <v>36</v>
      </c>
      <c r="C81" s="539" t="str">
        <f>+'[6]CHẤM CÔNG'!$B44</f>
        <v>Thảo Vông Xay</v>
      </c>
      <c r="D81" s="547" t="s">
        <v>123</v>
      </c>
      <c r="E81" s="547" t="s">
        <v>123</v>
      </c>
      <c r="F81" s="547" t="s">
        <v>123</v>
      </c>
      <c r="G81" s="547" t="s">
        <v>123</v>
      </c>
      <c r="H81" s="547" t="s">
        <v>123</v>
      </c>
      <c r="I81" s="1096" t="s">
        <v>123</v>
      </c>
      <c r="J81" s="547" t="s">
        <v>122</v>
      </c>
      <c r="K81" s="547" t="s">
        <v>123</v>
      </c>
      <c r="L81" s="547" t="s">
        <v>123</v>
      </c>
      <c r="M81" s="548" t="s">
        <v>123</v>
      </c>
      <c r="N81" s="547" t="s">
        <v>123</v>
      </c>
      <c r="O81" s="547" t="s">
        <v>123</v>
      </c>
      <c r="P81" s="547" t="s">
        <v>123</v>
      </c>
      <c r="Q81" s="547" t="s">
        <v>486</v>
      </c>
      <c r="R81" s="547" t="s">
        <v>123</v>
      </c>
      <c r="S81" s="547" t="s">
        <v>123</v>
      </c>
      <c r="T81" s="547" t="s">
        <v>123</v>
      </c>
      <c r="U81" s="547" t="s">
        <v>123</v>
      </c>
      <c r="V81" s="547" t="s">
        <v>123</v>
      </c>
      <c r="W81" s="547" t="s">
        <v>123</v>
      </c>
      <c r="X81" s="547" t="s">
        <v>122</v>
      </c>
      <c r="Y81" s="547" t="s">
        <v>123</v>
      </c>
      <c r="Z81" s="547" t="s">
        <v>352</v>
      </c>
      <c r="AA81" s="547" t="s">
        <v>123</v>
      </c>
      <c r="AB81" s="547" t="s">
        <v>123</v>
      </c>
      <c r="AC81" s="547" t="s">
        <v>123</v>
      </c>
      <c r="AD81" s="547" t="s">
        <v>123</v>
      </c>
      <c r="AE81" s="547" t="s">
        <v>122</v>
      </c>
      <c r="AF81" s="547" t="s">
        <v>123</v>
      </c>
      <c r="AG81" s="547" t="s">
        <v>123</v>
      </c>
      <c r="AH81" s="547" t="s">
        <v>123</v>
      </c>
      <c r="AI81" s="543">
        <f t="shared" si="5"/>
        <v>26</v>
      </c>
      <c r="AJ81" s="543">
        <f t="shared" si="6"/>
        <v>3</v>
      </c>
      <c r="AK81" s="543">
        <f t="shared" si="7"/>
        <v>1</v>
      </c>
      <c r="AL81" s="543">
        <f t="shared" si="8"/>
        <v>1</v>
      </c>
      <c r="AM81" s="543">
        <f t="shared" si="9"/>
        <v>31</v>
      </c>
      <c r="AN81" s="544"/>
      <c r="AO81" s="545"/>
    </row>
    <row r="82" spans="1:49" s="519" customFormat="1" ht="42" customHeight="1">
      <c r="A82" s="517">
        <v>72</v>
      </c>
      <c r="B82" s="517">
        <v>37</v>
      </c>
      <c r="C82" s="539" t="str">
        <f>+'[6]CHẤM CÔNG'!$B45</f>
        <v>Nàng Lun</v>
      </c>
      <c r="D82" s="547" t="s">
        <v>123</v>
      </c>
      <c r="E82" s="547" t="s">
        <v>123</v>
      </c>
      <c r="F82" s="547" t="s">
        <v>123</v>
      </c>
      <c r="G82" s="547" t="s">
        <v>123</v>
      </c>
      <c r="H82" s="547" t="s">
        <v>123</v>
      </c>
      <c r="I82" s="1096" t="s">
        <v>123</v>
      </c>
      <c r="J82" s="547" t="s">
        <v>122</v>
      </c>
      <c r="K82" s="547" t="s">
        <v>123</v>
      </c>
      <c r="L82" s="547" t="s">
        <v>123</v>
      </c>
      <c r="M82" s="548" t="s">
        <v>123</v>
      </c>
      <c r="N82" s="547" t="s">
        <v>123</v>
      </c>
      <c r="O82" s="547" t="s">
        <v>123</v>
      </c>
      <c r="P82" s="547" t="s">
        <v>123</v>
      </c>
      <c r="Q82" s="547" t="s">
        <v>486</v>
      </c>
      <c r="R82" s="547" t="s">
        <v>123</v>
      </c>
      <c r="S82" s="547" t="s">
        <v>123</v>
      </c>
      <c r="T82" s="547" t="s">
        <v>123</v>
      </c>
      <c r="U82" s="547" t="s">
        <v>123</v>
      </c>
      <c r="V82" s="547" t="s">
        <v>123</v>
      </c>
      <c r="W82" s="547" t="s">
        <v>123</v>
      </c>
      <c r="X82" s="547" t="s">
        <v>122</v>
      </c>
      <c r="Y82" s="547" t="s">
        <v>123</v>
      </c>
      <c r="Z82" s="547" t="s">
        <v>352</v>
      </c>
      <c r="AA82" s="547" t="s">
        <v>123</v>
      </c>
      <c r="AB82" s="547" t="s">
        <v>123</v>
      </c>
      <c r="AC82" s="547" t="s">
        <v>123</v>
      </c>
      <c r="AD82" s="547" t="s">
        <v>123</v>
      </c>
      <c r="AE82" s="547" t="s">
        <v>122</v>
      </c>
      <c r="AF82" s="547" t="s">
        <v>123</v>
      </c>
      <c r="AG82" s="547" t="s">
        <v>123</v>
      </c>
      <c r="AH82" s="547" t="s">
        <v>123</v>
      </c>
      <c r="AI82" s="543">
        <f t="shared" si="5"/>
        <v>26</v>
      </c>
      <c r="AJ82" s="543">
        <f t="shared" si="6"/>
        <v>3</v>
      </c>
      <c r="AK82" s="543">
        <f t="shared" si="7"/>
        <v>1</v>
      </c>
      <c r="AL82" s="543">
        <f t="shared" si="8"/>
        <v>1</v>
      </c>
      <c r="AM82" s="543">
        <f t="shared" si="9"/>
        <v>31</v>
      </c>
      <c r="AN82" s="544"/>
      <c r="AO82" s="545"/>
    </row>
    <row r="83" spans="1:49" s="519" customFormat="1" ht="42" customHeight="1">
      <c r="A83" s="517">
        <v>73</v>
      </c>
      <c r="B83" s="517">
        <v>38</v>
      </c>
      <c r="C83" s="539" t="str">
        <f>+'[6]CHẤM CÔNG'!$B46</f>
        <v>Thảo Vong</v>
      </c>
      <c r="D83" s="547" t="s">
        <v>123</v>
      </c>
      <c r="E83" s="547" t="s">
        <v>123</v>
      </c>
      <c r="F83" s="547" t="s">
        <v>123</v>
      </c>
      <c r="G83" s="547" t="s">
        <v>123</v>
      </c>
      <c r="H83" s="547" t="s">
        <v>123</v>
      </c>
      <c r="I83" s="1096" t="s">
        <v>123</v>
      </c>
      <c r="J83" s="547" t="s">
        <v>122</v>
      </c>
      <c r="K83" s="547" t="s">
        <v>123</v>
      </c>
      <c r="L83" s="547" t="s">
        <v>123</v>
      </c>
      <c r="M83" s="548" t="s">
        <v>123</v>
      </c>
      <c r="N83" s="547" t="s">
        <v>123</v>
      </c>
      <c r="O83" s="547" t="s">
        <v>123</v>
      </c>
      <c r="P83" s="547" t="s">
        <v>123</v>
      </c>
      <c r="Q83" s="547" t="s">
        <v>486</v>
      </c>
      <c r="R83" s="547" t="s">
        <v>123</v>
      </c>
      <c r="S83" s="547" t="s">
        <v>123</v>
      </c>
      <c r="T83" s="547" t="s">
        <v>123</v>
      </c>
      <c r="U83" s="547" t="s">
        <v>123</v>
      </c>
      <c r="V83" s="547" t="s">
        <v>123</v>
      </c>
      <c r="W83" s="547" t="s">
        <v>123</v>
      </c>
      <c r="X83" s="547" t="s">
        <v>122</v>
      </c>
      <c r="Y83" s="547" t="s">
        <v>123</v>
      </c>
      <c r="Z83" s="547" t="s">
        <v>352</v>
      </c>
      <c r="AA83" s="547" t="s">
        <v>123</v>
      </c>
      <c r="AB83" s="547" t="s">
        <v>123</v>
      </c>
      <c r="AC83" s="547" t="s">
        <v>123</v>
      </c>
      <c r="AD83" s="547" t="s">
        <v>123</v>
      </c>
      <c r="AE83" s="547" t="s">
        <v>122</v>
      </c>
      <c r="AF83" s="547" t="s">
        <v>123</v>
      </c>
      <c r="AG83" s="547" t="s">
        <v>123</v>
      </c>
      <c r="AH83" s="547" t="s">
        <v>123</v>
      </c>
      <c r="AI83" s="543">
        <f t="shared" si="5"/>
        <v>26</v>
      </c>
      <c r="AJ83" s="543">
        <f t="shared" si="6"/>
        <v>3</v>
      </c>
      <c r="AK83" s="543">
        <f t="shared" si="7"/>
        <v>1</v>
      </c>
      <c r="AL83" s="543">
        <f t="shared" si="8"/>
        <v>1</v>
      </c>
      <c r="AM83" s="543">
        <f t="shared" si="9"/>
        <v>31</v>
      </c>
      <c r="AN83" s="544"/>
      <c r="AO83" s="545"/>
      <c r="AP83" s="549" t="s">
        <v>92</v>
      </c>
      <c r="AQ83" s="549" t="s">
        <v>362</v>
      </c>
      <c r="AR83" s="549" t="s">
        <v>558</v>
      </c>
      <c r="AS83" s="549" t="s">
        <v>363</v>
      </c>
    </row>
    <row r="84" spans="1:49" s="519" customFormat="1" ht="42" customHeight="1">
      <c r="A84" s="517">
        <v>74</v>
      </c>
      <c r="B84" s="517">
        <v>39</v>
      </c>
      <c r="C84" s="539" t="str">
        <f>+'[6]CHẤM CÔNG'!$B47</f>
        <v>Nàng Veng</v>
      </c>
      <c r="D84" s="547" t="s">
        <v>123</v>
      </c>
      <c r="E84" s="547" t="s">
        <v>123</v>
      </c>
      <c r="F84" s="547" t="s">
        <v>123</v>
      </c>
      <c r="G84" s="547" t="s">
        <v>123</v>
      </c>
      <c r="H84" s="547" t="s">
        <v>123</v>
      </c>
      <c r="I84" s="1096" t="s">
        <v>123</v>
      </c>
      <c r="J84" s="547" t="s">
        <v>122</v>
      </c>
      <c r="K84" s="547" t="s">
        <v>123</v>
      </c>
      <c r="L84" s="547" t="s">
        <v>123</v>
      </c>
      <c r="M84" s="548" t="s">
        <v>123</v>
      </c>
      <c r="N84" s="547" t="s">
        <v>123</v>
      </c>
      <c r="O84" s="547" t="s">
        <v>123</v>
      </c>
      <c r="P84" s="547" t="s">
        <v>123</v>
      </c>
      <c r="Q84" s="547" t="s">
        <v>486</v>
      </c>
      <c r="R84" s="547" t="s">
        <v>123</v>
      </c>
      <c r="S84" s="547" t="s">
        <v>123</v>
      </c>
      <c r="T84" s="547" t="s">
        <v>123</v>
      </c>
      <c r="U84" s="547" t="s">
        <v>123</v>
      </c>
      <c r="V84" s="547" t="s">
        <v>123</v>
      </c>
      <c r="W84" s="547" t="s">
        <v>123</v>
      </c>
      <c r="X84" s="547" t="s">
        <v>122</v>
      </c>
      <c r="Y84" s="547" t="s">
        <v>123</v>
      </c>
      <c r="Z84" s="547" t="s">
        <v>352</v>
      </c>
      <c r="AA84" s="547" t="s">
        <v>123</v>
      </c>
      <c r="AB84" s="547" t="s">
        <v>123</v>
      </c>
      <c r="AC84" s="547" t="s">
        <v>123</v>
      </c>
      <c r="AD84" s="547" t="s">
        <v>123</v>
      </c>
      <c r="AE84" s="547" t="s">
        <v>122</v>
      </c>
      <c r="AF84" s="547" t="s">
        <v>123</v>
      </c>
      <c r="AG84" s="547" t="s">
        <v>123</v>
      </c>
      <c r="AH84" s="547" t="s">
        <v>123</v>
      </c>
      <c r="AI84" s="543">
        <f t="shared" si="5"/>
        <v>26</v>
      </c>
      <c r="AJ84" s="543">
        <f t="shared" si="6"/>
        <v>3</v>
      </c>
      <c r="AK84" s="543">
        <f t="shared" si="7"/>
        <v>1</v>
      </c>
      <c r="AL84" s="543">
        <f t="shared" si="8"/>
        <v>1</v>
      </c>
      <c r="AM84" s="543">
        <f t="shared" si="9"/>
        <v>31</v>
      </c>
      <c r="AN84" s="544"/>
      <c r="AO84" s="545"/>
      <c r="AP84" s="550">
        <f>SUM(AM11:AM45)</f>
        <v>1045</v>
      </c>
      <c r="AQ84" s="550">
        <f>+SUM(AK11:AK45)+SUM(AL11:AL45)</f>
        <v>0</v>
      </c>
      <c r="AR84" s="550"/>
      <c r="AS84" s="550">
        <f>+AP84+AQ84</f>
        <v>1045</v>
      </c>
      <c r="AT84" s="551" t="s">
        <v>487</v>
      </c>
    </row>
    <row r="85" spans="1:49" s="519" customFormat="1" ht="42" customHeight="1">
      <c r="A85" s="517">
        <v>75</v>
      </c>
      <c r="B85" s="517">
        <v>40</v>
      </c>
      <c r="C85" s="539" t="str">
        <f>+'[6]CHẤM CÔNG'!$B48</f>
        <v>Thảo Đuông Chăn</v>
      </c>
      <c r="D85" s="547" t="s">
        <v>123</v>
      </c>
      <c r="E85" s="547" t="s">
        <v>123</v>
      </c>
      <c r="F85" s="547" t="s">
        <v>123</v>
      </c>
      <c r="G85" s="547" t="s">
        <v>123</v>
      </c>
      <c r="H85" s="547" t="s">
        <v>123</v>
      </c>
      <c r="I85" s="1096" t="s">
        <v>123</v>
      </c>
      <c r="J85" s="547" t="s">
        <v>122</v>
      </c>
      <c r="K85" s="547" t="s">
        <v>123</v>
      </c>
      <c r="L85" s="547" t="s">
        <v>123</v>
      </c>
      <c r="M85" s="548" t="s">
        <v>123</v>
      </c>
      <c r="N85" s="547" t="s">
        <v>123</v>
      </c>
      <c r="O85" s="547" t="s">
        <v>123</v>
      </c>
      <c r="P85" s="547" t="s">
        <v>123</v>
      </c>
      <c r="Q85" s="547" t="s">
        <v>486</v>
      </c>
      <c r="R85" s="547" t="s">
        <v>123</v>
      </c>
      <c r="S85" s="547" t="s">
        <v>123</v>
      </c>
      <c r="T85" s="547" t="s">
        <v>123</v>
      </c>
      <c r="U85" s="547" t="s">
        <v>123</v>
      </c>
      <c r="V85" s="547" t="s">
        <v>123</v>
      </c>
      <c r="W85" s="547" t="s">
        <v>123</v>
      </c>
      <c r="X85" s="547" t="s">
        <v>122</v>
      </c>
      <c r="Y85" s="547" t="s">
        <v>123</v>
      </c>
      <c r="Z85" s="547" t="s">
        <v>352</v>
      </c>
      <c r="AA85" s="547" t="s">
        <v>123</v>
      </c>
      <c r="AB85" s="547" t="s">
        <v>123</v>
      </c>
      <c r="AC85" s="547" t="s">
        <v>123</v>
      </c>
      <c r="AD85" s="547" t="s">
        <v>123</v>
      </c>
      <c r="AE85" s="547" t="s">
        <v>122</v>
      </c>
      <c r="AF85" s="547" t="s">
        <v>123</v>
      </c>
      <c r="AG85" s="547" t="s">
        <v>123</v>
      </c>
      <c r="AH85" s="547" t="s">
        <v>123</v>
      </c>
      <c r="AI85" s="543">
        <f t="shared" si="5"/>
        <v>26</v>
      </c>
      <c r="AJ85" s="543">
        <f t="shared" si="6"/>
        <v>3</v>
      </c>
      <c r="AK85" s="543">
        <f t="shared" si="7"/>
        <v>1</v>
      </c>
      <c r="AL85" s="543">
        <f t="shared" si="8"/>
        <v>1</v>
      </c>
      <c r="AM85" s="543">
        <f t="shared" si="9"/>
        <v>31</v>
      </c>
      <c r="AN85" s="544"/>
      <c r="AO85" s="545"/>
      <c r="AP85" s="550">
        <f>+SUM(AM46:AM88)</f>
        <v>1333</v>
      </c>
      <c r="AQ85" s="550">
        <f>+SUM(AK46:AK88)</f>
        <v>43</v>
      </c>
      <c r="AR85" s="550">
        <f>+SUM(AL46:AL88)</f>
        <v>43</v>
      </c>
      <c r="AS85" s="552">
        <f>+AP85+AQ85+AR85</f>
        <v>1419</v>
      </c>
      <c r="AT85" s="519" t="s">
        <v>488</v>
      </c>
    </row>
    <row r="86" spans="1:49" s="519" customFormat="1" ht="42" customHeight="1">
      <c r="A86" s="517">
        <v>76</v>
      </c>
      <c r="B86" s="517">
        <v>41</v>
      </c>
      <c r="C86" s="539" t="str">
        <f>+'[6]CHẤM CÔNG'!$B49</f>
        <v>Nàng Peng</v>
      </c>
      <c r="D86" s="547" t="s">
        <v>123</v>
      </c>
      <c r="E86" s="547" t="s">
        <v>123</v>
      </c>
      <c r="F86" s="547" t="s">
        <v>123</v>
      </c>
      <c r="G86" s="547" t="s">
        <v>123</v>
      </c>
      <c r="H86" s="547" t="s">
        <v>123</v>
      </c>
      <c r="I86" s="1096" t="s">
        <v>123</v>
      </c>
      <c r="J86" s="547" t="s">
        <v>122</v>
      </c>
      <c r="K86" s="547" t="s">
        <v>123</v>
      </c>
      <c r="L86" s="547" t="s">
        <v>123</v>
      </c>
      <c r="M86" s="548" t="s">
        <v>123</v>
      </c>
      <c r="N86" s="547" t="s">
        <v>123</v>
      </c>
      <c r="O86" s="547" t="s">
        <v>123</v>
      </c>
      <c r="P86" s="547" t="s">
        <v>123</v>
      </c>
      <c r="Q86" s="547" t="s">
        <v>486</v>
      </c>
      <c r="R86" s="547" t="s">
        <v>123</v>
      </c>
      <c r="S86" s="547" t="s">
        <v>123</v>
      </c>
      <c r="T86" s="547" t="s">
        <v>123</v>
      </c>
      <c r="U86" s="547" t="s">
        <v>123</v>
      </c>
      <c r="V86" s="547" t="s">
        <v>123</v>
      </c>
      <c r="W86" s="547" t="s">
        <v>123</v>
      </c>
      <c r="X86" s="547" t="s">
        <v>122</v>
      </c>
      <c r="Y86" s="547" t="s">
        <v>123</v>
      </c>
      <c r="Z86" s="547" t="s">
        <v>352</v>
      </c>
      <c r="AA86" s="547" t="s">
        <v>123</v>
      </c>
      <c r="AB86" s="547" t="s">
        <v>123</v>
      </c>
      <c r="AC86" s="547" t="s">
        <v>123</v>
      </c>
      <c r="AD86" s="547" t="s">
        <v>123</v>
      </c>
      <c r="AE86" s="547" t="s">
        <v>122</v>
      </c>
      <c r="AF86" s="547" t="s">
        <v>123</v>
      </c>
      <c r="AG86" s="547" t="s">
        <v>123</v>
      </c>
      <c r="AH86" s="547" t="s">
        <v>123</v>
      </c>
      <c r="AI86" s="543">
        <f t="shared" si="5"/>
        <v>26</v>
      </c>
      <c r="AJ86" s="543">
        <f t="shared" si="6"/>
        <v>3</v>
      </c>
      <c r="AK86" s="543">
        <f t="shared" si="7"/>
        <v>1</v>
      </c>
      <c r="AL86" s="543">
        <f t="shared" si="8"/>
        <v>1</v>
      </c>
      <c r="AM86" s="543">
        <f t="shared" si="9"/>
        <v>31</v>
      </c>
      <c r="AN86" s="544"/>
      <c r="AO86" s="545"/>
      <c r="AP86" s="550"/>
      <c r="AQ86" s="550"/>
      <c r="AR86" s="550"/>
      <c r="AS86" s="550">
        <f>SUM(AS84:AS85)</f>
        <v>2464</v>
      </c>
      <c r="AT86" s="519" t="s">
        <v>489</v>
      </c>
    </row>
    <row r="87" spans="1:49" s="519" customFormat="1" ht="42" customHeight="1">
      <c r="A87" s="517">
        <v>77</v>
      </c>
      <c r="B87" s="517">
        <v>42</v>
      </c>
      <c r="C87" s="539" t="str">
        <f>+'[6]CHẤM CÔNG'!$B50</f>
        <v>Thảo Xay Tho</v>
      </c>
      <c r="D87" s="547" t="s">
        <v>123</v>
      </c>
      <c r="E87" s="547" t="s">
        <v>123</v>
      </c>
      <c r="F87" s="547" t="s">
        <v>123</v>
      </c>
      <c r="G87" s="547" t="s">
        <v>123</v>
      </c>
      <c r="H87" s="547" t="s">
        <v>123</v>
      </c>
      <c r="I87" s="1096" t="s">
        <v>123</v>
      </c>
      <c r="J87" s="547" t="s">
        <v>122</v>
      </c>
      <c r="K87" s="547" t="s">
        <v>123</v>
      </c>
      <c r="L87" s="547" t="s">
        <v>123</v>
      </c>
      <c r="M87" s="548" t="s">
        <v>123</v>
      </c>
      <c r="N87" s="547" t="s">
        <v>123</v>
      </c>
      <c r="O87" s="547" t="s">
        <v>123</v>
      </c>
      <c r="P87" s="547" t="s">
        <v>123</v>
      </c>
      <c r="Q87" s="547" t="s">
        <v>486</v>
      </c>
      <c r="R87" s="547" t="s">
        <v>123</v>
      </c>
      <c r="S87" s="547" t="s">
        <v>123</v>
      </c>
      <c r="T87" s="547" t="s">
        <v>123</v>
      </c>
      <c r="U87" s="547" t="s">
        <v>123</v>
      </c>
      <c r="V87" s="547" t="s">
        <v>123</v>
      </c>
      <c r="W87" s="547" t="s">
        <v>123</v>
      </c>
      <c r="X87" s="547" t="s">
        <v>122</v>
      </c>
      <c r="Y87" s="547" t="s">
        <v>123</v>
      </c>
      <c r="Z87" s="547" t="s">
        <v>352</v>
      </c>
      <c r="AA87" s="547" t="s">
        <v>123</v>
      </c>
      <c r="AB87" s="547" t="s">
        <v>123</v>
      </c>
      <c r="AC87" s="547" t="s">
        <v>123</v>
      </c>
      <c r="AD87" s="547" t="s">
        <v>123</v>
      </c>
      <c r="AE87" s="547" t="s">
        <v>122</v>
      </c>
      <c r="AF87" s="547" t="s">
        <v>123</v>
      </c>
      <c r="AG87" s="547" t="s">
        <v>123</v>
      </c>
      <c r="AH87" s="547" t="s">
        <v>123</v>
      </c>
      <c r="AI87" s="543">
        <f t="shared" si="5"/>
        <v>26</v>
      </c>
      <c r="AJ87" s="543">
        <f t="shared" si="6"/>
        <v>3</v>
      </c>
      <c r="AK87" s="543">
        <f t="shared" si="7"/>
        <v>1</v>
      </c>
      <c r="AL87" s="543">
        <f t="shared" si="8"/>
        <v>1</v>
      </c>
      <c r="AM87" s="543">
        <f t="shared" si="9"/>
        <v>31</v>
      </c>
      <c r="AN87" s="544"/>
      <c r="AO87" s="545"/>
      <c r="AU87" s="551"/>
      <c r="AV87" s="551"/>
      <c r="AW87" s="551"/>
    </row>
    <row r="88" spans="1:49" s="519" customFormat="1" ht="42" customHeight="1">
      <c r="A88" s="517">
        <v>78</v>
      </c>
      <c r="B88" s="517">
        <v>43</v>
      </c>
      <c r="C88" s="539" t="str">
        <f>+'[6]CHẤM CÔNG'!$B51</f>
        <v>Nàng Xia Lô</v>
      </c>
      <c r="D88" s="547" t="s">
        <v>123</v>
      </c>
      <c r="E88" s="547" t="s">
        <v>123</v>
      </c>
      <c r="F88" s="547" t="s">
        <v>123</v>
      </c>
      <c r="G88" s="547" t="s">
        <v>123</v>
      </c>
      <c r="H88" s="547" t="s">
        <v>123</v>
      </c>
      <c r="I88" s="1096" t="s">
        <v>123</v>
      </c>
      <c r="J88" s="547" t="s">
        <v>122</v>
      </c>
      <c r="K88" s="547" t="s">
        <v>123</v>
      </c>
      <c r="L88" s="547" t="s">
        <v>123</v>
      </c>
      <c r="M88" s="548" t="s">
        <v>123</v>
      </c>
      <c r="N88" s="547" t="s">
        <v>123</v>
      </c>
      <c r="O88" s="547" t="s">
        <v>123</v>
      </c>
      <c r="P88" s="547" t="s">
        <v>123</v>
      </c>
      <c r="Q88" s="547" t="s">
        <v>486</v>
      </c>
      <c r="R88" s="547" t="s">
        <v>123</v>
      </c>
      <c r="S88" s="547" t="s">
        <v>123</v>
      </c>
      <c r="T88" s="547" t="s">
        <v>123</v>
      </c>
      <c r="U88" s="547" t="s">
        <v>123</v>
      </c>
      <c r="V88" s="547" t="s">
        <v>123</v>
      </c>
      <c r="W88" s="547" t="s">
        <v>123</v>
      </c>
      <c r="X88" s="547" t="s">
        <v>122</v>
      </c>
      <c r="Y88" s="547" t="s">
        <v>123</v>
      </c>
      <c r="Z88" s="547" t="s">
        <v>352</v>
      </c>
      <c r="AA88" s="547" t="s">
        <v>123</v>
      </c>
      <c r="AB88" s="547" t="s">
        <v>123</v>
      </c>
      <c r="AC88" s="547" t="s">
        <v>123</v>
      </c>
      <c r="AD88" s="547" t="s">
        <v>123</v>
      </c>
      <c r="AE88" s="547" t="s">
        <v>122</v>
      </c>
      <c r="AF88" s="547" t="s">
        <v>123</v>
      </c>
      <c r="AG88" s="547" t="s">
        <v>123</v>
      </c>
      <c r="AH88" s="547" t="s">
        <v>123</v>
      </c>
      <c r="AI88" s="543">
        <f t="shared" si="5"/>
        <v>26</v>
      </c>
      <c r="AJ88" s="543">
        <f t="shared" si="6"/>
        <v>3</v>
      </c>
      <c r="AK88" s="543">
        <f t="shared" si="7"/>
        <v>1</v>
      </c>
      <c r="AL88" s="543">
        <f t="shared" si="8"/>
        <v>1</v>
      </c>
      <c r="AM88" s="543">
        <f t="shared" si="9"/>
        <v>31</v>
      </c>
      <c r="AN88" s="544"/>
      <c r="AO88" s="545"/>
    </row>
    <row r="89" spans="1:49" s="519" customFormat="1" ht="45.75" hidden="1" customHeight="1">
      <c r="A89" s="517">
        <v>79</v>
      </c>
      <c r="B89" s="517">
        <v>44</v>
      </c>
      <c r="C89" s="546" t="str">
        <f>+'[7]CHẤM CÔNG'!$B52</f>
        <v>A Cơ</v>
      </c>
      <c r="D89" s="547"/>
      <c r="E89" s="547"/>
      <c r="F89" s="547"/>
      <c r="G89" s="547"/>
      <c r="H89" s="547"/>
      <c r="I89" s="1096"/>
      <c r="J89" s="547"/>
      <c r="K89" s="547"/>
      <c r="L89" s="547"/>
      <c r="M89" s="548"/>
      <c r="N89" s="547"/>
      <c r="O89" s="547"/>
      <c r="P89" s="547"/>
      <c r="Q89" s="547"/>
      <c r="R89" s="547"/>
      <c r="S89" s="547"/>
      <c r="T89" s="547"/>
      <c r="U89" s="547"/>
      <c r="V89" s="547"/>
      <c r="W89" s="547"/>
      <c r="X89" s="547"/>
      <c r="Y89" s="547"/>
      <c r="Z89" s="547"/>
      <c r="AA89" s="547"/>
      <c r="AB89" s="547"/>
      <c r="AC89" s="547"/>
      <c r="AD89" s="547"/>
      <c r="AE89" s="547"/>
      <c r="AF89" s="547"/>
      <c r="AG89" s="547"/>
      <c r="AH89" s="547"/>
      <c r="AI89" s="543">
        <f t="shared" si="5"/>
        <v>0</v>
      </c>
      <c r="AJ89" s="543">
        <f t="shared" si="6"/>
        <v>0</v>
      </c>
      <c r="AK89" s="543">
        <f t="shared" si="7"/>
        <v>0</v>
      </c>
      <c r="AL89" s="543">
        <f t="shared" si="8"/>
        <v>0</v>
      </c>
      <c r="AM89" s="543">
        <f t="shared" si="9"/>
        <v>0</v>
      </c>
      <c r="AN89" s="544"/>
      <c r="AO89" s="545"/>
    </row>
    <row r="90" spans="1:49" s="519" customFormat="1" ht="45.75" hidden="1" customHeight="1">
      <c r="A90" s="517">
        <v>80</v>
      </c>
      <c r="B90" s="517">
        <v>45</v>
      </c>
      <c r="C90" s="546" t="str">
        <f>+'[7]CHẤM CÔNG'!$B53</f>
        <v>A Beo</v>
      </c>
      <c r="D90" s="547"/>
      <c r="E90" s="547"/>
      <c r="F90" s="547"/>
      <c r="G90" s="547"/>
      <c r="H90" s="547"/>
      <c r="I90" s="1096"/>
      <c r="J90" s="547"/>
      <c r="K90" s="547"/>
      <c r="L90" s="547"/>
      <c r="M90" s="548"/>
      <c r="N90" s="547"/>
      <c r="O90" s="547"/>
      <c r="P90" s="547"/>
      <c r="Q90" s="547"/>
      <c r="R90" s="547"/>
      <c r="S90" s="547"/>
      <c r="T90" s="547"/>
      <c r="U90" s="547"/>
      <c r="V90" s="547"/>
      <c r="W90" s="547"/>
      <c r="X90" s="547"/>
      <c r="Y90" s="547"/>
      <c r="Z90" s="547"/>
      <c r="AA90" s="547"/>
      <c r="AB90" s="547"/>
      <c r="AC90" s="547"/>
      <c r="AD90" s="547"/>
      <c r="AE90" s="547"/>
      <c r="AF90" s="547"/>
      <c r="AG90" s="547"/>
      <c r="AH90" s="547"/>
      <c r="AI90" s="543">
        <f t="shared" si="5"/>
        <v>0</v>
      </c>
      <c r="AJ90" s="543">
        <f t="shared" si="6"/>
        <v>0</v>
      </c>
      <c r="AK90" s="543">
        <f t="shared" si="7"/>
        <v>0</v>
      </c>
      <c r="AL90" s="543">
        <f t="shared" si="8"/>
        <v>0</v>
      </c>
      <c r="AM90" s="543">
        <f t="shared" si="9"/>
        <v>0</v>
      </c>
      <c r="AN90" s="544"/>
      <c r="AO90" s="545"/>
      <c r="AP90" s="550"/>
      <c r="AQ90" s="550"/>
      <c r="AR90" s="550"/>
      <c r="AS90" s="832"/>
    </row>
    <row r="91" spans="1:49" s="519" customFormat="1" ht="45.75" hidden="1" customHeight="1">
      <c r="A91" s="517">
        <v>81</v>
      </c>
      <c r="B91" s="517">
        <v>46</v>
      </c>
      <c r="C91" s="546" t="str">
        <f>+'[7]CHẤM CÔNG'!$B54</f>
        <v>A Bốt</v>
      </c>
      <c r="D91" s="547"/>
      <c r="E91" s="547"/>
      <c r="F91" s="547"/>
      <c r="G91" s="547"/>
      <c r="H91" s="547"/>
      <c r="I91" s="1096"/>
      <c r="J91" s="547"/>
      <c r="K91" s="547"/>
      <c r="L91" s="547"/>
      <c r="M91" s="548"/>
      <c r="N91" s="547"/>
      <c r="O91" s="547"/>
      <c r="P91" s="547"/>
      <c r="Q91" s="547"/>
      <c r="R91" s="547"/>
      <c r="S91" s="547"/>
      <c r="T91" s="547"/>
      <c r="U91" s="547"/>
      <c r="V91" s="547"/>
      <c r="W91" s="547"/>
      <c r="X91" s="547"/>
      <c r="Y91" s="547"/>
      <c r="Z91" s="547"/>
      <c r="AA91" s="547"/>
      <c r="AB91" s="547"/>
      <c r="AC91" s="547"/>
      <c r="AD91" s="547"/>
      <c r="AE91" s="547"/>
      <c r="AF91" s="547"/>
      <c r="AG91" s="547"/>
      <c r="AH91" s="547"/>
      <c r="AI91" s="543">
        <f t="shared" si="5"/>
        <v>0</v>
      </c>
      <c r="AJ91" s="543">
        <f t="shared" si="6"/>
        <v>0</v>
      </c>
      <c r="AK91" s="543">
        <f t="shared" si="7"/>
        <v>0</v>
      </c>
      <c r="AL91" s="543">
        <f t="shared" si="8"/>
        <v>0</v>
      </c>
      <c r="AM91" s="543">
        <f t="shared" si="9"/>
        <v>0</v>
      </c>
      <c r="AN91" s="544"/>
      <c r="AO91" s="545"/>
      <c r="AP91" s="550"/>
      <c r="AQ91" s="550"/>
      <c r="AR91" s="550"/>
      <c r="AS91" s="832"/>
    </row>
    <row r="92" spans="1:49" s="551" customFormat="1" ht="45.75" customHeight="1">
      <c r="A92" s="553"/>
      <c r="B92" s="553"/>
      <c r="C92" s="554" t="s">
        <v>304</v>
      </c>
      <c r="D92" s="555">
        <f>COUNTA(D11:D88)</f>
        <v>77</v>
      </c>
      <c r="E92" s="555">
        <f t="shared" ref="E92:AG92" si="10">COUNTA(E11:E88)</f>
        <v>77</v>
      </c>
      <c r="F92" s="555">
        <f t="shared" si="10"/>
        <v>77</v>
      </c>
      <c r="G92" s="555">
        <f t="shared" si="10"/>
        <v>77</v>
      </c>
      <c r="H92" s="555">
        <f t="shared" si="10"/>
        <v>77</v>
      </c>
      <c r="I92" s="1097">
        <f t="shared" si="10"/>
        <v>77</v>
      </c>
      <c r="J92" s="555">
        <f t="shared" si="10"/>
        <v>77</v>
      </c>
      <c r="K92" s="555">
        <f t="shared" si="10"/>
        <v>77</v>
      </c>
      <c r="L92" s="555">
        <f t="shared" si="10"/>
        <v>77</v>
      </c>
      <c r="M92" s="555">
        <f t="shared" si="10"/>
        <v>77</v>
      </c>
      <c r="N92" s="555">
        <f t="shared" si="10"/>
        <v>77</v>
      </c>
      <c r="O92" s="555">
        <f t="shared" si="10"/>
        <v>77</v>
      </c>
      <c r="P92" s="555">
        <f t="shared" si="10"/>
        <v>77</v>
      </c>
      <c r="Q92" s="555">
        <f t="shared" si="10"/>
        <v>77</v>
      </c>
      <c r="R92" s="555">
        <f t="shared" si="10"/>
        <v>77</v>
      </c>
      <c r="S92" s="555">
        <f t="shared" si="10"/>
        <v>77</v>
      </c>
      <c r="T92" s="555">
        <f t="shared" si="10"/>
        <v>77</v>
      </c>
      <c r="U92" s="555">
        <f t="shared" si="10"/>
        <v>77</v>
      </c>
      <c r="V92" s="555">
        <f t="shared" si="10"/>
        <v>73</v>
      </c>
      <c r="W92" s="555">
        <f t="shared" si="10"/>
        <v>72</v>
      </c>
      <c r="X92" s="555">
        <f t="shared" si="10"/>
        <v>77</v>
      </c>
      <c r="Y92" s="555">
        <f t="shared" si="10"/>
        <v>77</v>
      </c>
      <c r="Z92" s="555">
        <f t="shared" si="10"/>
        <v>77</v>
      </c>
      <c r="AA92" s="555">
        <f t="shared" si="10"/>
        <v>77</v>
      </c>
      <c r="AB92" s="555">
        <f t="shared" si="10"/>
        <v>77</v>
      </c>
      <c r="AC92" s="555">
        <f t="shared" si="10"/>
        <v>77</v>
      </c>
      <c r="AD92" s="555">
        <f t="shared" si="10"/>
        <v>77</v>
      </c>
      <c r="AE92" s="555">
        <f t="shared" si="10"/>
        <v>77</v>
      </c>
      <c r="AF92" s="555">
        <f t="shared" si="10"/>
        <v>77</v>
      </c>
      <c r="AG92" s="555">
        <f t="shared" si="10"/>
        <v>77</v>
      </c>
      <c r="AH92" s="555">
        <f>COUNTA(AH11:AH88)</f>
        <v>77</v>
      </c>
      <c r="AI92" s="557">
        <f>SUM(AI11:AI88)</f>
        <v>2027</v>
      </c>
      <c r="AJ92" s="557">
        <f>SUM(AJ11:AJ88)</f>
        <v>265</v>
      </c>
      <c r="AK92" s="557">
        <f>SUM(AK11:AK88)</f>
        <v>43</v>
      </c>
      <c r="AL92" s="557">
        <f>SUM(AL11:AL88)</f>
        <v>43</v>
      </c>
      <c r="AM92" s="557">
        <f>SUM(AM11:AM88)</f>
        <v>2378</v>
      </c>
      <c r="AN92" s="553"/>
      <c r="AO92" s="556"/>
      <c r="AP92" s="549" t="s">
        <v>122</v>
      </c>
      <c r="AQ92" s="833">
        <f>+E92+L92+S92+Z92+AG92</f>
        <v>385</v>
      </c>
      <c r="AR92" s="833"/>
      <c r="AT92" s="519"/>
      <c r="AU92" s="519"/>
      <c r="AV92" s="519"/>
      <c r="AW92" s="519"/>
    </row>
    <row r="93" spans="1:49" s="421" customFormat="1" ht="19.5" customHeight="1">
      <c r="C93" s="1311" t="s">
        <v>124</v>
      </c>
      <c r="D93" s="1311"/>
      <c r="I93" s="1098"/>
      <c r="AM93" s="558"/>
    </row>
    <row r="94" spans="1:49" s="421" customFormat="1" ht="19.5" customHeight="1">
      <c r="C94" s="229" t="s">
        <v>305</v>
      </c>
      <c r="F94" s="229" t="s">
        <v>307</v>
      </c>
      <c r="I94" s="1098"/>
      <c r="AI94" s="424" t="s">
        <v>587</v>
      </c>
      <c r="AJ94" s="561"/>
      <c r="AK94" s="561"/>
      <c r="AL94" s="561"/>
      <c r="AM94" s="563"/>
      <c r="AN94" s="561"/>
    </row>
    <row r="95" spans="1:49" s="421" customFormat="1" ht="19.5" customHeight="1">
      <c r="C95" s="229" t="s">
        <v>306</v>
      </c>
      <c r="F95" s="229" t="s">
        <v>374</v>
      </c>
      <c r="I95" s="1098"/>
      <c r="AQ95" s="811"/>
      <c r="AR95" s="811"/>
    </row>
    <row r="96" spans="1:49" s="421" customFormat="1" ht="19.5" hidden="1">
      <c r="C96" s="229" t="s">
        <v>307</v>
      </c>
      <c r="I96" s="1098"/>
    </row>
    <row r="97" spans="1:49" s="421" customFormat="1" ht="19.5" hidden="1">
      <c r="C97" s="229" t="s">
        <v>308</v>
      </c>
      <c r="I97" s="1098"/>
    </row>
    <row r="98" spans="1:49" s="421" customFormat="1" ht="19.5" hidden="1">
      <c r="C98" s="229" t="s">
        <v>309</v>
      </c>
      <c r="I98" s="1098"/>
    </row>
    <row r="99" spans="1:49" s="421" customFormat="1" ht="19.5" hidden="1">
      <c r="C99" s="229" t="s">
        <v>310</v>
      </c>
      <c r="I99" s="1098"/>
    </row>
    <row r="100" spans="1:49" s="421" customFormat="1" ht="12" customHeight="1">
      <c r="I100" s="1098"/>
      <c r="AE100" s="423"/>
      <c r="AF100" s="423"/>
      <c r="AG100" s="423"/>
      <c r="AH100" s="423"/>
      <c r="AJ100" s="423"/>
      <c r="AK100" s="423"/>
      <c r="AL100" s="423"/>
      <c r="AM100" s="423"/>
      <c r="AN100" s="423"/>
      <c r="AO100" s="423"/>
    </row>
    <row r="101" spans="1:49" s="559" customFormat="1" ht="21" customHeight="1">
      <c r="A101" s="1170"/>
      <c r="B101" s="1170"/>
      <c r="C101" s="1305" t="s">
        <v>35</v>
      </c>
      <c r="D101" s="1305"/>
      <c r="E101" s="1305"/>
      <c r="F101" s="1305"/>
      <c r="I101" s="1305" t="s">
        <v>517</v>
      </c>
      <c r="J101" s="1305"/>
      <c r="K101" s="1305"/>
      <c r="L101" s="1305"/>
      <c r="P101" s="1305" t="s">
        <v>516</v>
      </c>
      <c r="Q101" s="1305"/>
      <c r="R101" s="1305"/>
      <c r="S101" s="1305"/>
      <c r="T101" s="1305"/>
      <c r="W101" s="1305" t="s">
        <v>437</v>
      </c>
      <c r="X101" s="1305"/>
      <c r="Y101" s="1305"/>
      <c r="Z101" s="1305"/>
      <c r="AA101" s="1305"/>
      <c r="AE101" s="1305" t="s">
        <v>108</v>
      </c>
      <c r="AF101" s="1305"/>
      <c r="AG101" s="1305"/>
      <c r="AH101" s="1305"/>
      <c r="AI101" s="1305"/>
      <c r="AJ101" s="835"/>
      <c r="AL101" s="1322" t="s">
        <v>33</v>
      </c>
      <c r="AM101" s="1322"/>
      <c r="AN101" s="835"/>
      <c r="AO101" s="1173"/>
      <c r="AP101" s="561"/>
      <c r="AQ101" s="561"/>
      <c r="AR101" s="561"/>
      <c r="AS101" s="561"/>
      <c r="AT101" s="561"/>
      <c r="AU101" s="561"/>
      <c r="AV101" s="561"/>
      <c r="AW101" s="561"/>
    </row>
    <row r="102" spans="1:49" s="421" customFormat="1" ht="18.75">
      <c r="I102" s="1098"/>
    </row>
    <row r="104" spans="1:49" hidden="1">
      <c r="F104" s="1312" t="s">
        <v>297</v>
      </c>
      <c r="G104" s="1312"/>
      <c r="H104" s="1312"/>
      <c r="I104" s="1312"/>
      <c r="J104" s="1312"/>
      <c r="K104" s="1312"/>
      <c r="L104" s="1312"/>
      <c r="M104" s="1312"/>
      <c r="N104" s="1312"/>
      <c r="O104" s="1312"/>
      <c r="P104" s="1312"/>
      <c r="Q104" s="1312"/>
      <c r="R104" s="1312"/>
      <c r="S104" s="1312"/>
      <c r="T104" s="1312"/>
      <c r="U104" s="1312"/>
      <c r="V104" s="1312"/>
      <c r="W104" s="1312"/>
      <c r="X104" s="1312"/>
      <c r="Y104" s="1312"/>
      <c r="Z104" s="1312"/>
      <c r="AA104" s="1312"/>
      <c r="AB104" s="1312"/>
      <c r="AC104" s="1312"/>
      <c r="AD104" s="1312"/>
      <c r="AE104" s="1312"/>
      <c r="AF104" s="1312"/>
      <c r="AG104" s="1312"/>
      <c r="AH104" s="1312"/>
      <c r="AI104" s="1312"/>
      <c r="AJ104" s="1312"/>
      <c r="AK104" s="1312"/>
      <c r="AL104" s="1312"/>
      <c r="AM104" s="1312"/>
    </row>
    <row r="105" spans="1:49" hidden="1">
      <c r="F105" s="1312"/>
      <c r="G105" s="1312"/>
      <c r="H105" s="1312"/>
      <c r="I105" s="1312"/>
      <c r="J105" s="1312"/>
      <c r="K105" s="1312"/>
      <c r="L105" s="1312"/>
      <c r="M105" s="1312"/>
      <c r="N105" s="1312"/>
      <c r="O105" s="1312"/>
      <c r="P105" s="1312"/>
      <c r="Q105" s="1312"/>
      <c r="R105" s="1312"/>
      <c r="S105" s="1312"/>
      <c r="T105" s="1312"/>
      <c r="U105" s="1312"/>
      <c r="V105" s="1312"/>
      <c r="W105" s="1312"/>
      <c r="X105" s="1312"/>
      <c r="Y105" s="1312"/>
      <c r="Z105" s="1312"/>
      <c r="AA105" s="1312"/>
      <c r="AB105" s="1312"/>
      <c r="AC105" s="1312"/>
      <c r="AD105" s="1312"/>
      <c r="AE105" s="1312"/>
      <c r="AF105" s="1312"/>
      <c r="AG105" s="1312"/>
      <c r="AH105" s="1312"/>
      <c r="AI105" s="1312"/>
      <c r="AJ105" s="1312"/>
      <c r="AK105" s="1312"/>
      <c r="AL105" s="1312"/>
      <c r="AM105" s="1312"/>
    </row>
    <row r="106" spans="1:49" hidden="1">
      <c r="F106" s="1312"/>
      <c r="G106" s="1312"/>
      <c r="H106" s="1312"/>
      <c r="I106" s="1312"/>
      <c r="J106" s="1312"/>
      <c r="K106" s="1312"/>
      <c r="L106" s="1312"/>
      <c r="M106" s="1312"/>
      <c r="N106" s="1312"/>
      <c r="O106" s="1312"/>
      <c r="P106" s="1312"/>
      <c r="Q106" s="1312"/>
      <c r="R106" s="1312"/>
      <c r="S106" s="1312"/>
      <c r="T106" s="1312"/>
      <c r="U106" s="1312"/>
      <c r="V106" s="1312"/>
      <c r="W106" s="1312"/>
      <c r="X106" s="1312"/>
      <c r="Y106" s="1312"/>
      <c r="Z106" s="1312"/>
      <c r="AA106" s="1312"/>
      <c r="AB106" s="1312"/>
      <c r="AC106" s="1312"/>
      <c r="AD106" s="1312"/>
      <c r="AE106" s="1312"/>
      <c r="AF106" s="1312"/>
      <c r="AG106" s="1312"/>
      <c r="AH106" s="1312"/>
      <c r="AI106" s="1312"/>
      <c r="AJ106" s="1312"/>
      <c r="AK106" s="1312"/>
      <c r="AL106" s="1312"/>
      <c r="AM106" s="1312"/>
    </row>
    <row r="107" spans="1:49" hidden="1">
      <c r="F107" s="1312"/>
      <c r="G107" s="1312"/>
      <c r="H107" s="1312"/>
      <c r="I107" s="1312"/>
      <c r="J107" s="1312"/>
      <c r="K107" s="1312"/>
      <c r="L107" s="1312"/>
      <c r="M107" s="1312"/>
      <c r="N107" s="1312"/>
      <c r="O107" s="1312"/>
      <c r="P107" s="1312"/>
      <c r="Q107" s="1312"/>
      <c r="R107" s="1312"/>
      <c r="S107" s="1312"/>
      <c r="T107" s="1312"/>
      <c r="U107" s="1312"/>
      <c r="V107" s="1312"/>
      <c r="W107" s="1312"/>
      <c r="X107" s="1312"/>
      <c r="Y107" s="1312"/>
      <c r="Z107" s="1312"/>
      <c r="AA107" s="1312"/>
      <c r="AB107" s="1312"/>
      <c r="AC107" s="1312"/>
      <c r="AD107" s="1312"/>
      <c r="AE107" s="1312"/>
      <c r="AF107" s="1312"/>
      <c r="AG107" s="1312"/>
      <c r="AH107" s="1312"/>
      <c r="AI107" s="1312"/>
      <c r="AJ107" s="1312"/>
      <c r="AK107" s="1312"/>
      <c r="AL107" s="1312"/>
      <c r="AM107" s="1312"/>
    </row>
    <row r="108" spans="1:49" hidden="1">
      <c r="F108" s="1312"/>
      <c r="G108" s="1312"/>
      <c r="H108" s="1312"/>
      <c r="I108" s="1312"/>
      <c r="J108" s="1312"/>
      <c r="K108" s="1312"/>
      <c r="L108" s="1312"/>
      <c r="M108" s="1312"/>
      <c r="N108" s="1312"/>
      <c r="O108" s="1312"/>
      <c r="P108" s="1312"/>
      <c r="Q108" s="1312"/>
      <c r="R108" s="1312"/>
      <c r="S108" s="1312"/>
      <c r="T108" s="1312"/>
      <c r="U108" s="1312"/>
      <c r="V108" s="1312"/>
      <c r="W108" s="1312"/>
      <c r="X108" s="1312"/>
      <c r="Y108" s="1312"/>
      <c r="Z108" s="1312"/>
      <c r="AA108" s="1312"/>
      <c r="AB108" s="1312"/>
      <c r="AC108" s="1312"/>
      <c r="AD108" s="1312"/>
      <c r="AE108" s="1312"/>
      <c r="AF108" s="1312"/>
      <c r="AG108" s="1312"/>
      <c r="AH108" s="1312"/>
      <c r="AI108" s="1312"/>
      <c r="AJ108" s="1312"/>
      <c r="AK108" s="1312"/>
      <c r="AL108" s="1312"/>
      <c r="AM108" s="1312"/>
    </row>
    <row r="109" spans="1:49" hidden="1">
      <c r="C109" s="226"/>
      <c r="F109" s="1312"/>
      <c r="G109" s="1312"/>
      <c r="H109" s="1312"/>
      <c r="I109" s="1312"/>
      <c r="J109" s="1312"/>
      <c r="K109" s="1312"/>
      <c r="L109" s="1312"/>
      <c r="M109" s="1312"/>
      <c r="N109" s="1312"/>
      <c r="O109" s="1312"/>
      <c r="P109" s="1312"/>
      <c r="Q109" s="1312"/>
      <c r="R109" s="1312"/>
      <c r="S109" s="1312"/>
      <c r="T109" s="1312"/>
      <c r="U109" s="1312"/>
      <c r="V109" s="1312"/>
      <c r="W109" s="1312"/>
      <c r="X109" s="1312"/>
      <c r="Y109" s="1312"/>
      <c r="Z109" s="1312"/>
      <c r="AA109" s="1312"/>
      <c r="AB109" s="1312"/>
      <c r="AC109" s="1312"/>
      <c r="AD109" s="1312"/>
      <c r="AE109" s="1312"/>
      <c r="AF109" s="1312"/>
      <c r="AG109" s="1312"/>
      <c r="AH109" s="1312"/>
      <c r="AI109" s="1312"/>
      <c r="AJ109" s="1312"/>
      <c r="AK109" s="1312"/>
      <c r="AL109" s="1312"/>
      <c r="AM109" s="1312"/>
    </row>
    <row r="110" spans="1:49" hidden="1"/>
    <row r="111" spans="1:49" hidden="1"/>
    <row r="118" spans="9:39" s="577" customFormat="1" ht="21" customHeight="1">
      <c r="I118" s="1310" t="s">
        <v>524</v>
      </c>
      <c r="J118" s="1310"/>
      <c r="K118" s="1310"/>
      <c r="L118" s="1310"/>
      <c r="W118" s="1310" t="s">
        <v>110</v>
      </c>
      <c r="X118" s="1310"/>
      <c r="Y118" s="1310"/>
      <c r="Z118" s="1310"/>
      <c r="AA118" s="1310"/>
      <c r="AE118" s="1310" t="s">
        <v>290</v>
      </c>
      <c r="AF118" s="1310"/>
      <c r="AG118" s="1310"/>
      <c r="AH118" s="1310"/>
      <c r="AI118" s="1310"/>
      <c r="AL118" s="1310" t="s">
        <v>314</v>
      </c>
      <c r="AM118" s="1310"/>
    </row>
  </sheetData>
  <mergeCells count="26">
    <mergeCell ref="A5:N5"/>
    <mergeCell ref="Y5:AM5"/>
    <mergeCell ref="A1:AN1"/>
    <mergeCell ref="A2:AN2"/>
    <mergeCell ref="A3:AN3"/>
    <mergeCell ref="A4:N4"/>
    <mergeCell ref="Y4:AM4"/>
    <mergeCell ref="C93:D93"/>
    <mergeCell ref="F104:AM109"/>
    <mergeCell ref="C101:F101"/>
    <mergeCell ref="A7:AN7"/>
    <mergeCell ref="AJ8:AM8"/>
    <mergeCell ref="A9:B10"/>
    <mergeCell ref="C9:C10"/>
    <mergeCell ref="D9:AH9"/>
    <mergeCell ref="AI9:AM9"/>
    <mergeCell ref="AN9:AN10"/>
    <mergeCell ref="I101:L101"/>
    <mergeCell ref="AL101:AM101"/>
    <mergeCell ref="AL118:AM118"/>
    <mergeCell ref="I118:L118"/>
    <mergeCell ref="P101:T101"/>
    <mergeCell ref="W101:AA101"/>
    <mergeCell ref="W118:AA118"/>
    <mergeCell ref="AE101:AI101"/>
    <mergeCell ref="AE118:AI118"/>
  </mergeCells>
  <pageMargins left="0" right="0" top="0.39" bottom="0.2" header="0.2" footer="0.19685039370078741"/>
  <pageSetup paperSize="9" scale="51" fitToHeight="0" orientation="landscape" r:id="rId1"/>
  <colBreaks count="1" manualBreakCount="1">
    <brk id="41" max="1048575"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X109"/>
  <sheetViews>
    <sheetView topLeftCell="A92" zoomScale="55" zoomScaleNormal="55" zoomScaleSheetLayoutView="25" workbookViewId="0">
      <selection activeCell="C85" sqref="C85"/>
    </sheetView>
  </sheetViews>
  <sheetFormatPr defaultColWidth="9.140625" defaultRowHeight="15.75"/>
  <cols>
    <col min="1" max="2" width="5.42578125" style="431" customWidth="1"/>
    <col min="3" max="3" width="21.28515625" style="432" customWidth="1"/>
    <col min="4" max="30" width="6.28515625" style="427" customWidth="1"/>
    <col min="31" max="31" width="6.85546875" style="427" customWidth="1"/>
    <col min="32" max="32" width="6.28515625" style="427" customWidth="1"/>
    <col min="33" max="33" width="7.85546875" style="427" customWidth="1"/>
    <col min="34" max="34" width="7.42578125" style="431" customWidth="1"/>
    <col min="35" max="35" width="10" style="427" customWidth="1"/>
    <col min="36" max="36" width="8.7109375" style="427" customWidth="1"/>
    <col min="37" max="37" width="9.28515625" style="427" customWidth="1"/>
    <col min="38" max="39" width="11.85546875" style="427" hidden="1" customWidth="1"/>
    <col min="40" max="40" width="10.140625" style="427" customWidth="1"/>
    <col min="41" max="41" width="10.85546875" style="427" customWidth="1"/>
    <col min="42" max="42" width="7.28515625" style="427" customWidth="1"/>
    <col min="43" max="43" width="18.28515625" style="427" customWidth="1"/>
    <col min="44" max="45" width="17.140625" style="427" customWidth="1"/>
    <col min="46" max="46" width="24.140625" style="427" customWidth="1"/>
    <col min="47" max="47" width="31.7109375" style="427" customWidth="1"/>
    <col min="48" max="48" width="26.7109375" style="427" customWidth="1"/>
    <col min="49" max="49" width="13" style="427" customWidth="1"/>
    <col min="50" max="16384" width="9.140625" style="427"/>
  </cols>
  <sheetData>
    <row r="1" spans="1:49" s="421" customFormat="1" ht="23.25" customHeight="1">
      <c r="A1" s="1305" t="s">
        <v>0</v>
      </c>
      <c r="B1" s="1305"/>
      <c r="C1" s="1305"/>
      <c r="D1" s="1305"/>
      <c r="E1" s="1305"/>
      <c r="F1" s="1305"/>
      <c r="G1" s="1305"/>
      <c r="H1" s="1305"/>
      <c r="I1" s="1305"/>
      <c r="J1" s="1305"/>
      <c r="K1" s="1305"/>
      <c r="L1" s="1305"/>
      <c r="M1" s="1305"/>
      <c r="N1" s="1305"/>
      <c r="O1" s="1305"/>
      <c r="P1" s="1305"/>
      <c r="Q1" s="1305"/>
      <c r="R1" s="1305"/>
      <c r="S1" s="1305"/>
      <c r="T1" s="1305"/>
      <c r="U1" s="1305"/>
      <c r="V1" s="1305"/>
      <c r="W1" s="1305"/>
      <c r="X1" s="1305"/>
      <c r="Y1" s="1305"/>
      <c r="Z1" s="1305"/>
      <c r="AA1" s="1305"/>
      <c r="AB1" s="1305"/>
      <c r="AC1" s="1305"/>
      <c r="AD1" s="1305"/>
      <c r="AE1" s="1305"/>
      <c r="AF1" s="1305"/>
      <c r="AG1" s="1305"/>
      <c r="AH1" s="1305"/>
      <c r="AI1" s="1305"/>
      <c r="AJ1" s="1305"/>
      <c r="AK1" s="1305"/>
      <c r="AL1" s="1305"/>
      <c r="AM1" s="1305"/>
      <c r="AN1" s="1305"/>
      <c r="AO1" s="1305"/>
      <c r="AP1" s="1305"/>
      <c r="AQ1" s="1305"/>
      <c r="AR1" s="427"/>
      <c r="AS1" s="427"/>
      <c r="AT1" s="427"/>
      <c r="AU1" s="427"/>
      <c r="AV1" s="427"/>
      <c r="AW1" s="427"/>
    </row>
    <row r="2" spans="1:49" s="421" customFormat="1" ht="23.25" customHeight="1">
      <c r="A2" s="1305" t="s">
        <v>65</v>
      </c>
      <c r="B2" s="1305"/>
      <c r="C2" s="1305"/>
      <c r="D2" s="1305"/>
      <c r="E2" s="1305"/>
      <c r="F2" s="1305"/>
      <c r="G2" s="1305"/>
      <c r="H2" s="1305"/>
      <c r="I2" s="1305"/>
      <c r="J2" s="1305"/>
      <c r="K2" s="1305"/>
      <c r="L2" s="1305"/>
      <c r="M2" s="1305"/>
      <c r="N2" s="1305"/>
      <c r="O2" s="1305"/>
      <c r="P2" s="1305"/>
      <c r="Q2" s="1305"/>
      <c r="R2" s="1305"/>
      <c r="S2" s="1305"/>
      <c r="T2" s="1305"/>
      <c r="U2" s="1305"/>
      <c r="V2" s="1305"/>
      <c r="W2" s="1305"/>
      <c r="X2" s="1305"/>
      <c r="Y2" s="1305"/>
      <c r="Z2" s="1305"/>
      <c r="AA2" s="1305"/>
      <c r="AB2" s="1305"/>
      <c r="AC2" s="1305"/>
      <c r="AD2" s="1305"/>
      <c r="AE2" s="1305"/>
      <c r="AF2" s="1305"/>
      <c r="AG2" s="1305"/>
      <c r="AH2" s="1305"/>
      <c r="AI2" s="1305"/>
      <c r="AJ2" s="1305"/>
      <c r="AK2" s="1305"/>
      <c r="AL2" s="1305"/>
      <c r="AM2" s="1305"/>
      <c r="AN2" s="1305"/>
      <c r="AO2" s="1305"/>
      <c r="AP2" s="1305"/>
      <c r="AQ2" s="1305"/>
      <c r="AR2" s="427"/>
      <c r="AS2" s="427"/>
      <c r="AT2" s="427"/>
      <c r="AU2" s="427"/>
      <c r="AV2" s="427"/>
      <c r="AW2" s="427"/>
    </row>
    <row r="3" spans="1:49" s="421" customFormat="1" ht="15" customHeight="1">
      <c r="A3" s="1305" t="s">
        <v>39</v>
      </c>
      <c r="B3" s="1305"/>
      <c r="C3" s="1305"/>
      <c r="D3" s="1305"/>
      <c r="E3" s="1305"/>
      <c r="F3" s="1305"/>
      <c r="G3" s="1305"/>
      <c r="H3" s="1305"/>
      <c r="I3" s="1305"/>
      <c r="J3" s="1305"/>
      <c r="K3" s="1305"/>
      <c r="L3" s="1305"/>
      <c r="M3" s="1305"/>
      <c r="N3" s="1305"/>
      <c r="O3" s="1305"/>
      <c r="P3" s="1305"/>
      <c r="Q3" s="1305"/>
      <c r="R3" s="1305"/>
      <c r="S3" s="1305"/>
      <c r="T3" s="1305"/>
      <c r="U3" s="1305"/>
      <c r="V3" s="1305"/>
      <c r="W3" s="1305"/>
      <c r="X3" s="1305"/>
      <c r="Y3" s="1305"/>
      <c r="Z3" s="1305"/>
      <c r="AA3" s="1305"/>
      <c r="AB3" s="1305"/>
      <c r="AC3" s="1305"/>
      <c r="AD3" s="1305"/>
      <c r="AE3" s="1305"/>
      <c r="AF3" s="1305"/>
      <c r="AG3" s="1305"/>
      <c r="AH3" s="1305"/>
      <c r="AI3" s="1305"/>
      <c r="AJ3" s="1305"/>
      <c r="AK3" s="1305"/>
      <c r="AL3" s="1305"/>
      <c r="AM3" s="1305"/>
      <c r="AN3" s="1305"/>
      <c r="AO3" s="1305"/>
      <c r="AP3" s="1305"/>
      <c r="AQ3" s="1305"/>
      <c r="AR3" s="702"/>
      <c r="AS3" s="702"/>
      <c r="AT3" s="702"/>
      <c r="AU3" s="702"/>
      <c r="AV3" s="427"/>
      <c r="AW3" s="427"/>
    </row>
    <row r="4" spans="1:49" s="448" customFormat="1" ht="23.25" customHeight="1">
      <c r="A4" s="1387" t="s">
        <v>115</v>
      </c>
      <c r="B4" s="1387"/>
      <c r="C4" s="1387"/>
      <c r="D4" s="1387"/>
      <c r="E4" s="1387"/>
      <c r="F4" s="1387"/>
      <c r="G4" s="1387"/>
      <c r="H4" s="1387"/>
      <c r="I4" s="1387"/>
      <c r="J4" s="1387"/>
      <c r="K4" s="1387"/>
      <c r="L4" s="1387"/>
      <c r="M4" s="1387"/>
      <c r="N4" s="1387"/>
      <c r="O4" s="559"/>
      <c r="P4" s="559"/>
      <c r="Q4" s="559"/>
      <c r="R4" s="559"/>
      <c r="S4" s="559"/>
      <c r="T4" s="559"/>
      <c r="U4" s="559"/>
      <c r="V4" s="559"/>
      <c r="W4" s="559"/>
      <c r="X4" s="559"/>
      <c r="Y4" s="1305"/>
      <c r="Z4" s="1305"/>
      <c r="AA4" s="1305"/>
      <c r="AB4" s="1305"/>
      <c r="AC4" s="1305"/>
      <c r="AD4" s="1305"/>
      <c r="AE4" s="1305"/>
      <c r="AF4" s="1305"/>
      <c r="AG4" s="1305"/>
      <c r="AH4" s="1305"/>
      <c r="AI4" s="1305"/>
      <c r="AJ4" s="1305"/>
      <c r="AK4" s="1305"/>
      <c r="AL4" s="1305"/>
      <c r="AM4" s="1305"/>
      <c r="AN4" s="1305"/>
      <c r="AO4" s="1305"/>
      <c r="AP4" s="1305"/>
      <c r="AQ4" s="1305"/>
      <c r="AR4" s="428"/>
      <c r="AS4" s="428"/>
      <c r="AT4" s="428"/>
      <c r="AU4" s="428"/>
      <c r="AV4" s="428"/>
      <c r="AW4" s="428"/>
    </row>
    <row r="5" spans="1:49" s="448" customFormat="1" ht="18.75" customHeight="1">
      <c r="A5" s="1386" t="s">
        <v>292</v>
      </c>
      <c r="B5" s="1386"/>
      <c r="C5" s="1386"/>
      <c r="D5" s="1386"/>
      <c r="E5" s="1386"/>
      <c r="F5" s="1386"/>
      <c r="G5" s="1386"/>
      <c r="H5" s="1386"/>
      <c r="I5" s="1386"/>
      <c r="J5" s="1386"/>
      <c r="K5" s="1386"/>
      <c r="L5" s="1386"/>
      <c r="M5" s="1386"/>
      <c r="N5" s="1386"/>
      <c r="O5" s="559"/>
      <c r="P5" s="559"/>
      <c r="Q5" s="559"/>
      <c r="R5" s="559"/>
      <c r="S5" s="559"/>
      <c r="T5" s="559"/>
      <c r="U5" s="559"/>
      <c r="V5" s="559"/>
      <c r="W5" s="559"/>
      <c r="X5" s="559"/>
      <c r="Y5" s="1305"/>
      <c r="Z5" s="1305"/>
      <c r="AA5" s="1305"/>
      <c r="AB5" s="1305"/>
      <c r="AC5" s="1305"/>
      <c r="AD5" s="1305"/>
      <c r="AE5" s="1305"/>
      <c r="AF5" s="1305"/>
      <c r="AG5" s="1305"/>
      <c r="AH5" s="1305"/>
      <c r="AI5" s="1305"/>
      <c r="AJ5" s="1305"/>
      <c r="AK5" s="1305"/>
      <c r="AL5" s="1305"/>
      <c r="AM5" s="1305"/>
      <c r="AN5" s="1305"/>
      <c r="AO5" s="1305"/>
      <c r="AP5" s="1305"/>
      <c r="AQ5" s="1305"/>
      <c r="AR5" s="428"/>
      <c r="AS5" s="428"/>
      <c r="AT5" s="428"/>
      <c r="AU5" s="428"/>
      <c r="AV5" s="428"/>
      <c r="AW5" s="428"/>
    </row>
    <row r="6" spans="1:49" s="428" customFormat="1" ht="7.5" customHeight="1">
      <c r="A6" s="819"/>
      <c r="B6" s="819"/>
      <c r="C6" s="573"/>
      <c r="D6" s="559"/>
      <c r="E6" s="559"/>
      <c r="F6" s="559"/>
      <c r="G6" s="559"/>
      <c r="H6" s="559"/>
      <c r="I6" s="559"/>
      <c r="J6" s="559"/>
      <c r="K6" s="559"/>
      <c r="L6" s="559"/>
      <c r="M6" s="559"/>
      <c r="N6" s="559"/>
      <c r="O6" s="559"/>
      <c r="P6" s="559"/>
      <c r="Q6" s="559"/>
      <c r="R6" s="559"/>
      <c r="S6" s="559"/>
      <c r="T6" s="559"/>
      <c r="U6" s="559"/>
      <c r="V6" s="559"/>
      <c r="W6" s="559"/>
      <c r="X6" s="559"/>
      <c r="Y6" s="559"/>
      <c r="Z6" s="559"/>
      <c r="AA6" s="559"/>
      <c r="AB6" s="559"/>
      <c r="AC6" s="559"/>
      <c r="AD6" s="559"/>
      <c r="AE6" s="559"/>
      <c r="AF6" s="559"/>
      <c r="AG6" s="559"/>
      <c r="AH6" s="1127"/>
      <c r="AI6" s="559"/>
      <c r="AJ6" s="559"/>
      <c r="AK6" s="559"/>
      <c r="AL6" s="559"/>
      <c r="AM6" s="559"/>
      <c r="AN6" s="559"/>
      <c r="AO6" s="559"/>
      <c r="AP6" s="559"/>
      <c r="AQ6" s="559"/>
    </row>
    <row r="7" spans="1:49" s="435" customFormat="1" ht="23.25" customHeight="1">
      <c r="A7" s="1375" t="s">
        <v>549</v>
      </c>
      <c r="B7" s="1375"/>
      <c r="C7" s="1375"/>
      <c r="D7" s="1375"/>
      <c r="E7" s="1375"/>
      <c r="F7" s="1375"/>
      <c r="G7" s="1375"/>
      <c r="H7" s="1375"/>
      <c r="I7" s="1375"/>
      <c r="J7" s="1375"/>
      <c r="K7" s="1375"/>
      <c r="L7" s="1375"/>
      <c r="M7" s="1375"/>
      <c r="N7" s="1375"/>
      <c r="O7" s="1375"/>
      <c r="P7" s="1375"/>
      <c r="Q7" s="1375"/>
      <c r="R7" s="1375"/>
      <c r="S7" s="1375"/>
      <c r="T7" s="1375"/>
      <c r="U7" s="1375"/>
      <c r="V7" s="1375"/>
      <c r="W7" s="1375"/>
      <c r="X7" s="1375"/>
      <c r="Y7" s="1375"/>
      <c r="Z7" s="1375"/>
      <c r="AA7" s="1375"/>
      <c r="AB7" s="1375"/>
      <c r="AC7" s="1375"/>
      <c r="AD7" s="1375"/>
      <c r="AE7" s="1375"/>
      <c r="AF7" s="1375"/>
      <c r="AG7" s="1375"/>
      <c r="AH7" s="1375"/>
      <c r="AI7" s="1375"/>
      <c r="AJ7" s="1375"/>
      <c r="AK7" s="1375"/>
      <c r="AL7" s="1375"/>
      <c r="AM7" s="1375"/>
      <c r="AN7" s="1375"/>
      <c r="AO7" s="1375"/>
      <c r="AP7" s="1375"/>
      <c r="AQ7" s="1375"/>
      <c r="AR7" s="438"/>
      <c r="AS7" s="438"/>
      <c r="AT7" s="522"/>
      <c r="AV7" s="523"/>
    </row>
    <row r="8" spans="1:49" ht="12.75" customHeight="1">
      <c r="D8" s="431"/>
      <c r="E8" s="431"/>
      <c r="F8" s="431"/>
      <c r="G8" s="431"/>
      <c r="H8" s="431"/>
      <c r="I8" s="431"/>
      <c r="J8" s="431"/>
      <c r="K8" s="431"/>
      <c r="L8" s="431"/>
      <c r="M8" s="431"/>
      <c r="N8" s="431"/>
      <c r="O8" s="431"/>
      <c r="P8" s="431"/>
      <c r="Q8" s="431"/>
      <c r="R8" s="431"/>
      <c r="S8" s="431"/>
      <c r="T8" s="431"/>
      <c r="U8" s="431"/>
      <c r="V8" s="431"/>
      <c r="W8" s="431"/>
      <c r="X8" s="431"/>
      <c r="Y8" s="431"/>
      <c r="Z8" s="431"/>
      <c r="AA8" s="431"/>
      <c r="AB8" s="431"/>
      <c r="AC8" s="431"/>
      <c r="AD8" s="431"/>
      <c r="AE8" s="431"/>
      <c r="AF8" s="431"/>
      <c r="AG8" s="431"/>
      <c r="AI8" s="1313" t="s">
        <v>293</v>
      </c>
      <c r="AJ8" s="1313"/>
      <c r="AK8" s="1313"/>
      <c r="AL8" s="1313"/>
      <c r="AM8" s="1313"/>
      <c r="AN8" s="1313"/>
      <c r="AO8" s="1313"/>
      <c r="AP8" s="1313"/>
      <c r="AQ8" s="1313"/>
      <c r="AR8" s="431"/>
      <c r="AS8" s="431"/>
      <c r="AT8" s="431"/>
    </row>
    <row r="9" spans="1:49" s="428" customFormat="1" ht="27.75" customHeight="1">
      <c r="A9" s="1376" t="s">
        <v>41</v>
      </c>
      <c r="B9" s="1377"/>
      <c r="C9" s="1380" t="s">
        <v>12</v>
      </c>
      <c r="D9" s="1380" t="s">
        <v>27</v>
      </c>
      <c r="E9" s="1380"/>
      <c r="F9" s="1380"/>
      <c r="G9" s="1380"/>
      <c r="H9" s="1380"/>
      <c r="I9" s="1380"/>
      <c r="J9" s="1380"/>
      <c r="K9" s="1380"/>
      <c r="L9" s="1380"/>
      <c r="M9" s="1380"/>
      <c r="N9" s="1380"/>
      <c r="O9" s="1380"/>
      <c r="P9" s="1380"/>
      <c r="Q9" s="1380"/>
      <c r="R9" s="1380"/>
      <c r="S9" s="1380"/>
      <c r="T9" s="1380"/>
      <c r="U9" s="1380"/>
      <c r="V9" s="1380"/>
      <c r="W9" s="1380"/>
      <c r="X9" s="1380"/>
      <c r="Y9" s="1380"/>
      <c r="Z9" s="1380"/>
      <c r="AA9" s="1380"/>
      <c r="AB9" s="1380"/>
      <c r="AC9" s="1380"/>
      <c r="AD9" s="1380"/>
      <c r="AE9" s="1380"/>
      <c r="AF9" s="1380"/>
      <c r="AG9" s="1380"/>
      <c r="AH9" s="1380"/>
      <c r="AI9" s="1381" t="s">
        <v>550</v>
      </c>
      <c r="AJ9" s="1382" t="s">
        <v>294</v>
      </c>
      <c r="AK9" s="1382" t="s">
        <v>551</v>
      </c>
      <c r="AL9" s="1382" t="s">
        <v>550</v>
      </c>
      <c r="AM9" s="1382" t="s">
        <v>440</v>
      </c>
      <c r="AN9" s="1382" t="s">
        <v>575</v>
      </c>
      <c r="AO9" s="1382" t="s">
        <v>596</v>
      </c>
      <c r="AP9" s="1381" t="s">
        <v>116</v>
      </c>
      <c r="AQ9" s="1385" t="s">
        <v>58</v>
      </c>
      <c r="AR9" s="429"/>
      <c r="AS9" s="429"/>
      <c r="AT9" s="429"/>
    </row>
    <row r="10" spans="1:49" s="428" customFormat="1" ht="92.25" customHeight="1">
      <c r="A10" s="1378"/>
      <c r="B10" s="1379"/>
      <c r="C10" s="1380"/>
      <c r="D10" s="821">
        <v>1</v>
      </c>
      <c r="E10" s="821">
        <v>2</v>
      </c>
      <c r="F10" s="821">
        <v>3</v>
      </c>
      <c r="G10" s="821">
        <v>4</v>
      </c>
      <c r="H10" s="821">
        <v>5</v>
      </c>
      <c r="I10" s="821">
        <v>6</v>
      </c>
      <c r="J10" s="821">
        <v>7</v>
      </c>
      <c r="K10" s="821">
        <v>8</v>
      </c>
      <c r="L10" s="821">
        <v>9</v>
      </c>
      <c r="M10" s="821">
        <v>10</v>
      </c>
      <c r="N10" s="821">
        <v>11</v>
      </c>
      <c r="O10" s="821">
        <v>12</v>
      </c>
      <c r="P10" s="821">
        <v>13</v>
      </c>
      <c r="Q10" s="821">
        <v>14</v>
      </c>
      <c r="R10" s="821">
        <v>15</v>
      </c>
      <c r="S10" s="821">
        <v>16</v>
      </c>
      <c r="T10" s="821">
        <v>17</v>
      </c>
      <c r="U10" s="821">
        <v>18</v>
      </c>
      <c r="V10" s="821">
        <v>19</v>
      </c>
      <c r="W10" s="821">
        <v>20</v>
      </c>
      <c r="X10" s="821">
        <v>21</v>
      </c>
      <c r="Y10" s="821">
        <v>22</v>
      </c>
      <c r="Z10" s="821">
        <v>23</v>
      </c>
      <c r="AA10" s="821">
        <v>24</v>
      </c>
      <c r="AB10" s="821">
        <v>25</v>
      </c>
      <c r="AC10" s="821">
        <v>26</v>
      </c>
      <c r="AD10" s="821">
        <v>27</v>
      </c>
      <c r="AE10" s="821">
        <v>28</v>
      </c>
      <c r="AF10" s="572">
        <v>29</v>
      </c>
      <c r="AG10" s="572">
        <v>30</v>
      </c>
      <c r="AH10" s="1128">
        <v>31</v>
      </c>
      <c r="AI10" s="1381"/>
      <c r="AJ10" s="1383"/>
      <c r="AK10" s="1384"/>
      <c r="AL10" s="1384"/>
      <c r="AM10" s="1384"/>
      <c r="AN10" s="1384"/>
      <c r="AO10" s="1384"/>
      <c r="AP10" s="1381"/>
      <c r="AQ10" s="1385"/>
      <c r="AR10" s="429"/>
      <c r="AS10" s="429"/>
      <c r="AT10" s="429"/>
    </row>
    <row r="11" spans="1:49" s="435" customFormat="1" ht="57" customHeight="1">
      <c r="A11" s="537">
        <v>1</v>
      </c>
      <c r="B11" s="537"/>
      <c r="C11" s="569" t="str">
        <f>+'Biểu 1 TH CÔNG'!C11</f>
        <v>Phò Thưng</v>
      </c>
      <c r="D11" s="564">
        <v>71</v>
      </c>
      <c r="E11" s="564">
        <v>30</v>
      </c>
      <c r="F11" s="564">
        <v>46</v>
      </c>
      <c r="G11" s="564">
        <v>149</v>
      </c>
      <c r="H11" s="564">
        <v>53</v>
      </c>
      <c r="I11" s="564">
        <v>47</v>
      </c>
      <c r="J11" s="564">
        <v>77</v>
      </c>
      <c r="K11" s="564">
        <v>120</v>
      </c>
      <c r="L11" s="564">
        <v>80</v>
      </c>
      <c r="M11" s="564">
        <v>80</v>
      </c>
      <c r="N11" s="564">
        <v>82</v>
      </c>
      <c r="O11" s="564">
        <v>149</v>
      </c>
      <c r="P11" s="564">
        <v>114</v>
      </c>
      <c r="Q11" s="564">
        <v>64</v>
      </c>
      <c r="R11" s="564">
        <v>64</v>
      </c>
      <c r="S11" s="564">
        <v>140</v>
      </c>
      <c r="T11" s="564">
        <v>91</v>
      </c>
      <c r="U11" s="564">
        <v>56</v>
      </c>
      <c r="V11" s="564">
        <v>68</v>
      </c>
      <c r="W11" s="564">
        <v>138</v>
      </c>
      <c r="X11" s="564">
        <v>74</v>
      </c>
      <c r="Y11" s="564">
        <v>48</v>
      </c>
      <c r="Z11" s="564">
        <v>57</v>
      </c>
      <c r="AA11" s="564">
        <v>113</v>
      </c>
      <c r="AB11" s="564">
        <v>74</v>
      </c>
      <c r="AC11" s="564">
        <v>53</v>
      </c>
      <c r="AD11" s="564">
        <v>59</v>
      </c>
      <c r="AE11" s="564">
        <v>111</v>
      </c>
      <c r="AF11" s="564">
        <v>80</v>
      </c>
      <c r="AG11" s="564">
        <v>84</v>
      </c>
      <c r="AH11" s="564">
        <v>80</v>
      </c>
      <c r="AI11" s="565">
        <f>SUM(D11:AH11)</f>
        <v>2552</v>
      </c>
      <c r="AJ11" s="566">
        <f t="shared" ref="AJ11:AJ42" si="0">$AU$11</f>
        <v>40.312390512695202</v>
      </c>
      <c r="AK11" s="571">
        <f>+AI11*$AU$11/100</f>
        <v>1028.7722058839815</v>
      </c>
      <c r="AL11" s="826">
        <f>+AI11</f>
        <v>2552</v>
      </c>
      <c r="AM11" s="827">
        <f t="shared" ref="AM11:AM42" si="1">$AV$11</f>
        <v>3.9348777821989631</v>
      </c>
      <c r="AN11" s="826">
        <f>+AL11*$AV$11/100</f>
        <v>100.41808100171755</v>
      </c>
      <c r="AO11" s="826">
        <f>+AK11+AN11</f>
        <v>1129.1902868856992</v>
      </c>
      <c r="AP11" s="570" t="s">
        <v>63</v>
      </c>
      <c r="AQ11" s="433"/>
      <c r="AR11" s="482"/>
      <c r="AS11" s="482"/>
      <c r="AT11" s="434" t="s">
        <v>59</v>
      </c>
      <c r="AU11" s="525">
        <v>40.312390512695202</v>
      </c>
      <c r="AV11" s="711">
        <f>+AV13/AV12*100</f>
        <v>3.9348777821989631</v>
      </c>
    </row>
    <row r="12" spans="1:49" s="435" customFormat="1" ht="57" customHeight="1">
      <c r="A12" s="537">
        <v>2</v>
      </c>
      <c r="B12" s="537"/>
      <c r="C12" s="569" t="str">
        <f>+'Biểu 1 TH CÔNG'!C12</f>
        <v>A Nhợp</v>
      </c>
      <c r="D12" s="564">
        <v>105</v>
      </c>
      <c r="E12" s="564">
        <v>80</v>
      </c>
      <c r="F12" s="564">
        <v>70</v>
      </c>
      <c r="G12" s="564">
        <v>105</v>
      </c>
      <c r="H12" s="564">
        <v>100</v>
      </c>
      <c r="I12" s="564">
        <v>80</v>
      </c>
      <c r="J12" s="564">
        <v>90</v>
      </c>
      <c r="K12" s="564">
        <v>118</v>
      </c>
      <c r="L12" s="564">
        <v>90</v>
      </c>
      <c r="M12" s="564">
        <v>100</v>
      </c>
      <c r="N12" s="564">
        <v>80</v>
      </c>
      <c r="O12" s="564">
        <v>118</v>
      </c>
      <c r="P12" s="564">
        <v>100</v>
      </c>
      <c r="Q12" s="564">
        <v>88</v>
      </c>
      <c r="R12" s="564">
        <v>66</v>
      </c>
      <c r="S12" s="564">
        <v>112</v>
      </c>
      <c r="T12" s="564">
        <v>80</v>
      </c>
      <c r="U12" s="564">
        <v>90</v>
      </c>
      <c r="V12" s="564">
        <v>90</v>
      </c>
      <c r="W12" s="564">
        <v>112</v>
      </c>
      <c r="X12" s="564">
        <v>70</v>
      </c>
      <c r="Y12" s="564">
        <v>70</v>
      </c>
      <c r="Z12" s="564">
        <v>0</v>
      </c>
      <c r="AA12" s="564">
        <v>110</v>
      </c>
      <c r="AB12" s="564">
        <v>70</v>
      </c>
      <c r="AC12" s="564">
        <v>80</v>
      </c>
      <c r="AD12" s="564">
        <v>70</v>
      </c>
      <c r="AE12" s="564">
        <v>100</v>
      </c>
      <c r="AF12" s="564">
        <v>100</v>
      </c>
      <c r="AG12" s="564">
        <v>100</v>
      </c>
      <c r="AH12" s="564">
        <v>90</v>
      </c>
      <c r="AI12" s="565">
        <f t="shared" ref="AI12:AI75" si="2">SUM(D12:AH12)</f>
        <v>2734</v>
      </c>
      <c r="AJ12" s="566">
        <f t="shared" si="0"/>
        <v>40.312390512695202</v>
      </c>
      <c r="AK12" s="571">
        <f t="shared" ref="AK12:AK75" si="3">+AI12*$AU$11/100</f>
        <v>1102.1407566170869</v>
      </c>
      <c r="AL12" s="826">
        <f t="shared" ref="AL12:AL75" si="4">+AI12</f>
        <v>2734</v>
      </c>
      <c r="AM12" s="827">
        <f t="shared" si="1"/>
        <v>3.9348777821989631</v>
      </c>
      <c r="AN12" s="826">
        <f t="shared" ref="AN12:AN75" si="5">+AL12*$AV$11/100</f>
        <v>107.57955856531966</v>
      </c>
      <c r="AO12" s="826">
        <f t="shared" ref="AO12:AO75" si="6">+AK12+AN12</f>
        <v>1209.7203151824067</v>
      </c>
      <c r="AP12" s="570" t="s">
        <v>62</v>
      </c>
      <c r="AQ12" s="433"/>
      <c r="AR12" s="482"/>
      <c r="AS12" s="482"/>
      <c r="AT12" s="436" t="s">
        <v>354</v>
      </c>
      <c r="AU12" s="436">
        <f>+AI88</f>
        <v>198539</v>
      </c>
      <c r="AV12" s="710">
        <f>+AL88</f>
        <v>198539</v>
      </c>
    </row>
    <row r="13" spans="1:49" s="435" customFormat="1" ht="57" customHeight="1">
      <c r="A13" s="537">
        <v>3</v>
      </c>
      <c r="B13" s="537"/>
      <c r="C13" s="569" t="str">
        <f>+'Biểu 1 TH CÔNG'!C13</f>
        <v>Van</v>
      </c>
      <c r="D13" s="564">
        <v>163</v>
      </c>
      <c r="E13" s="564">
        <v>0</v>
      </c>
      <c r="F13" s="564">
        <v>52</v>
      </c>
      <c r="G13" s="564">
        <v>0</v>
      </c>
      <c r="H13" s="564">
        <v>0</v>
      </c>
      <c r="I13" s="564">
        <v>96</v>
      </c>
      <c r="J13" s="564">
        <v>80</v>
      </c>
      <c r="K13" s="564">
        <v>132</v>
      </c>
      <c r="L13" s="564">
        <v>200</v>
      </c>
      <c r="M13" s="564">
        <v>62</v>
      </c>
      <c r="N13" s="564">
        <v>0</v>
      </c>
      <c r="O13" s="564">
        <v>126</v>
      </c>
      <c r="P13" s="564">
        <v>96</v>
      </c>
      <c r="Q13" s="564">
        <v>55</v>
      </c>
      <c r="R13" s="564">
        <v>94</v>
      </c>
      <c r="S13" s="564">
        <v>89</v>
      </c>
      <c r="T13" s="564">
        <v>0</v>
      </c>
      <c r="U13" s="564">
        <v>50</v>
      </c>
      <c r="V13" s="564">
        <v>73</v>
      </c>
      <c r="W13" s="564">
        <v>0</v>
      </c>
      <c r="X13" s="564">
        <v>200</v>
      </c>
      <c r="Y13" s="564">
        <v>125</v>
      </c>
      <c r="Z13" s="564">
        <v>0</v>
      </c>
      <c r="AA13" s="564">
        <v>0</v>
      </c>
      <c r="AB13" s="564">
        <v>123</v>
      </c>
      <c r="AC13" s="564">
        <v>86</v>
      </c>
      <c r="AD13" s="564">
        <v>108</v>
      </c>
      <c r="AE13" s="564">
        <v>173</v>
      </c>
      <c r="AF13" s="564">
        <v>145</v>
      </c>
      <c r="AG13" s="564">
        <v>68</v>
      </c>
      <c r="AH13" s="564">
        <v>97</v>
      </c>
      <c r="AI13" s="565">
        <f t="shared" si="2"/>
        <v>2493</v>
      </c>
      <c r="AJ13" s="566">
        <f t="shared" si="0"/>
        <v>40.312390512695202</v>
      </c>
      <c r="AK13" s="571">
        <f t="shared" si="3"/>
        <v>1004.9878954814915</v>
      </c>
      <c r="AL13" s="826">
        <f t="shared" si="4"/>
        <v>2493</v>
      </c>
      <c r="AM13" s="827">
        <f t="shared" si="1"/>
        <v>3.9348777821989631</v>
      </c>
      <c r="AN13" s="826">
        <f t="shared" si="5"/>
        <v>98.096503110220141</v>
      </c>
      <c r="AO13" s="826">
        <f t="shared" si="6"/>
        <v>1103.0843985917115</v>
      </c>
      <c r="AP13" s="570" t="s">
        <v>61</v>
      </c>
      <c r="AQ13" s="433"/>
      <c r="AR13" s="482"/>
      <c r="AS13" s="482"/>
      <c r="AT13" s="436" t="s">
        <v>355</v>
      </c>
      <c r="AU13" s="828">
        <v>80035.81700000001</v>
      </c>
      <c r="AV13" s="435">
        <v>7812.2669999999998</v>
      </c>
    </row>
    <row r="14" spans="1:49" s="435" customFormat="1" ht="57" customHeight="1">
      <c r="A14" s="537">
        <v>4</v>
      </c>
      <c r="B14" s="537"/>
      <c r="C14" s="569" t="str">
        <f>+'Biểu 1 TH CÔNG'!C14</f>
        <v>Thảo Khọt</v>
      </c>
      <c r="D14" s="564">
        <v>111</v>
      </c>
      <c r="E14" s="564">
        <v>77</v>
      </c>
      <c r="F14" s="564">
        <v>111</v>
      </c>
      <c r="G14" s="564">
        <v>189</v>
      </c>
      <c r="H14" s="564">
        <v>120</v>
      </c>
      <c r="I14" s="564">
        <v>74</v>
      </c>
      <c r="J14" s="564">
        <v>107</v>
      </c>
      <c r="K14" s="564">
        <v>83</v>
      </c>
      <c r="L14" s="564">
        <v>113</v>
      </c>
      <c r="M14" s="564">
        <v>100</v>
      </c>
      <c r="N14" s="564">
        <v>100</v>
      </c>
      <c r="O14" s="564">
        <v>107</v>
      </c>
      <c r="P14" s="564">
        <v>111</v>
      </c>
      <c r="Q14" s="564">
        <v>85</v>
      </c>
      <c r="R14" s="564">
        <v>90</v>
      </c>
      <c r="S14" s="564">
        <v>97</v>
      </c>
      <c r="T14" s="564">
        <v>145</v>
      </c>
      <c r="U14" s="564">
        <v>85</v>
      </c>
      <c r="V14" s="564">
        <v>112</v>
      </c>
      <c r="W14" s="564">
        <v>80</v>
      </c>
      <c r="X14" s="564">
        <v>110</v>
      </c>
      <c r="Y14" s="564">
        <v>73</v>
      </c>
      <c r="Z14" s="564">
        <v>100</v>
      </c>
      <c r="AA14" s="564">
        <v>127</v>
      </c>
      <c r="AB14" s="564">
        <v>110</v>
      </c>
      <c r="AC14" s="564">
        <v>67</v>
      </c>
      <c r="AD14" s="564">
        <v>78</v>
      </c>
      <c r="AE14" s="564">
        <v>78</v>
      </c>
      <c r="AF14" s="564">
        <v>141</v>
      </c>
      <c r="AG14" s="564">
        <v>83</v>
      </c>
      <c r="AH14" s="564">
        <v>110</v>
      </c>
      <c r="AI14" s="565">
        <f t="shared" si="2"/>
        <v>3174</v>
      </c>
      <c r="AJ14" s="566">
        <f t="shared" si="0"/>
        <v>40.312390512695202</v>
      </c>
      <c r="AK14" s="571">
        <f t="shared" si="3"/>
        <v>1279.5152748729458</v>
      </c>
      <c r="AL14" s="826">
        <f t="shared" si="4"/>
        <v>3174</v>
      </c>
      <c r="AM14" s="827">
        <f t="shared" si="1"/>
        <v>3.9348777821989631</v>
      </c>
      <c r="AN14" s="826">
        <f t="shared" si="5"/>
        <v>124.89302080699508</v>
      </c>
      <c r="AO14" s="826">
        <f t="shared" si="6"/>
        <v>1404.4082956799409</v>
      </c>
      <c r="AP14" s="570" t="s">
        <v>63</v>
      </c>
      <c r="AQ14" s="433"/>
      <c r="AR14" s="482"/>
      <c r="AS14" s="482"/>
      <c r="AT14" s="482"/>
    </row>
    <row r="15" spans="1:49" s="435" customFormat="1" ht="57" customHeight="1">
      <c r="A15" s="537">
        <v>5</v>
      </c>
      <c r="B15" s="537"/>
      <c r="C15" s="569" t="str">
        <f>+'Biểu 1 TH CÔNG'!C15</f>
        <v>A Cơ</v>
      </c>
      <c r="D15" s="564">
        <v>59</v>
      </c>
      <c r="E15" s="564">
        <v>47</v>
      </c>
      <c r="F15" s="564">
        <v>56</v>
      </c>
      <c r="G15" s="564">
        <v>87</v>
      </c>
      <c r="H15" s="564">
        <v>67</v>
      </c>
      <c r="I15" s="564">
        <v>49</v>
      </c>
      <c r="J15" s="564">
        <v>63</v>
      </c>
      <c r="K15" s="564">
        <v>101</v>
      </c>
      <c r="L15" s="564">
        <v>71</v>
      </c>
      <c r="M15" s="564">
        <v>77</v>
      </c>
      <c r="N15" s="564">
        <v>67</v>
      </c>
      <c r="O15" s="564">
        <v>104</v>
      </c>
      <c r="P15" s="564">
        <v>97</v>
      </c>
      <c r="Q15" s="564">
        <v>79</v>
      </c>
      <c r="R15" s="564">
        <v>79</v>
      </c>
      <c r="S15" s="564">
        <v>98</v>
      </c>
      <c r="T15" s="564">
        <v>86</v>
      </c>
      <c r="U15" s="564">
        <v>70</v>
      </c>
      <c r="V15" s="564">
        <v>79</v>
      </c>
      <c r="W15" s="564">
        <v>101</v>
      </c>
      <c r="X15" s="564">
        <v>79</v>
      </c>
      <c r="Y15" s="564">
        <v>72</v>
      </c>
      <c r="Z15" s="564">
        <v>61</v>
      </c>
      <c r="AA15" s="564">
        <v>95</v>
      </c>
      <c r="AB15" s="564">
        <v>76</v>
      </c>
      <c r="AC15" s="564">
        <v>75</v>
      </c>
      <c r="AD15" s="564">
        <v>73</v>
      </c>
      <c r="AE15" s="564">
        <v>97</v>
      </c>
      <c r="AF15" s="564">
        <v>81</v>
      </c>
      <c r="AG15" s="564">
        <v>92</v>
      </c>
      <c r="AH15" s="564">
        <v>79</v>
      </c>
      <c r="AI15" s="565">
        <f t="shared" si="2"/>
        <v>2417</v>
      </c>
      <c r="AJ15" s="566">
        <f t="shared" si="0"/>
        <v>40.312390512695202</v>
      </c>
      <c r="AK15" s="571">
        <f t="shared" si="3"/>
        <v>974.35047869184302</v>
      </c>
      <c r="AL15" s="826">
        <f t="shared" si="4"/>
        <v>2417</v>
      </c>
      <c r="AM15" s="827">
        <f t="shared" si="1"/>
        <v>3.9348777821989631</v>
      </c>
      <c r="AN15" s="826">
        <f t="shared" si="5"/>
        <v>95.105995995748941</v>
      </c>
      <c r="AO15" s="826">
        <f t="shared" si="6"/>
        <v>1069.4564746875919</v>
      </c>
      <c r="AP15" s="570" t="s">
        <v>61</v>
      </c>
      <c r="AQ15" s="433"/>
      <c r="AR15" s="482"/>
      <c r="AS15" s="482"/>
      <c r="AT15" s="482"/>
    </row>
    <row r="16" spans="1:49" s="435" customFormat="1" ht="57" customHeight="1">
      <c r="A16" s="537">
        <v>6</v>
      </c>
      <c r="B16" s="537"/>
      <c r="C16" s="569" t="str">
        <f>+'Biểu 1 TH CÔNG'!C16</f>
        <v>Phơ</v>
      </c>
      <c r="D16" s="564">
        <v>58</v>
      </c>
      <c r="E16" s="564">
        <v>78</v>
      </c>
      <c r="F16" s="564">
        <v>68</v>
      </c>
      <c r="G16" s="564">
        <v>134</v>
      </c>
      <c r="H16" s="564">
        <v>53</v>
      </c>
      <c r="I16" s="564">
        <v>76</v>
      </c>
      <c r="J16" s="564">
        <v>88</v>
      </c>
      <c r="K16" s="564">
        <v>100</v>
      </c>
      <c r="L16" s="564">
        <v>73</v>
      </c>
      <c r="M16" s="564">
        <v>72</v>
      </c>
      <c r="N16" s="564">
        <v>60</v>
      </c>
      <c r="O16" s="564">
        <v>100</v>
      </c>
      <c r="P16" s="564">
        <v>85</v>
      </c>
      <c r="Q16" s="564">
        <v>65</v>
      </c>
      <c r="R16" s="564">
        <v>74</v>
      </c>
      <c r="S16" s="564">
        <v>103</v>
      </c>
      <c r="T16" s="564">
        <v>64</v>
      </c>
      <c r="U16" s="564">
        <v>80</v>
      </c>
      <c r="V16" s="564">
        <v>95</v>
      </c>
      <c r="W16" s="564">
        <v>0</v>
      </c>
      <c r="X16" s="564">
        <v>60</v>
      </c>
      <c r="Y16" s="564">
        <v>0</v>
      </c>
      <c r="Z16" s="564">
        <v>0</v>
      </c>
      <c r="AA16" s="564">
        <v>160</v>
      </c>
      <c r="AB16" s="564">
        <v>59</v>
      </c>
      <c r="AC16" s="564">
        <v>65</v>
      </c>
      <c r="AD16" s="564">
        <v>85</v>
      </c>
      <c r="AE16" s="564">
        <v>98</v>
      </c>
      <c r="AF16" s="564">
        <v>0</v>
      </c>
      <c r="AG16" s="564">
        <v>77</v>
      </c>
      <c r="AH16" s="564">
        <v>71</v>
      </c>
      <c r="AI16" s="565">
        <f t="shared" si="2"/>
        <v>2201</v>
      </c>
      <c r="AJ16" s="566">
        <f t="shared" si="0"/>
        <v>40.312390512695202</v>
      </c>
      <c r="AK16" s="571">
        <f t="shared" si="3"/>
        <v>887.27571518442141</v>
      </c>
      <c r="AL16" s="826">
        <f t="shared" si="4"/>
        <v>2201</v>
      </c>
      <c r="AM16" s="827">
        <f t="shared" si="1"/>
        <v>3.9348777821989631</v>
      </c>
      <c r="AN16" s="826">
        <f t="shared" si="5"/>
        <v>86.606659986199176</v>
      </c>
      <c r="AO16" s="826">
        <f t="shared" si="6"/>
        <v>973.88237517062055</v>
      </c>
      <c r="AP16" s="570" t="s">
        <v>63</v>
      </c>
      <c r="AQ16" s="433"/>
      <c r="AR16" s="482"/>
      <c r="AS16" s="482"/>
      <c r="AT16" s="482"/>
    </row>
    <row r="17" spans="1:46" s="435" customFormat="1" ht="57" customHeight="1">
      <c r="A17" s="537">
        <v>7</v>
      </c>
      <c r="B17" s="537"/>
      <c r="C17" s="569" t="str">
        <f>+'Biểu 1 TH CÔNG'!C17</f>
        <v>A phơ</v>
      </c>
      <c r="D17" s="564">
        <v>97</v>
      </c>
      <c r="E17" s="564">
        <v>80</v>
      </c>
      <c r="F17" s="564">
        <v>70</v>
      </c>
      <c r="G17" s="564">
        <v>105</v>
      </c>
      <c r="H17" s="564">
        <v>100</v>
      </c>
      <c r="I17" s="564">
        <v>80</v>
      </c>
      <c r="J17" s="564">
        <v>90</v>
      </c>
      <c r="K17" s="564">
        <v>119</v>
      </c>
      <c r="L17" s="564">
        <v>90</v>
      </c>
      <c r="M17" s="564">
        <v>100</v>
      </c>
      <c r="N17" s="564">
        <v>80</v>
      </c>
      <c r="O17" s="564">
        <v>118</v>
      </c>
      <c r="P17" s="564">
        <v>100</v>
      </c>
      <c r="Q17" s="564">
        <v>88</v>
      </c>
      <c r="R17" s="564">
        <v>66</v>
      </c>
      <c r="S17" s="564">
        <v>112</v>
      </c>
      <c r="T17" s="564">
        <v>80</v>
      </c>
      <c r="U17" s="564">
        <v>90</v>
      </c>
      <c r="V17" s="564">
        <v>90</v>
      </c>
      <c r="W17" s="564">
        <v>112</v>
      </c>
      <c r="X17" s="564">
        <v>70</v>
      </c>
      <c r="Y17" s="564">
        <v>70</v>
      </c>
      <c r="Z17" s="564">
        <v>0</v>
      </c>
      <c r="AA17" s="564">
        <v>110</v>
      </c>
      <c r="AB17" s="564">
        <v>70</v>
      </c>
      <c r="AC17" s="564">
        <v>80</v>
      </c>
      <c r="AD17" s="564">
        <v>70</v>
      </c>
      <c r="AE17" s="564">
        <v>100</v>
      </c>
      <c r="AF17" s="564">
        <v>100</v>
      </c>
      <c r="AG17" s="564">
        <v>100</v>
      </c>
      <c r="AH17" s="564">
        <v>90</v>
      </c>
      <c r="AI17" s="565">
        <f t="shared" si="2"/>
        <v>2727</v>
      </c>
      <c r="AJ17" s="566">
        <f t="shared" si="0"/>
        <v>40.312390512695202</v>
      </c>
      <c r="AK17" s="571">
        <f t="shared" si="3"/>
        <v>1099.3188892811982</v>
      </c>
      <c r="AL17" s="826">
        <f t="shared" si="4"/>
        <v>2727</v>
      </c>
      <c r="AM17" s="827">
        <f t="shared" si="1"/>
        <v>3.9348777821989631</v>
      </c>
      <c r="AN17" s="826">
        <f t="shared" si="5"/>
        <v>107.30411712056572</v>
      </c>
      <c r="AO17" s="826">
        <f t="shared" si="6"/>
        <v>1206.6230064017639</v>
      </c>
      <c r="AP17" s="570" t="s">
        <v>61</v>
      </c>
      <c r="AQ17" s="433"/>
      <c r="AR17" s="482"/>
      <c r="AS17" s="482"/>
      <c r="AT17" s="482"/>
    </row>
    <row r="18" spans="1:46" s="435" customFormat="1" ht="57" customHeight="1">
      <c r="A18" s="537">
        <v>8</v>
      </c>
      <c r="B18" s="537"/>
      <c r="C18" s="569" t="str">
        <f>+'Biểu 1 TH CÔNG'!C18</f>
        <v>Nang Đăm</v>
      </c>
      <c r="D18" s="564">
        <v>0</v>
      </c>
      <c r="E18" s="564">
        <v>28</v>
      </c>
      <c r="F18" s="564">
        <v>56</v>
      </c>
      <c r="G18" s="564">
        <v>0</v>
      </c>
      <c r="H18" s="564">
        <v>110</v>
      </c>
      <c r="I18" s="564">
        <v>64</v>
      </c>
      <c r="J18" s="564">
        <v>85</v>
      </c>
      <c r="K18" s="564">
        <v>114</v>
      </c>
      <c r="L18" s="564">
        <v>52</v>
      </c>
      <c r="M18" s="564">
        <v>65</v>
      </c>
      <c r="N18" s="564">
        <v>58</v>
      </c>
      <c r="O18" s="564">
        <v>64</v>
      </c>
      <c r="P18" s="564">
        <v>65</v>
      </c>
      <c r="Q18" s="564">
        <v>51</v>
      </c>
      <c r="R18" s="564">
        <v>72</v>
      </c>
      <c r="S18" s="564">
        <v>0</v>
      </c>
      <c r="T18" s="564">
        <v>61</v>
      </c>
      <c r="U18" s="564">
        <v>57</v>
      </c>
      <c r="V18" s="564">
        <v>76</v>
      </c>
      <c r="W18" s="564">
        <v>96</v>
      </c>
      <c r="X18" s="564">
        <v>61</v>
      </c>
      <c r="Y18" s="564">
        <v>45</v>
      </c>
      <c r="Z18" s="564">
        <v>63</v>
      </c>
      <c r="AA18" s="564">
        <v>52</v>
      </c>
      <c r="AB18" s="564">
        <v>53</v>
      </c>
      <c r="AC18" s="564">
        <v>37</v>
      </c>
      <c r="AD18" s="564">
        <v>80</v>
      </c>
      <c r="AE18" s="564">
        <v>47</v>
      </c>
      <c r="AF18" s="564">
        <v>59</v>
      </c>
      <c r="AG18" s="564">
        <v>61</v>
      </c>
      <c r="AH18" s="564">
        <v>92</v>
      </c>
      <c r="AI18" s="565">
        <f t="shared" si="2"/>
        <v>1824</v>
      </c>
      <c r="AJ18" s="566">
        <f t="shared" si="0"/>
        <v>40.312390512695202</v>
      </c>
      <c r="AK18" s="571">
        <f t="shared" si="3"/>
        <v>735.29800295156053</v>
      </c>
      <c r="AL18" s="826">
        <f t="shared" si="4"/>
        <v>1824</v>
      </c>
      <c r="AM18" s="827">
        <f t="shared" si="1"/>
        <v>3.9348777821989631</v>
      </c>
      <c r="AN18" s="826">
        <f t="shared" si="5"/>
        <v>71.772170747309076</v>
      </c>
      <c r="AO18" s="826">
        <f t="shared" si="6"/>
        <v>807.07017369886967</v>
      </c>
      <c r="AP18" s="570" t="s">
        <v>61</v>
      </c>
      <c r="AQ18" s="433"/>
      <c r="AR18" s="482"/>
      <c r="AS18" s="482"/>
      <c r="AT18" s="482"/>
    </row>
    <row r="19" spans="1:46" s="435" customFormat="1" ht="57" customHeight="1">
      <c r="A19" s="537">
        <v>9</v>
      </c>
      <c r="B19" s="537"/>
      <c r="C19" s="569" t="str">
        <f>+'Biểu 1 TH CÔNG'!C19</f>
        <v>Nang Sun</v>
      </c>
      <c r="D19" s="564">
        <v>55</v>
      </c>
      <c r="E19" s="564">
        <v>0</v>
      </c>
      <c r="F19" s="564">
        <v>0</v>
      </c>
      <c r="G19" s="564">
        <v>80</v>
      </c>
      <c r="H19" s="564">
        <v>50</v>
      </c>
      <c r="I19" s="564">
        <v>69</v>
      </c>
      <c r="J19" s="564">
        <v>100</v>
      </c>
      <c r="K19" s="564">
        <v>161</v>
      </c>
      <c r="L19" s="564">
        <v>50</v>
      </c>
      <c r="M19" s="564">
        <v>66</v>
      </c>
      <c r="N19" s="564">
        <v>64</v>
      </c>
      <c r="O19" s="564">
        <v>108</v>
      </c>
      <c r="P19" s="564">
        <v>81</v>
      </c>
      <c r="Q19" s="564">
        <v>0</v>
      </c>
      <c r="R19" s="564">
        <v>76</v>
      </c>
      <c r="S19" s="564">
        <v>98</v>
      </c>
      <c r="T19" s="564">
        <v>57</v>
      </c>
      <c r="U19" s="564">
        <v>100</v>
      </c>
      <c r="V19" s="564">
        <v>100</v>
      </c>
      <c r="W19" s="564">
        <v>100</v>
      </c>
      <c r="X19" s="564">
        <v>62</v>
      </c>
      <c r="Y19" s="564">
        <v>66</v>
      </c>
      <c r="Z19" s="564">
        <v>89</v>
      </c>
      <c r="AA19" s="564">
        <v>85</v>
      </c>
      <c r="AB19" s="564">
        <v>57</v>
      </c>
      <c r="AC19" s="564">
        <v>53</v>
      </c>
      <c r="AD19" s="564">
        <v>82</v>
      </c>
      <c r="AE19" s="564">
        <v>100</v>
      </c>
      <c r="AF19" s="564">
        <v>90</v>
      </c>
      <c r="AG19" s="564">
        <v>50</v>
      </c>
      <c r="AH19" s="564">
        <v>168</v>
      </c>
      <c r="AI19" s="565">
        <f t="shared" si="2"/>
        <v>2317</v>
      </c>
      <c r="AJ19" s="566">
        <f t="shared" si="0"/>
        <v>40.312390512695202</v>
      </c>
      <c r="AK19" s="571">
        <f t="shared" si="3"/>
        <v>934.03808817914785</v>
      </c>
      <c r="AL19" s="826">
        <f t="shared" si="4"/>
        <v>2317</v>
      </c>
      <c r="AM19" s="827">
        <f t="shared" si="1"/>
        <v>3.9348777821989631</v>
      </c>
      <c r="AN19" s="826">
        <f t="shared" si="5"/>
        <v>91.171118213549974</v>
      </c>
      <c r="AO19" s="826">
        <f t="shared" si="6"/>
        <v>1025.2092063926978</v>
      </c>
      <c r="AP19" s="570" t="s">
        <v>63</v>
      </c>
      <c r="AQ19" s="433"/>
      <c r="AR19" s="482"/>
      <c r="AS19" s="482"/>
      <c r="AT19" s="482"/>
    </row>
    <row r="20" spans="1:46" s="435" customFormat="1" ht="57" customHeight="1">
      <c r="A20" s="537">
        <v>10</v>
      </c>
      <c r="B20" s="537"/>
      <c r="C20" s="569" t="str">
        <f>+'Biểu 1 TH CÔNG'!C20</f>
        <v>A Nghen</v>
      </c>
      <c r="D20" s="564">
        <v>0</v>
      </c>
      <c r="E20" s="564">
        <v>0</v>
      </c>
      <c r="F20" s="564">
        <v>69</v>
      </c>
      <c r="G20" s="564">
        <v>0</v>
      </c>
      <c r="H20" s="564">
        <v>64</v>
      </c>
      <c r="I20" s="564">
        <v>96</v>
      </c>
      <c r="J20" s="564">
        <v>69</v>
      </c>
      <c r="K20" s="564">
        <v>112</v>
      </c>
      <c r="L20" s="564">
        <v>78</v>
      </c>
      <c r="M20" s="564">
        <v>73</v>
      </c>
      <c r="N20" s="564">
        <v>85</v>
      </c>
      <c r="O20" s="564">
        <v>83</v>
      </c>
      <c r="P20" s="564">
        <v>102</v>
      </c>
      <c r="Q20" s="564">
        <v>60</v>
      </c>
      <c r="R20" s="564">
        <v>82</v>
      </c>
      <c r="S20" s="564">
        <v>0</v>
      </c>
      <c r="T20" s="564">
        <v>80</v>
      </c>
      <c r="U20" s="564">
        <v>69</v>
      </c>
      <c r="V20" s="564">
        <v>0</v>
      </c>
      <c r="W20" s="564">
        <v>133</v>
      </c>
      <c r="X20" s="564">
        <v>77</v>
      </c>
      <c r="Y20" s="564">
        <v>0</v>
      </c>
      <c r="Z20" s="564">
        <v>0</v>
      </c>
      <c r="AA20" s="564">
        <v>76</v>
      </c>
      <c r="AB20" s="564">
        <v>74</v>
      </c>
      <c r="AC20" s="564">
        <v>0</v>
      </c>
      <c r="AD20" s="564">
        <v>133</v>
      </c>
      <c r="AE20" s="564">
        <v>72</v>
      </c>
      <c r="AF20" s="564">
        <v>74</v>
      </c>
      <c r="AG20" s="564">
        <v>116</v>
      </c>
      <c r="AH20" s="564">
        <v>67</v>
      </c>
      <c r="AI20" s="565">
        <f t="shared" si="2"/>
        <v>1944</v>
      </c>
      <c r="AJ20" s="566">
        <f t="shared" si="0"/>
        <v>40.312390512695202</v>
      </c>
      <c r="AK20" s="571">
        <f t="shared" si="3"/>
        <v>783.67287156679481</v>
      </c>
      <c r="AL20" s="826">
        <f t="shared" si="4"/>
        <v>1944</v>
      </c>
      <c r="AM20" s="827">
        <f t="shared" si="1"/>
        <v>3.9348777821989631</v>
      </c>
      <c r="AN20" s="826">
        <f t="shared" si="5"/>
        <v>76.494024085947842</v>
      </c>
      <c r="AO20" s="826">
        <f t="shared" si="6"/>
        <v>860.1668956527426</v>
      </c>
      <c r="AP20" s="570" t="s">
        <v>63</v>
      </c>
      <c r="AQ20" s="433"/>
      <c r="AR20" s="482"/>
      <c r="AS20" s="482"/>
      <c r="AT20" s="482"/>
    </row>
    <row r="21" spans="1:46" s="435" customFormat="1" ht="57" customHeight="1">
      <c r="A21" s="537">
        <v>11</v>
      </c>
      <c r="B21" s="537"/>
      <c r="C21" s="569" t="str">
        <f>+'Biểu 1 TH CÔNG'!C21</f>
        <v>Nguyễn Thị Thanh Trà</v>
      </c>
      <c r="D21" s="564">
        <v>100</v>
      </c>
      <c r="E21" s="564">
        <v>0</v>
      </c>
      <c r="F21" s="564">
        <v>126</v>
      </c>
      <c r="G21" s="564">
        <v>100</v>
      </c>
      <c r="H21" s="564">
        <v>70</v>
      </c>
      <c r="I21" s="564">
        <v>120</v>
      </c>
      <c r="J21" s="564">
        <v>100</v>
      </c>
      <c r="K21" s="564">
        <v>135</v>
      </c>
      <c r="L21" s="564">
        <v>85</v>
      </c>
      <c r="M21" s="564">
        <v>100</v>
      </c>
      <c r="N21" s="564">
        <v>100</v>
      </c>
      <c r="O21" s="564">
        <v>120</v>
      </c>
      <c r="P21" s="564">
        <v>90</v>
      </c>
      <c r="Q21" s="564">
        <v>60</v>
      </c>
      <c r="R21" s="564">
        <v>100</v>
      </c>
      <c r="S21" s="564">
        <v>120</v>
      </c>
      <c r="T21" s="564">
        <v>80</v>
      </c>
      <c r="U21" s="564">
        <v>90</v>
      </c>
      <c r="V21" s="564">
        <v>110</v>
      </c>
      <c r="W21" s="564">
        <v>130</v>
      </c>
      <c r="X21" s="564">
        <v>100</v>
      </c>
      <c r="Y21" s="564">
        <v>80</v>
      </c>
      <c r="Z21" s="564">
        <v>120</v>
      </c>
      <c r="AA21" s="564">
        <v>118</v>
      </c>
      <c r="AB21" s="564">
        <v>85</v>
      </c>
      <c r="AC21" s="564">
        <v>75</v>
      </c>
      <c r="AD21" s="564">
        <v>95</v>
      </c>
      <c r="AE21" s="564">
        <v>110</v>
      </c>
      <c r="AF21" s="564">
        <v>115</v>
      </c>
      <c r="AG21" s="564">
        <v>95</v>
      </c>
      <c r="AH21" s="564">
        <v>110</v>
      </c>
      <c r="AI21" s="565">
        <f t="shared" si="2"/>
        <v>3039</v>
      </c>
      <c r="AJ21" s="566">
        <f t="shared" si="0"/>
        <v>40.312390512695202</v>
      </c>
      <c r="AK21" s="571">
        <f t="shared" si="3"/>
        <v>1225.0935476808072</v>
      </c>
      <c r="AL21" s="826">
        <f t="shared" si="4"/>
        <v>3039</v>
      </c>
      <c r="AM21" s="827">
        <f t="shared" si="1"/>
        <v>3.9348777821989631</v>
      </c>
      <c r="AN21" s="826">
        <f t="shared" si="5"/>
        <v>119.58093580102648</v>
      </c>
      <c r="AO21" s="826">
        <f t="shared" si="6"/>
        <v>1344.6744834818337</v>
      </c>
      <c r="AP21" s="570" t="s">
        <v>63</v>
      </c>
      <c r="AQ21" s="433"/>
      <c r="AR21" s="482"/>
      <c r="AS21" s="482"/>
      <c r="AT21" s="482"/>
    </row>
    <row r="22" spans="1:46" s="435" customFormat="1" ht="57" customHeight="1">
      <c r="A22" s="537">
        <v>12</v>
      </c>
      <c r="B22" s="537"/>
      <c r="C22" s="569" t="str">
        <f>+'Biểu 1 TH CÔNG'!C22</f>
        <v>Phò Thít</v>
      </c>
      <c r="D22" s="564">
        <v>73</v>
      </c>
      <c r="E22" s="564">
        <v>93</v>
      </c>
      <c r="F22" s="564">
        <v>73</v>
      </c>
      <c r="G22" s="564">
        <v>106</v>
      </c>
      <c r="H22" s="564">
        <v>58</v>
      </c>
      <c r="I22" s="564">
        <v>81</v>
      </c>
      <c r="J22" s="564">
        <v>54</v>
      </c>
      <c r="K22" s="564">
        <v>96</v>
      </c>
      <c r="L22" s="564">
        <v>53</v>
      </c>
      <c r="M22" s="564">
        <v>85</v>
      </c>
      <c r="N22" s="564">
        <v>58</v>
      </c>
      <c r="O22" s="564">
        <v>127</v>
      </c>
      <c r="P22" s="564">
        <v>60</v>
      </c>
      <c r="Q22" s="564">
        <v>110</v>
      </c>
      <c r="R22" s="564">
        <v>82</v>
      </c>
      <c r="S22" s="564">
        <v>110</v>
      </c>
      <c r="T22" s="564">
        <v>78</v>
      </c>
      <c r="U22" s="564">
        <v>97</v>
      </c>
      <c r="V22" s="564">
        <v>83</v>
      </c>
      <c r="W22" s="564">
        <v>118</v>
      </c>
      <c r="X22" s="564">
        <v>71</v>
      </c>
      <c r="Y22" s="564">
        <v>70</v>
      </c>
      <c r="Z22" s="564">
        <v>77</v>
      </c>
      <c r="AA22" s="564">
        <v>116</v>
      </c>
      <c r="AB22" s="564">
        <v>57</v>
      </c>
      <c r="AC22" s="564">
        <v>79</v>
      </c>
      <c r="AD22" s="564">
        <v>53</v>
      </c>
      <c r="AE22" s="564">
        <v>132</v>
      </c>
      <c r="AF22" s="564">
        <v>87</v>
      </c>
      <c r="AG22" s="564">
        <v>90</v>
      </c>
      <c r="AH22" s="564">
        <v>84</v>
      </c>
      <c r="AI22" s="565">
        <f t="shared" si="2"/>
        <v>2611</v>
      </c>
      <c r="AJ22" s="566">
        <f t="shared" si="0"/>
        <v>40.312390512695202</v>
      </c>
      <c r="AK22" s="571">
        <f t="shared" si="3"/>
        <v>1052.5565162864718</v>
      </c>
      <c r="AL22" s="826">
        <f t="shared" si="4"/>
        <v>2611</v>
      </c>
      <c r="AM22" s="827">
        <f t="shared" si="1"/>
        <v>3.9348777821989631</v>
      </c>
      <c r="AN22" s="826">
        <f t="shared" si="5"/>
        <v>102.73965889321492</v>
      </c>
      <c r="AO22" s="826">
        <f t="shared" si="6"/>
        <v>1155.2961751796868</v>
      </c>
      <c r="AP22" s="570" t="s">
        <v>63</v>
      </c>
      <c r="AQ22" s="433"/>
      <c r="AR22" s="482"/>
      <c r="AS22" s="482"/>
      <c r="AT22" s="482"/>
    </row>
    <row r="23" spans="1:46" s="435" customFormat="1" ht="57" customHeight="1">
      <c r="A23" s="537">
        <v>13</v>
      </c>
      <c r="B23" s="537"/>
      <c r="C23" s="569" t="str">
        <f>+'Biểu 1 TH CÔNG'!C23</f>
        <v>A Bợp</v>
      </c>
      <c r="D23" s="564">
        <v>126</v>
      </c>
      <c r="E23" s="564">
        <v>63</v>
      </c>
      <c r="F23" s="564">
        <v>138</v>
      </c>
      <c r="G23" s="564">
        <v>104</v>
      </c>
      <c r="H23" s="564">
        <v>48</v>
      </c>
      <c r="I23" s="564">
        <v>86</v>
      </c>
      <c r="J23" s="564">
        <v>130</v>
      </c>
      <c r="K23" s="564">
        <v>99</v>
      </c>
      <c r="L23" s="564">
        <v>86</v>
      </c>
      <c r="M23" s="564">
        <v>100</v>
      </c>
      <c r="N23" s="564">
        <v>130</v>
      </c>
      <c r="O23" s="564">
        <v>137</v>
      </c>
      <c r="P23" s="564">
        <v>115</v>
      </c>
      <c r="Q23" s="564">
        <v>89</v>
      </c>
      <c r="R23" s="564">
        <v>123</v>
      </c>
      <c r="S23" s="564">
        <v>101</v>
      </c>
      <c r="T23" s="564">
        <v>95</v>
      </c>
      <c r="U23" s="564">
        <v>90</v>
      </c>
      <c r="V23" s="564">
        <v>88</v>
      </c>
      <c r="W23" s="564">
        <v>118</v>
      </c>
      <c r="X23" s="564">
        <v>83</v>
      </c>
      <c r="Y23" s="564">
        <v>70</v>
      </c>
      <c r="Z23" s="564">
        <v>145</v>
      </c>
      <c r="AA23" s="564">
        <v>112</v>
      </c>
      <c r="AB23" s="564">
        <v>98</v>
      </c>
      <c r="AC23" s="564">
        <v>78</v>
      </c>
      <c r="AD23" s="564">
        <v>112</v>
      </c>
      <c r="AE23" s="564">
        <v>107</v>
      </c>
      <c r="AF23" s="564">
        <v>145</v>
      </c>
      <c r="AG23" s="564">
        <v>78</v>
      </c>
      <c r="AH23" s="564">
        <v>159</v>
      </c>
      <c r="AI23" s="565">
        <f t="shared" si="2"/>
        <v>3253</v>
      </c>
      <c r="AJ23" s="566">
        <f t="shared" si="0"/>
        <v>40.312390512695202</v>
      </c>
      <c r="AK23" s="571">
        <f t="shared" si="3"/>
        <v>1311.3620633779749</v>
      </c>
      <c r="AL23" s="826">
        <f t="shared" si="4"/>
        <v>3253</v>
      </c>
      <c r="AM23" s="827">
        <f t="shared" si="1"/>
        <v>3.9348777821989631</v>
      </c>
      <c r="AN23" s="826">
        <f t="shared" si="5"/>
        <v>128.00157425493228</v>
      </c>
      <c r="AO23" s="826">
        <f t="shared" si="6"/>
        <v>1439.3636376329073</v>
      </c>
      <c r="AP23" s="570" t="s">
        <v>61</v>
      </c>
      <c r="AQ23" s="433"/>
      <c r="AR23" s="482"/>
      <c r="AS23" s="482"/>
      <c r="AT23" s="482"/>
    </row>
    <row r="24" spans="1:46" s="435" customFormat="1" ht="57" customHeight="1">
      <c r="A24" s="537">
        <v>14</v>
      </c>
      <c r="B24" s="537"/>
      <c r="C24" s="569" t="str">
        <f>+'Biểu 1 TH CÔNG'!C24</f>
        <v>A Khai</v>
      </c>
      <c r="D24" s="564">
        <v>95</v>
      </c>
      <c r="E24" s="564">
        <v>73</v>
      </c>
      <c r="F24" s="564">
        <v>58</v>
      </c>
      <c r="G24" s="564">
        <v>95</v>
      </c>
      <c r="H24" s="564">
        <v>65</v>
      </c>
      <c r="I24" s="564">
        <v>64</v>
      </c>
      <c r="J24" s="564">
        <v>68</v>
      </c>
      <c r="K24" s="564">
        <v>119</v>
      </c>
      <c r="L24" s="564">
        <v>70</v>
      </c>
      <c r="M24" s="564">
        <v>70</v>
      </c>
      <c r="N24" s="564">
        <v>61</v>
      </c>
      <c r="O24" s="564">
        <v>118</v>
      </c>
      <c r="P24" s="564">
        <v>51</v>
      </c>
      <c r="Q24" s="564">
        <v>87</v>
      </c>
      <c r="R24" s="564">
        <v>67</v>
      </c>
      <c r="S24" s="564">
        <v>100</v>
      </c>
      <c r="T24" s="564">
        <v>54</v>
      </c>
      <c r="U24" s="564">
        <v>50</v>
      </c>
      <c r="V24" s="564">
        <v>51</v>
      </c>
      <c r="W24" s="564">
        <v>0</v>
      </c>
      <c r="X24" s="564">
        <v>66</v>
      </c>
      <c r="Y24" s="564">
        <v>60</v>
      </c>
      <c r="Z24" s="564">
        <v>0</v>
      </c>
      <c r="AA24" s="564">
        <v>89</v>
      </c>
      <c r="AB24" s="564">
        <v>68</v>
      </c>
      <c r="AC24" s="564">
        <v>45</v>
      </c>
      <c r="AD24" s="564">
        <v>58</v>
      </c>
      <c r="AE24" s="564">
        <v>78</v>
      </c>
      <c r="AF24" s="564">
        <v>73</v>
      </c>
      <c r="AG24" s="564">
        <v>66</v>
      </c>
      <c r="AH24" s="564">
        <v>70</v>
      </c>
      <c r="AI24" s="565">
        <f t="shared" si="2"/>
        <v>2089</v>
      </c>
      <c r="AJ24" s="566">
        <f t="shared" si="0"/>
        <v>40.312390512695202</v>
      </c>
      <c r="AK24" s="571">
        <f t="shared" si="3"/>
        <v>842.12583781020282</v>
      </c>
      <c r="AL24" s="826">
        <f t="shared" si="4"/>
        <v>2089</v>
      </c>
      <c r="AM24" s="827">
        <f t="shared" si="1"/>
        <v>3.9348777821989631</v>
      </c>
      <c r="AN24" s="826">
        <f t="shared" si="5"/>
        <v>82.199596870136332</v>
      </c>
      <c r="AO24" s="826">
        <f t="shared" si="6"/>
        <v>924.32543468033919</v>
      </c>
      <c r="AP24" s="570" t="s">
        <v>63</v>
      </c>
      <c r="AQ24" s="433"/>
      <c r="AR24" s="482"/>
      <c r="AS24" s="482"/>
      <c r="AT24" s="482"/>
    </row>
    <row r="25" spans="1:46" s="435" customFormat="1" ht="57" customHeight="1">
      <c r="A25" s="537">
        <v>15</v>
      </c>
      <c r="B25" s="537"/>
      <c r="C25" s="569" t="str">
        <f>+'Biểu 1 TH CÔNG'!C25</f>
        <v>Võ Thị Nguyên</v>
      </c>
      <c r="D25" s="564">
        <v>100</v>
      </c>
      <c r="E25" s="564">
        <v>0</v>
      </c>
      <c r="F25" s="564">
        <v>125</v>
      </c>
      <c r="G25" s="564">
        <v>100</v>
      </c>
      <c r="H25" s="564">
        <v>70</v>
      </c>
      <c r="I25" s="564">
        <v>120</v>
      </c>
      <c r="J25" s="564">
        <v>100</v>
      </c>
      <c r="K25" s="564">
        <v>135</v>
      </c>
      <c r="L25" s="564">
        <v>85</v>
      </c>
      <c r="M25" s="564">
        <v>100</v>
      </c>
      <c r="N25" s="564">
        <v>100</v>
      </c>
      <c r="O25" s="564">
        <v>120</v>
      </c>
      <c r="P25" s="564">
        <v>90</v>
      </c>
      <c r="Q25" s="564">
        <v>60</v>
      </c>
      <c r="R25" s="564">
        <v>100</v>
      </c>
      <c r="S25" s="564">
        <v>120</v>
      </c>
      <c r="T25" s="564">
        <v>80</v>
      </c>
      <c r="U25" s="564">
        <v>90</v>
      </c>
      <c r="V25" s="564">
        <v>110</v>
      </c>
      <c r="W25" s="564">
        <v>130</v>
      </c>
      <c r="X25" s="564">
        <v>100</v>
      </c>
      <c r="Y25" s="564">
        <v>80</v>
      </c>
      <c r="Z25" s="564">
        <v>120</v>
      </c>
      <c r="AA25" s="564">
        <v>118</v>
      </c>
      <c r="AB25" s="564">
        <v>86</v>
      </c>
      <c r="AC25" s="564">
        <v>75</v>
      </c>
      <c r="AD25" s="564">
        <v>95</v>
      </c>
      <c r="AE25" s="564">
        <v>110</v>
      </c>
      <c r="AF25" s="564">
        <v>115</v>
      </c>
      <c r="AG25" s="564">
        <v>95</v>
      </c>
      <c r="AH25" s="564">
        <v>110</v>
      </c>
      <c r="AI25" s="565">
        <f t="shared" si="2"/>
        <v>3039</v>
      </c>
      <c r="AJ25" s="566">
        <f t="shared" si="0"/>
        <v>40.312390512695202</v>
      </c>
      <c r="AK25" s="571">
        <f t="shared" si="3"/>
        <v>1225.0935476808072</v>
      </c>
      <c r="AL25" s="826">
        <f t="shared" si="4"/>
        <v>3039</v>
      </c>
      <c r="AM25" s="827">
        <f t="shared" si="1"/>
        <v>3.9348777821989631</v>
      </c>
      <c r="AN25" s="826">
        <f t="shared" si="5"/>
        <v>119.58093580102648</v>
      </c>
      <c r="AO25" s="826">
        <f t="shared" si="6"/>
        <v>1344.6744834818337</v>
      </c>
      <c r="AP25" s="570" t="s">
        <v>63</v>
      </c>
      <c r="AQ25" s="433"/>
      <c r="AR25" s="482"/>
      <c r="AS25" s="482"/>
      <c r="AT25" s="482"/>
    </row>
    <row r="26" spans="1:46" s="435" customFormat="1" ht="57" customHeight="1">
      <c r="A26" s="537">
        <v>16</v>
      </c>
      <c r="B26" s="537"/>
      <c r="C26" s="569" t="str">
        <f>+'Biểu 1 TH CÔNG'!C26</f>
        <v>Tà Lọt</v>
      </c>
      <c r="D26" s="564">
        <v>75</v>
      </c>
      <c r="E26" s="564">
        <v>48</v>
      </c>
      <c r="F26" s="564">
        <v>78</v>
      </c>
      <c r="G26" s="564">
        <v>120</v>
      </c>
      <c r="H26" s="564">
        <v>95</v>
      </c>
      <c r="I26" s="564">
        <v>50</v>
      </c>
      <c r="J26" s="564">
        <v>0</v>
      </c>
      <c r="K26" s="564">
        <v>137</v>
      </c>
      <c r="L26" s="564">
        <v>67</v>
      </c>
      <c r="M26" s="564">
        <v>75</v>
      </c>
      <c r="N26" s="564">
        <v>45</v>
      </c>
      <c r="O26" s="564">
        <v>142</v>
      </c>
      <c r="P26" s="564">
        <v>96</v>
      </c>
      <c r="Q26" s="564">
        <v>0</v>
      </c>
      <c r="R26" s="564">
        <v>78</v>
      </c>
      <c r="S26" s="564">
        <v>125</v>
      </c>
      <c r="T26" s="564">
        <v>65</v>
      </c>
      <c r="U26" s="564">
        <v>46</v>
      </c>
      <c r="V26" s="564">
        <v>78</v>
      </c>
      <c r="W26" s="564">
        <v>135</v>
      </c>
      <c r="X26" s="564">
        <v>80</v>
      </c>
      <c r="Y26" s="564">
        <v>56</v>
      </c>
      <c r="Z26" s="564">
        <v>75</v>
      </c>
      <c r="AA26" s="564">
        <v>120</v>
      </c>
      <c r="AB26" s="564">
        <v>34</v>
      </c>
      <c r="AC26" s="564">
        <v>42</v>
      </c>
      <c r="AD26" s="564">
        <v>46</v>
      </c>
      <c r="AE26" s="564">
        <v>71</v>
      </c>
      <c r="AF26" s="564">
        <v>72</v>
      </c>
      <c r="AG26" s="564">
        <v>74</v>
      </c>
      <c r="AH26" s="564">
        <v>96</v>
      </c>
      <c r="AI26" s="565">
        <f t="shared" si="2"/>
        <v>2321</v>
      </c>
      <c r="AJ26" s="566">
        <f t="shared" si="0"/>
        <v>40.312390512695202</v>
      </c>
      <c r="AK26" s="571">
        <f t="shared" si="3"/>
        <v>935.65058379965558</v>
      </c>
      <c r="AL26" s="826">
        <f t="shared" si="4"/>
        <v>2321</v>
      </c>
      <c r="AM26" s="827">
        <f t="shared" si="1"/>
        <v>3.9348777821989631</v>
      </c>
      <c r="AN26" s="826">
        <f t="shared" si="5"/>
        <v>91.328513324837928</v>
      </c>
      <c r="AO26" s="826">
        <f t="shared" si="6"/>
        <v>1026.9790971244936</v>
      </c>
      <c r="AP26" s="570" t="s">
        <v>61</v>
      </c>
      <c r="AQ26" s="433"/>
      <c r="AR26" s="482"/>
      <c r="AS26" s="482"/>
      <c r="AT26" s="482"/>
    </row>
    <row r="27" spans="1:46" s="435" customFormat="1" ht="57" customHeight="1">
      <c r="A27" s="537">
        <v>17</v>
      </c>
      <c r="B27" s="537"/>
      <c r="C27" s="569" t="str">
        <f>+'Biểu 1 TH CÔNG'!C27</f>
        <v>A Han</v>
      </c>
      <c r="D27" s="564">
        <v>0</v>
      </c>
      <c r="E27" s="564">
        <v>0</v>
      </c>
      <c r="F27" s="564">
        <v>54</v>
      </c>
      <c r="G27" s="564">
        <v>138</v>
      </c>
      <c r="H27" s="564">
        <v>134</v>
      </c>
      <c r="I27" s="564">
        <v>145</v>
      </c>
      <c r="J27" s="564">
        <v>84</v>
      </c>
      <c r="K27" s="564">
        <v>93</v>
      </c>
      <c r="L27" s="564">
        <v>147</v>
      </c>
      <c r="M27" s="564">
        <v>90</v>
      </c>
      <c r="N27" s="564">
        <v>72</v>
      </c>
      <c r="O27" s="564">
        <v>109</v>
      </c>
      <c r="P27" s="564">
        <v>205</v>
      </c>
      <c r="Q27" s="564">
        <v>94</v>
      </c>
      <c r="R27" s="564">
        <v>82</v>
      </c>
      <c r="S27" s="564">
        <v>0</v>
      </c>
      <c r="T27" s="564">
        <v>117</v>
      </c>
      <c r="U27" s="564">
        <v>92</v>
      </c>
      <c r="V27" s="564">
        <v>87</v>
      </c>
      <c r="W27" s="564">
        <v>160</v>
      </c>
      <c r="X27" s="564">
        <v>150</v>
      </c>
      <c r="Y27" s="564">
        <v>0</v>
      </c>
      <c r="Z27" s="564">
        <v>0</v>
      </c>
      <c r="AA27" s="564">
        <v>91</v>
      </c>
      <c r="AB27" s="564">
        <v>144</v>
      </c>
      <c r="AC27" s="564">
        <v>77</v>
      </c>
      <c r="AD27" s="564">
        <v>120</v>
      </c>
      <c r="AE27" s="564">
        <v>97</v>
      </c>
      <c r="AF27" s="564">
        <v>169</v>
      </c>
      <c r="AG27" s="564">
        <v>98</v>
      </c>
      <c r="AH27" s="564">
        <v>91</v>
      </c>
      <c r="AI27" s="565">
        <f t="shared" si="2"/>
        <v>2940</v>
      </c>
      <c r="AJ27" s="566">
        <f t="shared" si="0"/>
        <v>40.312390512695202</v>
      </c>
      <c r="AK27" s="571">
        <f t="shared" si="3"/>
        <v>1185.1842810732389</v>
      </c>
      <c r="AL27" s="826">
        <f t="shared" si="4"/>
        <v>2940</v>
      </c>
      <c r="AM27" s="827">
        <f t="shared" si="1"/>
        <v>3.9348777821989631</v>
      </c>
      <c r="AN27" s="826">
        <f t="shared" si="5"/>
        <v>115.68540679664952</v>
      </c>
      <c r="AO27" s="826">
        <f t="shared" si="6"/>
        <v>1300.8696878698884</v>
      </c>
      <c r="AP27" s="570" t="s">
        <v>63</v>
      </c>
      <c r="AQ27" s="433"/>
      <c r="AR27" s="482"/>
      <c r="AS27" s="482"/>
      <c r="AT27" s="482"/>
    </row>
    <row r="28" spans="1:46" s="435" customFormat="1" ht="57" customHeight="1">
      <c r="A28" s="537">
        <v>18</v>
      </c>
      <c r="B28" s="537"/>
      <c r="C28" s="569" t="str">
        <f>+'Biểu 1 TH CÔNG'!C28</f>
        <v>A Nút</v>
      </c>
      <c r="D28" s="564">
        <v>0</v>
      </c>
      <c r="E28" s="564">
        <v>78</v>
      </c>
      <c r="F28" s="564">
        <v>78</v>
      </c>
      <c r="G28" s="564">
        <v>80</v>
      </c>
      <c r="H28" s="564">
        <v>192</v>
      </c>
      <c r="I28" s="564">
        <v>66</v>
      </c>
      <c r="J28" s="564">
        <v>65</v>
      </c>
      <c r="K28" s="564">
        <v>100</v>
      </c>
      <c r="L28" s="564">
        <v>100</v>
      </c>
      <c r="M28" s="564">
        <v>60</v>
      </c>
      <c r="N28" s="564">
        <v>34</v>
      </c>
      <c r="O28" s="564">
        <v>110</v>
      </c>
      <c r="P28" s="564">
        <v>95</v>
      </c>
      <c r="Q28" s="564">
        <v>70</v>
      </c>
      <c r="R28" s="564">
        <v>117</v>
      </c>
      <c r="S28" s="564">
        <v>78</v>
      </c>
      <c r="T28" s="564">
        <v>107</v>
      </c>
      <c r="U28" s="564">
        <v>68</v>
      </c>
      <c r="V28" s="564">
        <v>78</v>
      </c>
      <c r="W28" s="564">
        <v>100</v>
      </c>
      <c r="X28" s="564">
        <v>76</v>
      </c>
      <c r="Y28" s="564">
        <v>58</v>
      </c>
      <c r="Z28" s="564">
        <v>52</v>
      </c>
      <c r="AA28" s="564">
        <v>112</v>
      </c>
      <c r="AB28" s="564">
        <v>72</v>
      </c>
      <c r="AC28" s="564">
        <v>53</v>
      </c>
      <c r="AD28" s="564">
        <v>66</v>
      </c>
      <c r="AE28" s="564">
        <v>89</v>
      </c>
      <c r="AF28" s="564">
        <v>98</v>
      </c>
      <c r="AG28" s="564">
        <v>72</v>
      </c>
      <c r="AH28" s="564">
        <v>81</v>
      </c>
      <c r="AI28" s="565">
        <f t="shared" si="2"/>
        <v>2505</v>
      </c>
      <c r="AJ28" s="566">
        <f t="shared" si="0"/>
        <v>40.312390512695202</v>
      </c>
      <c r="AK28" s="571">
        <f t="shared" si="3"/>
        <v>1009.8253823430148</v>
      </c>
      <c r="AL28" s="826">
        <f t="shared" si="4"/>
        <v>2505</v>
      </c>
      <c r="AM28" s="827">
        <f t="shared" si="1"/>
        <v>3.9348777821989631</v>
      </c>
      <c r="AN28" s="826">
        <f t="shared" si="5"/>
        <v>98.568688444084017</v>
      </c>
      <c r="AO28" s="826">
        <f t="shared" si="6"/>
        <v>1108.3940707870988</v>
      </c>
      <c r="AP28" s="570" t="s">
        <v>61</v>
      </c>
      <c r="AQ28" s="433"/>
      <c r="AR28" s="482"/>
      <c r="AS28" s="482"/>
      <c r="AT28" s="482"/>
    </row>
    <row r="29" spans="1:46" s="435" customFormat="1" ht="57" customHeight="1">
      <c r="A29" s="537">
        <v>19</v>
      </c>
      <c r="B29" s="537"/>
      <c r="C29" s="569" t="str">
        <f>+'Biểu 1 TH CÔNG'!C29</f>
        <v>Thảo Buôn</v>
      </c>
      <c r="D29" s="564">
        <v>53</v>
      </c>
      <c r="E29" s="564">
        <v>0</v>
      </c>
      <c r="F29" s="564">
        <v>0</v>
      </c>
      <c r="G29" s="564">
        <v>116</v>
      </c>
      <c r="H29" s="564">
        <v>57</v>
      </c>
      <c r="I29" s="564">
        <v>61</v>
      </c>
      <c r="J29" s="564">
        <v>67</v>
      </c>
      <c r="K29" s="564">
        <v>103</v>
      </c>
      <c r="L29" s="564">
        <v>51</v>
      </c>
      <c r="M29" s="564">
        <v>90</v>
      </c>
      <c r="N29" s="564">
        <v>57</v>
      </c>
      <c r="O29" s="564">
        <v>122</v>
      </c>
      <c r="P29" s="564">
        <v>70</v>
      </c>
      <c r="Q29" s="564">
        <v>88</v>
      </c>
      <c r="R29" s="564">
        <v>68</v>
      </c>
      <c r="S29" s="564">
        <v>98</v>
      </c>
      <c r="T29" s="564">
        <v>67</v>
      </c>
      <c r="U29" s="564">
        <v>61</v>
      </c>
      <c r="V29" s="564">
        <v>50</v>
      </c>
      <c r="W29" s="564">
        <v>117</v>
      </c>
      <c r="X29" s="564">
        <v>73</v>
      </c>
      <c r="Y29" s="564">
        <v>76</v>
      </c>
      <c r="Z29" s="564">
        <v>90</v>
      </c>
      <c r="AA29" s="564">
        <v>98</v>
      </c>
      <c r="AB29" s="564">
        <v>60</v>
      </c>
      <c r="AC29" s="564">
        <v>70</v>
      </c>
      <c r="AD29" s="564">
        <v>69</v>
      </c>
      <c r="AE29" s="564">
        <v>116</v>
      </c>
      <c r="AF29" s="564">
        <v>113</v>
      </c>
      <c r="AG29" s="564">
        <v>122</v>
      </c>
      <c r="AH29" s="564">
        <v>61</v>
      </c>
      <c r="AI29" s="565">
        <f t="shared" si="2"/>
        <v>2344</v>
      </c>
      <c r="AJ29" s="566">
        <f t="shared" si="0"/>
        <v>40.312390512695202</v>
      </c>
      <c r="AK29" s="571">
        <f t="shared" si="3"/>
        <v>944.92243361757562</v>
      </c>
      <c r="AL29" s="826">
        <f t="shared" si="4"/>
        <v>2344</v>
      </c>
      <c r="AM29" s="827">
        <f t="shared" si="1"/>
        <v>3.9348777821989631</v>
      </c>
      <c r="AN29" s="826">
        <f t="shared" si="5"/>
        <v>92.233535214743696</v>
      </c>
      <c r="AO29" s="826">
        <f t="shared" si="6"/>
        <v>1037.1559688323193</v>
      </c>
      <c r="AP29" s="570" t="s">
        <v>61</v>
      </c>
      <c r="AQ29" s="433"/>
      <c r="AR29" s="482"/>
      <c r="AS29" s="482"/>
      <c r="AT29" s="482"/>
    </row>
    <row r="30" spans="1:46" s="435" customFormat="1" ht="57" customHeight="1">
      <c r="A30" s="537">
        <v>20</v>
      </c>
      <c r="B30" s="537"/>
      <c r="C30" s="569" t="str">
        <f>+'Biểu 1 TH CÔNG'!C30</f>
        <v>Phò Lấp</v>
      </c>
      <c r="D30" s="564">
        <v>82</v>
      </c>
      <c r="E30" s="564">
        <v>70</v>
      </c>
      <c r="F30" s="564">
        <v>108</v>
      </c>
      <c r="G30" s="564">
        <v>129</v>
      </c>
      <c r="H30" s="564">
        <v>70</v>
      </c>
      <c r="I30" s="564">
        <v>65</v>
      </c>
      <c r="J30" s="564">
        <v>80</v>
      </c>
      <c r="K30" s="564">
        <v>111</v>
      </c>
      <c r="L30" s="564">
        <v>68</v>
      </c>
      <c r="M30" s="564">
        <v>100</v>
      </c>
      <c r="N30" s="564">
        <v>44</v>
      </c>
      <c r="O30" s="564">
        <v>120</v>
      </c>
      <c r="P30" s="564">
        <v>81</v>
      </c>
      <c r="Q30" s="564">
        <v>70</v>
      </c>
      <c r="R30" s="564">
        <v>77</v>
      </c>
      <c r="S30" s="564">
        <v>111</v>
      </c>
      <c r="T30" s="564">
        <v>94</v>
      </c>
      <c r="U30" s="564">
        <v>70</v>
      </c>
      <c r="V30" s="564">
        <v>62</v>
      </c>
      <c r="W30" s="564">
        <v>110</v>
      </c>
      <c r="X30" s="564">
        <v>79</v>
      </c>
      <c r="Y30" s="564">
        <v>55</v>
      </c>
      <c r="Z30" s="564">
        <v>66</v>
      </c>
      <c r="AA30" s="564">
        <v>110</v>
      </c>
      <c r="AB30" s="564">
        <v>78</v>
      </c>
      <c r="AC30" s="564">
        <v>64</v>
      </c>
      <c r="AD30" s="564">
        <v>67</v>
      </c>
      <c r="AE30" s="564">
        <v>101</v>
      </c>
      <c r="AF30" s="564">
        <v>75</v>
      </c>
      <c r="AG30" s="564">
        <v>70</v>
      </c>
      <c r="AH30" s="564">
        <v>79</v>
      </c>
      <c r="AI30" s="565">
        <f t="shared" si="2"/>
        <v>2566</v>
      </c>
      <c r="AJ30" s="566">
        <f t="shared" si="0"/>
        <v>40.312390512695202</v>
      </c>
      <c r="AK30" s="571">
        <f t="shared" si="3"/>
        <v>1034.4159405557589</v>
      </c>
      <c r="AL30" s="826">
        <f t="shared" si="4"/>
        <v>2566</v>
      </c>
      <c r="AM30" s="827">
        <f t="shared" si="1"/>
        <v>3.9348777821989631</v>
      </c>
      <c r="AN30" s="826">
        <f t="shared" si="5"/>
        <v>100.9689638912254</v>
      </c>
      <c r="AO30" s="826">
        <f t="shared" si="6"/>
        <v>1135.3849044469844</v>
      </c>
      <c r="AP30" s="570" t="s">
        <v>61</v>
      </c>
      <c r="AQ30" s="433"/>
      <c r="AR30" s="482"/>
      <c r="AS30" s="482"/>
      <c r="AT30" s="482"/>
    </row>
    <row r="31" spans="1:46" s="435" customFormat="1" ht="57" customHeight="1">
      <c r="A31" s="537">
        <v>21</v>
      </c>
      <c r="B31" s="537"/>
      <c r="C31" s="569" t="str">
        <f>+'Biểu 1 TH CÔNG'!C31</f>
        <v>Phò Nhạc</v>
      </c>
      <c r="D31" s="564">
        <v>75</v>
      </c>
      <c r="E31" s="564">
        <v>97</v>
      </c>
      <c r="F31" s="564">
        <v>130</v>
      </c>
      <c r="G31" s="564">
        <v>166</v>
      </c>
      <c r="H31" s="564">
        <v>83</v>
      </c>
      <c r="I31" s="564">
        <v>60</v>
      </c>
      <c r="J31" s="564">
        <v>69</v>
      </c>
      <c r="K31" s="564">
        <v>115</v>
      </c>
      <c r="L31" s="564">
        <v>85</v>
      </c>
      <c r="M31" s="564">
        <v>75</v>
      </c>
      <c r="N31" s="564">
        <v>0</v>
      </c>
      <c r="O31" s="564">
        <v>116</v>
      </c>
      <c r="P31" s="564">
        <v>58</v>
      </c>
      <c r="Q31" s="564">
        <v>82</v>
      </c>
      <c r="R31" s="564">
        <v>165</v>
      </c>
      <c r="S31" s="564">
        <v>133</v>
      </c>
      <c r="T31" s="564">
        <v>50</v>
      </c>
      <c r="U31" s="564">
        <v>75</v>
      </c>
      <c r="V31" s="564">
        <v>80</v>
      </c>
      <c r="W31" s="564">
        <v>120</v>
      </c>
      <c r="X31" s="564">
        <v>102</v>
      </c>
      <c r="Y31" s="564">
        <v>70</v>
      </c>
      <c r="Z31" s="564">
        <v>60</v>
      </c>
      <c r="AA31" s="564">
        <v>114</v>
      </c>
      <c r="AB31" s="564">
        <v>86</v>
      </c>
      <c r="AC31" s="564">
        <v>62</v>
      </c>
      <c r="AD31" s="564">
        <v>73</v>
      </c>
      <c r="AE31" s="564">
        <v>141</v>
      </c>
      <c r="AF31" s="564">
        <v>100</v>
      </c>
      <c r="AG31" s="564">
        <v>69</v>
      </c>
      <c r="AH31" s="564">
        <v>113</v>
      </c>
      <c r="AI31" s="565">
        <f t="shared" si="2"/>
        <v>2824</v>
      </c>
      <c r="AJ31" s="566">
        <f t="shared" si="0"/>
        <v>40.312390512695202</v>
      </c>
      <c r="AK31" s="571">
        <f t="shared" si="3"/>
        <v>1138.4219080785124</v>
      </c>
      <c r="AL31" s="826">
        <f t="shared" si="4"/>
        <v>2824</v>
      </c>
      <c r="AM31" s="827">
        <f t="shared" si="1"/>
        <v>3.9348777821989631</v>
      </c>
      <c r="AN31" s="826">
        <f t="shared" si="5"/>
        <v>111.12094856929872</v>
      </c>
      <c r="AO31" s="826">
        <f t="shared" si="6"/>
        <v>1249.542856647811</v>
      </c>
      <c r="AP31" s="570" t="s">
        <v>63</v>
      </c>
      <c r="AQ31" s="433"/>
      <c r="AR31" s="482"/>
      <c r="AS31" s="482"/>
      <c r="AT31" s="482"/>
    </row>
    <row r="32" spans="1:46" s="435" customFormat="1" ht="57" customHeight="1">
      <c r="A32" s="537">
        <v>22</v>
      </c>
      <c r="B32" s="537"/>
      <c r="C32" s="569" t="str">
        <f>+'Biểu 1 TH CÔNG'!C32</f>
        <v>Nang Nọi</v>
      </c>
      <c r="D32" s="564">
        <v>53</v>
      </c>
      <c r="E32" s="564">
        <v>0</v>
      </c>
      <c r="F32" s="564">
        <v>94</v>
      </c>
      <c r="G32" s="564">
        <v>66</v>
      </c>
      <c r="H32" s="564">
        <v>40</v>
      </c>
      <c r="I32" s="564">
        <v>95</v>
      </c>
      <c r="J32" s="564">
        <v>115</v>
      </c>
      <c r="K32" s="564">
        <v>75</v>
      </c>
      <c r="L32" s="564">
        <v>43</v>
      </c>
      <c r="M32" s="564">
        <v>83</v>
      </c>
      <c r="N32" s="564">
        <v>0</v>
      </c>
      <c r="O32" s="564">
        <v>74</v>
      </c>
      <c r="P32" s="564">
        <v>32</v>
      </c>
      <c r="Q32" s="564">
        <v>53</v>
      </c>
      <c r="R32" s="564">
        <v>142</v>
      </c>
      <c r="S32" s="564">
        <v>64</v>
      </c>
      <c r="T32" s="564">
        <v>29</v>
      </c>
      <c r="U32" s="564">
        <v>93</v>
      </c>
      <c r="V32" s="564">
        <v>93</v>
      </c>
      <c r="W32" s="564">
        <v>63</v>
      </c>
      <c r="X32" s="564">
        <v>40</v>
      </c>
      <c r="Y32" s="564">
        <v>62</v>
      </c>
      <c r="Z32" s="564">
        <v>87</v>
      </c>
      <c r="AA32" s="564">
        <v>65</v>
      </c>
      <c r="AB32" s="564">
        <v>0</v>
      </c>
      <c r="AC32" s="564">
        <v>45</v>
      </c>
      <c r="AD32" s="564">
        <v>74</v>
      </c>
      <c r="AE32" s="564">
        <v>55</v>
      </c>
      <c r="AF32" s="564">
        <v>65</v>
      </c>
      <c r="AG32" s="564">
        <v>77</v>
      </c>
      <c r="AH32" s="564">
        <v>122</v>
      </c>
      <c r="AI32" s="565">
        <f t="shared" si="2"/>
        <v>1999</v>
      </c>
      <c r="AJ32" s="566">
        <f t="shared" si="0"/>
        <v>40.312390512695202</v>
      </c>
      <c r="AK32" s="571">
        <f t="shared" si="3"/>
        <v>805.84468634877703</v>
      </c>
      <c r="AL32" s="826">
        <f t="shared" si="4"/>
        <v>1999</v>
      </c>
      <c r="AM32" s="827">
        <f t="shared" si="1"/>
        <v>3.9348777821989631</v>
      </c>
      <c r="AN32" s="826">
        <f t="shared" si="5"/>
        <v>78.658206866157272</v>
      </c>
      <c r="AO32" s="826">
        <f t="shared" si="6"/>
        <v>884.50289321493426</v>
      </c>
      <c r="AP32" s="570" t="s">
        <v>61</v>
      </c>
      <c r="AQ32" s="433"/>
      <c r="AR32" s="482"/>
      <c r="AS32" s="482"/>
      <c r="AT32" s="482"/>
    </row>
    <row r="33" spans="1:46" s="435" customFormat="1" ht="57" customHeight="1">
      <c r="A33" s="537">
        <v>23</v>
      </c>
      <c r="B33" s="537"/>
      <c r="C33" s="569" t="str">
        <f>+'Biểu 1 TH CÔNG'!C33</f>
        <v>Húc</v>
      </c>
      <c r="D33" s="564">
        <v>0</v>
      </c>
      <c r="E33" s="564">
        <v>107</v>
      </c>
      <c r="F33" s="564">
        <v>0</v>
      </c>
      <c r="G33" s="564">
        <v>125</v>
      </c>
      <c r="H33" s="564">
        <v>70</v>
      </c>
      <c r="I33" s="564">
        <v>54</v>
      </c>
      <c r="J33" s="564">
        <v>71</v>
      </c>
      <c r="K33" s="564">
        <v>78</v>
      </c>
      <c r="L33" s="564">
        <v>65</v>
      </c>
      <c r="M33" s="564">
        <v>140</v>
      </c>
      <c r="N33" s="564">
        <v>68</v>
      </c>
      <c r="O33" s="564">
        <v>79</v>
      </c>
      <c r="P33" s="564">
        <v>87</v>
      </c>
      <c r="Q33" s="564">
        <v>64</v>
      </c>
      <c r="R33" s="564">
        <v>60</v>
      </c>
      <c r="S33" s="564">
        <v>68</v>
      </c>
      <c r="T33" s="564">
        <v>86</v>
      </c>
      <c r="U33" s="564">
        <v>82</v>
      </c>
      <c r="V33" s="564">
        <v>0</v>
      </c>
      <c r="W33" s="564">
        <v>70</v>
      </c>
      <c r="X33" s="564">
        <v>80</v>
      </c>
      <c r="Y33" s="564">
        <v>0</v>
      </c>
      <c r="Z33" s="564">
        <v>77</v>
      </c>
      <c r="AA33" s="564">
        <v>72</v>
      </c>
      <c r="AB33" s="564">
        <v>96</v>
      </c>
      <c r="AC33" s="564">
        <v>90</v>
      </c>
      <c r="AD33" s="564">
        <v>100</v>
      </c>
      <c r="AE33" s="564">
        <v>100</v>
      </c>
      <c r="AF33" s="564">
        <v>100</v>
      </c>
      <c r="AG33" s="564">
        <v>100</v>
      </c>
      <c r="AH33" s="564">
        <v>100</v>
      </c>
      <c r="AI33" s="565">
        <f t="shared" si="2"/>
        <v>2289</v>
      </c>
      <c r="AJ33" s="566">
        <f t="shared" si="0"/>
        <v>40.312390512695202</v>
      </c>
      <c r="AK33" s="571">
        <f t="shared" si="3"/>
        <v>922.75061883559317</v>
      </c>
      <c r="AL33" s="826">
        <f t="shared" si="4"/>
        <v>2289</v>
      </c>
      <c r="AM33" s="827">
        <f t="shared" si="1"/>
        <v>3.9348777821989631</v>
      </c>
      <c r="AN33" s="826">
        <f t="shared" si="5"/>
        <v>90.069352434534267</v>
      </c>
      <c r="AO33" s="826">
        <f t="shared" si="6"/>
        <v>1012.8199712701274</v>
      </c>
      <c r="AP33" s="570" t="s">
        <v>63</v>
      </c>
      <c r="AQ33" s="433"/>
      <c r="AR33" s="482"/>
      <c r="AS33" s="482"/>
      <c r="AT33" s="482"/>
    </row>
    <row r="34" spans="1:46" s="435" customFormat="1" ht="57" customHeight="1">
      <c r="A34" s="537">
        <v>24</v>
      </c>
      <c r="B34" s="537"/>
      <c r="C34" s="569" t="str">
        <f>+'Biểu 1 TH CÔNG'!C34</f>
        <v>A Côm</v>
      </c>
      <c r="D34" s="564">
        <v>122</v>
      </c>
      <c r="E34" s="564">
        <v>124</v>
      </c>
      <c r="F34" s="564">
        <v>78</v>
      </c>
      <c r="G34" s="564">
        <v>120</v>
      </c>
      <c r="H34" s="564">
        <v>83</v>
      </c>
      <c r="I34" s="564">
        <v>96</v>
      </c>
      <c r="J34" s="564">
        <v>77</v>
      </c>
      <c r="K34" s="564">
        <v>146</v>
      </c>
      <c r="L34" s="564">
        <v>91</v>
      </c>
      <c r="M34" s="564">
        <v>131</v>
      </c>
      <c r="N34" s="564">
        <v>62</v>
      </c>
      <c r="O34" s="564">
        <v>161</v>
      </c>
      <c r="P34" s="564">
        <v>90</v>
      </c>
      <c r="Q34" s="564">
        <v>123</v>
      </c>
      <c r="R34" s="564">
        <v>84</v>
      </c>
      <c r="S34" s="564">
        <v>131</v>
      </c>
      <c r="T34" s="564">
        <v>110</v>
      </c>
      <c r="U34" s="564">
        <v>129</v>
      </c>
      <c r="V34" s="564">
        <v>79</v>
      </c>
      <c r="W34" s="564">
        <v>140</v>
      </c>
      <c r="X34" s="564">
        <v>88</v>
      </c>
      <c r="Y34" s="564">
        <v>95</v>
      </c>
      <c r="Z34" s="564">
        <v>73</v>
      </c>
      <c r="AA34" s="564">
        <v>138</v>
      </c>
      <c r="AB34" s="564">
        <v>98</v>
      </c>
      <c r="AC34" s="564">
        <v>86</v>
      </c>
      <c r="AD34" s="564">
        <v>74</v>
      </c>
      <c r="AE34" s="564">
        <v>125</v>
      </c>
      <c r="AF34" s="564">
        <v>111</v>
      </c>
      <c r="AG34" s="564">
        <v>120</v>
      </c>
      <c r="AH34" s="564">
        <v>79</v>
      </c>
      <c r="AI34" s="565">
        <f t="shared" si="2"/>
        <v>3264</v>
      </c>
      <c r="AJ34" s="566">
        <f t="shared" si="0"/>
        <v>40.312390512695202</v>
      </c>
      <c r="AK34" s="571">
        <f t="shared" si="3"/>
        <v>1315.7964263343715</v>
      </c>
      <c r="AL34" s="826">
        <f t="shared" si="4"/>
        <v>3264</v>
      </c>
      <c r="AM34" s="827">
        <f t="shared" si="1"/>
        <v>3.9348777821989631</v>
      </c>
      <c r="AN34" s="826">
        <f t="shared" si="5"/>
        <v>128.43441081097416</v>
      </c>
      <c r="AO34" s="826">
        <f t="shared" si="6"/>
        <v>1444.2308371453457</v>
      </c>
      <c r="AP34" s="570" t="s">
        <v>61</v>
      </c>
      <c r="AQ34" s="433"/>
      <c r="AR34" s="482"/>
      <c r="AS34" s="482"/>
      <c r="AT34" s="482"/>
    </row>
    <row r="35" spans="1:46" s="435" customFormat="1" ht="57" customHeight="1">
      <c r="A35" s="537">
        <v>25</v>
      </c>
      <c r="B35" s="537"/>
      <c r="C35" s="569" t="str">
        <f>+'Biểu 1 TH CÔNG'!C35</f>
        <v>Nang Phen</v>
      </c>
      <c r="D35" s="564">
        <v>110</v>
      </c>
      <c r="E35" s="564">
        <v>70</v>
      </c>
      <c r="F35" s="564">
        <v>100</v>
      </c>
      <c r="G35" s="564">
        <v>206</v>
      </c>
      <c r="H35" s="564">
        <v>100</v>
      </c>
      <c r="I35" s="564">
        <v>64</v>
      </c>
      <c r="J35" s="564">
        <v>70</v>
      </c>
      <c r="K35" s="564">
        <v>135</v>
      </c>
      <c r="L35" s="564">
        <v>100</v>
      </c>
      <c r="M35" s="564">
        <v>90</v>
      </c>
      <c r="N35" s="564">
        <v>60</v>
      </c>
      <c r="O35" s="564">
        <v>170</v>
      </c>
      <c r="P35" s="564">
        <v>130</v>
      </c>
      <c r="Q35" s="564">
        <v>80</v>
      </c>
      <c r="R35" s="564">
        <v>90</v>
      </c>
      <c r="S35" s="564">
        <v>115</v>
      </c>
      <c r="T35" s="564">
        <v>130</v>
      </c>
      <c r="U35" s="564">
        <v>90</v>
      </c>
      <c r="V35" s="564">
        <v>80</v>
      </c>
      <c r="W35" s="564">
        <v>140</v>
      </c>
      <c r="X35" s="564">
        <v>110</v>
      </c>
      <c r="Y35" s="564">
        <v>70</v>
      </c>
      <c r="Z35" s="564">
        <v>64</v>
      </c>
      <c r="AA35" s="564">
        <v>123</v>
      </c>
      <c r="AB35" s="564">
        <v>100</v>
      </c>
      <c r="AC35" s="564">
        <v>70</v>
      </c>
      <c r="AD35" s="564">
        <v>80</v>
      </c>
      <c r="AE35" s="564">
        <v>122</v>
      </c>
      <c r="AF35" s="564">
        <v>140</v>
      </c>
      <c r="AG35" s="564">
        <v>90</v>
      </c>
      <c r="AH35" s="564">
        <v>60</v>
      </c>
      <c r="AI35" s="565">
        <f t="shared" si="2"/>
        <v>3159</v>
      </c>
      <c r="AJ35" s="566">
        <f t="shared" si="0"/>
        <v>40.312390512695202</v>
      </c>
      <c r="AK35" s="571">
        <f t="shared" si="3"/>
        <v>1273.4684162960414</v>
      </c>
      <c r="AL35" s="826">
        <f t="shared" si="4"/>
        <v>3159</v>
      </c>
      <c r="AM35" s="827">
        <f t="shared" si="1"/>
        <v>3.9348777821989631</v>
      </c>
      <c r="AN35" s="826">
        <f t="shared" si="5"/>
        <v>124.30278913966524</v>
      </c>
      <c r="AO35" s="826">
        <f t="shared" si="6"/>
        <v>1397.7712054357066</v>
      </c>
      <c r="AP35" s="570" t="s">
        <v>63</v>
      </c>
      <c r="AQ35" s="433"/>
      <c r="AR35" s="482"/>
      <c r="AS35" s="482"/>
      <c r="AT35" s="482"/>
    </row>
    <row r="36" spans="1:46" s="435" customFormat="1" ht="57" customHeight="1">
      <c r="A36" s="537">
        <v>26</v>
      </c>
      <c r="B36" s="537"/>
      <c r="C36" s="569" t="str">
        <f>+'Biểu 1 TH CÔNG'!C36</f>
        <v>Thảo Đuôn</v>
      </c>
      <c r="D36" s="564">
        <v>110</v>
      </c>
      <c r="E36" s="564">
        <v>64</v>
      </c>
      <c r="F36" s="564">
        <v>82</v>
      </c>
      <c r="G36" s="564">
        <v>155</v>
      </c>
      <c r="H36" s="564">
        <v>63</v>
      </c>
      <c r="I36" s="564">
        <v>60</v>
      </c>
      <c r="J36" s="564">
        <v>65</v>
      </c>
      <c r="K36" s="564">
        <v>135</v>
      </c>
      <c r="L36" s="564">
        <v>76</v>
      </c>
      <c r="M36" s="564">
        <v>67</v>
      </c>
      <c r="N36" s="564">
        <v>43</v>
      </c>
      <c r="O36" s="564">
        <v>170</v>
      </c>
      <c r="P36" s="564">
        <v>130</v>
      </c>
      <c r="Q36" s="564">
        <v>80</v>
      </c>
      <c r="R36" s="564">
        <v>90</v>
      </c>
      <c r="S36" s="564">
        <v>115</v>
      </c>
      <c r="T36" s="564">
        <v>130</v>
      </c>
      <c r="U36" s="564">
        <v>90</v>
      </c>
      <c r="V36" s="564">
        <v>80</v>
      </c>
      <c r="W36" s="564">
        <v>140</v>
      </c>
      <c r="X36" s="564">
        <v>105</v>
      </c>
      <c r="Y36" s="564">
        <v>70</v>
      </c>
      <c r="Z36" s="564">
        <v>63</v>
      </c>
      <c r="AA36" s="564">
        <v>124</v>
      </c>
      <c r="AB36" s="564">
        <v>100</v>
      </c>
      <c r="AC36" s="564">
        <v>65</v>
      </c>
      <c r="AD36" s="564">
        <v>80</v>
      </c>
      <c r="AE36" s="564">
        <v>122</v>
      </c>
      <c r="AF36" s="564">
        <v>140</v>
      </c>
      <c r="AG36" s="564">
        <v>90</v>
      </c>
      <c r="AH36" s="564">
        <v>100</v>
      </c>
      <c r="AI36" s="565">
        <f t="shared" si="2"/>
        <v>3004</v>
      </c>
      <c r="AJ36" s="566">
        <f t="shared" si="0"/>
        <v>40.312390512695202</v>
      </c>
      <c r="AK36" s="571">
        <f t="shared" si="3"/>
        <v>1210.984211001364</v>
      </c>
      <c r="AL36" s="826">
        <f t="shared" si="4"/>
        <v>3004</v>
      </c>
      <c r="AM36" s="827">
        <f t="shared" si="1"/>
        <v>3.9348777821989631</v>
      </c>
      <c r="AN36" s="826">
        <f t="shared" si="5"/>
        <v>118.20372857725684</v>
      </c>
      <c r="AO36" s="826">
        <f t="shared" si="6"/>
        <v>1329.1879395786209</v>
      </c>
      <c r="AP36" s="570" t="s">
        <v>63</v>
      </c>
      <c r="AQ36" s="433"/>
      <c r="AR36" s="482"/>
      <c r="AS36" s="482"/>
      <c r="AT36" s="482"/>
    </row>
    <row r="37" spans="1:46" s="435" customFormat="1" ht="57" customHeight="1">
      <c r="A37" s="537">
        <v>27</v>
      </c>
      <c r="B37" s="537"/>
      <c r="C37" s="569" t="str">
        <f>+'Biểu 1 TH CÔNG'!C37</f>
        <v>A Rơ</v>
      </c>
      <c r="D37" s="564">
        <v>0</v>
      </c>
      <c r="E37" s="564">
        <v>43</v>
      </c>
      <c r="F37" s="564">
        <v>66</v>
      </c>
      <c r="G37" s="564">
        <v>113</v>
      </c>
      <c r="H37" s="564">
        <v>100</v>
      </c>
      <c r="I37" s="564">
        <v>77</v>
      </c>
      <c r="J37" s="564">
        <v>53</v>
      </c>
      <c r="K37" s="564">
        <v>126</v>
      </c>
      <c r="L37" s="564">
        <v>78</v>
      </c>
      <c r="M37" s="564">
        <v>64</v>
      </c>
      <c r="N37" s="564">
        <v>60</v>
      </c>
      <c r="O37" s="564">
        <v>156</v>
      </c>
      <c r="P37" s="564">
        <v>127</v>
      </c>
      <c r="Q37" s="564">
        <v>47</v>
      </c>
      <c r="R37" s="564">
        <v>57</v>
      </c>
      <c r="S37" s="564">
        <v>147</v>
      </c>
      <c r="T37" s="564">
        <v>116</v>
      </c>
      <c r="U37" s="564">
        <v>70</v>
      </c>
      <c r="V37" s="564">
        <v>53</v>
      </c>
      <c r="W37" s="564">
        <v>0</v>
      </c>
      <c r="X37" s="564">
        <v>88</v>
      </c>
      <c r="Y37" s="564">
        <v>46</v>
      </c>
      <c r="Z37" s="564">
        <v>53</v>
      </c>
      <c r="AA37" s="564">
        <v>220</v>
      </c>
      <c r="AB37" s="564">
        <v>79</v>
      </c>
      <c r="AC37" s="564">
        <v>47</v>
      </c>
      <c r="AD37" s="564">
        <v>57</v>
      </c>
      <c r="AE37" s="564">
        <v>128</v>
      </c>
      <c r="AF37" s="564">
        <v>118</v>
      </c>
      <c r="AG37" s="564">
        <v>52</v>
      </c>
      <c r="AH37" s="564">
        <v>71</v>
      </c>
      <c r="AI37" s="565">
        <f t="shared" si="2"/>
        <v>2512</v>
      </c>
      <c r="AJ37" s="566">
        <f t="shared" si="0"/>
        <v>40.312390512695202</v>
      </c>
      <c r="AK37" s="571">
        <f t="shared" si="3"/>
        <v>1012.6472496789034</v>
      </c>
      <c r="AL37" s="826">
        <f t="shared" si="4"/>
        <v>2512</v>
      </c>
      <c r="AM37" s="827">
        <f t="shared" si="1"/>
        <v>3.9348777821989631</v>
      </c>
      <c r="AN37" s="826">
        <f t="shared" si="5"/>
        <v>98.844129888837955</v>
      </c>
      <c r="AO37" s="826">
        <f t="shared" si="6"/>
        <v>1111.4913795677414</v>
      </c>
      <c r="AP37" s="570" t="s">
        <v>63</v>
      </c>
      <c r="AQ37" s="433"/>
      <c r="AR37" s="482"/>
      <c r="AS37" s="482"/>
      <c r="AT37" s="482"/>
    </row>
    <row r="38" spans="1:46" s="435" customFormat="1" ht="57" customHeight="1">
      <c r="A38" s="537">
        <v>28</v>
      </c>
      <c r="B38" s="537"/>
      <c r="C38" s="569" t="str">
        <f>+'Biểu 1 TH CÔNG'!C38</f>
        <v>Thảo Xâm</v>
      </c>
      <c r="D38" s="564">
        <v>111</v>
      </c>
      <c r="E38" s="564">
        <v>70</v>
      </c>
      <c r="F38" s="564">
        <v>100</v>
      </c>
      <c r="G38" s="564">
        <v>206</v>
      </c>
      <c r="H38" s="564">
        <v>100</v>
      </c>
      <c r="I38" s="564">
        <v>64</v>
      </c>
      <c r="J38" s="564">
        <v>70</v>
      </c>
      <c r="K38" s="564">
        <v>136</v>
      </c>
      <c r="L38" s="564">
        <v>100</v>
      </c>
      <c r="M38" s="564">
        <v>90</v>
      </c>
      <c r="N38" s="564">
        <v>60</v>
      </c>
      <c r="O38" s="564">
        <v>75</v>
      </c>
      <c r="P38" s="564">
        <v>76</v>
      </c>
      <c r="Q38" s="564">
        <v>68</v>
      </c>
      <c r="R38" s="564">
        <v>51</v>
      </c>
      <c r="S38" s="564">
        <v>100</v>
      </c>
      <c r="T38" s="564">
        <v>100</v>
      </c>
      <c r="U38" s="564">
        <v>88</v>
      </c>
      <c r="V38" s="564">
        <v>62</v>
      </c>
      <c r="W38" s="564">
        <v>98</v>
      </c>
      <c r="X38" s="564">
        <v>100</v>
      </c>
      <c r="Y38" s="564">
        <v>65</v>
      </c>
      <c r="Z38" s="564">
        <v>50</v>
      </c>
      <c r="AA38" s="564">
        <v>100</v>
      </c>
      <c r="AB38" s="564">
        <v>91</v>
      </c>
      <c r="AC38" s="564">
        <v>50</v>
      </c>
      <c r="AD38" s="564">
        <v>56</v>
      </c>
      <c r="AE38" s="564">
        <v>100</v>
      </c>
      <c r="AF38" s="564">
        <v>77</v>
      </c>
      <c r="AG38" s="564">
        <v>85</v>
      </c>
      <c r="AH38" s="564">
        <v>64</v>
      </c>
      <c r="AI38" s="565">
        <f t="shared" si="2"/>
        <v>2663</v>
      </c>
      <c r="AJ38" s="566">
        <f t="shared" si="0"/>
        <v>40.312390512695202</v>
      </c>
      <c r="AK38" s="571">
        <f t="shared" si="3"/>
        <v>1073.5189593530733</v>
      </c>
      <c r="AL38" s="826">
        <f t="shared" si="4"/>
        <v>2663</v>
      </c>
      <c r="AM38" s="827">
        <f t="shared" si="1"/>
        <v>3.9348777821989631</v>
      </c>
      <c r="AN38" s="826">
        <f t="shared" si="5"/>
        <v>104.78579533995838</v>
      </c>
      <c r="AO38" s="826">
        <f t="shared" si="6"/>
        <v>1178.3047546930318</v>
      </c>
      <c r="AP38" s="570" t="s">
        <v>61</v>
      </c>
      <c r="AQ38" s="433"/>
      <c r="AR38" s="482"/>
      <c r="AS38" s="482"/>
      <c r="AT38" s="482"/>
    </row>
    <row r="39" spans="1:46" s="435" customFormat="1" ht="57" customHeight="1">
      <c r="A39" s="537">
        <v>29</v>
      </c>
      <c r="B39" s="537"/>
      <c r="C39" s="569" t="str">
        <f>+'Biểu 1 TH CÔNG'!C39</f>
        <v>Thảo Anh</v>
      </c>
      <c r="D39" s="564">
        <v>56</v>
      </c>
      <c r="E39" s="564">
        <v>66</v>
      </c>
      <c r="F39" s="564">
        <v>0</v>
      </c>
      <c r="G39" s="564">
        <v>100</v>
      </c>
      <c r="H39" s="564">
        <v>48</v>
      </c>
      <c r="I39" s="564">
        <v>30</v>
      </c>
      <c r="J39" s="564">
        <v>92</v>
      </c>
      <c r="K39" s="564">
        <v>161</v>
      </c>
      <c r="L39" s="564">
        <v>42</v>
      </c>
      <c r="M39" s="564">
        <v>60</v>
      </c>
      <c r="N39" s="564">
        <v>63</v>
      </c>
      <c r="O39" s="564">
        <v>108</v>
      </c>
      <c r="P39" s="564">
        <v>77</v>
      </c>
      <c r="Q39" s="564">
        <v>60</v>
      </c>
      <c r="R39" s="564">
        <v>76</v>
      </c>
      <c r="S39" s="564">
        <v>70</v>
      </c>
      <c r="T39" s="564">
        <v>49</v>
      </c>
      <c r="U39" s="564">
        <v>66</v>
      </c>
      <c r="V39" s="564">
        <v>80</v>
      </c>
      <c r="W39" s="564">
        <v>90</v>
      </c>
      <c r="X39" s="564">
        <v>60</v>
      </c>
      <c r="Y39" s="564">
        <v>50</v>
      </c>
      <c r="Z39" s="564">
        <v>63</v>
      </c>
      <c r="AA39" s="564">
        <v>70</v>
      </c>
      <c r="AB39" s="564">
        <v>50</v>
      </c>
      <c r="AC39" s="564">
        <v>50</v>
      </c>
      <c r="AD39" s="564">
        <v>62</v>
      </c>
      <c r="AE39" s="564">
        <v>88</v>
      </c>
      <c r="AF39" s="564">
        <v>70</v>
      </c>
      <c r="AG39" s="564">
        <v>45</v>
      </c>
      <c r="AH39" s="564">
        <v>202</v>
      </c>
      <c r="AI39" s="565">
        <f t="shared" si="2"/>
        <v>2204</v>
      </c>
      <c r="AJ39" s="566">
        <f t="shared" si="0"/>
        <v>40.312390512695202</v>
      </c>
      <c r="AK39" s="571">
        <f t="shared" si="3"/>
        <v>888.48508689980224</v>
      </c>
      <c r="AL39" s="826">
        <f t="shared" si="4"/>
        <v>2204</v>
      </c>
      <c r="AM39" s="827">
        <f t="shared" si="1"/>
        <v>3.9348777821989631</v>
      </c>
      <c r="AN39" s="826">
        <f t="shared" si="5"/>
        <v>86.724706319665145</v>
      </c>
      <c r="AO39" s="826">
        <f t="shared" si="6"/>
        <v>975.20979321946743</v>
      </c>
      <c r="AP39" s="570" t="s">
        <v>61</v>
      </c>
      <c r="AQ39" s="433"/>
      <c r="AR39" s="482"/>
      <c r="AS39" s="482"/>
      <c r="AT39" s="482"/>
    </row>
    <row r="40" spans="1:46" s="435" customFormat="1" ht="57" customHeight="1">
      <c r="A40" s="537">
        <v>30</v>
      </c>
      <c r="B40" s="537"/>
      <c r="C40" s="569" t="str">
        <f>+'Biểu 1 TH CÔNG'!C40</f>
        <v>Nang Banh</v>
      </c>
      <c r="D40" s="564">
        <v>78</v>
      </c>
      <c r="E40" s="564">
        <v>76</v>
      </c>
      <c r="F40" s="564">
        <v>103</v>
      </c>
      <c r="G40" s="564">
        <v>267</v>
      </c>
      <c r="H40" s="564">
        <v>67</v>
      </c>
      <c r="I40" s="564">
        <v>75</v>
      </c>
      <c r="J40" s="564">
        <v>70</v>
      </c>
      <c r="K40" s="564">
        <v>219</v>
      </c>
      <c r="L40" s="564">
        <v>78</v>
      </c>
      <c r="M40" s="564">
        <v>92</v>
      </c>
      <c r="N40" s="564">
        <v>65</v>
      </c>
      <c r="O40" s="564">
        <v>221</v>
      </c>
      <c r="P40" s="564">
        <v>110</v>
      </c>
      <c r="Q40" s="564">
        <v>80</v>
      </c>
      <c r="R40" s="564">
        <v>88</v>
      </c>
      <c r="S40" s="564">
        <v>198</v>
      </c>
      <c r="T40" s="564">
        <v>92</v>
      </c>
      <c r="U40" s="564">
        <v>85</v>
      </c>
      <c r="V40" s="564">
        <v>83</v>
      </c>
      <c r="W40" s="564">
        <v>234</v>
      </c>
      <c r="X40" s="564">
        <v>90</v>
      </c>
      <c r="Y40" s="564">
        <v>74</v>
      </c>
      <c r="Z40" s="564">
        <v>94</v>
      </c>
      <c r="AA40" s="564">
        <v>225</v>
      </c>
      <c r="AB40" s="564">
        <v>78</v>
      </c>
      <c r="AC40" s="564">
        <v>78</v>
      </c>
      <c r="AD40" s="564">
        <v>80</v>
      </c>
      <c r="AE40" s="564">
        <v>204</v>
      </c>
      <c r="AF40" s="564">
        <v>90</v>
      </c>
      <c r="AG40" s="564">
        <v>100</v>
      </c>
      <c r="AH40" s="564">
        <v>81</v>
      </c>
      <c r="AI40" s="565">
        <f t="shared" si="2"/>
        <v>3575</v>
      </c>
      <c r="AJ40" s="566">
        <f t="shared" si="0"/>
        <v>40.312390512695202</v>
      </c>
      <c r="AK40" s="571">
        <f t="shared" si="3"/>
        <v>1441.1679608288534</v>
      </c>
      <c r="AL40" s="826">
        <f t="shared" si="4"/>
        <v>3575</v>
      </c>
      <c r="AM40" s="827">
        <f t="shared" si="1"/>
        <v>3.9348777821989631</v>
      </c>
      <c r="AN40" s="826">
        <f t="shared" si="5"/>
        <v>140.67188071361295</v>
      </c>
      <c r="AO40" s="826">
        <f t="shared" si="6"/>
        <v>1581.8398415424663</v>
      </c>
      <c r="AP40" s="570" t="s">
        <v>63</v>
      </c>
      <c r="AQ40" s="433"/>
      <c r="AR40" s="482"/>
      <c r="AS40" s="482"/>
      <c r="AT40" s="482"/>
    </row>
    <row r="41" spans="1:46" s="435" customFormat="1" ht="57" customHeight="1">
      <c r="A41" s="537">
        <v>31</v>
      </c>
      <c r="B41" s="537"/>
      <c r="C41" s="569" t="str">
        <f>+'Biểu 1 TH CÔNG'!C41</f>
        <v>Thảo Boi</v>
      </c>
      <c r="D41" s="564">
        <v>0</v>
      </c>
      <c r="E41" s="564">
        <v>0</v>
      </c>
      <c r="F41" s="564">
        <v>98</v>
      </c>
      <c r="G41" s="564">
        <v>180</v>
      </c>
      <c r="H41" s="564">
        <v>93</v>
      </c>
      <c r="I41" s="564">
        <v>100</v>
      </c>
      <c r="J41" s="564">
        <v>83</v>
      </c>
      <c r="K41" s="564">
        <v>167</v>
      </c>
      <c r="L41" s="564">
        <v>71</v>
      </c>
      <c r="M41" s="564">
        <v>126</v>
      </c>
      <c r="N41" s="564">
        <v>0</v>
      </c>
      <c r="O41" s="564">
        <v>195</v>
      </c>
      <c r="P41" s="564">
        <v>91</v>
      </c>
      <c r="Q41" s="564">
        <v>107</v>
      </c>
      <c r="R41" s="564">
        <v>144</v>
      </c>
      <c r="S41" s="564">
        <v>140</v>
      </c>
      <c r="T41" s="564">
        <v>109</v>
      </c>
      <c r="U41" s="564">
        <v>118</v>
      </c>
      <c r="V41" s="564">
        <v>78</v>
      </c>
      <c r="W41" s="564">
        <v>161</v>
      </c>
      <c r="X41" s="564">
        <v>91</v>
      </c>
      <c r="Y41" s="564">
        <v>78</v>
      </c>
      <c r="Z41" s="564">
        <v>88</v>
      </c>
      <c r="AA41" s="564">
        <v>135</v>
      </c>
      <c r="AB41" s="564">
        <v>68</v>
      </c>
      <c r="AC41" s="564">
        <v>74</v>
      </c>
      <c r="AD41" s="564">
        <v>75</v>
      </c>
      <c r="AE41" s="564">
        <v>133</v>
      </c>
      <c r="AF41" s="564">
        <v>91</v>
      </c>
      <c r="AG41" s="564">
        <v>86</v>
      </c>
      <c r="AH41" s="564">
        <v>87</v>
      </c>
      <c r="AI41" s="565">
        <f t="shared" si="2"/>
        <v>3067</v>
      </c>
      <c r="AJ41" s="566">
        <f t="shared" si="0"/>
        <v>40.312390512695202</v>
      </c>
      <c r="AK41" s="571">
        <f t="shared" si="3"/>
        <v>1236.3810170243619</v>
      </c>
      <c r="AL41" s="826">
        <f t="shared" si="4"/>
        <v>3067</v>
      </c>
      <c r="AM41" s="827">
        <f t="shared" si="1"/>
        <v>3.9348777821989631</v>
      </c>
      <c r="AN41" s="826">
        <f t="shared" si="5"/>
        <v>120.68270158004219</v>
      </c>
      <c r="AO41" s="826">
        <f t="shared" si="6"/>
        <v>1357.0637186044041</v>
      </c>
      <c r="AP41" s="570" t="s">
        <v>61</v>
      </c>
      <c r="AQ41" s="433"/>
      <c r="AR41" s="482"/>
      <c r="AS41" s="482"/>
      <c r="AT41" s="482"/>
    </row>
    <row r="42" spans="1:46" s="435" customFormat="1" ht="57" customHeight="1">
      <c r="A42" s="537">
        <v>32</v>
      </c>
      <c r="B42" s="537"/>
      <c r="C42" s="569" t="str">
        <f>+'Biểu 1 TH CÔNG'!C42</f>
        <v>Cha Lơ</v>
      </c>
      <c r="D42" s="564">
        <v>63</v>
      </c>
      <c r="E42" s="564">
        <v>40</v>
      </c>
      <c r="F42" s="564">
        <v>41</v>
      </c>
      <c r="G42" s="564">
        <v>86</v>
      </c>
      <c r="H42" s="564">
        <v>59</v>
      </c>
      <c r="I42" s="564">
        <v>54</v>
      </c>
      <c r="J42" s="564">
        <v>85</v>
      </c>
      <c r="K42" s="564">
        <v>82</v>
      </c>
      <c r="L42" s="564">
        <v>45</v>
      </c>
      <c r="M42" s="564">
        <v>84</v>
      </c>
      <c r="N42" s="564">
        <v>50</v>
      </c>
      <c r="O42" s="564">
        <v>97</v>
      </c>
      <c r="P42" s="564">
        <v>75</v>
      </c>
      <c r="Q42" s="564">
        <v>64</v>
      </c>
      <c r="R42" s="564">
        <v>95</v>
      </c>
      <c r="S42" s="564">
        <v>80</v>
      </c>
      <c r="T42" s="564">
        <v>59</v>
      </c>
      <c r="U42" s="564">
        <v>71</v>
      </c>
      <c r="V42" s="564">
        <v>0</v>
      </c>
      <c r="W42" s="564">
        <v>52</v>
      </c>
      <c r="X42" s="564">
        <v>50</v>
      </c>
      <c r="Y42" s="564">
        <v>0</v>
      </c>
      <c r="Z42" s="564">
        <v>76</v>
      </c>
      <c r="AA42" s="564">
        <v>66</v>
      </c>
      <c r="AB42" s="564">
        <v>44</v>
      </c>
      <c r="AC42" s="564">
        <v>45</v>
      </c>
      <c r="AD42" s="564">
        <v>58</v>
      </c>
      <c r="AE42" s="564">
        <v>58</v>
      </c>
      <c r="AF42" s="564">
        <v>65</v>
      </c>
      <c r="AG42" s="564">
        <v>77</v>
      </c>
      <c r="AH42" s="564">
        <v>58</v>
      </c>
      <c r="AI42" s="565">
        <f t="shared" si="2"/>
        <v>1879</v>
      </c>
      <c r="AJ42" s="566">
        <f t="shared" si="0"/>
        <v>40.312390512695202</v>
      </c>
      <c r="AK42" s="571">
        <f t="shared" si="3"/>
        <v>757.46981773354287</v>
      </c>
      <c r="AL42" s="826">
        <f t="shared" si="4"/>
        <v>1879</v>
      </c>
      <c r="AM42" s="827">
        <f t="shared" si="1"/>
        <v>3.9348777821989631</v>
      </c>
      <c r="AN42" s="826">
        <f t="shared" si="5"/>
        <v>73.93635352751852</v>
      </c>
      <c r="AO42" s="826">
        <f t="shared" si="6"/>
        <v>831.40617126106144</v>
      </c>
      <c r="AP42" s="570" t="s">
        <v>61</v>
      </c>
      <c r="AQ42" s="433"/>
      <c r="AR42" s="482"/>
      <c r="AS42" s="482"/>
      <c r="AT42" s="482"/>
    </row>
    <row r="43" spans="1:46" s="435" customFormat="1" ht="57" customHeight="1">
      <c r="A43" s="537">
        <v>33</v>
      </c>
      <c r="B43" s="537"/>
      <c r="C43" s="569" t="str">
        <f>+'Biểu 1 TH CÔNG'!C43</f>
        <v>Nang Cung</v>
      </c>
      <c r="D43" s="564">
        <v>73</v>
      </c>
      <c r="E43" s="564">
        <v>61</v>
      </c>
      <c r="F43" s="564">
        <v>76</v>
      </c>
      <c r="G43" s="564">
        <v>194</v>
      </c>
      <c r="H43" s="564">
        <v>55</v>
      </c>
      <c r="I43" s="564">
        <v>38</v>
      </c>
      <c r="J43" s="564">
        <v>74</v>
      </c>
      <c r="K43" s="564">
        <v>123</v>
      </c>
      <c r="L43" s="564">
        <v>60</v>
      </c>
      <c r="M43" s="564">
        <v>88</v>
      </c>
      <c r="N43" s="564">
        <v>55</v>
      </c>
      <c r="O43" s="564">
        <v>134</v>
      </c>
      <c r="P43" s="564">
        <v>70</v>
      </c>
      <c r="Q43" s="564">
        <v>0</v>
      </c>
      <c r="R43" s="564">
        <v>59</v>
      </c>
      <c r="S43" s="564">
        <v>110</v>
      </c>
      <c r="T43" s="564">
        <v>69</v>
      </c>
      <c r="U43" s="564">
        <v>102</v>
      </c>
      <c r="V43" s="564">
        <v>80</v>
      </c>
      <c r="W43" s="564">
        <v>135</v>
      </c>
      <c r="X43" s="564">
        <v>51</v>
      </c>
      <c r="Y43" s="564">
        <v>60</v>
      </c>
      <c r="Z43" s="564">
        <v>73</v>
      </c>
      <c r="AA43" s="564">
        <v>0</v>
      </c>
      <c r="AB43" s="564">
        <v>38</v>
      </c>
      <c r="AC43" s="564">
        <v>30</v>
      </c>
      <c r="AD43" s="564">
        <v>57</v>
      </c>
      <c r="AE43" s="564">
        <v>136</v>
      </c>
      <c r="AF43" s="564">
        <v>53</v>
      </c>
      <c r="AG43" s="564">
        <v>41</v>
      </c>
      <c r="AH43" s="564">
        <v>0</v>
      </c>
      <c r="AI43" s="565">
        <f t="shared" si="2"/>
        <v>2195</v>
      </c>
      <c r="AJ43" s="566">
        <f t="shared" ref="AJ43:AJ74" si="7">$AU$11</f>
        <v>40.312390512695202</v>
      </c>
      <c r="AK43" s="571">
        <f t="shared" si="3"/>
        <v>884.85697175365976</v>
      </c>
      <c r="AL43" s="826">
        <f t="shared" si="4"/>
        <v>2195</v>
      </c>
      <c r="AM43" s="827">
        <f t="shared" ref="AM43:AM74" si="8">$AV$11</f>
        <v>3.9348777821989631</v>
      </c>
      <c r="AN43" s="826">
        <f t="shared" si="5"/>
        <v>86.370567319267252</v>
      </c>
      <c r="AO43" s="826">
        <f t="shared" si="6"/>
        <v>971.22753907292702</v>
      </c>
      <c r="AP43" s="570" t="s">
        <v>61</v>
      </c>
      <c r="AQ43" s="433"/>
      <c r="AR43" s="482"/>
      <c r="AS43" s="482"/>
      <c r="AT43" s="482"/>
    </row>
    <row r="44" spans="1:46" s="435" customFormat="1" ht="57" customHeight="1">
      <c r="A44" s="537">
        <v>34</v>
      </c>
      <c r="B44" s="537"/>
      <c r="C44" s="569" t="str">
        <f>+'Biểu 1 TH CÔNG'!C44</f>
        <v>Thảo Xen</v>
      </c>
      <c r="D44" s="564">
        <v>90</v>
      </c>
      <c r="E44" s="564">
        <v>88</v>
      </c>
      <c r="F44" s="564">
        <v>0</v>
      </c>
      <c r="G44" s="564">
        <v>90</v>
      </c>
      <c r="H44" s="564">
        <v>72</v>
      </c>
      <c r="I44" s="564">
        <v>45</v>
      </c>
      <c r="J44" s="564">
        <v>60</v>
      </c>
      <c r="K44" s="564">
        <v>80</v>
      </c>
      <c r="L44" s="564">
        <v>65</v>
      </c>
      <c r="M44" s="564">
        <v>72</v>
      </c>
      <c r="N44" s="564">
        <v>0</v>
      </c>
      <c r="O44" s="564">
        <v>85</v>
      </c>
      <c r="P44" s="564">
        <v>71</v>
      </c>
      <c r="Q44" s="564">
        <v>57</v>
      </c>
      <c r="R44" s="564">
        <v>53</v>
      </c>
      <c r="S44" s="564">
        <v>86</v>
      </c>
      <c r="T44" s="564">
        <v>60</v>
      </c>
      <c r="U44" s="564">
        <v>50</v>
      </c>
      <c r="V44" s="564">
        <v>78</v>
      </c>
      <c r="W44" s="564">
        <v>103</v>
      </c>
      <c r="X44" s="564">
        <v>85</v>
      </c>
      <c r="Y44" s="564">
        <v>55</v>
      </c>
      <c r="Z44" s="564">
        <v>63</v>
      </c>
      <c r="AA44" s="564">
        <v>94</v>
      </c>
      <c r="AB44" s="564">
        <v>0</v>
      </c>
      <c r="AC44" s="564">
        <v>41</v>
      </c>
      <c r="AD44" s="564">
        <v>0</v>
      </c>
      <c r="AE44" s="564">
        <v>101</v>
      </c>
      <c r="AF44" s="564">
        <v>122</v>
      </c>
      <c r="AG44" s="564">
        <v>54</v>
      </c>
      <c r="AH44" s="564">
        <v>82</v>
      </c>
      <c r="AI44" s="565">
        <f t="shared" si="2"/>
        <v>2002</v>
      </c>
      <c r="AJ44" s="566">
        <f t="shared" si="7"/>
        <v>40.312390512695202</v>
      </c>
      <c r="AK44" s="571">
        <f t="shared" si="3"/>
        <v>807.05405806415797</v>
      </c>
      <c r="AL44" s="826">
        <f t="shared" si="4"/>
        <v>2002</v>
      </c>
      <c r="AM44" s="827">
        <f t="shared" si="8"/>
        <v>3.9348777821989631</v>
      </c>
      <c r="AN44" s="826">
        <f t="shared" si="5"/>
        <v>78.776253199623241</v>
      </c>
      <c r="AO44" s="826">
        <f t="shared" si="6"/>
        <v>885.83031126378125</v>
      </c>
      <c r="AP44" s="570" t="s">
        <v>63</v>
      </c>
      <c r="AQ44" s="433"/>
      <c r="AR44" s="482"/>
      <c r="AS44" s="482"/>
      <c r="AT44" s="482"/>
    </row>
    <row r="45" spans="1:46" s="438" customFormat="1" ht="57" customHeight="1">
      <c r="A45" s="537">
        <v>35</v>
      </c>
      <c r="B45" s="537">
        <v>1</v>
      </c>
      <c r="C45" s="569" t="str">
        <f>+'Biểu 1 TH CÔNG'!C46</f>
        <v>Nàng Pong</v>
      </c>
      <c r="D45" s="564">
        <v>72</v>
      </c>
      <c r="E45" s="564">
        <v>76</v>
      </c>
      <c r="F45" s="564">
        <v>77</v>
      </c>
      <c r="G45" s="564">
        <v>74</v>
      </c>
      <c r="H45" s="564">
        <v>92</v>
      </c>
      <c r="I45" s="564">
        <v>78</v>
      </c>
      <c r="J45" s="564">
        <v>130</v>
      </c>
      <c r="K45" s="564">
        <v>81</v>
      </c>
      <c r="L45" s="564">
        <v>84</v>
      </c>
      <c r="M45" s="564">
        <v>77</v>
      </c>
      <c r="N45" s="564">
        <v>92</v>
      </c>
      <c r="O45" s="564">
        <v>103</v>
      </c>
      <c r="P45" s="564">
        <v>172</v>
      </c>
      <c r="Q45" s="564">
        <v>87</v>
      </c>
      <c r="R45" s="564">
        <v>108</v>
      </c>
      <c r="S45" s="564">
        <v>63</v>
      </c>
      <c r="T45" s="564">
        <v>64</v>
      </c>
      <c r="U45" s="564">
        <v>86</v>
      </c>
      <c r="V45" s="564">
        <v>88</v>
      </c>
      <c r="W45" s="564">
        <v>86</v>
      </c>
      <c r="X45" s="564">
        <v>0</v>
      </c>
      <c r="Y45" s="564">
        <v>177</v>
      </c>
      <c r="Z45" s="564">
        <v>64</v>
      </c>
      <c r="AA45" s="564">
        <v>68</v>
      </c>
      <c r="AB45" s="564">
        <v>79</v>
      </c>
      <c r="AC45" s="564">
        <v>84</v>
      </c>
      <c r="AD45" s="564">
        <v>89</v>
      </c>
      <c r="AE45" s="564">
        <v>43</v>
      </c>
      <c r="AF45" s="564">
        <v>110</v>
      </c>
      <c r="AG45" s="564">
        <v>83</v>
      </c>
      <c r="AH45" s="564">
        <v>93</v>
      </c>
      <c r="AI45" s="565">
        <f t="shared" si="2"/>
        <v>2680</v>
      </c>
      <c r="AJ45" s="566">
        <f t="shared" si="7"/>
        <v>40.312390512695202</v>
      </c>
      <c r="AK45" s="571">
        <f t="shared" si="3"/>
        <v>1080.3720657402314</v>
      </c>
      <c r="AL45" s="826">
        <f t="shared" si="4"/>
        <v>2680</v>
      </c>
      <c r="AM45" s="827">
        <f t="shared" si="8"/>
        <v>3.9348777821989631</v>
      </c>
      <c r="AN45" s="826">
        <f t="shared" si="5"/>
        <v>105.4547245629322</v>
      </c>
      <c r="AO45" s="826">
        <f t="shared" si="6"/>
        <v>1185.8267903031635</v>
      </c>
      <c r="AP45" s="570" t="s">
        <v>61</v>
      </c>
      <c r="AQ45" s="434"/>
    </row>
    <row r="46" spans="1:46" s="438" customFormat="1" ht="57" customHeight="1">
      <c r="A46" s="537">
        <v>36</v>
      </c>
      <c r="B46" s="537">
        <v>2</v>
      </c>
      <c r="C46" s="569" t="str">
        <f>+'Biểu 1 TH CÔNG'!C47</f>
        <v>Thảo Ơ</v>
      </c>
      <c r="D46" s="564">
        <v>73</v>
      </c>
      <c r="E46" s="564">
        <v>81</v>
      </c>
      <c r="F46" s="564">
        <v>104</v>
      </c>
      <c r="G46" s="564">
        <v>142</v>
      </c>
      <c r="H46" s="564">
        <v>66</v>
      </c>
      <c r="I46" s="564">
        <v>78</v>
      </c>
      <c r="J46" s="564">
        <v>66</v>
      </c>
      <c r="K46" s="564">
        <v>0</v>
      </c>
      <c r="L46" s="564">
        <v>130</v>
      </c>
      <c r="M46" s="564">
        <v>77</v>
      </c>
      <c r="N46" s="564">
        <v>0</v>
      </c>
      <c r="O46" s="564">
        <v>144</v>
      </c>
      <c r="P46" s="564">
        <v>170</v>
      </c>
      <c r="Q46" s="564">
        <v>98</v>
      </c>
      <c r="R46" s="564">
        <v>130</v>
      </c>
      <c r="S46" s="564">
        <v>63</v>
      </c>
      <c r="T46" s="564">
        <v>52</v>
      </c>
      <c r="U46" s="564">
        <v>88</v>
      </c>
      <c r="V46" s="564">
        <v>151</v>
      </c>
      <c r="W46" s="564">
        <v>47</v>
      </c>
      <c r="X46" s="564">
        <v>71</v>
      </c>
      <c r="Y46" s="564">
        <v>121</v>
      </c>
      <c r="Z46" s="564">
        <v>75</v>
      </c>
      <c r="AA46" s="564">
        <v>46</v>
      </c>
      <c r="AB46" s="564">
        <v>60</v>
      </c>
      <c r="AC46" s="564">
        <v>132</v>
      </c>
      <c r="AD46" s="564">
        <v>77</v>
      </c>
      <c r="AE46" s="564">
        <v>71</v>
      </c>
      <c r="AF46" s="564">
        <v>75</v>
      </c>
      <c r="AG46" s="564">
        <v>73</v>
      </c>
      <c r="AH46" s="564">
        <v>65</v>
      </c>
      <c r="AI46" s="565">
        <f t="shared" si="2"/>
        <v>2626</v>
      </c>
      <c r="AJ46" s="566">
        <f t="shared" si="7"/>
        <v>40.312390512695202</v>
      </c>
      <c r="AK46" s="571">
        <f t="shared" si="3"/>
        <v>1058.6033748633761</v>
      </c>
      <c r="AL46" s="826">
        <f t="shared" si="4"/>
        <v>2626</v>
      </c>
      <c r="AM46" s="827">
        <f t="shared" si="8"/>
        <v>3.9348777821989631</v>
      </c>
      <c r="AN46" s="826">
        <f t="shared" si="5"/>
        <v>103.32989056054477</v>
      </c>
      <c r="AO46" s="826">
        <f t="shared" si="6"/>
        <v>1161.9332654239208</v>
      </c>
      <c r="AP46" s="570" t="s">
        <v>61</v>
      </c>
      <c r="AQ46" s="434"/>
    </row>
    <row r="47" spans="1:46" s="438" customFormat="1" ht="57" customHeight="1">
      <c r="A47" s="537">
        <v>37</v>
      </c>
      <c r="B47" s="537">
        <v>3</v>
      </c>
      <c r="C47" s="569" t="str">
        <f>+'Biểu 1 TH CÔNG'!C48</f>
        <v>Thảo Ui</v>
      </c>
      <c r="D47" s="564">
        <v>72</v>
      </c>
      <c r="E47" s="564">
        <v>76</v>
      </c>
      <c r="F47" s="564">
        <v>77</v>
      </c>
      <c r="G47" s="564">
        <v>74</v>
      </c>
      <c r="H47" s="564">
        <v>92</v>
      </c>
      <c r="I47" s="564">
        <v>78</v>
      </c>
      <c r="J47" s="564">
        <v>130</v>
      </c>
      <c r="K47" s="564">
        <v>81</v>
      </c>
      <c r="L47" s="564">
        <v>84</v>
      </c>
      <c r="M47" s="564">
        <v>77</v>
      </c>
      <c r="N47" s="564">
        <v>92</v>
      </c>
      <c r="O47" s="564">
        <v>103</v>
      </c>
      <c r="P47" s="564">
        <v>172</v>
      </c>
      <c r="Q47" s="564">
        <v>87</v>
      </c>
      <c r="R47" s="564">
        <v>108</v>
      </c>
      <c r="S47" s="564">
        <v>63</v>
      </c>
      <c r="T47" s="564">
        <v>64</v>
      </c>
      <c r="U47" s="564">
        <v>86</v>
      </c>
      <c r="V47" s="564">
        <v>88</v>
      </c>
      <c r="W47" s="564">
        <v>86</v>
      </c>
      <c r="X47" s="564">
        <v>46</v>
      </c>
      <c r="Y47" s="564">
        <v>178</v>
      </c>
      <c r="Z47" s="564">
        <v>64</v>
      </c>
      <c r="AA47" s="564">
        <v>68</v>
      </c>
      <c r="AB47" s="564">
        <v>78</v>
      </c>
      <c r="AC47" s="564">
        <v>84</v>
      </c>
      <c r="AD47" s="564">
        <v>89</v>
      </c>
      <c r="AE47" s="564">
        <v>43</v>
      </c>
      <c r="AF47" s="564">
        <v>110</v>
      </c>
      <c r="AG47" s="564">
        <v>84</v>
      </c>
      <c r="AH47" s="564">
        <v>92</v>
      </c>
      <c r="AI47" s="565">
        <f t="shared" si="2"/>
        <v>2726</v>
      </c>
      <c r="AJ47" s="566">
        <f t="shared" si="7"/>
        <v>40.312390512695202</v>
      </c>
      <c r="AK47" s="571">
        <f t="shared" si="3"/>
        <v>1098.9157653760712</v>
      </c>
      <c r="AL47" s="826">
        <f t="shared" si="4"/>
        <v>2726</v>
      </c>
      <c r="AM47" s="827">
        <f t="shared" si="8"/>
        <v>3.9348777821989631</v>
      </c>
      <c r="AN47" s="826">
        <f t="shared" si="5"/>
        <v>107.26476834274374</v>
      </c>
      <c r="AO47" s="826">
        <f t="shared" si="6"/>
        <v>1206.180533718815</v>
      </c>
      <c r="AP47" s="570" t="s">
        <v>63</v>
      </c>
      <c r="AQ47" s="434"/>
      <c r="AR47" s="482"/>
      <c r="AS47" s="482"/>
      <c r="AT47" s="482"/>
    </row>
    <row r="48" spans="1:46" s="438" customFormat="1" ht="57" customHeight="1">
      <c r="A48" s="537">
        <v>38</v>
      </c>
      <c r="B48" s="537">
        <v>4</v>
      </c>
      <c r="C48" s="569" t="str">
        <f>+'Biểu 1 TH CÔNG'!C49</f>
        <v>Thảo Xoan Chay</v>
      </c>
      <c r="D48" s="564">
        <v>0</v>
      </c>
      <c r="E48" s="564">
        <v>50</v>
      </c>
      <c r="F48" s="564">
        <v>63</v>
      </c>
      <c r="G48" s="564">
        <v>62</v>
      </c>
      <c r="H48" s="564">
        <v>56</v>
      </c>
      <c r="I48" s="564">
        <v>58</v>
      </c>
      <c r="J48" s="564">
        <v>117</v>
      </c>
      <c r="K48" s="564">
        <v>69</v>
      </c>
      <c r="L48" s="564">
        <v>100</v>
      </c>
      <c r="M48" s="564">
        <v>85</v>
      </c>
      <c r="N48" s="564">
        <v>82</v>
      </c>
      <c r="O48" s="564">
        <v>197</v>
      </c>
      <c r="P48" s="564">
        <v>182</v>
      </c>
      <c r="Q48" s="564">
        <v>62</v>
      </c>
      <c r="R48" s="564">
        <v>153</v>
      </c>
      <c r="S48" s="564">
        <v>0</v>
      </c>
      <c r="T48" s="564">
        <v>85</v>
      </c>
      <c r="U48" s="564">
        <v>71</v>
      </c>
      <c r="V48" s="564">
        <v>111</v>
      </c>
      <c r="W48" s="564">
        <v>135</v>
      </c>
      <c r="X48" s="564">
        <v>52</v>
      </c>
      <c r="Y48" s="564">
        <v>190</v>
      </c>
      <c r="Z48" s="564">
        <v>58</v>
      </c>
      <c r="AA48" s="564">
        <v>66</v>
      </c>
      <c r="AB48" s="564">
        <v>89</v>
      </c>
      <c r="AC48" s="564">
        <v>52</v>
      </c>
      <c r="AD48" s="564">
        <v>46</v>
      </c>
      <c r="AE48" s="564">
        <v>90</v>
      </c>
      <c r="AF48" s="564">
        <v>107</v>
      </c>
      <c r="AG48" s="564">
        <v>130</v>
      </c>
      <c r="AH48" s="564">
        <v>78</v>
      </c>
      <c r="AI48" s="565">
        <f t="shared" si="2"/>
        <v>2696</v>
      </c>
      <c r="AJ48" s="566">
        <f t="shared" si="7"/>
        <v>40.312390512695202</v>
      </c>
      <c r="AK48" s="571">
        <f t="shared" si="3"/>
        <v>1086.8220482222628</v>
      </c>
      <c r="AL48" s="826">
        <f t="shared" si="4"/>
        <v>2696</v>
      </c>
      <c r="AM48" s="827">
        <f t="shared" si="8"/>
        <v>3.9348777821989631</v>
      </c>
      <c r="AN48" s="826">
        <f t="shared" si="5"/>
        <v>106.08430500808404</v>
      </c>
      <c r="AO48" s="826">
        <f t="shared" si="6"/>
        <v>1192.9063532303469</v>
      </c>
      <c r="AP48" s="570" t="s">
        <v>61</v>
      </c>
      <c r="AQ48" s="434"/>
      <c r="AR48" s="482"/>
      <c r="AS48" s="482"/>
      <c r="AT48" s="482"/>
    </row>
    <row r="49" spans="1:47" s="438" customFormat="1" ht="57" customHeight="1">
      <c r="A49" s="537">
        <v>39</v>
      </c>
      <c r="B49" s="537">
        <v>5</v>
      </c>
      <c r="C49" s="569" t="str">
        <f>+'Biểu 1 TH CÔNG'!C50</f>
        <v>Nàng Út</v>
      </c>
      <c r="D49" s="564">
        <v>56</v>
      </c>
      <c r="E49" s="564">
        <v>77</v>
      </c>
      <c r="F49" s="564">
        <v>78</v>
      </c>
      <c r="G49" s="564">
        <v>76</v>
      </c>
      <c r="H49" s="564">
        <v>110</v>
      </c>
      <c r="I49" s="564">
        <v>70</v>
      </c>
      <c r="J49" s="564">
        <v>113</v>
      </c>
      <c r="K49" s="564">
        <v>93</v>
      </c>
      <c r="L49" s="564">
        <v>84</v>
      </c>
      <c r="M49" s="564">
        <v>75</v>
      </c>
      <c r="N49" s="564">
        <v>88</v>
      </c>
      <c r="O49" s="564">
        <v>127</v>
      </c>
      <c r="P49" s="564">
        <v>142</v>
      </c>
      <c r="Q49" s="564">
        <v>109</v>
      </c>
      <c r="R49" s="564">
        <v>57</v>
      </c>
      <c r="S49" s="564">
        <v>0</v>
      </c>
      <c r="T49" s="564">
        <v>77</v>
      </c>
      <c r="U49" s="564">
        <v>148</v>
      </c>
      <c r="V49" s="564">
        <v>116</v>
      </c>
      <c r="W49" s="564">
        <v>116</v>
      </c>
      <c r="X49" s="564">
        <v>43</v>
      </c>
      <c r="Y49" s="564">
        <v>88</v>
      </c>
      <c r="Z49" s="564">
        <v>0</v>
      </c>
      <c r="AA49" s="564">
        <v>118</v>
      </c>
      <c r="AB49" s="564">
        <v>87</v>
      </c>
      <c r="AC49" s="564">
        <v>57</v>
      </c>
      <c r="AD49" s="564">
        <v>113</v>
      </c>
      <c r="AE49" s="564">
        <v>57</v>
      </c>
      <c r="AF49" s="564">
        <v>147</v>
      </c>
      <c r="AG49" s="564">
        <v>129</v>
      </c>
      <c r="AH49" s="564">
        <v>85</v>
      </c>
      <c r="AI49" s="565">
        <f t="shared" si="2"/>
        <v>2736</v>
      </c>
      <c r="AJ49" s="566">
        <f t="shared" si="7"/>
        <v>40.312390512695202</v>
      </c>
      <c r="AK49" s="571">
        <f t="shared" si="3"/>
        <v>1102.9470044273407</v>
      </c>
      <c r="AL49" s="826">
        <f t="shared" si="4"/>
        <v>2736</v>
      </c>
      <c r="AM49" s="827">
        <f t="shared" si="8"/>
        <v>3.9348777821989631</v>
      </c>
      <c r="AN49" s="826">
        <f t="shared" si="5"/>
        <v>107.65825612096363</v>
      </c>
      <c r="AO49" s="826">
        <f t="shared" si="6"/>
        <v>1210.6052605483044</v>
      </c>
      <c r="AP49" s="570" t="s">
        <v>61</v>
      </c>
      <c r="AQ49" s="434"/>
      <c r="AR49" s="482"/>
      <c r="AS49" s="482"/>
      <c r="AT49" s="482"/>
    </row>
    <row r="50" spans="1:47" s="438" customFormat="1" ht="57" customHeight="1">
      <c r="A50" s="537">
        <v>40</v>
      </c>
      <c r="B50" s="537">
        <v>6</v>
      </c>
      <c r="C50" s="569" t="str">
        <f>+'Biểu 1 TH CÔNG'!C51</f>
        <v>Thảo Phôn Xay</v>
      </c>
      <c r="D50" s="564">
        <v>64</v>
      </c>
      <c r="E50" s="564">
        <v>53</v>
      </c>
      <c r="F50" s="564">
        <v>110</v>
      </c>
      <c r="G50" s="564">
        <v>89</v>
      </c>
      <c r="H50" s="564">
        <v>129</v>
      </c>
      <c r="I50" s="564">
        <v>64</v>
      </c>
      <c r="J50" s="564">
        <v>79</v>
      </c>
      <c r="K50" s="564">
        <v>137</v>
      </c>
      <c r="L50" s="564">
        <v>102</v>
      </c>
      <c r="M50" s="564">
        <v>78</v>
      </c>
      <c r="N50" s="564">
        <v>83</v>
      </c>
      <c r="O50" s="564">
        <v>172</v>
      </c>
      <c r="P50" s="564">
        <v>150</v>
      </c>
      <c r="Q50" s="564">
        <v>79</v>
      </c>
      <c r="R50" s="564">
        <v>51</v>
      </c>
      <c r="S50" s="564">
        <v>0</v>
      </c>
      <c r="T50" s="564">
        <v>84</v>
      </c>
      <c r="U50" s="564">
        <v>78</v>
      </c>
      <c r="V50" s="564">
        <v>169</v>
      </c>
      <c r="W50" s="564">
        <v>155</v>
      </c>
      <c r="X50" s="564">
        <v>50</v>
      </c>
      <c r="Y50" s="564">
        <v>152</v>
      </c>
      <c r="Z50" s="564">
        <v>0</v>
      </c>
      <c r="AA50" s="564">
        <v>75</v>
      </c>
      <c r="AB50" s="564">
        <v>86</v>
      </c>
      <c r="AC50" s="564">
        <v>96</v>
      </c>
      <c r="AD50" s="564">
        <v>77</v>
      </c>
      <c r="AE50" s="564">
        <v>71</v>
      </c>
      <c r="AF50" s="564">
        <v>74</v>
      </c>
      <c r="AG50" s="564">
        <v>131</v>
      </c>
      <c r="AH50" s="564">
        <v>90</v>
      </c>
      <c r="AI50" s="565">
        <f t="shared" si="2"/>
        <v>2828</v>
      </c>
      <c r="AJ50" s="566">
        <f t="shared" si="7"/>
        <v>40.312390512695202</v>
      </c>
      <c r="AK50" s="571">
        <f t="shared" si="3"/>
        <v>1140.0344036990202</v>
      </c>
      <c r="AL50" s="826">
        <f t="shared" si="4"/>
        <v>2828</v>
      </c>
      <c r="AM50" s="827">
        <f t="shared" si="8"/>
        <v>3.9348777821989631</v>
      </c>
      <c r="AN50" s="826">
        <f t="shared" si="5"/>
        <v>111.27834368058667</v>
      </c>
      <c r="AO50" s="826">
        <f t="shared" si="6"/>
        <v>1251.3127473796069</v>
      </c>
      <c r="AP50" s="570" t="s">
        <v>61</v>
      </c>
      <c r="AQ50" s="434"/>
      <c r="AR50" s="482"/>
      <c r="AS50" s="482"/>
      <c r="AT50" s="482"/>
      <c r="AU50" s="439"/>
    </row>
    <row r="51" spans="1:47" s="438" customFormat="1" ht="57" customHeight="1">
      <c r="A51" s="537">
        <v>41</v>
      </c>
      <c r="B51" s="537">
        <v>7</v>
      </c>
      <c r="C51" s="569" t="str">
        <f>+'Biểu 1 TH CÔNG'!C52</f>
        <v>Nàng Phêng</v>
      </c>
      <c r="D51" s="564">
        <v>72</v>
      </c>
      <c r="E51" s="564">
        <v>50</v>
      </c>
      <c r="F51" s="564">
        <v>64</v>
      </c>
      <c r="G51" s="564">
        <v>111</v>
      </c>
      <c r="H51" s="564">
        <v>74</v>
      </c>
      <c r="I51" s="564">
        <v>70</v>
      </c>
      <c r="J51" s="564">
        <v>81</v>
      </c>
      <c r="K51" s="564">
        <v>119</v>
      </c>
      <c r="L51" s="564">
        <v>79</v>
      </c>
      <c r="M51" s="564">
        <v>59</v>
      </c>
      <c r="N51" s="564">
        <v>87</v>
      </c>
      <c r="O51" s="564">
        <v>153</v>
      </c>
      <c r="P51" s="564">
        <v>152</v>
      </c>
      <c r="Q51" s="564">
        <v>69</v>
      </c>
      <c r="R51" s="564">
        <v>128</v>
      </c>
      <c r="S51" s="564">
        <v>63</v>
      </c>
      <c r="T51" s="564">
        <v>77</v>
      </c>
      <c r="U51" s="564">
        <v>87</v>
      </c>
      <c r="V51" s="564">
        <v>120</v>
      </c>
      <c r="W51" s="564">
        <v>80</v>
      </c>
      <c r="X51" s="564">
        <v>51</v>
      </c>
      <c r="Y51" s="564">
        <v>76</v>
      </c>
      <c r="Z51" s="564">
        <v>130</v>
      </c>
      <c r="AA51" s="564">
        <v>51</v>
      </c>
      <c r="AB51" s="564">
        <v>75</v>
      </c>
      <c r="AC51" s="564">
        <v>99</v>
      </c>
      <c r="AD51" s="564">
        <v>83</v>
      </c>
      <c r="AE51" s="564">
        <v>43</v>
      </c>
      <c r="AF51" s="564">
        <v>70</v>
      </c>
      <c r="AG51" s="564">
        <v>114</v>
      </c>
      <c r="AH51" s="564">
        <v>65</v>
      </c>
      <c r="AI51" s="565">
        <f t="shared" si="2"/>
        <v>2652</v>
      </c>
      <c r="AJ51" s="566">
        <f t="shared" si="7"/>
        <v>40.312390512695202</v>
      </c>
      <c r="AK51" s="571">
        <f t="shared" si="3"/>
        <v>1069.0845963966767</v>
      </c>
      <c r="AL51" s="826">
        <f t="shared" si="4"/>
        <v>2652</v>
      </c>
      <c r="AM51" s="827">
        <f t="shared" si="8"/>
        <v>3.9348777821989631</v>
      </c>
      <c r="AN51" s="826">
        <f t="shared" si="5"/>
        <v>104.35295878391651</v>
      </c>
      <c r="AO51" s="826">
        <f t="shared" si="6"/>
        <v>1173.4375551805933</v>
      </c>
      <c r="AP51" s="570" t="s">
        <v>63</v>
      </c>
      <c r="AQ51" s="434"/>
      <c r="AR51" s="482"/>
      <c r="AS51" s="482"/>
      <c r="AT51" s="482"/>
      <c r="AU51" s="439"/>
    </row>
    <row r="52" spans="1:47" s="438" customFormat="1" ht="57" customHeight="1">
      <c r="A52" s="537">
        <v>42</v>
      </c>
      <c r="B52" s="537">
        <v>8</v>
      </c>
      <c r="C52" s="569" t="str">
        <f>+'Biểu 1 TH CÔNG'!C53</f>
        <v>Thảo Phíc</v>
      </c>
      <c r="D52" s="564">
        <v>0</v>
      </c>
      <c r="E52" s="564">
        <v>0</v>
      </c>
      <c r="F52" s="564">
        <v>0</v>
      </c>
      <c r="G52" s="564">
        <v>68</v>
      </c>
      <c r="H52" s="564">
        <v>32</v>
      </c>
      <c r="I52" s="564">
        <v>84</v>
      </c>
      <c r="J52" s="564">
        <v>64</v>
      </c>
      <c r="K52" s="564">
        <v>103</v>
      </c>
      <c r="L52" s="564">
        <v>92</v>
      </c>
      <c r="M52" s="564">
        <v>106</v>
      </c>
      <c r="N52" s="564">
        <v>56</v>
      </c>
      <c r="O52" s="564">
        <v>143</v>
      </c>
      <c r="P52" s="564">
        <v>60</v>
      </c>
      <c r="Q52" s="564">
        <v>0</v>
      </c>
      <c r="R52" s="564">
        <v>156</v>
      </c>
      <c r="S52" s="564">
        <v>70</v>
      </c>
      <c r="T52" s="564">
        <v>116</v>
      </c>
      <c r="U52" s="564">
        <v>53</v>
      </c>
      <c r="V52" s="564">
        <v>75</v>
      </c>
      <c r="W52" s="564">
        <v>112</v>
      </c>
      <c r="X52" s="564">
        <v>123</v>
      </c>
      <c r="Y52" s="564">
        <v>130</v>
      </c>
      <c r="Z52" s="564">
        <v>0</v>
      </c>
      <c r="AA52" s="564">
        <v>102</v>
      </c>
      <c r="AB52" s="564">
        <v>48</v>
      </c>
      <c r="AC52" s="564">
        <v>87</v>
      </c>
      <c r="AD52" s="564">
        <v>101</v>
      </c>
      <c r="AE52" s="564">
        <v>0</v>
      </c>
      <c r="AF52" s="564">
        <v>104</v>
      </c>
      <c r="AG52" s="564">
        <v>66</v>
      </c>
      <c r="AH52" s="564">
        <v>171</v>
      </c>
      <c r="AI52" s="565">
        <f t="shared" si="2"/>
        <v>2322</v>
      </c>
      <c r="AJ52" s="566">
        <f t="shared" si="7"/>
        <v>40.312390512695202</v>
      </c>
      <c r="AK52" s="571">
        <f t="shared" si="3"/>
        <v>936.0537077047826</v>
      </c>
      <c r="AL52" s="826">
        <f t="shared" si="4"/>
        <v>2322</v>
      </c>
      <c r="AM52" s="827">
        <f t="shared" si="8"/>
        <v>3.9348777821989631</v>
      </c>
      <c r="AN52" s="826">
        <f t="shared" si="5"/>
        <v>91.367862102659927</v>
      </c>
      <c r="AO52" s="826">
        <f t="shared" si="6"/>
        <v>1027.4215698074424</v>
      </c>
      <c r="AP52" s="570" t="s">
        <v>61</v>
      </c>
      <c r="AQ52" s="434"/>
      <c r="AR52" s="482"/>
      <c r="AS52" s="482"/>
      <c r="AT52" s="482"/>
      <c r="AU52" s="439"/>
    </row>
    <row r="53" spans="1:47" s="438" customFormat="1" ht="57" customHeight="1">
      <c r="A53" s="537">
        <v>43</v>
      </c>
      <c r="B53" s="537">
        <v>9</v>
      </c>
      <c r="C53" s="569" t="str">
        <f>+'Biểu 1 TH CÔNG'!C54</f>
        <v>Nàng Chai</v>
      </c>
      <c r="D53" s="564">
        <v>0</v>
      </c>
      <c r="E53" s="564">
        <v>0</v>
      </c>
      <c r="F53" s="564">
        <v>0</v>
      </c>
      <c r="G53" s="564">
        <v>142</v>
      </c>
      <c r="H53" s="564">
        <v>66</v>
      </c>
      <c r="I53" s="564">
        <v>79</v>
      </c>
      <c r="J53" s="564">
        <v>66</v>
      </c>
      <c r="K53" s="564">
        <v>0</v>
      </c>
      <c r="L53" s="564">
        <v>130</v>
      </c>
      <c r="M53" s="564">
        <v>77</v>
      </c>
      <c r="N53" s="564">
        <v>0</v>
      </c>
      <c r="O53" s="564">
        <v>141</v>
      </c>
      <c r="P53" s="564">
        <v>170</v>
      </c>
      <c r="Q53" s="564">
        <v>101</v>
      </c>
      <c r="R53" s="564">
        <v>130</v>
      </c>
      <c r="S53" s="564">
        <v>63</v>
      </c>
      <c r="T53" s="564">
        <v>53</v>
      </c>
      <c r="U53" s="564">
        <v>88</v>
      </c>
      <c r="V53" s="564">
        <v>152</v>
      </c>
      <c r="W53" s="564">
        <v>0</v>
      </c>
      <c r="X53" s="564">
        <v>71</v>
      </c>
      <c r="Y53" s="564">
        <v>61</v>
      </c>
      <c r="Z53" s="564">
        <v>75</v>
      </c>
      <c r="AA53" s="564">
        <v>0</v>
      </c>
      <c r="AB53" s="564">
        <v>61</v>
      </c>
      <c r="AC53" s="564">
        <v>133</v>
      </c>
      <c r="AD53" s="564">
        <v>77</v>
      </c>
      <c r="AE53" s="564">
        <v>71</v>
      </c>
      <c r="AF53" s="564">
        <v>76</v>
      </c>
      <c r="AG53" s="564">
        <v>74</v>
      </c>
      <c r="AH53" s="564">
        <v>65</v>
      </c>
      <c r="AI53" s="565">
        <f t="shared" si="2"/>
        <v>2222</v>
      </c>
      <c r="AJ53" s="566">
        <f t="shared" si="7"/>
        <v>40.312390512695202</v>
      </c>
      <c r="AK53" s="571">
        <f t="shared" si="3"/>
        <v>895.74131719208742</v>
      </c>
      <c r="AL53" s="826">
        <f t="shared" si="4"/>
        <v>2222</v>
      </c>
      <c r="AM53" s="827">
        <f t="shared" si="8"/>
        <v>3.9348777821989631</v>
      </c>
      <c r="AN53" s="826">
        <f t="shared" si="5"/>
        <v>87.43298432046096</v>
      </c>
      <c r="AO53" s="826">
        <f t="shared" si="6"/>
        <v>983.17430151254837</v>
      </c>
      <c r="AP53" s="570" t="s">
        <v>63</v>
      </c>
      <c r="AQ53" s="434"/>
      <c r="AR53" s="482"/>
      <c r="AS53" s="482"/>
      <c r="AT53" s="482"/>
    </row>
    <row r="54" spans="1:47" s="438" customFormat="1" ht="57" customHeight="1">
      <c r="A54" s="537">
        <v>44</v>
      </c>
      <c r="B54" s="537">
        <v>10</v>
      </c>
      <c r="C54" s="569" t="str">
        <f>+'Biểu 1 TH CÔNG'!C55</f>
        <v>Thảo Viêng</v>
      </c>
      <c r="D54" s="564">
        <v>72</v>
      </c>
      <c r="E54" s="564">
        <v>77</v>
      </c>
      <c r="F54" s="564">
        <v>77</v>
      </c>
      <c r="G54" s="564">
        <v>74</v>
      </c>
      <c r="H54" s="564">
        <v>92</v>
      </c>
      <c r="I54" s="564">
        <v>78</v>
      </c>
      <c r="J54" s="564">
        <v>129</v>
      </c>
      <c r="K54" s="564">
        <v>82</v>
      </c>
      <c r="L54" s="564">
        <v>84</v>
      </c>
      <c r="M54" s="564">
        <v>76</v>
      </c>
      <c r="N54" s="564">
        <v>92</v>
      </c>
      <c r="O54" s="564">
        <v>91</v>
      </c>
      <c r="P54" s="564">
        <v>172</v>
      </c>
      <c r="Q54" s="564">
        <v>87</v>
      </c>
      <c r="R54" s="564">
        <v>108</v>
      </c>
      <c r="S54" s="564">
        <v>63</v>
      </c>
      <c r="T54" s="564">
        <v>64</v>
      </c>
      <c r="U54" s="564">
        <v>86</v>
      </c>
      <c r="V54" s="564">
        <v>88</v>
      </c>
      <c r="W54" s="564">
        <v>86</v>
      </c>
      <c r="X54" s="564">
        <v>45</v>
      </c>
      <c r="Y54" s="564">
        <v>178</v>
      </c>
      <c r="Z54" s="564">
        <v>64</v>
      </c>
      <c r="AA54" s="564">
        <v>67</v>
      </c>
      <c r="AB54" s="564">
        <v>79</v>
      </c>
      <c r="AC54" s="564">
        <v>84</v>
      </c>
      <c r="AD54" s="564">
        <v>88</v>
      </c>
      <c r="AE54" s="564">
        <v>40</v>
      </c>
      <c r="AF54" s="564">
        <v>109</v>
      </c>
      <c r="AG54" s="564">
        <v>83</v>
      </c>
      <c r="AH54" s="564">
        <v>92</v>
      </c>
      <c r="AI54" s="565">
        <f t="shared" si="2"/>
        <v>2707</v>
      </c>
      <c r="AJ54" s="566">
        <f t="shared" si="7"/>
        <v>40.312390512695202</v>
      </c>
      <c r="AK54" s="571">
        <f t="shared" si="3"/>
        <v>1091.2564111786592</v>
      </c>
      <c r="AL54" s="826">
        <f t="shared" si="4"/>
        <v>2707</v>
      </c>
      <c r="AM54" s="827">
        <f t="shared" si="8"/>
        <v>3.9348777821989631</v>
      </c>
      <c r="AN54" s="826">
        <f t="shared" si="5"/>
        <v>106.51714156412592</v>
      </c>
      <c r="AO54" s="826">
        <f t="shared" si="6"/>
        <v>1197.7735527427851</v>
      </c>
      <c r="AP54" s="570" t="s">
        <v>63</v>
      </c>
      <c r="AQ54" s="434"/>
      <c r="AR54" s="482"/>
      <c r="AS54" s="482"/>
      <c r="AT54" s="482"/>
    </row>
    <row r="55" spans="1:47" s="438" customFormat="1" ht="57" customHeight="1">
      <c r="A55" s="537">
        <v>45</v>
      </c>
      <c r="B55" s="537">
        <v>11</v>
      </c>
      <c r="C55" s="569" t="str">
        <f>+'Biểu 1 TH CÔNG'!C56</f>
        <v>Thảo Xượm</v>
      </c>
      <c r="D55" s="564">
        <v>0</v>
      </c>
      <c r="E55" s="564">
        <v>0</v>
      </c>
      <c r="F55" s="564">
        <v>0</v>
      </c>
      <c r="G55" s="564">
        <v>112</v>
      </c>
      <c r="H55" s="564">
        <v>74</v>
      </c>
      <c r="I55" s="564">
        <v>70</v>
      </c>
      <c r="J55" s="564">
        <v>81</v>
      </c>
      <c r="K55" s="564">
        <v>119</v>
      </c>
      <c r="L55" s="564">
        <v>80</v>
      </c>
      <c r="M55" s="564">
        <v>59</v>
      </c>
      <c r="N55" s="564">
        <v>87</v>
      </c>
      <c r="O55" s="564">
        <v>153</v>
      </c>
      <c r="P55" s="564">
        <v>152</v>
      </c>
      <c r="Q55" s="564">
        <v>69</v>
      </c>
      <c r="R55" s="564">
        <v>128</v>
      </c>
      <c r="S55" s="564">
        <v>63</v>
      </c>
      <c r="T55" s="564">
        <v>77</v>
      </c>
      <c r="U55" s="564">
        <v>87</v>
      </c>
      <c r="V55" s="564">
        <v>120</v>
      </c>
      <c r="W55" s="564">
        <v>80</v>
      </c>
      <c r="X55" s="564">
        <v>51</v>
      </c>
      <c r="Y55" s="564">
        <v>152</v>
      </c>
      <c r="Z55" s="564">
        <v>131</v>
      </c>
      <c r="AA55" s="564">
        <v>51</v>
      </c>
      <c r="AB55" s="564">
        <v>76</v>
      </c>
      <c r="AC55" s="564">
        <v>99</v>
      </c>
      <c r="AD55" s="564">
        <v>83</v>
      </c>
      <c r="AE55" s="564">
        <v>39</v>
      </c>
      <c r="AF55" s="564">
        <v>71</v>
      </c>
      <c r="AG55" s="564">
        <v>114</v>
      </c>
      <c r="AH55" s="564">
        <v>65</v>
      </c>
      <c r="AI55" s="565">
        <f t="shared" si="2"/>
        <v>2543</v>
      </c>
      <c r="AJ55" s="566">
        <f t="shared" si="7"/>
        <v>40.312390512695202</v>
      </c>
      <c r="AK55" s="571">
        <f t="shared" si="3"/>
        <v>1025.144090737839</v>
      </c>
      <c r="AL55" s="826">
        <f t="shared" si="4"/>
        <v>2543</v>
      </c>
      <c r="AM55" s="827">
        <f t="shared" si="8"/>
        <v>3.9348777821989631</v>
      </c>
      <c r="AN55" s="826">
        <f t="shared" si="5"/>
        <v>100.06394200131963</v>
      </c>
      <c r="AO55" s="826">
        <f t="shared" si="6"/>
        <v>1125.2080327391586</v>
      </c>
      <c r="AP55" s="570" t="s">
        <v>61</v>
      </c>
      <c r="AQ55" s="434"/>
      <c r="AR55" s="482"/>
      <c r="AS55" s="482"/>
      <c r="AT55" s="482"/>
    </row>
    <row r="56" spans="1:47" s="438" customFormat="1" ht="57" customHeight="1">
      <c r="A56" s="537">
        <v>46</v>
      </c>
      <c r="B56" s="537">
        <v>12</v>
      </c>
      <c r="C56" s="569" t="str">
        <f>+'Biểu 1 TH CÔNG'!C57</f>
        <v>Thảo Tích</v>
      </c>
      <c r="D56" s="564">
        <v>0</v>
      </c>
      <c r="E56" s="564">
        <v>51</v>
      </c>
      <c r="F56" s="564">
        <v>63</v>
      </c>
      <c r="G56" s="564">
        <v>61</v>
      </c>
      <c r="H56" s="564">
        <v>57</v>
      </c>
      <c r="I56" s="564">
        <v>59</v>
      </c>
      <c r="J56" s="564">
        <v>58</v>
      </c>
      <c r="K56" s="564">
        <v>82</v>
      </c>
      <c r="L56" s="564">
        <v>85</v>
      </c>
      <c r="M56" s="564">
        <v>76</v>
      </c>
      <c r="N56" s="564">
        <v>93</v>
      </c>
      <c r="O56" s="564">
        <v>103</v>
      </c>
      <c r="P56" s="564">
        <v>176</v>
      </c>
      <c r="Q56" s="564">
        <v>87</v>
      </c>
      <c r="R56" s="564">
        <v>108</v>
      </c>
      <c r="S56" s="564">
        <v>62</v>
      </c>
      <c r="T56" s="564">
        <v>64</v>
      </c>
      <c r="U56" s="564">
        <v>86</v>
      </c>
      <c r="V56" s="564">
        <v>89</v>
      </c>
      <c r="W56" s="564">
        <v>85</v>
      </c>
      <c r="X56" s="564">
        <v>45</v>
      </c>
      <c r="Y56" s="564">
        <v>178</v>
      </c>
      <c r="Z56" s="564">
        <v>63</v>
      </c>
      <c r="AA56" s="564">
        <v>67</v>
      </c>
      <c r="AB56" s="564">
        <v>78</v>
      </c>
      <c r="AC56" s="564">
        <v>83</v>
      </c>
      <c r="AD56" s="564">
        <v>88</v>
      </c>
      <c r="AE56" s="564">
        <v>42</v>
      </c>
      <c r="AF56" s="564">
        <v>109</v>
      </c>
      <c r="AG56" s="564">
        <v>83</v>
      </c>
      <c r="AH56" s="564">
        <v>92</v>
      </c>
      <c r="AI56" s="565">
        <f t="shared" si="2"/>
        <v>2473</v>
      </c>
      <c r="AJ56" s="566">
        <f t="shared" si="7"/>
        <v>40.312390512695202</v>
      </c>
      <c r="AK56" s="571">
        <f t="shared" si="3"/>
        <v>996.92541737895237</v>
      </c>
      <c r="AL56" s="826">
        <f t="shared" si="4"/>
        <v>2473</v>
      </c>
      <c r="AM56" s="827">
        <f t="shared" si="8"/>
        <v>3.9348777821989631</v>
      </c>
      <c r="AN56" s="826">
        <f t="shared" si="5"/>
        <v>97.309527553780356</v>
      </c>
      <c r="AO56" s="826">
        <f t="shared" si="6"/>
        <v>1094.2349449327328</v>
      </c>
      <c r="AP56" s="570" t="s">
        <v>61</v>
      </c>
      <c r="AQ56" s="434"/>
      <c r="AR56" s="482"/>
      <c r="AS56" s="482"/>
      <c r="AT56" s="482"/>
    </row>
    <row r="57" spans="1:47" s="438" customFormat="1" ht="57" customHeight="1">
      <c r="A57" s="537">
        <v>47</v>
      </c>
      <c r="B57" s="537">
        <v>13</v>
      </c>
      <c r="C57" s="569" t="str">
        <f>+'Biểu 1 TH CÔNG'!C58</f>
        <v>Nàng Thoong</v>
      </c>
      <c r="D57" s="564">
        <v>0</v>
      </c>
      <c r="E57" s="564">
        <v>51</v>
      </c>
      <c r="F57" s="564">
        <v>63</v>
      </c>
      <c r="G57" s="564">
        <v>61</v>
      </c>
      <c r="H57" s="564">
        <v>57</v>
      </c>
      <c r="I57" s="564">
        <v>59</v>
      </c>
      <c r="J57" s="564">
        <v>75</v>
      </c>
      <c r="K57" s="564">
        <v>94</v>
      </c>
      <c r="L57" s="564">
        <v>66</v>
      </c>
      <c r="M57" s="564">
        <v>67</v>
      </c>
      <c r="N57" s="564">
        <v>96</v>
      </c>
      <c r="O57" s="564">
        <v>114</v>
      </c>
      <c r="P57" s="564">
        <v>170</v>
      </c>
      <c r="Q57" s="564">
        <v>89</v>
      </c>
      <c r="R57" s="564">
        <v>95</v>
      </c>
      <c r="S57" s="564">
        <v>0</v>
      </c>
      <c r="T57" s="564">
        <v>95</v>
      </c>
      <c r="U57" s="564">
        <v>65</v>
      </c>
      <c r="V57" s="564">
        <v>98</v>
      </c>
      <c r="W57" s="564">
        <v>97</v>
      </c>
      <c r="X57" s="564">
        <v>77</v>
      </c>
      <c r="Y57" s="564">
        <v>176</v>
      </c>
      <c r="Z57" s="564">
        <v>65</v>
      </c>
      <c r="AA57" s="564">
        <v>60</v>
      </c>
      <c r="AB57" s="564">
        <v>63</v>
      </c>
      <c r="AC57" s="564">
        <v>84</v>
      </c>
      <c r="AD57" s="564">
        <v>94</v>
      </c>
      <c r="AE57" s="564">
        <v>69</v>
      </c>
      <c r="AF57" s="564">
        <v>88</v>
      </c>
      <c r="AG57" s="564">
        <v>97</v>
      </c>
      <c r="AH57" s="564">
        <v>88</v>
      </c>
      <c r="AI57" s="565">
        <f t="shared" si="2"/>
        <v>2473</v>
      </c>
      <c r="AJ57" s="566">
        <f t="shared" si="7"/>
        <v>40.312390512695202</v>
      </c>
      <c r="AK57" s="571">
        <f t="shared" si="3"/>
        <v>996.92541737895237</v>
      </c>
      <c r="AL57" s="826">
        <f t="shared" si="4"/>
        <v>2473</v>
      </c>
      <c r="AM57" s="827">
        <f t="shared" si="8"/>
        <v>3.9348777821989631</v>
      </c>
      <c r="AN57" s="826">
        <f t="shared" si="5"/>
        <v>97.309527553780356</v>
      </c>
      <c r="AO57" s="826">
        <f t="shared" si="6"/>
        <v>1094.2349449327328</v>
      </c>
      <c r="AP57" s="570" t="s">
        <v>61</v>
      </c>
      <c r="AQ57" s="434"/>
      <c r="AR57" s="482"/>
      <c r="AS57" s="482"/>
      <c r="AT57" s="482"/>
    </row>
    <row r="58" spans="1:47" s="438" customFormat="1" ht="57" customHeight="1">
      <c r="A58" s="537">
        <v>48</v>
      </c>
      <c r="B58" s="537">
        <v>14</v>
      </c>
      <c r="C58" s="569" t="str">
        <f>+'Biểu 1 TH CÔNG'!C59</f>
        <v>Thảo Tý 2</v>
      </c>
      <c r="D58" s="564">
        <v>94</v>
      </c>
      <c r="E58" s="564">
        <v>150</v>
      </c>
      <c r="F58" s="564">
        <v>124</v>
      </c>
      <c r="G58" s="564">
        <v>116</v>
      </c>
      <c r="H58" s="564">
        <v>143</v>
      </c>
      <c r="I58" s="564">
        <v>94</v>
      </c>
      <c r="J58" s="564">
        <v>117</v>
      </c>
      <c r="K58" s="564">
        <v>69</v>
      </c>
      <c r="L58" s="564">
        <v>100</v>
      </c>
      <c r="M58" s="564">
        <v>86</v>
      </c>
      <c r="N58" s="564">
        <v>83</v>
      </c>
      <c r="O58" s="564">
        <v>197</v>
      </c>
      <c r="P58" s="564">
        <v>182</v>
      </c>
      <c r="Q58" s="564">
        <v>62</v>
      </c>
      <c r="R58" s="564">
        <v>153</v>
      </c>
      <c r="S58" s="564">
        <v>61</v>
      </c>
      <c r="T58" s="564">
        <v>86</v>
      </c>
      <c r="U58" s="564">
        <v>71</v>
      </c>
      <c r="V58" s="564">
        <v>112</v>
      </c>
      <c r="W58" s="564">
        <v>136</v>
      </c>
      <c r="X58" s="564">
        <v>52</v>
      </c>
      <c r="Y58" s="564">
        <v>191</v>
      </c>
      <c r="Z58" s="564">
        <v>58</v>
      </c>
      <c r="AA58" s="564">
        <v>67</v>
      </c>
      <c r="AB58" s="564">
        <v>89</v>
      </c>
      <c r="AC58" s="564">
        <v>53</v>
      </c>
      <c r="AD58" s="564">
        <v>50</v>
      </c>
      <c r="AE58" s="564">
        <v>90</v>
      </c>
      <c r="AF58" s="564">
        <v>107</v>
      </c>
      <c r="AG58" s="564">
        <v>131</v>
      </c>
      <c r="AH58" s="564">
        <v>78</v>
      </c>
      <c r="AI58" s="565">
        <f t="shared" si="2"/>
        <v>3202</v>
      </c>
      <c r="AJ58" s="566">
        <f t="shared" si="7"/>
        <v>40.312390512695202</v>
      </c>
      <c r="AK58" s="571">
        <f t="shared" si="3"/>
        <v>1290.8027442165005</v>
      </c>
      <c r="AL58" s="826">
        <f t="shared" si="4"/>
        <v>3202</v>
      </c>
      <c r="AM58" s="827">
        <f t="shared" si="8"/>
        <v>3.9348777821989631</v>
      </c>
      <c r="AN58" s="826">
        <f t="shared" si="5"/>
        <v>125.99478658601079</v>
      </c>
      <c r="AO58" s="826">
        <f t="shared" si="6"/>
        <v>1416.7975308025113</v>
      </c>
      <c r="AP58" s="570" t="s">
        <v>61</v>
      </c>
      <c r="AQ58" s="434"/>
      <c r="AR58" s="482"/>
      <c r="AS58" s="482"/>
      <c r="AT58" s="482"/>
    </row>
    <row r="59" spans="1:47" s="438" customFormat="1" ht="57" customHeight="1">
      <c r="A59" s="537">
        <v>49</v>
      </c>
      <c r="B59" s="537">
        <v>15</v>
      </c>
      <c r="C59" s="569" t="str">
        <f>+'Biểu 1 TH CÔNG'!C60</f>
        <v>Nàng Mui</v>
      </c>
      <c r="D59" s="564">
        <v>54</v>
      </c>
      <c r="E59" s="564">
        <v>79</v>
      </c>
      <c r="F59" s="564">
        <v>50</v>
      </c>
      <c r="G59" s="564">
        <v>78</v>
      </c>
      <c r="H59" s="564">
        <v>72</v>
      </c>
      <c r="I59" s="564">
        <v>70</v>
      </c>
      <c r="J59" s="564">
        <v>0</v>
      </c>
      <c r="K59" s="564">
        <v>119</v>
      </c>
      <c r="L59" s="564">
        <v>80</v>
      </c>
      <c r="M59" s="564">
        <v>59</v>
      </c>
      <c r="N59" s="564">
        <v>88</v>
      </c>
      <c r="O59" s="564">
        <v>153</v>
      </c>
      <c r="P59" s="564">
        <v>152</v>
      </c>
      <c r="Q59" s="564">
        <v>72</v>
      </c>
      <c r="R59" s="564">
        <v>128</v>
      </c>
      <c r="S59" s="564">
        <v>64</v>
      </c>
      <c r="T59" s="564">
        <v>78</v>
      </c>
      <c r="U59" s="564">
        <v>87</v>
      </c>
      <c r="V59" s="564">
        <v>121</v>
      </c>
      <c r="W59" s="564">
        <v>80</v>
      </c>
      <c r="X59" s="564">
        <v>51</v>
      </c>
      <c r="Y59" s="564">
        <v>76</v>
      </c>
      <c r="Z59" s="564">
        <v>130</v>
      </c>
      <c r="AA59" s="564">
        <v>52</v>
      </c>
      <c r="AB59" s="564">
        <v>76</v>
      </c>
      <c r="AC59" s="564">
        <v>99</v>
      </c>
      <c r="AD59" s="564">
        <v>83</v>
      </c>
      <c r="AE59" s="564">
        <v>39</v>
      </c>
      <c r="AF59" s="564">
        <v>71</v>
      </c>
      <c r="AG59" s="564">
        <v>114</v>
      </c>
      <c r="AH59" s="564">
        <v>65</v>
      </c>
      <c r="AI59" s="565">
        <f t="shared" si="2"/>
        <v>2540</v>
      </c>
      <c r="AJ59" s="566">
        <f t="shared" si="7"/>
        <v>40.312390512695202</v>
      </c>
      <c r="AK59" s="571">
        <f t="shared" si="3"/>
        <v>1023.9347190224581</v>
      </c>
      <c r="AL59" s="826">
        <f t="shared" si="4"/>
        <v>2540</v>
      </c>
      <c r="AM59" s="827">
        <f t="shared" si="8"/>
        <v>3.9348777821989631</v>
      </c>
      <c r="AN59" s="826">
        <f t="shared" si="5"/>
        <v>99.945895667853662</v>
      </c>
      <c r="AO59" s="826">
        <f t="shared" si="6"/>
        <v>1123.8806146903119</v>
      </c>
      <c r="AP59" s="570" t="s">
        <v>61</v>
      </c>
      <c r="AQ59" s="434"/>
      <c r="AR59" s="482"/>
      <c r="AS59" s="482"/>
      <c r="AT59" s="482"/>
    </row>
    <row r="60" spans="1:47" s="438" customFormat="1" ht="57" customHeight="1">
      <c r="A60" s="537">
        <v>50</v>
      </c>
      <c r="B60" s="537">
        <v>16</v>
      </c>
      <c r="C60" s="569" t="str">
        <f>+'Biểu 1 TH CÔNG'!C61</f>
        <v>Thảo Xay Phôn</v>
      </c>
      <c r="D60" s="564">
        <v>0</v>
      </c>
      <c r="E60" s="564">
        <v>80</v>
      </c>
      <c r="F60" s="564">
        <v>50</v>
      </c>
      <c r="G60" s="564">
        <v>78</v>
      </c>
      <c r="H60" s="564">
        <v>73</v>
      </c>
      <c r="I60" s="564">
        <v>71</v>
      </c>
      <c r="J60" s="564">
        <v>0</v>
      </c>
      <c r="K60" s="564">
        <v>116</v>
      </c>
      <c r="L60" s="564">
        <v>106</v>
      </c>
      <c r="M60" s="564">
        <v>90</v>
      </c>
      <c r="N60" s="564">
        <v>0</v>
      </c>
      <c r="O60" s="564">
        <v>146</v>
      </c>
      <c r="P60" s="564">
        <v>175</v>
      </c>
      <c r="Q60" s="564">
        <v>117</v>
      </c>
      <c r="R60" s="564">
        <v>112</v>
      </c>
      <c r="S60" s="564">
        <v>0</v>
      </c>
      <c r="T60" s="564">
        <v>106</v>
      </c>
      <c r="U60" s="564">
        <v>80</v>
      </c>
      <c r="V60" s="564">
        <v>125</v>
      </c>
      <c r="W60" s="564">
        <v>121</v>
      </c>
      <c r="X60" s="564">
        <v>102</v>
      </c>
      <c r="Y60" s="564">
        <v>177</v>
      </c>
      <c r="Z60" s="564">
        <v>81</v>
      </c>
      <c r="AA60" s="564">
        <v>97</v>
      </c>
      <c r="AB60" s="564">
        <v>62</v>
      </c>
      <c r="AC60" s="564">
        <v>109</v>
      </c>
      <c r="AD60" s="564">
        <v>89</v>
      </c>
      <c r="AE60" s="564">
        <v>85</v>
      </c>
      <c r="AF60" s="564">
        <v>94</v>
      </c>
      <c r="AG60" s="564">
        <v>123</v>
      </c>
      <c r="AH60" s="564">
        <v>105</v>
      </c>
      <c r="AI60" s="565">
        <f t="shared" si="2"/>
        <v>2770</v>
      </c>
      <c r="AJ60" s="566">
        <f t="shared" si="7"/>
        <v>40.312390512695202</v>
      </c>
      <c r="AK60" s="571">
        <f t="shared" si="3"/>
        <v>1116.6532172016571</v>
      </c>
      <c r="AL60" s="826">
        <f t="shared" si="4"/>
        <v>2770</v>
      </c>
      <c r="AM60" s="827">
        <f t="shared" si="8"/>
        <v>3.9348777821989631</v>
      </c>
      <c r="AN60" s="826">
        <f t="shared" si="5"/>
        <v>108.99611456691127</v>
      </c>
      <c r="AO60" s="826">
        <f t="shared" si="6"/>
        <v>1225.6493317685683</v>
      </c>
      <c r="AP60" s="570" t="s">
        <v>61</v>
      </c>
      <c r="AQ60" s="434"/>
      <c r="AR60" s="482"/>
      <c r="AS60" s="482"/>
      <c r="AT60" s="482"/>
    </row>
    <row r="61" spans="1:47" s="438" customFormat="1" ht="57" customHeight="1">
      <c r="A61" s="537">
        <v>51</v>
      </c>
      <c r="B61" s="537">
        <v>17</v>
      </c>
      <c r="C61" s="569" t="str">
        <f>+'Biểu 1 TH CÔNG'!C62</f>
        <v>Ning Dung 2</v>
      </c>
      <c r="D61" s="564">
        <v>81</v>
      </c>
      <c r="E61" s="564">
        <v>87</v>
      </c>
      <c r="F61" s="564">
        <v>114</v>
      </c>
      <c r="G61" s="564">
        <v>94</v>
      </c>
      <c r="H61" s="564">
        <v>75</v>
      </c>
      <c r="I61" s="564">
        <v>62</v>
      </c>
      <c r="J61" s="564">
        <v>63</v>
      </c>
      <c r="K61" s="564">
        <v>86</v>
      </c>
      <c r="L61" s="564">
        <v>52</v>
      </c>
      <c r="M61" s="564">
        <v>82</v>
      </c>
      <c r="N61" s="564">
        <v>75</v>
      </c>
      <c r="O61" s="564">
        <v>105</v>
      </c>
      <c r="P61" s="564">
        <v>152</v>
      </c>
      <c r="Q61" s="564">
        <v>47</v>
      </c>
      <c r="R61" s="564">
        <v>73</v>
      </c>
      <c r="S61" s="564">
        <v>0</v>
      </c>
      <c r="T61" s="564">
        <v>53</v>
      </c>
      <c r="U61" s="564">
        <v>41</v>
      </c>
      <c r="V61" s="564">
        <v>0</v>
      </c>
      <c r="W61" s="564">
        <v>0</v>
      </c>
      <c r="X61" s="564">
        <v>56</v>
      </c>
      <c r="Y61" s="564">
        <v>147</v>
      </c>
      <c r="Z61" s="564">
        <v>0</v>
      </c>
      <c r="AA61" s="564">
        <v>67</v>
      </c>
      <c r="AB61" s="564">
        <v>47</v>
      </c>
      <c r="AC61" s="564">
        <v>62</v>
      </c>
      <c r="AD61" s="564">
        <v>0</v>
      </c>
      <c r="AE61" s="564">
        <v>45</v>
      </c>
      <c r="AF61" s="564">
        <v>50</v>
      </c>
      <c r="AG61" s="564">
        <v>65</v>
      </c>
      <c r="AH61" s="564">
        <v>0</v>
      </c>
      <c r="AI61" s="565">
        <f t="shared" si="2"/>
        <v>1881</v>
      </c>
      <c r="AJ61" s="566">
        <f t="shared" si="7"/>
        <v>40.312390512695202</v>
      </c>
      <c r="AK61" s="571">
        <f t="shared" si="3"/>
        <v>758.27606554379668</v>
      </c>
      <c r="AL61" s="826">
        <f t="shared" si="4"/>
        <v>1881</v>
      </c>
      <c r="AM61" s="827">
        <f t="shared" si="8"/>
        <v>3.9348777821989631</v>
      </c>
      <c r="AN61" s="826">
        <f t="shared" si="5"/>
        <v>74.015051083162504</v>
      </c>
      <c r="AO61" s="826">
        <f t="shared" si="6"/>
        <v>832.29111662695914</v>
      </c>
      <c r="AP61" s="570" t="s">
        <v>63</v>
      </c>
      <c r="AQ61" s="434"/>
      <c r="AR61" s="482"/>
      <c r="AS61" s="482"/>
      <c r="AT61" s="482"/>
    </row>
    <row r="62" spans="1:47" s="438" customFormat="1" ht="57" customHeight="1">
      <c r="A62" s="537">
        <v>52</v>
      </c>
      <c r="B62" s="537">
        <v>18</v>
      </c>
      <c r="C62" s="569" t="str">
        <f>+'Biểu 1 TH CÔNG'!C63</f>
        <v>Ning Dung</v>
      </c>
      <c r="D62" s="564">
        <v>81</v>
      </c>
      <c r="E62" s="564">
        <v>87</v>
      </c>
      <c r="F62" s="564">
        <v>114</v>
      </c>
      <c r="G62" s="564">
        <v>94</v>
      </c>
      <c r="H62" s="564">
        <v>75</v>
      </c>
      <c r="I62" s="564">
        <v>62</v>
      </c>
      <c r="J62" s="564">
        <v>63</v>
      </c>
      <c r="K62" s="564">
        <v>86</v>
      </c>
      <c r="L62" s="564">
        <v>52</v>
      </c>
      <c r="M62" s="564">
        <v>82</v>
      </c>
      <c r="N62" s="564">
        <v>75</v>
      </c>
      <c r="O62" s="564">
        <v>105</v>
      </c>
      <c r="P62" s="564">
        <v>152</v>
      </c>
      <c r="Q62" s="564">
        <v>47</v>
      </c>
      <c r="R62" s="564">
        <v>73</v>
      </c>
      <c r="S62" s="564">
        <v>0</v>
      </c>
      <c r="T62" s="564">
        <v>53</v>
      </c>
      <c r="U62" s="564">
        <v>41</v>
      </c>
      <c r="V62" s="564">
        <v>0</v>
      </c>
      <c r="W62" s="564">
        <v>0</v>
      </c>
      <c r="X62" s="564">
        <v>55</v>
      </c>
      <c r="Y62" s="564">
        <v>148</v>
      </c>
      <c r="Z62" s="564">
        <v>0</v>
      </c>
      <c r="AA62" s="564">
        <v>67</v>
      </c>
      <c r="AB62" s="564">
        <v>47</v>
      </c>
      <c r="AC62" s="564">
        <v>62</v>
      </c>
      <c r="AD62" s="564">
        <v>0</v>
      </c>
      <c r="AE62" s="564">
        <v>45</v>
      </c>
      <c r="AF62" s="564">
        <v>50</v>
      </c>
      <c r="AG62" s="564">
        <v>65</v>
      </c>
      <c r="AH62" s="564">
        <v>0</v>
      </c>
      <c r="AI62" s="565">
        <f t="shared" si="2"/>
        <v>1881</v>
      </c>
      <c r="AJ62" s="566">
        <f t="shared" si="7"/>
        <v>40.312390512695202</v>
      </c>
      <c r="AK62" s="571">
        <f t="shared" si="3"/>
        <v>758.27606554379668</v>
      </c>
      <c r="AL62" s="826">
        <f t="shared" si="4"/>
        <v>1881</v>
      </c>
      <c r="AM62" s="827">
        <f t="shared" si="8"/>
        <v>3.9348777821989631</v>
      </c>
      <c r="AN62" s="826">
        <f t="shared" si="5"/>
        <v>74.015051083162504</v>
      </c>
      <c r="AO62" s="826">
        <f t="shared" si="6"/>
        <v>832.29111662695914</v>
      </c>
      <c r="AP62" s="570" t="s">
        <v>61</v>
      </c>
      <c r="AQ62" s="434"/>
      <c r="AR62" s="482"/>
      <c r="AS62" s="482"/>
      <c r="AT62" s="482"/>
    </row>
    <row r="63" spans="1:47" s="438" customFormat="1" ht="57" customHeight="1">
      <c r="A63" s="537">
        <v>53</v>
      </c>
      <c r="B63" s="537">
        <v>19</v>
      </c>
      <c r="C63" s="569" t="str">
        <f>+'Biểu 1 TH CÔNG'!C64</f>
        <v>Mua Chăn</v>
      </c>
      <c r="D63" s="564">
        <v>81</v>
      </c>
      <c r="E63" s="564">
        <v>87</v>
      </c>
      <c r="F63" s="564">
        <v>114</v>
      </c>
      <c r="G63" s="564">
        <v>94</v>
      </c>
      <c r="H63" s="564">
        <v>75</v>
      </c>
      <c r="I63" s="564">
        <v>62</v>
      </c>
      <c r="J63" s="564">
        <v>63</v>
      </c>
      <c r="K63" s="564">
        <v>86</v>
      </c>
      <c r="L63" s="564">
        <v>53</v>
      </c>
      <c r="M63" s="564">
        <v>82</v>
      </c>
      <c r="N63" s="564">
        <v>75</v>
      </c>
      <c r="O63" s="564">
        <v>109</v>
      </c>
      <c r="P63" s="564">
        <v>152</v>
      </c>
      <c r="Q63" s="564">
        <v>47</v>
      </c>
      <c r="R63" s="564">
        <v>73</v>
      </c>
      <c r="S63" s="564">
        <v>60</v>
      </c>
      <c r="T63" s="564">
        <v>53</v>
      </c>
      <c r="U63" s="564">
        <v>41</v>
      </c>
      <c r="V63" s="564">
        <v>0</v>
      </c>
      <c r="W63" s="564">
        <v>0</v>
      </c>
      <c r="X63" s="564">
        <v>56</v>
      </c>
      <c r="Y63" s="564">
        <v>148</v>
      </c>
      <c r="Z63" s="564">
        <v>0</v>
      </c>
      <c r="AA63" s="564">
        <v>67</v>
      </c>
      <c r="AB63" s="564">
        <v>47</v>
      </c>
      <c r="AC63" s="564">
        <v>62</v>
      </c>
      <c r="AD63" s="564">
        <v>50</v>
      </c>
      <c r="AE63" s="564">
        <v>0</v>
      </c>
      <c r="AF63" s="564">
        <v>50</v>
      </c>
      <c r="AG63" s="564">
        <v>66</v>
      </c>
      <c r="AH63" s="564">
        <v>0</v>
      </c>
      <c r="AI63" s="565">
        <f t="shared" si="2"/>
        <v>1953</v>
      </c>
      <c r="AJ63" s="566">
        <f t="shared" si="7"/>
        <v>40.312390512695202</v>
      </c>
      <c r="AK63" s="571">
        <f t="shared" si="3"/>
        <v>787.30098671293729</v>
      </c>
      <c r="AL63" s="826">
        <f t="shared" si="4"/>
        <v>1953</v>
      </c>
      <c r="AM63" s="827">
        <f t="shared" si="8"/>
        <v>3.9348777821989631</v>
      </c>
      <c r="AN63" s="826">
        <f t="shared" si="5"/>
        <v>76.84816308634575</v>
      </c>
      <c r="AO63" s="826">
        <f t="shared" si="6"/>
        <v>864.14914979928301</v>
      </c>
      <c r="AP63" s="570" t="s">
        <v>63</v>
      </c>
      <c r="AQ63" s="434"/>
      <c r="AR63" s="482"/>
      <c r="AS63" s="482"/>
      <c r="AT63" s="482"/>
    </row>
    <row r="64" spans="1:47" s="438" customFormat="1" ht="57" customHeight="1">
      <c r="A64" s="537">
        <v>54</v>
      </c>
      <c r="B64" s="537">
        <v>20</v>
      </c>
      <c r="C64" s="569" t="str">
        <f>+'Biểu 1 TH CÔNG'!C65</f>
        <v>Thảo Chọi 2</v>
      </c>
      <c r="D64" s="564">
        <v>88</v>
      </c>
      <c r="E64" s="564">
        <v>73</v>
      </c>
      <c r="F64" s="564">
        <v>83</v>
      </c>
      <c r="G64" s="564">
        <v>89</v>
      </c>
      <c r="H64" s="564">
        <v>69</v>
      </c>
      <c r="I64" s="564">
        <v>72</v>
      </c>
      <c r="J64" s="564">
        <v>75</v>
      </c>
      <c r="K64" s="564">
        <v>95</v>
      </c>
      <c r="L64" s="564">
        <v>66</v>
      </c>
      <c r="M64" s="564">
        <v>67</v>
      </c>
      <c r="N64" s="564">
        <v>96</v>
      </c>
      <c r="O64" s="564">
        <v>114</v>
      </c>
      <c r="P64" s="564">
        <v>170</v>
      </c>
      <c r="Q64" s="564">
        <v>89</v>
      </c>
      <c r="R64" s="564">
        <v>95</v>
      </c>
      <c r="S64" s="564">
        <v>0</v>
      </c>
      <c r="T64" s="564">
        <v>95</v>
      </c>
      <c r="U64" s="564">
        <v>66</v>
      </c>
      <c r="V64" s="564">
        <v>98</v>
      </c>
      <c r="W64" s="564">
        <v>97</v>
      </c>
      <c r="X64" s="564">
        <v>76</v>
      </c>
      <c r="Y64" s="564">
        <v>177</v>
      </c>
      <c r="Z64" s="564">
        <v>65</v>
      </c>
      <c r="AA64" s="564">
        <v>60</v>
      </c>
      <c r="AB64" s="564">
        <v>63</v>
      </c>
      <c r="AC64" s="564">
        <v>84</v>
      </c>
      <c r="AD64" s="564">
        <v>95</v>
      </c>
      <c r="AE64" s="564">
        <v>69</v>
      </c>
      <c r="AF64" s="564">
        <v>88</v>
      </c>
      <c r="AG64" s="564">
        <v>97</v>
      </c>
      <c r="AH64" s="564">
        <v>88</v>
      </c>
      <c r="AI64" s="565">
        <f t="shared" si="2"/>
        <v>2659</v>
      </c>
      <c r="AJ64" s="566">
        <f t="shared" si="7"/>
        <v>40.312390512695202</v>
      </c>
      <c r="AK64" s="571">
        <f t="shared" si="3"/>
        <v>1071.9064637325655</v>
      </c>
      <c r="AL64" s="826">
        <f t="shared" si="4"/>
        <v>2659</v>
      </c>
      <c r="AM64" s="827">
        <f t="shared" si="8"/>
        <v>3.9348777821989631</v>
      </c>
      <c r="AN64" s="826">
        <f t="shared" si="5"/>
        <v>104.62840022867043</v>
      </c>
      <c r="AO64" s="826">
        <f t="shared" si="6"/>
        <v>1176.5348639612359</v>
      </c>
      <c r="AP64" s="570" t="s">
        <v>63</v>
      </c>
      <c r="AQ64" s="434"/>
      <c r="AR64" s="482"/>
      <c r="AS64" s="482"/>
      <c r="AT64" s="482"/>
    </row>
    <row r="65" spans="1:46" s="438" customFormat="1" ht="57" customHeight="1">
      <c r="A65" s="537">
        <v>55</v>
      </c>
      <c r="B65" s="537">
        <v>21</v>
      </c>
      <c r="C65" s="569" t="str">
        <f>+'Biểu 1 TH CÔNG'!C66</f>
        <v>Thảo Sing</v>
      </c>
      <c r="D65" s="564">
        <v>0</v>
      </c>
      <c r="E65" s="564">
        <v>0</v>
      </c>
      <c r="F65" s="564">
        <v>91</v>
      </c>
      <c r="G65" s="564">
        <v>101</v>
      </c>
      <c r="H65" s="564">
        <v>162</v>
      </c>
      <c r="I65" s="564">
        <v>132</v>
      </c>
      <c r="J65" s="564">
        <v>92</v>
      </c>
      <c r="K65" s="564">
        <v>116</v>
      </c>
      <c r="L65" s="564">
        <v>107</v>
      </c>
      <c r="M65" s="564">
        <v>90</v>
      </c>
      <c r="N65" s="564">
        <v>71</v>
      </c>
      <c r="O65" s="564">
        <v>146</v>
      </c>
      <c r="P65" s="564">
        <v>175</v>
      </c>
      <c r="Q65" s="564">
        <v>117</v>
      </c>
      <c r="R65" s="564">
        <v>112</v>
      </c>
      <c r="S65" s="564">
        <v>0</v>
      </c>
      <c r="T65" s="564">
        <v>106</v>
      </c>
      <c r="U65" s="564">
        <v>80</v>
      </c>
      <c r="V65" s="564">
        <v>125</v>
      </c>
      <c r="W65" s="564">
        <v>121</v>
      </c>
      <c r="X65" s="564">
        <v>102</v>
      </c>
      <c r="Y65" s="564">
        <v>177</v>
      </c>
      <c r="Z65" s="564">
        <v>81</v>
      </c>
      <c r="AA65" s="564">
        <v>97</v>
      </c>
      <c r="AB65" s="564">
        <v>63</v>
      </c>
      <c r="AC65" s="564">
        <v>109</v>
      </c>
      <c r="AD65" s="564">
        <v>89</v>
      </c>
      <c r="AE65" s="564">
        <v>85</v>
      </c>
      <c r="AF65" s="564">
        <v>94</v>
      </c>
      <c r="AG65" s="564">
        <v>123</v>
      </c>
      <c r="AH65" s="564">
        <v>105</v>
      </c>
      <c r="AI65" s="565">
        <f t="shared" si="2"/>
        <v>3069</v>
      </c>
      <c r="AJ65" s="566">
        <f t="shared" si="7"/>
        <v>40.312390512695202</v>
      </c>
      <c r="AK65" s="571">
        <f t="shared" si="3"/>
        <v>1237.1872648346157</v>
      </c>
      <c r="AL65" s="826">
        <f t="shared" si="4"/>
        <v>3069</v>
      </c>
      <c r="AM65" s="827">
        <f t="shared" si="8"/>
        <v>3.9348777821989631</v>
      </c>
      <c r="AN65" s="826">
        <f t="shared" si="5"/>
        <v>120.76139913568618</v>
      </c>
      <c r="AO65" s="826">
        <f t="shared" si="6"/>
        <v>1357.9486639703018</v>
      </c>
      <c r="AP65" s="570" t="s">
        <v>63</v>
      </c>
      <c r="AQ65" s="434"/>
      <c r="AR65" s="482"/>
      <c r="AS65" s="482"/>
      <c r="AT65" s="482"/>
    </row>
    <row r="66" spans="1:46" s="438" customFormat="1" ht="57" customHeight="1">
      <c r="A66" s="537">
        <v>56</v>
      </c>
      <c r="B66" s="537">
        <v>22</v>
      </c>
      <c r="C66" s="569" t="str">
        <f>+'Biểu 1 TH CÔNG'!C67</f>
        <v>Thảo Phu</v>
      </c>
      <c r="D66" s="564">
        <v>64</v>
      </c>
      <c r="E66" s="564">
        <v>54</v>
      </c>
      <c r="F66" s="564">
        <v>109</v>
      </c>
      <c r="G66" s="564">
        <v>88</v>
      </c>
      <c r="H66" s="564">
        <v>130</v>
      </c>
      <c r="I66" s="564">
        <v>65</v>
      </c>
      <c r="J66" s="564">
        <v>80</v>
      </c>
      <c r="K66" s="564">
        <v>137</v>
      </c>
      <c r="L66" s="564">
        <v>103</v>
      </c>
      <c r="M66" s="564">
        <v>79</v>
      </c>
      <c r="N66" s="564">
        <v>82</v>
      </c>
      <c r="O66" s="564">
        <v>186</v>
      </c>
      <c r="P66" s="564">
        <v>150</v>
      </c>
      <c r="Q66" s="564">
        <v>79</v>
      </c>
      <c r="R66" s="564">
        <v>51</v>
      </c>
      <c r="S66" s="564">
        <v>0</v>
      </c>
      <c r="T66" s="564">
        <v>84</v>
      </c>
      <c r="U66" s="564">
        <v>78</v>
      </c>
      <c r="V66" s="564">
        <v>183</v>
      </c>
      <c r="W66" s="564">
        <v>154</v>
      </c>
      <c r="X66" s="564">
        <v>51</v>
      </c>
      <c r="Y66" s="564">
        <v>152</v>
      </c>
      <c r="Z66" s="564">
        <v>69</v>
      </c>
      <c r="AA66" s="564">
        <v>75</v>
      </c>
      <c r="AB66" s="564">
        <v>86</v>
      </c>
      <c r="AC66" s="564">
        <v>100</v>
      </c>
      <c r="AD66" s="564">
        <v>76</v>
      </c>
      <c r="AE66" s="564">
        <v>71</v>
      </c>
      <c r="AF66" s="564">
        <v>74</v>
      </c>
      <c r="AG66" s="564">
        <v>131</v>
      </c>
      <c r="AH66" s="564">
        <v>91</v>
      </c>
      <c r="AI66" s="565">
        <f t="shared" si="2"/>
        <v>2932</v>
      </c>
      <c r="AJ66" s="566">
        <f t="shared" si="7"/>
        <v>40.312390512695202</v>
      </c>
      <c r="AK66" s="571">
        <f t="shared" si="3"/>
        <v>1181.9592898322232</v>
      </c>
      <c r="AL66" s="826">
        <f t="shared" si="4"/>
        <v>2932</v>
      </c>
      <c r="AM66" s="827">
        <f t="shared" si="8"/>
        <v>3.9348777821989631</v>
      </c>
      <c r="AN66" s="826">
        <f t="shared" si="5"/>
        <v>115.37061657407359</v>
      </c>
      <c r="AO66" s="826">
        <f t="shared" si="6"/>
        <v>1297.3299064062969</v>
      </c>
      <c r="AP66" s="570" t="s">
        <v>61</v>
      </c>
      <c r="AQ66" s="434"/>
      <c r="AR66" s="482"/>
      <c r="AS66" s="482"/>
      <c r="AT66" s="482"/>
    </row>
    <row r="67" spans="1:46" s="438" customFormat="1" ht="57" customHeight="1">
      <c r="A67" s="537">
        <v>57</v>
      </c>
      <c r="B67" s="537">
        <v>23</v>
      </c>
      <c r="C67" s="569" t="str">
        <f>+'Biểu 1 TH CÔNG'!C68</f>
        <v>Nàng Tịa</v>
      </c>
      <c r="D67" s="564">
        <v>64</v>
      </c>
      <c r="E67" s="564">
        <v>54</v>
      </c>
      <c r="F67" s="564">
        <v>109</v>
      </c>
      <c r="G67" s="564">
        <v>88</v>
      </c>
      <c r="H67" s="564">
        <v>130</v>
      </c>
      <c r="I67" s="564">
        <v>65</v>
      </c>
      <c r="J67" s="564">
        <v>80</v>
      </c>
      <c r="K67" s="564">
        <v>137</v>
      </c>
      <c r="L67" s="564">
        <v>103</v>
      </c>
      <c r="M67" s="564">
        <v>79</v>
      </c>
      <c r="N67" s="564">
        <v>82</v>
      </c>
      <c r="O67" s="564">
        <v>136</v>
      </c>
      <c r="P67" s="564">
        <v>151</v>
      </c>
      <c r="Q67" s="564">
        <v>80</v>
      </c>
      <c r="R67" s="564">
        <v>53</v>
      </c>
      <c r="S67" s="564">
        <v>0</v>
      </c>
      <c r="T67" s="564">
        <v>85</v>
      </c>
      <c r="U67" s="564">
        <v>78</v>
      </c>
      <c r="V67" s="564">
        <v>183</v>
      </c>
      <c r="W67" s="564">
        <v>154</v>
      </c>
      <c r="X67" s="564">
        <v>52</v>
      </c>
      <c r="Y67" s="564">
        <v>152</v>
      </c>
      <c r="Z67" s="564">
        <v>69</v>
      </c>
      <c r="AA67" s="564">
        <v>76</v>
      </c>
      <c r="AB67" s="564">
        <v>86</v>
      </c>
      <c r="AC67" s="564">
        <v>100</v>
      </c>
      <c r="AD67" s="564">
        <v>76</v>
      </c>
      <c r="AE67" s="564">
        <v>71</v>
      </c>
      <c r="AF67" s="564">
        <v>74</v>
      </c>
      <c r="AG67" s="564">
        <v>132</v>
      </c>
      <c r="AH67" s="564">
        <v>91</v>
      </c>
      <c r="AI67" s="565">
        <f t="shared" si="2"/>
        <v>2890</v>
      </c>
      <c r="AJ67" s="566">
        <f t="shared" si="7"/>
        <v>40.312390512695202</v>
      </c>
      <c r="AK67" s="571">
        <f t="shared" si="3"/>
        <v>1165.0280858168915</v>
      </c>
      <c r="AL67" s="826">
        <f t="shared" si="4"/>
        <v>2890</v>
      </c>
      <c r="AM67" s="827">
        <f t="shared" si="8"/>
        <v>3.9348777821989631</v>
      </c>
      <c r="AN67" s="826">
        <f t="shared" si="5"/>
        <v>113.71796790555003</v>
      </c>
      <c r="AO67" s="826">
        <f t="shared" si="6"/>
        <v>1278.7460537224415</v>
      </c>
      <c r="AP67" s="570" t="s">
        <v>63</v>
      </c>
      <c r="AQ67" s="434"/>
      <c r="AR67" s="482"/>
      <c r="AS67" s="482"/>
      <c r="AT67" s="482"/>
    </row>
    <row r="68" spans="1:46" s="438" customFormat="1" ht="57" customHeight="1">
      <c r="A68" s="537">
        <v>58</v>
      </c>
      <c r="B68" s="537">
        <v>24</v>
      </c>
      <c r="C68" s="569" t="str">
        <f>+'Biểu 1 TH CÔNG'!C69</f>
        <v>Thảo Tý</v>
      </c>
      <c r="D68" s="564">
        <v>93</v>
      </c>
      <c r="E68" s="564">
        <v>149</v>
      </c>
      <c r="F68" s="564">
        <v>125</v>
      </c>
      <c r="G68" s="564">
        <v>117</v>
      </c>
      <c r="H68" s="564">
        <v>143</v>
      </c>
      <c r="I68" s="564">
        <v>95</v>
      </c>
      <c r="J68" s="564">
        <v>118</v>
      </c>
      <c r="K68" s="564">
        <v>69</v>
      </c>
      <c r="L68" s="564">
        <v>100</v>
      </c>
      <c r="M68" s="564">
        <v>85</v>
      </c>
      <c r="N68" s="564">
        <v>83</v>
      </c>
      <c r="O68" s="564">
        <v>197</v>
      </c>
      <c r="P68" s="564">
        <v>182</v>
      </c>
      <c r="Q68" s="564">
        <v>62</v>
      </c>
      <c r="R68" s="564">
        <v>153</v>
      </c>
      <c r="S68" s="564">
        <v>61</v>
      </c>
      <c r="T68" s="564">
        <v>86</v>
      </c>
      <c r="U68" s="564">
        <v>71</v>
      </c>
      <c r="V68" s="564">
        <v>112</v>
      </c>
      <c r="W68" s="564">
        <v>136</v>
      </c>
      <c r="X68" s="564">
        <v>53</v>
      </c>
      <c r="Y68" s="564">
        <v>191</v>
      </c>
      <c r="Z68" s="564">
        <v>59</v>
      </c>
      <c r="AA68" s="564">
        <v>67</v>
      </c>
      <c r="AB68" s="564">
        <v>89</v>
      </c>
      <c r="AC68" s="564">
        <v>53</v>
      </c>
      <c r="AD68" s="564">
        <v>50</v>
      </c>
      <c r="AE68" s="564">
        <v>90</v>
      </c>
      <c r="AF68" s="564">
        <v>107</v>
      </c>
      <c r="AG68" s="564">
        <v>131</v>
      </c>
      <c r="AH68" s="564">
        <v>78</v>
      </c>
      <c r="AI68" s="565">
        <f t="shared" si="2"/>
        <v>3205</v>
      </c>
      <c r="AJ68" s="566">
        <f t="shared" si="7"/>
        <v>40.312390512695202</v>
      </c>
      <c r="AK68" s="571">
        <f t="shared" si="3"/>
        <v>1292.0121159318812</v>
      </c>
      <c r="AL68" s="826">
        <f t="shared" si="4"/>
        <v>3205</v>
      </c>
      <c r="AM68" s="827">
        <f t="shared" si="8"/>
        <v>3.9348777821989631</v>
      </c>
      <c r="AN68" s="826">
        <f t="shared" si="5"/>
        <v>126.11283291947677</v>
      </c>
      <c r="AO68" s="826">
        <f t="shared" si="6"/>
        <v>1418.1249488513581</v>
      </c>
      <c r="AP68" s="570" t="s">
        <v>63</v>
      </c>
      <c r="AQ68" s="434"/>
      <c r="AR68" s="482"/>
      <c r="AS68" s="482"/>
      <c r="AT68" s="482"/>
    </row>
    <row r="69" spans="1:46" s="438" customFormat="1" ht="57" customHeight="1">
      <c r="A69" s="537">
        <v>59</v>
      </c>
      <c r="B69" s="537">
        <v>25</v>
      </c>
      <c r="C69" s="569" t="str">
        <f>+'Biểu 1 TH CÔNG'!C70</f>
        <v>Nàng Lếc</v>
      </c>
      <c r="D69" s="564">
        <v>93</v>
      </c>
      <c r="E69" s="564">
        <v>149</v>
      </c>
      <c r="F69" s="564">
        <v>125</v>
      </c>
      <c r="G69" s="564">
        <v>117</v>
      </c>
      <c r="H69" s="564">
        <v>143</v>
      </c>
      <c r="I69" s="564">
        <v>95</v>
      </c>
      <c r="J69" s="564">
        <v>118</v>
      </c>
      <c r="K69" s="564">
        <v>69</v>
      </c>
      <c r="L69" s="564">
        <v>100</v>
      </c>
      <c r="M69" s="564">
        <v>85</v>
      </c>
      <c r="N69" s="564">
        <v>83</v>
      </c>
      <c r="O69" s="564">
        <v>199</v>
      </c>
      <c r="P69" s="564">
        <v>186</v>
      </c>
      <c r="Q69" s="564">
        <v>62</v>
      </c>
      <c r="R69" s="564">
        <v>153</v>
      </c>
      <c r="S69" s="564">
        <v>61</v>
      </c>
      <c r="T69" s="564">
        <v>86</v>
      </c>
      <c r="U69" s="564">
        <v>71</v>
      </c>
      <c r="V69" s="564">
        <v>112</v>
      </c>
      <c r="W69" s="564">
        <v>136</v>
      </c>
      <c r="X69" s="564">
        <v>53</v>
      </c>
      <c r="Y69" s="564">
        <v>191</v>
      </c>
      <c r="Z69" s="564">
        <v>59</v>
      </c>
      <c r="AA69" s="564">
        <v>67</v>
      </c>
      <c r="AB69" s="564">
        <v>89</v>
      </c>
      <c r="AC69" s="564">
        <v>53</v>
      </c>
      <c r="AD69" s="564">
        <v>50</v>
      </c>
      <c r="AE69" s="564">
        <v>91</v>
      </c>
      <c r="AF69" s="564">
        <v>107</v>
      </c>
      <c r="AG69" s="564">
        <v>131</v>
      </c>
      <c r="AH69" s="564">
        <v>78</v>
      </c>
      <c r="AI69" s="565">
        <f t="shared" si="2"/>
        <v>3212</v>
      </c>
      <c r="AJ69" s="566">
        <f t="shared" si="7"/>
        <v>40.312390512695202</v>
      </c>
      <c r="AK69" s="571">
        <f t="shared" si="3"/>
        <v>1294.83398326777</v>
      </c>
      <c r="AL69" s="826">
        <f t="shared" si="4"/>
        <v>3212</v>
      </c>
      <c r="AM69" s="827">
        <f t="shared" si="8"/>
        <v>3.9348777821989631</v>
      </c>
      <c r="AN69" s="826">
        <f t="shared" si="5"/>
        <v>126.3882743642307</v>
      </c>
      <c r="AO69" s="826">
        <f t="shared" si="6"/>
        <v>1421.2222576320007</v>
      </c>
      <c r="AP69" s="570" t="s">
        <v>63</v>
      </c>
      <c r="AQ69" s="434"/>
      <c r="AR69" s="482"/>
      <c r="AS69" s="482"/>
      <c r="AT69" s="482"/>
    </row>
    <row r="70" spans="1:46" s="438" customFormat="1" ht="57" customHeight="1">
      <c r="A70" s="537">
        <v>60</v>
      </c>
      <c r="B70" s="537">
        <v>26</v>
      </c>
      <c r="C70" s="569" t="str">
        <f>+'Biểu 1 TH CÔNG'!C71</f>
        <v>Nàng Veo</v>
      </c>
      <c r="D70" s="564">
        <v>87</v>
      </c>
      <c r="E70" s="564">
        <v>73</v>
      </c>
      <c r="F70" s="564">
        <v>84</v>
      </c>
      <c r="G70" s="564">
        <v>88</v>
      </c>
      <c r="H70" s="564">
        <v>68</v>
      </c>
      <c r="I70" s="564">
        <v>71</v>
      </c>
      <c r="J70" s="564">
        <v>76</v>
      </c>
      <c r="K70" s="564">
        <v>95</v>
      </c>
      <c r="L70" s="564">
        <v>67</v>
      </c>
      <c r="M70" s="564">
        <v>68</v>
      </c>
      <c r="N70" s="564">
        <v>97</v>
      </c>
      <c r="O70" s="564">
        <v>114</v>
      </c>
      <c r="P70" s="564">
        <v>170</v>
      </c>
      <c r="Q70" s="564">
        <v>89</v>
      </c>
      <c r="R70" s="564">
        <v>95</v>
      </c>
      <c r="S70" s="564">
        <v>0</v>
      </c>
      <c r="T70" s="564">
        <v>96</v>
      </c>
      <c r="U70" s="564">
        <v>66</v>
      </c>
      <c r="V70" s="564">
        <v>98</v>
      </c>
      <c r="W70" s="564">
        <v>97</v>
      </c>
      <c r="X70" s="564">
        <v>76</v>
      </c>
      <c r="Y70" s="564">
        <v>177</v>
      </c>
      <c r="Z70" s="564">
        <v>65</v>
      </c>
      <c r="AA70" s="564">
        <v>60</v>
      </c>
      <c r="AB70" s="564">
        <v>64</v>
      </c>
      <c r="AC70" s="564">
        <v>84</v>
      </c>
      <c r="AD70" s="564">
        <v>95</v>
      </c>
      <c r="AE70" s="564">
        <v>69</v>
      </c>
      <c r="AF70" s="564">
        <v>88</v>
      </c>
      <c r="AG70" s="564">
        <v>96</v>
      </c>
      <c r="AH70" s="564">
        <v>89</v>
      </c>
      <c r="AI70" s="565">
        <f t="shared" si="2"/>
        <v>2662</v>
      </c>
      <c r="AJ70" s="566">
        <f t="shared" si="7"/>
        <v>40.312390512695202</v>
      </c>
      <c r="AK70" s="571">
        <f t="shared" si="3"/>
        <v>1073.1158354479462</v>
      </c>
      <c r="AL70" s="826">
        <f t="shared" si="4"/>
        <v>2662</v>
      </c>
      <c r="AM70" s="827">
        <f t="shared" si="8"/>
        <v>3.9348777821989631</v>
      </c>
      <c r="AN70" s="826">
        <f t="shared" si="5"/>
        <v>104.74644656213641</v>
      </c>
      <c r="AO70" s="826">
        <f t="shared" si="6"/>
        <v>1177.8622820100827</v>
      </c>
      <c r="AP70" s="570" t="s">
        <v>61</v>
      </c>
      <c r="AQ70" s="434"/>
      <c r="AR70" s="482"/>
      <c r="AS70" s="482"/>
      <c r="AT70" s="482"/>
    </row>
    <row r="71" spans="1:46" s="438" customFormat="1" ht="57" customHeight="1">
      <c r="A71" s="537">
        <v>61</v>
      </c>
      <c r="B71" s="537">
        <v>27</v>
      </c>
      <c r="C71" s="569" t="str">
        <f>+'Biểu 1 TH CÔNG'!C72</f>
        <v>Thảo Chọi</v>
      </c>
      <c r="D71" s="564">
        <v>87</v>
      </c>
      <c r="E71" s="564">
        <v>73</v>
      </c>
      <c r="F71" s="564">
        <v>84</v>
      </c>
      <c r="G71" s="564">
        <v>88</v>
      </c>
      <c r="H71" s="564">
        <v>68</v>
      </c>
      <c r="I71" s="564">
        <v>71</v>
      </c>
      <c r="J71" s="564">
        <v>76</v>
      </c>
      <c r="K71" s="564">
        <v>95</v>
      </c>
      <c r="L71" s="564">
        <v>67</v>
      </c>
      <c r="M71" s="564">
        <v>68</v>
      </c>
      <c r="N71" s="564">
        <v>97</v>
      </c>
      <c r="O71" s="564">
        <v>115</v>
      </c>
      <c r="P71" s="564">
        <v>172</v>
      </c>
      <c r="Q71" s="564">
        <v>91</v>
      </c>
      <c r="R71" s="564">
        <v>95</v>
      </c>
      <c r="S71" s="564">
        <v>0</v>
      </c>
      <c r="T71" s="564">
        <v>96</v>
      </c>
      <c r="U71" s="564">
        <v>66</v>
      </c>
      <c r="V71" s="564">
        <v>99</v>
      </c>
      <c r="W71" s="564">
        <v>97</v>
      </c>
      <c r="X71" s="564">
        <v>76</v>
      </c>
      <c r="Y71" s="564">
        <v>177</v>
      </c>
      <c r="Z71" s="564">
        <v>66</v>
      </c>
      <c r="AA71" s="564">
        <v>60</v>
      </c>
      <c r="AB71" s="564">
        <v>64</v>
      </c>
      <c r="AC71" s="564">
        <v>85</v>
      </c>
      <c r="AD71" s="564">
        <v>95</v>
      </c>
      <c r="AE71" s="564">
        <v>69</v>
      </c>
      <c r="AF71" s="564">
        <v>88</v>
      </c>
      <c r="AG71" s="564">
        <v>97</v>
      </c>
      <c r="AH71" s="564">
        <v>89</v>
      </c>
      <c r="AI71" s="565">
        <f t="shared" si="2"/>
        <v>2671</v>
      </c>
      <c r="AJ71" s="566">
        <f t="shared" si="7"/>
        <v>40.312390512695202</v>
      </c>
      <c r="AK71" s="571">
        <f t="shared" si="3"/>
        <v>1076.7439505940888</v>
      </c>
      <c r="AL71" s="826">
        <f t="shared" si="4"/>
        <v>2671</v>
      </c>
      <c r="AM71" s="827">
        <f t="shared" si="8"/>
        <v>3.9348777821989631</v>
      </c>
      <c r="AN71" s="826">
        <f t="shared" si="5"/>
        <v>105.10058556253431</v>
      </c>
      <c r="AO71" s="826">
        <f t="shared" si="6"/>
        <v>1181.844536156623</v>
      </c>
      <c r="AP71" s="570" t="s">
        <v>63</v>
      </c>
      <c r="AQ71" s="434"/>
      <c r="AR71" s="482"/>
      <c r="AS71" s="482"/>
      <c r="AT71" s="482"/>
    </row>
    <row r="72" spans="1:46" s="438" customFormat="1" ht="57" customHeight="1">
      <c r="A72" s="537">
        <v>62</v>
      </c>
      <c r="B72" s="537">
        <v>28</v>
      </c>
      <c r="C72" s="569" t="str">
        <f>+'Biểu 1 TH CÔNG'!C73</f>
        <v>Nàng Nọi</v>
      </c>
      <c r="D72" s="564">
        <v>57</v>
      </c>
      <c r="E72" s="564">
        <v>68</v>
      </c>
      <c r="F72" s="564">
        <v>90</v>
      </c>
      <c r="G72" s="564">
        <v>101</v>
      </c>
      <c r="H72" s="564">
        <v>161</v>
      </c>
      <c r="I72" s="564">
        <v>132</v>
      </c>
      <c r="J72" s="564">
        <v>91</v>
      </c>
      <c r="K72" s="564">
        <v>117</v>
      </c>
      <c r="L72" s="564">
        <v>107</v>
      </c>
      <c r="M72" s="564">
        <v>90</v>
      </c>
      <c r="N72" s="564">
        <v>70</v>
      </c>
      <c r="O72" s="564">
        <v>146</v>
      </c>
      <c r="P72" s="564">
        <v>175</v>
      </c>
      <c r="Q72" s="564">
        <v>117</v>
      </c>
      <c r="R72" s="564">
        <v>112</v>
      </c>
      <c r="S72" s="564">
        <v>0</v>
      </c>
      <c r="T72" s="564">
        <v>106</v>
      </c>
      <c r="U72" s="564">
        <v>80</v>
      </c>
      <c r="V72" s="564">
        <v>125</v>
      </c>
      <c r="W72" s="564">
        <v>122</v>
      </c>
      <c r="X72" s="564">
        <v>103</v>
      </c>
      <c r="Y72" s="564">
        <v>178</v>
      </c>
      <c r="Z72" s="564">
        <v>81</v>
      </c>
      <c r="AA72" s="564">
        <v>97</v>
      </c>
      <c r="AB72" s="564">
        <v>63</v>
      </c>
      <c r="AC72" s="564">
        <v>110</v>
      </c>
      <c r="AD72" s="564">
        <v>89</v>
      </c>
      <c r="AE72" s="564">
        <v>84</v>
      </c>
      <c r="AF72" s="564">
        <v>94</v>
      </c>
      <c r="AG72" s="564">
        <v>123</v>
      </c>
      <c r="AH72" s="564">
        <v>105</v>
      </c>
      <c r="AI72" s="565">
        <f t="shared" si="2"/>
        <v>3194</v>
      </c>
      <c r="AJ72" s="566">
        <f t="shared" si="7"/>
        <v>40.312390512695202</v>
      </c>
      <c r="AK72" s="571">
        <f t="shared" si="3"/>
        <v>1287.5777529754848</v>
      </c>
      <c r="AL72" s="826">
        <f t="shared" si="4"/>
        <v>3194</v>
      </c>
      <c r="AM72" s="827">
        <f t="shared" si="8"/>
        <v>3.9348777821989631</v>
      </c>
      <c r="AN72" s="826">
        <f t="shared" si="5"/>
        <v>125.67999636343488</v>
      </c>
      <c r="AO72" s="826">
        <f t="shared" si="6"/>
        <v>1413.2577493389197</v>
      </c>
      <c r="AP72" s="570" t="s">
        <v>61</v>
      </c>
      <c r="AQ72" s="434"/>
      <c r="AR72" s="482"/>
      <c r="AS72" s="482"/>
      <c r="AT72" s="482"/>
    </row>
    <row r="73" spans="1:46" s="438" customFormat="1" ht="57" customHeight="1">
      <c r="A73" s="537">
        <v>63</v>
      </c>
      <c r="B73" s="537">
        <v>29</v>
      </c>
      <c r="C73" s="569" t="str">
        <f>+'Biểu 1 TH CÔNG'!C74</f>
        <v>Thảo Uổn</v>
      </c>
      <c r="D73" s="564">
        <v>58</v>
      </c>
      <c r="E73" s="564">
        <v>68</v>
      </c>
      <c r="F73" s="564">
        <v>90</v>
      </c>
      <c r="G73" s="564">
        <v>101</v>
      </c>
      <c r="H73" s="564">
        <v>161</v>
      </c>
      <c r="I73" s="564">
        <v>132</v>
      </c>
      <c r="J73" s="564">
        <v>91</v>
      </c>
      <c r="K73" s="564">
        <v>117</v>
      </c>
      <c r="L73" s="564">
        <v>107</v>
      </c>
      <c r="M73" s="564">
        <v>90</v>
      </c>
      <c r="N73" s="564">
        <v>70</v>
      </c>
      <c r="O73" s="564">
        <v>146</v>
      </c>
      <c r="P73" s="564">
        <v>175</v>
      </c>
      <c r="Q73" s="564">
        <v>117</v>
      </c>
      <c r="R73" s="564">
        <v>112</v>
      </c>
      <c r="S73" s="564">
        <v>61</v>
      </c>
      <c r="T73" s="564">
        <v>106</v>
      </c>
      <c r="U73" s="564">
        <v>81</v>
      </c>
      <c r="V73" s="564">
        <v>126</v>
      </c>
      <c r="W73" s="564">
        <v>122</v>
      </c>
      <c r="X73" s="564">
        <v>103</v>
      </c>
      <c r="Y73" s="564">
        <v>177</v>
      </c>
      <c r="Z73" s="564">
        <v>81</v>
      </c>
      <c r="AA73" s="564">
        <v>98</v>
      </c>
      <c r="AB73" s="564">
        <v>63</v>
      </c>
      <c r="AC73" s="564">
        <v>110</v>
      </c>
      <c r="AD73" s="564">
        <v>89</v>
      </c>
      <c r="AE73" s="564">
        <v>84</v>
      </c>
      <c r="AF73" s="564">
        <v>94</v>
      </c>
      <c r="AG73" s="564">
        <v>123</v>
      </c>
      <c r="AH73" s="564">
        <v>105</v>
      </c>
      <c r="AI73" s="565">
        <f t="shared" si="2"/>
        <v>3258</v>
      </c>
      <c r="AJ73" s="566">
        <f t="shared" si="7"/>
        <v>40.312390512695202</v>
      </c>
      <c r="AK73" s="571">
        <f t="shared" si="3"/>
        <v>1313.3776829036099</v>
      </c>
      <c r="AL73" s="826">
        <f t="shared" si="4"/>
        <v>3258</v>
      </c>
      <c r="AM73" s="827">
        <f t="shared" si="8"/>
        <v>3.9348777821989631</v>
      </c>
      <c r="AN73" s="826">
        <f t="shared" si="5"/>
        <v>128.19831814404222</v>
      </c>
      <c r="AO73" s="826">
        <f t="shared" si="6"/>
        <v>1441.576001047652</v>
      </c>
      <c r="AP73" s="570" t="s">
        <v>61</v>
      </c>
      <c r="AQ73" s="434"/>
      <c r="AR73" s="482"/>
      <c r="AS73" s="482"/>
      <c r="AT73" s="482"/>
    </row>
    <row r="74" spans="1:46" s="438" customFormat="1" ht="57" customHeight="1">
      <c r="A74" s="537">
        <v>64</v>
      </c>
      <c r="B74" s="537">
        <v>30</v>
      </c>
      <c r="C74" s="569" t="str">
        <f>+'Biểu 1 TH CÔNG'!C75</f>
        <v>Nàng Văn</v>
      </c>
      <c r="D74" s="564">
        <v>58</v>
      </c>
      <c r="E74" s="564">
        <v>69</v>
      </c>
      <c r="F74" s="564">
        <v>90</v>
      </c>
      <c r="G74" s="564">
        <v>101</v>
      </c>
      <c r="H74" s="564">
        <v>161</v>
      </c>
      <c r="I74" s="564">
        <v>133</v>
      </c>
      <c r="J74" s="564">
        <v>91</v>
      </c>
      <c r="K74" s="564">
        <v>117</v>
      </c>
      <c r="L74" s="564">
        <v>107</v>
      </c>
      <c r="M74" s="564">
        <v>91</v>
      </c>
      <c r="N74" s="564">
        <v>70</v>
      </c>
      <c r="O74" s="564">
        <v>146</v>
      </c>
      <c r="P74" s="564">
        <v>175</v>
      </c>
      <c r="Q74" s="564">
        <v>117</v>
      </c>
      <c r="R74" s="564">
        <v>112</v>
      </c>
      <c r="S74" s="564">
        <v>61</v>
      </c>
      <c r="T74" s="564">
        <v>106</v>
      </c>
      <c r="U74" s="564">
        <v>81</v>
      </c>
      <c r="V74" s="564">
        <v>126</v>
      </c>
      <c r="W74" s="564">
        <v>122</v>
      </c>
      <c r="X74" s="564">
        <v>103</v>
      </c>
      <c r="Y74" s="564">
        <v>177</v>
      </c>
      <c r="Z74" s="564">
        <v>80</v>
      </c>
      <c r="AA74" s="564">
        <v>98</v>
      </c>
      <c r="AB74" s="564">
        <v>63</v>
      </c>
      <c r="AC74" s="564">
        <v>109</v>
      </c>
      <c r="AD74" s="564">
        <v>89</v>
      </c>
      <c r="AE74" s="564">
        <v>84</v>
      </c>
      <c r="AF74" s="564">
        <v>94</v>
      </c>
      <c r="AG74" s="564">
        <v>122</v>
      </c>
      <c r="AH74" s="564">
        <v>105</v>
      </c>
      <c r="AI74" s="565">
        <f t="shared" si="2"/>
        <v>3258</v>
      </c>
      <c r="AJ74" s="566">
        <f t="shared" si="7"/>
        <v>40.312390512695202</v>
      </c>
      <c r="AK74" s="571">
        <f t="shared" si="3"/>
        <v>1313.3776829036099</v>
      </c>
      <c r="AL74" s="826">
        <f t="shared" si="4"/>
        <v>3258</v>
      </c>
      <c r="AM74" s="827">
        <f t="shared" si="8"/>
        <v>3.9348777821989631</v>
      </c>
      <c r="AN74" s="826">
        <f t="shared" si="5"/>
        <v>128.19831814404222</v>
      </c>
      <c r="AO74" s="826">
        <f t="shared" si="6"/>
        <v>1441.576001047652</v>
      </c>
      <c r="AP74" s="570" t="s">
        <v>63</v>
      </c>
      <c r="AQ74" s="434"/>
      <c r="AR74" s="482"/>
      <c r="AS74" s="482"/>
      <c r="AT74" s="482"/>
    </row>
    <row r="75" spans="1:46" s="438" customFormat="1" ht="57" customHeight="1">
      <c r="A75" s="537">
        <v>65</v>
      </c>
      <c r="B75" s="537">
        <v>31</v>
      </c>
      <c r="C75" s="569" t="str">
        <f>+'Biểu 1 TH CÔNG'!C76</f>
        <v>Thảo Chòi</v>
      </c>
      <c r="D75" s="564">
        <v>0</v>
      </c>
      <c r="E75" s="564">
        <v>69</v>
      </c>
      <c r="F75" s="564">
        <v>90</v>
      </c>
      <c r="G75" s="564">
        <v>101</v>
      </c>
      <c r="H75" s="564">
        <v>161</v>
      </c>
      <c r="I75" s="564">
        <v>133</v>
      </c>
      <c r="J75" s="564">
        <v>91</v>
      </c>
      <c r="K75" s="564">
        <v>117</v>
      </c>
      <c r="L75" s="564">
        <v>107</v>
      </c>
      <c r="M75" s="564">
        <v>91</v>
      </c>
      <c r="N75" s="564">
        <v>70</v>
      </c>
      <c r="O75" s="564">
        <v>150</v>
      </c>
      <c r="P75" s="564">
        <v>176</v>
      </c>
      <c r="Q75" s="564">
        <v>119</v>
      </c>
      <c r="R75" s="564">
        <v>116</v>
      </c>
      <c r="S75" s="564">
        <v>61</v>
      </c>
      <c r="T75" s="564">
        <v>107</v>
      </c>
      <c r="U75" s="564">
        <v>81</v>
      </c>
      <c r="V75" s="564">
        <v>126</v>
      </c>
      <c r="W75" s="564">
        <v>122</v>
      </c>
      <c r="X75" s="564">
        <v>103</v>
      </c>
      <c r="Y75" s="564">
        <v>177</v>
      </c>
      <c r="Z75" s="564">
        <v>81</v>
      </c>
      <c r="AA75" s="564">
        <v>98</v>
      </c>
      <c r="AB75" s="564">
        <v>63</v>
      </c>
      <c r="AC75" s="564">
        <v>109</v>
      </c>
      <c r="AD75" s="564">
        <v>89</v>
      </c>
      <c r="AE75" s="564">
        <v>85</v>
      </c>
      <c r="AF75" s="564">
        <v>94</v>
      </c>
      <c r="AG75" s="564">
        <v>123</v>
      </c>
      <c r="AH75" s="564">
        <v>105</v>
      </c>
      <c r="AI75" s="565">
        <f t="shared" si="2"/>
        <v>3215</v>
      </c>
      <c r="AJ75" s="566">
        <f t="shared" ref="AJ75:AJ87" si="9">$AU$11</f>
        <v>40.312390512695202</v>
      </c>
      <c r="AK75" s="571">
        <f t="shared" si="3"/>
        <v>1296.0433549831507</v>
      </c>
      <c r="AL75" s="826">
        <f t="shared" si="4"/>
        <v>3215</v>
      </c>
      <c r="AM75" s="827">
        <f t="shared" ref="AM75:AM87" si="10">$AV$11</f>
        <v>3.9348777821989631</v>
      </c>
      <c r="AN75" s="826">
        <f t="shared" si="5"/>
        <v>126.50632069769667</v>
      </c>
      <c r="AO75" s="826">
        <f t="shared" si="6"/>
        <v>1422.5496756808475</v>
      </c>
      <c r="AP75" s="570" t="s">
        <v>63</v>
      </c>
      <c r="AQ75" s="434"/>
      <c r="AR75" s="482"/>
      <c r="AS75" s="482"/>
      <c r="AT75" s="482"/>
    </row>
    <row r="76" spans="1:46" s="438" customFormat="1" ht="57" customHeight="1">
      <c r="A76" s="537">
        <v>66</v>
      </c>
      <c r="B76" s="537">
        <v>32</v>
      </c>
      <c r="C76" s="569" t="str">
        <f>+'Biểu 1 TH CÔNG'!C77</f>
        <v>Thảo Chanh</v>
      </c>
      <c r="D76" s="564">
        <v>0</v>
      </c>
      <c r="E76" s="564">
        <v>129</v>
      </c>
      <c r="F76" s="564">
        <v>66</v>
      </c>
      <c r="G76" s="564">
        <v>100</v>
      </c>
      <c r="H76" s="564">
        <v>73</v>
      </c>
      <c r="I76" s="564">
        <v>141</v>
      </c>
      <c r="J76" s="564">
        <v>63</v>
      </c>
      <c r="K76" s="564">
        <v>120</v>
      </c>
      <c r="L76" s="564">
        <v>87</v>
      </c>
      <c r="M76" s="564">
        <v>118</v>
      </c>
      <c r="N76" s="564">
        <v>65</v>
      </c>
      <c r="O76" s="564">
        <v>120</v>
      </c>
      <c r="P76" s="564">
        <v>167</v>
      </c>
      <c r="Q76" s="564">
        <v>57</v>
      </c>
      <c r="R76" s="564">
        <v>90</v>
      </c>
      <c r="S76" s="564">
        <v>41</v>
      </c>
      <c r="T76" s="564">
        <v>98</v>
      </c>
      <c r="U76" s="564">
        <v>61</v>
      </c>
      <c r="V76" s="564">
        <v>142</v>
      </c>
      <c r="W76" s="564">
        <v>121</v>
      </c>
      <c r="X76" s="564">
        <v>105</v>
      </c>
      <c r="Y76" s="564">
        <v>129</v>
      </c>
      <c r="Z76" s="564">
        <v>44</v>
      </c>
      <c r="AA76" s="564">
        <v>92</v>
      </c>
      <c r="AB76" s="564">
        <v>97</v>
      </c>
      <c r="AC76" s="564">
        <v>91</v>
      </c>
      <c r="AD76" s="564">
        <v>90</v>
      </c>
      <c r="AE76" s="564">
        <v>101</v>
      </c>
      <c r="AF76" s="564">
        <v>51</v>
      </c>
      <c r="AG76" s="564">
        <v>120</v>
      </c>
      <c r="AH76" s="564">
        <v>80</v>
      </c>
      <c r="AI76" s="565">
        <f t="shared" ref="AI76:AI87" si="11">SUM(D76:AH76)</f>
        <v>2859</v>
      </c>
      <c r="AJ76" s="566">
        <f t="shared" si="9"/>
        <v>40.312390512695202</v>
      </c>
      <c r="AK76" s="571">
        <f t="shared" ref="AK76:AK87" si="12">+AI76*$AU$11/100</f>
        <v>1152.5312447579558</v>
      </c>
      <c r="AL76" s="826">
        <f t="shared" ref="AL76:AL87" si="13">+AI76</f>
        <v>2859</v>
      </c>
      <c r="AM76" s="827">
        <f t="shared" si="10"/>
        <v>3.9348777821989631</v>
      </c>
      <c r="AN76" s="826">
        <f t="shared" ref="AN76:AN87" si="14">+AL76*$AV$11/100</f>
        <v>112.49815579306836</v>
      </c>
      <c r="AO76" s="826">
        <f t="shared" ref="AO76:AO87" si="15">+AK76+AN76</f>
        <v>1265.0294005510243</v>
      </c>
      <c r="AP76" s="570" t="s">
        <v>63</v>
      </c>
      <c r="AQ76" s="434"/>
      <c r="AR76" s="482"/>
      <c r="AS76" s="482"/>
      <c r="AT76" s="482"/>
    </row>
    <row r="77" spans="1:46" s="438" customFormat="1" ht="57" customHeight="1">
      <c r="A77" s="537">
        <v>67</v>
      </c>
      <c r="B77" s="537">
        <v>33</v>
      </c>
      <c r="C77" s="569" t="str">
        <f>+'Biểu 1 TH CÔNG'!C78</f>
        <v>Thảo Sa</v>
      </c>
      <c r="D77" s="564">
        <v>0</v>
      </c>
      <c r="E77" s="564">
        <v>128</v>
      </c>
      <c r="F77" s="564">
        <v>66</v>
      </c>
      <c r="G77" s="564">
        <v>100</v>
      </c>
      <c r="H77" s="564">
        <v>73</v>
      </c>
      <c r="I77" s="564">
        <v>142</v>
      </c>
      <c r="J77" s="564">
        <v>63</v>
      </c>
      <c r="K77" s="564">
        <v>120</v>
      </c>
      <c r="L77" s="564">
        <v>87</v>
      </c>
      <c r="M77" s="564">
        <v>118</v>
      </c>
      <c r="N77" s="564">
        <v>66</v>
      </c>
      <c r="O77" s="564">
        <v>120</v>
      </c>
      <c r="P77" s="564">
        <v>168</v>
      </c>
      <c r="Q77" s="564">
        <v>58</v>
      </c>
      <c r="R77" s="564">
        <v>91</v>
      </c>
      <c r="S77" s="564">
        <v>42</v>
      </c>
      <c r="T77" s="564">
        <v>98</v>
      </c>
      <c r="U77" s="564">
        <v>61</v>
      </c>
      <c r="V77" s="564">
        <v>142</v>
      </c>
      <c r="W77" s="564">
        <v>121</v>
      </c>
      <c r="X77" s="564">
        <v>105</v>
      </c>
      <c r="Y77" s="564">
        <v>65</v>
      </c>
      <c r="Z77" s="564">
        <v>45</v>
      </c>
      <c r="AA77" s="564">
        <v>93</v>
      </c>
      <c r="AB77" s="564">
        <v>97</v>
      </c>
      <c r="AC77" s="564">
        <v>92</v>
      </c>
      <c r="AD77" s="564">
        <v>90</v>
      </c>
      <c r="AE77" s="564">
        <v>100</v>
      </c>
      <c r="AF77" s="564">
        <v>50</v>
      </c>
      <c r="AG77" s="564">
        <v>119</v>
      </c>
      <c r="AH77" s="564">
        <v>79</v>
      </c>
      <c r="AI77" s="565">
        <f t="shared" si="11"/>
        <v>2799</v>
      </c>
      <c r="AJ77" s="566">
        <f t="shared" si="9"/>
        <v>40.312390512695202</v>
      </c>
      <c r="AK77" s="571">
        <f t="shared" si="12"/>
        <v>1128.3438104503389</v>
      </c>
      <c r="AL77" s="826">
        <f t="shared" si="13"/>
        <v>2799</v>
      </c>
      <c r="AM77" s="827">
        <f t="shared" si="10"/>
        <v>3.9348777821989631</v>
      </c>
      <c r="AN77" s="826">
        <f t="shared" si="14"/>
        <v>110.13722912374898</v>
      </c>
      <c r="AO77" s="826">
        <f t="shared" si="15"/>
        <v>1238.4810395740878</v>
      </c>
      <c r="AP77" s="570" t="s">
        <v>61</v>
      </c>
      <c r="AQ77" s="434"/>
      <c r="AR77" s="482"/>
      <c r="AS77" s="482"/>
      <c r="AT77" s="482"/>
    </row>
    <row r="78" spans="1:46" s="438" customFormat="1" ht="57" customHeight="1">
      <c r="A78" s="537">
        <v>68</v>
      </c>
      <c r="B78" s="537">
        <v>34</v>
      </c>
      <c r="C78" s="569" t="str">
        <f>+'Biểu 1 TH CÔNG'!C79</f>
        <v>Nàng Phôn</v>
      </c>
      <c r="D78" s="564">
        <v>72</v>
      </c>
      <c r="E78" s="564">
        <v>82</v>
      </c>
      <c r="F78" s="564">
        <v>104</v>
      </c>
      <c r="G78" s="564">
        <v>142</v>
      </c>
      <c r="H78" s="564">
        <v>67</v>
      </c>
      <c r="I78" s="564">
        <v>78</v>
      </c>
      <c r="J78" s="564">
        <v>66</v>
      </c>
      <c r="K78" s="564">
        <v>0</v>
      </c>
      <c r="L78" s="564">
        <v>131</v>
      </c>
      <c r="M78" s="564">
        <v>77</v>
      </c>
      <c r="N78" s="564">
        <v>62</v>
      </c>
      <c r="O78" s="564">
        <v>141</v>
      </c>
      <c r="P78" s="564">
        <v>170</v>
      </c>
      <c r="Q78" s="564">
        <v>98</v>
      </c>
      <c r="R78" s="564">
        <v>130</v>
      </c>
      <c r="S78" s="564">
        <v>62</v>
      </c>
      <c r="T78" s="564">
        <v>53</v>
      </c>
      <c r="U78" s="564">
        <v>88</v>
      </c>
      <c r="V78" s="564">
        <v>152</v>
      </c>
      <c r="W78" s="564">
        <v>50</v>
      </c>
      <c r="X78" s="564">
        <v>71</v>
      </c>
      <c r="Y78" s="564">
        <v>61</v>
      </c>
      <c r="Z78" s="564">
        <v>75</v>
      </c>
      <c r="AA78" s="564">
        <v>50</v>
      </c>
      <c r="AB78" s="564">
        <v>61</v>
      </c>
      <c r="AC78" s="564">
        <v>133</v>
      </c>
      <c r="AD78" s="564">
        <v>77</v>
      </c>
      <c r="AE78" s="564">
        <v>71</v>
      </c>
      <c r="AF78" s="564">
        <v>76</v>
      </c>
      <c r="AG78" s="564">
        <v>73</v>
      </c>
      <c r="AH78" s="564">
        <v>66</v>
      </c>
      <c r="AI78" s="565">
        <f t="shared" si="11"/>
        <v>2639</v>
      </c>
      <c r="AJ78" s="566">
        <f t="shared" si="9"/>
        <v>40.312390512695202</v>
      </c>
      <c r="AK78" s="571">
        <f t="shared" si="12"/>
        <v>1063.8439856300265</v>
      </c>
      <c r="AL78" s="826">
        <f t="shared" si="13"/>
        <v>2639</v>
      </c>
      <c r="AM78" s="827">
        <f t="shared" si="10"/>
        <v>3.9348777821989631</v>
      </c>
      <c r="AN78" s="826">
        <f t="shared" si="14"/>
        <v>103.84142467223064</v>
      </c>
      <c r="AO78" s="826">
        <f t="shared" si="15"/>
        <v>1167.6854103022572</v>
      </c>
      <c r="AP78" s="570" t="s">
        <v>61</v>
      </c>
      <c r="AQ78" s="434"/>
      <c r="AR78" s="482"/>
      <c r="AS78" s="482"/>
      <c r="AT78" s="482"/>
    </row>
    <row r="79" spans="1:46" s="438" customFormat="1" ht="57" customHeight="1">
      <c r="A79" s="537">
        <v>69</v>
      </c>
      <c r="B79" s="537">
        <v>35</v>
      </c>
      <c r="C79" s="569" t="str">
        <f>+'Biểu 1 TH CÔNG'!C80</f>
        <v>Thảo Mon</v>
      </c>
      <c r="D79" s="564">
        <v>72</v>
      </c>
      <c r="E79" s="564">
        <v>82</v>
      </c>
      <c r="F79" s="564">
        <v>104</v>
      </c>
      <c r="G79" s="564">
        <v>142</v>
      </c>
      <c r="H79" s="564">
        <v>67</v>
      </c>
      <c r="I79" s="564">
        <v>78</v>
      </c>
      <c r="J79" s="564">
        <v>66</v>
      </c>
      <c r="K79" s="564">
        <v>0</v>
      </c>
      <c r="L79" s="564">
        <v>131</v>
      </c>
      <c r="M79" s="564">
        <v>77</v>
      </c>
      <c r="N79" s="564">
        <v>63</v>
      </c>
      <c r="O79" s="564">
        <v>141</v>
      </c>
      <c r="P79" s="564">
        <v>171</v>
      </c>
      <c r="Q79" s="564">
        <v>98</v>
      </c>
      <c r="R79" s="564">
        <v>131</v>
      </c>
      <c r="S79" s="564">
        <v>0</v>
      </c>
      <c r="T79" s="564">
        <v>53</v>
      </c>
      <c r="U79" s="564">
        <v>88</v>
      </c>
      <c r="V79" s="564">
        <v>152</v>
      </c>
      <c r="W79" s="564">
        <v>50</v>
      </c>
      <c r="X79" s="564">
        <v>71</v>
      </c>
      <c r="Y79" s="564">
        <v>61</v>
      </c>
      <c r="Z79" s="564">
        <v>75</v>
      </c>
      <c r="AA79" s="564">
        <v>50</v>
      </c>
      <c r="AB79" s="564">
        <v>61</v>
      </c>
      <c r="AC79" s="564">
        <v>133</v>
      </c>
      <c r="AD79" s="564">
        <v>77</v>
      </c>
      <c r="AE79" s="564">
        <v>71</v>
      </c>
      <c r="AF79" s="564">
        <v>76</v>
      </c>
      <c r="AG79" s="564">
        <v>74</v>
      </c>
      <c r="AH79" s="564">
        <v>65</v>
      </c>
      <c r="AI79" s="565">
        <f t="shared" si="11"/>
        <v>2580</v>
      </c>
      <c r="AJ79" s="566">
        <f t="shared" si="9"/>
        <v>40.312390512695202</v>
      </c>
      <c r="AK79" s="571">
        <f t="shared" si="12"/>
        <v>1040.0596752275362</v>
      </c>
      <c r="AL79" s="826">
        <f t="shared" si="13"/>
        <v>2580</v>
      </c>
      <c r="AM79" s="827">
        <f t="shared" si="10"/>
        <v>3.9348777821989631</v>
      </c>
      <c r="AN79" s="826">
        <f t="shared" si="14"/>
        <v>101.51984678073325</v>
      </c>
      <c r="AO79" s="826">
        <f t="shared" si="15"/>
        <v>1141.5795220082696</v>
      </c>
      <c r="AP79" s="570" t="s">
        <v>63</v>
      </c>
      <c r="AQ79" s="434"/>
      <c r="AR79" s="482"/>
      <c r="AS79" s="482"/>
      <c r="AT79" s="482"/>
    </row>
    <row r="80" spans="1:46" s="438" customFormat="1" ht="57" customHeight="1">
      <c r="A80" s="537">
        <v>70</v>
      </c>
      <c r="B80" s="537">
        <v>36</v>
      </c>
      <c r="C80" s="569" t="str">
        <f>+'Biểu 1 TH CÔNG'!C81</f>
        <v>Thảo Vông Xay</v>
      </c>
      <c r="D80" s="564">
        <v>81</v>
      </c>
      <c r="E80" s="564">
        <v>88</v>
      </c>
      <c r="F80" s="564">
        <v>113</v>
      </c>
      <c r="G80" s="564">
        <v>93</v>
      </c>
      <c r="H80" s="564">
        <v>75</v>
      </c>
      <c r="I80" s="564">
        <v>62</v>
      </c>
      <c r="J80" s="564">
        <v>62</v>
      </c>
      <c r="K80" s="564">
        <v>86</v>
      </c>
      <c r="L80" s="564">
        <v>62</v>
      </c>
      <c r="M80" s="564">
        <v>82</v>
      </c>
      <c r="N80" s="564">
        <v>75</v>
      </c>
      <c r="O80" s="564">
        <v>105</v>
      </c>
      <c r="P80" s="564">
        <v>152</v>
      </c>
      <c r="Q80" s="564">
        <v>47</v>
      </c>
      <c r="R80" s="564">
        <v>73</v>
      </c>
      <c r="S80" s="564">
        <v>0</v>
      </c>
      <c r="T80" s="564">
        <v>52</v>
      </c>
      <c r="U80" s="564">
        <v>42</v>
      </c>
      <c r="V80" s="564">
        <v>0</v>
      </c>
      <c r="W80" s="564">
        <v>0</v>
      </c>
      <c r="X80" s="564">
        <v>0</v>
      </c>
      <c r="Y80" s="564">
        <v>0</v>
      </c>
      <c r="Z80" s="564">
        <v>0</v>
      </c>
      <c r="AA80" s="564">
        <v>67</v>
      </c>
      <c r="AB80" s="564">
        <v>46</v>
      </c>
      <c r="AC80" s="564">
        <v>61</v>
      </c>
      <c r="AD80" s="564">
        <v>51</v>
      </c>
      <c r="AE80" s="564">
        <v>44</v>
      </c>
      <c r="AF80" s="564">
        <v>50</v>
      </c>
      <c r="AG80" s="564">
        <v>65</v>
      </c>
      <c r="AH80" s="564">
        <v>0</v>
      </c>
      <c r="AI80" s="565">
        <f t="shared" si="11"/>
        <v>1734</v>
      </c>
      <c r="AJ80" s="566">
        <f t="shared" si="9"/>
        <v>40.312390512695202</v>
      </c>
      <c r="AK80" s="571">
        <f t="shared" si="12"/>
        <v>699.01685149013485</v>
      </c>
      <c r="AL80" s="826">
        <f t="shared" si="13"/>
        <v>1734</v>
      </c>
      <c r="AM80" s="827">
        <f t="shared" si="10"/>
        <v>3.9348777821989631</v>
      </c>
      <c r="AN80" s="826">
        <f t="shared" si="14"/>
        <v>68.23078074333003</v>
      </c>
      <c r="AO80" s="826">
        <f t="shared" si="15"/>
        <v>767.24763223346486</v>
      </c>
      <c r="AP80" s="570" t="s">
        <v>61</v>
      </c>
      <c r="AQ80" s="434"/>
      <c r="AR80" s="482"/>
      <c r="AS80" s="482"/>
      <c r="AT80" s="482"/>
    </row>
    <row r="81" spans="1:50" s="438" customFormat="1" ht="57" customHeight="1">
      <c r="A81" s="537">
        <v>71</v>
      </c>
      <c r="B81" s="537">
        <v>37</v>
      </c>
      <c r="C81" s="569" t="str">
        <f>+'Biểu 1 TH CÔNG'!C82</f>
        <v>Nàng Lun</v>
      </c>
      <c r="D81" s="564">
        <v>82</v>
      </c>
      <c r="E81" s="564">
        <v>88</v>
      </c>
      <c r="F81" s="564">
        <v>113</v>
      </c>
      <c r="G81" s="564">
        <v>93</v>
      </c>
      <c r="H81" s="564">
        <v>75</v>
      </c>
      <c r="I81" s="564">
        <v>62</v>
      </c>
      <c r="J81" s="564">
        <v>62</v>
      </c>
      <c r="K81" s="564">
        <v>86</v>
      </c>
      <c r="L81" s="564">
        <v>62</v>
      </c>
      <c r="M81" s="564">
        <v>82</v>
      </c>
      <c r="N81" s="564">
        <v>75</v>
      </c>
      <c r="O81" s="564">
        <v>105</v>
      </c>
      <c r="P81" s="564">
        <v>156</v>
      </c>
      <c r="Q81" s="564">
        <v>49</v>
      </c>
      <c r="R81" s="564">
        <v>73</v>
      </c>
      <c r="S81" s="564">
        <v>0</v>
      </c>
      <c r="T81" s="564">
        <v>53</v>
      </c>
      <c r="U81" s="564">
        <v>42</v>
      </c>
      <c r="V81" s="564">
        <v>0</v>
      </c>
      <c r="W81" s="564">
        <v>0</v>
      </c>
      <c r="X81" s="564">
        <v>0</v>
      </c>
      <c r="Y81" s="564">
        <v>0</v>
      </c>
      <c r="Z81" s="564">
        <v>0</v>
      </c>
      <c r="AA81" s="564">
        <v>68</v>
      </c>
      <c r="AB81" s="564">
        <v>46</v>
      </c>
      <c r="AC81" s="564">
        <v>61</v>
      </c>
      <c r="AD81" s="564">
        <v>51</v>
      </c>
      <c r="AE81" s="564">
        <v>44</v>
      </c>
      <c r="AF81" s="564">
        <v>42</v>
      </c>
      <c r="AG81" s="564">
        <v>65</v>
      </c>
      <c r="AH81" s="564">
        <v>0</v>
      </c>
      <c r="AI81" s="565">
        <f t="shared" si="11"/>
        <v>1735</v>
      </c>
      <c r="AJ81" s="566">
        <f t="shared" si="9"/>
        <v>40.312390512695202</v>
      </c>
      <c r="AK81" s="571">
        <f t="shared" si="12"/>
        <v>699.41997539526176</v>
      </c>
      <c r="AL81" s="826">
        <f t="shared" si="13"/>
        <v>1735</v>
      </c>
      <c r="AM81" s="827">
        <f t="shared" si="10"/>
        <v>3.9348777821989631</v>
      </c>
      <c r="AN81" s="826">
        <f t="shared" si="14"/>
        <v>68.270129521152015</v>
      </c>
      <c r="AO81" s="826">
        <f t="shared" si="15"/>
        <v>767.69010491641382</v>
      </c>
      <c r="AP81" s="570" t="s">
        <v>63</v>
      </c>
      <c r="AQ81" s="434"/>
      <c r="AR81" s="482"/>
      <c r="AS81" s="482"/>
      <c r="AT81" s="482"/>
    </row>
    <row r="82" spans="1:50" s="438" customFormat="1" ht="57" customHeight="1">
      <c r="A82" s="537">
        <v>72</v>
      </c>
      <c r="B82" s="537">
        <v>38</v>
      </c>
      <c r="C82" s="569" t="str">
        <f>+'Biểu 1 TH CÔNG'!C83</f>
        <v>Thảo Vong</v>
      </c>
      <c r="D82" s="564">
        <v>56</v>
      </c>
      <c r="E82" s="564">
        <v>76</v>
      </c>
      <c r="F82" s="564">
        <v>79</v>
      </c>
      <c r="G82" s="564">
        <v>75</v>
      </c>
      <c r="H82" s="564">
        <v>109</v>
      </c>
      <c r="I82" s="564">
        <v>70</v>
      </c>
      <c r="J82" s="564">
        <v>113</v>
      </c>
      <c r="K82" s="564">
        <v>93</v>
      </c>
      <c r="L82" s="564">
        <v>85</v>
      </c>
      <c r="M82" s="564">
        <v>76</v>
      </c>
      <c r="N82" s="564">
        <v>89</v>
      </c>
      <c r="O82" s="564">
        <v>127</v>
      </c>
      <c r="P82" s="564">
        <v>142</v>
      </c>
      <c r="Q82" s="564">
        <v>107</v>
      </c>
      <c r="R82" s="564">
        <v>57</v>
      </c>
      <c r="S82" s="564">
        <v>54</v>
      </c>
      <c r="T82" s="564">
        <v>77</v>
      </c>
      <c r="U82" s="564">
        <v>148</v>
      </c>
      <c r="V82" s="564">
        <v>116</v>
      </c>
      <c r="W82" s="564">
        <v>116</v>
      </c>
      <c r="X82" s="564">
        <v>50</v>
      </c>
      <c r="Y82" s="564">
        <v>87</v>
      </c>
      <c r="Z82" s="564">
        <v>37</v>
      </c>
      <c r="AA82" s="564">
        <v>118</v>
      </c>
      <c r="AB82" s="564">
        <v>87</v>
      </c>
      <c r="AC82" s="564">
        <v>58</v>
      </c>
      <c r="AD82" s="564">
        <v>114</v>
      </c>
      <c r="AE82" s="564">
        <v>58</v>
      </c>
      <c r="AF82" s="564">
        <v>148</v>
      </c>
      <c r="AG82" s="564">
        <v>128</v>
      </c>
      <c r="AH82" s="564">
        <v>85</v>
      </c>
      <c r="AI82" s="565">
        <f t="shared" si="11"/>
        <v>2835</v>
      </c>
      <c r="AJ82" s="566">
        <f t="shared" si="9"/>
        <v>40.312390512695202</v>
      </c>
      <c r="AK82" s="571">
        <f t="shared" si="12"/>
        <v>1142.856271034909</v>
      </c>
      <c r="AL82" s="826">
        <f t="shared" si="13"/>
        <v>2835</v>
      </c>
      <c r="AM82" s="827">
        <f t="shared" si="10"/>
        <v>3.9348777821989631</v>
      </c>
      <c r="AN82" s="826">
        <f t="shared" si="14"/>
        <v>111.5537851253406</v>
      </c>
      <c r="AO82" s="826">
        <f t="shared" si="15"/>
        <v>1254.4100561602495</v>
      </c>
      <c r="AP82" s="570" t="s">
        <v>63</v>
      </c>
      <c r="AQ82" s="434"/>
      <c r="AR82" s="482"/>
      <c r="AS82" s="482"/>
      <c r="AT82" s="482"/>
    </row>
    <row r="83" spans="1:50" s="438" customFormat="1" ht="57" customHeight="1">
      <c r="A83" s="537">
        <v>73</v>
      </c>
      <c r="B83" s="537">
        <v>39</v>
      </c>
      <c r="C83" s="569" t="str">
        <f>+'Biểu 1 TH CÔNG'!C84</f>
        <v>Nàng Veng</v>
      </c>
      <c r="D83" s="564">
        <v>56</v>
      </c>
      <c r="E83" s="564">
        <v>76</v>
      </c>
      <c r="F83" s="564">
        <v>79</v>
      </c>
      <c r="G83" s="564">
        <v>75</v>
      </c>
      <c r="H83" s="564">
        <v>109</v>
      </c>
      <c r="I83" s="564">
        <v>70</v>
      </c>
      <c r="J83" s="564">
        <v>113</v>
      </c>
      <c r="K83" s="564">
        <v>93</v>
      </c>
      <c r="L83" s="564">
        <v>85</v>
      </c>
      <c r="M83" s="564">
        <v>76</v>
      </c>
      <c r="N83" s="564">
        <v>89</v>
      </c>
      <c r="O83" s="564">
        <v>127</v>
      </c>
      <c r="P83" s="564">
        <v>142</v>
      </c>
      <c r="Q83" s="564">
        <v>107</v>
      </c>
      <c r="R83" s="564">
        <v>59</v>
      </c>
      <c r="S83" s="564">
        <v>54</v>
      </c>
      <c r="T83" s="564">
        <v>78</v>
      </c>
      <c r="U83" s="564">
        <v>149</v>
      </c>
      <c r="V83" s="564">
        <v>117</v>
      </c>
      <c r="W83" s="564">
        <v>117</v>
      </c>
      <c r="X83" s="564">
        <v>50</v>
      </c>
      <c r="Y83" s="564">
        <v>88</v>
      </c>
      <c r="Z83" s="564">
        <v>37</v>
      </c>
      <c r="AA83" s="564">
        <v>118</v>
      </c>
      <c r="AB83" s="564">
        <v>87</v>
      </c>
      <c r="AC83" s="564">
        <v>58</v>
      </c>
      <c r="AD83" s="564">
        <v>114</v>
      </c>
      <c r="AE83" s="564">
        <v>58</v>
      </c>
      <c r="AF83" s="564">
        <v>148</v>
      </c>
      <c r="AG83" s="564">
        <v>129</v>
      </c>
      <c r="AH83" s="564">
        <v>85</v>
      </c>
      <c r="AI83" s="565">
        <f t="shared" si="11"/>
        <v>2843</v>
      </c>
      <c r="AJ83" s="566">
        <f t="shared" si="9"/>
        <v>40.312390512695202</v>
      </c>
      <c r="AK83" s="571">
        <f t="shared" si="12"/>
        <v>1146.0812622759247</v>
      </c>
      <c r="AL83" s="826">
        <f t="shared" si="13"/>
        <v>2843</v>
      </c>
      <c r="AM83" s="827">
        <f t="shared" si="10"/>
        <v>3.9348777821989631</v>
      </c>
      <c r="AN83" s="826">
        <f t="shared" si="14"/>
        <v>111.86857534791652</v>
      </c>
      <c r="AO83" s="826">
        <f t="shared" si="15"/>
        <v>1257.9498376238412</v>
      </c>
      <c r="AP83" s="570" t="s">
        <v>63</v>
      </c>
      <c r="AQ83" s="434"/>
      <c r="AR83" s="482"/>
      <c r="AS83" s="482"/>
      <c r="AT83" s="482"/>
    </row>
    <row r="84" spans="1:50" s="438" customFormat="1" ht="57" customHeight="1">
      <c r="A84" s="537">
        <v>74</v>
      </c>
      <c r="B84" s="537">
        <v>40</v>
      </c>
      <c r="C84" s="569" t="str">
        <f>+'Biểu 1 TH CÔNG'!C85</f>
        <v>Thảo Đuông Chăn</v>
      </c>
      <c r="D84" s="564">
        <v>0</v>
      </c>
      <c r="E84" s="564">
        <v>66</v>
      </c>
      <c r="F84" s="564">
        <v>49</v>
      </c>
      <c r="G84" s="564">
        <v>37</v>
      </c>
      <c r="H84" s="564">
        <v>71</v>
      </c>
      <c r="I84" s="564">
        <v>79</v>
      </c>
      <c r="J84" s="564">
        <v>0</v>
      </c>
      <c r="K84" s="564">
        <v>0</v>
      </c>
      <c r="L84" s="564">
        <v>0</v>
      </c>
      <c r="M84" s="564">
        <v>47</v>
      </c>
      <c r="N84" s="564">
        <v>0</v>
      </c>
      <c r="O84" s="564">
        <v>0</v>
      </c>
      <c r="P84" s="564">
        <v>154</v>
      </c>
      <c r="Q84" s="564">
        <v>0</v>
      </c>
      <c r="R84" s="564">
        <v>0</v>
      </c>
      <c r="S84" s="564">
        <v>0</v>
      </c>
      <c r="T84" s="564">
        <v>0</v>
      </c>
      <c r="U84" s="564">
        <v>0</v>
      </c>
      <c r="V84" s="564">
        <v>0</v>
      </c>
      <c r="W84" s="564">
        <v>0</v>
      </c>
      <c r="X84" s="564">
        <v>0</v>
      </c>
      <c r="Y84" s="564">
        <v>115</v>
      </c>
      <c r="Z84" s="564">
        <v>200</v>
      </c>
      <c r="AA84" s="564">
        <v>0</v>
      </c>
      <c r="AB84" s="564">
        <v>0</v>
      </c>
      <c r="AC84" s="564">
        <v>0</v>
      </c>
      <c r="AD84" s="564">
        <v>0</v>
      </c>
      <c r="AE84" s="564">
        <v>0</v>
      </c>
      <c r="AF84" s="564">
        <v>0</v>
      </c>
      <c r="AG84" s="564">
        <v>0</v>
      </c>
      <c r="AH84" s="564">
        <v>0</v>
      </c>
      <c r="AI84" s="565">
        <f t="shared" si="11"/>
        <v>818</v>
      </c>
      <c r="AJ84" s="566">
        <f t="shared" si="9"/>
        <v>40.312390512695202</v>
      </c>
      <c r="AK84" s="571">
        <f t="shared" si="12"/>
        <v>329.7553543938468</v>
      </c>
      <c r="AL84" s="826">
        <f t="shared" si="13"/>
        <v>818</v>
      </c>
      <c r="AM84" s="827">
        <f t="shared" si="10"/>
        <v>3.9348777821989631</v>
      </c>
      <c r="AN84" s="826">
        <f t="shared" si="14"/>
        <v>32.187300258387516</v>
      </c>
      <c r="AO84" s="826">
        <f t="shared" si="15"/>
        <v>361.9426546522343</v>
      </c>
      <c r="AP84" s="570" t="s">
        <v>61</v>
      </c>
      <c r="AQ84" s="434"/>
      <c r="AR84" s="482"/>
      <c r="AS84" s="482"/>
      <c r="AT84" s="482"/>
    </row>
    <row r="85" spans="1:50" s="438" customFormat="1" ht="57" customHeight="1">
      <c r="A85" s="537">
        <v>75</v>
      </c>
      <c r="B85" s="537">
        <v>41</v>
      </c>
      <c r="C85" s="569" t="str">
        <f>+'Biểu 1 TH CÔNG'!C86</f>
        <v>Nàng Peng</v>
      </c>
      <c r="D85" s="564">
        <v>0</v>
      </c>
      <c r="E85" s="564">
        <v>0</v>
      </c>
      <c r="F85" s="564">
        <v>49</v>
      </c>
      <c r="G85" s="564">
        <v>37</v>
      </c>
      <c r="H85" s="564">
        <v>72</v>
      </c>
      <c r="I85" s="564">
        <v>78</v>
      </c>
      <c r="J85" s="564">
        <v>0</v>
      </c>
      <c r="K85" s="564">
        <v>0</v>
      </c>
      <c r="L85" s="564">
        <v>41</v>
      </c>
      <c r="M85" s="564">
        <v>0</v>
      </c>
      <c r="N85" s="564">
        <v>47</v>
      </c>
      <c r="O85" s="564">
        <v>0</v>
      </c>
      <c r="P85" s="564">
        <v>154</v>
      </c>
      <c r="Q85" s="564">
        <v>0</v>
      </c>
      <c r="R85" s="564">
        <v>0</v>
      </c>
      <c r="S85" s="564">
        <v>0</v>
      </c>
      <c r="T85" s="564">
        <v>0</v>
      </c>
      <c r="U85" s="564">
        <v>0</v>
      </c>
      <c r="V85" s="564">
        <v>0</v>
      </c>
      <c r="W85" s="564">
        <v>0</v>
      </c>
      <c r="X85" s="564">
        <v>0</v>
      </c>
      <c r="Y85" s="564">
        <v>115</v>
      </c>
      <c r="Z85" s="564">
        <v>201</v>
      </c>
      <c r="AA85" s="564">
        <v>0</v>
      </c>
      <c r="AB85" s="564">
        <v>0</v>
      </c>
      <c r="AC85" s="564">
        <v>0</v>
      </c>
      <c r="AD85" s="564">
        <v>0</v>
      </c>
      <c r="AE85" s="564">
        <v>0</v>
      </c>
      <c r="AF85" s="564">
        <v>0</v>
      </c>
      <c r="AG85" s="564">
        <v>0</v>
      </c>
      <c r="AH85" s="564">
        <v>0</v>
      </c>
      <c r="AI85" s="565">
        <f t="shared" si="11"/>
        <v>794</v>
      </c>
      <c r="AJ85" s="566">
        <f t="shared" si="9"/>
        <v>40.312390512695202</v>
      </c>
      <c r="AK85" s="571">
        <f t="shared" si="12"/>
        <v>320.08038067079991</v>
      </c>
      <c r="AL85" s="826">
        <f t="shared" si="13"/>
        <v>794</v>
      </c>
      <c r="AM85" s="827">
        <f t="shared" si="10"/>
        <v>3.9348777821989631</v>
      </c>
      <c r="AN85" s="826">
        <f t="shared" si="14"/>
        <v>31.24292959065977</v>
      </c>
      <c r="AO85" s="826">
        <f t="shared" si="15"/>
        <v>351.32331026145971</v>
      </c>
      <c r="AP85" s="570" t="s">
        <v>62</v>
      </c>
      <c r="AQ85" s="434"/>
      <c r="AR85" s="482"/>
      <c r="AS85" s="1357" t="s">
        <v>438</v>
      </c>
      <c r="AT85" s="1358"/>
      <c r="AU85" s="436" t="s">
        <v>63</v>
      </c>
      <c r="AV85" s="434" t="s">
        <v>61</v>
      </c>
      <c r="AW85" s="434" t="s">
        <v>62</v>
      </c>
      <c r="AX85" s="435" t="s">
        <v>363</v>
      </c>
    </row>
    <row r="86" spans="1:50" s="438" customFormat="1" ht="57" customHeight="1">
      <c r="A86" s="537">
        <v>76</v>
      </c>
      <c r="B86" s="537">
        <v>42</v>
      </c>
      <c r="C86" s="569" t="str">
        <f>+'Biểu 1 TH CÔNG'!C87</f>
        <v>Thảo Xay Tho</v>
      </c>
      <c r="D86" s="564">
        <v>0</v>
      </c>
      <c r="E86" s="564">
        <v>0</v>
      </c>
      <c r="F86" s="564">
        <v>0</v>
      </c>
      <c r="G86" s="564">
        <v>0</v>
      </c>
      <c r="H86" s="564">
        <v>35</v>
      </c>
      <c r="I86" s="564">
        <v>84</v>
      </c>
      <c r="J86" s="564">
        <v>65</v>
      </c>
      <c r="K86" s="564">
        <v>103</v>
      </c>
      <c r="L86" s="564">
        <v>92</v>
      </c>
      <c r="M86" s="564">
        <v>106</v>
      </c>
      <c r="N86" s="564">
        <v>56</v>
      </c>
      <c r="O86" s="564">
        <v>144</v>
      </c>
      <c r="P86" s="564">
        <v>60</v>
      </c>
      <c r="Q86" s="564">
        <v>0</v>
      </c>
      <c r="R86" s="564">
        <v>157</v>
      </c>
      <c r="S86" s="564">
        <v>70</v>
      </c>
      <c r="T86" s="564">
        <v>116</v>
      </c>
      <c r="U86" s="564">
        <v>54</v>
      </c>
      <c r="V86" s="564">
        <v>96</v>
      </c>
      <c r="W86" s="564">
        <v>113</v>
      </c>
      <c r="X86" s="564">
        <v>124</v>
      </c>
      <c r="Y86" s="564">
        <v>130</v>
      </c>
      <c r="Z86" s="564">
        <v>0</v>
      </c>
      <c r="AA86" s="564">
        <v>103</v>
      </c>
      <c r="AB86" s="564">
        <v>47</v>
      </c>
      <c r="AC86" s="564">
        <v>88</v>
      </c>
      <c r="AD86" s="564">
        <v>102</v>
      </c>
      <c r="AE86" s="564">
        <v>0</v>
      </c>
      <c r="AF86" s="564">
        <v>105</v>
      </c>
      <c r="AG86" s="564">
        <v>65</v>
      </c>
      <c r="AH86" s="564">
        <v>172</v>
      </c>
      <c r="AI86" s="565">
        <f t="shared" si="11"/>
        <v>2287</v>
      </c>
      <c r="AJ86" s="566">
        <f t="shared" si="9"/>
        <v>40.312390512695202</v>
      </c>
      <c r="AK86" s="571">
        <f t="shared" si="12"/>
        <v>921.94437102533936</v>
      </c>
      <c r="AL86" s="826">
        <f t="shared" si="13"/>
        <v>2287</v>
      </c>
      <c r="AM86" s="827">
        <f t="shared" si="10"/>
        <v>3.9348777821989631</v>
      </c>
      <c r="AN86" s="826">
        <f t="shared" si="14"/>
        <v>89.990654878890297</v>
      </c>
      <c r="AO86" s="826">
        <f t="shared" si="15"/>
        <v>1011.9350259042296</v>
      </c>
      <c r="AP86" s="570" t="s">
        <v>63</v>
      </c>
      <c r="AQ86" s="434"/>
      <c r="AR86" s="482"/>
      <c r="AS86" s="436">
        <f>SUM(AI11:AI44)</f>
        <v>87726</v>
      </c>
      <c r="AT86" s="436" t="s">
        <v>394</v>
      </c>
      <c r="AU86" s="434">
        <f>+COUNTIF(AP11:AP44,"A")</f>
        <v>17</v>
      </c>
      <c r="AV86" s="434">
        <f>+COUNTIF(AP11:AP44,"B")</f>
        <v>16</v>
      </c>
      <c r="AW86" s="434">
        <f>+COUNTIF(AP11:AP44,"C")</f>
        <v>1</v>
      </c>
      <c r="AX86" s="443">
        <f>+AU86+AV86+AW86</f>
        <v>34</v>
      </c>
    </row>
    <row r="87" spans="1:50" s="438" customFormat="1" ht="57" customHeight="1">
      <c r="A87" s="537">
        <v>77</v>
      </c>
      <c r="B87" s="537">
        <v>43</v>
      </c>
      <c r="C87" s="569" t="str">
        <f>+'Biểu 1 TH CÔNG'!C88</f>
        <v>Nàng Xia Lô</v>
      </c>
      <c r="D87" s="567">
        <v>72</v>
      </c>
      <c r="E87" s="567">
        <v>49</v>
      </c>
      <c r="F87" s="564">
        <v>65</v>
      </c>
      <c r="G87" s="564">
        <v>112</v>
      </c>
      <c r="H87" s="564">
        <v>75</v>
      </c>
      <c r="I87" s="564">
        <v>71</v>
      </c>
      <c r="J87" s="564">
        <v>82</v>
      </c>
      <c r="K87" s="564">
        <v>120</v>
      </c>
      <c r="L87" s="564">
        <v>80</v>
      </c>
      <c r="M87" s="564">
        <v>60</v>
      </c>
      <c r="N87" s="564">
        <v>88</v>
      </c>
      <c r="O87" s="564">
        <v>154</v>
      </c>
      <c r="P87" s="564">
        <v>158</v>
      </c>
      <c r="Q87" s="564">
        <v>69</v>
      </c>
      <c r="R87" s="564">
        <v>130</v>
      </c>
      <c r="S87" s="564">
        <v>64</v>
      </c>
      <c r="T87" s="564">
        <v>78</v>
      </c>
      <c r="U87" s="564">
        <v>87</v>
      </c>
      <c r="V87" s="564">
        <v>122</v>
      </c>
      <c r="W87" s="564">
        <v>80</v>
      </c>
      <c r="X87" s="564">
        <v>52</v>
      </c>
      <c r="Y87" s="564">
        <v>153</v>
      </c>
      <c r="Z87" s="564">
        <v>131</v>
      </c>
      <c r="AA87" s="564">
        <v>52</v>
      </c>
      <c r="AB87" s="564">
        <v>76</v>
      </c>
      <c r="AC87" s="564">
        <v>99</v>
      </c>
      <c r="AD87" s="564">
        <v>83</v>
      </c>
      <c r="AE87" s="564">
        <v>40</v>
      </c>
      <c r="AF87" s="564">
        <v>71</v>
      </c>
      <c r="AG87" s="564">
        <v>115</v>
      </c>
      <c r="AH87" s="564">
        <v>66</v>
      </c>
      <c r="AI87" s="565">
        <f t="shared" si="11"/>
        <v>2754</v>
      </c>
      <c r="AJ87" s="566">
        <f t="shared" si="9"/>
        <v>40.312390512695202</v>
      </c>
      <c r="AK87" s="571">
        <f t="shared" si="12"/>
        <v>1110.2032347196259</v>
      </c>
      <c r="AL87" s="826">
        <f t="shared" si="13"/>
        <v>2754</v>
      </c>
      <c r="AM87" s="827">
        <f t="shared" si="10"/>
        <v>3.9348777821989631</v>
      </c>
      <c r="AN87" s="826">
        <f t="shared" si="14"/>
        <v>108.36653412175946</v>
      </c>
      <c r="AO87" s="826">
        <f t="shared" si="15"/>
        <v>1218.5697688413854</v>
      </c>
      <c r="AP87" s="570" t="s">
        <v>63</v>
      </c>
      <c r="AQ87" s="434"/>
      <c r="AR87" s="482"/>
      <c r="AS87" s="436">
        <f>+SUM(AI45:AI87)</f>
        <v>110813</v>
      </c>
      <c r="AT87" s="436" t="s">
        <v>393</v>
      </c>
      <c r="AU87" s="434">
        <f>+COUNTIF(AP45:AP87,"A")</f>
        <v>21</v>
      </c>
      <c r="AV87" s="434">
        <f>+COUNTIF(AP45:AP87,"B")</f>
        <v>21</v>
      </c>
      <c r="AW87" s="434">
        <f>+COUNTIF(AP45:AP87,"C")</f>
        <v>1</v>
      </c>
      <c r="AX87" s="443">
        <f>+AU87+AV87+AW87</f>
        <v>43</v>
      </c>
    </row>
    <row r="88" spans="1:50" s="447" customFormat="1" ht="57" customHeight="1">
      <c r="A88" s="1371" t="s">
        <v>32</v>
      </c>
      <c r="B88" s="1372"/>
      <c r="C88" s="1373"/>
      <c r="D88" s="568">
        <f t="shared" ref="D88:AI88" si="16">SUM(D11:D87)</f>
        <v>4476</v>
      </c>
      <c r="E88" s="568">
        <f t="shared" si="16"/>
        <v>4726</v>
      </c>
      <c r="F88" s="568">
        <f t="shared" si="16"/>
        <v>5803</v>
      </c>
      <c r="G88" s="568">
        <f t="shared" si="16"/>
        <v>7897</v>
      </c>
      <c r="H88" s="568">
        <f t="shared" si="16"/>
        <v>6577</v>
      </c>
      <c r="I88" s="568">
        <f t="shared" si="16"/>
        <v>6058</v>
      </c>
      <c r="J88" s="568">
        <f t="shared" si="16"/>
        <v>5980</v>
      </c>
      <c r="K88" s="568">
        <f t="shared" si="16"/>
        <v>7790</v>
      </c>
      <c r="L88" s="568">
        <f t="shared" si="16"/>
        <v>6435</v>
      </c>
      <c r="M88" s="568">
        <f t="shared" si="16"/>
        <v>6299</v>
      </c>
      <c r="N88" s="568">
        <f t="shared" si="16"/>
        <v>5053</v>
      </c>
      <c r="O88" s="568">
        <f t="shared" si="16"/>
        <v>9781</v>
      </c>
      <c r="P88" s="568">
        <f t="shared" si="16"/>
        <v>9984</v>
      </c>
      <c r="Q88" s="568">
        <f t="shared" si="16"/>
        <v>5573</v>
      </c>
      <c r="R88" s="568">
        <f t="shared" si="16"/>
        <v>7233</v>
      </c>
      <c r="S88" s="568">
        <f t="shared" si="16"/>
        <v>4819</v>
      </c>
      <c r="T88" s="568">
        <f t="shared" si="16"/>
        <v>6086</v>
      </c>
      <c r="U88" s="568">
        <f t="shared" si="16"/>
        <v>5899</v>
      </c>
      <c r="V88" s="568">
        <f t="shared" si="16"/>
        <v>6881</v>
      </c>
      <c r="W88" s="568">
        <f t="shared" si="16"/>
        <v>7286</v>
      </c>
      <c r="X88" s="568">
        <f t="shared" si="16"/>
        <v>5557</v>
      </c>
      <c r="Y88" s="568">
        <f t="shared" si="16"/>
        <v>7820</v>
      </c>
      <c r="Z88" s="568">
        <f t="shared" si="16"/>
        <v>4858</v>
      </c>
      <c r="AA88" s="568">
        <f t="shared" si="16"/>
        <v>6578</v>
      </c>
      <c r="AB88" s="568">
        <f t="shared" si="16"/>
        <v>5364</v>
      </c>
      <c r="AC88" s="568">
        <f t="shared" si="16"/>
        <v>5688</v>
      </c>
      <c r="AD88" s="568">
        <f t="shared" si="16"/>
        <v>5753</v>
      </c>
      <c r="AE88" s="568">
        <f t="shared" si="16"/>
        <v>6122</v>
      </c>
      <c r="AF88" s="568">
        <f t="shared" si="16"/>
        <v>6859</v>
      </c>
      <c r="AG88" s="568">
        <f t="shared" si="16"/>
        <v>6984</v>
      </c>
      <c r="AH88" s="568">
        <f t="shared" si="16"/>
        <v>6320</v>
      </c>
      <c r="AI88" s="568">
        <f t="shared" si="16"/>
        <v>198539</v>
      </c>
      <c r="AJ88" s="568"/>
      <c r="AK88" s="568">
        <f>SUM(AK11:AK87)</f>
        <v>80035.816999999894</v>
      </c>
      <c r="AL88" s="568">
        <f>SUM(AL11:AL87)</f>
        <v>198539</v>
      </c>
      <c r="AM88" s="568"/>
      <c r="AN88" s="568">
        <f>SUM(AN11:AN87)</f>
        <v>7812.2669999999989</v>
      </c>
      <c r="AO88" s="568">
        <f>SUM(AO11:AO87)</f>
        <v>87848.083999999959</v>
      </c>
      <c r="AP88" s="822"/>
      <c r="AQ88" s="446"/>
      <c r="AR88" s="703">
        <f>+AO88+'SẢN LƯỢNG  SERUM THÁNG 12'!AH14</f>
        <v>87943.056999999957</v>
      </c>
      <c r="AS88" s="436">
        <f>+AS87+AS86</f>
        <v>198539</v>
      </c>
      <c r="AT88" s="436" t="s">
        <v>395</v>
      </c>
      <c r="AU88" s="434">
        <f>+AU87+AU86</f>
        <v>38</v>
      </c>
      <c r="AV88" s="434">
        <f>+AV87+AV86</f>
        <v>37</v>
      </c>
      <c r="AW88" s="434">
        <f>+AW87+AW86</f>
        <v>2</v>
      </c>
      <c r="AX88" s="443">
        <f>+AX87+AX86</f>
        <v>77</v>
      </c>
    </row>
    <row r="89" spans="1:50" s="438" customFormat="1" ht="54" customHeight="1">
      <c r="A89" s="440"/>
      <c r="B89" s="440"/>
      <c r="C89" s="441"/>
      <c r="D89" s="442"/>
      <c r="E89" s="442"/>
      <c r="F89" s="442"/>
      <c r="G89" s="442"/>
      <c r="H89" s="442"/>
      <c r="I89" s="442"/>
      <c r="J89" s="442"/>
      <c r="K89" s="442"/>
      <c r="L89" s="442"/>
      <c r="M89" s="442"/>
      <c r="N89" s="442"/>
      <c r="O89" s="442"/>
      <c r="P89" s="442"/>
      <c r="Q89" s="442"/>
      <c r="R89" s="442"/>
      <c r="S89" s="442"/>
      <c r="T89" s="442"/>
      <c r="U89" s="442"/>
      <c r="V89" s="442"/>
      <c r="W89" s="442"/>
      <c r="X89" s="442"/>
      <c r="Y89" s="442"/>
      <c r="Z89" s="442"/>
      <c r="AA89" s="442"/>
      <c r="AB89" s="442"/>
      <c r="AC89" s="442"/>
      <c r="AD89" s="442"/>
      <c r="AE89" s="442"/>
      <c r="AF89" s="442"/>
      <c r="AG89" s="442"/>
      <c r="AH89" s="440"/>
      <c r="AI89" s="442"/>
      <c r="AJ89" s="442"/>
      <c r="AK89" s="442"/>
      <c r="AL89" s="442"/>
      <c r="AM89" s="442"/>
      <c r="AN89" s="442"/>
      <c r="AO89" s="442"/>
      <c r="AP89" s="442"/>
      <c r="AQ89" s="442"/>
      <c r="AR89" s="437"/>
      <c r="AS89" s="437"/>
    </row>
    <row r="90" spans="1:50" s="443" customFormat="1" ht="39" customHeight="1">
      <c r="A90" s="440"/>
      <c r="B90" s="440"/>
      <c r="C90" s="1363" t="s">
        <v>41</v>
      </c>
      <c r="D90" s="1365" t="s">
        <v>117</v>
      </c>
      <c r="E90" s="1366"/>
      <c r="F90" s="1366"/>
      <c r="G90" s="1366"/>
      <c r="H90" s="1366"/>
      <c r="I90" s="1366"/>
      <c r="J90" s="1367"/>
      <c r="K90" s="1342" t="s">
        <v>118</v>
      </c>
      <c r="L90" s="1343"/>
      <c r="M90" s="1343"/>
      <c r="N90" s="1343"/>
      <c r="O90" s="1343"/>
      <c r="P90" s="1344"/>
      <c r="Q90" s="1359" t="s">
        <v>119</v>
      </c>
      <c r="R90" s="1359"/>
      <c r="S90" s="1359"/>
      <c r="T90" s="1359"/>
      <c r="U90" s="1359"/>
      <c r="V90" s="1359"/>
      <c r="W90" s="1359"/>
      <c r="X90" s="1359"/>
      <c r="Y90" s="1359"/>
      <c r="Z90" s="1359"/>
      <c r="AA90" s="1359"/>
      <c r="AB90" s="1359"/>
      <c r="AC90" s="1125"/>
      <c r="AD90" s="1125"/>
      <c r="AE90" s="1125"/>
      <c r="AF90" s="1125"/>
      <c r="AG90" s="1125"/>
      <c r="AH90" s="1129"/>
      <c r="AI90" s="1125"/>
      <c r="AJ90" s="1125"/>
      <c r="AK90" s="1126"/>
      <c r="AL90" s="1121"/>
      <c r="AM90" s="1121"/>
      <c r="AN90" s="1374" t="s">
        <v>5</v>
      </c>
      <c r="AO90" s="1374"/>
      <c r="AP90" s="1374"/>
      <c r="AQ90" s="1367"/>
      <c r="AR90" s="437"/>
      <c r="AS90" s="437"/>
    </row>
    <row r="91" spans="1:50" s="443" customFormat="1" ht="39" customHeight="1">
      <c r="A91" s="440"/>
      <c r="B91" s="440"/>
      <c r="C91" s="1364"/>
      <c r="D91" s="1368"/>
      <c r="E91" s="1369"/>
      <c r="F91" s="1369"/>
      <c r="G91" s="1369"/>
      <c r="H91" s="1369"/>
      <c r="I91" s="1369"/>
      <c r="J91" s="1370"/>
      <c r="K91" s="1342" t="s">
        <v>120</v>
      </c>
      <c r="L91" s="1343"/>
      <c r="M91" s="1344"/>
      <c r="N91" s="1342" t="s">
        <v>364</v>
      </c>
      <c r="O91" s="1343"/>
      <c r="P91" s="1344"/>
      <c r="Q91" s="1359" t="s">
        <v>125</v>
      </c>
      <c r="R91" s="1359"/>
      <c r="S91" s="1359"/>
      <c r="T91" s="1359"/>
      <c r="U91" s="1359"/>
      <c r="V91" s="1359"/>
      <c r="W91" s="1359" t="s">
        <v>365</v>
      </c>
      <c r="X91" s="1359"/>
      <c r="Y91" s="1359"/>
      <c r="Z91" s="1359"/>
      <c r="AA91" s="1359"/>
      <c r="AB91" s="1359"/>
      <c r="AC91" s="1360" t="s">
        <v>366</v>
      </c>
      <c r="AD91" s="1361"/>
      <c r="AE91" s="1361"/>
      <c r="AF91" s="1361"/>
      <c r="AG91" s="1361"/>
      <c r="AH91" s="1361"/>
      <c r="AI91" s="1361"/>
      <c r="AJ91" s="1361"/>
      <c r="AK91" s="1362"/>
      <c r="AL91" s="1122"/>
      <c r="AM91" s="1122"/>
      <c r="AN91" s="1369"/>
      <c r="AO91" s="1369"/>
      <c r="AP91" s="1369"/>
      <c r="AQ91" s="1370"/>
      <c r="AR91" s="437"/>
      <c r="AS91" s="437"/>
    </row>
    <row r="92" spans="1:50" s="443" customFormat="1" ht="39" customHeight="1">
      <c r="A92" s="440"/>
      <c r="B92" s="440"/>
      <c r="C92" s="824" t="s">
        <v>295</v>
      </c>
      <c r="D92" s="1342">
        <v>77</v>
      </c>
      <c r="E92" s="1343"/>
      <c r="F92" s="1343"/>
      <c r="G92" s="1343"/>
      <c r="H92" s="1343"/>
      <c r="I92" s="1343"/>
      <c r="J92" s="1344"/>
      <c r="K92" s="817"/>
      <c r="L92" s="813"/>
      <c r="M92" s="814"/>
      <c r="N92" s="1355">
        <f>+N93+N94+N95</f>
        <v>1</v>
      </c>
      <c r="O92" s="1343"/>
      <c r="P92" s="1344"/>
      <c r="Q92" s="1356">
        <f>+Q93+Q94+Q95</f>
        <v>198539</v>
      </c>
      <c r="R92" s="1343"/>
      <c r="S92" s="1343"/>
      <c r="T92" s="1343"/>
      <c r="U92" s="1343"/>
      <c r="V92" s="1344"/>
      <c r="W92" s="1356">
        <f>+W93+W94+W95</f>
        <v>87848.08399999993</v>
      </c>
      <c r="X92" s="1343"/>
      <c r="Y92" s="1343"/>
      <c r="Z92" s="1343"/>
      <c r="AA92" s="1343"/>
      <c r="AB92" s="1344"/>
      <c r="AC92" s="1360">
        <f>SUM(AC93:AJ95)</f>
        <v>99.999999999999986</v>
      </c>
      <c r="AD92" s="1361"/>
      <c r="AE92" s="1361"/>
      <c r="AF92" s="1361"/>
      <c r="AG92" s="1361"/>
      <c r="AH92" s="1361"/>
      <c r="AI92" s="1361"/>
      <c r="AJ92" s="1361"/>
      <c r="AK92" s="1362"/>
      <c r="AL92" s="815"/>
      <c r="AM92" s="815"/>
      <c r="AN92" s="815"/>
      <c r="AO92" s="815"/>
      <c r="AP92" s="815"/>
      <c r="AQ92" s="816"/>
      <c r="AR92" s="437"/>
      <c r="AS92" s="437"/>
    </row>
    <row r="93" spans="1:50" s="438" customFormat="1" ht="39" customHeight="1">
      <c r="A93" s="440"/>
      <c r="B93" s="440"/>
      <c r="C93" s="824"/>
      <c r="D93" s="1326">
        <f>COUNTIF($AP$11:$AP$87,K93)</f>
        <v>38</v>
      </c>
      <c r="E93" s="1327"/>
      <c r="F93" s="1327"/>
      <c r="G93" s="1327"/>
      <c r="H93" s="1327"/>
      <c r="I93" s="1327"/>
      <c r="J93" s="1328"/>
      <c r="K93" s="1329" t="s">
        <v>63</v>
      </c>
      <c r="L93" s="1329"/>
      <c r="M93" s="1329"/>
      <c r="N93" s="1330">
        <f>+D93/D92</f>
        <v>0.4935064935064935</v>
      </c>
      <c r="O93" s="1330"/>
      <c r="P93" s="1330"/>
      <c r="Q93" s="1331">
        <f>SUMIF($AP$11:$AP$87,$K93,$AI$11:$AI$87)</f>
        <v>101484</v>
      </c>
      <c r="R93" s="1332"/>
      <c r="S93" s="1332"/>
      <c r="T93" s="1332"/>
      <c r="U93" s="1332"/>
      <c r="V93" s="1333"/>
      <c r="W93" s="1331">
        <f>SUMIF($AP$11:AP$87,$K93,$AK$11:AK$87)+SUMIF($AP$11:AP$87,$K93,$AN$11:$AN$87)</f>
        <v>44903.897756390397</v>
      </c>
      <c r="X93" s="1332"/>
      <c r="Y93" s="1332"/>
      <c r="Z93" s="1332"/>
      <c r="AA93" s="1332"/>
      <c r="AB93" s="1333"/>
      <c r="AC93" s="1323">
        <f>+W93/W92*100</f>
        <v>51.115397982260411</v>
      </c>
      <c r="AD93" s="1324"/>
      <c r="AE93" s="1324"/>
      <c r="AF93" s="1324"/>
      <c r="AG93" s="1324"/>
      <c r="AH93" s="1324"/>
      <c r="AI93" s="1324"/>
      <c r="AJ93" s="1324"/>
      <c r="AK93" s="1325"/>
      <c r="AL93" s="1123"/>
      <c r="AM93" s="1123"/>
      <c r="AN93" s="1123"/>
      <c r="AO93" s="1123"/>
      <c r="AP93" s="1123"/>
      <c r="AQ93" s="1124"/>
      <c r="AR93" s="437"/>
      <c r="AS93" s="437"/>
      <c r="AT93" s="838">
        <v>48947.249605505698</v>
      </c>
      <c r="AV93" s="444"/>
    </row>
    <row r="94" spans="1:50" s="438" customFormat="1" ht="39" customHeight="1">
      <c r="A94" s="440"/>
      <c r="B94" s="440"/>
      <c r="C94" s="824"/>
      <c r="D94" s="1326">
        <f t="shared" ref="D94:D95" si="17">COUNTIF($AP$11:$AP$87,K94)</f>
        <v>37</v>
      </c>
      <c r="E94" s="1327"/>
      <c r="F94" s="1327"/>
      <c r="G94" s="1327"/>
      <c r="H94" s="1327"/>
      <c r="I94" s="1327"/>
      <c r="J94" s="1328"/>
      <c r="K94" s="1329" t="s">
        <v>61</v>
      </c>
      <c r="L94" s="1329"/>
      <c r="M94" s="1329"/>
      <c r="N94" s="1335">
        <f>+D94/D92</f>
        <v>0.48051948051948051</v>
      </c>
      <c r="O94" s="1336"/>
      <c r="P94" s="1337"/>
      <c r="Q94" s="1331">
        <f>SUMIF($AP$11:$AP$87,$K94,$AI$11:$AI$87)</f>
        <v>93527</v>
      </c>
      <c r="R94" s="1332"/>
      <c r="S94" s="1332"/>
      <c r="T94" s="1332"/>
      <c r="U94" s="1332"/>
      <c r="V94" s="1333"/>
      <c r="W94" s="1331">
        <f>SUMIF($AP$11:AP$87,$K94,$AK$11:AK$87)+SUMIF($AP$11:AP$87,$K94,$AN$11:$AN$87)</f>
        <v>41383.142618165657</v>
      </c>
      <c r="X94" s="1332"/>
      <c r="Y94" s="1332"/>
      <c r="Z94" s="1332"/>
      <c r="AA94" s="1332"/>
      <c r="AB94" s="1333"/>
      <c r="AC94" s="1323">
        <f>+W94/W92*100</f>
        <v>47.107621172666313</v>
      </c>
      <c r="AD94" s="1324"/>
      <c r="AE94" s="1324"/>
      <c r="AF94" s="1324"/>
      <c r="AG94" s="1324"/>
      <c r="AH94" s="1324"/>
      <c r="AI94" s="1324"/>
      <c r="AJ94" s="1324"/>
      <c r="AK94" s="1325"/>
      <c r="AL94" s="1123"/>
      <c r="AM94" s="1123"/>
      <c r="AN94" s="1123"/>
      <c r="AO94" s="1123"/>
      <c r="AP94" s="1123"/>
      <c r="AQ94" s="1124"/>
      <c r="AR94" s="437"/>
      <c r="AS94" s="437"/>
      <c r="AT94" s="838">
        <v>40917.4601009736</v>
      </c>
      <c r="AV94" s="444"/>
    </row>
    <row r="95" spans="1:50" s="438" customFormat="1" ht="39" customHeight="1">
      <c r="A95" s="440"/>
      <c r="B95" s="440"/>
      <c r="C95" s="824"/>
      <c r="D95" s="1326">
        <f t="shared" si="17"/>
        <v>2</v>
      </c>
      <c r="E95" s="1327"/>
      <c r="F95" s="1327"/>
      <c r="G95" s="1327"/>
      <c r="H95" s="1327"/>
      <c r="I95" s="1327"/>
      <c r="J95" s="1328"/>
      <c r="K95" s="1329" t="s">
        <v>62</v>
      </c>
      <c r="L95" s="1329"/>
      <c r="M95" s="1329"/>
      <c r="N95" s="1335">
        <f>+D95/D92</f>
        <v>2.5974025974025976E-2</v>
      </c>
      <c r="O95" s="1336"/>
      <c r="P95" s="1337"/>
      <c r="Q95" s="1331">
        <f>SUMIF($AP$11:$AP$87,$K95,$AI$11:$AI$87)</f>
        <v>3528</v>
      </c>
      <c r="R95" s="1332"/>
      <c r="S95" s="1332"/>
      <c r="T95" s="1332"/>
      <c r="U95" s="1332"/>
      <c r="V95" s="1333"/>
      <c r="W95" s="1331">
        <f>SUMIF($AP$11:AP$87,$K95,$AK$11:AK$87)+SUMIF($AP$11:AP$87,$K95,$AN$11:$AN$87)</f>
        <v>1561.0436254438664</v>
      </c>
      <c r="X95" s="1332"/>
      <c r="Y95" s="1332"/>
      <c r="Z95" s="1332"/>
      <c r="AA95" s="1332"/>
      <c r="AB95" s="1333"/>
      <c r="AC95" s="1323">
        <f>+W95/W92*100</f>
        <v>1.7769808450732605</v>
      </c>
      <c r="AD95" s="1324"/>
      <c r="AE95" s="1324"/>
      <c r="AF95" s="1324"/>
      <c r="AG95" s="1324"/>
      <c r="AH95" s="1324"/>
      <c r="AI95" s="1324"/>
      <c r="AJ95" s="1324"/>
      <c r="AK95" s="1325"/>
      <c r="AL95" s="1123"/>
      <c r="AM95" s="1123"/>
      <c r="AN95" s="1123"/>
      <c r="AO95" s="1123"/>
      <c r="AP95" s="1123"/>
      <c r="AQ95" s="1124"/>
      <c r="AR95" s="437"/>
      <c r="AS95" s="437"/>
      <c r="AT95" s="839">
        <v>1909.19529352061</v>
      </c>
      <c r="AV95" s="445"/>
    </row>
    <row r="96" spans="1:50" s="438" customFormat="1" ht="39" hidden="1" customHeight="1">
      <c r="A96" s="440"/>
      <c r="B96" s="440"/>
      <c r="C96" s="824" t="s">
        <v>121</v>
      </c>
      <c r="D96" s="1342"/>
      <c r="E96" s="1343"/>
      <c r="F96" s="1343"/>
      <c r="G96" s="1343"/>
      <c r="H96" s="1343"/>
      <c r="I96" s="1343"/>
      <c r="J96" s="1344"/>
      <c r="K96" s="1329" t="s">
        <v>62</v>
      </c>
      <c r="L96" s="1329"/>
      <c r="M96" s="1329"/>
      <c r="N96" s="1345"/>
      <c r="O96" s="1345"/>
      <c r="P96" s="1345"/>
      <c r="Q96" s="1346">
        <v>0</v>
      </c>
      <c r="R96" s="1347"/>
      <c r="S96" s="1347"/>
      <c r="T96" s="1347"/>
      <c r="U96" s="1347"/>
      <c r="V96" s="1348"/>
      <c r="W96" s="1346">
        <v>0</v>
      </c>
      <c r="X96" s="1347"/>
      <c r="Y96" s="1347"/>
      <c r="Z96" s="1347"/>
      <c r="AA96" s="1347"/>
      <c r="AB96" s="1348"/>
      <c r="AC96" s="1119"/>
      <c r="AD96" s="1120"/>
      <c r="AE96" s="1120"/>
      <c r="AF96" s="1338"/>
      <c r="AG96" s="1339"/>
      <c r="AH96" s="1340"/>
      <c r="AI96" s="1338"/>
      <c r="AJ96" s="1339"/>
      <c r="AK96" s="1340"/>
      <c r="AL96" s="1123"/>
      <c r="AM96" s="1123"/>
      <c r="AN96" s="1123"/>
      <c r="AO96" s="1123"/>
      <c r="AP96" s="1123"/>
      <c r="AQ96" s="1124"/>
      <c r="AR96" s="437"/>
      <c r="AS96" s="437"/>
      <c r="AT96" s="524">
        <f>+Q96*AU11/100</f>
        <v>0</v>
      </c>
    </row>
    <row r="97" spans="1:49" s="438" customFormat="1" ht="39" customHeight="1">
      <c r="A97" s="440"/>
      <c r="B97" s="440"/>
      <c r="C97" s="823" t="s">
        <v>289</v>
      </c>
      <c r="D97" s="1342">
        <f>SUM(D93:J96)</f>
        <v>77</v>
      </c>
      <c r="E97" s="1343"/>
      <c r="F97" s="1343"/>
      <c r="G97" s="1343"/>
      <c r="H97" s="1343"/>
      <c r="I97" s="1343"/>
      <c r="J97" s="1344"/>
      <c r="K97" s="1342"/>
      <c r="L97" s="1343"/>
      <c r="M97" s="1344"/>
      <c r="N97" s="1342"/>
      <c r="O97" s="1343"/>
      <c r="P97" s="1344"/>
      <c r="Q97" s="1352">
        <f>SUM(Q93:V95)</f>
        <v>198539</v>
      </c>
      <c r="R97" s="1353"/>
      <c r="S97" s="1353"/>
      <c r="T97" s="1353"/>
      <c r="U97" s="1353"/>
      <c r="V97" s="1354"/>
      <c r="W97" s="1352">
        <f>SUM(W93:AB96)</f>
        <v>87848.08399999993</v>
      </c>
      <c r="X97" s="1353"/>
      <c r="Y97" s="1353"/>
      <c r="Z97" s="1353"/>
      <c r="AA97" s="1353"/>
      <c r="AB97" s="1354"/>
      <c r="AC97" s="1349"/>
      <c r="AD97" s="1350"/>
      <c r="AE97" s="1350"/>
      <c r="AF97" s="1350"/>
      <c r="AG97" s="1350"/>
      <c r="AH97" s="1350"/>
      <c r="AI97" s="1350"/>
      <c r="AJ97" s="1350"/>
      <c r="AK97" s="1351"/>
      <c r="AL97" s="1125"/>
      <c r="AM97" s="1125"/>
      <c r="AN97" s="1125"/>
      <c r="AO97" s="1125"/>
      <c r="AP97" s="1125"/>
      <c r="AQ97" s="1126"/>
      <c r="AR97" s="437"/>
      <c r="AS97" s="437"/>
      <c r="AT97" s="438">
        <v>662.25587978167903</v>
      </c>
    </row>
    <row r="98" spans="1:49" s="559" customFormat="1" ht="38.25" customHeight="1">
      <c r="A98" s="818"/>
      <c r="B98" s="818"/>
      <c r="C98" s="574"/>
      <c r="D98" s="575"/>
      <c r="E98" s="575"/>
      <c r="F98" s="575"/>
      <c r="G98" s="575"/>
      <c r="H98" s="575"/>
      <c r="I98" s="575"/>
      <c r="J98" s="575"/>
      <c r="K98" s="575"/>
      <c r="L98" s="575"/>
      <c r="M98" s="575"/>
      <c r="N98" s="575"/>
      <c r="O98" s="575"/>
      <c r="P98" s="575"/>
      <c r="Q98" s="575"/>
      <c r="R98" s="575"/>
      <c r="S98" s="575"/>
      <c r="T98" s="575"/>
      <c r="U98" s="575"/>
      <c r="V98" s="575"/>
      <c r="W98" s="575"/>
      <c r="X98" s="575"/>
      <c r="Y98" s="575"/>
      <c r="Z98" s="575"/>
      <c r="AA98" s="575"/>
      <c r="AB98" s="575"/>
      <c r="AC98" s="575"/>
      <c r="AD98" s="575"/>
      <c r="AE98" s="575"/>
      <c r="AF98" s="575"/>
      <c r="AG98" s="1341" t="s">
        <v>587</v>
      </c>
      <c r="AH98" s="1341"/>
      <c r="AI98" s="1341"/>
      <c r="AJ98" s="1341"/>
      <c r="AK98" s="1341"/>
      <c r="AL98" s="1341"/>
      <c r="AM98" s="1341"/>
      <c r="AN98" s="1341"/>
      <c r="AO98" s="1341"/>
      <c r="AP98" s="1341"/>
      <c r="AQ98" s="1341"/>
      <c r="AR98" s="428"/>
      <c r="AS98" s="428"/>
      <c r="AT98" s="428"/>
      <c r="AU98" s="428"/>
      <c r="AV98" s="428"/>
      <c r="AW98" s="428"/>
    </row>
    <row r="99" spans="1:49" s="561" customFormat="1" ht="6" customHeight="1">
      <c r="C99" s="562"/>
      <c r="AE99" s="424"/>
      <c r="AF99" s="424"/>
      <c r="AG99" s="424"/>
      <c r="AH99" s="1176"/>
      <c r="AI99" s="576"/>
      <c r="AJ99" s="576"/>
      <c r="AK99" s="559"/>
      <c r="AL99" s="559"/>
      <c r="AM99" s="559"/>
      <c r="AN99" s="559"/>
      <c r="AO99" s="559"/>
      <c r="AP99" s="576"/>
      <c r="AQ99" s="424"/>
      <c r="AR99" s="704"/>
      <c r="AS99" s="704"/>
      <c r="AT99" s="704"/>
      <c r="AU99" s="704"/>
      <c r="AV99" s="427"/>
      <c r="AW99" s="427"/>
    </row>
    <row r="100" spans="1:49" s="1065" customFormat="1" ht="23.25" customHeight="1">
      <c r="A100" s="1167"/>
      <c r="B100" s="1167"/>
      <c r="C100" s="1065" t="s">
        <v>345</v>
      </c>
      <c r="K100" s="1065" t="s">
        <v>517</v>
      </c>
      <c r="Q100" s="1065" t="s">
        <v>516</v>
      </c>
      <c r="W100" s="1268" t="s">
        <v>437</v>
      </c>
      <c r="X100" s="1268"/>
      <c r="Y100" s="1268"/>
      <c r="Z100" s="1268"/>
      <c r="AA100" s="1268"/>
      <c r="AB100" s="1268"/>
      <c r="AD100" s="1268" t="s">
        <v>108</v>
      </c>
      <c r="AE100" s="1268"/>
      <c r="AF100" s="1268"/>
      <c r="AG100" s="1268"/>
      <c r="AH100" s="1268"/>
      <c r="AI100" s="1268"/>
      <c r="AJ100" s="1181"/>
      <c r="AK100" s="1286" t="s">
        <v>33</v>
      </c>
      <c r="AL100" s="1286"/>
      <c r="AM100" s="1286"/>
      <c r="AN100" s="1286"/>
      <c r="AO100" s="1286"/>
      <c r="AP100" s="1286"/>
      <c r="AQ100" s="1286"/>
      <c r="AR100" s="1181"/>
      <c r="AS100" s="1181"/>
      <c r="AT100" s="1181"/>
      <c r="AU100" s="1181"/>
    </row>
    <row r="103" spans="1:49">
      <c r="D103" s="862"/>
      <c r="E103" s="862"/>
      <c r="F103" s="862"/>
      <c r="G103" s="862"/>
      <c r="H103" s="862"/>
      <c r="I103" s="862"/>
      <c r="J103" s="862"/>
      <c r="K103" s="862"/>
      <c r="L103" s="862"/>
      <c r="M103" s="862"/>
      <c r="N103" s="862"/>
      <c r="O103" s="862"/>
      <c r="P103" s="862"/>
      <c r="Q103" s="862"/>
      <c r="R103" s="862"/>
      <c r="S103" s="862"/>
      <c r="T103" s="862"/>
      <c r="U103" s="862"/>
      <c r="V103" s="862"/>
      <c r="W103" s="862"/>
      <c r="X103" s="862"/>
      <c r="Y103" s="862"/>
      <c r="Z103" s="862"/>
      <c r="AA103" s="862"/>
      <c r="AB103" s="862"/>
      <c r="AC103" s="862"/>
      <c r="AD103" s="862"/>
      <c r="AE103" s="862"/>
      <c r="AF103" s="862"/>
      <c r="AG103" s="862"/>
      <c r="AH103" s="825"/>
      <c r="AI103" s="862"/>
      <c r="AJ103" s="862"/>
      <c r="AK103" s="862"/>
      <c r="AL103" s="825"/>
      <c r="AM103" s="825"/>
      <c r="AN103" s="825"/>
      <c r="AO103" s="825"/>
      <c r="AP103" s="825"/>
    </row>
    <row r="104" spans="1:49">
      <c r="D104" s="862"/>
      <c r="E104" s="862"/>
      <c r="F104" s="862"/>
      <c r="G104" s="862"/>
      <c r="H104" s="862"/>
      <c r="I104" s="862"/>
      <c r="J104" s="862"/>
      <c r="K104" s="862"/>
      <c r="L104" s="862"/>
      <c r="M104" s="862"/>
      <c r="N104" s="862"/>
      <c r="O104" s="862"/>
      <c r="P104" s="862"/>
      <c r="Q104" s="862"/>
      <c r="R104" s="862"/>
      <c r="S104" s="862"/>
      <c r="T104" s="862"/>
      <c r="U104" s="862"/>
      <c r="V104" s="862"/>
      <c r="W104" s="862"/>
      <c r="X104" s="862"/>
      <c r="Y104" s="862"/>
      <c r="Z104" s="862"/>
      <c r="AA104" s="862"/>
      <c r="AB104" s="862"/>
      <c r="AC104" s="862"/>
      <c r="AD104" s="862"/>
      <c r="AE104" s="862"/>
      <c r="AF104" s="862"/>
      <c r="AG104" s="862"/>
      <c r="AH104" s="825"/>
      <c r="AI104" s="862"/>
      <c r="AJ104" s="862"/>
      <c r="AK104" s="862"/>
      <c r="AL104" s="825"/>
      <c r="AM104" s="825"/>
      <c r="AN104" s="825"/>
      <c r="AO104" s="825"/>
      <c r="AP104" s="825"/>
    </row>
    <row r="105" spans="1:49">
      <c r="D105" s="862"/>
      <c r="E105" s="862"/>
      <c r="F105" s="862"/>
      <c r="G105" s="862"/>
      <c r="H105" s="862"/>
      <c r="I105" s="862"/>
      <c r="J105" s="862"/>
      <c r="K105" s="862"/>
      <c r="L105" s="862"/>
      <c r="M105" s="862"/>
      <c r="N105" s="862"/>
      <c r="O105" s="862"/>
      <c r="P105" s="862"/>
      <c r="Q105" s="862"/>
      <c r="R105" s="862"/>
      <c r="S105" s="862"/>
      <c r="T105" s="862"/>
      <c r="U105" s="862"/>
      <c r="V105" s="862"/>
      <c r="W105" s="862"/>
      <c r="X105" s="862"/>
      <c r="Y105" s="862"/>
      <c r="Z105" s="862"/>
      <c r="AA105" s="862"/>
      <c r="AB105" s="862"/>
      <c r="AC105" s="862"/>
      <c r="AD105" s="862"/>
      <c r="AE105" s="862"/>
      <c r="AF105" s="862"/>
      <c r="AG105" s="862"/>
      <c r="AH105" s="825"/>
      <c r="AI105" s="862"/>
      <c r="AJ105" s="862"/>
      <c r="AK105" s="862"/>
      <c r="AL105" s="825"/>
      <c r="AM105" s="825"/>
      <c r="AN105" s="825"/>
      <c r="AO105" s="825"/>
      <c r="AP105" s="825"/>
    </row>
    <row r="106" spans="1:49">
      <c r="D106" s="862"/>
      <c r="E106" s="862"/>
      <c r="F106" s="862"/>
      <c r="G106" s="862"/>
      <c r="H106" s="862"/>
      <c r="I106" s="862"/>
      <c r="J106" s="862"/>
      <c r="K106" s="862"/>
      <c r="L106" s="862"/>
      <c r="M106" s="862"/>
      <c r="N106" s="862"/>
      <c r="O106" s="862"/>
      <c r="P106" s="862"/>
      <c r="Q106" s="862"/>
      <c r="R106" s="862"/>
      <c r="S106" s="862"/>
      <c r="T106" s="862"/>
      <c r="U106" s="862"/>
      <c r="V106" s="862"/>
      <c r="W106" s="862"/>
      <c r="X106" s="862"/>
      <c r="Y106" s="862"/>
      <c r="Z106" s="862"/>
      <c r="AA106" s="862"/>
      <c r="AB106" s="862"/>
      <c r="AC106" s="862"/>
      <c r="AD106" s="862"/>
      <c r="AE106" s="862"/>
      <c r="AF106" s="862"/>
      <c r="AG106" s="862"/>
      <c r="AH106" s="825"/>
      <c r="AI106" s="862"/>
      <c r="AJ106" s="862"/>
      <c r="AK106" s="862"/>
      <c r="AL106" s="825"/>
      <c r="AM106" s="825"/>
      <c r="AN106" s="825"/>
      <c r="AO106" s="825"/>
      <c r="AP106" s="825"/>
    </row>
    <row r="107" spans="1:49">
      <c r="C107" s="430"/>
      <c r="D107" s="862"/>
      <c r="E107" s="862"/>
      <c r="F107" s="862"/>
      <c r="G107" s="862"/>
      <c r="H107" s="862"/>
      <c r="I107" s="862"/>
      <c r="J107" s="862"/>
      <c r="K107" s="862"/>
      <c r="L107" s="862"/>
      <c r="M107" s="862"/>
      <c r="N107" s="862"/>
      <c r="O107" s="862"/>
      <c r="P107" s="862"/>
      <c r="Q107" s="862"/>
      <c r="R107" s="862"/>
      <c r="S107" s="862"/>
      <c r="T107" s="862"/>
      <c r="U107" s="862"/>
      <c r="V107" s="862"/>
      <c r="W107" s="862"/>
      <c r="X107" s="862"/>
      <c r="Y107" s="862"/>
      <c r="Z107" s="862"/>
      <c r="AA107" s="862"/>
      <c r="AB107" s="862"/>
      <c r="AC107" s="862"/>
      <c r="AD107" s="862"/>
      <c r="AE107" s="862"/>
      <c r="AF107" s="862"/>
      <c r="AG107" s="862"/>
      <c r="AH107" s="825"/>
      <c r="AI107" s="862"/>
      <c r="AJ107" s="862"/>
      <c r="AK107" s="862"/>
      <c r="AL107" s="825"/>
      <c r="AM107" s="825"/>
      <c r="AN107" s="825"/>
      <c r="AO107" s="825"/>
      <c r="AP107" s="825"/>
    </row>
    <row r="108" spans="1:49">
      <c r="D108" s="862"/>
      <c r="E108" s="862"/>
      <c r="F108" s="862"/>
      <c r="G108" s="862"/>
      <c r="H108" s="862"/>
      <c r="I108" s="862"/>
      <c r="N108" s="862"/>
      <c r="O108" s="862"/>
      <c r="P108" s="862"/>
      <c r="Q108" s="862"/>
      <c r="R108" s="862"/>
      <c r="S108" s="862"/>
      <c r="T108" s="862"/>
      <c r="U108" s="862"/>
      <c r="V108" s="862"/>
      <c r="W108" s="862"/>
      <c r="X108" s="862"/>
      <c r="Y108" s="862"/>
      <c r="Z108" s="862"/>
      <c r="AA108" s="862"/>
      <c r="AB108" s="862"/>
      <c r="AC108" s="862"/>
      <c r="AD108" s="862"/>
      <c r="AE108" s="862"/>
      <c r="AF108" s="862"/>
      <c r="AG108" s="862"/>
      <c r="AH108" s="825"/>
      <c r="AI108" s="862"/>
      <c r="AJ108" s="862"/>
      <c r="AK108" s="862"/>
      <c r="AL108" s="825"/>
      <c r="AM108" s="825"/>
      <c r="AN108" s="825"/>
      <c r="AO108" s="825"/>
      <c r="AP108" s="825"/>
    </row>
    <row r="109" spans="1:49" s="225" customFormat="1" ht="26.25" customHeight="1">
      <c r="A109" s="223"/>
      <c r="B109" s="223"/>
      <c r="C109" s="224"/>
      <c r="D109" s="1182"/>
      <c r="E109" s="1182"/>
      <c r="F109" s="1182"/>
      <c r="G109" s="1182"/>
      <c r="H109" s="1182"/>
      <c r="I109" s="1182"/>
      <c r="J109" s="1334" t="s">
        <v>524</v>
      </c>
      <c r="K109" s="1334"/>
      <c r="L109" s="1334"/>
      <c r="M109" s="1334"/>
      <c r="N109" s="1182"/>
      <c r="O109" s="1182"/>
      <c r="P109" s="1182"/>
      <c r="Q109" s="1182"/>
      <c r="R109" s="1182"/>
      <c r="S109" s="1182"/>
      <c r="T109" s="1182"/>
      <c r="U109" s="1182"/>
      <c r="V109" s="1182"/>
      <c r="W109" s="1334" t="s">
        <v>110</v>
      </c>
      <c r="X109" s="1334"/>
      <c r="Y109" s="1334"/>
      <c r="Z109" s="1334"/>
      <c r="AA109" s="1334"/>
      <c r="AB109" s="1334"/>
      <c r="AC109" s="1182"/>
      <c r="AD109" s="1334" t="s">
        <v>290</v>
      </c>
      <c r="AE109" s="1334"/>
      <c r="AF109" s="1334"/>
      <c r="AG109" s="1334"/>
      <c r="AH109" s="1334"/>
      <c r="AI109" s="1334"/>
      <c r="AJ109" s="1182"/>
      <c r="AK109" s="1334" t="s">
        <v>314</v>
      </c>
      <c r="AL109" s="1334"/>
      <c r="AM109" s="1334"/>
      <c r="AN109" s="1334"/>
      <c r="AO109" s="1334"/>
      <c r="AP109" s="1334"/>
      <c r="AQ109" s="1334"/>
    </row>
  </sheetData>
  <mergeCells count="77">
    <mergeCell ref="A5:N5"/>
    <mergeCell ref="Y5:AQ5"/>
    <mergeCell ref="A1:AQ1"/>
    <mergeCell ref="A2:AQ2"/>
    <mergeCell ref="A3:AQ3"/>
    <mergeCell ref="A4:N4"/>
    <mergeCell ref="Y4:AQ4"/>
    <mergeCell ref="A88:C88"/>
    <mergeCell ref="AN90:AQ91"/>
    <mergeCell ref="A7:AQ7"/>
    <mergeCell ref="AI8:AQ8"/>
    <mergeCell ref="A9:B10"/>
    <mergeCell ref="C9:C10"/>
    <mergeCell ref="D9:AH9"/>
    <mergeCell ref="AI9:AI10"/>
    <mergeCell ref="AJ9:AJ10"/>
    <mergeCell ref="AK9:AK10"/>
    <mergeCell ref="AL9:AL10"/>
    <mergeCell ref="AM9:AM10"/>
    <mergeCell ref="AN9:AN10"/>
    <mergeCell ref="AO9:AO10"/>
    <mergeCell ref="AP9:AP10"/>
    <mergeCell ref="AQ9:AQ10"/>
    <mergeCell ref="C90:C91"/>
    <mergeCell ref="D90:J91"/>
    <mergeCell ref="K90:P90"/>
    <mergeCell ref="K91:M91"/>
    <mergeCell ref="N91:P91"/>
    <mergeCell ref="D92:J92"/>
    <mergeCell ref="N92:P92"/>
    <mergeCell ref="Q92:V92"/>
    <mergeCell ref="W92:AB92"/>
    <mergeCell ref="AS85:AT85"/>
    <mergeCell ref="Q91:V91"/>
    <mergeCell ref="W91:AB91"/>
    <mergeCell ref="Q90:AB90"/>
    <mergeCell ref="AC91:AK91"/>
    <mergeCell ref="AC92:AK92"/>
    <mergeCell ref="AC97:AK97"/>
    <mergeCell ref="W100:AB100"/>
    <mergeCell ref="AD100:AI100"/>
    <mergeCell ref="AK100:AQ100"/>
    <mergeCell ref="K97:M97"/>
    <mergeCell ref="N97:P97"/>
    <mergeCell ref="Q97:V97"/>
    <mergeCell ref="W97:AB97"/>
    <mergeCell ref="K96:M96"/>
    <mergeCell ref="N96:P96"/>
    <mergeCell ref="Q96:V96"/>
    <mergeCell ref="W96:AB96"/>
    <mergeCell ref="AF96:AH96"/>
    <mergeCell ref="J109:M109"/>
    <mergeCell ref="W109:AB109"/>
    <mergeCell ref="AD109:AI109"/>
    <mergeCell ref="N94:P94"/>
    <mergeCell ref="Q94:V94"/>
    <mergeCell ref="W94:AB94"/>
    <mergeCell ref="D95:J95"/>
    <mergeCell ref="K95:M95"/>
    <mergeCell ref="N95:P95"/>
    <mergeCell ref="Q95:V95"/>
    <mergeCell ref="W95:AB95"/>
    <mergeCell ref="AI96:AK96"/>
    <mergeCell ref="AG98:AQ98"/>
    <mergeCell ref="D97:J97"/>
    <mergeCell ref="AK109:AQ109"/>
    <mergeCell ref="D96:J96"/>
    <mergeCell ref="AC93:AK93"/>
    <mergeCell ref="AC94:AK94"/>
    <mergeCell ref="AC95:AK95"/>
    <mergeCell ref="D94:J94"/>
    <mergeCell ref="K94:M94"/>
    <mergeCell ref="D93:J93"/>
    <mergeCell ref="K93:M93"/>
    <mergeCell ref="N93:P93"/>
    <mergeCell ref="Q93:V93"/>
    <mergeCell ref="W93:AB93"/>
  </mergeCells>
  <pageMargins left="0.2" right="0" top="0.43" bottom="0.2" header="0.2" footer="0.2"/>
  <pageSetup paperSize="9" scale="47"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AD144"/>
  <sheetViews>
    <sheetView showZeros="0" tabSelected="1" topLeftCell="A7" zoomScale="55" zoomScaleNormal="55" zoomScaleSheetLayoutView="70" workbookViewId="0">
      <selection activeCell="H99" sqref="H99"/>
    </sheetView>
  </sheetViews>
  <sheetFormatPr defaultColWidth="18.85546875" defaultRowHeight="15.75"/>
  <cols>
    <col min="1" max="2" width="4.28515625" style="66" customWidth="1"/>
    <col min="3" max="3" width="7" style="66" hidden="1" customWidth="1"/>
    <col min="4" max="4" width="25.140625" style="152" customWidth="1"/>
    <col min="5" max="5" width="20" style="152" customWidth="1"/>
    <col min="6" max="6" width="9.140625" style="66" customWidth="1"/>
    <col min="7" max="7" width="12.7109375" style="112" customWidth="1"/>
    <col min="8" max="8" width="18.28515625" style="89" customWidth="1"/>
    <col min="9" max="9" width="12.28515625" style="179" customWidth="1"/>
    <col min="10" max="14" width="13.85546875" style="180" customWidth="1"/>
    <col min="15" max="15" width="9" style="181" customWidth="1"/>
    <col min="16" max="16" width="14.5703125" style="182" customWidth="1"/>
    <col min="17" max="17" width="10" style="66" customWidth="1"/>
    <col min="18" max="18" width="8.5703125" style="66" customWidth="1"/>
    <col min="19" max="19" width="10.28515625" style="66" customWidth="1"/>
    <col min="20" max="20" width="9.28515625" style="66" customWidth="1"/>
    <col min="21" max="21" width="8.7109375" style="66" customWidth="1"/>
    <col min="22" max="23" width="7.5703125" style="217" customWidth="1"/>
    <col min="24" max="24" width="16.42578125" style="89" customWidth="1"/>
    <col min="25" max="25" width="16" style="89" customWidth="1"/>
    <col min="26" max="26" width="13" style="89" customWidth="1"/>
    <col min="27" max="27" width="16.7109375" style="89" customWidth="1"/>
    <col min="28" max="28" width="9.140625" style="89" customWidth="1"/>
    <col min="29" max="29" width="18.28515625" style="89" customWidth="1"/>
    <col min="30" max="204" width="9.140625" style="89" customWidth="1"/>
    <col min="205" max="205" width="5.5703125" style="89" customWidth="1"/>
    <col min="206" max="206" width="16.140625" style="89" customWidth="1"/>
    <col min="207" max="16384" width="18.85546875" style="89"/>
  </cols>
  <sheetData>
    <row r="1" spans="1:29" s="151" customFormat="1" ht="18.75">
      <c r="A1" s="584"/>
      <c r="B1" s="613"/>
      <c r="C1" s="1398" t="s">
        <v>0</v>
      </c>
      <c r="D1" s="1398"/>
      <c r="E1" s="1398"/>
      <c r="F1" s="1398"/>
      <c r="G1" s="1398"/>
      <c r="H1" s="1398"/>
      <c r="I1" s="1398"/>
      <c r="J1" s="1398"/>
      <c r="K1" s="1398"/>
      <c r="L1" s="1398"/>
      <c r="M1" s="1398"/>
      <c r="N1" s="1398"/>
      <c r="O1" s="1398"/>
      <c r="P1" s="1398"/>
      <c r="Q1" s="1398"/>
      <c r="R1" s="1398"/>
      <c r="S1" s="1398"/>
      <c r="T1" s="1398"/>
      <c r="U1" s="1398"/>
      <c r="V1" s="1398"/>
      <c r="W1" s="1398"/>
      <c r="X1" s="1398"/>
      <c r="Y1" s="1398"/>
      <c r="Z1" s="1398"/>
      <c r="AA1" s="1398"/>
    </row>
    <row r="2" spans="1:29" s="151" customFormat="1" ht="18.75">
      <c r="A2" s="584"/>
      <c r="B2" s="613"/>
      <c r="C2" s="1398" t="s">
        <v>65</v>
      </c>
      <c r="D2" s="1398"/>
      <c r="E2" s="1398"/>
      <c r="F2" s="1398"/>
      <c r="G2" s="1398"/>
      <c r="H2" s="1398"/>
      <c r="I2" s="1398"/>
      <c r="J2" s="1398"/>
      <c r="K2" s="1398"/>
      <c r="L2" s="1398"/>
      <c r="M2" s="1398"/>
      <c r="N2" s="1398"/>
      <c r="O2" s="1398"/>
      <c r="P2" s="1398"/>
      <c r="Q2" s="1398"/>
      <c r="R2" s="1398"/>
      <c r="S2" s="1398"/>
      <c r="T2" s="1398"/>
      <c r="U2" s="1398"/>
      <c r="V2" s="1398"/>
      <c r="W2" s="1398"/>
      <c r="X2" s="1398"/>
      <c r="Y2" s="1398"/>
      <c r="Z2" s="1398"/>
      <c r="AA2" s="1398"/>
    </row>
    <row r="3" spans="1:29" s="151" customFormat="1" ht="18.75">
      <c r="A3" s="584"/>
      <c r="B3" s="613"/>
      <c r="C3" s="613"/>
      <c r="D3" s="1399" t="s">
        <v>39</v>
      </c>
      <c r="E3" s="1399"/>
      <c r="F3" s="1398"/>
      <c r="G3" s="1398"/>
      <c r="H3" s="1398"/>
      <c r="I3" s="1398"/>
      <c r="J3" s="1398"/>
      <c r="K3" s="1398"/>
      <c r="L3" s="1398"/>
      <c r="M3" s="1398"/>
      <c r="N3" s="1398"/>
      <c r="O3" s="1398"/>
      <c r="P3" s="1398"/>
      <c r="Q3" s="1398"/>
      <c r="R3" s="1398"/>
      <c r="S3" s="1398"/>
      <c r="T3" s="1398"/>
      <c r="U3" s="1398"/>
      <c r="V3" s="1398"/>
      <c r="W3" s="1398"/>
      <c r="X3" s="1398"/>
      <c r="Y3" s="1398"/>
      <c r="Z3" s="1398"/>
      <c r="AA3" s="1398"/>
    </row>
    <row r="4" spans="1:29" s="151" customFormat="1" ht="18.75">
      <c r="A4" s="584"/>
      <c r="B4" s="1400" t="s">
        <v>130</v>
      </c>
      <c r="C4" s="1401"/>
      <c r="D4" s="1401"/>
      <c r="E4" s="1401"/>
      <c r="F4" s="1401"/>
      <c r="G4" s="1401"/>
      <c r="H4" s="1401"/>
      <c r="I4" s="1401"/>
      <c r="J4" s="614"/>
      <c r="K4" s="614"/>
      <c r="L4" s="614"/>
      <c r="M4" s="614"/>
      <c r="N4" s="614"/>
      <c r="O4" s="615"/>
      <c r="P4" s="615"/>
      <c r="Q4" s="615"/>
      <c r="R4" s="615"/>
      <c r="S4" s="615"/>
      <c r="T4" s="843"/>
      <c r="U4" s="615"/>
      <c r="V4" s="616"/>
      <c r="W4" s="616"/>
      <c r="X4" s="615"/>
      <c r="Y4" s="613"/>
      <c r="Z4" s="613"/>
      <c r="AA4" s="613"/>
    </row>
    <row r="5" spans="1:29" s="4" customFormat="1" ht="18.75">
      <c r="A5" s="586"/>
      <c r="B5" s="1402" t="s">
        <v>223</v>
      </c>
      <c r="C5" s="1402"/>
      <c r="D5" s="1402"/>
      <c r="E5" s="1402"/>
      <c r="F5" s="1402"/>
      <c r="G5" s="1402"/>
      <c r="H5" s="1402"/>
      <c r="I5" s="1402"/>
      <c r="J5" s="617"/>
      <c r="K5" s="617"/>
      <c r="L5" s="617"/>
      <c r="M5" s="617"/>
      <c r="N5" s="617"/>
      <c r="O5" s="489"/>
      <c r="P5" s="490"/>
      <c r="Q5" s="489"/>
      <c r="R5" s="489"/>
      <c r="S5" s="489"/>
      <c r="T5" s="846"/>
      <c r="U5" s="489"/>
      <c r="V5" s="618"/>
      <c r="W5" s="618"/>
      <c r="X5" s="619"/>
      <c r="Y5" s="490"/>
      <c r="Z5" s="490"/>
      <c r="AA5" s="490"/>
    </row>
    <row r="6" spans="1:29" ht="18.75">
      <c r="B6" s="596"/>
      <c r="C6" s="596"/>
      <c r="D6" s="596"/>
      <c r="E6" s="596"/>
      <c r="F6" s="856"/>
      <c r="G6" s="620"/>
      <c r="H6" s="596"/>
      <c r="I6" s="621"/>
      <c r="J6" s="622"/>
      <c r="K6" s="622"/>
      <c r="L6" s="622"/>
      <c r="M6" s="622"/>
      <c r="N6" s="622"/>
      <c r="O6" s="623"/>
      <c r="P6" s="624"/>
      <c r="Q6" s="596"/>
      <c r="R6" s="596"/>
      <c r="S6" s="596"/>
      <c r="T6" s="845"/>
      <c r="U6" s="596"/>
      <c r="V6" s="625"/>
      <c r="W6" s="625"/>
      <c r="X6" s="596"/>
      <c r="Y6" s="596"/>
      <c r="Z6" s="596"/>
      <c r="AA6" s="596"/>
    </row>
    <row r="7" spans="1:29" s="55" customFormat="1" ht="27.75" customHeight="1">
      <c r="A7" s="581"/>
      <c r="B7" s="1403" t="s">
        <v>557</v>
      </c>
      <c r="C7" s="1403"/>
      <c r="D7" s="1403"/>
      <c r="E7" s="1403"/>
      <c r="F7" s="1403"/>
      <c r="G7" s="1403"/>
      <c r="H7" s="1403"/>
      <c r="I7" s="1403"/>
      <c r="J7" s="1403"/>
      <c r="K7" s="1403"/>
      <c r="L7" s="1403"/>
      <c r="M7" s="1403"/>
      <c r="N7" s="1403"/>
      <c r="O7" s="1403"/>
      <c r="P7" s="1403"/>
      <c r="Q7" s="1403"/>
      <c r="R7" s="1403"/>
      <c r="S7" s="1403"/>
      <c r="T7" s="1403"/>
      <c r="U7" s="1403"/>
      <c r="V7" s="1403"/>
      <c r="W7" s="1403"/>
      <c r="X7" s="1403"/>
      <c r="Y7" s="1403"/>
      <c r="Z7" s="1403"/>
      <c r="AA7" s="1403"/>
    </row>
    <row r="8" spans="1:29" s="55" customFormat="1" ht="18" customHeight="1">
      <c r="A8" s="581"/>
      <c r="B8" s="1404" t="s">
        <v>131</v>
      </c>
      <c r="C8" s="1404"/>
      <c r="D8" s="1404"/>
      <c r="E8" s="1404"/>
      <c r="F8" s="1404"/>
      <c r="G8" s="426">
        <v>600</v>
      </c>
      <c r="H8" s="1217">
        <v>667.96</v>
      </c>
      <c r="I8" s="596"/>
      <c r="J8" s="626"/>
      <c r="K8" s="626"/>
      <c r="L8" s="626"/>
      <c r="M8" s="626"/>
      <c r="N8" s="626"/>
      <c r="O8" s="596"/>
      <c r="P8" s="596"/>
      <c r="Q8" s="596"/>
      <c r="R8" s="596"/>
      <c r="S8" s="596"/>
      <c r="T8" s="845"/>
      <c r="U8" s="596"/>
      <c r="V8" s="625"/>
      <c r="W8" s="625"/>
      <c r="X8" s="596"/>
      <c r="Y8" s="596"/>
      <c r="Z8" s="596"/>
      <c r="AA8" s="596"/>
    </row>
    <row r="9" spans="1:29" s="55" customFormat="1" ht="13.5" customHeight="1">
      <c r="A9" s="581"/>
      <c r="B9" s="154"/>
      <c r="C9" s="154"/>
      <c r="D9" s="583"/>
      <c r="E9" s="583"/>
      <c r="F9" s="154"/>
      <c r="G9" s="183"/>
      <c r="H9" s="581"/>
      <c r="I9" s="581"/>
      <c r="J9" s="184"/>
      <c r="K9" s="184"/>
      <c r="L9" s="184"/>
      <c r="M9" s="184"/>
      <c r="N9" s="184"/>
      <c r="O9" s="581"/>
      <c r="P9" s="581"/>
      <c r="Q9" s="581"/>
      <c r="R9" s="581"/>
      <c r="S9" s="581"/>
      <c r="T9" s="844"/>
      <c r="U9" s="581"/>
      <c r="V9" s="157"/>
      <c r="W9" s="157"/>
      <c r="X9" s="581"/>
    </row>
    <row r="10" spans="1:29" s="581" customFormat="1" ht="19.5" customHeight="1">
      <c r="A10" s="1417" t="s">
        <v>41</v>
      </c>
      <c r="B10" s="1418"/>
      <c r="C10" s="1409" t="s">
        <v>42</v>
      </c>
      <c r="D10" s="1423" t="s">
        <v>12</v>
      </c>
      <c r="E10" s="1423" t="s">
        <v>347</v>
      </c>
      <c r="F10" s="1409" t="s">
        <v>132</v>
      </c>
      <c r="G10" s="1405" t="s">
        <v>133</v>
      </c>
      <c r="H10" s="1406"/>
      <c r="I10" s="1406"/>
      <c r="J10" s="1406"/>
      <c r="K10" s="1407"/>
      <c r="L10" s="1407"/>
      <c r="M10" s="1407"/>
      <c r="N10" s="1407"/>
      <c r="O10" s="1406"/>
      <c r="P10" s="1406"/>
      <c r="Q10" s="1406"/>
      <c r="R10" s="1406"/>
      <c r="S10" s="1406"/>
      <c r="T10" s="1407"/>
      <c r="U10" s="1406"/>
      <c r="V10" s="1406"/>
      <c r="W10" s="1407"/>
      <c r="X10" s="1408"/>
      <c r="Y10" s="1414" t="s">
        <v>134</v>
      </c>
      <c r="Z10" s="1414" t="s">
        <v>154</v>
      </c>
      <c r="AA10" s="1410" t="s">
        <v>135</v>
      </c>
    </row>
    <row r="11" spans="1:29" s="581" customFormat="1" ht="39.75" customHeight="1">
      <c r="A11" s="1419"/>
      <c r="B11" s="1420"/>
      <c r="C11" s="1409"/>
      <c r="D11" s="1424"/>
      <c r="E11" s="1424"/>
      <c r="F11" s="1409"/>
      <c r="G11" s="1409" t="s">
        <v>155</v>
      </c>
      <c r="H11" s="1409"/>
      <c r="I11" s="1410" t="s">
        <v>137</v>
      </c>
      <c r="J11" s="1410"/>
      <c r="K11" s="1411"/>
      <c r="L11" s="1411"/>
      <c r="M11" s="1411"/>
      <c r="N11" s="1411"/>
      <c r="O11" s="1410"/>
      <c r="P11" s="1410"/>
      <c r="Q11" s="1412" t="s">
        <v>156</v>
      </c>
      <c r="R11" s="1412"/>
      <c r="S11" s="1412"/>
      <c r="T11" s="1413"/>
      <c r="U11" s="1412"/>
      <c r="V11" s="1412"/>
      <c r="W11" s="1413"/>
      <c r="X11" s="1412"/>
      <c r="Y11" s="1415"/>
      <c r="Z11" s="1415"/>
      <c r="AA11" s="1410"/>
    </row>
    <row r="12" spans="1:29" s="580" customFormat="1" ht="134.25" customHeight="1">
      <c r="A12" s="1421"/>
      <c r="B12" s="1422"/>
      <c r="C12" s="1409"/>
      <c r="D12" s="1425"/>
      <c r="E12" s="1425"/>
      <c r="F12" s="1426"/>
      <c r="G12" s="76" t="s">
        <v>126</v>
      </c>
      <c r="H12" s="857" t="s">
        <v>138</v>
      </c>
      <c r="I12" s="870" t="s">
        <v>139</v>
      </c>
      <c r="J12" s="871" t="s">
        <v>555</v>
      </c>
      <c r="K12" s="871" t="s">
        <v>157</v>
      </c>
      <c r="L12" s="871" t="s">
        <v>556</v>
      </c>
      <c r="M12" s="743" t="s">
        <v>591</v>
      </c>
      <c r="N12" s="743" t="s">
        <v>592</v>
      </c>
      <c r="O12" s="872" t="s">
        <v>140</v>
      </c>
      <c r="P12" s="872" t="s">
        <v>141</v>
      </c>
      <c r="Q12" s="873" t="s">
        <v>142</v>
      </c>
      <c r="R12" s="873" t="s">
        <v>143</v>
      </c>
      <c r="S12" s="873" t="s">
        <v>490</v>
      </c>
      <c r="T12" s="873" t="s">
        <v>491</v>
      </c>
      <c r="U12" s="874" t="s">
        <v>522</v>
      </c>
      <c r="V12" s="873" t="s">
        <v>463</v>
      </c>
      <c r="W12" s="875" t="s">
        <v>434</v>
      </c>
      <c r="X12" s="872" t="s">
        <v>144</v>
      </c>
      <c r="Y12" s="1416"/>
      <c r="Z12" s="1416"/>
      <c r="AA12" s="1410"/>
    </row>
    <row r="13" spans="1:29" s="128" customFormat="1" ht="51" customHeight="1">
      <c r="A13" s="483">
        <v>1</v>
      </c>
      <c r="B13" s="483"/>
      <c r="C13" s="487" t="s">
        <v>264</v>
      </c>
      <c r="D13" s="636" t="str">
        <f>+'Biểu 1 TH CÔNG'!C11</f>
        <v>Phò Thưng</v>
      </c>
      <c r="E13" s="485"/>
      <c r="F13" s="483" t="s">
        <v>6</v>
      </c>
      <c r="G13" s="627"/>
      <c r="H13" s="486">
        <f t="shared" ref="H13:H81" si="0">G13*25000</f>
        <v>0</v>
      </c>
      <c r="I13" s="628">
        <f>VLOOKUP(D13,'Biểu 2 TH MỦ TẠP'!$C$11:$AI$87,33,0)</f>
        <v>2552</v>
      </c>
      <c r="J13" s="628">
        <f>VLOOKUP(D13,'Biểu 2 TH MỦ TẠP'!$C$11:$AK$87,35,0)</f>
        <v>1028.7722058839815</v>
      </c>
      <c r="K13" s="742">
        <v>0</v>
      </c>
      <c r="L13" s="742">
        <v>0</v>
      </c>
      <c r="M13" s="991">
        <f>+VLOOKUP(D13,'Biểu 2 TH MỦ TẠP'!$C$11:$AN$87,38,0)</f>
        <v>100.41808100171755</v>
      </c>
      <c r="N13" s="634">
        <f>+J13+L13+M13</f>
        <v>1129.1902868856992</v>
      </c>
      <c r="O13" s="628" t="str">
        <f>VLOOKUP(D13,'Biểu 2 TH MỦ TẠP'!$C$11:$AP$87,40,0)</f>
        <v>A</v>
      </c>
      <c r="P13" s="629">
        <f>(IF(O13="A",(N13*6.1),IF(O13="B",(N13*5.8),IF(O13="C",(N13*5.5),IF(O13="D",(N13*5.2),0))))*$G$8)</f>
        <v>4132836.4500016589</v>
      </c>
      <c r="Q13" s="628">
        <f>VLOOKUP(D13,'Biểu 1 TH CÔNG'!$C$11:$AI$88,33,0)</f>
        <v>27</v>
      </c>
      <c r="R13" s="628">
        <f>VLOOKUP(D13,'Biểu 1 TH CÔNG'!$C$11:$AJ$88,34,0)</f>
        <v>4</v>
      </c>
      <c r="S13" s="628">
        <f>VLOOKUP(D13,'Biểu 1 TH CÔNG'!$C$11:$AK$88,35,0)</f>
        <v>0</v>
      </c>
      <c r="T13" s="628">
        <f>VLOOKUP(D13,'Biểu 1 TH CÔNG'!$C$11:$AL$88,36,0)</f>
        <v>0</v>
      </c>
      <c r="U13" s="630">
        <f>+S13+T13</f>
        <v>0</v>
      </c>
      <c r="V13" s="628">
        <f>VLOOKUP(D13,'Biểu 1 TH CÔNG'!$C$11:$AM$88,37,0)</f>
        <v>31</v>
      </c>
      <c r="W13" s="630">
        <v>0</v>
      </c>
      <c r="X13" s="629">
        <f>ROUND(((Q13*46.1*$H$8)+(R13*76.9*$H$8)+(S13*(46.1*2*$H$8))+(U13*100000)+(T13*(76.9*2*$H$8))+(V13*20000)+(W13*30.7*$H$8)),0)</f>
        <v>1656874</v>
      </c>
      <c r="Y13" s="631">
        <f>+P13+H13+X13</f>
        <v>5789710.4500016589</v>
      </c>
      <c r="Z13" s="632"/>
      <c r="AA13" s="632">
        <f>Y13-Z13</f>
        <v>5789710.4500016589</v>
      </c>
      <c r="AC13" s="205">
        <f>SUM(AA13:AA53)</f>
        <v>230523182.29043821</v>
      </c>
    </row>
    <row r="14" spans="1:29" s="128" customFormat="1" ht="51" customHeight="1">
      <c r="A14" s="483">
        <v>2</v>
      </c>
      <c r="B14" s="483"/>
      <c r="C14" s="487" t="s">
        <v>269</v>
      </c>
      <c r="D14" s="636" t="str">
        <f>+'Biểu 1 TH CÔNG'!C12</f>
        <v>A Nhợp</v>
      </c>
      <c r="E14" s="485"/>
      <c r="F14" s="483" t="s">
        <v>6</v>
      </c>
      <c r="G14" s="627"/>
      <c r="H14" s="486">
        <f t="shared" si="0"/>
        <v>0</v>
      </c>
      <c r="I14" s="628">
        <f>VLOOKUP(D14,'Biểu 2 TH MỦ TẠP'!$C$11:$AI$87,33,0)</f>
        <v>2734</v>
      </c>
      <c r="J14" s="628">
        <f>VLOOKUP(D14,'Biểu 2 TH MỦ TẠP'!$C$11:$AK$87,35,0)</f>
        <v>1102.1407566170869</v>
      </c>
      <c r="K14" s="742">
        <v>0</v>
      </c>
      <c r="L14" s="742">
        <v>0</v>
      </c>
      <c r="M14" s="991">
        <f>+VLOOKUP(D14,'Biểu 2 TH MỦ TẠP'!$C$11:$AN$87,38,0)</f>
        <v>107.57955856531966</v>
      </c>
      <c r="N14" s="634">
        <f t="shared" ref="N14:N77" si="1">+J14+L14+M14</f>
        <v>1209.7203151824067</v>
      </c>
      <c r="O14" s="628" t="str">
        <f>VLOOKUP(D14,'Biểu 2 TH MỦ TẠP'!$C$11:$AP$87,40,0)</f>
        <v>C</v>
      </c>
      <c r="P14" s="629">
        <f t="shared" ref="P14:P77" si="2">(IF(O14="A",(N14*6.1),IF(O14="B",(N14*5.8),IF(O14="C",(N14*5.5),IF(O14="D",(N14*5.2),0))))*$G$8)</f>
        <v>3992077.0401019421</v>
      </c>
      <c r="Q14" s="628">
        <f>VLOOKUP(D14,'Biểu 1 TH CÔNG'!$C$11:$AI$88,33,0)</f>
        <v>26</v>
      </c>
      <c r="R14" s="628">
        <f>VLOOKUP(D14,'Biểu 1 TH CÔNG'!$C$11:$AJ$88,34,0)</f>
        <v>4</v>
      </c>
      <c r="S14" s="628">
        <f>VLOOKUP(D14,'Biểu 1 TH CÔNG'!$C$11:$AK$88,35,0)</f>
        <v>0</v>
      </c>
      <c r="T14" s="628">
        <f>VLOOKUP(D14,'Biểu 1 TH CÔNG'!$C$11:$AL$88,36,0)</f>
        <v>0</v>
      </c>
      <c r="U14" s="630">
        <f t="shared" ref="U14:U77" si="3">+S14+T14</f>
        <v>0</v>
      </c>
      <c r="V14" s="628">
        <f>VLOOKUP(D14,'Biểu 1 TH CÔNG'!$C$11:$AM$88,37,0)</f>
        <v>30</v>
      </c>
      <c r="W14" s="630">
        <v>0</v>
      </c>
      <c r="X14" s="629">
        <f t="shared" ref="X14:X77" si="4">ROUND(((Q14*46.1*$H$8)+(R14*76.9*$H$8)+(S14*(46.1*2*$H$8))+(U14*100000)+(T14*(76.9*2*$H$8))+(V14*20000)+(W14*30.7*$H$8)),0)</f>
        <v>1606081</v>
      </c>
      <c r="Y14" s="631">
        <f t="shared" ref="Y14:Y77" si="5">+P14+H14+X14</f>
        <v>5598158.0401019417</v>
      </c>
      <c r="Z14" s="632"/>
      <c r="AA14" s="632">
        <f t="shared" ref="AA14:AA77" si="6">Y14-Z14</f>
        <v>5598158.0401019417</v>
      </c>
    </row>
    <row r="15" spans="1:29" s="128" customFormat="1" ht="51" customHeight="1">
      <c r="A15" s="483">
        <v>3</v>
      </c>
      <c r="B15" s="483"/>
      <c r="C15" s="487"/>
      <c r="D15" s="636" t="str">
        <f>+'Biểu 1 TH CÔNG'!C13</f>
        <v>Van</v>
      </c>
      <c r="E15" s="485"/>
      <c r="F15" s="483" t="s">
        <v>6</v>
      </c>
      <c r="G15" s="627"/>
      <c r="H15" s="486">
        <f t="shared" si="0"/>
        <v>0</v>
      </c>
      <c r="I15" s="628">
        <f>VLOOKUP(D15,'Biểu 2 TH MỦ TẠP'!$C$11:$AI$87,33,0)</f>
        <v>2493</v>
      </c>
      <c r="J15" s="628">
        <f>VLOOKUP(D15,'Biểu 2 TH MỦ TẠP'!$C$11:$AK$87,35,0)</f>
        <v>1004.9878954814915</v>
      </c>
      <c r="K15" s="742">
        <v>0</v>
      </c>
      <c r="L15" s="742">
        <v>0</v>
      </c>
      <c r="M15" s="991">
        <f>+VLOOKUP(D15,'Biểu 2 TH MỦ TẠP'!$C$11:$AN$87,38,0)</f>
        <v>98.096503110220141</v>
      </c>
      <c r="N15" s="634">
        <f t="shared" si="1"/>
        <v>1103.0843985917115</v>
      </c>
      <c r="O15" s="628" t="str">
        <f>VLOOKUP(D15,'Biểu 2 TH MỦ TẠP'!$C$11:$AP$87,40,0)</f>
        <v>B</v>
      </c>
      <c r="P15" s="629">
        <f t="shared" si="2"/>
        <v>3838733.707099156</v>
      </c>
      <c r="Q15" s="628">
        <f>VLOOKUP(D15,'Biểu 1 TH CÔNG'!$C$11:$AI$88,33,0)</f>
        <v>23</v>
      </c>
      <c r="R15" s="628">
        <f>VLOOKUP(D15,'Biểu 1 TH CÔNG'!$C$11:$AJ$88,34,0)</f>
        <v>4</v>
      </c>
      <c r="S15" s="628">
        <f>VLOOKUP(D15,'Biểu 1 TH CÔNG'!$C$11:$AK$88,35,0)</f>
        <v>0</v>
      </c>
      <c r="T15" s="628">
        <f>VLOOKUP(D15,'Biểu 1 TH CÔNG'!$C$11:$AL$88,36,0)</f>
        <v>0</v>
      </c>
      <c r="U15" s="630">
        <f t="shared" si="3"/>
        <v>0</v>
      </c>
      <c r="V15" s="628">
        <f>VLOOKUP(D15,'Biểu 1 TH CÔNG'!$C$11:$AM$88,37,0)</f>
        <v>27</v>
      </c>
      <c r="W15" s="630">
        <v>0</v>
      </c>
      <c r="X15" s="629">
        <f t="shared" si="4"/>
        <v>1453702</v>
      </c>
      <c r="Y15" s="631">
        <f t="shared" si="5"/>
        <v>5292435.7070991565</v>
      </c>
      <c r="Z15" s="632"/>
      <c r="AA15" s="632">
        <f t="shared" si="6"/>
        <v>5292435.7070991565</v>
      </c>
    </row>
    <row r="16" spans="1:29" s="128" customFormat="1" ht="51" customHeight="1">
      <c r="A16" s="483">
        <v>4</v>
      </c>
      <c r="B16" s="483"/>
      <c r="C16" s="484"/>
      <c r="D16" s="636" t="str">
        <f>+'Biểu 1 TH CÔNG'!C14</f>
        <v>Thảo Khọt</v>
      </c>
      <c r="E16" s="485"/>
      <c r="F16" s="483" t="s">
        <v>6</v>
      </c>
      <c r="G16" s="627"/>
      <c r="H16" s="486">
        <f t="shared" si="0"/>
        <v>0</v>
      </c>
      <c r="I16" s="628">
        <f>VLOOKUP(D16,'Biểu 2 TH MỦ TẠP'!$C$11:$AI$87,33,0)</f>
        <v>3174</v>
      </c>
      <c r="J16" s="628">
        <f>VLOOKUP(D16,'Biểu 2 TH MỦ TẠP'!$C$11:$AK$87,35,0)</f>
        <v>1279.5152748729458</v>
      </c>
      <c r="K16" s="742">
        <v>0</v>
      </c>
      <c r="L16" s="742">
        <v>0</v>
      </c>
      <c r="M16" s="991">
        <f>+VLOOKUP(D16,'Biểu 2 TH MỦ TẠP'!$C$11:$AN$87,38,0)</f>
        <v>124.89302080699508</v>
      </c>
      <c r="N16" s="634">
        <f t="shared" si="1"/>
        <v>1404.4082956799409</v>
      </c>
      <c r="O16" s="628" t="str">
        <f>VLOOKUP(D16,'Biểu 2 TH MỦ TẠP'!$C$11:$AP$87,40,0)</f>
        <v>A</v>
      </c>
      <c r="P16" s="629">
        <f t="shared" si="2"/>
        <v>5140134.3621885832</v>
      </c>
      <c r="Q16" s="628">
        <f>VLOOKUP(D16,'Biểu 1 TH CÔNG'!$C$11:$AI$88,33,0)</f>
        <v>27</v>
      </c>
      <c r="R16" s="628">
        <f>VLOOKUP(D16,'Biểu 1 TH CÔNG'!$C$11:$AJ$88,34,0)</f>
        <v>4</v>
      </c>
      <c r="S16" s="628">
        <f>VLOOKUP(D16,'Biểu 1 TH CÔNG'!$C$11:$AK$88,35,0)</f>
        <v>0</v>
      </c>
      <c r="T16" s="628">
        <f>VLOOKUP(D16,'Biểu 1 TH CÔNG'!$C$11:$AL$88,36,0)</f>
        <v>0</v>
      </c>
      <c r="U16" s="630">
        <f t="shared" si="3"/>
        <v>0</v>
      </c>
      <c r="V16" s="628">
        <f>VLOOKUP(D16,'Biểu 1 TH CÔNG'!$C$11:$AM$88,37,0)</f>
        <v>31</v>
      </c>
      <c r="W16" s="630">
        <v>0</v>
      </c>
      <c r="X16" s="629">
        <f t="shared" si="4"/>
        <v>1656874</v>
      </c>
      <c r="Y16" s="631">
        <f t="shared" si="5"/>
        <v>6797008.3621885832</v>
      </c>
      <c r="Z16" s="632"/>
      <c r="AA16" s="632">
        <f t="shared" si="6"/>
        <v>6797008.3621885832</v>
      </c>
    </row>
    <row r="17" spans="1:27" s="128" customFormat="1" ht="51" customHeight="1">
      <c r="A17" s="483">
        <v>5</v>
      </c>
      <c r="B17" s="483"/>
      <c r="C17" s="484" t="s">
        <v>267</v>
      </c>
      <c r="D17" s="636" t="str">
        <f>+'Biểu 1 TH CÔNG'!C15</f>
        <v>A Cơ</v>
      </c>
      <c r="E17" s="485"/>
      <c r="F17" s="483" t="s">
        <v>6</v>
      </c>
      <c r="G17" s="627"/>
      <c r="H17" s="486">
        <f t="shared" si="0"/>
        <v>0</v>
      </c>
      <c r="I17" s="628">
        <f>VLOOKUP(D17,'Biểu 2 TH MỦ TẠP'!$C$11:$AI$87,33,0)</f>
        <v>2417</v>
      </c>
      <c r="J17" s="628">
        <f>VLOOKUP(D17,'Biểu 2 TH MỦ TẠP'!$C$11:$AK$87,35,0)</f>
        <v>974.35047869184302</v>
      </c>
      <c r="K17" s="742">
        <v>0</v>
      </c>
      <c r="L17" s="742">
        <v>0</v>
      </c>
      <c r="M17" s="991">
        <f>+VLOOKUP(D17,'Biểu 2 TH MỦ TẠP'!$C$11:$AN$87,38,0)</f>
        <v>95.105995995748941</v>
      </c>
      <c r="N17" s="634">
        <f t="shared" si="1"/>
        <v>1069.4564746875919</v>
      </c>
      <c r="O17" s="628" t="str">
        <f>VLOOKUP(D17,'Biểu 2 TH MỦ TẠP'!$C$11:$AP$87,40,0)</f>
        <v>B</v>
      </c>
      <c r="P17" s="629">
        <f t="shared" si="2"/>
        <v>3721708.5319128199</v>
      </c>
      <c r="Q17" s="628">
        <f>VLOOKUP(D17,'Biểu 1 TH CÔNG'!$C$11:$AI$88,33,0)</f>
        <v>27</v>
      </c>
      <c r="R17" s="628">
        <f>VLOOKUP(D17,'Biểu 1 TH CÔNG'!$C$11:$AJ$88,34,0)</f>
        <v>4</v>
      </c>
      <c r="S17" s="628">
        <f>VLOOKUP(D17,'Biểu 1 TH CÔNG'!$C$11:$AK$88,35,0)</f>
        <v>0</v>
      </c>
      <c r="T17" s="628">
        <f>VLOOKUP(D17,'Biểu 1 TH CÔNG'!$C$11:$AL$88,36,0)</f>
        <v>0</v>
      </c>
      <c r="U17" s="630">
        <f t="shared" si="3"/>
        <v>0</v>
      </c>
      <c r="V17" s="628">
        <f>VLOOKUP(D17,'Biểu 1 TH CÔNG'!$C$11:$AM$88,37,0)</f>
        <v>31</v>
      </c>
      <c r="W17" s="630">
        <v>0</v>
      </c>
      <c r="X17" s="629">
        <f t="shared" si="4"/>
        <v>1656874</v>
      </c>
      <c r="Y17" s="631">
        <f t="shared" si="5"/>
        <v>5378582.5319128204</v>
      </c>
      <c r="Z17" s="632"/>
      <c r="AA17" s="632">
        <f t="shared" si="6"/>
        <v>5378582.5319128204</v>
      </c>
    </row>
    <row r="18" spans="1:27" s="128" customFormat="1" ht="51" customHeight="1">
      <c r="A18" s="483">
        <v>6</v>
      </c>
      <c r="B18" s="483"/>
      <c r="C18" s="484" t="s">
        <v>271</v>
      </c>
      <c r="D18" s="636" t="str">
        <f>+'Biểu 1 TH CÔNG'!C16</f>
        <v>Phơ</v>
      </c>
      <c r="E18" s="485"/>
      <c r="F18" s="483" t="s">
        <v>6</v>
      </c>
      <c r="G18" s="627"/>
      <c r="H18" s="486">
        <f t="shared" si="0"/>
        <v>0</v>
      </c>
      <c r="I18" s="628">
        <f>VLOOKUP(D18,'Biểu 2 TH MỦ TẠP'!$C$11:$AI$87,33,0)</f>
        <v>2201</v>
      </c>
      <c r="J18" s="628">
        <f>VLOOKUP(D18,'Biểu 2 TH MỦ TẠP'!$C$11:$AK$87,35,0)</f>
        <v>887.27571518442141</v>
      </c>
      <c r="K18" s="742">
        <v>0</v>
      </c>
      <c r="L18" s="742">
        <v>0</v>
      </c>
      <c r="M18" s="991">
        <f>+VLOOKUP(D18,'Biểu 2 TH MỦ TẠP'!$C$11:$AN$87,38,0)</f>
        <v>86.606659986199176</v>
      </c>
      <c r="N18" s="634">
        <f t="shared" si="1"/>
        <v>973.88237517062055</v>
      </c>
      <c r="O18" s="628" t="str">
        <f>VLOOKUP(D18,'Biểu 2 TH MỦ TẠP'!$C$11:$AP$87,40,0)</f>
        <v>A</v>
      </c>
      <c r="P18" s="629">
        <f t="shared" si="2"/>
        <v>3564409.493124471</v>
      </c>
      <c r="Q18" s="628">
        <f>VLOOKUP(D18,'Biểu 1 TH CÔNG'!$C$11:$AI$88,33,0)</f>
        <v>27</v>
      </c>
      <c r="R18" s="628">
        <f>VLOOKUP(D18,'Biểu 1 TH CÔNG'!$C$11:$AJ$88,34,0)</f>
        <v>2</v>
      </c>
      <c r="S18" s="628">
        <f>VLOOKUP(D18,'Biểu 1 TH CÔNG'!$C$11:$AK$88,35,0)</f>
        <v>0</v>
      </c>
      <c r="T18" s="628">
        <f>VLOOKUP(D18,'Biểu 1 TH CÔNG'!$C$11:$AL$88,36,0)</f>
        <v>0</v>
      </c>
      <c r="U18" s="630">
        <f t="shared" si="3"/>
        <v>0</v>
      </c>
      <c r="V18" s="628">
        <f>VLOOKUP(D18,'Biểu 1 TH CÔNG'!$C$11:$AM$88,37,0)</f>
        <v>29</v>
      </c>
      <c r="W18" s="630">
        <v>0</v>
      </c>
      <c r="X18" s="629">
        <f t="shared" si="4"/>
        <v>1514142</v>
      </c>
      <c r="Y18" s="631">
        <f t="shared" si="5"/>
        <v>5078551.493124471</v>
      </c>
      <c r="Z18" s="632"/>
      <c r="AA18" s="632">
        <f t="shared" si="6"/>
        <v>5078551.493124471</v>
      </c>
    </row>
    <row r="19" spans="1:27" s="128" customFormat="1" ht="51" customHeight="1">
      <c r="A19" s="483">
        <v>7</v>
      </c>
      <c r="B19" s="483"/>
      <c r="C19" s="487" t="s">
        <v>272</v>
      </c>
      <c r="D19" s="636" t="str">
        <f>+'Biểu 1 TH CÔNG'!C17</f>
        <v>A phơ</v>
      </c>
      <c r="E19" s="485"/>
      <c r="F19" s="483" t="s">
        <v>6</v>
      </c>
      <c r="G19" s="627"/>
      <c r="H19" s="486">
        <f t="shared" si="0"/>
        <v>0</v>
      </c>
      <c r="I19" s="628">
        <f>VLOOKUP(D19,'Biểu 2 TH MỦ TẠP'!$C$11:$AI$87,33,0)</f>
        <v>2727</v>
      </c>
      <c r="J19" s="628">
        <f>VLOOKUP(D19,'Biểu 2 TH MỦ TẠP'!$C$11:$AK$87,35,0)</f>
        <v>1099.3188892811982</v>
      </c>
      <c r="K19" s="742">
        <v>0</v>
      </c>
      <c r="L19" s="742">
        <v>0</v>
      </c>
      <c r="M19" s="991">
        <f>+VLOOKUP(D19,'Biểu 2 TH MỦ TẠP'!$C$11:$AN$87,38,0)</f>
        <v>107.30411712056572</v>
      </c>
      <c r="N19" s="634">
        <f t="shared" si="1"/>
        <v>1206.6230064017639</v>
      </c>
      <c r="O19" s="628" t="str">
        <f>VLOOKUP(D19,'Biểu 2 TH MỦ TẠP'!$C$11:$AP$87,40,0)</f>
        <v>B</v>
      </c>
      <c r="P19" s="629">
        <f t="shared" si="2"/>
        <v>4199048.0622781375</v>
      </c>
      <c r="Q19" s="628">
        <f>VLOOKUP(D19,'Biểu 1 TH CÔNG'!$C$11:$AI$88,33,0)</f>
        <v>27</v>
      </c>
      <c r="R19" s="628">
        <f>VLOOKUP(D19,'Biểu 1 TH CÔNG'!$C$11:$AJ$88,34,0)</f>
        <v>4</v>
      </c>
      <c r="S19" s="628">
        <f>VLOOKUP(D19,'Biểu 1 TH CÔNG'!$C$11:$AK$88,35,0)</f>
        <v>0</v>
      </c>
      <c r="T19" s="628">
        <f>VLOOKUP(D19,'Biểu 1 TH CÔNG'!$C$11:$AL$88,36,0)</f>
        <v>0</v>
      </c>
      <c r="U19" s="630">
        <f t="shared" si="3"/>
        <v>0</v>
      </c>
      <c r="V19" s="628">
        <f>VLOOKUP(D19,'Biểu 1 TH CÔNG'!$C$11:$AM$88,37,0)</f>
        <v>31</v>
      </c>
      <c r="W19" s="630">
        <v>0</v>
      </c>
      <c r="X19" s="629">
        <f t="shared" si="4"/>
        <v>1656874</v>
      </c>
      <c r="Y19" s="631">
        <f t="shared" si="5"/>
        <v>5855922.0622781375</v>
      </c>
      <c r="Z19" s="632"/>
      <c r="AA19" s="632">
        <f t="shared" si="6"/>
        <v>5855922.0622781375</v>
      </c>
    </row>
    <row r="20" spans="1:27" s="128" customFormat="1" ht="51" customHeight="1">
      <c r="A20" s="483">
        <v>8</v>
      </c>
      <c r="B20" s="483"/>
      <c r="C20" s="487"/>
      <c r="D20" s="636" t="str">
        <f>+'Biểu 1 TH CÔNG'!C18</f>
        <v>Nang Đăm</v>
      </c>
      <c r="E20" s="485"/>
      <c r="F20" s="483" t="s">
        <v>6</v>
      </c>
      <c r="G20" s="627"/>
      <c r="H20" s="486">
        <f t="shared" si="0"/>
        <v>0</v>
      </c>
      <c r="I20" s="628">
        <f>VLOOKUP(D20,'Biểu 2 TH MỦ TẠP'!$C$11:$AI$87,33,0)</f>
        <v>1824</v>
      </c>
      <c r="J20" s="628">
        <f>VLOOKUP(D20,'Biểu 2 TH MỦ TẠP'!$C$11:$AK$87,35,0)</f>
        <v>735.29800295156053</v>
      </c>
      <c r="K20" s="742">
        <v>0</v>
      </c>
      <c r="L20" s="742">
        <v>0</v>
      </c>
      <c r="M20" s="991">
        <f>+VLOOKUP(D20,'Biểu 2 TH MỦ TẠP'!$C$11:$AN$87,38,0)</f>
        <v>71.772170747309076</v>
      </c>
      <c r="N20" s="634">
        <f t="shared" si="1"/>
        <v>807.07017369886967</v>
      </c>
      <c r="O20" s="628" t="str">
        <f>VLOOKUP(D20,'Biểu 2 TH MỦ TẠP'!$C$11:$AP$87,40,0)</f>
        <v>B</v>
      </c>
      <c r="P20" s="629">
        <f t="shared" si="2"/>
        <v>2808604.2044720664</v>
      </c>
      <c r="Q20" s="628">
        <f>VLOOKUP(D20,'Biểu 1 TH CÔNG'!$C$11:$AI$88,33,0)</f>
        <v>26</v>
      </c>
      <c r="R20" s="628">
        <f>VLOOKUP(D20,'Biểu 1 TH CÔNG'!$C$11:$AJ$88,34,0)</f>
        <v>4</v>
      </c>
      <c r="S20" s="628">
        <f>VLOOKUP(D20,'Biểu 1 TH CÔNG'!$C$11:$AK$88,35,0)</f>
        <v>0</v>
      </c>
      <c r="T20" s="628">
        <f>VLOOKUP(D20,'Biểu 1 TH CÔNG'!$C$11:$AL$88,36,0)</f>
        <v>0</v>
      </c>
      <c r="U20" s="630">
        <f t="shared" si="3"/>
        <v>0</v>
      </c>
      <c r="V20" s="628">
        <f>VLOOKUP(D20,'Biểu 1 TH CÔNG'!$C$11:$AM$88,37,0)</f>
        <v>30</v>
      </c>
      <c r="W20" s="630">
        <v>0</v>
      </c>
      <c r="X20" s="629">
        <f t="shared" si="4"/>
        <v>1606081</v>
      </c>
      <c r="Y20" s="631">
        <f t="shared" si="5"/>
        <v>4414685.2044720668</v>
      </c>
      <c r="Z20" s="632"/>
      <c r="AA20" s="632">
        <f t="shared" si="6"/>
        <v>4414685.2044720668</v>
      </c>
    </row>
    <row r="21" spans="1:27" s="128" customFormat="1" ht="51" customHeight="1">
      <c r="A21" s="483">
        <v>9</v>
      </c>
      <c r="B21" s="483"/>
      <c r="C21" s="487"/>
      <c r="D21" s="636" t="str">
        <f>+'Biểu 1 TH CÔNG'!C19</f>
        <v>Nang Sun</v>
      </c>
      <c r="E21" s="485"/>
      <c r="F21" s="483" t="s">
        <v>6</v>
      </c>
      <c r="G21" s="627"/>
      <c r="H21" s="486">
        <f t="shared" si="0"/>
        <v>0</v>
      </c>
      <c r="I21" s="628">
        <f>VLOOKUP(D21,'Biểu 2 TH MỦ TẠP'!$C$11:$AI$87,33,0)</f>
        <v>2317</v>
      </c>
      <c r="J21" s="628">
        <f>VLOOKUP(D21,'Biểu 2 TH MỦ TẠP'!$C$11:$AK$87,35,0)</f>
        <v>934.03808817914785</v>
      </c>
      <c r="K21" s="742">
        <v>0</v>
      </c>
      <c r="L21" s="742">
        <v>0</v>
      </c>
      <c r="M21" s="991">
        <f>+VLOOKUP(D21,'Biểu 2 TH MỦ TẠP'!$C$11:$AN$87,38,0)</f>
        <v>91.171118213549974</v>
      </c>
      <c r="N21" s="634">
        <f t="shared" si="1"/>
        <v>1025.2092063926978</v>
      </c>
      <c r="O21" s="628" t="str">
        <f>VLOOKUP(D21,'Biểu 2 TH MỦ TẠP'!$C$11:$AP$87,40,0)</f>
        <v>A</v>
      </c>
      <c r="P21" s="629">
        <f t="shared" si="2"/>
        <v>3752265.6953972736</v>
      </c>
      <c r="Q21" s="628">
        <f>VLOOKUP(D21,'Biểu 1 TH CÔNG'!$C$11:$AI$88,33,0)</f>
        <v>27</v>
      </c>
      <c r="R21" s="628">
        <f>VLOOKUP(D21,'Biểu 1 TH CÔNG'!$C$11:$AJ$88,34,0)</f>
        <v>4</v>
      </c>
      <c r="S21" s="628">
        <f>VLOOKUP(D21,'Biểu 1 TH CÔNG'!$C$11:$AK$88,35,0)</f>
        <v>0</v>
      </c>
      <c r="T21" s="628">
        <f>VLOOKUP(D21,'Biểu 1 TH CÔNG'!$C$11:$AL$88,36,0)</f>
        <v>0</v>
      </c>
      <c r="U21" s="630">
        <f t="shared" si="3"/>
        <v>0</v>
      </c>
      <c r="V21" s="628">
        <f>VLOOKUP(D21,'Biểu 1 TH CÔNG'!$C$11:$AM$88,37,0)</f>
        <v>31</v>
      </c>
      <c r="W21" s="630">
        <v>0</v>
      </c>
      <c r="X21" s="629">
        <f t="shared" si="4"/>
        <v>1656874</v>
      </c>
      <c r="Y21" s="631">
        <f t="shared" si="5"/>
        <v>5409139.6953972736</v>
      </c>
      <c r="Z21" s="632"/>
      <c r="AA21" s="632">
        <f t="shared" si="6"/>
        <v>5409139.6953972736</v>
      </c>
    </row>
    <row r="22" spans="1:27" s="128" customFormat="1" ht="51" customHeight="1">
      <c r="A22" s="483">
        <v>10</v>
      </c>
      <c r="B22" s="483"/>
      <c r="C22" s="484" t="s">
        <v>273</v>
      </c>
      <c r="D22" s="636" t="str">
        <f>+'Biểu 1 TH CÔNG'!C20</f>
        <v>A Nghen</v>
      </c>
      <c r="E22" s="485"/>
      <c r="F22" s="483" t="s">
        <v>6</v>
      </c>
      <c r="G22" s="627"/>
      <c r="H22" s="486">
        <f t="shared" si="0"/>
        <v>0</v>
      </c>
      <c r="I22" s="628">
        <f>VLOOKUP(D22,'Biểu 2 TH MỦ TẠP'!$C$11:$AI$87,33,0)</f>
        <v>1944</v>
      </c>
      <c r="J22" s="628">
        <f>VLOOKUP(D22,'Biểu 2 TH MỦ TẠP'!$C$11:$AK$87,35,0)</f>
        <v>783.67287156679481</v>
      </c>
      <c r="K22" s="742">
        <v>0</v>
      </c>
      <c r="L22" s="742">
        <v>0</v>
      </c>
      <c r="M22" s="991">
        <f>+VLOOKUP(D22,'Biểu 2 TH MỦ TẠP'!$C$11:$AN$87,38,0)</f>
        <v>76.494024085947842</v>
      </c>
      <c r="N22" s="634">
        <f t="shared" si="1"/>
        <v>860.1668956527426</v>
      </c>
      <c r="O22" s="628" t="str">
        <f>VLOOKUP(D22,'Biểu 2 TH MỦ TẠP'!$C$11:$AP$87,40,0)</f>
        <v>A</v>
      </c>
      <c r="P22" s="629">
        <f t="shared" si="2"/>
        <v>3148210.8380890377</v>
      </c>
      <c r="Q22" s="628">
        <f>VLOOKUP(D22,'Biểu 1 TH CÔNG'!$C$11:$AI$88,33,0)</f>
        <v>24</v>
      </c>
      <c r="R22" s="628">
        <f>VLOOKUP(D22,'Biểu 1 TH CÔNG'!$C$11:$AJ$88,34,0)</f>
        <v>4</v>
      </c>
      <c r="S22" s="628">
        <f>VLOOKUP(D22,'Biểu 1 TH CÔNG'!$C$11:$AK$88,35,0)</f>
        <v>0</v>
      </c>
      <c r="T22" s="628">
        <f>VLOOKUP(D22,'Biểu 1 TH CÔNG'!$C$11:$AL$88,36,0)</f>
        <v>0</v>
      </c>
      <c r="U22" s="630">
        <f t="shared" si="3"/>
        <v>0</v>
      </c>
      <c r="V22" s="628">
        <f>VLOOKUP(D22,'Biểu 1 TH CÔNG'!$C$11:$AM$88,37,0)</f>
        <v>28</v>
      </c>
      <c r="W22" s="630">
        <v>0</v>
      </c>
      <c r="X22" s="629">
        <f t="shared" si="4"/>
        <v>1504495</v>
      </c>
      <c r="Y22" s="631">
        <f t="shared" si="5"/>
        <v>4652705.8380890377</v>
      </c>
      <c r="Z22" s="632"/>
      <c r="AA22" s="632">
        <f t="shared" si="6"/>
        <v>4652705.8380890377</v>
      </c>
    </row>
    <row r="23" spans="1:27" s="128" customFormat="1" ht="51" customHeight="1">
      <c r="A23" s="483">
        <v>11</v>
      </c>
      <c r="B23" s="483"/>
      <c r="C23" s="484" t="s">
        <v>265</v>
      </c>
      <c r="D23" s="636" t="str">
        <f>+'Biểu 1 TH CÔNG'!C21</f>
        <v>Nguyễn Thị Thanh Trà</v>
      </c>
      <c r="E23" s="485"/>
      <c r="F23" s="483" t="s">
        <v>6</v>
      </c>
      <c r="G23" s="627"/>
      <c r="H23" s="486">
        <f t="shared" si="0"/>
        <v>0</v>
      </c>
      <c r="I23" s="628">
        <f>VLOOKUP(D23,'Biểu 2 TH MỦ TẠP'!$C$11:$AI$87,33,0)</f>
        <v>3039</v>
      </c>
      <c r="J23" s="628">
        <f>VLOOKUP(D23,'Biểu 2 TH MỦ TẠP'!$C$11:$AK$87,35,0)</f>
        <v>1225.0935476808072</v>
      </c>
      <c r="K23" s="742">
        <v>0</v>
      </c>
      <c r="L23" s="742">
        <v>0</v>
      </c>
      <c r="M23" s="991">
        <f>+VLOOKUP(D23,'Biểu 2 TH MỦ TẠP'!$C$11:$AN$87,38,0)</f>
        <v>119.58093580102648</v>
      </c>
      <c r="N23" s="634">
        <f t="shared" si="1"/>
        <v>1344.6744834818337</v>
      </c>
      <c r="O23" s="628" t="str">
        <f>VLOOKUP(D23,'Biểu 2 TH MỦ TẠP'!$C$11:$AP$87,40,0)</f>
        <v>A</v>
      </c>
      <c r="P23" s="629">
        <f t="shared" si="2"/>
        <v>4921508.6095435116</v>
      </c>
      <c r="Q23" s="628">
        <f>VLOOKUP(D23,'Biểu 1 TH CÔNG'!$C$11:$AI$88,33,0)</f>
        <v>27</v>
      </c>
      <c r="R23" s="628">
        <f>VLOOKUP(D23,'Biểu 1 TH CÔNG'!$C$11:$AJ$88,34,0)</f>
        <v>4</v>
      </c>
      <c r="S23" s="628">
        <f>VLOOKUP(D23,'Biểu 1 TH CÔNG'!$C$11:$AK$88,35,0)</f>
        <v>0</v>
      </c>
      <c r="T23" s="628">
        <f>VLOOKUP(D23,'Biểu 1 TH CÔNG'!$C$11:$AL$88,36,0)</f>
        <v>0</v>
      </c>
      <c r="U23" s="630">
        <f t="shared" si="3"/>
        <v>0</v>
      </c>
      <c r="V23" s="628">
        <f>VLOOKUP(D23,'Biểu 1 TH CÔNG'!$C$11:$AM$88,37,0)</f>
        <v>31</v>
      </c>
      <c r="W23" s="630">
        <v>0</v>
      </c>
      <c r="X23" s="629">
        <f t="shared" si="4"/>
        <v>1656874</v>
      </c>
      <c r="Y23" s="631">
        <f t="shared" si="5"/>
        <v>6578382.6095435116</v>
      </c>
      <c r="Z23" s="632"/>
      <c r="AA23" s="632">
        <f t="shared" si="6"/>
        <v>6578382.6095435116</v>
      </c>
    </row>
    <row r="24" spans="1:27" s="128" customFormat="1" ht="51" customHeight="1">
      <c r="A24" s="483">
        <v>12</v>
      </c>
      <c r="B24" s="483"/>
      <c r="C24" s="484" t="s">
        <v>274</v>
      </c>
      <c r="D24" s="636" t="str">
        <f>+'Biểu 1 TH CÔNG'!C22</f>
        <v>Phò Thít</v>
      </c>
      <c r="E24" s="485"/>
      <c r="F24" s="483" t="s">
        <v>6</v>
      </c>
      <c r="G24" s="627"/>
      <c r="H24" s="486">
        <f t="shared" si="0"/>
        <v>0</v>
      </c>
      <c r="I24" s="628">
        <f>VLOOKUP(D24,'Biểu 2 TH MỦ TẠP'!$C$11:$AI$87,33,0)</f>
        <v>2611</v>
      </c>
      <c r="J24" s="628">
        <f>VLOOKUP(D24,'Biểu 2 TH MỦ TẠP'!$C$11:$AK$87,35,0)</f>
        <v>1052.5565162864718</v>
      </c>
      <c r="K24" s="742">
        <v>0</v>
      </c>
      <c r="L24" s="742">
        <v>0</v>
      </c>
      <c r="M24" s="991">
        <f>+VLOOKUP(D24,'Biểu 2 TH MỦ TẠP'!$C$11:$AN$87,38,0)</f>
        <v>102.73965889321492</v>
      </c>
      <c r="N24" s="634">
        <f t="shared" si="1"/>
        <v>1155.2961751796868</v>
      </c>
      <c r="O24" s="628" t="str">
        <f>VLOOKUP(D24,'Biểu 2 TH MỦ TẠP'!$C$11:$AP$87,40,0)</f>
        <v>A</v>
      </c>
      <c r="P24" s="629">
        <f t="shared" si="2"/>
        <v>4228384.0011576535</v>
      </c>
      <c r="Q24" s="628">
        <f>VLOOKUP(D24,'Biểu 1 TH CÔNG'!$C$11:$AI$88,33,0)</f>
        <v>27</v>
      </c>
      <c r="R24" s="628">
        <f>VLOOKUP(D24,'Biểu 1 TH CÔNG'!$C$11:$AJ$88,34,0)</f>
        <v>4</v>
      </c>
      <c r="S24" s="628">
        <f>VLOOKUP(D24,'Biểu 1 TH CÔNG'!$C$11:$AK$88,35,0)</f>
        <v>0</v>
      </c>
      <c r="T24" s="628">
        <f>VLOOKUP(D24,'Biểu 1 TH CÔNG'!$C$11:$AL$88,36,0)</f>
        <v>0</v>
      </c>
      <c r="U24" s="630">
        <f t="shared" si="3"/>
        <v>0</v>
      </c>
      <c r="V24" s="628">
        <f>VLOOKUP(D24,'Biểu 1 TH CÔNG'!$C$11:$AM$88,37,0)</f>
        <v>31</v>
      </c>
      <c r="W24" s="630">
        <v>0</v>
      </c>
      <c r="X24" s="629">
        <f t="shared" si="4"/>
        <v>1656874</v>
      </c>
      <c r="Y24" s="631">
        <f t="shared" si="5"/>
        <v>5885258.0011576535</v>
      </c>
      <c r="Z24" s="632"/>
      <c r="AA24" s="632">
        <f t="shared" si="6"/>
        <v>5885258.0011576535</v>
      </c>
    </row>
    <row r="25" spans="1:27" s="128" customFormat="1" ht="51" customHeight="1">
      <c r="A25" s="483">
        <v>13</v>
      </c>
      <c r="B25" s="483"/>
      <c r="C25" s="484" t="s">
        <v>275</v>
      </c>
      <c r="D25" s="636" t="str">
        <f>+'Biểu 1 TH CÔNG'!C23</f>
        <v>A Bợp</v>
      </c>
      <c r="E25" s="485"/>
      <c r="F25" s="483" t="s">
        <v>6</v>
      </c>
      <c r="G25" s="627"/>
      <c r="H25" s="486">
        <f t="shared" si="0"/>
        <v>0</v>
      </c>
      <c r="I25" s="628">
        <f>VLOOKUP(D25,'Biểu 2 TH MỦ TẠP'!$C$11:$AI$87,33,0)</f>
        <v>3253</v>
      </c>
      <c r="J25" s="628">
        <f>VLOOKUP(D25,'Biểu 2 TH MỦ TẠP'!$C$11:$AK$87,35,0)</f>
        <v>1311.3620633779749</v>
      </c>
      <c r="K25" s="742">
        <v>0</v>
      </c>
      <c r="L25" s="742">
        <v>0</v>
      </c>
      <c r="M25" s="991">
        <f>+VLOOKUP(D25,'Biểu 2 TH MỦ TẠP'!$C$11:$AN$87,38,0)</f>
        <v>128.00157425493228</v>
      </c>
      <c r="N25" s="634">
        <f t="shared" si="1"/>
        <v>1439.3636376329073</v>
      </c>
      <c r="O25" s="628" t="str">
        <f>VLOOKUP(D25,'Biểu 2 TH MỦ TẠP'!$C$11:$AP$87,40,0)</f>
        <v>B</v>
      </c>
      <c r="P25" s="629">
        <f t="shared" si="2"/>
        <v>5008985.4589625169</v>
      </c>
      <c r="Q25" s="628">
        <f>VLOOKUP(D25,'Biểu 1 TH CÔNG'!$C$11:$AI$88,33,0)</f>
        <v>27</v>
      </c>
      <c r="R25" s="628">
        <f>VLOOKUP(D25,'Biểu 1 TH CÔNG'!$C$11:$AJ$88,34,0)</f>
        <v>4</v>
      </c>
      <c r="S25" s="628">
        <f>VLOOKUP(D25,'Biểu 1 TH CÔNG'!$C$11:$AK$88,35,0)</f>
        <v>0</v>
      </c>
      <c r="T25" s="628">
        <f>VLOOKUP(D25,'Biểu 1 TH CÔNG'!$C$11:$AL$88,36,0)</f>
        <v>0</v>
      </c>
      <c r="U25" s="630">
        <f t="shared" si="3"/>
        <v>0</v>
      </c>
      <c r="V25" s="628">
        <f>VLOOKUP(D25,'Biểu 1 TH CÔNG'!$C$11:$AM$88,37,0)</f>
        <v>31</v>
      </c>
      <c r="W25" s="630">
        <v>0</v>
      </c>
      <c r="X25" s="629">
        <f t="shared" si="4"/>
        <v>1656874</v>
      </c>
      <c r="Y25" s="631">
        <f t="shared" si="5"/>
        <v>6665859.4589625169</v>
      </c>
      <c r="Z25" s="632"/>
      <c r="AA25" s="632">
        <f t="shared" si="6"/>
        <v>6665859.4589625169</v>
      </c>
    </row>
    <row r="26" spans="1:27" s="128" customFormat="1" ht="51" customHeight="1">
      <c r="A26" s="483">
        <v>14</v>
      </c>
      <c r="B26" s="483"/>
      <c r="C26" s="487" t="s">
        <v>276</v>
      </c>
      <c r="D26" s="636" t="str">
        <f>+'Biểu 1 TH CÔNG'!C24</f>
        <v>A Khai</v>
      </c>
      <c r="E26" s="485"/>
      <c r="F26" s="483" t="s">
        <v>6</v>
      </c>
      <c r="G26" s="627"/>
      <c r="H26" s="486">
        <f t="shared" si="0"/>
        <v>0</v>
      </c>
      <c r="I26" s="628">
        <f>VLOOKUP(D26,'Biểu 2 TH MỦ TẠP'!$C$11:$AI$87,33,0)</f>
        <v>2089</v>
      </c>
      <c r="J26" s="628">
        <f>VLOOKUP(D26,'Biểu 2 TH MỦ TẠP'!$C$11:$AK$87,35,0)</f>
        <v>842.12583781020282</v>
      </c>
      <c r="K26" s="742">
        <v>0</v>
      </c>
      <c r="L26" s="742">
        <v>0</v>
      </c>
      <c r="M26" s="991">
        <f>+VLOOKUP(D26,'Biểu 2 TH MỦ TẠP'!$C$11:$AN$87,38,0)</f>
        <v>82.199596870136332</v>
      </c>
      <c r="N26" s="634">
        <f t="shared" si="1"/>
        <v>924.32543468033919</v>
      </c>
      <c r="O26" s="628" t="str">
        <f>VLOOKUP(D26,'Biểu 2 TH MỦ TẠP'!$C$11:$AP$87,40,0)</f>
        <v>A</v>
      </c>
      <c r="P26" s="629">
        <f t="shared" si="2"/>
        <v>3383031.0909300409</v>
      </c>
      <c r="Q26" s="628">
        <f>VLOOKUP(D26,'Biểu 1 TH CÔNG'!$C$11:$AI$88,33,0)</f>
        <v>27</v>
      </c>
      <c r="R26" s="628">
        <f>VLOOKUP(D26,'Biểu 1 TH CÔNG'!$C$11:$AJ$88,34,0)</f>
        <v>4</v>
      </c>
      <c r="S26" s="628">
        <f>VLOOKUP(D26,'Biểu 1 TH CÔNG'!$C$11:$AK$88,35,0)</f>
        <v>0</v>
      </c>
      <c r="T26" s="628">
        <f>VLOOKUP(D26,'Biểu 1 TH CÔNG'!$C$11:$AL$88,36,0)</f>
        <v>0</v>
      </c>
      <c r="U26" s="630">
        <f t="shared" si="3"/>
        <v>0</v>
      </c>
      <c r="V26" s="628">
        <f>VLOOKUP(D26,'Biểu 1 TH CÔNG'!$C$11:$AM$88,37,0)</f>
        <v>31</v>
      </c>
      <c r="W26" s="630">
        <v>0</v>
      </c>
      <c r="X26" s="629">
        <f t="shared" si="4"/>
        <v>1656874</v>
      </c>
      <c r="Y26" s="631">
        <f t="shared" si="5"/>
        <v>5039905.0909300409</v>
      </c>
      <c r="Z26" s="632"/>
      <c r="AA26" s="632">
        <f t="shared" si="6"/>
        <v>5039905.0909300409</v>
      </c>
    </row>
    <row r="27" spans="1:27" s="128" customFormat="1" ht="51" customHeight="1">
      <c r="A27" s="483">
        <v>15</v>
      </c>
      <c r="B27" s="483"/>
      <c r="C27" s="484" t="s">
        <v>266</v>
      </c>
      <c r="D27" s="636" t="str">
        <f>+'Biểu 1 TH CÔNG'!C25</f>
        <v>Võ Thị Nguyên</v>
      </c>
      <c r="E27" s="485"/>
      <c r="F27" s="483" t="s">
        <v>6</v>
      </c>
      <c r="G27" s="627"/>
      <c r="H27" s="486">
        <f t="shared" si="0"/>
        <v>0</v>
      </c>
      <c r="I27" s="628">
        <f>VLOOKUP(D27,'Biểu 2 TH MỦ TẠP'!$C$11:$AI$87,33,0)</f>
        <v>3039</v>
      </c>
      <c r="J27" s="628">
        <f>VLOOKUP(D27,'Biểu 2 TH MỦ TẠP'!$C$11:$AK$87,35,0)</f>
        <v>1225.0935476808072</v>
      </c>
      <c r="K27" s="742">
        <v>0</v>
      </c>
      <c r="L27" s="742">
        <v>0</v>
      </c>
      <c r="M27" s="991">
        <f>+VLOOKUP(D27,'Biểu 2 TH MỦ TẠP'!$C$11:$AN$87,38,0)</f>
        <v>119.58093580102648</v>
      </c>
      <c r="N27" s="634">
        <f t="shared" si="1"/>
        <v>1344.6744834818337</v>
      </c>
      <c r="O27" s="628" t="str">
        <f>VLOOKUP(D27,'Biểu 2 TH MỦ TẠP'!$C$11:$AP$87,40,0)</f>
        <v>A</v>
      </c>
      <c r="P27" s="629">
        <f t="shared" si="2"/>
        <v>4921508.6095435116</v>
      </c>
      <c r="Q27" s="628">
        <f>VLOOKUP(D27,'Biểu 1 TH CÔNG'!$C$11:$AI$88,33,0)</f>
        <v>27</v>
      </c>
      <c r="R27" s="628">
        <f>VLOOKUP(D27,'Biểu 1 TH CÔNG'!$C$11:$AJ$88,34,0)</f>
        <v>4</v>
      </c>
      <c r="S27" s="628">
        <f>VLOOKUP(D27,'Biểu 1 TH CÔNG'!$C$11:$AK$88,35,0)</f>
        <v>0</v>
      </c>
      <c r="T27" s="628">
        <f>VLOOKUP(D27,'Biểu 1 TH CÔNG'!$C$11:$AL$88,36,0)</f>
        <v>0</v>
      </c>
      <c r="U27" s="630">
        <f t="shared" si="3"/>
        <v>0</v>
      </c>
      <c r="V27" s="628">
        <f>VLOOKUP(D27,'Biểu 1 TH CÔNG'!$C$11:$AM$88,37,0)</f>
        <v>31</v>
      </c>
      <c r="W27" s="630">
        <v>0</v>
      </c>
      <c r="X27" s="629">
        <f t="shared" si="4"/>
        <v>1656874</v>
      </c>
      <c r="Y27" s="631">
        <f t="shared" si="5"/>
        <v>6578382.6095435116</v>
      </c>
      <c r="Z27" s="632"/>
      <c r="AA27" s="632">
        <f t="shared" si="6"/>
        <v>6578382.6095435116</v>
      </c>
    </row>
    <row r="28" spans="1:27" s="128" customFormat="1" ht="51" customHeight="1">
      <c r="A28" s="483">
        <v>16</v>
      </c>
      <c r="B28" s="483"/>
      <c r="C28" s="487" t="s">
        <v>277</v>
      </c>
      <c r="D28" s="636" t="str">
        <f>+'Biểu 1 TH CÔNG'!C26</f>
        <v>Tà Lọt</v>
      </c>
      <c r="E28" s="485"/>
      <c r="F28" s="483" t="s">
        <v>6</v>
      </c>
      <c r="G28" s="627"/>
      <c r="H28" s="486">
        <f t="shared" si="0"/>
        <v>0</v>
      </c>
      <c r="I28" s="628">
        <f>VLOOKUP(D28,'Biểu 2 TH MỦ TẠP'!$C$11:$AI$87,33,0)</f>
        <v>2321</v>
      </c>
      <c r="J28" s="628">
        <f>VLOOKUP(D28,'Biểu 2 TH MỦ TẠP'!$C$11:$AK$87,35,0)</f>
        <v>935.65058379965558</v>
      </c>
      <c r="K28" s="742">
        <v>0</v>
      </c>
      <c r="L28" s="742">
        <v>0</v>
      </c>
      <c r="M28" s="991">
        <f>+VLOOKUP(D28,'Biểu 2 TH MỦ TẠP'!$C$11:$AN$87,38,0)</f>
        <v>91.328513324837928</v>
      </c>
      <c r="N28" s="634">
        <f t="shared" si="1"/>
        <v>1026.9790971244936</v>
      </c>
      <c r="O28" s="628" t="str">
        <f>VLOOKUP(D28,'Biểu 2 TH MỦ TẠP'!$C$11:$AP$87,40,0)</f>
        <v>B</v>
      </c>
      <c r="P28" s="629">
        <f t="shared" si="2"/>
        <v>3573887.257993238</v>
      </c>
      <c r="Q28" s="628">
        <f>VLOOKUP(D28,'Biểu 1 TH CÔNG'!$C$11:$AI$88,33,0)</f>
        <v>26</v>
      </c>
      <c r="R28" s="628">
        <f>VLOOKUP(D28,'Biểu 1 TH CÔNG'!$C$11:$AJ$88,34,0)</f>
        <v>4</v>
      </c>
      <c r="S28" s="628">
        <f>VLOOKUP(D28,'Biểu 1 TH CÔNG'!$C$11:$AK$88,35,0)</f>
        <v>0</v>
      </c>
      <c r="T28" s="628">
        <f>VLOOKUP(D28,'Biểu 1 TH CÔNG'!$C$11:$AL$88,36,0)</f>
        <v>0</v>
      </c>
      <c r="U28" s="630">
        <f t="shared" si="3"/>
        <v>0</v>
      </c>
      <c r="V28" s="628">
        <f>VLOOKUP(D28,'Biểu 1 TH CÔNG'!$C$11:$AM$88,37,0)</f>
        <v>30</v>
      </c>
      <c r="W28" s="630">
        <v>0</v>
      </c>
      <c r="X28" s="629">
        <f t="shared" si="4"/>
        <v>1606081</v>
      </c>
      <c r="Y28" s="631">
        <f t="shared" si="5"/>
        <v>5179968.257993238</v>
      </c>
      <c r="Z28" s="632"/>
      <c r="AA28" s="632">
        <f t="shared" si="6"/>
        <v>5179968.257993238</v>
      </c>
    </row>
    <row r="29" spans="1:27" s="128" customFormat="1" ht="51" customHeight="1">
      <c r="A29" s="483">
        <v>17</v>
      </c>
      <c r="B29" s="483"/>
      <c r="C29" s="487" t="s">
        <v>278</v>
      </c>
      <c r="D29" s="636" t="str">
        <f>+'Biểu 1 TH CÔNG'!C27</f>
        <v>A Han</v>
      </c>
      <c r="E29" s="485"/>
      <c r="F29" s="483" t="s">
        <v>6</v>
      </c>
      <c r="G29" s="627"/>
      <c r="H29" s="486">
        <f t="shared" si="0"/>
        <v>0</v>
      </c>
      <c r="I29" s="628">
        <f>VLOOKUP(D29,'Biểu 2 TH MỦ TẠP'!$C$11:$AI$87,33,0)</f>
        <v>2940</v>
      </c>
      <c r="J29" s="628">
        <f>VLOOKUP(D29,'Biểu 2 TH MỦ TẠP'!$C$11:$AK$87,35,0)</f>
        <v>1185.1842810732389</v>
      </c>
      <c r="K29" s="742">
        <v>0</v>
      </c>
      <c r="L29" s="742">
        <v>0</v>
      </c>
      <c r="M29" s="991">
        <f>+VLOOKUP(D29,'Biểu 2 TH MỦ TẠP'!$C$11:$AN$87,38,0)</f>
        <v>115.68540679664952</v>
      </c>
      <c r="N29" s="634">
        <f t="shared" si="1"/>
        <v>1300.8696878698884</v>
      </c>
      <c r="O29" s="628" t="str">
        <f>VLOOKUP(D29,'Biểu 2 TH MỦ TẠP'!$C$11:$AP$87,40,0)</f>
        <v>A</v>
      </c>
      <c r="P29" s="629">
        <f t="shared" si="2"/>
        <v>4761183.0576037914</v>
      </c>
      <c r="Q29" s="628">
        <f>VLOOKUP(D29,'Biểu 1 TH CÔNG'!$C$11:$AI$88,33,0)</f>
        <v>24</v>
      </c>
      <c r="R29" s="628">
        <f>VLOOKUP(D29,'Biểu 1 TH CÔNG'!$C$11:$AJ$88,34,0)</f>
        <v>4</v>
      </c>
      <c r="S29" s="628">
        <f>VLOOKUP(D29,'Biểu 1 TH CÔNG'!$C$11:$AK$88,35,0)</f>
        <v>0</v>
      </c>
      <c r="T29" s="628">
        <f>VLOOKUP(D29,'Biểu 1 TH CÔNG'!$C$11:$AL$88,36,0)</f>
        <v>0</v>
      </c>
      <c r="U29" s="630">
        <f t="shared" si="3"/>
        <v>0</v>
      </c>
      <c r="V29" s="628">
        <f>VLOOKUP(D29,'Biểu 1 TH CÔNG'!$C$11:$AM$88,37,0)</f>
        <v>28</v>
      </c>
      <c r="W29" s="630">
        <v>0</v>
      </c>
      <c r="X29" s="629">
        <f t="shared" si="4"/>
        <v>1504495</v>
      </c>
      <c r="Y29" s="631">
        <f t="shared" si="5"/>
        <v>6265678.0576037914</v>
      </c>
      <c r="Z29" s="632"/>
      <c r="AA29" s="632">
        <f t="shared" si="6"/>
        <v>6265678.0576037914</v>
      </c>
    </row>
    <row r="30" spans="1:27" s="128" customFormat="1" ht="51" customHeight="1">
      <c r="A30" s="483">
        <v>18</v>
      </c>
      <c r="B30" s="483"/>
      <c r="C30" s="484" t="s">
        <v>287</v>
      </c>
      <c r="D30" s="636" t="str">
        <f>+'Biểu 1 TH CÔNG'!C28</f>
        <v>A Nút</v>
      </c>
      <c r="E30" s="485"/>
      <c r="F30" s="483" t="s">
        <v>6</v>
      </c>
      <c r="G30" s="627"/>
      <c r="H30" s="486">
        <f t="shared" si="0"/>
        <v>0</v>
      </c>
      <c r="I30" s="628">
        <f>VLOOKUP(D30,'Biểu 2 TH MỦ TẠP'!$C$11:$AI$87,33,0)</f>
        <v>2505</v>
      </c>
      <c r="J30" s="628">
        <f>VLOOKUP(D30,'Biểu 2 TH MỦ TẠP'!$C$11:$AK$87,35,0)</f>
        <v>1009.8253823430148</v>
      </c>
      <c r="K30" s="742">
        <v>0</v>
      </c>
      <c r="L30" s="742">
        <v>0</v>
      </c>
      <c r="M30" s="991">
        <f>+VLOOKUP(D30,'Biểu 2 TH MỦ TẠP'!$C$11:$AN$87,38,0)</f>
        <v>98.568688444084017</v>
      </c>
      <c r="N30" s="634">
        <f t="shared" si="1"/>
        <v>1108.3940707870988</v>
      </c>
      <c r="O30" s="628" t="str">
        <f>VLOOKUP(D30,'Biểu 2 TH MỦ TẠP'!$C$11:$AP$87,40,0)</f>
        <v>B</v>
      </c>
      <c r="P30" s="629">
        <f t="shared" si="2"/>
        <v>3857211.3663391038</v>
      </c>
      <c r="Q30" s="628">
        <f>VLOOKUP(D30,'Biểu 1 TH CÔNG'!$C$11:$AI$88,33,0)</f>
        <v>27</v>
      </c>
      <c r="R30" s="628">
        <f>VLOOKUP(D30,'Biểu 1 TH CÔNG'!$C$11:$AJ$88,34,0)</f>
        <v>4</v>
      </c>
      <c r="S30" s="628">
        <f>VLOOKUP(D30,'Biểu 1 TH CÔNG'!$C$11:$AK$88,35,0)</f>
        <v>0</v>
      </c>
      <c r="T30" s="628">
        <f>VLOOKUP(D30,'Biểu 1 TH CÔNG'!$C$11:$AL$88,36,0)</f>
        <v>0</v>
      </c>
      <c r="U30" s="630">
        <f t="shared" si="3"/>
        <v>0</v>
      </c>
      <c r="V30" s="628">
        <f>VLOOKUP(D30,'Biểu 1 TH CÔNG'!$C$11:$AM$88,37,0)</f>
        <v>31</v>
      </c>
      <c r="W30" s="630">
        <v>0</v>
      </c>
      <c r="X30" s="629">
        <f t="shared" si="4"/>
        <v>1656874</v>
      </c>
      <c r="Y30" s="631">
        <f t="shared" si="5"/>
        <v>5514085.3663391043</v>
      </c>
      <c r="Z30" s="632"/>
      <c r="AA30" s="632">
        <f t="shared" si="6"/>
        <v>5514085.3663391043</v>
      </c>
    </row>
    <row r="31" spans="1:27" s="128" customFormat="1" ht="51" customHeight="1">
      <c r="A31" s="483">
        <v>19</v>
      </c>
      <c r="B31" s="483"/>
      <c r="C31" s="484" t="s">
        <v>279</v>
      </c>
      <c r="D31" s="636" t="str">
        <f>+'Biểu 1 TH CÔNG'!C29</f>
        <v>Thảo Buôn</v>
      </c>
      <c r="E31" s="485"/>
      <c r="F31" s="483" t="s">
        <v>6</v>
      </c>
      <c r="G31" s="627"/>
      <c r="H31" s="486">
        <f t="shared" si="0"/>
        <v>0</v>
      </c>
      <c r="I31" s="628">
        <f>VLOOKUP(D31,'Biểu 2 TH MỦ TẠP'!$C$11:$AI$87,33,0)</f>
        <v>2344</v>
      </c>
      <c r="J31" s="628">
        <f>VLOOKUP(D31,'Biểu 2 TH MỦ TẠP'!$C$11:$AK$87,35,0)</f>
        <v>944.92243361757562</v>
      </c>
      <c r="K31" s="742">
        <v>0</v>
      </c>
      <c r="L31" s="742">
        <v>0</v>
      </c>
      <c r="M31" s="991">
        <f>+VLOOKUP(D31,'Biểu 2 TH MỦ TẠP'!$C$11:$AN$87,38,0)</f>
        <v>92.233535214743696</v>
      </c>
      <c r="N31" s="634">
        <f t="shared" si="1"/>
        <v>1037.1559688323193</v>
      </c>
      <c r="O31" s="628" t="str">
        <f>VLOOKUP(D31,'Biểu 2 TH MỦ TẠP'!$C$11:$AP$87,40,0)</f>
        <v>B</v>
      </c>
      <c r="P31" s="629">
        <f t="shared" si="2"/>
        <v>3609302.7715364713</v>
      </c>
      <c r="Q31" s="628">
        <f>VLOOKUP(D31,'Biểu 1 TH CÔNG'!$C$11:$AI$88,33,0)</f>
        <v>26</v>
      </c>
      <c r="R31" s="628">
        <f>VLOOKUP(D31,'Biểu 1 TH CÔNG'!$C$11:$AJ$88,34,0)</f>
        <v>4</v>
      </c>
      <c r="S31" s="628">
        <f>VLOOKUP(D31,'Biểu 1 TH CÔNG'!$C$11:$AK$88,35,0)</f>
        <v>0</v>
      </c>
      <c r="T31" s="628">
        <f>VLOOKUP(D31,'Biểu 1 TH CÔNG'!$C$11:$AL$88,36,0)</f>
        <v>0</v>
      </c>
      <c r="U31" s="630">
        <f t="shared" si="3"/>
        <v>0</v>
      </c>
      <c r="V31" s="628">
        <f>VLOOKUP(D31,'Biểu 1 TH CÔNG'!$C$11:$AM$88,37,0)</f>
        <v>30</v>
      </c>
      <c r="W31" s="630">
        <v>0</v>
      </c>
      <c r="X31" s="629">
        <f t="shared" si="4"/>
        <v>1606081</v>
      </c>
      <c r="Y31" s="631">
        <f t="shared" si="5"/>
        <v>5215383.7715364713</v>
      </c>
      <c r="Z31" s="632"/>
      <c r="AA31" s="632">
        <f t="shared" si="6"/>
        <v>5215383.7715364713</v>
      </c>
    </row>
    <row r="32" spans="1:27" s="128" customFormat="1" ht="51" customHeight="1">
      <c r="A32" s="483">
        <v>20</v>
      </c>
      <c r="B32" s="483"/>
      <c r="C32" s="487" t="s">
        <v>280</v>
      </c>
      <c r="D32" s="636" t="str">
        <f>+'Biểu 1 TH CÔNG'!C30</f>
        <v>Phò Lấp</v>
      </c>
      <c r="E32" s="485"/>
      <c r="F32" s="483" t="s">
        <v>6</v>
      </c>
      <c r="G32" s="627"/>
      <c r="H32" s="486">
        <f t="shared" si="0"/>
        <v>0</v>
      </c>
      <c r="I32" s="628">
        <f>VLOOKUP(D32,'Biểu 2 TH MỦ TẠP'!$C$11:$AI$87,33,0)</f>
        <v>2566</v>
      </c>
      <c r="J32" s="628">
        <f>VLOOKUP(D32,'Biểu 2 TH MỦ TẠP'!$C$11:$AK$87,35,0)</f>
        <v>1034.4159405557589</v>
      </c>
      <c r="K32" s="742">
        <v>0</v>
      </c>
      <c r="L32" s="742">
        <v>0</v>
      </c>
      <c r="M32" s="991">
        <f>+VLOOKUP(D32,'Biểu 2 TH MỦ TẠP'!$C$11:$AN$87,38,0)</f>
        <v>100.9689638912254</v>
      </c>
      <c r="N32" s="634">
        <f t="shared" si="1"/>
        <v>1135.3849044469844</v>
      </c>
      <c r="O32" s="628" t="str">
        <f>VLOOKUP(D32,'Biểu 2 TH MỦ TẠP'!$C$11:$AP$87,40,0)</f>
        <v>B</v>
      </c>
      <c r="P32" s="629">
        <f t="shared" si="2"/>
        <v>3951139.4674755051</v>
      </c>
      <c r="Q32" s="628">
        <f>VLOOKUP(D32,'Biểu 1 TH CÔNG'!$C$11:$AI$88,33,0)</f>
        <v>26</v>
      </c>
      <c r="R32" s="628">
        <f>VLOOKUP(D32,'Biểu 1 TH CÔNG'!$C$11:$AJ$88,34,0)</f>
        <v>4</v>
      </c>
      <c r="S32" s="628">
        <f>VLOOKUP(D32,'Biểu 1 TH CÔNG'!$C$11:$AK$88,35,0)</f>
        <v>0</v>
      </c>
      <c r="T32" s="628">
        <f>VLOOKUP(D32,'Biểu 1 TH CÔNG'!$C$11:$AL$88,36,0)</f>
        <v>0</v>
      </c>
      <c r="U32" s="630">
        <f t="shared" si="3"/>
        <v>0</v>
      </c>
      <c r="V32" s="628">
        <f>VLOOKUP(D32,'Biểu 1 TH CÔNG'!$C$11:$AM$88,37,0)</f>
        <v>30</v>
      </c>
      <c r="W32" s="630">
        <v>0</v>
      </c>
      <c r="X32" s="629">
        <f t="shared" si="4"/>
        <v>1606081</v>
      </c>
      <c r="Y32" s="631">
        <f t="shared" si="5"/>
        <v>5557220.4674755055</v>
      </c>
      <c r="Z32" s="632"/>
      <c r="AA32" s="632">
        <f t="shared" si="6"/>
        <v>5557220.4674755055</v>
      </c>
    </row>
    <row r="33" spans="1:27" s="128" customFormat="1" ht="51" customHeight="1">
      <c r="A33" s="483">
        <v>21</v>
      </c>
      <c r="B33" s="483"/>
      <c r="C33" s="484"/>
      <c r="D33" s="636" t="str">
        <f>+'Biểu 1 TH CÔNG'!C31</f>
        <v>Phò Nhạc</v>
      </c>
      <c r="E33" s="485"/>
      <c r="F33" s="483" t="s">
        <v>6</v>
      </c>
      <c r="G33" s="627"/>
      <c r="H33" s="486">
        <f t="shared" si="0"/>
        <v>0</v>
      </c>
      <c r="I33" s="628">
        <f>VLOOKUP(D33,'Biểu 2 TH MỦ TẠP'!$C$11:$AI$87,33,0)</f>
        <v>2824</v>
      </c>
      <c r="J33" s="628">
        <f>VLOOKUP(D33,'Biểu 2 TH MỦ TẠP'!$C$11:$AK$87,35,0)</f>
        <v>1138.4219080785124</v>
      </c>
      <c r="K33" s="742">
        <v>0</v>
      </c>
      <c r="L33" s="742">
        <v>0</v>
      </c>
      <c r="M33" s="991">
        <f>+VLOOKUP(D33,'Biểu 2 TH MỦ TẠP'!$C$11:$AN$87,38,0)</f>
        <v>111.12094856929872</v>
      </c>
      <c r="N33" s="634">
        <f t="shared" si="1"/>
        <v>1249.542856647811</v>
      </c>
      <c r="O33" s="628" t="str">
        <f>VLOOKUP(D33,'Biểu 2 TH MỦ TẠP'!$C$11:$AP$87,40,0)</f>
        <v>A</v>
      </c>
      <c r="P33" s="629">
        <f t="shared" si="2"/>
        <v>4573326.8553309878</v>
      </c>
      <c r="Q33" s="628">
        <f>VLOOKUP(D33,'Biểu 1 TH CÔNG'!$C$11:$AI$88,33,0)</f>
        <v>27</v>
      </c>
      <c r="R33" s="628">
        <f>VLOOKUP(D33,'Biểu 1 TH CÔNG'!$C$11:$AJ$88,34,0)</f>
        <v>4</v>
      </c>
      <c r="S33" s="628">
        <f>VLOOKUP(D33,'Biểu 1 TH CÔNG'!$C$11:$AK$88,35,0)</f>
        <v>0</v>
      </c>
      <c r="T33" s="628">
        <f>VLOOKUP(D33,'Biểu 1 TH CÔNG'!$C$11:$AL$88,36,0)</f>
        <v>0</v>
      </c>
      <c r="U33" s="630">
        <f t="shared" si="3"/>
        <v>0</v>
      </c>
      <c r="V33" s="628">
        <f>VLOOKUP(D33,'Biểu 1 TH CÔNG'!$C$11:$AM$88,37,0)</f>
        <v>31</v>
      </c>
      <c r="W33" s="630">
        <v>0</v>
      </c>
      <c r="X33" s="629">
        <f t="shared" si="4"/>
        <v>1656874</v>
      </c>
      <c r="Y33" s="631">
        <f t="shared" si="5"/>
        <v>6230200.8553309878</v>
      </c>
      <c r="Z33" s="632"/>
      <c r="AA33" s="632">
        <f t="shared" si="6"/>
        <v>6230200.8553309878</v>
      </c>
    </row>
    <row r="34" spans="1:27" s="128" customFormat="1" ht="51" customHeight="1">
      <c r="A34" s="483">
        <v>22</v>
      </c>
      <c r="B34" s="483"/>
      <c r="C34" s="487" t="s">
        <v>281</v>
      </c>
      <c r="D34" s="636" t="str">
        <f>+'Biểu 1 TH CÔNG'!C32</f>
        <v>Nang Nọi</v>
      </c>
      <c r="E34" s="485"/>
      <c r="F34" s="483" t="s">
        <v>6</v>
      </c>
      <c r="G34" s="627"/>
      <c r="H34" s="486">
        <f t="shared" si="0"/>
        <v>0</v>
      </c>
      <c r="I34" s="628">
        <f>VLOOKUP(D34,'Biểu 2 TH MỦ TẠP'!$C$11:$AI$87,33,0)</f>
        <v>1999</v>
      </c>
      <c r="J34" s="628">
        <f>VLOOKUP(D34,'Biểu 2 TH MỦ TẠP'!$C$11:$AK$87,35,0)</f>
        <v>805.84468634877703</v>
      </c>
      <c r="K34" s="742">
        <v>0</v>
      </c>
      <c r="L34" s="742">
        <v>0</v>
      </c>
      <c r="M34" s="991">
        <f>+VLOOKUP(D34,'Biểu 2 TH MỦ TẠP'!$C$11:$AN$87,38,0)</f>
        <v>78.658206866157272</v>
      </c>
      <c r="N34" s="634">
        <f t="shared" si="1"/>
        <v>884.50289321493426</v>
      </c>
      <c r="O34" s="628" t="str">
        <f>VLOOKUP(D34,'Biểu 2 TH MỦ TẠP'!$C$11:$AP$87,40,0)</f>
        <v>B</v>
      </c>
      <c r="P34" s="629">
        <f t="shared" si="2"/>
        <v>3078070.0683879708</v>
      </c>
      <c r="Q34" s="628">
        <f>VLOOKUP(D34,'Biểu 1 TH CÔNG'!$C$11:$AI$88,33,0)</f>
        <v>24</v>
      </c>
      <c r="R34" s="628">
        <f>VLOOKUP(D34,'Biểu 1 TH CÔNG'!$C$11:$AJ$88,34,0)</f>
        <v>4</v>
      </c>
      <c r="S34" s="628">
        <f>VLOOKUP(D34,'Biểu 1 TH CÔNG'!$C$11:$AK$88,35,0)</f>
        <v>0</v>
      </c>
      <c r="T34" s="628">
        <f>VLOOKUP(D34,'Biểu 1 TH CÔNG'!$C$11:$AL$88,36,0)</f>
        <v>0</v>
      </c>
      <c r="U34" s="630">
        <f t="shared" si="3"/>
        <v>0</v>
      </c>
      <c r="V34" s="628">
        <f>VLOOKUP(D34,'Biểu 1 TH CÔNG'!$C$11:$AM$88,37,0)</f>
        <v>28</v>
      </c>
      <c r="W34" s="630">
        <v>0</v>
      </c>
      <c r="X34" s="629">
        <f t="shared" si="4"/>
        <v>1504495</v>
      </c>
      <c r="Y34" s="631">
        <f t="shared" si="5"/>
        <v>4582565.0683879703</v>
      </c>
      <c r="Z34" s="632"/>
      <c r="AA34" s="632">
        <f t="shared" si="6"/>
        <v>4582565.0683879703</v>
      </c>
    </row>
    <row r="35" spans="1:27" s="128" customFormat="1" ht="51" customHeight="1">
      <c r="A35" s="483">
        <v>23</v>
      </c>
      <c r="B35" s="483"/>
      <c r="C35" s="484" t="s">
        <v>282</v>
      </c>
      <c r="D35" s="636" t="str">
        <f>+'Biểu 1 TH CÔNG'!C33</f>
        <v>Húc</v>
      </c>
      <c r="E35" s="485"/>
      <c r="F35" s="483" t="s">
        <v>6</v>
      </c>
      <c r="G35" s="627"/>
      <c r="H35" s="486">
        <f t="shared" si="0"/>
        <v>0</v>
      </c>
      <c r="I35" s="628">
        <f>VLOOKUP(D35,'Biểu 2 TH MỦ TẠP'!$C$11:$AI$87,33,0)</f>
        <v>2289</v>
      </c>
      <c r="J35" s="628">
        <f>VLOOKUP(D35,'Biểu 2 TH MỦ TẠP'!$C$11:$AK$87,35,0)</f>
        <v>922.75061883559317</v>
      </c>
      <c r="K35" s="742">
        <v>0</v>
      </c>
      <c r="L35" s="742">
        <v>0</v>
      </c>
      <c r="M35" s="991">
        <f>+VLOOKUP(D35,'Biểu 2 TH MỦ TẠP'!$C$11:$AN$87,38,0)</f>
        <v>90.069352434534267</v>
      </c>
      <c r="N35" s="634">
        <f t="shared" si="1"/>
        <v>1012.8199712701274</v>
      </c>
      <c r="O35" s="628" t="str">
        <f>VLOOKUP(D35,'Biểu 2 TH MỦ TẠP'!$C$11:$AP$87,40,0)</f>
        <v>A</v>
      </c>
      <c r="P35" s="629">
        <f t="shared" si="2"/>
        <v>3706921.0948486663</v>
      </c>
      <c r="Q35" s="628">
        <f>VLOOKUP(D35,'Biểu 1 TH CÔNG'!$C$11:$AI$88,33,0)</f>
        <v>26</v>
      </c>
      <c r="R35" s="628">
        <f>VLOOKUP(D35,'Biểu 1 TH CÔNG'!$C$11:$AJ$88,34,0)</f>
        <v>4</v>
      </c>
      <c r="S35" s="628">
        <f>VLOOKUP(D35,'Biểu 1 TH CÔNG'!$C$11:$AK$88,35,0)</f>
        <v>0</v>
      </c>
      <c r="T35" s="628">
        <f>VLOOKUP(D35,'Biểu 1 TH CÔNG'!$C$11:$AL$88,36,0)</f>
        <v>0</v>
      </c>
      <c r="U35" s="630">
        <f t="shared" si="3"/>
        <v>0</v>
      </c>
      <c r="V35" s="628">
        <f>VLOOKUP(D35,'Biểu 1 TH CÔNG'!$C$11:$AM$88,37,0)</f>
        <v>30</v>
      </c>
      <c r="W35" s="630">
        <v>0</v>
      </c>
      <c r="X35" s="629">
        <f t="shared" si="4"/>
        <v>1606081</v>
      </c>
      <c r="Y35" s="631">
        <f t="shared" si="5"/>
        <v>5313002.0948486663</v>
      </c>
      <c r="Z35" s="632"/>
      <c r="AA35" s="632">
        <f t="shared" si="6"/>
        <v>5313002.0948486663</v>
      </c>
    </row>
    <row r="36" spans="1:27" s="128" customFormat="1" ht="51" customHeight="1">
      <c r="A36" s="483">
        <v>24</v>
      </c>
      <c r="B36" s="483"/>
      <c r="C36" s="487"/>
      <c r="D36" s="636" t="str">
        <f>+'Biểu 1 TH CÔNG'!C34</f>
        <v>A Côm</v>
      </c>
      <c r="E36" s="485"/>
      <c r="F36" s="483" t="s">
        <v>6</v>
      </c>
      <c r="G36" s="627"/>
      <c r="H36" s="486">
        <f t="shared" si="0"/>
        <v>0</v>
      </c>
      <c r="I36" s="628">
        <f>VLOOKUP(D36,'Biểu 2 TH MỦ TẠP'!$C$11:$AI$87,33,0)</f>
        <v>3264</v>
      </c>
      <c r="J36" s="628">
        <f>VLOOKUP(D36,'Biểu 2 TH MỦ TẠP'!$C$11:$AK$87,35,0)</f>
        <v>1315.7964263343715</v>
      </c>
      <c r="K36" s="742">
        <v>0</v>
      </c>
      <c r="L36" s="742">
        <v>0</v>
      </c>
      <c r="M36" s="991">
        <f>+VLOOKUP(D36,'Biểu 2 TH MỦ TẠP'!$C$11:$AN$87,38,0)</f>
        <v>128.43441081097416</v>
      </c>
      <c r="N36" s="634">
        <f t="shared" si="1"/>
        <v>1444.2308371453457</v>
      </c>
      <c r="O36" s="628" t="str">
        <f>VLOOKUP(D36,'Biểu 2 TH MỦ TẠP'!$C$11:$AP$87,40,0)</f>
        <v>B</v>
      </c>
      <c r="P36" s="629">
        <f t="shared" si="2"/>
        <v>5025923.3132658023</v>
      </c>
      <c r="Q36" s="628">
        <f>VLOOKUP(D36,'Biểu 1 TH CÔNG'!$C$11:$AI$88,33,0)</f>
        <v>27</v>
      </c>
      <c r="R36" s="628">
        <f>VLOOKUP(D36,'Biểu 1 TH CÔNG'!$C$11:$AJ$88,34,0)</f>
        <v>4</v>
      </c>
      <c r="S36" s="628">
        <f>VLOOKUP(D36,'Biểu 1 TH CÔNG'!$C$11:$AK$88,35,0)</f>
        <v>0</v>
      </c>
      <c r="T36" s="628">
        <f>VLOOKUP(D36,'Biểu 1 TH CÔNG'!$C$11:$AL$88,36,0)</f>
        <v>0</v>
      </c>
      <c r="U36" s="630">
        <f t="shared" si="3"/>
        <v>0</v>
      </c>
      <c r="V36" s="628">
        <f>VLOOKUP(D36,'Biểu 1 TH CÔNG'!$C$11:$AM$88,37,0)</f>
        <v>31</v>
      </c>
      <c r="W36" s="630">
        <v>0</v>
      </c>
      <c r="X36" s="629">
        <f t="shared" si="4"/>
        <v>1656874</v>
      </c>
      <c r="Y36" s="631">
        <f t="shared" si="5"/>
        <v>6682797.3132658023</v>
      </c>
      <c r="Z36" s="632"/>
      <c r="AA36" s="632">
        <f t="shared" si="6"/>
        <v>6682797.3132658023</v>
      </c>
    </row>
    <row r="37" spans="1:27" s="128" customFormat="1" ht="51" customHeight="1">
      <c r="A37" s="483">
        <v>25</v>
      </c>
      <c r="B37" s="483"/>
      <c r="C37" s="484"/>
      <c r="D37" s="636" t="str">
        <f>+'Biểu 1 TH CÔNG'!C35</f>
        <v>Nang Phen</v>
      </c>
      <c r="E37" s="485"/>
      <c r="F37" s="483" t="s">
        <v>6</v>
      </c>
      <c r="G37" s="627"/>
      <c r="H37" s="486">
        <f t="shared" si="0"/>
        <v>0</v>
      </c>
      <c r="I37" s="628">
        <f>VLOOKUP(D37,'Biểu 2 TH MỦ TẠP'!$C$11:$AI$87,33,0)</f>
        <v>3159</v>
      </c>
      <c r="J37" s="628">
        <f>VLOOKUP(D37,'Biểu 2 TH MỦ TẠP'!$C$11:$AK$87,35,0)</f>
        <v>1273.4684162960414</v>
      </c>
      <c r="K37" s="742">
        <v>0</v>
      </c>
      <c r="L37" s="742">
        <v>0</v>
      </c>
      <c r="M37" s="991">
        <f>+VLOOKUP(D37,'Biểu 2 TH MỦ TẠP'!$C$11:$AN$87,38,0)</f>
        <v>124.30278913966524</v>
      </c>
      <c r="N37" s="634">
        <f t="shared" si="1"/>
        <v>1397.7712054357066</v>
      </c>
      <c r="O37" s="628" t="str">
        <f>VLOOKUP(D37,'Biểu 2 TH MỦ TẠP'!$C$11:$AP$87,40,0)</f>
        <v>A</v>
      </c>
      <c r="P37" s="629">
        <f t="shared" si="2"/>
        <v>5115842.6118946858</v>
      </c>
      <c r="Q37" s="628">
        <f>VLOOKUP(D37,'Biểu 1 TH CÔNG'!$C$11:$AI$88,33,0)</f>
        <v>27</v>
      </c>
      <c r="R37" s="628">
        <f>VLOOKUP(D37,'Biểu 1 TH CÔNG'!$C$11:$AJ$88,34,0)</f>
        <v>4</v>
      </c>
      <c r="S37" s="628">
        <f>VLOOKUP(D37,'Biểu 1 TH CÔNG'!$C$11:$AK$88,35,0)</f>
        <v>0</v>
      </c>
      <c r="T37" s="628">
        <f>VLOOKUP(D37,'Biểu 1 TH CÔNG'!$C$11:$AL$88,36,0)</f>
        <v>0</v>
      </c>
      <c r="U37" s="630">
        <f t="shared" si="3"/>
        <v>0</v>
      </c>
      <c r="V37" s="628">
        <f>VLOOKUP(D37,'Biểu 1 TH CÔNG'!$C$11:$AM$88,37,0)</f>
        <v>31</v>
      </c>
      <c r="W37" s="630">
        <v>0</v>
      </c>
      <c r="X37" s="629">
        <f t="shared" si="4"/>
        <v>1656874</v>
      </c>
      <c r="Y37" s="631">
        <f t="shared" si="5"/>
        <v>6772716.6118946858</v>
      </c>
      <c r="Z37" s="632"/>
      <c r="AA37" s="632">
        <f t="shared" si="6"/>
        <v>6772716.6118946858</v>
      </c>
    </row>
    <row r="38" spans="1:27" s="128" customFormat="1" ht="51" customHeight="1">
      <c r="A38" s="483">
        <v>26</v>
      </c>
      <c r="B38" s="483"/>
      <c r="C38" s="484"/>
      <c r="D38" s="636" t="str">
        <f>+'Biểu 1 TH CÔNG'!C36</f>
        <v>Thảo Đuôn</v>
      </c>
      <c r="E38" s="485"/>
      <c r="F38" s="483" t="s">
        <v>6</v>
      </c>
      <c r="G38" s="627"/>
      <c r="H38" s="486">
        <f t="shared" si="0"/>
        <v>0</v>
      </c>
      <c r="I38" s="628">
        <f>VLOOKUP(D38,'Biểu 2 TH MỦ TẠP'!$C$11:$AI$87,33,0)</f>
        <v>3004</v>
      </c>
      <c r="J38" s="628">
        <f>VLOOKUP(D38,'Biểu 2 TH MỦ TẠP'!$C$11:$AK$87,35,0)</f>
        <v>1210.984211001364</v>
      </c>
      <c r="K38" s="742">
        <v>0</v>
      </c>
      <c r="L38" s="742">
        <v>0</v>
      </c>
      <c r="M38" s="991">
        <f>+VLOOKUP(D38,'Biểu 2 TH MỦ TẠP'!$C$11:$AN$87,38,0)</f>
        <v>118.20372857725684</v>
      </c>
      <c r="N38" s="634">
        <f t="shared" si="1"/>
        <v>1329.1879395786209</v>
      </c>
      <c r="O38" s="628" t="str">
        <f>VLOOKUP(D38,'Biểu 2 TH MỦ TẠP'!$C$11:$AP$87,40,0)</f>
        <v>A</v>
      </c>
      <c r="P38" s="629">
        <f t="shared" si="2"/>
        <v>4864827.8588577518</v>
      </c>
      <c r="Q38" s="628">
        <f>VLOOKUP(D38,'Biểu 1 TH CÔNG'!$C$11:$AI$88,33,0)</f>
        <v>27</v>
      </c>
      <c r="R38" s="628">
        <f>VLOOKUP(D38,'Biểu 1 TH CÔNG'!$C$11:$AJ$88,34,0)</f>
        <v>4</v>
      </c>
      <c r="S38" s="628">
        <f>VLOOKUP(D38,'Biểu 1 TH CÔNG'!$C$11:$AK$88,35,0)</f>
        <v>0</v>
      </c>
      <c r="T38" s="628">
        <f>VLOOKUP(D38,'Biểu 1 TH CÔNG'!$C$11:$AL$88,36,0)</f>
        <v>0</v>
      </c>
      <c r="U38" s="630">
        <f t="shared" si="3"/>
        <v>0</v>
      </c>
      <c r="V38" s="628">
        <f>VLOOKUP(D38,'Biểu 1 TH CÔNG'!$C$11:$AM$88,37,0)</f>
        <v>31</v>
      </c>
      <c r="W38" s="630">
        <v>0</v>
      </c>
      <c r="X38" s="629">
        <f t="shared" si="4"/>
        <v>1656874</v>
      </c>
      <c r="Y38" s="631">
        <f t="shared" si="5"/>
        <v>6521701.8588577518</v>
      </c>
      <c r="Z38" s="632"/>
      <c r="AA38" s="632">
        <f t="shared" si="6"/>
        <v>6521701.8588577518</v>
      </c>
    </row>
    <row r="39" spans="1:27" s="128" customFormat="1" ht="51" customHeight="1">
      <c r="A39" s="483">
        <v>27</v>
      </c>
      <c r="B39" s="483"/>
      <c r="C39" s="487" t="s">
        <v>270</v>
      </c>
      <c r="D39" s="636" t="str">
        <f>+'Biểu 1 TH CÔNG'!C37</f>
        <v>A Rơ</v>
      </c>
      <c r="E39" s="485"/>
      <c r="F39" s="483" t="s">
        <v>6</v>
      </c>
      <c r="G39" s="627"/>
      <c r="H39" s="486">
        <f t="shared" si="0"/>
        <v>0</v>
      </c>
      <c r="I39" s="628">
        <f>VLOOKUP(D39,'Biểu 2 TH MỦ TẠP'!$C$11:$AI$87,33,0)</f>
        <v>2512</v>
      </c>
      <c r="J39" s="628">
        <f>VLOOKUP(D39,'Biểu 2 TH MỦ TẠP'!$C$11:$AK$87,35,0)</f>
        <v>1012.6472496789034</v>
      </c>
      <c r="K39" s="742">
        <v>0</v>
      </c>
      <c r="L39" s="742">
        <v>0</v>
      </c>
      <c r="M39" s="991">
        <f>+VLOOKUP(D39,'Biểu 2 TH MỦ TẠP'!$C$11:$AN$87,38,0)</f>
        <v>98.844129888837955</v>
      </c>
      <c r="N39" s="634">
        <f t="shared" si="1"/>
        <v>1111.4913795677414</v>
      </c>
      <c r="O39" s="628" t="str">
        <f>VLOOKUP(D39,'Biểu 2 TH MỦ TẠP'!$C$11:$AP$87,40,0)</f>
        <v>A</v>
      </c>
      <c r="P39" s="629">
        <f t="shared" si="2"/>
        <v>4068058.4492179332</v>
      </c>
      <c r="Q39" s="628">
        <f>VLOOKUP(D39,'Biểu 1 TH CÔNG'!$C$11:$AI$88,33,0)</f>
        <v>27</v>
      </c>
      <c r="R39" s="628">
        <f>VLOOKUP(D39,'Biểu 1 TH CÔNG'!$C$11:$AJ$88,34,0)</f>
        <v>4</v>
      </c>
      <c r="S39" s="628">
        <f>VLOOKUP(D39,'Biểu 1 TH CÔNG'!$C$11:$AK$88,35,0)</f>
        <v>0</v>
      </c>
      <c r="T39" s="628">
        <f>VLOOKUP(D39,'Biểu 1 TH CÔNG'!$C$11:$AL$88,36,0)</f>
        <v>0</v>
      </c>
      <c r="U39" s="630">
        <f t="shared" si="3"/>
        <v>0</v>
      </c>
      <c r="V39" s="628">
        <f>VLOOKUP(D39,'Biểu 1 TH CÔNG'!$C$11:$AM$88,37,0)</f>
        <v>31</v>
      </c>
      <c r="W39" s="630">
        <v>0</v>
      </c>
      <c r="X39" s="629">
        <f t="shared" si="4"/>
        <v>1656874</v>
      </c>
      <c r="Y39" s="631">
        <f t="shared" si="5"/>
        <v>5724932.4492179332</v>
      </c>
      <c r="Z39" s="632"/>
      <c r="AA39" s="632">
        <f t="shared" si="6"/>
        <v>5724932.4492179332</v>
      </c>
    </row>
    <row r="40" spans="1:27" s="128" customFormat="1" ht="51" customHeight="1">
      <c r="A40" s="483">
        <v>28</v>
      </c>
      <c r="B40" s="483"/>
      <c r="C40" s="487" t="s">
        <v>283</v>
      </c>
      <c r="D40" s="636" t="str">
        <f>+'Biểu 1 TH CÔNG'!C38</f>
        <v>Thảo Xâm</v>
      </c>
      <c r="E40" s="485"/>
      <c r="F40" s="483" t="s">
        <v>6</v>
      </c>
      <c r="G40" s="627"/>
      <c r="H40" s="486">
        <f t="shared" si="0"/>
        <v>0</v>
      </c>
      <c r="I40" s="628">
        <f>VLOOKUP(D40,'Biểu 2 TH MỦ TẠP'!$C$11:$AI$87,33,0)</f>
        <v>2663</v>
      </c>
      <c r="J40" s="628">
        <f>VLOOKUP(D40,'Biểu 2 TH MỦ TẠP'!$C$11:$AK$87,35,0)</f>
        <v>1073.5189593530733</v>
      </c>
      <c r="K40" s="742">
        <v>0</v>
      </c>
      <c r="L40" s="742">
        <v>0</v>
      </c>
      <c r="M40" s="991">
        <f>+VLOOKUP(D40,'Biểu 2 TH MỦ TẠP'!$C$11:$AN$87,38,0)</f>
        <v>104.78579533995838</v>
      </c>
      <c r="N40" s="634">
        <f t="shared" si="1"/>
        <v>1178.3047546930318</v>
      </c>
      <c r="O40" s="628" t="str">
        <f>VLOOKUP(D40,'Biểu 2 TH MỦ TẠP'!$C$11:$AP$87,40,0)</f>
        <v>B</v>
      </c>
      <c r="P40" s="629">
        <f t="shared" si="2"/>
        <v>4100500.5463317502</v>
      </c>
      <c r="Q40" s="628">
        <f>VLOOKUP(D40,'Biểu 1 TH CÔNG'!$C$11:$AI$88,33,0)</f>
        <v>27</v>
      </c>
      <c r="R40" s="628">
        <f>VLOOKUP(D40,'Biểu 1 TH CÔNG'!$C$11:$AJ$88,34,0)</f>
        <v>4</v>
      </c>
      <c r="S40" s="628">
        <f>VLOOKUP(D40,'Biểu 1 TH CÔNG'!$C$11:$AK$88,35,0)</f>
        <v>0</v>
      </c>
      <c r="T40" s="628">
        <f>VLOOKUP(D40,'Biểu 1 TH CÔNG'!$C$11:$AL$88,36,0)</f>
        <v>0</v>
      </c>
      <c r="U40" s="630">
        <f t="shared" si="3"/>
        <v>0</v>
      </c>
      <c r="V40" s="628">
        <f>VLOOKUP(D40,'Biểu 1 TH CÔNG'!$C$11:$AM$88,37,0)</f>
        <v>31</v>
      </c>
      <c r="W40" s="630">
        <v>0</v>
      </c>
      <c r="X40" s="629">
        <f t="shared" si="4"/>
        <v>1656874</v>
      </c>
      <c r="Y40" s="631">
        <f t="shared" si="5"/>
        <v>5757374.5463317502</v>
      </c>
      <c r="Z40" s="632"/>
      <c r="AA40" s="632">
        <f t="shared" si="6"/>
        <v>5757374.5463317502</v>
      </c>
    </row>
    <row r="41" spans="1:27" s="128" customFormat="1" ht="51" customHeight="1">
      <c r="A41" s="483">
        <v>29</v>
      </c>
      <c r="B41" s="483"/>
      <c r="C41" s="487" t="s">
        <v>284</v>
      </c>
      <c r="D41" s="636" t="str">
        <f>+'Biểu 1 TH CÔNG'!C39</f>
        <v>Thảo Anh</v>
      </c>
      <c r="E41" s="485"/>
      <c r="F41" s="483" t="s">
        <v>6</v>
      </c>
      <c r="G41" s="627"/>
      <c r="H41" s="486">
        <f t="shared" si="0"/>
        <v>0</v>
      </c>
      <c r="I41" s="628">
        <f>VLOOKUP(D41,'Biểu 2 TH MỦ TẠP'!$C$11:$AI$87,33,0)</f>
        <v>2204</v>
      </c>
      <c r="J41" s="628">
        <f>VLOOKUP(D41,'Biểu 2 TH MỦ TẠP'!$C$11:$AK$87,35,0)</f>
        <v>888.48508689980224</v>
      </c>
      <c r="K41" s="742">
        <v>0</v>
      </c>
      <c r="L41" s="742">
        <v>0</v>
      </c>
      <c r="M41" s="991">
        <f>+VLOOKUP(D41,'Biểu 2 TH MỦ TẠP'!$C$11:$AN$87,38,0)</f>
        <v>86.724706319665145</v>
      </c>
      <c r="N41" s="634">
        <f t="shared" si="1"/>
        <v>975.20979321946743</v>
      </c>
      <c r="O41" s="628" t="str">
        <f>VLOOKUP(D41,'Biểu 2 TH MỦ TẠP'!$C$11:$AP$87,40,0)</f>
        <v>B</v>
      </c>
      <c r="P41" s="629">
        <f t="shared" si="2"/>
        <v>3393730.0804037466</v>
      </c>
      <c r="Q41" s="628">
        <f>VLOOKUP(D41,'Biểu 1 TH CÔNG'!$C$11:$AI$88,33,0)</f>
        <v>27</v>
      </c>
      <c r="R41" s="628">
        <f>VLOOKUP(D41,'Biểu 1 TH CÔNG'!$C$11:$AJ$88,34,0)</f>
        <v>4</v>
      </c>
      <c r="S41" s="628">
        <f>VLOOKUP(D41,'Biểu 1 TH CÔNG'!$C$11:$AK$88,35,0)</f>
        <v>0</v>
      </c>
      <c r="T41" s="628">
        <f>VLOOKUP(D41,'Biểu 1 TH CÔNG'!$C$11:$AL$88,36,0)</f>
        <v>0</v>
      </c>
      <c r="U41" s="630">
        <f t="shared" si="3"/>
        <v>0</v>
      </c>
      <c r="V41" s="628">
        <f>VLOOKUP(D41,'Biểu 1 TH CÔNG'!$C$11:$AM$88,37,0)</f>
        <v>31</v>
      </c>
      <c r="W41" s="630">
        <v>0</v>
      </c>
      <c r="X41" s="629">
        <f t="shared" si="4"/>
        <v>1656874</v>
      </c>
      <c r="Y41" s="631">
        <f t="shared" si="5"/>
        <v>5050604.080403747</v>
      </c>
      <c r="Z41" s="632"/>
      <c r="AA41" s="632">
        <f t="shared" si="6"/>
        <v>5050604.080403747</v>
      </c>
    </row>
    <row r="42" spans="1:27" s="128" customFormat="1" ht="51" customHeight="1">
      <c r="A42" s="483">
        <v>30</v>
      </c>
      <c r="B42" s="483"/>
      <c r="C42" s="487" t="s">
        <v>285</v>
      </c>
      <c r="D42" s="636" t="str">
        <f>+'Biểu 1 TH CÔNG'!C40</f>
        <v>Nang Banh</v>
      </c>
      <c r="E42" s="485"/>
      <c r="F42" s="483" t="s">
        <v>6</v>
      </c>
      <c r="G42" s="627"/>
      <c r="H42" s="486">
        <f t="shared" si="0"/>
        <v>0</v>
      </c>
      <c r="I42" s="628">
        <f>VLOOKUP(D42,'Biểu 2 TH MỦ TẠP'!$C$11:$AI$87,33,0)</f>
        <v>3575</v>
      </c>
      <c r="J42" s="628">
        <f>VLOOKUP(D42,'Biểu 2 TH MỦ TẠP'!$C$11:$AK$87,35,0)</f>
        <v>1441.1679608288534</v>
      </c>
      <c r="K42" s="742">
        <v>0</v>
      </c>
      <c r="L42" s="742">
        <v>0</v>
      </c>
      <c r="M42" s="991">
        <f>+VLOOKUP(D42,'Biểu 2 TH MỦ TẠP'!$C$11:$AN$87,38,0)</f>
        <v>140.67188071361295</v>
      </c>
      <c r="N42" s="634">
        <f t="shared" si="1"/>
        <v>1581.8398415424663</v>
      </c>
      <c r="O42" s="628" t="str">
        <f>VLOOKUP(D42,'Biểu 2 TH MỦ TẠP'!$C$11:$AP$87,40,0)</f>
        <v>A</v>
      </c>
      <c r="P42" s="629">
        <f t="shared" si="2"/>
        <v>5789533.8200454265</v>
      </c>
      <c r="Q42" s="628">
        <f>VLOOKUP(D42,'Biểu 1 TH CÔNG'!$C$11:$AI$88,33,0)</f>
        <v>27</v>
      </c>
      <c r="R42" s="628">
        <f>VLOOKUP(D42,'Biểu 1 TH CÔNG'!$C$11:$AJ$88,34,0)</f>
        <v>4</v>
      </c>
      <c r="S42" s="628">
        <f>VLOOKUP(D42,'Biểu 1 TH CÔNG'!$C$11:$AK$88,35,0)</f>
        <v>0</v>
      </c>
      <c r="T42" s="628">
        <f>VLOOKUP(D42,'Biểu 1 TH CÔNG'!$C$11:$AL$88,36,0)</f>
        <v>0</v>
      </c>
      <c r="U42" s="630">
        <f t="shared" si="3"/>
        <v>0</v>
      </c>
      <c r="V42" s="628">
        <f>VLOOKUP(D42,'Biểu 1 TH CÔNG'!$C$11:$AM$88,37,0)</f>
        <v>31</v>
      </c>
      <c r="W42" s="630">
        <v>0</v>
      </c>
      <c r="X42" s="629">
        <f t="shared" si="4"/>
        <v>1656874</v>
      </c>
      <c r="Y42" s="631">
        <f t="shared" si="5"/>
        <v>7446407.8200454265</v>
      </c>
      <c r="Z42" s="632"/>
      <c r="AA42" s="632">
        <f t="shared" si="6"/>
        <v>7446407.8200454265</v>
      </c>
    </row>
    <row r="43" spans="1:27" s="128" customFormat="1" ht="51" customHeight="1">
      <c r="A43" s="483">
        <v>31</v>
      </c>
      <c r="B43" s="483"/>
      <c r="C43" s="487" t="s">
        <v>286</v>
      </c>
      <c r="D43" s="636" t="str">
        <f>+'Biểu 1 TH CÔNG'!C41</f>
        <v>Thảo Boi</v>
      </c>
      <c r="E43" s="485"/>
      <c r="F43" s="483" t="s">
        <v>6</v>
      </c>
      <c r="G43" s="627"/>
      <c r="H43" s="486">
        <f t="shared" si="0"/>
        <v>0</v>
      </c>
      <c r="I43" s="628">
        <f>VLOOKUP(D43,'Biểu 2 TH MỦ TẠP'!$C$11:$AI$87,33,0)</f>
        <v>3067</v>
      </c>
      <c r="J43" s="628">
        <f>VLOOKUP(D43,'Biểu 2 TH MỦ TẠP'!$C$11:$AK$87,35,0)</f>
        <v>1236.3810170243619</v>
      </c>
      <c r="K43" s="742">
        <v>0</v>
      </c>
      <c r="L43" s="742">
        <v>0</v>
      </c>
      <c r="M43" s="991">
        <f>+VLOOKUP(D43,'Biểu 2 TH MỦ TẠP'!$C$11:$AN$87,38,0)</f>
        <v>120.68270158004219</v>
      </c>
      <c r="N43" s="634">
        <f t="shared" si="1"/>
        <v>1357.0637186044041</v>
      </c>
      <c r="O43" s="628" t="str">
        <f>VLOOKUP(D43,'Biểu 2 TH MỦ TẠP'!$C$11:$AP$87,40,0)</f>
        <v>B</v>
      </c>
      <c r="P43" s="629">
        <f t="shared" si="2"/>
        <v>4722581.740743326</v>
      </c>
      <c r="Q43" s="628">
        <f>VLOOKUP(D43,'Biểu 1 TH CÔNG'!$C$11:$AI$88,33,0)</f>
        <v>27</v>
      </c>
      <c r="R43" s="628">
        <f>VLOOKUP(D43,'Biểu 1 TH CÔNG'!$C$11:$AJ$88,34,0)</f>
        <v>4</v>
      </c>
      <c r="S43" s="628">
        <f>VLOOKUP(D43,'Biểu 1 TH CÔNG'!$C$11:$AK$88,35,0)</f>
        <v>0</v>
      </c>
      <c r="T43" s="628">
        <f>VLOOKUP(D43,'Biểu 1 TH CÔNG'!$C$11:$AL$88,36,0)</f>
        <v>0</v>
      </c>
      <c r="U43" s="630">
        <f t="shared" si="3"/>
        <v>0</v>
      </c>
      <c r="V43" s="628">
        <f>VLOOKUP(D43,'Biểu 1 TH CÔNG'!$C$11:$AM$88,37,0)</f>
        <v>31</v>
      </c>
      <c r="W43" s="630">
        <v>0</v>
      </c>
      <c r="X43" s="629">
        <f t="shared" si="4"/>
        <v>1656874</v>
      </c>
      <c r="Y43" s="631">
        <f t="shared" si="5"/>
        <v>6379455.740743326</v>
      </c>
      <c r="Z43" s="632"/>
      <c r="AA43" s="632">
        <f t="shared" si="6"/>
        <v>6379455.740743326</v>
      </c>
    </row>
    <row r="44" spans="1:27" s="128" customFormat="1" ht="51" customHeight="1">
      <c r="A44" s="483">
        <v>32</v>
      </c>
      <c r="B44" s="483"/>
      <c r="C44" s="487"/>
      <c r="D44" s="636" t="str">
        <f>+'Biểu 1 TH CÔNG'!C42</f>
        <v>Cha Lơ</v>
      </c>
      <c r="E44" s="485"/>
      <c r="F44" s="483" t="s">
        <v>6</v>
      </c>
      <c r="G44" s="627"/>
      <c r="H44" s="486">
        <f t="shared" si="0"/>
        <v>0</v>
      </c>
      <c r="I44" s="628">
        <f>VLOOKUP(D44,'Biểu 2 TH MỦ TẠP'!$C$11:$AI$87,33,0)</f>
        <v>1879</v>
      </c>
      <c r="J44" s="628">
        <f>VLOOKUP(D44,'Biểu 2 TH MỦ TẠP'!$C$11:$AK$87,35,0)</f>
        <v>757.46981773354287</v>
      </c>
      <c r="K44" s="742">
        <v>0</v>
      </c>
      <c r="L44" s="742">
        <v>0</v>
      </c>
      <c r="M44" s="991">
        <f>+VLOOKUP(D44,'Biểu 2 TH MỦ TẠP'!$C$11:$AN$87,38,0)</f>
        <v>73.93635352751852</v>
      </c>
      <c r="N44" s="634">
        <f t="shared" si="1"/>
        <v>831.40617126106144</v>
      </c>
      <c r="O44" s="628" t="str">
        <f>VLOOKUP(D44,'Biểu 2 TH MỦ TẠP'!$C$11:$AP$87,40,0)</f>
        <v>B</v>
      </c>
      <c r="P44" s="629">
        <f t="shared" si="2"/>
        <v>2893293.4759884938</v>
      </c>
      <c r="Q44" s="628">
        <f>VLOOKUP(D44,'Biểu 1 TH CÔNG'!$C$11:$AI$88,33,0)</f>
        <v>26</v>
      </c>
      <c r="R44" s="628">
        <f>VLOOKUP(D44,'Biểu 1 TH CÔNG'!$C$11:$AJ$88,34,0)</f>
        <v>4</v>
      </c>
      <c r="S44" s="628">
        <f>VLOOKUP(D44,'Biểu 1 TH CÔNG'!$C$11:$AK$88,35,0)</f>
        <v>0</v>
      </c>
      <c r="T44" s="628">
        <f>VLOOKUP(D44,'Biểu 1 TH CÔNG'!$C$11:$AL$88,36,0)</f>
        <v>0</v>
      </c>
      <c r="U44" s="630">
        <f t="shared" si="3"/>
        <v>0</v>
      </c>
      <c r="V44" s="628">
        <f>VLOOKUP(D44,'Biểu 1 TH CÔNG'!$C$11:$AM$88,37,0)</f>
        <v>30</v>
      </c>
      <c r="W44" s="630">
        <v>0</v>
      </c>
      <c r="X44" s="629">
        <f t="shared" si="4"/>
        <v>1606081</v>
      </c>
      <c r="Y44" s="631">
        <f t="shared" si="5"/>
        <v>4499374.4759884942</v>
      </c>
      <c r="Z44" s="632"/>
      <c r="AA44" s="632">
        <f t="shared" si="6"/>
        <v>4499374.4759884942</v>
      </c>
    </row>
    <row r="45" spans="1:27" s="128" customFormat="1" ht="51" customHeight="1">
      <c r="A45" s="483">
        <v>33</v>
      </c>
      <c r="B45" s="483"/>
      <c r="C45" s="487" t="s">
        <v>268</v>
      </c>
      <c r="D45" s="636" t="str">
        <f>+'Biểu 1 TH CÔNG'!C43</f>
        <v>Nang Cung</v>
      </c>
      <c r="E45" s="485"/>
      <c r="F45" s="483" t="s">
        <v>6</v>
      </c>
      <c r="G45" s="627"/>
      <c r="H45" s="486">
        <f t="shared" si="0"/>
        <v>0</v>
      </c>
      <c r="I45" s="628">
        <f>VLOOKUP(D45,'Biểu 2 TH MỦ TẠP'!$C$11:$AI$87,33,0)</f>
        <v>2195</v>
      </c>
      <c r="J45" s="628">
        <f>VLOOKUP(D45,'Biểu 2 TH MỦ TẠP'!$C$11:$AK$87,35,0)</f>
        <v>884.85697175365976</v>
      </c>
      <c r="K45" s="742">
        <v>0</v>
      </c>
      <c r="L45" s="742">
        <v>0</v>
      </c>
      <c r="M45" s="991">
        <f>+VLOOKUP(D45,'Biểu 2 TH MỦ TẠP'!$C$11:$AN$87,38,0)</f>
        <v>86.370567319267252</v>
      </c>
      <c r="N45" s="634">
        <f t="shared" si="1"/>
        <v>971.22753907292702</v>
      </c>
      <c r="O45" s="628" t="str">
        <f>VLOOKUP(D45,'Biểu 2 TH MỦ TẠP'!$C$11:$AP$87,40,0)</f>
        <v>B</v>
      </c>
      <c r="P45" s="629">
        <f t="shared" si="2"/>
        <v>3379871.8359737857</v>
      </c>
      <c r="Q45" s="628">
        <f>VLOOKUP(D45,'Biểu 1 TH CÔNG'!$C$11:$AI$88,33,0)</f>
        <v>25</v>
      </c>
      <c r="R45" s="628">
        <f>VLOOKUP(D45,'Biểu 1 TH CÔNG'!$C$11:$AJ$88,34,0)</f>
        <v>2</v>
      </c>
      <c r="S45" s="628">
        <f>VLOOKUP(D45,'Biểu 1 TH CÔNG'!$C$11:$AK$88,35,0)</f>
        <v>0</v>
      </c>
      <c r="T45" s="628">
        <f>VLOOKUP(D45,'Biểu 1 TH CÔNG'!$C$11:$AL$88,36,0)</f>
        <v>0</v>
      </c>
      <c r="U45" s="630">
        <f t="shared" si="3"/>
        <v>0</v>
      </c>
      <c r="V45" s="628">
        <f>VLOOKUP(D45,'Biểu 1 TH CÔNG'!$C$11:$AM$88,37,0)</f>
        <v>27</v>
      </c>
      <c r="W45" s="630">
        <v>0</v>
      </c>
      <c r="X45" s="629">
        <f t="shared" si="4"/>
        <v>1412556</v>
      </c>
      <c r="Y45" s="631">
        <f t="shared" si="5"/>
        <v>4792427.8359737862</v>
      </c>
      <c r="Z45" s="632"/>
      <c r="AA45" s="632">
        <f t="shared" si="6"/>
        <v>4792427.8359737862</v>
      </c>
    </row>
    <row r="46" spans="1:27" s="128" customFormat="1" ht="51" customHeight="1">
      <c r="A46" s="483">
        <v>34</v>
      </c>
      <c r="B46" s="483"/>
      <c r="C46" s="487" t="s">
        <v>288</v>
      </c>
      <c r="D46" s="636" t="str">
        <f>+'Biểu 1 TH CÔNG'!C44</f>
        <v>Thảo Xen</v>
      </c>
      <c r="E46" s="485"/>
      <c r="F46" s="483" t="s">
        <v>6</v>
      </c>
      <c r="G46" s="627"/>
      <c r="H46" s="486">
        <f t="shared" si="0"/>
        <v>0</v>
      </c>
      <c r="I46" s="628">
        <f>VLOOKUP(D46,'Biểu 2 TH MỦ TẠP'!$C$11:$AI$87,33,0)</f>
        <v>2002</v>
      </c>
      <c r="J46" s="628">
        <f>VLOOKUP(D46,'Biểu 2 TH MỦ TẠP'!$C$11:$AK$87,35,0)</f>
        <v>807.05405806415797</v>
      </c>
      <c r="K46" s="742">
        <v>0</v>
      </c>
      <c r="L46" s="742">
        <v>0</v>
      </c>
      <c r="M46" s="991">
        <f>+VLOOKUP(D46,'Biểu 2 TH MỦ TẠP'!$C$11:$AN$87,38,0)</f>
        <v>78.776253199623241</v>
      </c>
      <c r="N46" s="634">
        <f t="shared" si="1"/>
        <v>885.83031126378125</v>
      </c>
      <c r="O46" s="628" t="str">
        <f>VLOOKUP(D46,'Biểu 2 TH MỦ TẠP'!$C$11:$AP$87,40,0)</f>
        <v>A</v>
      </c>
      <c r="P46" s="629">
        <f t="shared" si="2"/>
        <v>3242138.939225439</v>
      </c>
      <c r="Q46" s="628">
        <f>VLOOKUP(D46,'Biểu 1 TH CÔNG'!$C$11:$AI$88,33,0)</f>
        <v>27</v>
      </c>
      <c r="R46" s="628">
        <f>VLOOKUP(D46,'Biểu 1 TH CÔNG'!$C$11:$AJ$88,34,0)</f>
        <v>4</v>
      </c>
      <c r="S46" s="628">
        <f>VLOOKUP(D46,'Biểu 1 TH CÔNG'!$C$11:$AK$88,35,0)</f>
        <v>0</v>
      </c>
      <c r="T46" s="628">
        <f>VLOOKUP(D46,'Biểu 1 TH CÔNG'!$C$11:$AL$88,36,0)</f>
        <v>0</v>
      </c>
      <c r="U46" s="630">
        <f t="shared" si="3"/>
        <v>0</v>
      </c>
      <c r="V46" s="628">
        <f>VLOOKUP(D46,'Biểu 1 TH CÔNG'!$C$11:$AM$88,37,0)</f>
        <v>31</v>
      </c>
      <c r="W46" s="630">
        <v>0</v>
      </c>
      <c r="X46" s="629">
        <f t="shared" si="4"/>
        <v>1656874</v>
      </c>
      <c r="Y46" s="631">
        <f t="shared" si="5"/>
        <v>4899012.939225439</v>
      </c>
      <c r="Z46" s="632"/>
      <c r="AA46" s="632">
        <f t="shared" si="6"/>
        <v>4899012.939225439</v>
      </c>
    </row>
    <row r="47" spans="1:27" s="128" customFormat="1" ht="51" customHeight="1">
      <c r="A47" s="483">
        <v>35</v>
      </c>
      <c r="B47" s="740"/>
      <c r="C47" s="633"/>
      <c r="D47" s="636" t="str">
        <f>+'Biểu 1 TH CÔNG'!C45</f>
        <v>Phò Nhuận</v>
      </c>
      <c r="E47" s="741"/>
      <c r="F47" s="740" t="s">
        <v>52</v>
      </c>
      <c r="G47" s="742"/>
      <c r="H47" s="486">
        <f t="shared" si="0"/>
        <v>0</v>
      </c>
      <c r="I47" s="627">
        <v>0</v>
      </c>
      <c r="J47" s="627">
        <v>0</v>
      </c>
      <c r="K47" s="742">
        <v>0</v>
      </c>
      <c r="L47" s="742">
        <v>0</v>
      </c>
      <c r="M47" s="991"/>
      <c r="N47" s="634">
        <f t="shared" si="1"/>
        <v>0</v>
      </c>
      <c r="O47" s="627"/>
      <c r="P47" s="629">
        <f t="shared" si="2"/>
        <v>0</v>
      </c>
      <c r="Q47" s="628">
        <f>VLOOKUP(D47,'Biểu 1 TH CÔNG'!$C$11:$AI$88,33,0)</f>
        <v>13</v>
      </c>
      <c r="R47" s="628">
        <f>VLOOKUP(D47,'Biểu 1 TH CÔNG'!$C$11:$AJ$88,34,0)</f>
        <v>4</v>
      </c>
      <c r="S47" s="628">
        <f>VLOOKUP(D47,'Biểu 1 TH CÔNG'!$C$11:$AK$88,35,0)</f>
        <v>0</v>
      </c>
      <c r="T47" s="628">
        <f>VLOOKUP(D47,'Biểu 1 TH CÔNG'!$C$11:$AL$88,36,0)</f>
        <v>0</v>
      </c>
      <c r="U47" s="630">
        <f t="shared" si="3"/>
        <v>0</v>
      </c>
      <c r="V47" s="628">
        <f>VLOOKUP(D47,'Biểu 1 TH CÔNG'!$C$11:$AM$88,37,0)</f>
        <v>17</v>
      </c>
      <c r="W47" s="630">
        <v>0</v>
      </c>
      <c r="X47" s="629">
        <f t="shared" si="4"/>
        <v>945773</v>
      </c>
      <c r="Y47" s="631">
        <f t="shared" si="5"/>
        <v>945773</v>
      </c>
      <c r="Z47" s="635"/>
      <c r="AA47" s="632">
        <f t="shared" si="6"/>
        <v>945773</v>
      </c>
    </row>
    <row r="48" spans="1:27" s="128" customFormat="1" ht="51" customHeight="1">
      <c r="A48" s="483">
        <v>36</v>
      </c>
      <c r="B48" s="740">
        <v>1</v>
      </c>
      <c r="C48" s="633"/>
      <c r="D48" s="636" t="str">
        <f>+'Biểu 1 TH CÔNG'!C46</f>
        <v>Nàng Pong</v>
      </c>
      <c r="E48" s="741"/>
      <c r="F48" s="740" t="s">
        <v>52</v>
      </c>
      <c r="G48" s="742"/>
      <c r="H48" s="486">
        <f t="shared" si="0"/>
        <v>0</v>
      </c>
      <c r="I48" s="628">
        <f>VLOOKUP(D48,'Biểu 2 TH MỦ TẠP'!$C$11:$AI$87,33,0)</f>
        <v>2680</v>
      </c>
      <c r="J48" s="628">
        <f>VLOOKUP(D48,'Biểu 2 TH MỦ TẠP'!$C$11:$AK$87,35,0)</f>
        <v>1080.3720657402314</v>
      </c>
      <c r="K48" s="742">
        <v>0</v>
      </c>
      <c r="L48" s="742">
        <v>0</v>
      </c>
      <c r="M48" s="991">
        <f>+VLOOKUP(D48,'Biểu 2 TH MỦ TẠP'!$C$11:$AN$87,38,0)</f>
        <v>105.4547245629322</v>
      </c>
      <c r="N48" s="634">
        <f t="shared" si="1"/>
        <v>1185.8267903031635</v>
      </c>
      <c r="O48" s="628" t="str">
        <f>VLOOKUP(D48,'Biểu 2 TH MỦ TẠP'!$C$11:$AP$87,40,0)</f>
        <v>B</v>
      </c>
      <c r="P48" s="629">
        <f t="shared" si="2"/>
        <v>4126677.2302550087</v>
      </c>
      <c r="Q48" s="628">
        <f>VLOOKUP(D48,'Biểu 1 TH CÔNG'!$C$11:$AI$88,33,0)</f>
        <v>26</v>
      </c>
      <c r="R48" s="628">
        <f>VLOOKUP(D48,'Biểu 1 TH CÔNG'!$C$11:$AJ$88,34,0)</f>
        <v>3</v>
      </c>
      <c r="S48" s="628">
        <f>VLOOKUP(D48,'Biểu 1 TH CÔNG'!$C$11:$AK$88,35,0)</f>
        <v>1</v>
      </c>
      <c r="T48" s="628">
        <f>VLOOKUP(D48,'Biểu 1 TH CÔNG'!$C$11:$AL$88,36,0)</f>
        <v>1</v>
      </c>
      <c r="U48" s="630">
        <f t="shared" si="3"/>
        <v>2</v>
      </c>
      <c r="V48" s="628">
        <f>VLOOKUP(D48,'Biểu 1 TH CÔNG'!$C$11:$AM$88,37,0)</f>
        <v>31</v>
      </c>
      <c r="W48" s="630">
        <v>0</v>
      </c>
      <c r="X48" s="629">
        <f t="shared" si="4"/>
        <v>1939033</v>
      </c>
      <c r="Y48" s="631">
        <f t="shared" si="5"/>
        <v>6065710.2302550087</v>
      </c>
      <c r="Z48" s="635"/>
      <c r="AA48" s="632">
        <f t="shared" si="6"/>
        <v>6065710.2302550087</v>
      </c>
    </row>
    <row r="49" spans="1:27" s="128" customFormat="1" ht="51" customHeight="1">
      <c r="A49" s="483">
        <v>37</v>
      </c>
      <c r="B49" s="740">
        <v>2</v>
      </c>
      <c r="C49" s="633"/>
      <c r="D49" s="636" t="str">
        <f>+'Biểu 1 TH CÔNG'!C47</f>
        <v>Thảo Ơ</v>
      </c>
      <c r="E49" s="741"/>
      <c r="F49" s="740" t="s">
        <v>52</v>
      </c>
      <c r="G49" s="742"/>
      <c r="H49" s="486">
        <f t="shared" si="0"/>
        <v>0</v>
      </c>
      <c r="I49" s="628">
        <f>VLOOKUP(D49,'Biểu 2 TH MỦ TẠP'!$C$11:$AI$87,33,0)</f>
        <v>2626</v>
      </c>
      <c r="J49" s="628">
        <f>VLOOKUP(D49,'Biểu 2 TH MỦ TẠP'!$C$11:$AK$87,35,0)</f>
        <v>1058.6033748633761</v>
      </c>
      <c r="K49" s="742">
        <v>0</v>
      </c>
      <c r="L49" s="742">
        <v>0</v>
      </c>
      <c r="M49" s="991">
        <f>+VLOOKUP(D49,'Biểu 2 TH MỦ TẠP'!$C$11:$AN$87,38,0)</f>
        <v>103.32989056054477</v>
      </c>
      <c r="N49" s="634">
        <f t="shared" si="1"/>
        <v>1161.9332654239208</v>
      </c>
      <c r="O49" s="628" t="str">
        <f>VLOOKUP(D49,'Biểu 2 TH MỦ TẠP'!$C$11:$AP$87,40,0)</f>
        <v>B</v>
      </c>
      <c r="P49" s="629">
        <f t="shared" si="2"/>
        <v>4043527.7636752445</v>
      </c>
      <c r="Q49" s="628">
        <f>VLOOKUP(D49,'Biểu 1 TH CÔNG'!$C$11:$AI$88,33,0)</f>
        <v>26</v>
      </c>
      <c r="R49" s="628">
        <f>VLOOKUP(D49,'Biểu 1 TH CÔNG'!$C$11:$AJ$88,34,0)</f>
        <v>3</v>
      </c>
      <c r="S49" s="628">
        <f>VLOOKUP(D49,'Biểu 1 TH CÔNG'!$C$11:$AK$88,35,0)</f>
        <v>1</v>
      </c>
      <c r="T49" s="628">
        <f>VLOOKUP(D49,'Biểu 1 TH CÔNG'!$C$11:$AL$88,36,0)</f>
        <v>1</v>
      </c>
      <c r="U49" s="630">
        <f t="shared" si="3"/>
        <v>2</v>
      </c>
      <c r="V49" s="628">
        <f>VLOOKUP(D49,'Biểu 1 TH CÔNG'!$C$11:$AM$88,37,0)</f>
        <v>31</v>
      </c>
      <c r="W49" s="630">
        <v>0</v>
      </c>
      <c r="X49" s="629">
        <f t="shared" si="4"/>
        <v>1939033</v>
      </c>
      <c r="Y49" s="631">
        <f t="shared" si="5"/>
        <v>5982560.7636752445</v>
      </c>
      <c r="Z49" s="635"/>
      <c r="AA49" s="632">
        <f t="shared" si="6"/>
        <v>5982560.7636752445</v>
      </c>
    </row>
    <row r="50" spans="1:27" s="128" customFormat="1" ht="51" customHeight="1">
      <c r="A50" s="483">
        <v>38</v>
      </c>
      <c r="B50" s="740">
        <v>3</v>
      </c>
      <c r="C50" s="633"/>
      <c r="D50" s="636" t="str">
        <f>+'Biểu 1 TH CÔNG'!C48</f>
        <v>Thảo Ui</v>
      </c>
      <c r="E50" s="741"/>
      <c r="F50" s="740" t="s">
        <v>52</v>
      </c>
      <c r="G50" s="742"/>
      <c r="H50" s="486">
        <f t="shared" si="0"/>
        <v>0</v>
      </c>
      <c r="I50" s="628">
        <f>VLOOKUP(D50,'Biểu 2 TH MỦ TẠP'!$C$11:$AI$87,33,0)</f>
        <v>2726</v>
      </c>
      <c r="J50" s="628">
        <f>VLOOKUP(D50,'Biểu 2 TH MỦ TẠP'!$C$11:$AK$87,35,0)</f>
        <v>1098.9157653760712</v>
      </c>
      <c r="K50" s="742">
        <v>0</v>
      </c>
      <c r="L50" s="742">
        <v>0</v>
      </c>
      <c r="M50" s="991">
        <f>+VLOOKUP(D50,'Biểu 2 TH MỦ TẠP'!$C$11:$AN$87,38,0)</f>
        <v>107.26476834274374</v>
      </c>
      <c r="N50" s="634">
        <f t="shared" si="1"/>
        <v>1206.180533718815</v>
      </c>
      <c r="O50" s="628" t="str">
        <f>VLOOKUP(D50,'Biểu 2 TH MỦ TẠP'!$C$11:$AP$87,40,0)</f>
        <v>A</v>
      </c>
      <c r="P50" s="629">
        <f t="shared" si="2"/>
        <v>4414620.7534108628</v>
      </c>
      <c r="Q50" s="628">
        <f>VLOOKUP(D50,'Biểu 1 TH CÔNG'!$C$11:$AI$88,33,0)</f>
        <v>26</v>
      </c>
      <c r="R50" s="628">
        <f>VLOOKUP(D50,'Biểu 1 TH CÔNG'!$C$11:$AJ$88,34,0)</f>
        <v>3</v>
      </c>
      <c r="S50" s="628">
        <f>VLOOKUP(D50,'Biểu 1 TH CÔNG'!$C$11:$AK$88,35,0)</f>
        <v>1</v>
      </c>
      <c r="T50" s="628">
        <f>VLOOKUP(D50,'Biểu 1 TH CÔNG'!$C$11:$AL$88,36,0)</f>
        <v>1</v>
      </c>
      <c r="U50" s="630">
        <f t="shared" si="3"/>
        <v>2</v>
      </c>
      <c r="V50" s="628">
        <f>VLOOKUP(D50,'Biểu 1 TH CÔNG'!$C$11:$AM$88,37,0)</f>
        <v>31</v>
      </c>
      <c r="W50" s="630">
        <v>0</v>
      </c>
      <c r="X50" s="629">
        <f t="shared" si="4"/>
        <v>1939033</v>
      </c>
      <c r="Y50" s="631">
        <f t="shared" si="5"/>
        <v>6353653.7534108628</v>
      </c>
      <c r="Z50" s="635"/>
      <c r="AA50" s="632">
        <f t="shared" si="6"/>
        <v>6353653.7534108628</v>
      </c>
    </row>
    <row r="51" spans="1:27" s="1201" customFormat="1" ht="51" customHeight="1">
      <c r="A51" s="1186">
        <v>39</v>
      </c>
      <c r="B51" s="1187">
        <v>4</v>
      </c>
      <c r="C51" s="1188"/>
      <c r="D51" s="1189" t="str">
        <f>+'Biểu 1 TH CÔNG'!C49</f>
        <v>Thảo Xoan Chay</v>
      </c>
      <c r="E51" s="1190"/>
      <c r="F51" s="1187" t="s">
        <v>52</v>
      </c>
      <c r="G51" s="1191"/>
      <c r="H51" s="1192">
        <f t="shared" si="0"/>
        <v>0</v>
      </c>
      <c r="I51" s="1193">
        <f>VLOOKUP(D51,'Biểu 2 TH MỦ TẠP'!$C$11:$AI$87,33,0)</f>
        <v>2696</v>
      </c>
      <c r="J51" s="1193">
        <f>VLOOKUP(D51,'Biểu 2 TH MỦ TẠP'!$C$11:$AK$87,35,0)</f>
        <v>1086.8220482222628</v>
      </c>
      <c r="K51" s="1191">
        <v>0</v>
      </c>
      <c r="L51" s="1191">
        <v>0</v>
      </c>
      <c r="M51" s="1194">
        <f>+VLOOKUP(D51,'Biểu 2 TH MỦ TẠP'!$C$11:$AN$87,38,0)</f>
        <v>106.08430500808404</v>
      </c>
      <c r="N51" s="1195">
        <f t="shared" si="1"/>
        <v>1192.9063532303469</v>
      </c>
      <c r="O51" s="1193" t="str">
        <f>VLOOKUP(D51,'Biểu 2 TH MỦ TẠP'!$C$11:$AP$87,40,0)</f>
        <v>B</v>
      </c>
      <c r="P51" s="1196">
        <f t="shared" si="2"/>
        <v>4151314.1092416071</v>
      </c>
      <c r="Q51" s="1193">
        <f>VLOOKUP(D51,'Biểu 1 TH CÔNG'!$C$11:$AI$88,33,0)</f>
        <v>26</v>
      </c>
      <c r="R51" s="1193">
        <f>VLOOKUP(D51,'Biểu 1 TH CÔNG'!$C$11:$AJ$88,34,0)</f>
        <v>3</v>
      </c>
      <c r="S51" s="1193">
        <f>VLOOKUP(D51,'Biểu 1 TH CÔNG'!$C$11:$AK$88,35,0)</f>
        <v>1</v>
      </c>
      <c r="T51" s="1193">
        <f>VLOOKUP(D51,'Biểu 1 TH CÔNG'!$C$11:$AL$88,36,0)</f>
        <v>1</v>
      </c>
      <c r="U51" s="1197">
        <f t="shared" si="3"/>
        <v>2</v>
      </c>
      <c r="V51" s="1193">
        <f>VLOOKUP(D51,'Biểu 1 TH CÔNG'!$C$11:$AM$88,37,0)</f>
        <v>31</v>
      </c>
      <c r="W51" s="1197">
        <v>0</v>
      </c>
      <c r="X51" s="629">
        <f t="shared" si="4"/>
        <v>1939033</v>
      </c>
      <c r="Y51" s="1198">
        <f t="shared" si="5"/>
        <v>6090347.1092416067</v>
      </c>
      <c r="Z51" s="1199">
        <v>760000</v>
      </c>
      <c r="AA51" s="1200">
        <f t="shared" si="6"/>
        <v>5330347.1092416067</v>
      </c>
    </row>
    <row r="52" spans="1:27" s="128" customFormat="1" ht="51" customHeight="1">
      <c r="A52" s="483">
        <v>40</v>
      </c>
      <c r="B52" s="740">
        <v>5</v>
      </c>
      <c r="C52" s="633"/>
      <c r="D52" s="636" t="str">
        <f>+'Biểu 1 TH CÔNG'!C50</f>
        <v>Nàng Út</v>
      </c>
      <c r="E52" s="741"/>
      <c r="F52" s="740" t="s">
        <v>52</v>
      </c>
      <c r="G52" s="742"/>
      <c r="H52" s="486">
        <f t="shared" si="0"/>
        <v>0</v>
      </c>
      <c r="I52" s="628">
        <f>VLOOKUP(D52,'Biểu 2 TH MỦ TẠP'!$C$11:$AI$87,33,0)</f>
        <v>2736</v>
      </c>
      <c r="J52" s="628">
        <f>VLOOKUP(D52,'Biểu 2 TH MỦ TẠP'!$C$11:$AK$87,35,0)</f>
        <v>1102.9470044273407</v>
      </c>
      <c r="K52" s="742">
        <v>0</v>
      </c>
      <c r="L52" s="742">
        <v>0</v>
      </c>
      <c r="M52" s="991">
        <f>+VLOOKUP(D52,'Biểu 2 TH MỦ TẠP'!$C$11:$AN$87,38,0)</f>
        <v>107.65825612096363</v>
      </c>
      <c r="N52" s="634">
        <f t="shared" si="1"/>
        <v>1210.6052605483044</v>
      </c>
      <c r="O52" s="628" t="str">
        <f>VLOOKUP(D52,'Biểu 2 TH MỦ TẠP'!$C$11:$AP$87,40,0)</f>
        <v>B</v>
      </c>
      <c r="P52" s="629">
        <f t="shared" si="2"/>
        <v>4212906.3067080993</v>
      </c>
      <c r="Q52" s="628">
        <f>VLOOKUP(D52,'Biểu 1 TH CÔNG'!$C$11:$AI$88,33,0)</f>
        <v>26</v>
      </c>
      <c r="R52" s="628">
        <f>VLOOKUP(D52,'Biểu 1 TH CÔNG'!$C$11:$AJ$88,34,0)</f>
        <v>3</v>
      </c>
      <c r="S52" s="628">
        <f>VLOOKUP(D52,'Biểu 1 TH CÔNG'!$C$11:$AK$88,35,0)</f>
        <v>1</v>
      </c>
      <c r="T52" s="628">
        <f>VLOOKUP(D52,'Biểu 1 TH CÔNG'!$C$11:$AL$88,36,0)</f>
        <v>1</v>
      </c>
      <c r="U52" s="630">
        <f t="shared" si="3"/>
        <v>2</v>
      </c>
      <c r="V52" s="628">
        <f>VLOOKUP(D52,'Biểu 1 TH CÔNG'!$C$11:$AM$88,37,0)</f>
        <v>31</v>
      </c>
      <c r="W52" s="630">
        <v>0</v>
      </c>
      <c r="X52" s="629">
        <f t="shared" si="4"/>
        <v>1939033</v>
      </c>
      <c r="Y52" s="631">
        <f t="shared" si="5"/>
        <v>6151939.3067080993</v>
      </c>
      <c r="Z52" s="635"/>
      <c r="AA52" s="632">
        <f t="shared" si="6"/>
        <v>6151939.3067080993</v>
      </c>
    </row>
    <row r="53" spans="1:27" s="128" customFormat="1" ht="51" customHeight="1">
      <c r="A53" s="483">
        <v>41</v>
      </c>
      <c r="B53" s="740">
        <v>6</v>
      </c>
      <c r="C53" s="633"/>
      <c r="D53" s="636" t="str">
        <f>+'Biểu 1 TH CÔNG'!C51</f>
        <v>Thảo Phôn Xay</v>
      </c>
      <c r="E53" s="741"/>
      <c r="F53" s="740" t="s">
        <v>52</v>
      </c>
      <c r="G53" s="742"/>
      <c r="H53" s="486">
        <f t="shared" si="0"/>
        <v>0</v>
      </c>
      <c r="I53" s="628">
        <f>VLOOKUP(D53,'Biểu 2 TH MỦ TẠP'!$C$11:$AI$87,33,0)</f>
        <v>2828</v>
      </c>
      <c r="J53" s="628">
        <f>VLOOKUP(D53,'Biểu 2 TH MỦ TẠP'!$C$11:$AK$87,35,0)</f>
        <v>1140.0344036990202</v>
      </c>
      <c r="K53" s="742">
        <v>0</v>
      </c>
      <c r="L53" s="742">
        <v>0</v>
      </c>
      <c r="M53" s="991">
        <f>+VLOOKUP(D53,'Biểu 2 TH MỦ TẠP'!$C$11:$AN$87,38,0)</f>
        <v>111.27834368058667</v>
      </c>
      <c r="N53" s="634">
        <f t="shared" si="1"/>
        <v>1251.3127473796069</v>
      </c>
      <c r="O53" s="628" t="str">
        <f>VLOOKUP(D53,'Biểu 2 TH MỦ TẠP'!$C$11:$AP$87,40,0)</f>
        <v>B</v>
      </c>
      <c r="P53" s="629">
        <f t="shared" si="2"/>
        <v>4354568.3608810315</v>
      </c>
      <c r="Q53" s="628">
        <f>VLOOKUP(D53,'Biểu 1 TH CÔNG'!$C$11:$AI$88,33,0)</f>
        <v>26</v>
      </c>
      <c r="R53" s="628">
        <f>VLOOKUP(D53,'Biểu 1 TH CÔNG'!$C$11:$AJ$88,34,0)</f>
        <v>3</v>
      </c>
      <c r="S53" s="628">
        <f>VLOOKUP(D53,'Biểu 1 TH CÔNG'!$C$11:$AK$88,35,0)</f>
        <v>1</v>
      </c>
      <c r="T53" s="628">
        <f>VLOOKUP(D53,'Biểu 1 TH CÔNG'!$C$11:$AL$88,36,0)</f>
        <v>1</v>
      </c>
      <c r="U53" s="630">
        <f t="shared" si="3"/>
        <v>2</v>
      </c>
      <c r="V53" s="628">
        <f>VLOOKUP(D53,'Biểu 1 TH CÔNG'!$C$11:$AM$88,37,0)</f>
        <v>31</v>
      </c>
      <c r="W53" s="630">
        <v>0</v>
      </c>
      <c r="X53" s="629">
        <f t="shared" si="4"/>
        <v>1939033</v>
      </c>
      <c r="Y53" s="631">
        <f t="shared" si="5"/>
        <v>6293601.3608810315</v>
      </c>
      <c r="Z53" s="635"/>
      <c r="AA53" s="632">
        <f t="shared" si="6"/>
        <v>6293601.3608810315</v>
      </c>
    </row>
    <row r="54" spans="1:27" s="128" customFormat="1" ht="51" customHeight="1">
      <c r="A54" s="483">
        <v>42</v>
      </c>
      <c r="B54" s="740">
        <v>7</v>
      </c>
      <c r="C54" s="487" t="s">
        <v>224</v>
      </c>
      <c r="D54" s="636" t="str">
        <f>+'Biểu 1 TH CÔNG'!C52</f>
        <v>Nàng Phêng</v>
      </c>
      <c r="E54" s="485"/>
      <c r="F54" s="483" t="s">
        <v>6</v>
      </c>
      <c r="G54" s="627"/>
      <c r="H54" s="486">
        <f t="shared" si="0"/>
        <v>0</v>
      </c>
      <c r="I54" s="628">
        <f>VLOOKUP(D54,'Biểu 2 TH MỦ TẠP'!$C$11:$AI$87,33,0)</f>
        <v>2652</v>
      </c>
      <c r="J54" s="628">
        <f>VLOOKUP(D54,'Biểu 2 TH MỦ TẠP'!$C$11:$AK$87,35,0)</f>
        <v>1069.0845963966767</v>
      </c>
      <c r="K54" s="742">
        <v>0</v>
      </c>
      <c r="L54" s="742">
        <v>0</v>
      </c>
      <c r="M54" s="991">
        <f>+VLOOKUP(D54,'Biểu 2 TH MỦ TẠP'!$C$11:$AN$87,38,0)</f>
        <v>104.35295878391651</v>
      </c>
      <c r="N54" s="634">
        <f t="shared" si="1"/>
        <v>1173.4375551805933</v>
      </c>
      <c r="O54" s="628" t="str">
        <f>VLOOKUP(D54,'Biểu 2 TH MỦ TẠP'!$C$11:$AP$87,40,0)</f>
        <v>A</v>
      </c>
      <c r="P54" s="629">
        <f t="shared" si="2"/>
        <v>4294781.4519609716</v>
      </c>
      <c r="Q54" s="628">
        <f>VLOOKUP(D54,'Biểu 1 TH CÔNG'!$C$11:$AI$88,33,0)</f>
        <v>26</v>
      </c>
      <c r="R54" s="628">
        <f>VLOOKUP(D54,'Biểu 1 TH CÔNG'!$C$11:$AJ$88,34,0)</f>
        <v>3</v>
      </c>
      <c r="S54" s="628">
        <f>VLOOKUP(D54,'Biểu 1 TH CÔNG'!$C$11:$AK$88,35,0)</f>
        <v>1</v>
      </c>
      <c r="T54" s="628">
        <f>VLOOKUP(D54,'Biểu 1 TH CÔNG'!$C$11:$AL$88,36,0)</f>
        <v>1</v>
      </c>
      <c r="U54" s="630">
        <f t="shared" si="3"/>
        <v>2</v>
      </c>
      <c r="V54" s="628">
        <f>VLOOKUP(D54,'Biểu 1 TH CÔNG'!$C$11:$AM$88,37,0)</f>
        <v>31</v>
      </c>
      <c r="W54" s="630">
        <v>0</v>
      </c>
      <c r="X54" s="629">
        <f t="shared" si="4"/>
        <v>1939033</v>
      </c>
      <c r="Y54" s="631">
        <f t="shared" si="5"/>
        <v>6233814.4519609716</v>
      </c>
      <c r="Z54" s="632"/>
      <c r="AA54" s="632">
        <f t="shared" si="6"/>
        <v>6233814.4519609716</v>
      </c>
    </row>
    <row r="55" spans="1:27" s="128" customFormat="1" ht="51" customHeight="1">
      <c r="A55" s="483">
        <v>43</v>
      </c>
      <c r="B55" s="740">
        <v>8</v>
      </c>
      <c r="C55" s="487" t="s">
        <v>225</v>
      </c>
      <c r="D55" s="636" t="str">
        <f>+'Biểu 1 TH CÔNG'!C53</f>
        <v>Thảo Phíc</v>
      </c>
      <c r="E55" s="485"/>
      <c r="F55" s="483" t="s">
        <v>6</v>
      </c>
      <c r="G55" s="627"/>
      <c r="H55" s="486">
        <f t="shared" si="0"/>
        <v>0</v>
      </c>
      <c r="I55" s="628">
        <f>VLOOKUP(D55,'Biểu 2 TH MỦ TẠP'!$C$11:$AI$87,33,0)</f>
        <v>2322</v>
      </c>
      <c r="J55" s="628">
        <f>VLOOKUP(D55,'Biểu 2 TH MỦ TẠP'!$C$11:$AK$87,35,0)</f>
        <v>936.0537077047826</v>
      </c>
      <c r="K55" s="742">
        <v>0</v>
      </c>
      <c r="L55" s="742">
        <v>0</v>
      </c>
      <c r="M55" s="991">
        <f>+VLOOKUP(D55,'Biểu 2 TH MỦ TẠP'!$C$11:$AN$87,38,0)</f>
        <v>91.367862102659927</v>
      </c>
      <c r="N55" s="634">
        <f t="shared" si="1"/>
        <v>1027.4215698074424</v>
      </c>
      <c r="O55" s="628" t="str">
        <f>VLOOKUP(D55,'Biểu 2 TH MỦ TẠP'!$C$11:$AP$87,40,0)</f>
        <v>B</v>
      </c>
      <c r="P55" s="629">
        <f t="shared" si="2"/>
        <v>3575427.0629298994</v>
      </c>
      <c r="Q55" s="628">
        <f>VLOOKUP(D55,'Biểu 1 TH CÔNG'!$C$11:$AI$88,33,0)</f>
        <v>26</v>
      </c>
      <c r="R55" s="628">
        <f>VLOOKUP(D55,'Biểu 1 TH CÔNG'!$C$11:$AJ$88,34,0)</f>
        <v>3</v>
      </c>
      <c r="S55" s="628">
        <f>VLOOKUP(D55,'Biểu 1 TH CÔNG'!$C$11:$AK$88,35,0)</f>
        <v>1</v>
      </c>
      <c r="T55" s="628">
        <f>VLOOKUP(D55,'Biểu 1 TH CÔNG'!$C$11:$AL$88,36,0)</f>
        <v>1</v>
      </c>
      <c r="U55" s="630">
        <f t="shared" si="3"/>
        <v>2</v>
      </c>
      <c r="V55" s="628">
        <f>VLOOKUP(D55,'Biểu 1 TH CÔNG'!$C$11:$AM$88,37,0)</f>
        <v>31</v>
      </c>
      <c r="W55" s="630">
        <v>0</v>
      </c>
      <c r="X55" s="629">
        <f t="shared" si="4"/>
        <v>1939033</v>
      </c>
      <c r="Y55" s="631">
        <f t="shared" si="5"/>
        <v>5514460.0629298994</v>
      </c>
      <c r="Z55" s="632"/>
      <c r="AA55" s="632">
        <f t="shared" si="6"/>
        <v>5514460.0629298994</v>
      </c>
    </row>
    <row r="56" spans="1:27" s="128" customFormat="1" ht="51" customHeight="1">
      <c r="A56" s="483">
        <v>44</v>
      </c>
      <c r="B56" s="740">
        <v>9</v>
      </c>
      <c r="C56" s="487" t="s">
        <v>226</v>
      </c>
      <c r="D56" s="636" t="str">
        <f>+'Biểu 1 TH CÔNG'!C54</f>
        <v>Nàng Chai</v>
      </c>
      <c r="E56" s="485"/>
      <c r="F56" s="483" t="s">
        <v>6</v>
      </c>
      <c r="G56" s="627"/>
      <c r="H56" s="486">
        <f t="shared" si="0"/>
        <v>0</v>
      </c>
      <c r="I56" s="628">
        <f>VLOOKUP(D56,'Biểu 2 TH MỦ TẠP'!$C$11:$AI$87,33,0)</f>
        <v>2222</v>
      </c>
      <c r="J56" s="628">
        <f>VLOOKUP(D56,'Biểu 2 TH MỦ TẠP'!$C$11:$AK$87,35,0)</f>
        <v>895.74131719208742</v>
      </c>
      <c r="K56" s="742">
        <v>0</v>
      </c>
      <c r="L56" s="742">
        <v>0</v>
      </c>
      <c r="M56" s="991">
        <f>+VLOOKUP(D56,'Biểu 2 TH MỦ TẠP'!$C$11:$AN$87,38,0)</f>
        <v>87.43298432046096</v>
      </c>
      <c r="N56" s="634">
        <f t="shared" si="1"/>
        <v>983.17430151254837</v>
      </c>
      <c r="O56" s="628" t="str">
        <f>VLOOKUP(D56,'Biểu 2 TH MỦ TẠP'!$C$11:$AP$87,40,0)</f>
        <v>A</v>
      </c>
      <c r="P56" s="629">
        <f t="shared" si="2"/>
        <v>3598417.9435359268</v>
      </c>
      <c r="Q56" s="628">
        <f>VLOOKUP(D56,'Biểu 1 TH CÔNG'!$C$11:$AI$88,33,0)</f>
        <v>26</v>
      </c>
      <c r="R56" s="628">
        <f>VLOOKUP(D56,'Biểu 1 TH CÔNG'!$C$11:$AJ$88,34,0)</f>
        <v>3</v>
      </c>
      <c r="S56" s="628">
        <f>VLOOKUP(D56,'Biểu 1 TH CÔNG'!$C$11:$AK$88,35,0)</f>
        <v>1</v>
      </c>
      <c r="T56" s="628">
        <f>VLOOKUP(D56,'Biểu 1 TH CÔNG'!$C$11:$AL$88,36,0)</f>
        <v>1</v>
      </c>
      <c r="U56" s="630">
        <f t="shared" si="3"/>
        <v>2</v>
      </c>
      <c r="V56" s="628">
        <f>VLOOKUP(D56,'Biểu 1 TH CÔNG'!$C$11:$AM$88,37,0)</f>
        <v>31</v>
      </c>
      <c r="W56" s="630">
        <v>0</v>
      </c>
      <c r="X56" s="629">
        <f t="shared" si="4"/>
        <v>1939033</v>
      </c>
      <c r="Y56" s="631">
        <f t="shared" si="5"/>
        <v>5537450.9435359268</v>
      </c>
      <c r="Z56" s="632"/>
      <c r="AA56" s="632">
        <f t="shared" si="6"/>
        <v>5537450.9435359268</v>
      </c>
    </row>
    <row r="57" spans="1:27" s="128" customFormat="1" ht="51" customHeight="1">
      <c r="A57" s="483">
        <v>45</v>
      </c>
      <c r="B57" s="740">
        <v>10</v>
      </c>
      <c r="C57" s="487" t="s">
        <v>227</v>
      </c>
      <c r="D57" s="636" t="str">
        <f>+'Biểu 1 TH CÔNG'!C55</f>
        <v>Thảo Viêng</v>
      </c>
      <c r="E57" s="485"/>
      <c r="F57" s="483" t="s">
        <v>6</v>
      </c>
      <c r="G57" s="627"/>
      <c r="H57" s="486">
        <f t="shared" si="0"/>
        <v>0</v>
      </c>
      <c r="I57" s="628">
        <f>VLOOKUP(D57,'Biểu 2 TH MỦ TẠP'!$C$11:$AI$87,33,0)</f>
        <v>2707</v>
      </c>
      <c r="J57" s="628">
        <f>VLOOKUP(D57,'Biểu 2 TH MỦ TẠP'!$C$11:$AK$87,35,0)</f>
        <v>1091.2564111786592</v>
      </c>
      <c r="K57" s="742">
        <v>0</v>
      </c>
      <c r="L57" s="742">
        <v>0</v>
      </c>
      <c r="M57" s="991">
        <f>+VLOOKUP(D57,'Biểu 2 TH MỦ TẠP'!$C$11:$AN$87,38,0)</f>
        <v>106.51714156412592</v>
      </c>
      <c r="N57" s="634">
        <f t="shared" si="1"/>
        <v>1197.7735527427851</v>
      </c>
      <c r="O57" s="628" t="str">
        <f>VLOOKUP(D57,'Biểu 2 TH MỦ TẠP'!$C$11:$AP$87,40,0)</f>
        <v>A</v>
      </c>
      <c r="P57" s="629">
        <f t="shared" si="2"/>
        <v>4383851.2030385928</v>
      </c>
      <c r="Q57" s="628">
        <f>VLOOKUP(D57,'Biểu 1 TH CÔNG'!$C$11:$AI$88,33,0)</f>
        <v>26</v>
      </c>
      <c r="R57" s="628">
        <f>VLOOKUP(D57,'Biểu 1 TH CÔNG'!$C$11:$AJ$88,34,0)</f>
        <v>3</v>
      </c>
      <c r="S57" s="628">
        <f>VLOOKUP(D57,'Biểu 1 TH CÔNG'!$C$11:$AK$88,35,0)</f>
        <v>1</v>
      </c>
      <c r="T57" s="628">
        <f>VLOOKUP(D57,'Biểu 1 TH CÔNG'!$C$11:$AL$88,36,0)</f>
        <v>1</v>
      </c>
      <c r="U57" s="630">
        <f t="shared" si="3"/>
        <v>2</v>
      </c>
      <c r="V57" s="628">
        <f>VLOOKUP(D57,'Biểu 1 TH CÔNG'!$C$11:$AM$88,37,0)</f>
        <v>31</v>
      </c>
      <c r="W57" s="630">
        <v>0</v>
      </c>
      <c r="X57" s="629">
        <f t="shared" si="4"/>
        <v>1939033</v>
      </c>
      <c r="Y57" s="631">
        <f t="shared" si="5"/>
        <v>6322884.2030385928</v>
      </c>
      <c r="Z57" s="632"/>
      <c r="AA57" s="632">
        <f t="shared" si="6"/>
        <v>6322884.2030385928</v>
      </c>
    </row>
    <row r="58" spans="1:27" s="128" customFormat="1" ht="51" customHeight="1">
      <c r="A58" s="483">
        <v>46</v>
      </c>
      <c r="B58" s="740">
        <v>11</v>
      </c>
      <c r="C58" s="633" t="s">
        <v>228</v>
      </c>
      <c r="D58" s="636" t="str">
        <f>+'Biểu 1 TH CÔNG'!C56</f>
        <v>Thảo Xượm</v>
      </c>
      <c r="E58" s="485"/>
      <c r="F58" s="483" t="s">
        <v>6</v>
      </c>
      <c r="G58" s="627"/>
      <c r="H58" s="486">
        <f t="shared" si="0"/>
        <v>0</v>
      </c>
      <c r="I58" s="628">
        <f>VLOOKUP(D58,'Biểu 2 TH MỦ TẠP'!$C$11:$AI$87,33,0)</f>
        <v>2543</v>
      </c>
      <c r="J58" s="628">
        <f>VLOOKUP(D58,'Biểu 2 TH MỦ TẠP'!$C$11:$AK$87,35,0)</f>
        <v>1025.144090737839</v>
      </c>
      <c r="K58" s="742">
        <v>0</v>
      </c>
      <c r="L58" s="742">
        <v>0</v>
      </c>
      <c r="M58" s="991">
        <f>+VLOOKUP(D58,'Biểu 2 TH MỦ TẠP'!$C$11:$AN$87,38,0)</f>
        <v>100.06394200131963</v>
      </c>
      <c r="N58" s="634">
        <f t="shared" si="1"/>
        <v>1125.2080327391586</v>
      </c>
      <c r="O58" s="628" t="str">
        <f>VLOOKUP(D58,'Biểu 2 TH MỦ TẠP'!$C$11:$AP$87,40,0)</f>
        <v>B</v>
      </c>
      <c r="P58" s="629">
        <f t="shared" si="2"/>
        <v>3915723.9539322718</v>
      </c>
      <c r="Q58" s="628">
        <f>VLOOKUP(D58,'Biểu 1 TH CÔNG'!$C$11:$AI$88,33,0)</f>
        <v>26</v>
      </c>
      <c r="R58" s="628">
        <f>VLOOKUP(D58,'Biểu 1 TH CÔNG'!$C$11:$AJ$88,34,0)</f>
        <v>3</v>
      </c>
      <c r="S58" s="628">
        <f>VLOOKUP(D58,'Biểu 1 TH CÔNG'!$C$11:$AK$88,35,0)</f>
        <v>1</v>
      </c>
      <c r="T58" s="628">
        <f>VLOOKUP(D58,'Biểu 1 TH CÔNG'!$C$11:$AL$88,36,0)</f>
        <v>1</v>
      </c>
      <c r="U58" s="630">
        <f t="shared" si="3"/>
        <v>2</v>
      </c>
      <c r="V58" s="628">
        <f>VLOOKUP(D58,'Biểu 1 TH CÔNG'!$C$11:$AM$88,37,0)</f>
        <v>31</v>
      </c>
      <c r="W58" s="630">
        <v>0</v>
      </c>
      <c r="X58" s="629">
        <f t="shared" si="4"/>
        <v>1939033</v>
      </c>
      <c r="Y58" s="631">
        <f t="shared" si="5"/>
        <v>5854756.9539322723</v>
      </c>
      <c r="Z58" s="632"/>
      <c r="AA58" s="632">
        <f t="shared" si="6"/>
        <v>5854756.9539322723</v>
      </c>
    </row>
    <row r="59" spans="1:27" s="1201" customFormat="1" ht="51" customHeight="1">
      <c r="A59" s="1186">
        <v>47</v>
      </c>
      <c r="B59" s="1187">
        <v>12</v>
      </c>
      <c r="C59" s="1188" t="s">
        <v>229</v>
      </c>
      <c r="D59" s="1189" t="str">
        <f>+'Biểu 1 TH CÔNG'!C57</f>
        <v>Thảo Tích</v>
      </c>
      <c r="E59" s="1202"/>
      <c r="F59" s="1186" t="s">
        <v>6</v>
      </c>
      <c r="G59" s="1203"/>
      <c r="H59" s="1192">
        <f t="shared" si="0"/>
        <v>0</v>
      </c>
      <c r="I59" s="1193">
        <f>VLOOKUP(D59,'Biểu 2 TH MỦ TẠP'!$C$11:$AI$87,33,0)</f>
        <v>2473</v>
      </c>
      <c r="J59" s="1193">
        <f>VLOOKUP(D59,'Biểu 2 TH MỦ TẠP'!$C$11:$AK$87,35,0)</f>
        <v>996.92541737895237</v>
      </c>
      <c r="K59" s="1191">
        <v>0</v>
      </c>
      <c r="L59" s="1191">
        <v>0</v>
      </c>
      <c r="M59" s="1194">
        <f>+VLOOKUP(D59,'Biểu 2 TH MỦ TẠP'!$C$11:$AN$87,38,0)</f>
        <v>97.309527553780356</v>
      </c>
      <c r="N59" s="1195">
        <f t="shared" si="1"/>
        <v>1094.2349449327328</v>
      </c>
      <c r="O59" s="1193" t="str">
        <f>VLOOKUP(D59,'Biểu 2 TH MỦ TẠP'!$C$11:$AP$87,40,0)</f>
        <v>B</v>
      </c>
      <c r="P59" s="1196">
        <f t="shared" si="2"/>
        <v>3807937.6083659101</v>
      </c>
      <c r="Q59" s="1193">
        <f>VLOOKUP(D59,'Biểu 1 TH CÔNG'!$C$11:$AI$88,33,0)</f>
        <v>26</v>
      </c>
      <c r="R59" s="1193">
        <f>VLOOKUP(D59,'Biểu 1 TH CÔNG'!$C$11:$AJ$88,34,0)</f>
        <v>3</v>
      </c>
      <c r="S59" s="1193">
        <f>VLOOKUP(D59,'Biểu 1 TH CÔNG'!$C$11:$AK$88,35,0)</f>
        <v>1</v>
      </c>
      <c r="T59" s="1193">
        <f>VLOOKUP(D59,'Biểu 1 TH CÔNG'!$C$11:$AL$88,36,0)</f>
        <v>1</v>
      </c>
      <c r="U59" s="1197">
        <f t="shared" si="3"/>
        <v>2</v>
      </c>
      <c r="V59" s="1193">
        <f>VLOOKUP(D59,'Biểu 1 TH CÔNG'!$C$11:$AM$88,37,0)</f>
        <v>31</v>
      </c>
      <c r="W59" s="1197">
        <v>0</v>
      </c>
      <c r="X59" s="629">
        <f t="shared" si="4"/>
        <v>1939033</v>
      </c>
      <c r="Y59" s="1198">
        <f t="shared" si="5"/>
        <v>5746970.6083659101</v>
      </c>
      <c r="Z59" s="1199">
        <v>760000</v>
      </c>
      <c r="AA59" s="1200">
        <f t="shared" si="6"/>
        <v>4986970.6083659101</v>
      </c>
    </row>
    <row r="60" spans="1:27" s="1201" customFormat="1" ht="51" customHeight="1">
      <c r="A60" s="1186">
        <v>48</v>
      </c>
      <c r="B60" s="1187">
        <v>13</v>
      </c>
      <c r="C60" s="1188" t="s">
        <v>230</v>
      </c>
      <c r="D60" s="1189" t="str">
        <f>+'Biểu 1 TH CÔNG'!C58</f>
        <v>Nàng Thoong</v>
      </c>
      <c r="E60" s="1202"/>
      <c r="F60" s="1186" t="s">
        <v>6</v>
      </c>
      <c r="G60" s="1203"/>
      <c r="H60" s="1192">
        <f t="shared" si="0"/>
        <v>0</v>
      </c>
      <c r="I60" s="1193">
        <f>VLOOKUP(D60,'Biểu 2 TH MỦ TẠP'!$C$11:$AI$87,33,0)</f>
        <v>2473</v>
      </c>
      <c r="J60" s="1193">
        <f>VLOOKUP(D60,'Biểu 2 TH MỦ TẠP'!$C$11:$AK$87,35,0)</f>
        <v>996.92541737895237</v>
      </c>
      <c r="K60" s="1191">
        <v>0</v>
      </c>
      <c r="L60" s="1191">
        <v>0</v>
      </c>
      <c r="M60" s="1194">
        <f>+VLOOKUP(D60,'Biểu 2 TH MỦ TẠP'!$C$11:$AN$87,38,0)</f>
        <v>97.309527553780356</v>
      </c>
      <c r="N60" s="1195">
        <f t="shared" si="1"/>
        <v>1094.2349449327328</v>
      </c>
      <c r="O60" s="1193" t="str">
        <f>VLOOKUP(D60,'Biểu 2 TH MỦ TẠP'!$C$11:$AP$87,40,0)</f>
        <v>B</v>
      </c>
      <c r="P60" s="1196">
        <f t="shared" si="2"/>
        <v>3807937.6083659101</v>
      </c>
      <c r="Q60" s="1193">
        <f>VLOOKUP(D60,'Biểu 1 TH CÔNG'!$C$11:$AI$88,33,0)</f>
        <v>26</v>
      </c>
      <c r="R60" s="1193">
        <f>VLOOKUP(D60,'Biểu 1 TH CÔNG'!$C$11:$AJ$88,34,0)</f>
        <v>3</v>
      </c>
      <c r="S60" s="1193">
        <f>VLOOKUP(D60,'Biểu 1 TH CÔNG'!$C$11:$AK$88,35,0)</f>
        <v>1</v>
      </c>
      <c r="T60" s="1193">
        <f>VLOOKUP(D60,'Biểu 1 TH CÔNG'!$C$11:$AL$88,36,0)</f>
        <v>1</v>
      </c>
      <c r="U60" s="1197">
        <f t="shared" si="3"/>
        <v>2</v>
      </c>
      <c r="V60" s="1193">
        <f>VLOOKUP(D60,'Biểu 1 TH CÔNG'!$C$11:$AM$88,37,0)</f>
        <v>31</v>
      </c>
      <c r="W60" s="1197">
        <v>0</v>
      </c>
      <c r="X60" s="629">
        <f t="shared" si="4"/>
        <v>1939033</v>
      </c>
      <c r="Y60" s="1198">
        <f t="shared" si="5"/>
        <v>5746970.6083659101</v>
      </c>
      <c r="Z60" s="1199">
        <v>760000</v>
      </c>
      <c r="AA60" s="1200">
        <f t="shared" si="6"/>
        <v>4986970.6083659101</v>
      </c>
    </row>
    <row r="61" spans="1:27" s="128" customFormat="1" ht="51" customHeight="1">
      <c r="A61" s="483">
        <v>49</v>
      </c>
      <c r="B61" s="740">
        <v>14</v>
      </c>
      <c r="C61" s="633" t="s">
        <v>231</v>
      </c>
      <c r="D61" s="636" t="str">
        <f>+'Biểu 1 TH CÔNG'!C59</f>
        <v>Thảo Tý 2</v>
      </c>
      <c r="E61" s="485"/>
      <c r="F61" s="483" t="s">
        <v>6</v>
      </c>
      <c r="G61" s="627"/>
      <c r="H61" s="486">
        <f t="shared" si="0"/>
        <v>0</v>
      </c>
      <c r="I61" s="628">
        <f>VLOOKUP(D61,'Biểu 2 TH MỦ TẠP'!$C$11:$AI$87,33,0)</f>
        <v>3202</v>
      </c>
      <c r="J61" s="628">
        <f>VLOOKUP(D61,'Biểu 2 TH MỦ TẠP'!$C$11:$AK$87,35,0)</f>
        <v>1290.8027442165005</v>
      </c>
      <c r="K61" s="742">
        <v>0</v>
      </c>
      <c r="L61" s="742">
        <v>0</v>
      </c>
      <c r="M61" s="991">
        <f>+VLOOKUP(D61,'Biểu 2 TH MỦ TẠP'!$C$11:$AN$87,38,0)</f>
        <v>125.99478658601079</v>
      </c>
      <c r="N61" s="634">
        <f t="shared" si="1"/>
        <v>1416.7975308025113</v>
      </c>
      <c r="O61" s="628" t="str">
        <f>VLOOKUP(D61,'Biểu 2 TH MỦ TẠP'!$C$11:$AP$87,40,0)</f>
        <v>B</v>
      </c>
      <c r="P61" s="629">
        <f t="shared" si="2"/>
        <v>4930455.4071927387</v>
      </c>
      <c r="Q61" s="628">
        <f>VLOOKUP(D61,'Biểu 1 TH CÔNG'!$C$11:$AI$88,33,0)</f>
        <v>26</v>
      </c>
      <c r="R61" s="628">
        <f>VLOOKUP(D61,'Biểu 1 TH CÔNG'!$C$11:$AJ$88,34,0)</f>
        <v>3</v>
      </c>
      <c r="S61" s="628">
        <f>VLOOKUP(D61,'Biểu 1 TH CÔNG'!$C$11:$AK$88,35,0)</f>
        <v>1</v>
      </c>
      <c r="T61" s="628">
        <f>VLOOKUP(D61,'Biểu 1 TH CÔNG'!$C$11:$AL$88,36,0)</f>
        <v>1</v>
      </c>
      <c r="U61" s="630">
        <f t="shared" si="3"/>
        <v>2</v>
      </c>
      <c r="V61" s="628">
        <f>VLOOKUP(D61,'Biểu 1 TH CÔNG'!$C$11:$AM$88,37,0)</f>
        <v>31</v>
      </c>
      <c r="W61" s="630">
        <v>0</v>
      </c>
      <c r="X61" s="629">
        <f t="shared" si="4"/>
        <v>1939033</v>
      </c>
      <c r="Y61" s="631">
        <f t="shared" si="5"/>
        <v>6869488.4071927387</v>
      </c>
      <c r="Z61" s="635"/>
      <c r="AA61" s="632">
        <f t="shared" si="6"/>
        <v>6869488.4071927387</v>
      </c>
    </row>
    <row r="62" spans="1:27" s="1201" customFormat="1" ht="51" customHeight="1">
      <c r="A62" s="1186">
        <v>50</v>
      </c>
      <c r="B62" s="1187">
        <v>15</v>
      </c>
      <c r="C62" s="1188" t="s">
        <v>232</v>
      </c>
      <c r="D62" s="1189" t="str">
        <f>+'Biểu 1 TH CÔNG'!C60</f>
        <v>Nàng Mui</v>
      </c>
      <c r="E62" s="1202"/>
      <c r="F62" s="1186" t="s">
        <v>6</v>
      </c>
      <c r="G62" s="1203"/>
      <c r="H62" s="1192">
        <f t="shared" si="0"/>
        <v>0</v>
      </c>
      <c r="I62" s="1193">
        <f>VLOOKUP(D62,'Biểu 2 TH MỦ TẠP'!$C$11:$AI$87,33,0)</f>
        <v>2540</v>
      </c>
      <c r="J62" s="1193">
        <f>VLOOKUP(D62,'Biểu 2 TH MỦ TẠP'!$C$11:$AK$87,35,0)</f>
        <v>1023.9347190224581</v>
      </c>
      <c r="K62" s="1191">
        <v>0</v>
      </c>
      <c r="L62" s="1191">
        <v>0</v>
      </c>
      <c r="M62" s="1194">
        <f>+VLOOKUP(D62,'Biểu 2 TH MỦ TẠP'!$C$11:$AN$87,38,0)</f>
        <v>99.945895667853662</v>
      </c>
      <c r="N62" s="1195">
        <f t="shared" si="1"/>
        <v>1123.8806146903119</v>
      </c>
      <c r="O62" s="1193" t="str">
        <f>VLOOKUP(D62,'Biểu 2 TH MỦ TẠP'!$C$11:$AP$87,40,0)</f>
        <v>B</v>
      </c>
      <c r="P62" s="1196">
        <f t="shared" si="2"/>
        <v>3911104.5391222853</v>
      </c>
      <c r="Q62" s="1193">
        <f>VLOOKUP(D62,'Biểu 1 TH CÔNG'!$C$11:$AI$88,33,0)</f>
        <v>26</v>
      </c>
      <c r="R62" s="1193">
        <f>VLOOKUP(D62,'Biểu 1 TH CÔNG'!$C$11:$AJ$88,34,0)</f>
        <v>3</v>
      </c>
      <c r="S62" s="1193">
        <f>VLOOKUP(D62,'Biểu 1 TH CÔNG'!$C$11:$AK$88,35,0)</f>
        <v>1</v>
      </c>
      <c r="T62" s="1193">
        <f>VLOOKUP(D62,'Biểu 1 TH CÔNG'!$C$11:$AL$88,36,0)</f>
        <v>1</v>
      </c>
      <c r="U62" s="1197">
        <f t="shared" si="3"/>
        <v>2</v>
      </c>
      <c r="V62" s="1193">
        <f>VLOOKUP(D62,'Biểu 1 TH CÔNG'!$C$11:$AM$88,37,0)</f>
        <v>31</v>
      </c>
      <c r="W62" s="1197">
        <v>0</v>
      </c>
      <c r="X62" s="629">
        <f t="shared" si="4"/>
        <v>1939033</v>
      </c>
      <c r="Y62" s="1198">
        <f t="shared" si="5"/>
        <v>5850137.5391222853</v>
      </c>
      <c r="Z62" s="1199">
        <v>935000</v>
      </c>
      <c r="AA62" s="1200">
        <f t="shared" si="6"/>
        <v>4915137.5391222853</v>
      </c>
    </row>
    <row r="63" spans="1:27" s="1201" customFormat="1" ht="51" customHeight="1">
      <c r="A63" s="1186">
        <v>51</v>
      </c>
      <c r="B63" s="1187">
        <v>16</v>
      </c>
      <c r="C63" s="1188" t="s">
        <v>233</v>
      </c>
      <c r="D63" s="1189" t="str">
        <f>+'Biểu 1 TH CÔNG'!C61</f>
        <v>Thảo Xay Phôn</v>
      </c>
      <c r="E63" s="1202"/>
      <c r="F63" s="1186" t="s">
        <v>6</v>
      </c>
      <c r="G63" s="1203"/>
      <c r="H63" s="1192">
        <f t="shared" si="0"/>
        <v>0</v>
      </c>
      <c r="I63" s="1193">
        <f>VLOOKUP(D63,'Biểu 2 TH MỦ TẠP'!$C$11:$AI$87,33,0)</f>
        <v>2770</v>
      </c>
      <c r="J63" s="1193">
        <f>VLOOKUP(D63,'Biểu 2 TH MỦ TẠP'!$C$11:$AK$87,35,0)</f>
        <v>1116.6532172016571</v>
      </c>
      <c r="K63" s="1191">
        <v>0</v>
      </c>
      <c r="L63" s="1191">
        <v>0</v>
      </c>
      <c r="M63" s="1194">
        <f>+VLOOKUP(D63,'Biểu 2 TH MỦ TẠP'!$C$11:$AN$87,38,0)</f>
        <v>108.99611456691127</v>
      </c>
      <c r="N63" s="1195">
        <f t="shared" si="1"/>
        <v>1225.6493317685683</v>
      </c>
      <c r="O63" s="1193" t="str">
        <f>VLOOKUP(D63,'Biểu 2 TH MỦ TẠP'!$C$11:$AP$87,40,0)</f>
        <v>B</v>
      </c>
      <c r="P63" s="1196">
        <f t="shared" si="2"/>
        <v>4265259.6745546171</v>
      </c>
      <c r="Q63" s="1193">
        <f>VLOOKUP(D63,'Biểu 1 TH CÔNG'!$C$11:$AI$88,33,0)</f>
        <v>26</v>
      </c>
      <c r="R63" s="1193">
        <f>VLOOKUP(D63,'Biểu 1 TH CÔNG'!$C$11:$AJ$88,34,0)</f>
        <v>3</v>
      </c>
      <c r="S63" s="1193">
        <f>VLOOKUP(D63,'Biểu 1 TH CÔNG'!$C$11:$AK$88,35,0)</f>
        <v>1</v>
      </c>
      <c r="T63" s="1193">
        <f>VLOOKUP(D63,'Biểu 1 TH CÔNG'!$C$11:$AL$88,36,0)</f>
        <v>1</v>
      </c>
      <c r="U63" s="1197">
        <f t="shared" si="3"/>
        <v>2</v>
      </c>
      <c r="V63" s="1193">
        <f>VLOOKUP(D63,'Biểu 1 TH CÔNG'!$C$11:$AM$88,37,0)</f>
        <v>31</v>
      </c>
      <c r="W63" s="1197">
        <v>0</v>
      </c>
      <c r="X63" s="629">
        <f t="shared" si="4"/>
        <v>1939033</v>
      </c>
      <c r="Y63" s="1198">
        <f t="shared" si="5"/>
        <v>6204292.6745546171</v>
      </c>
      <c r="Z63" s="1199">
        <v>860000</v>
      </c>
      <c r="AA63" s="1200">
        <f t="shared" si="6"/>
        <v>5344292.6745546171</v>
      </c>
    </row>
    <row r="64" spans="1:27" s="128" customFormat="1" ht="51" customHeight="1">
      <c r="A64" s="483">
        <v>52</v>
      </c>
      <c r="B64" s="740">
        <v>17</v>
      </c>
      <c r="C64" s="633" t="s">
        <v>234</v>
      </c>
      <c r="D64" s="636" t="str">
        <f>+'Biểu 1 TH CÔNG'!C62</f>
        <v>Ning Dung 2</v>
      </c>
      <c r="E64" s="485"/>
      <c r="F64" s="483" t="s">
        <v>6</v>
      </c>
      <c r="G64" s="627"/>
      <c r="H64" s="486">
        <f t="shared" si="0"/>
        <v>0</v>
      </c>
      <c r="I64" s="628">
        <f>VLOOKUP(D64,'Biểu 2 TH MỦ TẠP'!$C$11:$AI$87,33,0)</f>
        <v>1881</v>
      </c>
      <c r="J64" s="628">
        <f>VLOOKUP(D64,'Biểu 2 TH MỦ TẠP'!$C$11:$AK$87,35,0)</f>
        <v>758.27606554379668</v>
      </c>
      <c r="K64" s="742">
        <v>0</v>
      </c>
      <c r="L64" s="742">
        <v>0</v>
      </c>
      <c r="M64" s="991">
        <f>+VLOOKUP(D64,'Biểu 2 TH MỦ TẠP'!$C$11:$AN$87,38,0)</f>
        <v>74.015051083162504</v>
      </c>
      <c r="N64" s="634">
        <f t="shared" si="1"/>
        <v>832.29111662695914</v>
      </c>
      <c r="O64" s="628" t="str">
        <f>VLOOKUP(D64,'Biểu 2 TH MỦ TẠP'!$C$11:$AP$87,40,0)</f>
        <v>A</v>
      </c>
      <c r="P64" s="629">
        <f t="shared" si="2"/>
        <v>3046185.4868546701</v>
      </c>
      <c r="Q64" s="628">
        <f>VLOOKUP(D64,'Biểu 1 TH CÔNG'!$C$11:$AI$88,33,0)</f>
        <v>26</v>
      </c>
      <c r="R64" s="628">
        <f>VLOOKUP(D64,'Biểu 1 TH CÔNG'!$C$11:$AJ$88,34,0)</f>
        <v>3</v>
      </c>
      <c r="S64" s="628">
        <f>VLOOKUP(D64,'Biểu 1 TH CÔNG'!$C$11:$AK$88,35,0)</f>
        <v>1</v>
      </c>
      <c r="T64" s="628">
        <f>VLOOKUP(D64,'Biểu 1 TH CÔNG'!$C$11:$AL$88,36,0)</f>
        <v>1</v>
      </c>
      <c r="U64" s="630">
        <f t="shared" si="3"/>
        <v>2</v>
      </c>
      <c r="V64" s="628">
        <f>VLOOKUP(D64,'Biểu 1 TH CÔNG'!$C$11:$AM$88,37,0)</f>
        <v>31</v>
      </c>
      <c r="W64" s="630">
        <v>0</v>
      </c>
      <c r="X64" s="629">
        <f t="shared" si="4"/>
        <v>1939033</v>
      </c>
      <c r="Y64" s="631">
        <f t="shared" si="5"/>
        <v>4985218.4868546706</v>
      </c>
      <c r="Z64" s="635"/>
      <c r="AA64" s="632">
        <f t="shared" si="6"/>
        <v>4985218.4868546706</v>
      </c>
    </row>
    <row r="65" spans="1:28" s="128" customFormat="1" ht="51" customHeight="1">
      <c r="A65" s="483">
        <v>53</v>
      </c>
      <c r="B65" s="740">
        <v>18</v>
      </c>
      <c r="C65" s="633" t="s">
        <v>235</v>
      </c>
      <c r="D65" s="636" t="str">
        <f>+'Biểu 1 TH CÔNG'!C63</f>
        <v>Ning Dung</v>
      </c>
      <c r="E65" s="485"/>
      <c r="F65" s="483" t="s">
        <v>6</v>
      </c>
      <c r="G65" s="627"/>
      <c r="H65" s="486">
        <f t="shared" si="0"/>
        <v>0</v>
      </c>
      <c r="I65" s="628">
        <f>VLOOKUP(D65,'Biểu 2 TH MỦ TẠP'!$C$11:$AI$87,33,0)</f>
        <v>1881</v>
      </c>
      <c r="J65" s="628">
        <f>VLOOKUP(D65,'Biểu 2 TH MỦ TẠP'!$C$11:$AK$87,35,0)</f>
        <v>758.27606554379668</v>
      </c>
      <c r="K65" s="742">
        <v>0</v>
      </c>
      <c r="L65" s="742">
        <v>0</v>
      </c>
      <c r="M65" s="991">
        <f>+VLOOKUP(D65,'Biểu 2 TH MỦ TẠP'!$C$11:$AN$87,38,0)</f>
        <v>74.015051083162504</v>
      </c>
      <c r="N65" s="634">
        <f t="shared" si="1"/>
        <v>832.29111662695914</v>
      </c>
      <c r="O65" s="628" t="str">
        <f>VLOOKUP(D65,'Biểu 2 TH MỦ TẠP'!$C$11:$AP$87,40,0)</f>
        <v>B</v>
      </c>
      <c r="P65" s="629">
        <f t="shared" si="2"/>
        <v>2896373.0858618175</v>
      </c>
      <c r="Q65" s="628">
        <f>VLOOKUP(D65,'Biểu 1 TH CÔNG'!$C$11:$AI$88,33,0)</f>
        <v>26</v>
      </c>
      <c r="R65" s="628">
        <f>VLOOKUP(D65,'Biểu 1 TH CÔNG'!$C$11:$AJ$88,34,0)</f>
        <v>3</v>
      </c>
      <c r="S65" s="628">
        <f>VLOOKUP(D65,'Biểu 1 TH CÔNG'!$C$11:$AK$88,35,0)</f>
        <v>1</v>
      </c>
      <c r="T65" s="628">
        <f>VLOOKUP(D65,'Biểu 1 TH CÔNG'!$C$11:$AL$88,36,0)</f>
        <v>1</v>
      </c>
      <c r="U65" s="630">
        <f t="shared" si="3"/>
        <v>2</v>
      </c>
      <c r="V65" s="628">
        <f>VLOOKUP(D65,'Biểu 1 TH CÔNG'!$C$11:$AM$88,37,0)</f>
        <v>31</v>
      </c>
      <c r="W65" s="630">
        <v>0</v>
      </c>
      <c r="X65" s="629">
        <f t="shared" si="4"/>
        <v>1939033</v>
      </c>
      <c r="Y65" s="631">
        <f t="shared" si="5"/>
        <v>4835406.085861817</v>
      </c>
      <c r="Z65" s="635"/>
      <c r="AA65" s="632">
        <f t="shared" si="6"/>
        <v>4835406.085861817</v>
      </c>
    </row>
    <row r="66" spans="1:28" s="128" customFormat="1" ht="51" customHeight="1">
      <c r="A66" s="483">
        <v>54</v>
      </c>
      <c r="B66" s="740">
        <v>19</v>
      </c>
      <c r="C66" s="633" t="s">
        <v>236</v>
      </c>
      <c r="D66" s="636" t="str">
        <f>+'Biểu 1 TH CÔNG'!C64</f>
        <v>Mua Chăn</v>
      </c>
      <c r="E66" s="485"/>
      <c r="F66" s="483" t="s">
        <v>6</v>
      </c>
      <c r="G66" s="627"/>
      <c r="H66" s="486">
        <f t="shared" si="0"/>
        <v>0</v>
      </c>
      <c r="I66" s="628">
        <f>VLOOKUP(D66,'Biểu 2 TH MỦ TẠP'!$C$11:$AI$87,33,0)</f>
        <v>1953</v>
      </c>
      <c r="J66" s="628">
        <f>VLOOKUP(D66,'Biểu 2 TH MỦ TẠP'!$C$11:$AK$87,35,0)</f>
        <v>787.30098671293729</v>
      </c>
      <c r="K66" s="742">
        <v>0</v>
      </c>
      <c r="L66" s="742">
        <v>0</v>
      </c>
      <c r="M66" s="991">
        <f>+VLOOKUP(D66,'Biểu 2 TH MỦ TẠP'!$C$11:$AN$87,38,0)</f>
        <v>76.84816308634575</v>
      </c>
      <c r="N66" s="634">
        <f t="shared" si="1"/>
        <v>864.14914979928301</v>
      </c>
      <c r="O66" s="628" t="str">
        <f>VLOOKUP(D66,'Biểu 2 TH MỦ TẠP'!$C$11:$AP$87,40,0)</f>
        <v>A</v>
      </c>
      <c r="P66" s="629">
        <f t="shared" si="2"/>
        <v>3162785.8882653755</v>
      </c>
      <c r="Q66" s="628">
        <f>VLOOKUP(D66,'Biểu 1 TH CÔNG'!$C$11:$AI$88,33,0)</f>
        <v>26</v>
      </c>
      <c r="R66" s="628">
        <f>VLOOKUP(D66,'Biểu 1 TH CÔNG'!$C$11:$AJ$88,34,0)</f>
        <v>3</v>
      </c>
      <c r="S66" s="628">
        <f>VLOOKUP(D66,'Biểu 1 TH CÔNG'!$C$11:$AK$88,35,0)</f>
        <v>1</v>
      </c>
      <c r="T66" s="628">
        <f>VLOOKUP(D66,'Biểu 1 TH CÔNG'!$C$11:$AL$88,36,0)</f>
        <v>1</v>
      </c>
      <c r="U66" s="630">
        <f t="shared" si="3"/>
        <v>2</v>
      </c>
      <c r="V66" s="628">
        <f>VLOOKUP(D66,'Biểu 1 TH CÔNG'!$C$11:$AM$88,37,0)</f>
        <v>31</v>
      </c>
      <c r="W66" s="630">
        <v>0</v>
      </c>
      <c r="X66" s="629">
        <f t="shared" si="4"/>
        <v>1939033</v>
      </c>
      <c r="Y66" s="631">
        <f t="shared" si="5"/>
        <v>5101818.888265375</v>
      </c>
      <c r="Z66" s="635"/>
      <c r="AA66" s="632">
        <f t="shared" si="6"/>
        <v>5101818.888265375</v>
      </c>
    </row>
    <row r="67" spans="1:28" s="128" customFormat="1" ht="51" customHeight="1">
      <c r="A67" s="483">
        <v>55</v>
      </c>
      <c r="B67" s="740">
        <v>20</v>
      </c>
      <c r="C67" s="633" t="s">
        <v>237</v>
      </c>
      <c r="D67" s="636" t="str">
        <f>+'Biểu 1 TH CÔNG'!C65</f>
        <v>Thảo Chọi 2</v>
      </c>
      <c r="E67" s="485"/>
      <c r="F67" s="483" t="s">
        <v>6</v>
      </c>
      <c r="G67" s="627"/>
      <c r="H67" s="486">
        <f t="shared" si="0"/>
        <v>0</v>
      </c>
      <c r="I67" s="628">
        <f>VLOOKUP(D67,'Biểu 2 TH MỦ TẠP'!$C$11:$AI$87,33,0)</f>
        <v>2659</v>
      </c>
      <c r="J67" s="628">
        <f>VLOOKUP(D67,'Biểu 2 TH MỦ TẠP'!$C$11:$AK$87,35,0)</f>
        <v>1071.9064637325655</v>
      </c>
      <c r="K67" s="742">
        <v>0</v>
      </c>
      <c r="L67" s="742">
        <v>0</v>
      </c>
      <c r="M67" s="991">
        <f>+VLOOKUP(D67,'Biểu 2 TH MỦ TẠP'!$C$11:$AN$87,38,0)</f>
        <v>104.62840022867043</v>
      </c>
      <c r="N67" s="634">
        <f t="shared" si="1"/>
        <v>1176.5348639612359</v>
      </c>
      <c r="O67" s="628" t="str">
        <f>VLOOKUP(D67,'Biểu 2 TH MỦ TẠP'!$C$11:$AP$87,40,0)</f>
        <v>A</v>
      </c>
      <c r="P67" s="629">
        <f t="shared" si="2"/>
        <v>4306117.6020981232</v>
      </c>
      <c r="Q67" s="628">
        <f>VLOOKUP(D67,'Biểu 1 TH CÔNG'!$C$11:$AI$88,33,0)</f>
        <v>26</v>
      </c>
      <c r="R67" s="628">
        <f>VLOOKUP(D67,'Biểu 1 TH CÔNG'!$C$11:$AJ$88,34,0)</f>
        <v>3</v>
      </c>
      <c r="S67" s="628">
        <f>VLOOKUP(D67,'Biểu 1 TH CÔNG'!$C$11:$AK$88,35,0)</f>
        <v>1</v>
      </c>
      <c r="T67" s="628">
        <f>VLOOKUP(D67,'Biểu 1 TH CÔNG'!$C$11:$AL$88,36,0)</f>
        <v>1</v>
      </c>
      <c r="U67" s="630">
        <f t="shared" si="3"/>
        <v>2</v>
      </c>
      <c r="V67" s="628">
        <f>VLOOKUP(D67,'Biểu 1 TH CÔNG'!$C$11:$AM$88,37,0)</f>
        <v>31</v>
      </c>
      <c r="W67" s="630">
        <v>0</v>
      </c>
      <c r="X67" s="629">
        <f t="shared" si="4"/>
        <v>1939033</v>
      </c>
      <c r="Y67" s="631">
        <f t="shared" si="5"/>
        <v>6245150.6020981232</v>
      </c>
      <c r="Z67" s="635"/>
      <c r="AA67" s="632">
        <f t="shared" si="6"/>
        <v>6245150.6020981232</v>
      </c>
    </row>
    <row r="68" spans="1:28" s="128" customFormat="1" ht="51" customHeight="1">
      <c r="A68" s="483">
        <v>56</v>
      </c>
      <c r="B68" s="740">
        <v>21</v>
      </c>
      <c r="C68" s="633" t="s">
        <v>238</v>
      </c>
      <c r="D68" s="636" t="str">
        <f>+'Biểu 1 TH CÔNG'!C66</f>
        <v>Thảo Sing</v>
      </c>
      <c r="E68" s="485"/>
      <c r="F68" s="483" t="s">
        <v>6</v>
      </c>
      <c r="G68" s="627"/>
      <c r="H68" s="486">
        <f t="shared" si="0"/>
        <v>0</v>
      </c>
      <c r="I68" s="628">
        <f>VLOOKUP(D68,'Biểu 2 TH MỦ TẠP'!$C$11:$AI$87,33,0)</f>
        <v>3069</v>
      </c>
      <c r="J68" s="628">
        <f>VLOOKUP(D68,'Biểu 2 TH MỦ TẠP'!$C$11:$AK$87,35,0)</f>
        <v>1237.1872648346157</v>
      </c>
      <c r="K68" s="742">
        <v>0</v>
      </c>
      <c r="L68" s="742">
        <v>0</v>
      </c>
      <c r="M68" s="991">
        <f>+VLOOKUP(D68,'Biểu 2 TH MỦ TẠP'!$C$11:$AN$87,38,0)</f>
        <v>120.76139913568618</v>
      </c>
      <c r="N68" s="634">
        <f t="shared" si="1"/>
        <v>1357.9486639703018</v>
      </c>
      <c r="O68" s="628" t="str">
        <f>VLOOKUP(D68,'Biểu 2 TH MỦ TẠP'!$C$11:$AP$87,40,0)</f>
        <v>A</v>
      </c>
      <c r="P68" s="629">
        <f t="shared" si="2"/>
        <v>4970092.1101313038</v>
      </c>
      <c r="Q68" s="628">
        <f>VLOOKUP(D68,'Biểu 1 TH CÔNG'!$C$11:$AI$88,33,0)</f>
        <v>26</v>
      </c>
      <c r="R68" s="628">
        <f>VLOOKUP(D68,'Biểu 1 TH CÔNG'!$C$11:$AJ$88,34,0)</f>
        <v>3</v>
      </c>
      <c r="S68" s="628">
        <f>VLOOKUP(D68,'Biểu 1 TH CÔNG'!$C$11:$AK$88,35,0)</f>
        <v>1</v>
      </c>
      <c r="T68" s="628">
        <f>VLOOKUP(D68,'Biểu 1 TH CÔNG'!$C$11:$AL$88,36,0)</f>
        <v>1</v>
      </c>
      <c r="U68" s="630">
        <f t="shared" si="3"/>
        <v>2</v>
      </c>
      <c r="V68" s="628">
        <f>VLOOKUP(D68,'Biểu 1 TH CÔNG'!$C$11:$AM$88,37,0)</f>
        <v>31</v>
      </c>
      <c r="W68" s="630">
        <v>0</v>
      </c>
      <c r="X68" s="629">
        <f t="shared" si="4"/>
        <v>1939033</v>
      </c>
      <c r="Y68" s="631">
        <f t="shared" si="5"/>
        <v>6909125.1101313038</v>
      </c>
      <c r="Z68" s="635"/>
      <c r="AA68" s="632">
        <f t="shared" si="6"/>
        <v>6909125.1101313038</v>
      </c>
    </row>
    <row r="69" spans="1:28" s="128" customFormat="1" ht="51" customHeight="1">
      <c r="A69" s="483">
        <v>57</v>
      </c>
      <c r="B69" s="740">
        <v>22</v>
      </c>
      <c r="C69" s="633" t="s">
        <v>239</v>
      </c>
      <c r="D69" s="636" t="str">
        <f>+'Biểu 1 TH CÔNG'!C67</f>
        <v>Thảo Phu</v>
      </c>
      <c r="E69" s="485"/>
      <c r="F69" s="483" t="s">
        <v>6</v>
      </c>
      <c r="G69" s="627"/>
      <c r="H69" s="486">
        <f t="shared" si="0"/>
        <v>0</v>
      </c>
      <c r="I69" s="628">
        <f>VLOOKUP(D69,'Biểu 2 TH MỦ TẠP'!$C$11:$AI$87,33,0)</f>
        <v>2932</v>
      </c>
      <c r="J69" s="628">
        <f>VLOOKUP(D69,'Biểu 2 TH MỦ TẠP'!$C$11:$AK$87,35,0)</f>
        <v>1181.9592898322232</v>
      </c>
      <c r="K69" s="742">
        <v>0</v>
      </c>
      <c r="L69" s="742">
        <v>0</v>
      </c>
      <c r="M69" s="991">
        <f>+VLOOKUP(D69,'Biểu 2 TH MỦ TẠP'!$C$11:$AN$87,38,0)</f>
        <v>115.37061657407359</v>
      </c>
      <c r="N69" s="634">
        <f t="shared" si="1"/>
        <v>1297.3299064062969</v>
      </c>
      <c r="O69" s="628" t="str">
        <f>VLOOKUP(D69,'Biểu 2 TH MỦ TẠP'!$C$11:$AP$87,40,0)</f>
        <v>B</v>
      </c>
      <c r="P69" s="629">
        <f t="shared" si="2"/>
        <v>4514708.0742939133</v>
      </c>
      <c r="Q69" s="628">
        <f>VLOOKUP(D69,'Biểu 1 TH CÔNG'!$C$11:$AI$88,33,0)</f>
        <v>26</v>
      </c>
      <c r="R69" s="628">
        <f>VLOOKUP(D69,'Biểu 1 TH CÔNG'!$C$11:$AJ$88,34,0)</f>
        <v>3</v>
      </c>
      <c r="S69" s="628">
        <f>VLOOKUP(D69,'Biểu 1 TH CÔNG'!$C$11:$AK$88,35,0)</f>
        <v>1</v>
      </c>
      <c r="T69" s="628">
        <f>VLOOKUP(D69,'Biểu 1 TH CÔNG'!$C$11:$AL$88,36,0)</f>
        <v>1</v>
      </c>
      <c r="U69" s="630">
        <f t="shared" si="3"/>
        <v>2</v>
      </c>
      <c r="V69" s="628">
        <f>VLOOKUP(D69,'Biểu 1 TH CÔNG'!$C$11:$AM$88,37,0)</f>
        <v>31</v>
      </c>
      <c r="W69" s="630">
        <v>0</v>
      </c>
      <c r="X69" s="629">
        <f t="shared" si="4"/>
        <v>1939033</v>
      </c>
      <c r="Y69" s="631">
        <f t="shared" si="5"/>
        <v>6453741.0742939133</v>
      </c>
      <c r="Z69" s="635"/>
      <c r="AA69" s="632">
        <f t="shared" si="6"/>
        <v>6453741.0742939133</v>
      </c>
    </row>
    <row r="70" spans="1:28" s="128" customFormat="1" ht="51" customHeight="1">
      <c r="A70" s="483">
        <v>58</v>
      </c>
      <c r="B70" s="740">
        <v>23</v>
      </c>
      <c r="C70" s="633" t="s">
        <v>240</v>
      </c>
      <c r="D70" s="636" t="str">
        <f>+'Biểu 1 TH CÔNG'!C68</f>
        <v>Nàng Tịa</v>
      </c>
      <c r="E70" s="485"/>
      <c r="F70" s="483" t="s">
        <v>6</v>
      </c>
      <c r="G70" s="627"/>
      <c r="H70" s="486">
        <f t="shared" si="0"/>
        <v>0</v>
      </c>
      <c r="I70" s="628">
        <f>VLOOKUP(D70,'Biểu 2 TH MỦ TẠP'!$C$11:$AI$87,33,0)</f>
        <v>2890</v>
      </c>
      <c r="J70" s="628">
        <f>VLOOKUP(D70,'Biểu 2 TH MỦ TẠP'!$C$11:$AK$87,35,0)</f>
        <v>1165.0280858168915</v>
      </c>
      <c r="K70" s="742">
        <v>0</v>
      </c>
      <c r="L70" s="742">
        <v>0</v>
      </c>
      <c r="M70" s="991">
        <f>+VLOOKUP(D70,'Biểu 2 TH MỦ TẠP'!$C$11:$AN$87,38,0)</f>
        <v>113.71796790555003</v>
      </c>
      <c r="N70" s="634">
        <f t="shared" si="1"/>
        <v>1278.7460537224415</v>
      </c>
      <c r="O70" s="628" t="str">
        <f>VLOOKUP(D70,'Biểu 2 TH MỦ TẠP'!$C$11:$AP$87,40,0)</f>
        <v>A</v>
      </c>
      <c r="P70" s="629">
        <f t="shared" si="2"/>
        <v>4680210.556624135</v>
      </c>
      <c r="Q70" s="628">
        <f>VLOOKUP(D70,'Biểu 1 TH CÔNG'!$C$11:$AI$88,33,0)</f>
        <v>26</v>
      </c>
      <c r="R70" s="628">
        <f>VLOOKUP(D70,'Biểu 1 TH CÔNG'!$C$11:$AJ$88,34,0)</f>
        <v>3</v>
      </c>
      <c r="S70" s="628">
        <f>VLOOKUP(D70,'Biểu 1 TH CÔNG'!$C$11:$AK$88,35,0)</f>
        <v>1</v>
      </c>
      <c r="T70" s="628">
        <f>VLOOKUP(D70,'Biểu 1 TH CÔNG'!$C$11:$AL$88,36,0)</f>
        <v>1</v>
      </c>
      <c r="U70" s="630">
        <f t="shared" si="3"/>
        <v>2</v>
      </c>
      <c r="V70" s="628">
        <f>VLOOKUP(D70,'Biểu 1 TH CÔNG'!$C$11:$AM$88,37,0)</f>
        <v>31</v>
      </c>
      <c r="W70" s="630">
        <v>0</v>
      </c>
      <c r="X70" s="629">
        <f t="shared" si="4"/>
        <v>1939033</v>
      </c>
      <c r="Y70" s="631">
        <f t="shared" si="5"/>
        <v>6619243.556624135</v>
      </c>
      <c r="Z70" s="635"/>
      <c r="AA70" s="632">
        <f t="shared" si="6"/>
        <v>6619243.556624135</v>
      </c>
    </row>
    <row r="71" spans="1:28" s="128" customFormat="1" ht="51" customHeight="1">
      <c r="A71" s="483">
        <v>59</v>
      </c>
      <c r="B71" s="740">
        <v>24</v>
      </c>
      <c r="C71" s="633" t="s">
        <v>241</v>
      </c>
      <c r="D71" s="636" t="str">
        <f>+'Biểu 1 TH CÔNG'!C69</f>
        <v>Thảo Tý</v>
      </c>
      <c r="E71" s="485"/>
      <c r="F71" s="483" t="s">
        <v>6</v>
      </c>
      <c r="G71" s="627"/>
      <c r="H71" s="486">
        <f t="shared" si="0"/>
        <v>0</v>
      </c>
      <c r="I71" s="628">
        <f>VLOOKUP(D71,'Biểu 2 TH MỦ TẠP'!$C$11:$AI$87,33,0)</f>
        <v>3205</v>
      </c>
      <c r="J71" s="628">
        <f>VLOOKUP(D71,'Biểu 2 TH MỦ TẠP'!$C$11:$AK$87,35,0)</f>
        <v>1292.0121159318812</v>
      </c>
      <c r="K71" s="742">
        <v>0</v>
      </c>
      <c r="L71" s="742">
        <v>0</v>
      </c>
      <c r="M71" s="991">
        <f>+VLOOKUP(D71,'Biểu 2 TH MỦ TẠP'!$C$11:$AN$87,38,0)</f>
        <v>126.11283291947677</v>
      </c>
      <c r="N71" s="634">
        <f t="shared" si="1"/>
        <v>1418.1249488513581</v>
      </c>
      <c r="O71" s="628" t="str">
        <f>VLOOKUP(D71,'Biểu 2 TH MỦ TẠP'!$C$11:$AP$87,40,0)</f>
        <v>A</v>
      </c>
      <c r="P71" s="629">
        <f t="shared" si="2"/>
        <v>5190337.3127959706</v>
      </c>
      <c r="Q71" s="628">
        <f>VLOOKUP(D71,'Biểu 1 TH CÔNG'!$C$11:$AI$88,33,0)</f>
        <v>26</v>
      </c>
      <c r="R71" s="628">
        <f>VLOOKUP(D71,'Biểu 1 TH CÔNG'!$C$11:$AJ$88,34,0)</f>
        <v>3</v>
      </c>
      <c r="S71" s="628">
        <f>VLOOKUP(D71,'Biểu 1 TH CÔNG'!$C$11:$AK$88,35,0)</f>
        <v>1</v>
      </c>
      <c r="T71" s="628">
        <f>VLOOKUP(D71,'Biểu 1 TH CÔNG'!$C$11:$AL$88,36,0)</f>
        <v>1</v>
      </c>
      <c r="U71" s="630">
        <f t="shared" si="3"/>
        <v>2</v>
      </c>
      <c r="V71" s="628">
        <f>VLOOKUP(D71,'Biểu 1 TH CÔNG'!$C$11:$AM$88,37,0)</f>
        <v>31</v>
      </c>
      <c r="W71" s="630">
        <v>0</v>
      </c>
      <c r="X71" s="629">
        <f t="shared" si="4"/>
        <v>1939033</v>
      </c>
      <c r="Y71" s="631">
        <f t="shared" si="5"/>
        <v>7129370.3127959706</v>
      </c>
      <c r="Z71" s="635"/>
      <c r="AA71" s="632">
        <f t="shared" si="6"/>
        <v>7129370.3127959706</v>
      </c>
    </row>
    <row r="72" spans="1:28" s="128" customFormat="1" ht="51" customHeight="1">
      <c r="A72" s="483">
        <v>60</v>
      </c>
      <c r="B72" s="740">
        <v>25</v>
      </c>
      <c r="C72" s="633" t="s">
        <v>242</v>
      </c>
      <c r="D72" s="636" t="str">
        <f>+'Biểu 1 TH CÔNG'!C70</f>
        <v>Nàng Lếc</v>
      </c>
      <c r="E72" s="485"/>
      <c r="F72" s="483" t="s">
        <v>6</v>
      </c>
      <c r="G72" s="627"/>
      <c r="H72" s="486">
        <f t="shared" si="0"/>
        <v>0</v>
      </c>
      <c r="I72" s="628">
        <f>VLOOKUP(D72,'Biểu 2 TH MỦ TẠP'!$C$11:$AI$87,33,0)</f>
        <v>3212</v>
      </c>
      <c r="J72" s="628">
        <f>VLOOKUP(D72,'Biểu 2 TH MỦ TẠP'!$C$11:$AK$87,35,0)</f>
        <v>1294.83398326777</v>
      </c>
      <c r="K72" s="742">
        <v>0</v>
      </c>
      <c r="L72" s="742">
        <v>0</v>
      </c>
      <c r="M72" s="991">
        <f>+VLOOKUP(D72,'Biểu 2 TH MỦ TẠP'!$C$11:$AN$87,38,0)</f>
        <v>126.3882743642307</v>
      </c>
      <c r="N72" s="634">
        <f t="shared" si="1"/>
        <v>1421.2222576320007</v>
      </c>
      <c r="O72" s="628" t="str">
        <f>VLOOKUP(D72,'Biểu 2 TH MỦ TẠP'!$C$11:$AP$87,40,0)</f>
        <v>A</v>
      </c>
      <c r="P72" s="629">
        <f t="shared" si="2"/>
        <v>5201673.4629331222</v>
      </c>
      <c r="Q72" s="628">
        <f>VLOOKUP(D72,'Biểu 1 TH CÔNG'!$C$11:$AI$88,33,0)</f>
        <v>26</v>
      </c>
      <c r="R72" s="628">
        <f>VLOOKUP(D72,'Biểu 1 TH CÔNG'!$C$11:$AJ$88,34,0)</f>
        <v>3</v>
      </c>
      <c r="S72" s="628">
        <f>VLOOKUP(D72,'Biểu 1 TH CÔNG'!$C$11:$AK$88,35,0)</f>
        <v>1</v>
      </c>
      <c r="T72" s="628">
        <f>VLOOKUP(D72,'Biểu 1 TH CÔNG'!$C$11:$AL$88,36,0)</f>
        <v>1</v>
      </c>
      <c r="U72" s="630">
        <f t="shared" si="3"/>
        <v>2</v>
      </c>
      <c r="V72" s="628">
        <f>VLOOKUP(D72,'Biểu 1 TH CÔNG'!$C$11:$AM$88,37,0)</f>
        <v>31</v>
      </c>
      <c r="W72" s="630">
        <v>0</v>
      </c>
      <c r="X72" s="629">
        <f t="shared" si="4"/>
        <v>1939033</v>
      </c>
      <c r="Y72" s="631">
        <f t="shared" si="5"/>
        <v>7140706.4629331222</v>
      </c>
      <c r="Z72" s="635"/>
      <c r="AA72" s="632">
        <f t="shared" si="6"/>
        <v>7140706.4629331222</v>
      </c>
    </row>
    <row r="73" spans="1:28" s="128" customFormat="1" ht="51" customHeight="1">
      <c r="A73" s="483">
        <v>61</v>
      </c>
      <c r="B73" s="740">
        <v>26</v>
      </c>
      <c r="C73" s="633" t="s">
        <v>243</v>
      </c>
      <c r="D73" s="636" t="str">
        <f>+'Biểu 1 TH CÔNG'!C71</f>
        <v>Nàng Veo</v>
      </c>
      <c r="E73" s="485"/>
      <c r="F73" s="483" t="s">
        <v>6</v>
      </c>
      <c r="G73" s="627"/>
      <c r="H73" s="486">
        <f t="shared" si="0"/>
        <v>0</v>
      </c>
      <c r="I73" s="628">
        <f>VLOOKUP(D73,'Biểu 2 TH MỦ TẠP'!$C$11:$AI$87,33,0)</f>
        <v>2662</v>
      </c>
      <c r="J73" s="628">
        <f>VLOOKUP(D73,'Biểu 2 TH MỦ TẠP'!$C$11:$AK$87,35,0)</f>
        <v>1073.1158354479462</v>
      </c>
      <c r="K73" s="742">
        <v>0</v>
      </c>
      <c r="L73" s="742">
        <v>0</v>
      </c>
      <c r="M73" s="991">
        <f>+VLOOKUP(D73,'Biểu 2 TH MỦ TẠP'!$C$11:$AN$87,38,0)</f>
        <v>104.74644656213641</v>
      </c>
      <c r="N73" s="634">
        <f t="shared" si="1"/>
        <v>1177.8622820100827</v>
      </c>
      <c r="O73" s="628" t="str">
        <f>VLOOKUP(D73,'Biểu 2 TH MỦ TẠP'!$C$11:$AP$87,40,0)</f>
        <v>B</v>
      </c>
      <c r="P73" s="629">
        <f t="shared" si="2"/>
        <v>4098960.7413950879</v>
      </c>
      <c r="Q73" s="628">
        <f>VLOOKUP(D73,'Biểu 1 TH CÔNG'!$C$11:$AI$88,33,0)</f>
        <v>26</v>
      </c>
      <c r="R73" s="628">
        <f>VLOOKUP(D73,'Biểu 1 TH CÔNG'!$C$11:$AJ$88,34,0)</f>
        <v>3</v>
      </c>
      <c r="S73" s="628">
        <f>VLOOKUP(D73,'Biểu 1 TH CÔNG'!$C$11:$AK$88,35,0)</f>
        <v>1</v>
      </c>
      <c r="T73" s="628">
        <f>VLOOKUP(D73,'Biểu 1 TH CÔNG'!$C$11:$AL$88,36,0)</f>
        <v>1</v>
      </c>
      <c r="U73" s="630">
        <f t="shared" si="3"/>
        <v>2</v>
      </c>
      <c r="V73" s="628">
        <f>VLOOKUP(D73,'Biểu 1 TH CÔNG'!$C$11:$AM$88,37,0)</f>
        <v>31</v>
      </c>
      <c r="W73" s="630">
        <v>0</v>
      </c>
      <c r="X73" s="629">
        <f t="shared" si="4"/>
        <v>1939033</v>
      </c>
      <c r="Y73" s="631">
        <f t="shared" si="5"/>
        <v>6037993.7413950879</v>
      </c>
      <c r="Z73" s="635"/>
      <c r="AA73" s="632">
        <f t="shared" si="6"/>
        <v>6037993.7413950879</v>
      </c>
    </row>
    <row r="74" spans="1:28" s="128" customFormat="1" ht="51" customHeight="1">
      <c r="A74" s="483">
        <v>62</v>
      </c>
      <c r="B74" s="740">
        <v>27</v>
      </c>
      <c r="C74" s="633" t="s">
        <v>244</v>
      </c>
      <c r="D74" s="636" t="str">
        <f>+'Biểu 1 TH CÔNG'!C72</f>
        <v>Thảo Chọi</v>
      </c>
      <c r="E74" s="485"/>
      <c r="F74" s="483" t="s">
        <v>6</v>
      </c>
      <c r="G74" s="627"/>
      <c r="H74" s="486">
        <f t="shared" si="0"/>
        <v>0</v>
      </c>
      <c r="I74" s="628">
        <f>VLOOKUP(D74,'Biểu 2 TH MỦ TẠP'!$C$11:$AI$87,33,0)</f>
        <v>2671</v>
      </c>
      <c r="J74" s="628">
        <f>VLOOKUP(D74,'Biểu 2 TH MỦ TẠP'!$C$11:$AK$87,35,0)</f>
        <v>1076.7439505940888</v>
      </c>
      <c r="K74" s="742">
        <v>0</v>
      </c>
      <c r="L74" s="742">
        <v>0</v>
      </c>
      <c r="M74" s="991">
        <f>+VLOOKUP(D74,'Biểu 2 TH MỦ TẠP'!$C$11:$AN$87,38,0)</f>
        <v>105.10058556253431</v>
      </c>
      <c r="N74" s="634">
        <f t="shared" si="1"/>
        <v>1181.844536156623</v>
      </c>
      <c r="O74" s="628" t="str">
        <f>VLOOKUP(D74,'Biểu 2 TH MỦ TẠP'!$C$11:$AP$87,40,0)</f>
        <v>A</v>
      </c>
      <c r="P74" s="629">
        <f t="shared" si="2"/>
        <v>4325551.0023332397</v>
      </c>
      <c r="Q74" s="628">
        <f>VLOOKUP(D74,'Biểu 1 TH CÔNG'!$C$11:$AI$88,33,0)</f>
        <v>26</v>
      </c>
      <c r="R74" s="628">
        <f>VLOOKUP(D74,'Biểu 1 TH CÔNG'!$C$11:$AJ$88,34,0)</f>
        <v>3</v>
      </c>
      <c r="S74" s="628">
        <f>VLOOKUP(D74,'Biểu 1 TH CÔNG'!$C$11:$AK$88,35,0)</f>
        <v>1</v>
      </c>
      <c r="T74" s="628">
        <f>VLOOKUP(D74,'Biểu 1 TH CÔNG'!$C$11:$AL$88,36,0)</f>
        <v>1</v>
      </c>
      <c r="U74" s="630">
        <f t="shared" si="3"/>
        <v>2</v>
      </c>
      <c r="V74" s="628">
        <f>VLOOKUP(D74,'Biểu 1 TH CÔNG'!$C$11:$AM$88,37,0)</f>
        <v>31</v>
      </c>
      <c r="W74" s="630">
        <v>0</v>
      </c>
      <c r="X74" s="629">
        <f t="shared" si="4"/>
        <v>1939033</v>
      </c>
      <c r="Y74" s="631">
        <f t="shared" si="5"/>
        <v>6264584.0023332397</v>
      </c>
      <c r="Z74" s="635"/>
      <c r="AA74" s="632">
        <f t="shared" si="6"/>
        <v>6264584.0023332397</v>
      </c>
    </row>
    <row r="75" spans="1:28" s="128" customFormat="1" ht="51" customHeight="1">
      <c r="A75" s="483">
        <v>63</v>
      </c>
      <c r="B75" s="740">
        <v>28</v>
      </c>
      <c r="C75" s="633" t="s">
        <v>245</v>
      </c>
      <c r="D75" s="636" t="str">
        <f>+'Biểu 1 TH CÔNG'!C73</f>
        <v>Nàng Nọi</v>
      </c>
      <c r="E75" s="485"/>
      <c r="F75" s="483" t="s">
        <v>6</v>
      </c>
      <c r="G75" s="627"/>
      <c r="H75" s="486">
        <f t="shared" si="0"/>
        <v>0</v>
      </c>
      <c r="I75" s="628">
        <f>VLOOKUP(D75,'Biểu 2 TH MỦ TẠP'!$C$11:$AI$87,33,0)</f>
        <v>3194</v>
      </c>
      <c r="J75" s="628">
        <f>VLOOKUP(D75,'Biểu 2 TH MỦ TẠP'!$C$11:$AK$87,35,0)</f>
        <v>1287.5777529754848</v>
      </c>
      <c r="K75" s="742">
        <v>0</v>
      </c>
      <c r="L75" s="742">
        <v>0</v>
      </c>
      <c r="M75" s="991">
        <f>+VLOOKUP(D75,'Biểu 2 TH MỦ TẠP'!$C$11:$AN$87,38,0)</f>
        <v>125.67999636343488</v>
      </c>
      <c r="N75" s="634">
        <f t="shared" si="1"/>
        <v>1413.2577493389197</v>
      </c>
      <c r="O75" s="628" t="str">
        <f>VLOOKUP(D75,'Biểu 2 TH MỦ TẠP'!$C$11:$AP$87,40,0)</f>
        <v>B</v>
      </c>
      <c r="P75" s="629">
        <f t="shared" si="2"/>
        <v>4918136.9676994402</v>
      </c>
      <c r="Q75" s="628">
        <f>VLOOKUP(D75,'Biểu 1 TH CÔNG'!$C$11:$AI$88,33,0)</f>
        <v>26</v>
      </c>
      <c r="R75" s="628">
        <f>VLOOKUP(D75,'Biểu 1 TH CÔNG'!$C$11:$AJ$88,34,0)</f>
        <v>3</v>
      </c>
      <c r="S75" s="628">
        <f>VLOOKUP(D75,'Biểu 1 TH CÔNG'!$C$11:$AK$88,35,0)</f>
        <v>1</v>
      </c>
      <c r="T75" s="628">
        <f>VLOOKUP(D75,'Biểu 1 TH CÔNG'!$C$11:$AL$88,36,0)</f>
        <v>1</v>
      </c>
      <c r="U75" s="630">
        <f t="shared" si="3"/>
        <v>2</v>
      </c>
      <c r="V75" s="628">
        <f>VLOOKUP(D75,'Biểu 1 TH CÔNG'!$C$11:$AM$88,37,0)</f>
        <v>31</v>
      </c>
      <c r="W75" s="630">
        <v>0</v>
      </c>
      <c r="X75" s="629">
        <f t="shared" si="4"/>
        <v>1939033</v>
      </c>
      <c r="Y75" s="631">
        <f t="shared" si="5"/>
        <v>6857169.9676994402</v>
      </c>
      <c r="Z75" s="635"/>
      <c r="AA75" s="632">
        <f t="shared" si="6"/>
        <v>6857169.9676994402</v>
      </c>
      <c r="AB75" s="205"/>
    </row>
    <row r="76" spans="1:28" s="128" customFormat="1" ht="51" customHeight="1">
      <c r="A76" s="483">
        <v>64</v>
      </c>
      <c r="B76" s="740">
        <v>29</v>
      </c>
      <c r="C76" s="633" t="s">
        <v>246</v>
      </c>
      <c r="D76" s="636" t="str">
        <f>+'Biểu 1 TH CÔNG'!C74</f>
        <v>Thảo Uổn</v>
      </c>
      <c r="E76" s="485"/>
      <c r="F76" s="483" t="s">
        <v>6</v>
      </c>
      <c r="G76" s="627"/>
      <c r="H76" s="486">
        <f t="shared" si="0"/>
        <v>0</v>
      </c>
      <c r="I76" s="628">
        <f>VLOOKUP(D76,'Biểu 2 TH MỦ TẠP'!$C$11:$AI$87,33,0)</f>
        <v>3258</v>
      </c>
      <c r="J76" s="628">
        <f>VLOOKUP(D76,'Biểu 2 TH MỦ TẠP'!$C$11:$AK$87,35,0)</f>
        <v>1313.3776829036099</v>
      </c>
      <c r="K76" s="742">
        <v>0</v>
      </c>
      <c r="L76" s="742">
        <v>0</v>
      </c>
      <c r="M76" s="991">
        <f>+VLOOKUP(D76,'Biểu 2 TH MỦ TẠP'!$C$11:$AN$87,38,0)</f>
        <v>128.19831814404222</v>
      </c>
      <c r="N76" s="634">
        <f t="shared" si="1"/>
        <v>1441.576001047652</v>
      </c>
      <c r="O76" s="628" t="str">
        <f>VLOOKUP(D76,'Biểu 2 TH MỦ TẠP'!$C$11:$AP$87,40,0)</f>
        <v>B</v>
      </c>
      <c r="P76" s="629">
        <f t="shared" si="2"/>
        <v>5016684.4836458284</v>
      </c>
      <c r="Q76" s="628">
        <f>VLOOKUP(D76,'Biểu 1 TH CÔNG'!$C$11:$AI$88,33,0)</f>
        <v>26</v>
      </c>
      <c r="R76" s="628">
        <f>VLOOKUP(D76,'Biểu 1 TH CÔNG'!$C$11:$AJ$88,34,0)</f>
        <v>3</v>
      </c>
      <c r="S76" s="628">
        <f>VLOOKUP(D76,'Biểu 1 TH CÔNG'!$C$11:$AK$88,35,0)</f>
        <v>1</v>
      </c>
      <c r="T76" s="628">
        <f>VLOOKUP(D76,'Biểu 1 TH CÔNG'!$C$11:$AL$88,36,0)</f>
        <v>1</v>
      </c>
      <c r="U76" s="630">
        <f t="shared" si="3"/>
        <v>2</v>
      </c>
      <c r="V76" s="628">
        <f>VLOOKUP(D76,'Biểu 1 TH CÔNG'!$C$11:$AM$88,37,0)</f>
        <v>31</v>
      </c>
      <c r="W76" s="630">
        <v>0</v>
      </c>
      <c r="X76" s="629">
        <f t="shared" si="4"/>
        <v>1939033</v>
      </c>
      <c r="Y76" s="631">
        <f t="shared" si="5"/>
        <v>6955717.4836458284</v>
      </c>
      <c r="Z76" s="635"/>
      <c r="AA76" s="632">
        <f t="shared" si="6"/>
        <v>6955717.4836458284</v>
      </c>
      <c r="AB76" s="205"/>
    </row>
    <row r="77" spans="1:28" s="128" customFormat="1" ht="51" customHeight="1">
      <c r="A77" s="483">
        <v>65</v>
      </c>
      <c r="B77" s="740">
        <v>30</v>
      </c>
      <c r="C77" s="633" t="s">
        <v>247</v>
      </c>
      <c r="D77" s="636" t="str">
        <f>+'Biểu 1 TH CÔNG'!C75</f>
        <v>Nàng Văn</v>
      </c>
      <c r="E77" s="485"/>
      <c r="F77" s="483" t="s">
        <v>6</v>
      </c>
      <c r="G77" s="627"/>
      <c r="H77" s="486">
        <f t="shared" si="0"/>
        <v>0</v>
      </c>
      <c r="I77" s="628">
        <f>VLOOKUP(D77,'Biểu 2 TH MỦ TẠP'!$C$11:$AI$87,33,0)</f>
        <v>3258</v>
      </c>
      <c r="J77" s="628">
        <f>VLOOKUP(D77,'Biểu 2 TH MỦ TẠP'!$C$11:$AK$87,35,0)</f>
        <v>1313.3776829036099</v>
      </c>
      <c r="K77" s="742">
        <v>0</v>
      </c>
      <c r="L77" s="742">
        <v>0</v>
      </c>
      <c r="M77" s="991">
        <f>+VLOOKUP(D77,'Biểu 2 TH MỦ TẠP'!$C$11:$AN$87,38,0)</f>
        <v>128.19831814404222</v>
      </c>
      <c r="N77" s="634">
        <f t="shared" si="1"/>
        <v>1441.576001047652</v>
      </c>
      <c r="O77" s="628" t="str">
        <f>VLOOKUP(D77,'Biểu 2 TH MỦ TẠP'!$C$11:$AP$87,40,0)</f>
        <v>A</v>
      </c>
      <c r="P77" s="629">
        <f t="shared" si="2"/>
        <v>5276168.1638344061</v>
      </c>
      <c r="Q77" s="628">
        <f>VLOOKUP(D77,'Biểu 1 TH CÔNG'!$C$11:$AI$88,33,0)</f>
        <v>26</v>
      </c>
      <c r="R77" s="628">
        <f>VLOOKUP(D77,'Biểu 1 TH CÔNG'!$C$11:$AJ$88,34,0)</f>
        <v>3</v>
      </c>
      <c r="S77" s="628">
        <f>VLOOKUP(D77,'Biểu 1 TH CÔNG'!$C$11:$AK$88,35,0)</f>
        <v>1</v>
      </c>
      <c r="T77" s="628">
        <f>VLOOKUP(D77,'Biểu 1 TH CÔNG'!$C$11:$AL$88,36,0)</f>
        <v>1</v>
      </c>
      <c r="U77" s="630">
        <f t="shared" si="3"/>
        <v>2</v>
      </c>
      <c r="V77" s="628">
        <f>VLOOKUP(D77,'Biểu 1 TH CÔNG'!$C$11:$AM$88,37,0)</f>
        <v>31</v>
      </c>
      <c r="W77" s="630">
        <v>0</v>
      </c>
      <c r="X77" s="629">
        <f t="shared" si="4"/>
        <v>1939033</v>
      </c>
      <c r="Y77" s="631">
        <f t="shared" si="5"/>
        <v>7215201.1638344061</v>
      </c>
      <c r="Z77" s="635"/>
      <c r="AA77" s="632">
        <f t="shared" si="6"/>
        <v>7215201.1638344061</v>
      </c>
      <c r="AB77" s="205"/>
    </row>
    <row r="78" spans="1:28" s="128" customFormat="1" ht="51" customHeight="1">
      <c r="A78" s="483">
        <v>66</v>
      </c>
      <c r="B78" s="740">
        <v>31</v>
      </c>
      <c r="C78" s="633" t="s">
        <v>248</v>
      </c>
      <c r="D78" s="636" t="str">
        <f>+'Biểu 1 TH CÔNG'!C76</f>
        <v>Thảo Chòi</v>
      </c>
      <c r="E78" s="485"/>
      <c r="F78" s="483" t="s">
        <v>6</v>
      </c>
      <c r="G78" s="627"/>
      <c r="H78" s="486">
        <f t="shared" si="0"/>
        <v>0</v>
      </c>
      <c r="I78" s="628">
        <f>VLOOKUP(D78,'Biểu 2 TH MỦ TẠP'!$C$11:$AI$87,33,0)</f>
        <v>3215</v>
      </c>
      <c r="J78" s="628">
        <f>VLOOKUP(D78,'Biểu 2 TH MỦ TẠP'!$C$11:$AK$87,35,0)</f>
        <v>1296.0433549831507</v>
      </c>
      <c r="K78" s="742">
        <v>0</v>
      </c>
      <c r="L78" s="742">
        <v>0</v>
      </c>
      <c r="M78" s="991">
        <f>+VLOOKUP(D78,'Biểu 2 TH MỦ TẠP'!$C$11:$AN$87,38,0)</f>
        <v>126.50632069769667</v>
      </c>
      <c r="N78" s="634">
        <f t="shared" ref="N78:N92" si="7">+J78+L78+M78</f>
        <v>1422.5496756808475</v>
      </c>
      <c r="O78" s="628" t="str">
        <f>VLOOKUP(D78,'Biểu 2 TH MỦ TẠP'!$C$11:$AP$87,40,0)</f>
        <v>A</v>
      </c>
      <c r="P78" s="629">
        <f t="shared" ref="P78:P92" si="8">(IF(O78="A",(N78*6.1),IF(O78="B",(N78*5.8),IF(O78="C",(N78*5.5),IF(O78="D",(N78*5.2),0))))*$G$8)</f>
        <v>5206531.8129919022</v>
      </c>
      <c r="Q78" s="628">
        <f>VLOOKUP(D78,'Biểu 1 TH CÔNG'!$C$11:$AI$88,33,0)</f>
        <v>26</v>
      </c>
      <c r="R78" s="628">
        <f>VLOOKUP(D78,'Biểu 1 TH CÔNG'!$C$11:$AJ$88,34,0)</f>
        <v>3</v>
      </c>
      <c r="S78" s="628">
        <f>VLOOKUP(D78,'Biểu 1 TH CÔNG'!$C$11:$AK$88,35,0)</f>
        <v>1</v>
      </c>
      <c r="T78" s="628">
        <f>VLOOKUP(D78,'Biểu 1 TH CÔNG'!$C$11:$AL$88,36,0)</f>
        <v>1</v>
      </c>
      <c r="U78" s="630">
        <f t="shared" ref="U78:U90" si="9">+S78+T78</f>
        <v>2</v>
      </c>
      <c r="V78" s="628">
        <f>VLOOKUP(D78,'Biểu 1 TH CÔNG'!$C$11:$AM$88,37,0)</f>
        <v>31</v>
      </c>
      <c r="W78" s="630">
        <v>0</v>
      </c>
      <c r="X78" s="629">
        <f t="shared" ref="X78:X92" si="10">ROUND(((Q78*46.1*$H$8)+(R78*76.9*$H$8)+(S78*(46.1*2*$H$8))+(U78*100000)+(T78*(76.9*2*$H$8))+(V78*20000)+(W78*30.7*$H$8)),0)</f>
        <v>1939033</v>
      </c>
      <c r="Y78" s="631">
        <f t="shared" ref="Y78:Y92" si="11">+P78+H78+X78</f>
        <v>7145564.8129919022</v>
      </c>
      <c r="Z78" s="635"/>
      <c r="AA78" s="632">
        <f t="shared" ref="AA78:AA92" si="12">Y78-Z78</f>
        <v>7145564.8129919022</v>
      </c>
      <c r="AB78" s="205"/>
    </row>
    <row r="79" spans="1:28" s="128" customFormat="1" ht="51" customHeight="1">
      <c r="A79" s="483">
        <v>67</v>
      </c>
      <c r="B79" s="740">
        <v>32</v>
      </c>
      <c r="C79" s="487" t="s">
        <v>249</v>
      </c>
      <c r="D79" s="636" t="str">
        <f>+'Biểu 1 TH CÔNG'!C77</f>
        <v>Thảo Chanh</v>
      </c>
      <c r="E79" s="485"/>
      <c r="F79" s="483" t="s">
        <v>6</v>
      </c>
      <c r="G79" s="627"/>
      <c r="H79" s="486">
        <f t="shared" si="0"/>
        <v>0</v>
      </c>
      <c r="I79" s="628">
        <f>VLOOKUP(D79,'Biểu 2 TH MỦ TẠP'!$C$11:$AI$87,33,0)</f>
        <v>2859</v>
      </c>
      <c r="J79" s="628">
        <f>VLOOKUP(D79,'Biểu 2 TH MỦ TẠP'!$C$11:$AK$87,35,0)</f>
        <v>1152.5312447579558</v>
      </c>
      <c r="K79" s="742">
        <v>0</v>
      </c>
      <c r="L79" s="742">
        <v>0</v>
      </c>
      <c r="M79" s="991">
        <f>+VLOOKUP(D79,'Biểu 2 TH MỦ TẠP'!$C$11:$AN$87,38,0)</f>
        <v>112.49815579306836</v>
      </c>
      <c r="N79" s="634">
        <f t="shared" si="7"/>
        <v>1265.0294005510243</v>
      </c>
      <c r="O79" s="628" t="str">
        <f>VLOOKUP(D79,'Biểu 2 TH MỦ TẠP'!$C$11:$AP$87,40,0)</f>
        <v>A</v>
      </c>
      <c r="P79" s="629">
        <f t="shared" si="8"/>
        <v>4630007.6060167486</v>
      </c>
      <c r="Q79" s="628">
        <f>VLOOKUP(D79,'Biểu 1 TH CÔNG'!$C$11:$AI$88,33,0)</f>
        <v>26</v>
      </c>
      <c r="R79" s="628">
        <f>VLOOKUP(D79,'Biểu 1 TH CÔNG'!$C$11:$AJ$88,34,0)</f>
        <v>3</v>
      </c>
      <c r="S79" s="628">
        <f>VLOOKUP(D79,'Biểu 1 TH CÔNG'!$C$11:$AK$88,35,0)</f>
        <v>1</v>
      </c>
      <c r="T79" s="628">
        <f>VLOOKUP(D79,'Biểu 1 TH CÔNG'!$C$11:$AL$88,36,0)</f>
        <v>1</v>
      </c>
      <c r="U79" s="630">
        <f t="shared" si="9"/>
        <v>2</v>
      </c>
      <c r="V79" s="628">
        <f>VLOOKUP(D79,'Biểu 1 TH CÔNG'!$C$11:$AM$88,37,0)</f>
        <v>31</v>
      </c>
      <c r="W79" s="630">
        <v>0</v>
      </c>
      <c r="X79" s="629">
        <f t="shared" si="10"/>
        <v>1939033</v>
      </c>
      <c r="Y79" s="631">
        <f t="shared" si="11"/>
        <v>6569040.6060167486</v>
      </c>
      <c r="Z79" s="632"/>
      <c r="AA79" s="632">
        <f t="shared" si="12"/>
        <v>6569040.6060167486</v>
      </c>
      <c r="AB79" s="205"/>
    </row>
    <row r="80" spans="1:28" s="128" customFormat="1" ht="51" customHeight="1">
      <c r="A80" s="483">
        <v>68</v>
      </c>
      <c r="B80" s="740">
        <v>33</v>
      </c>
      <c r="C80" s="487" t="s">
        <v>250</v>
      </c>
      <c r="D80" s="636" t="str">
        <f>+'Biểu 1 TH CÔNG'!C78</f>
        <v>Thảo Sa</v>
      </c>
      <c r="E80" s="485"/>
      <c r="F80" s="483" t="s">
        <v>6</v>
      </c>
      <c r="G80" s="627"/>
      <c r="H80" s="486">
        <f t="shared" si="0"/>
        <v>0</v>
      </c>
      <c r="I80" s="628">
        <f>VLOOKUP(D80,'Biểu 2 TH MỦ TẠP'!$C$11:$AI$87,33,0)</f>
        <v>2799</v>
      </c>
      <c r="J80" s="628">
        <f>VLOOKUP(D80,'Biểu 2 TH MỦ TẠP'!$C$11:$AK$87,35,0)</f>
        <v>1128.3438104503389</v>
      </c>
      <c r="K80" s="742">
        <v>0</v>
      </c>
      <c r="L80" s="742">
        <v>0</v>
      </c>
      <c r="M80" s="991">
        <f>+VLOOKUP(D80,'Biểu 2 TH MỦ TẠP'!$C$11:$AN$87,38,0)</f>
        <v>110.13722912374898</v>
      </c>
      <c r="N80" s="634">
        <f t="shared" si="7"/>
        <v>1238.4810395740878</v>
      </c>
      <c r="O80" s="628" t="str">
        <f>VLOOKUP(D80,'Biểu 2 TH MỦ TẠP'!$C$11:$AP$87,40,0)</f>
        <v>B</v>
      </c>
      <c r="P80" s="629">
        <f t="shared" si="8"/>
        <v>4309914.0177178252</v>
      </c>
      <c r="Q80" s="628">
        <f>VLOOKUP(D80,'Biểu 1 TH CÔNG'!$C$11:$AI$88,33,0)</f>
        <v>26</v>
      </c>
      <c r="R80" s="628">
        <f>VLOOKUP(D80,'Biểu 1 TH CÔNG'!$C$11:$AJ$88,34,0)</f>
        <v>3</v>
      </c>
      <c r="S80" s="628">
        <f>VLOOKUP(D80,'Biểu 1 TH CÔNG'!$C$11:$AK$88,35,0)</f>
        <v>1</v>
      </c>
      <c r="T80" s="628">
        <f>VLOOKUP(D80,'Biểu 1 TH CÔNG'!$C$11:$AL$88,36,0)</f>
        <v>1</v>
      </c>
      <c r="U80" s="630">
        <f t="shared" si="9"/>
        <v>2</v>
      </c>
      <c r="V80" s="628">
        <f>VLOOKUP(D80,'Biểu 1 TH CÔNG'!$C$11:$AM$88,37,0)</f>
        <v>31</v>
      </c>
      <c r="W80" s="630">
        <v>0</v>
      </c>
      <c r="X80" s="629">
        <f t="shared" si="10"/>
        <v>1939033</v>
      </c>
      <c r="Y80" s="631">
        <f t="shared" si="11"/>
        <v>6248947.0177178252</v>
      </c>
      <c r="Z80" s="632"/>
      <c r="AA80" s="632">
        <f t="shared" si="12"/>
        <v>6248947.0177178252</v>
      </c>
      <c r="AB80" s="205"/>
    </row>
    <row r="81" spans="1:30" s="128" customFormat="1" ht="51" customHeight="1">
      <c r="A81" s="483">
        <v>69</v>
      </c>
      <c r="B81" s="740">
        <v>34</v>
      </c>
      <c r="C81" s="487" t="s">
        <v>251</v>
      </c>
      <c r="D81" s="636" t="str">
        <f>+'Biểu 1 TH CÔNG'!C79</f>
        <v>Nàng Phôn</v>
      </c>
      <c r="E81" s="485"/>
      <c r="F81" s="483" t="s">
        <v>6</v>
      </c>
      <c r="G81" s="627"/>
      <c r="H81" s="486">
        <f t="shared" si="0"/>
        <v>0</v>
      </c>
      <c r="I81" s="628">
        <f>VLOOKUP(D81,'Biểu 2 TH MỦ TẠP'!$C$11:$AI$87,33,0)</f>
        <v>2639</v>
      </c>
      <c r="J81" s="628">
        <f>VLOOKUP(D81,'Biểu 2 TH MỦ TẠP'!$C$11:$AK$87,35,0)</f>
        <v>1063.8439856300265</v>
      </c>
      <c r="K81" s="742">
        <v>0</v>
      </c>
      <c r="L81" s="742">
        <v>0</v>
      </c>
      <c r="M81" s="991">
        <f>+VLOOKUP(D81,'Biểu 2 TH MỦ TẠP'!$C$11:$AN$87,38,0)</f>
        <v>103.84142467223064</v>
      </c>
      <c r="N81" s="634">
        <f t="shared" si="7"/>
        <v>1167.6854103022572</v>
      </c>
      <c r="O81" s="628" t="str">
        <f>VLOOKUP(D81,'Biểu 2 TH MỦ TẠP'!$C$11:$AP$87,40,0)</f>
        <v>B</v>
      </c>
      <c r="P81" s="629">
        <f t="shared" si="8"/>
        <v>4063545.2278518551</v>
      </c>
      <c r="Q81" s="628">
        <f>VLOOKUP(D81,'Biểu 1 TH CÔNG'!$C$11:$AI$88,33,0)</f>
        <v>26</v>
      </c>
      <c r="R81" s="628">
        <f>VLOOKUP(D81,'Biểu 1 TH CÔNG'!$C$11:$AJ$88,34,0)</f>
        <v>3</v>
      </c>
      <c r="S81" s="628">
        <f>VLOOKUP(D81,'Biểu 1 TH CÔNG'!$C$11:$AK$88,35,0)</f>
        <v>1</v>
      </c>
      <c r="T81" s="628">
        <f>VLOOKUP(D81,'Biểu 1 TH CÔNG'!$C$11:$AL$88,36,0)</f>
        <v>1</v>
      </c>
      <c r="U81" s="630">
        <f t="shared" si="9"/>
        <v>2</v>
      </c>
      <c r="V81" s="628">
        <f>VLOOKUP(D81,'Biểu 1 TH CÔNG'!$C$11:$AM$88,37,0)</f>
        <v>31</v>
      </c>
      <c r="W81" s="630">
        <v>0</v>
      </c>
      <c r="X81" s="629">
        <f t="shared" si="10"/>
        <v>1939033</v>
      </c>
      <c r="Y81" s="631">
        <f t="shared" si="11"/>
        <v>6002578.2278518546</v>
      </c>
      <c r="Z81" s="632"/>
      <c r="AA81" s="632">
        <f t="shared" si="12"/>
        <v>6002578.2278518546</v>
      </c>
      <c r="AB81" s="205"/>
    </row>
    <row r="82" spans="1:30" s="128" customFormat="1" ht="51" customHeight="1">
      <c r="A82" s="483">
        <v>70</v>
      </c>
      <c r="B82" s="740">
        <v>35</v>
      </c>
      <c r="C82" s="484" t="s">
        <v>252</v>
      </c>
      <c r="D82" s="636" t="str">
        <f>+'Biểu 1 TH CÔNG'!C80</f>
        <v>Thảo Mon</v>
      </c>
      <c r="E82" s="485"/>
      <c r="F82" s="483" t="s">
        <v>6</v>
      </c>
      <c r="G82" s="627"/>
      <c r="H82" s="486">
        <f t="shared" ref="H82:H94" si="13">G82*25000</f>
        <v>0</v>
      </c>
      <c r="I82" s="628">
        <f>VLOOKUP(D82,'Biểu 2 TH MỦ TẠP'!$C$11:$AI$87,33,0)</f>
        <v>2580</v>
      </c>
      <c r="J82" s="628">
        <f>VLOOKUP(D82,'Biểu 2 TH MỦ TẠP'!$C$11:$AK$87,35,0)</f>
        <v>1040.0596752275362</v>
      </c>
      <c r="K82" s="742">
        <v>0</v>
      </c>
      <c r="L82" s="742">
        <v>0</v>
      </c>
      <c r="M82" s="991">
        <f>+VLOOKUP(D82,'Biểu 2 TH MỦ TẠP'!$C$11:$AN$87,38,0)</f>
        <v>101.51984678073325</v>
      </c>
      <c r="N82" s="634">
        <f t="shared" si="7"/>
        <v>1141.5795220082696</v>
      </c>
      <c r="O82" s="628" t="str">
        <f>VLOOKUP(D82,'Biểu 2 TH MỦ TẠP'!$C$11:$AP$87,40,0)</f>
        <v>A</v>
      </c>
      <c r="P82" s="629">
        <f t="shared" si="8"/>
        <v>4178181.0505502666</v>
      </c>
      <c r="Q82" s="628">
        <f>VLOOKUP(D82,'Biểu 1 TH CÔNG'!$C$11:$AI$88,33,0)</f>
        <v>26</v>
      </c>
      <c r="R82" s="628">
        <f>VLOOKUP(D82,'Biểu 1 TH CÔNG'!$C$11:$AJ$88,34,0)</f>
        <v>3</v>
      </c>
      <c r="S82" s="628">
        <f>VLOOKUP(D82,'Biểu 1 TH CÔNG'!$C$11:$AK$88,35,0)</f>
        <v>1</v>
      </c>
      <c r="T82" s="628">
        <f>VLOOKUP(D82,'Biểu 1 TH CÔNG'!$C$11:$AL$88,36,0)</f>
        <v>1</v>
      </c>
      <c r="U82" s="630">
        <f t="shared" si="9"/>
        <v>2</v>
      </c>
      <c r="V82" s="628">
        <f>VLOOKUP(D82,'Biểu 1 TH CÔNG'!$C$11:$AM$88,37,0)</f>
        <v>31</v>
      </c>
      <c r="W82" s="630">
        <v>0</v>
      </c>
      <c r="X82" s="629">
        <f t="shared" si="10"/>
        <v>1939033</v>
      </c>
      <c r="Y82" s="631">
        <f t="shared" si="11"/>
        <v>6117214.0505502671</v>
      </c>
      <c r="Z82" s="632"/>
      <c r="AA82" s="632">
        <f t="shared" si="12"/>
        <v>6117214.0505502671</v>
      </c>
      <c r="AB82" s="205"/>
    </row>
    <row r="83" spans="1:30" s="128" customFormat="1" ht="51" customHeight="1">
      <c r="A83" s="483">
        <v>71</v>
      </c>
      <c r="B83" s="740">
        <v>36</v>
      </c>
      <c r="C83" s="487" t="s">
        <v>253</v>
      </c>
      <c r="D83" s="636" t="str">
        <f>+'Biểu 1 TH CÔNG'!C81</f>
        <v>Thảo Vông Xay</v>
      </c>
      <c r="E83" s="485"/>
      <c r="F83" s="483" t="s">
        <v>6</v>
      </c>
      <c r="G83" s="627"/>
      <c r="H83" s="486">
        <f t="shared" si="13"/>
        <v>0</v>
      </c>
      <c r="I83" s="628">
        <f>VLOOKUP(D83,'Biểu 2 TH MỦ TẠP'!$C$11:$AI$87,33,0)</f>
        <v>1734</v>
      </c>
      <c r="J83" s="628">
        <f>VLOOKUP(D83,'Biểu 2 TH MỦ TẠP'!$C$11:$AK$87,35,0)</f>
        <v>699.01685149013485</v>
      </c>
      <c r="K83" s="742">
        <v>0</v>
      </c>
      <c r="L83" s="742">
        <v>0</v>
      </c>
      <c r="M83" s="991">
        <f>+VLOOKUP(D83,'Biểu 2 TH MỦ TẠP'!$C$11:$AN$87,38,0)</f>
        <v>68.23078074333003</v>
      </c>
      <c r="N83" s="634">
        <f t="shared" si="7"/>
        <v>767.24763223346486</v>
      </c>
      <c r="O83" s="628" t="str">
        <f>VLOOKUP(D83,'Biểu 2 TH MỦ TẠP'!$C$11:$AP$87,40,0)</f>
        <v>B</v>
      </c>
      <c r="P83" s="629">
        <f t="shared" si="8"/>
        <v>2670021.7601724579</v>
      </c>
      <c r="Q83" s="628">
        <f>VLOOKUP(D83,'Biểu 1 TH CÔNG'!$C$11:$AI$88,33,0)</f>
        <v>26</v>
      </c>
      <c r="R83" s="628">
        <f>VLOOKUP(D83,'Biểu 1 TH CÔNG'!$C$11:$AJ$88,34,0)</f>
        <v>3</v>
      </c>
      <c r="S83" s="628">
        <f>VLOOKUP(D83,'Biểu 1 TH CÔNG'!$C$11:$AK$88,35,0)</f>
        <v>1</v>
      </c>
      <c r="T83" s="628">
        <f>VLOOKUP(D83,'Biểu 1 TH CÔNG'!$C$11:$AL$88,36,0)</f>
        <v>1</v>
      </c>
      <c r="U83" s="630">
        <f t="shared" si="9"/>
        <v>2</v>
      </c>
      <c r="V83" s="628">
        <f>VLOOKUP(D83,'Biểu 1 TH CÔNG'!$C$11:$AM$88,37,0)</f>
        <v>31</v>
      </c>
      <c r="W83" s="630">
        <v>0</v>
      </c>
      <c r="X83" s="629">
        <f t="shared" si="10"/>
        <v>1939033</v>
      </c>
      <c r="Y83" s="631">
        <f t="shared" si="11"/>
        <v>4609054.7601724584</v>
      </c>
      <c r="Z83" s="632"/>
      <c r="AA83" s="632">
        <f t="shared" si="12"/>
        <v>4609054.7601724584</v>
      </c>
      <c r="AB83" s="205"/>
    </row>
    <row r="84" spans="1:30" s="128" customFormat="1" ht="51" customHeight="1">
      <c r="A84" s="483">
        <v>72</v>
      </c>
      <c r="B84" s="740">
        <v>37</v>
      </c>
      <c r="C84" s="484" t="s">
        <v>254</v>
      </c>
      <c r="D84" s="636" t="str">
        <f>+'Biểu 1 TH CÔNG'!C82</f>
        <v>Nàng Lun</v>
      </c>
      <c r="E84" s="485"/>
      <c r="F84" s="483" t="s">
        <v>6</v>
      </c>
      <c r="G84" s="627"/>
      <c r="H84" s="486">
        <f t="shared" si="13"/>
        <v>0</v>
      </c>
      <c r="I84" s="628">
        <f>VLOOKUP(D84,'Biểu 2 TH MỦ TẠP'!$C$11:$AI$87,33,0)</f>
        <v>1735</v>
      </c>
      <c r="J84" s="628">
        <f>VLOOKUP(D84,'Biểu 2 TH MỦ TẠP'!$C$11:$AK$87,35,0)</f>
        <v>699.41997539526176</v>
      </c>
      <c r="K84" s="742">
        <v>0</v>
      </c>
      <c r="L84" s="742">
        <v>0</v>
      </c>
      <c r="M84" s="991">
        <f>+VLOOKUP(D84,'Biểu 2 TH MỦ TẠP'!$C$11:$AN$87,38,0)</f>
        <v>68.270129521152015</v>
      </c>
      <c r="N84" s="634">
        <f t="shared" si="7"/>
        <v>767.69010491641382</v>
      </c>
      <c r="O84" s="628" t="str">
        <f>VLOOKUP(D84,'Biểu 2 TH MỦ TẠP'!$C$11:$AP$87,40,0)</f>
        <v>A</v>
      </c>
      <c r="P84" s="629">
        <f t="shared" si="8"/>
        <v>2809745.783994074</v>
      </c>
      <c r="Q84" s="628">
        <f>VLOOKUP(D84,'Biểu 1 TH CÔNG'!$C$11:$AI$88,33,0)</f>
        <v>26</v>
      </c>
      <c r="R84" s="628">
        <f>VLOOKUP(D84,'Biểu 1 TH CÔNG'!$C$11:$AJ$88,34,0)</f>
        <v>3</v>
      </c>
      <c r="S84" s="628">
        <f>VLOOKUP(D84,'Biểu 1 TH CÔNG'!$C$11:$AK$88,35,0)</f>
        <v>1</v>
      </c>
      <c r="T84" s="628">
        <f>VLOOKUP(D84,'Biểu 1 TH CÔNG'!$C$11:$AL$88,36,0)</f>
        <v>1</v>
      </c>
      <c r="U84" s="630">
        <f t="shared" si="9"/>
        <v>2</v>
      </c>
      <c r="V84" s="628">
        <f>VLOOKUP(D84,'Biểu 1 TH CÔNG'!$C$11:$AM$88,37,0)</f>
        <v>31</v>
      </c>
      <c r="W84" s="630">
        <v>0</v>
      </c>
      <c r="X84" s="629">
        <f t="shared" si="10"/>
        <v>1939033</v>
      </c>
      <c r="Y84" s="631">
        <f t="shared" si="11"/>
        <v>4748778.783994074</v>
      </c>
      <c r="Z84" s="632"/>
      <c r="AA84" s="632">
        <f t="shared" si="12"/>
        <v>4748778.783994074</v>
      </c>
      <c r="AB84" s="205"/>
    </row>
    <row r="85" spans="1:30" s="128" customFormat="1" ht="51" customHeight="1">
      <c r="A85" s="483">
        <v>73</v>
      </c>
      <c r="B85" s="740">
        <v>38</v>
      </c>
      <c r="C85" s="484" t="s">
        <v>255</v>
      </c>
      <c r="D85" s="636" t="str">
        <f>+'Biểu 1 TH CÔNG'!C83</f>
        <v>Thảo Vong</v>
      </c>
      <c r="E85" s="485"/>
      <c r="F85" s="483" t="s">
        <v>6</v>
      </c>
      <c r="G85" s="627"/>
      <c r="H85" s="486">
        <f t="shared" si="13"/>
        <v>0</v>
      </c>
      <c r="I85" s="628">
        <f>VLOOKUP(D85,'Biểu 2 TH MỦ TẠP'!$C$11:$AI$87,33,0)</f>
        <v>2835</v>
      </c>
      <c r="J85" s="628">
        <f>VLOOKUP(D85,'Biểu 2 TH MỦ TẠP'!$C$11:$AK$87,35,0)</f>
        <v>1142.856271034909</v>
      </c>
      <c r="K85" s="742">
        <v>0</v>
      </c>
      <c r="L85" s="742">
        <v>0</v>
      </c>
      <c r="M85" s="991">
        <f>+VLOOKUP(D85,'Biểu 2 TH MỦ TẠP'!$C$11:$AN$87,38,0)</f>
        <v>111.5537851253406</v>
      </c>
      <c r="N85" s="634">
        <f t="shared" si="7"/>
        <v>1254.4100561602495</v>
      </c>
      <c r="O85" s="628" t="str">
        <f>VLOOKUP(D85,'Biểu 2 TH MỦ TẠP'!$C$11:$AP$87,40,0)</f>
        <v>A</v>
      </c>
      <c r="P85" s="629">
        <f t="shared" si="8"/>
        <v>4591140.8055465128</v>
      </c>
      <c r="Q85" s="628">
        <f>VLOOKUP(D85,'Biểu 1 TH CÔNG'!$C$11:$AI$88,33,0)</f>
        <v>26</v>
      </c>
      <c r="R85" s="628">
        <f>VLOOKUP(D85,'Biểu 1 TH CÔNG'!$C$11:$AJ$88,34,0)</f>
        <v>3</v>
      </c>
      <c r="S85" s="628">
        <f>VLOOKUP(D85,'Biểu 1 TH CÔNG'!$C$11:$AK$88,35,0)</f>
        <v>1</v>
      </c>
      <c r="T85" s="628">
        <f>VLOOKUP(D85,'Biểu 1 TH CÔNG'!$C$11:$AL$88,36,0)</f>
        <v>1</v>
      </c>
      <c r="U85" s="630">
        <f t="shared" si="9"/>
        <v>2</v>
      </c>
      <c r="V85" s="628">
        <f>VLOOKUP(D85,'Biểu 1 TH CÔNG'!$C$11:$AM$88,37,0)</f>
        <v>31</v>
      </c>
      <c r="W85" s="630">
        <f>+V85</f>
        <v>31</v>
      </c>
      <c r="X85" s="629">
        <f t="shared" si="10"/>
        <v>2574731</v>
      </c>
      <c r="Y85" s="631">
        <f t="shared" si="11"/>
        <v>7165871.8055465128</v>
      </c>
      <c r="Z85" s="632"/>
      <c r="AA85" s="632">
        <f t="shared" si="12"/>
        <v>7165871.8055465128</v>
      </c>
      <c r="AB85" s="205"/>
    </row>
    <row r="86" spans="1:30" s="128" customFormat="1" ht="51" customHeight="1">
      <c r="A86" s="483">
        <v>74</v>
      </c>
      <c r="B86" s="740">
        <v>39</v>
      </c>
      <c r="C86" s="484" t="s">
        <v>256</v>
      </c>
      <c r="D86" s="636" t="str">
        <f>+'Biểu 1 TH CÔNG'!C84</f>
        <v>Nàng Veng</v>
      </c>
      <c r="E86" s="485"/>
      <c r="F86" s="483" t="s">
        <v>6</v>
      </c>
      <c r="G86" s="627"/>
      <c r="H86" s="486">
        <f t="shared" si="13"/>
        <v>0</v>
      </c>
      <c r="I86" s="628">
        <f>VLOOKUP(D86,'Biểu 2 TH MỦ TẠP'!$C$11:$AI$87,33,0)</f>
        <v>2843</v>
      </c>
      <c r="J86" s="628">
        <f>VLOOKUP(D86,'Biểu 2 TH MỦ TẠP'!$C$11:$AK$87,35,0)</f>
        <v>1146.0812622759247</v>
      </c>
      <c r="K86" s="742">
        <v>0</v>
      </c>
      <c r="L86" s="742">
        <v>0</v>
      </c>
      <c r="M86" s="991">
        <f>+VLOOKUP(D86,'Biểu 2 TH MỦ TẠP'!$C$11:$AN$87,38,0)</f>
        <v>111.86857534791652</v>
      </c>
      <c r="N86" s="634">
        <f t="shared" si="7"/>
        <v>1257.9498376238412</v>
      </c>
      <c r="O86" s="628" t="str">
        <f>VLOOKUP(D86,'Biểu 2 TH MỦ TẠP'!$C$11:$AP$87,40,0)</f>
        <v>A</v>
      </c>
      <c r="P86" s="629">
        <f t="shared" si="8"/>
        <v>4604096.4057032587</v>
      </c>
      <c r="Q86" s="628">
        <f>VLOOKUP(D86,'Biểu 1 TH CÔNG'!$C$11:$AI$88,33,0)</f>
        <v>26</v>
      </c>
      <c r="R86" s="628">
        <f>VLOOKUP(D86,'Biểu 1 TH CÔNG'!$C$11:$AJ$88,34,0)</f>
        <v>3</v>
      </c>
      <c r="S86" s="628">
        <f>VLOOKUP(D86,'Biểu 1 TH CÔNG'!$C$11:$AK$88,35,0)</f>
        <v>1</v>
      </c>
      <c r="T86" s="628">
        <f>VLOOKUP(D86,'Biểu 1 TH CÔNG'!$C$11:$AL$88,36,0)</f>
        <v>1</v>
      </c>
      <c r="U86" s="630">
        <f t="shared" si="9"/>
        <v>2</v>
      </c>
      <c r="V86" s="628">
        <f>VLOOKUP(D86,'Biểu 1 TH CÔNG'!$C$11:$AM$88,37,0)</f>
        <v>31</v>
      </c>
      <c r="W86" s="630">
        <f t="shared" ref="W86:W90" si="14">+V86</f>
        <v>31</v>
      </c>
      <c r="X86" s="629">
        <f t="shared" si="10"/>
        <v>2574731</v>
      </c>
      <c r="Y86" s="631">
        <f t="shared" si="11"/>
        <v>7178827.4057032587</v>
      </c>
      <c r="Z86" s="632"/>
      <c r="AA86" s="632">
        <f t="shared" si="12"/>
        <v>7178827.4057032587</v>
      </c>
      <c r="AB86" s="205"/>
    </row>
    <row r="87" spans="1:30" s="1201" customFormat="1" ht="51" customHeight="1">
      <c r="A87" s="1186">
        <v>75</v>
      </c>
      <c r="B87" s="1187">
        <v>40</v>
      </c>
      <c r="C87" s="1204" t="s">
        <v>257</v>
      </c>
      <c r="D87" s="1189" t="str">
        <f>+'Biểu 1 TH CÔNG'!C85</f>
        <v>Thảo Đuông Chăn</v>
      </c>
      <c r="E87" s="1202"/>
      <c r="F87" s="1186" t="s">
        <v>6</v>
      </c>
      <c r="G87" s="1203"/>
      <c r="H87" s="1192">
        <f t="shared" si="13"/>
        <v>0</v>
      </c>
      <c r="I87" s="1193">
        <f>VLOOKUP(D87,'Biểu 2 TH MỦ TẠP'!$C$11:$AI$87,33,0)</f>
        <v>818</v>
      </c>
      <c r="J87" s="1193">
        <f>VLOOKUP(D87,'Biểu 2 TH MỦ TẠP'!$C$11:$AK$87,35,0)</f>
        <v>329.7553543938468</v>
      </c>
      <c r="K87" s="1191">
        <v>0</v>
      </c>
      <c r="L87" s="1191">
        <v>0</v>
      </c>
      <c r="M87" s="1194">
        <f>+VLOOKUP(D87,'Biểu 2 TH MỦ TẠP'!$C$11:$AN$87,38,0)</f>
        <v>32.187300258387516</v>
      </c>
      <c r="N87" s="1195">
        <f t="shared" si="7"/>
        <v>361.9426546522343</v>
      </c>
      <c r="O87" s="1193" t="str">
        <f>VLOOKUP(D87,'Biểu 2 TH MỦ TẠP'!$C$11:$AP$87,40,0)</f>
        <v>B</v>
      </c>
      <c r="P87" s="1196">
        <f t="shared" si="8"/>
        <v>1259560.4381897752</v>
      </c>
      <c r="Q87" s="1193">
        <f>VLOOKUP(D87,'Biểu 1 TH CÔNG'!$C$11:$AI$88,33,0)</f>
        <v>26</v>
      </c>
      <c r="R87" s="1193">
        <f>VLOOKUP(D87,'Biểu 1 TH CÔNG'!$C$11:$AJ$88,34,0)</f>
        <v>3</v>
      </c>
      <c r="S87" s="1193">
        <f>VLOOKUP(D87,'Biểu 1 TH CÔNG'!$C$11:$AK$88,35,0)</f>
        <v>1</v>
      </c>
      <c r="T87" s="1193">
        <f>VLOOKUP(D87,'Biểu 1 TH CÔNG'!$C$11:$AL$88,36,0)</f>
        <v>1</v>
      </c>
      <c r="U87" s="1197">
        <f t="shared" si="9"/>
        <v>2</v>
      </c>
      <c r="V87" s="1193">
        <f>VLOOKUP(D87,'Biểu 1 TH CÔNG'!$C$11:$AM$88,37,0)</f>
        <v>31</v>
      </c>
      <c r="W87" s="1197">
        <f t="shared" si="14"/>
        <v>31</v>
      </c>
      <c r="X87" s="629">
        <f t="shared" si="10"/>
        <v>2574731</v>
      </c>
      <c r="Y87" s="1198">
        <f t="shared" si="11"/>
        <v>3834291.4381897752</v>
      </c>
      <c r="Z87" s="1200"/>
      <c r="AA87" s="1200">
        <f t="shared" si="12"/>
        <v>3834291.4381897752</v>
      </c>
      <c r="AB87" s="1205"/>
    </row>
    <row r="88" spans="1:30" s="1201" customFormat="1" ht="51" customHeight="1">
      <c r="A88" s="1186">
        <v>76</v>
      </c>
      <c r="B88" s="1187">
        <v>41</v>
      </c>
      <c r="C88" s="1204" t="s">
        <v>258</v>
      </c>
      <c r="D88" s="1189" t="str">
        <f>+'Biểu 1 TH CÔNG'!C86</f>
        <v>Nàng Peng</v>
      </c>
      <c r="E88" s="1202"/>
      <c r="F88" s="1186" t="s">
        <v>6</v>
      </c>
      <c r="G88" s="1203"/>
      <c r="H88" s="1192">
        <f t="shared" si="13"/>
        <v>0</v>
      </c>
      <c r="I88" s="1193">
        <f>VLOOKUP(D88,'Biểu 2 TH MỦ TẠP'!$C$11:$AI$87,33,0)</f>
        <v>794</v>
      </c>
      <c r="J88" s="1193">
        <f>VLOOKUP(D88,'Biểu 2 TH MỦ TẠP'!$C$11:$AK$87,35,0)</f>
        <v>320.08038067079991</v>
      </c>
      <c r="K88" s="1191">
        <v>0</v>
      </c>
      <c r="L88" s="1191">
        <v>0</v>
      </c>
      <c r="M88" s="1194">
        <f>+VLOOKUP(D88,'Biểu 2 TH MỦ TẠP'!$C$11:$AN$87,38,0)</f>
        <v>31.24292959065977</v>
      </c>
      <c r="N88" s="1195">
        <f t="shared" si="7"/>
        <v>351.32331026145971</v>
      </c>
      <c r="O88" s="1193" t="str">
        <f>VLOOKUP(D88,'Biểu 2 TH MỦ TẠP'!$C$11:$AP$87,40,0)</f>
        <v>C</v>
      </c>
      <c r="P88" s="1196">
        <f t="shared" si="8"/>
        <v>1159366.923862817</v>
      </c>
      <c r="Q88" s="1193">
        <f>VLOOKUP(D88,'Biểu 1 TH CÔNG'!$C$11:$AI$88,33,0)</f>
        <v>26</v>
      </c>
      <c r="R88" s="1193">
        <f>VLOOKUP(D88,'Biểu 1 TH CÔNG'!$C$11:$AJ$88,34,0)</f>
        <v>3</v>
      </c>
      <c r="S88" s="1193">
        <f>VLOOKUP(D88,'Biểu 1 TH CÔNG'!$C$11:$AK$88,35,0)</f>
        <v>1</v>
      </c>
      <c r="T88" s="1193">
        <f>VLOOKUP(D88,'Biểu 1 TH CÔNG'!$C$11:$AL$88,36,0)</f>
        <v>1</v>
      </c>
      <c r="U88" s="1197">
        <f t="shared" si="9"/>
        <v>2</v>
      </c>
      <c r="V88" s="1193">
        <f>VLOOKUP(D88,'Biểu 1 TH CÔNG'!$C$11:$AM$88,37,0)</f>
        <v>31</v>
      </c>
      <c r="W88" s="1197">
        <f t="shared" si="14"/>
        <v>31</v>
      </c>
      <c r="X88" s="629">
        <f t="shared" si="10"/>
        <v>2574731</v>
      </c>
      <c r="Y88" s="1198">
        <f t="shared" si="11"/>
        <v>3734097.9238628168</v>
      </c>
      <c r="Z88" s="1200"/>
      <c r="AA88" s="1200">
        <f t="shared" si="12"/>
        <v>3734097.9238628168</v>
      </c>
      <c r="AB88" s="1205"/>
    </row>
    <row r="89" spans="1:30" s="128" customFormat="1" ht="51" customHeight="1">
      <c r="A89" s="483">
        <v>77</v>
      </c>
      <c r="B89" s="740">
        <v>42</v>
      </c>
      <c r="C89" s="487" t="s">
        <v>259</v>
      </c>
      <c r="D89" s="636" t="str">
        <f>+'Biểu 1 TH CÔNG'!C87</f>
        <v>Thảo Xay Tho</v>
      </c>
      <c r="E89" s="485"/>
      <c r="F89" s="483" t="s">
        <v>6</v>
      </c>
      <c r="G89" s="627"/>
      <c r="H89" s="486">
        <f t="shared" si="13"/>
        <v>0</v>
      </c>
      <c r="I89" s="628">
        <f>VLOOKUP(D89,'Biểu 2 TH MỦ TẠP'!$C$11:$AI$87,33,0)</f>
        <v>2287</v>
      </c>
      <c r="J89" s="628">
        <f>VLOOKUP(D89,'Biểu 2 TH MỦ TẠP'!$C$11:$AK$87,35,0)</f>
        <v>921.94437102533936</v>
      </c>
      <c r="K89" s="742">
        <v>0</v>
      </c>
      <c r="L89" s="742">
        <v>0</v>
      </c>
      <c r="M89" s="991">
        <f>+VLOOKUP(D89,'Biểu 2 TH MỦ TẠP'!$C$11:$AN$87,38,0)</f>
        <v>89.990654878890297</v>
      </c>
      <c r="N89" s="634">
        <f t="shared" si="7"/>
        <v>1011.9350259042296</v>
      </c>
      <c r="O89" s="628" t="str">
        <f>VLOOKUP(D89,'Biểu 2 TH MỦ TẠP'!$C$11:$AP$87,40,0)</f>
        <v>A</v>
      </c>
      <c r="P89" s="629">
        <f t="shared" si="8"/>
        <v>3703682.1948094801</v>
      </c>
      <c r="Q89" s="628">
        <f>VLOOKUP(D89,'Biểu 1 TH CÔNG'!$C$11:$AI$88,33,0)</f>
        <v>26</v>
      </c>
      <c r="R89" s="628">
        <f>VLOOKUP(D89,'Biểu 1 TH CÔNG'!$C$11:$AJ$88,34,0)</f>
        <v>3</v>
      </c>
      <c r="S89" s="628">
        <f>VLOOKUP(D89,'Biểu 1 TH CÔNG'!$C$11:$AK$88,35,0)</f>
        <v>1</v>
      </c>
      <c r="T89" s="628">
        <f>VLOOKUP(D89,'Biểu 1 TH CÔNG'!$C$11:$AL$88,36,0)</f>
        <v>1</v>
      </c>
      <c r="U89" s="630">
        <f t="shared" si="9"/>
        <v>2</v>
      </c>
      <c r="V89" s="628">
        <f>VLOOKUP(D89,'Biểu 1 TH CÔNG'!$C$11:$AM$88,37,0)</f>
        <v>31</v>
      </c>
      <c r="W89" s="630">
        <f t="shared" si="14"/>
        <v>31</v>
      </c>
      <c r="X89" s="629">
        <f t="shared" si="10"/>
        <v>2574731</v>
      </c>
      <c r="Y89" s="631">
        <f t="shared" si="11"/>
        <v>6278413.1948094796</v>
      </c>
      <c r="Z89" s="632"/>
      <c r="AA89" s="632">
        <f t="shared" si="12"/>
        <v>6278413.1948094796</v>
      </c>
      <c r="AB89" s="205"/>
    </row>
    <row r="90" spans="1:30" s="128" customFormat="1" ht="51" customHeight="1">
      <c r="A90" s="483">
        <v>78</v>
      </c>
      <c r="B90" s="740">
        <v>43</v>
      </c>
      <c r="C90" s="487" t="s">
        <v>260</v>
      </c>
      <c r="D90" s="636" t="str">
        <f>+'Biểu 1 TH CÔNG'!C88</f>
        <v>Nàng Xia Lô</v>
      </c>
      <c r="E90" s="485"/>
      <c r="F90" s="483" t="s">
        <v>6</v>
      </c>
      <c r="G90" s="627"/>
      <c r="H90" s="486">
        <f t="shared" si="13"/>
        <v>0</v>
      </c>
      <c r="I90" s="628">
        <f>VLOOKUP(D90,'Biểu 2 TH MỦ TẠP'!$C$11:$AI$87,33,0)</f>
        <v>2754</v>
      </c>
      <c r="J90" s="628">
        <f>VLOOKUP(D90,'Biểu 2 TH MỦ TẠP'!$C$11:$AK$87,35,0)</f>
        <v>1110.2032347196259</v>
      </c>
      <c r="K90" s="742">
        <v>0</v>
      </c>
      <c r="L90" s="742">
        <v>0</v>
      </c>
      <c r="M90" s="991">
        <f>+VLOOKUP(D90,'Biểu 2 TH MỦ TẠP'!$C$11:$AN$87,38,0)</f>
        <v>108.36653412175946</v>
      </c>
      <c r="N90" s="634">
        <f t="shared" si="7"/>
        <v>1218.5697688413854</v>
      </c>
      <c r="O90" s="628" t="str">
        <f>VLOOKUP(D90,'Biểu 2 TH MỦ TẠP'!$C$11:$AP$87,40,0)</f>
        <v>A</v>
      </c>
      <c r="P90" s="629">
        <f>(IF(O90="A",(N90*6.1),IF(O90="B",(N90*5.8),IF(O90="C",(N90*5.5),IF(O90="D",(N90*5.2),0))))*$G$8)-0.06</f>
        <v>4459965.2939594714</v>
      </c>
      <c r="Q90" s="628">
        <f>VLOOKUP(D90,'Biểu 1 TH CÔNG'!$C$11:$AI$88,33,0)</f>
        <v>26</v>
      </c>
      <c r="R90" s="628">
        <f>VLOOKUP(D90,'Biểu 1 TH CÔNG'!$C$11:$AJ$88,34,0)</f>
        <v>3</v>
      </c>
      <c r="S90" s="628">
        <f>VLOOKUP(D90,'Biểu 1 TH CÔNG'!$C$11:$AK$88,35,0)</f>
        <v>1</v>
      </c>
      <c r="T90" s="628">
        <f>VLOOKUP(D90,'Biểu 1 TH CÔNG'!$C$11:$AL$88,36,0)</f>
        <v>1</v>
      </c>
      <c r="U90" s="630">
        <f t="shared" si="9"/>
        <v>2</v>
      </c>
      <c r="V90" s="628">
        <f>VLOOKUP(D90,'Biểu 1 TH CÔNG'!$C$11:$AM$88,37,0)</f>
        <v>31</v>
      </c>
      <c r="W90" s="630">
        <f t="shared" si="14"/>
        <v>31</v>
      </c>
      <c r="X90" s="629">
        <f>ROUND(((Q90*46.1*$H$8)+(R90*76.9*$H$8)+(S90*(46.1*2*$H$8))+(U90*100000)+(T90*(76.9*2*$H$8))+(V90*20000)+(W90*30.7*$H$8)),0)+25</f>
        <v>2574756</v>
      </c>
      <c r="Y90" s="631">
        <f t="shared" si="11"/>
        <v>7034721.2939594714</v>
      </c>
      <c r="Z90" s="632"/>
      <c r="AA90" s="632">
        <f t="shared" si="12"/>
        <v>7034721.2939594714</v>
      </c>
      <c r="AB90" s="205"/>
    </row>
    <row r="91" spans="1:30" s="128" customFormat="1" ht="51" customHeight="1">
      <c r="A91" s="483">
        <v>79</v>
      </c>
      <c r="B91" s="740">
        <v>44</v>
      </c>
      <c r="C91" s="633"/>
      <c r="D91" s="636" t="s">
        <v>590</v>
      </c>
      <c r="E91" s="741"/>
      <c r="F91" s="740" t="s">
        <v>576</v>
      </c>
      <c r="G91" s="742"/>
      <c r="H91" s="1090"/>
      <c r="I91" s="627">
        <v>0</v>
      </c>
      <c r="J91" s="742">
        <v>0</v>
      </c>
      <c r="K91" s="634">
        <v>234</v>
      </c>
      <c r="L91" s="634">
        <v>94.97</v>
      </c>
      <c r="M91" s="991"/>
      <c r="N91" s="634">
        <f t="shared" si="7"/>
        <v>94.97</v>
      </c>
      <c r="O91" s="634"/>
      <c r="P91" s="629">
        <f>+N91*6.1*$G$8+12.42-1.62</f>
        <v>347601</v>
      </c>
      <c r="Q91" s="634"/>
      <c r="R91" s="634"/>
      <c r="S91" s="634"/>
      <c r="T91" s="628"/>
      <c r="U91" s="1091"/>
      <c r="V91" s="634"/>
      <c r="W91" s="1091"/>
      <c r="X91" s="629">
        <f t="shared" si="10"/>
        <v>0</v>
      </c>
      <c r="Y91" s="631">
        <f t="shared" si="11"/>
        <v>347601</v>
      </c>
      <c r="Z91" s="635"/>
      <c r="AA91" s="632">
        <f t="shared" si="12"/>
        <v>347601</v>
      </c>
      <c r="AB91" s="205"/>
    </row>
    <row r="92" spans="1:30" s="128" customFormat="1" ht="51" customHeight="1">
      <c r="A92" s="483">
        <v>80</v>
      </c>
      <c r="B92" s="740">
        <v>45</v>
      </c>
      <c r="C92" s="487" t="s">
        <v>261</v>
      </c>
      <c r="D92" s="636" t="str">
        <f>+'Biểu 1 TH CÔNG'!C90</f>
        <v>A Beo</v>
      </c>
      <c r="E92" s="485"/>
      <c r="F92" s="483" t="s">
        <v>52</v>
      </c>
      <c r="G92" s="627"/>
      <c r="H92" s="629">
        <f>G92*25000</f>
        <v>0</v>
      </c>
      <c r="I92" s="627">
        <v>0</v>
      </c>
      <c r="J92" s="627">
        <v>0</v>
      </c>
      <c r="K92" s="742">
        <v>0</v>
      </c>
      <c r="L92" s="742">
        <v>0</v>
      </c>
      <c r="M92" s="991"/>
      <c r="N92" s="634">
        <f t="shared" si="7"/>
        <v>0</v>
      </c>
      <c r="O92" s="628"/>
      <c r="P92" s="629">
        <f t="shared" si="8"/>
        <v>0</v>
      </c>
      <c r="Q92" s="627">
        <v>0</v>
      </c>
      <c r="R92" s="627">
        <v>0</v>
      </c>
      <c r="S92" s="627">
        <v>0</v>
      </c>
      <c r="T92" s="628"/>
      <c r="U92" s="630">
        <f t="shared" ref="U92:U94" si="15">+S92</f>
        <v>0</v>
      </c>
      <c r="V92" s="627"/>
      <c r="W92" s="742"/>
      <c r="X92" s="629">
        <f t="shared" si="10"/>
        <v>0</v>
      </c>
      <c r="Y92" s="631">
        <f t="shared" si="11"/>
        <v>0</v>
      </c>
      <c r="Z92" s="632"/>
      <c r="AA92" s="632">
        <f t="shared" si="12"/>
        <v>0</v>
      </c>
      <c r="AB92" s="205"/>
    </row>
    <row r="93" spans="1:30" s="128" customFormat="1" ht="51" hidden="1" customHeight="1">
      <c r="A93" s="483">
        <v>80</v>
      </c>
      <c r="B93" s="740">
        <v>45</v>
      </c>
      <c r="C93" s="487" t="s">
        <v>262</v>
      </c>
      <c r="D93" s="636" t="str">
        <f>+'Biểu 1 TH CÔNG'!C90</f>
        <v>A Beo</v>
      </c>
      <c r="E93" s="485"/>
      <c r="F93" s="483" t="s">
        <v>6</v>
      </c>
      <c r="G93" s="627"/>
      <c r="H93" s="486">
        <f t="shared" si="13"/>
        <v>0</v>
      </c>
      <c r="I93" s="628"/>
      <c r="J93" s="628"/>
      <c r="K93" s="634"/>
      <c r="L93" s="634"/>
      <c r="M93" s="991" t="e">
        <f>+VLOOKUP(D93,'Biểu 2 TH MỦ TẠP'!$C$11:$AN$87,38,0)</f>
        <v>#N/A</v>
      </c>
      <c r="N93" s="634"/>
      <c r="O93" s="628"/>
      <c r="P93" s="629">
        <f t="shared" ref="P93:P94" si="16">(IF(O93="A",(J93*6.1),IF(O93="B",(J93*5.8),IF(O93="C",(J93*5.5),IF(O93="D",(J93*5.2),0))))*$G$8)</f>
        <v>0</v>
      </c>
      <c r="Q93" s="627">
        <v>0</v>
      </c>
      <c r="R93" s="628"/>
      <c r="S93" s="628"/>
      <c r="T93" s="634"/>
      <c r="U93" s="630">
        <f t="shared" si="15"/>
        <v>0</v>
      </c>
      <c r="V93" s="628"/>
      <c r="W93" s="634"/>
      <c r="X93" s="629">
        <f>ROUND(((Q93*46.1*$G$8)+(R93*76.9*$G$8)+(S93*(92.2*$G$8))+(U93*100000)+(V93*20000)+(W93*30.7*$G$8)),0)</f>
        <v>0</v>
      </c>
      <c r="Y93" s="631">
        <f>+P93+H93+X93</f>
        <v>0</v>
      </c>
      <c r="Z93" s="632"/>
      <c r="AA93" s="632">
        <f t="shared" ref="AA93:AA94" si="17">Y93-Z93</f>
        <v>0</v>
      </c>
      <c r="AB93" s="205"/>
    </row>
    <row r="94" spans="1:30" s="128" customFormat="1" ht="51" hidden="1" customHeight="1">
      <c r="A94" s="483">
        <v>81</v>
      </c>
      <c r="B94" s="740">
        <v>46</v>
      </c>
      <c r="C94" s="487" t="s">
        <v>263</v>
      </c>
      <c r="D94" s="636" t="str">
        <f>+'Biểu 1 TH CÔNG'!C91</f>
        <v>A Bốt</v>
      </c>
      <c r="E94" s="485"/>
      <c r="F94" s="483" t="s">
        <v>6</v>
      </c>
      <c r="G94" s="627"/>
      <c r="H94" s="486">
        <f t="shared" si="13"/>
        <v>0</v>
      </c>
      <c r="I94" s="628"/>
      <c r="J94" s="628"/>
      <c r="K94" s="634"/>
      <c r="L94" s="634"/>
      <c r="M94" s="991" t="e">
        <f>+VLOOKUP(D94,'Biểu 2 TH MỦ TẠP'!$C$11:$AN$87,38,0)</f>
        <v>#N/A</v>
      </c>
      <c r="N94" s="634"/>
      <c r="O94" s="628"/>
      <c r="P94" s="629">
        <f t="shared" si="16"/>
        <v>0</v>
      </c>
      <c r="Q94" s="627">
        <v>0</v>
      </c>
      <c r="R94" s="628"/>
      <c r="S94" s="628"/>
      <c r="T94" s="634"/>
      <c r="U94" s="630">
        <f t="shared" si="15"/>
        <v>0</v>
      </c>
      <c r="V94" s="628"/>
      <c r="W94" s="634"/>
      <c r="X94" s="629">
        <f>ROUND(((Q94*46.1*$G$8)+(R94*76.9*$G$8)+(S94*(92.2*$G$8))+(U94*100000)+(V94*20000)+(W94*30.7*$G$8)),0)</f>
        <v>0</v>
      </c>
      <c r="Y94" s="631">
        <f>+P94+H94+X94</f>
        <v>0</v>
      </c>
      <c r="Z94" s="632"/>
      <c r="AA94" s="632">
        <f t="shared" si="17"/>
        <v>0</v>
      </c>
      <c r="AB94" s="205"/>
    </row>
    <row r="95" spans="1:30" s="494" customFormat="1" ht="51" customHeight="1">
      <c r="A95" s="1428" t="s">
        <v>304</v>
      </c>
      <c r="B95" s="1429"/>
      <c r="C95" s="1429"/>
      <c r="D95" s="1429"/>
      <c r="E95" s="1429"/>
      <c r="F95" s="1430"/>
      <c r="G95" s="637">
        <f t="shared" ref="G95:N95" si="18">SUM(G13:G94)</f>
        <v>0</v>
      </c>
      <c r="H95" s="488">
        <f t="shared" si="18"/>
        <v>0</v>
      </c>
      <c r="I95" s="638">
        <f t="shared" si="18"/>
        <v>198539</v>
      </c>
      <c r="J95" s="638">
        <f t="shared" si="18"/>
        <v>80035.816999999894</v>
      </c>
      <c r="K95" s="638">
        <f t="shared" si="18"/>
        <v>234</v>
      </c>
      <c r="L95" s="638">
        <f t="shared" si="18"/>
        <v>94.97</v>
      </c>
      <c r="M95" s="638">
        <f>SUM(M13:M92)</f>
        <v>7812.2669999999989</v>
      </c>
      <c r="N95" s="638">
        <f t="shared" si="18"/>
        <v>87943.05399999996</v>
      </c>
      <c r="O95" s="488"/>
      <c r="P95" s="639">
        <f>SUM(P13:P94)</f>
        <v>313860647.00357032</v>
      </c>
      <c r="Q95" s="638">
        <f t="shared" ref="Q95:U95" si="19">SUM(Q13:Q94)</f>
        <v>2027</v>
      </c>
      <c r="R95" s="638">
        <f>SUM(R13:R94)</f>
        <v>265</v>
      </c>
      <c r="S95" s="638">
        <f t="shared" si="19"/>
        <v>43</v>
      </c>
      <c r="T95" s="638">
        <f t="shared" si="19"/>
        <v>43</v>
      </c>
      <c r="U95" s="638">
        <f t="shared" si="19"/>
        <v>86</v>
      </c>
      <c r="V95" s="638">
        <f t="shared" ref="V95:AA95" si="20">SUM(V13:V94)</f>
        <v>2378</v>
      </c>
      <c r="W95" s="638">
        <f t="shared" si="20"/>
        <v>186</v>
      </c>
      <c r="X95" s="639">
        <f t="shared" si="20"/>
        <v>143069211</v>
      </c>
      <c r="Y95" s="1220">
        <f t="shared" si="20"/>
        <v>456929858.0035705</v>
      </c>
      <c r="Z95" s="488">
        <f t="shared" si="20"/>
        <v>4075000</v>
      </c>
      <c r="AA95" s="639">
        <f t="shared" si="20"/>
        <v>452854858.0035705</v>
      </c>
      <c r="AC95" s="494">
        <f>+X95/25000</f>
        <v>5722.7684399999998</v>
      </c>
      <c r="AD95" s="494">
        <v>6399.5969599999999</v>
      </c>
    </row>
    <row r="96" spans="1:30" s="129" customFormat="1" ht="51" customHeight="1">
      <c r="A96" s="1431" t="s">
        <v>599</v>
      </c>
      <c r="B96" s="1431"/>
      <c r="C96" s="1431"/>
      <c r="D96" s="1431"/>
      <c r="E96" s="1431"/>
      <c r="F96" s="1431"/>
      <c r="G96" s="1431"/>
      <c r="H96" s="1431"/>
      <c r="I96" s="1431"/>
      <c r="J96" s="1431"/>
      <c r="K96" s="1432"/>
      <c r="L96" s="1432"/>
      <c r="M96" s="1432"/>
      <c r="N96" s="1432"/>
      <c r="O96" s="1431"/>
      <c r="P96" s="1431"/>
      <c r="Q96" s="1431"/>
      <c r="R96" s="1431"/>
      <c r="S96" s="1431"/>
      <c r="T96" s="1432"/>
      <c r="U96" s="1431"/>
      <c r="V96" s="1431"/>
      <c r="W96" s="1432"/>
      <c r="X96" s="1431"/>
      <c r="Y96" s="1431"/>
      <c r="Z96" s="1431"/>
      <c r="AA96" s="1431"/>
      <c r="AC96" s="129">
        <v>5619.2396799999997</v>
      </c>
    </row>
    <row r="97" spans="1:29" s="79" customFormat="1" ht="24" customHeight="1">
      <c r="A97" s="590"/>
      <c r="B97" s="590"/>
      <c r="C97" s="590"/>
      <c r="D97" s="84"/>
      <c r="E97" s="84"/>
      <c r="F97" s="590"/>
      <c r="G97" s="73"/>
      <c r="H97" s="155"/>
      <c r="I97" s="155"/>
      <c r="J97" s="193"/>
      <c r="K97" s="193"/>
      <c r="L97" s="193"/>
      <c r="M97" s="193"/>
      <c r="N97" s="193"/>
      <c r="O97" s="194"/>
      <c r="P97" s="155"/>
      <c r="Q97" s="213"/>
      <c r="R97" s="213"/>
      <c r="S97" s="213"/>
      <c r="T97" s="834"/>
      <c r="U97" s="213"/>
      <c r="V97" s="1433" t="s">
        <v>559</v>
      </c>
      <c r="W97" s="1433"/>
      <c r="X97" s="1433"/>
      <c r="Y97" s="1433"/>
      <c r="Z97" s="1433"/>
      <c r="AA97" s="1433"/>
      <c r="AC97" s="79">
        <f>+H95/25000</f>
        <v>0</v>
      </c>
    </row>
    <row r="98" spans="1:29" s="867" customFormat="1" ht="22.5" customHeight="1">
      <c r="A98" s="1389" t="s">
        <v>35</v>
      </c>
      <c r="B98" s="1389"/>
      <c r="C98" s="1389"/>
      <c r="D98" s="1389"/>
      <c r="E98" s="1389"/>
      <c r="F98" s="1389"/>
      <c r="G98" s="1389" t="s">
        <v>57</v>
      </c>
      <c r="H98" s="1389"/>
      <c r="I98" s="1389" t="s">
        <v>36</v>
      </c>
      <c r="J98" s="1389"/>
      <c r="K98" s="1389"/>
      <c r="L98" s="1389"/>
      <c r="M98" s="1389"/>
      <c r="N98" s="1389"/>
      <c r="O98" s="1389"/>
      <c r="P98" s="1389"/>
      <c r="Q98" s="1389" t="s">
        <v>145</v>
      </c>
      <c r="R98" s="1389"/>
      <c r="S98" s="1389"/>
      <c r="T98" s="1389"/>
      <c r="U98" s="856"/>
      <c r="V98" s="1389" t="s">
        <v>108</v>
      </c>
      <c r="W98" s="1389"/>
      <c r="X98" s="1389"/>
      <c r="Y98" s="1389" t="s">
        <v>33</v>
      </c>
      <c r="Z98" s="1389"/>
      <c r="AA98" s="1389"/>
      <c r="AC98" s="867">
        <v>5213.41</v>
      </c>
    </row>
    <row r="99" spans="1:29" s="79" customFormat="1" ht="16.5">
      <c r="A99" s="590"/>
      <c r="F99" s="75"/>
      <c r="G99" s="185"/>
      <c r="H99" s="186"/>
      <c r="I99" s="187"/>
      <c r="J99" s="195"/>
      <c r="K99" s="195"/>
      <c r="L99" s="195"/>
      <c r="M99" s="195"/>
      <c r="N99" s="195"/>
      <c r="O99" s="211"/>
      <c r="P99" s="86"/>
      <c r="Q99" s="211"/>
      <c r="R99" s="590"/>
      <c r="S99" s="590"/>
      <c r="T99" s="590"/>
      <c r="U99" s="590"/>
      <c r="V99" s="202"/>
      <c r="W99" s="202"/>
      <c r="X99" s="200"/>
      <c r="Y99" s="85"/>
      <c r="Z99" s="85"/>
      <c r="AA99" s="196"/>
    </row>
    <row r="100" spans="1:29" s="79" customFormat="1" ht="16.5">
      <c r="A100" s="590"/>
      <c r="F100" s="75"/>
      <c r="G100" s="185"/>
      <c r="H100" s="186"/>
      <c r="I100" s="187"/>
      <c r="J100" s="195"/>
      <c r="K100" s="195"/>
      <c r="L100" s="195"/>
      <c r="M100" s="195"/>
      <c r="N100" s="195"/>
      <c r="O100" s="211"/>
      <c r="P100" s="1395"/>
      <c r="Q100" s="1395"/>
      <c r="R100" s="1395"/>
      <c r="S100" s="1395"/>
      <c r="T100" s="1395"/>
      <c r="U100" s="1395"/>
      <c r="V100" s="1395"/>
      <c r="W100" s="588"/>
      <c r="X100" s="201"/>
      <c r="Y100" s="85"/>
      <c r="Z100" s="85"/>
    </row>
    <row r="101" spans="1:29" s="79" customFormat="1" ht="39.75" customHeight="1">
      <c r="A101" s="590"/>
      <c r="F101" s="855"/>
      <c r="G101" s="73"/>
      <c r="H101" s="186"/>
      <c r="I101" s="1396"/>
      <c r="J101" s="1396"/>
      <c r="K101" s="709"/>
      <c r="L101" s="1086"/>
      <c r="M101" s="1175"/>
      <c r="N101" s="709"/>
      <c r="O101" s="1395"/>
      <c r="P101" s="1395"/>
      <c r="Q101" s="590"/>
      <c r="R101" s="214"/>
      <c r="S101" s="214"/>
      <c r="T101" s="214"/>
      <c r="U101" s="214"/>
      <c r="V101" s="214"/>
      <c r="W101" s="214"/>
      <c r="X101" s="196"/>
      <c r="Y101" s="1397"/>
      <c r="Z101" s="1397"/>
      <c r="AA101" s="1397"/>
    </row>
    <row r="102" spans="1:29" s="48" customFormat="1" ht="17.25" customHeight="1">
      <c r="A102" s="66"/>
      <c r="B102" s="1427"/>
      <c r="C102" s="1427"/>
      <c r="D102" s="1427"/>
      <c r="E102" s="1427"/>
      <c r="F102" s="1427"/>
      <c r="G102" s="1427"/>
      <c r="H102" s="78" t="s">
        <v>158</v>
      </c>
      <c r="I102" s="79"/>
      <c r="J102" s="1393"/>
      <c r="K102" s="1393"/>
      <c r="L102" s="1393"/>
      <c r="M102" s="1393"/>
      <c r="N102" s="1393"/>
      <c r="O102" s="1393"/>
      <c r="P102" s="1393"/>
      <c r="Q102" s="219"/>
      <c r="R102" s="219"/>
      <c r="S102" s="219"/>
      <c r="T102" s="219"/>
      <c r="U102" s="219"/>
      <c r="V102" s="206"/>
      <c r="Y102" s="206"/>
      <c r="Z102" s="206"/>
      <c r="AA102" s="206"/>
    </row>
    <row r="103" spans="1:29" s="48" customFormat="1" ht="13.15" customHeight="1">
      <c r="A103" s="66"/>
      <c r="B103" s="79"/>
      <c r="C103" s="79"/>
      <c r="D103" s="188"/>
      <c r="E103" s="188"/>
      <c r="F103" s="854"/>
      <c r="G103" s="189"/>
      <c r="H103" s="1394"/>
      <c r="I103" s="1394"/>
      <c r="J103" s="1394"/>
      <c r="K103" s="708"/>
      <c r="L103" s="1085"/>
      <c r="M103" s="1174"/>
      <c r="N103" s="708"/>
      <c r="O103" s="588"/>
      <c r="P103" s="188"/>
      <c r="Q103" s="211"/>
      <c r="R103" s="590"/>
      <c r="S103" s="590"/>
      <c r="T103" s="590"/>
      <c r="U103" s="590"/>
      <c r="V103" s="202"/>
      <c r="W103" s="202"/>
      <c r="X103" s="200"/>
      <c r="Y103" s="85"/>
      <c r="Z103" s="85"/>
      <c r="AA103" s="590"/>
    </row>
    <row r="104" spans="1:29" s="48" customFormat="1" ht="16.5">
      <c r="A104" s="66"/>
      <c r="B104" s="79"/>
      <c r="C104" s="79"/>
      <c r="D104" s="190"/>
      <c r="E104" s="190"/>
      <c r="F104" s="590"/>
      <c r="G104" s="185"/>
      <c r="H104" s="1394"/>
      <c r="I104" s="1394"/>
      <c r="J104" s="1394"/>
      <c r="K104" s="708"/>
      <c r="L104" s="1085"/>
      <c r="M104" s="1174"/>
      <c r="N104" s="708"/>
      <c r="O104" s="212"/>
      <c r="P104" s="197"/>
      <c r="Q104" s="211"/>
      <c r="R104" s="211"/>
      <c r="S104" s="211"/>
      <c r="T104" s="211"/>
      <c r="U104" s="211"/>
      <c r="V104" s="202"/>
      <c r="W104" s="202"/>
      <c r="X104" s="200"/>
      <c r="Y104" s="85"/>
      <c r="Z104" s="85"/>
      <c r="AA104" s="195"/>
    </row>
    <row r="105" spans="1:29" s="48" customFormat="1" ht="16.5">
      <c r="A105" s="66"/>
      <c r="B105" s="79"/>
      <c r="C105" s="79"/>
      <c r="D105" s="79"/>
      <c r="E105" s="79"/>
      <c r="F105" s="590"/>
      <c r="G105" s="75"/>
      <c r="H105" s="1394"/>
      <c r="I105" s="1394"/>
      <c r="J105" s="1394"/>
      <c r="K105" s="708"/>
      <c r="L105" s="1085"/>
      <c r="M105" s="1174"/>
      <c r="N105" s="708"/>
      <c r="O105" s="211"/>
      <c r="P105" s="198"/>
      <c r="Q105" s="215"/>
      <c r="R105" s="215"/>
      <c r="S105" s="215"/>
      <c r="T105" s="215"/>
      <c r="U105" s="215"/>
      <c r="V105" s="215"/>
      <c r="W105" s="215"/>
      <c r="X105" s="200"/>
      <c r="Y105" s="85"/>
      <c r="Z105" s="85"/>
      <c r="AA105" s="79"/>
    </row>
    <row r="106" spans="1:29" s="48" customFormat="1" ht="16.5">
      <c r="A106" s="66"/>
      <c r="B106" s="79"/>
      <c r="C106" s="79"/>
      <c r="D106" s="85"/>
      <c r="E106" s="85"/>
      <c r="F106" s="590"/>
      <c r="G106" s="75"/>
      <c r="H106" s="1394"/>
      <c r="I106" s="1394"/>
      <c r="J106" s="1394"/>
      <c r="K106" s="708"/>
      <c r="L106" s="1085"/>
      <c r="M106" s="1174"/>
      <c r="N106" s="708"/>
      <c r="O106" s="211"/>
      <c r="P106" s="198"/>
      <c r="Q106" s="215"/>
      <c r="R106" s="215"/>
      <c r="S106" s="215"/>
      <c r="T106" s="215"/>
      <c r="U106" s="215"/>
      <c r="V106" s="215"/>
      <c r="W106" s="215"/>
      <c r="X106" s="202"/>
      <c r="Y106" s="85"/>
      <c r="Z106" s="85"/>
      <c r="AA106" s="79"/>
    </row>
    <row r="107" spans="1:29" s="494" customFormat="1" ht="26.25" customHeight="1">
      <c r="A107" s="852"/>
      <c r="F107" s="852"/>
      <c r="G107" s="876"/>
      <c r="H107" s="877"/>
      <c r="I107" s="1388" t="s">
        <v>524</v>
      </c>
      <c r="J107" s="1388"/>
      <c r="K107" s="1388"/>
      <c r="L107" s="1388"/>
      <c r="M107" s="1388"/>
      <c r="N107" s="1388"/>
      <c r="O107" s="1388"/>
      <c r="P107" s="1388"/>
      <c r="Q107" s="1390" t="s">
        <v>110</v>
      </c>
      <c r="R107" s="1390"/>
      <c r="S107" s="1390"/>
      <c r="T107" s="1390"/>
      <c r="U107" s="878"/>
      <c r="V107" s="1391" t="s">
        <v>290</v>
      </c>
      <c r="W107" s="1391"/>
      <c r="X107" s="1391"/>
      <c r="Y107" s="1392" t="s">
        <v>314</v>
      </c>
      <c r="Z107" s="1392"/>
      <c r="AA107" s="1392"/>
    </row>
    <row r="108" spans="1:29" s="48" customFormat="1" ht="16.5">
      <c r="A108" s="66"/>
      <c r="B108" s="79"/>
      <c r="C108" s="79"/>
      <c r="D108" s="79"/>
      <c r="E108" s="79"/>
      <c r="F108" s="590"/>
      <c r="G108" s="75"/>
      <c r="H108" s="866"/>
      <c r="I108" s="866"/>
      <c r="J108" s="866"/>
      <c r="K108" s="708"/>
      <c r="L108" s="1085"/>
      <c r="M108" s="1174"/>
      <c r="N108" s="708"/>
      <c r="O108" s="211"/>
      <c r="P108" s="86"/>
      <c r="Q108" s="211"/>
      <c r="R108" s="589"/>
      <c r="S108" s="589"/>
      <c r="T108" s="842"/>
      <c r="U108" s="589"/>
      <c r="V108" s="202"/>
      <c r="W108" s="202"/>
      <c r="X108" s="200"/>
      <c r="Y108" s="85"/>
      <c r="Z108" s="85"/>
      <c r="AA108" s="79"/>
    </row>
    <row r="109" spans="1:29" s="48" customFormat="1" ht="16.5">
      <c r="A109" s="66"/>
      <c r="B109" s="79"/>
      <c r="C109" s="79"/>
      <c r="D109" s="79"/>
      <c r="E109" s="79"/>
      <c r="F109" s="590"/>
      <c r="G109" s="75"/>
      <c r="H109" s="186"/>
      <c r="I109" s="73"/>
      <c r="J109" s="193"/>
      <c r="K109" s="193"/>
      <c r="L109" s="193"/>
      <c r="M109" s="193"/>
      <c r="N109" s="193"/>
      <c r="O109" s="211"/>
      <c r="P109" s="86"/>
      <c r="Q109" s="211"/>
      <c r="R109" s="590"/>
      <c r="S109" s="590"/>
      <c r="T109" s="590"/>
      <c r="U109" s="590"/>
      <c r="V109" s="202"/>
      <c r="W109" s="202"/>
      <c r="X109" s="200"/>
      <c r="Y109" s="195"/>
      <c r="Z109" s="85"/>
      <c r="AA109" s="79"/>
    </row>
    <row r="110" spans="1:29" s="48" customFormat="1" ht="16.5">
      <c r="A110" s="66"/>
      <c r="B110" s="79"/>
      <c r="C110" s="79"/>
      <c r="D110" s="87"/>
      <c r="E110" s="87"/>
      <c r="F110" s="590"/>
      <c r="G110" s="75"/>
      <c r="H110" s="186"/>
      <c r="I110" s="187"/>
      <c r="J110" s="195"/>
      <c r="K110" s="195"/>
      <c r="L110" s="195"/>
      <c r="M110" s="195"/>
      <c r="N110" s="195"/>
      <c r="O110" s="211"/>
      <c r="P110" s="86"/>
      <c r="Q110" s="211"/>
      <c r="R110" s="590"/>
      <c r="S110" s="590"/>
      <c r="T110" s="590"/>
      <c r="U110" s="590"/>
      <c r="V110" s="202"/>
      <c r="W110" s="202"/>
      <c r="X110" s="200"/>
      <c r="Y110" s="85"/>
      <c r="Z110" s="85"/>
      <c r="AA110" s="79"/>
    </row>
    <row r="111" spans="1:29" s="48" customFormat="1" ht="16.5">
      <c r="A111" s="66"/>
      <c r="B111" s="79"/>
      <c r="C111" s="79"/>
      <c r="D111" s="79"/>
      <c r="E111" s="79"/>
      <c r="F111" s="590"/>
      <c r="G111" s="73"/>
      <c r="H111" s="186"/>
      <c r="I111" s="187"/>
      <c r="J111" s="195"/>
      <c r="K111" s="195"/>
      <c r="L111" s="195"/>
      <c r="M111" s="195"/>
      <c r="N111" s="195"/>
      <c r="O111" s="211"/>
      <c r="P111" s="86"/>
      <c r="Q111" s="211"/>
      <c r="R111" s="75"/>
      <c r="S111" s="75"/>
      <c r="T111" s="75"/>
      <c r="U111" s="75"/>
      <c r="V111" s="216"/>
      <c r="W111" s="216"/>
      <c r="X111" s="200"/>
      <c r="Y111" s="85"/>
      <c r="Z111" s="85"/>
      <c r="AA111" s="79"/>
    </row>
    <row r="112" spans="1:29" s="48" customFormat="1" ht="16.5">
      <c r="A112" s="66"/>
      <c r="B112" s="79"/>
      <c r="C112" s="79"/>
      <c r="D112" s="79"/>
      <c r="E112" s="79"/>
      <c r="F112" s="590"/>
      <c r="G112" s="73"/>
      <c r="H112" s="186"/>
      <c r="I112" s="187"/>
      <c r="J112" s="195"/>
      <c r="K112" s="195"/>
      <c r="L112" s="195"/>
      <c r="M112" s="195"/>
      <c r="N112" s="195"/>
      <c r="O112" s="211"/>
      <c r="P112" s="86"/>
      <c r="Q112" s="211"/>
      <c r="R112" s="587"/>
      <c r="S112" s="587"/>
      <c r="T112" s="841"/>
      <c r="U112" s="587"/>
      <c r="V112" s="202"/>
      <c r="W112" s="202"/>
      <c r="X112" s="200"/>
      <c r="Y112" s="85"/>
      <c r="Z112" s="85"/>
      <c r="AA112" s="79"/>
    </row>
    <row r="113" spans="1:27" s="48" customFormat="1" ht="16.5">
      <c r="A113" s="66"/>
      <c r="B113" s="79"/>
      <c r="C113" s="79"/>
      <c r="D113" s="79"/>
      <c r="E113" s="79"/>
      <c r="F113" s="590"/>
      <c r="G113" s="73"/>
      <c r="H113" s="186"/>
      <c r="I113" s="187"/>
      <c r="J113" s="195"/>
      <c r="K113" s="195"/>
      <c r="L113" s="195"/>
      <c r="M113" s="195"/>
      <c r="N113" s="195"/>
      <c r="O113" s="211"/>
      <c r="P113" s="86"/>
      <c r="Q113" s="211"/>
      <c r="R113" s="590"/>
      <c r="S113" s="590"/>
      <c r="T113" s="590"/>
      <c r="U113" s="590"/>
      <c r="V113" s="202"/>
      <c r="W113" s="202"/>
      <c r="X113" s="200"/>
      <c r="Y113" s="85"/>
      <c r="Z113" s="85"/>
      <c r="AA113" s="79"/>
    </row>
    <row r="114" spans="1:27" s="48" customFormat="1" ht="16.5">
      <c r="A114" s="66"/>
      <c r="B114" s="79"/>
      <c r="C114" s="79"/>
      <c r="D114" s="79"/>
      <c r="E114" s="79"/>
      <c r="F114" s="590"/>
      <c r="G114" s="73"/>
      <c r="H114" s="186"/>
      <c r="I114" s="187"/>
      <c r="J114" s="195"/>
      <c r="K114" s="195"/>
      <c r="L114" s="195"/>
      <c r="M114" s="195"/>
      <c r="N114" s="195"/>
      <c r="O114" s="211"/>
      <c r="P114" s="86"/>
      <c r="Q114" s="211"/>
      <c r="R114" s="590"/>
      <c r="S114" s="590"/>
      <c r="T114" s="590"/>
      <c r="U114" s="590"/>
      <c r="V114" s="202"/>
      <c r="W114" s="202"/>
      <c r="X114" s="200"/>
      <c r="Y114" s="85"/>
      <c r="Z114" s="85"/>
      <c r="AA114" s="79"/>
    </row>
    <row r="115" spans="1:27" s="48" customFormat="1" ht="16.5">
      <c r="A115" s="66"/>
      <c r="B115" s="79"/>
      <c r="C115" s="79"/>
      <c r="D115" s="79"/>
      <c r="E115" s="79"/>
      <c r="F115" s="590"/>
      <c r="G115" s="73"/>
      <c r="H115" s="186"/>
      <c r="I115" s="187"/>
      <c r="J115" s="195"/>
      <c r="K115" s="195"/>
      <c r="L115" s="195"/>
      <c r="M115" s="195"/>
      <c r="N115" s="195"/>
      <c r="O115" s="211"/>
      <c r="P115" s="86"/>
      <c r="Q115" s="211"/>
      <c r="R115" s="590"/>
      <c r="S115" s="590"/>
      <c r="T115" s="590"/>
      <c r="U115" s="590"/>
      <c r="V115" s="202"/>
      <c r="W115" s="202"/>
      <c r="X115" s="200"/>
      <c r="Y115" s="85"/>
      <c r="Z115" s="85"/>
      <c r="AA115" s="79"/>
    </row>
    <row r="116" spans="1:27" s="48" customFormat="1" ht="16.5">
      <c r="A116" s="66"/>
      <c r="B116" s="79"/>
      <c r="C116" s="79"/>
      <c r="D116" s="79"/>
      <c r="E116" s="79"/>
      <c r="F116" s="590"/>
      <c r="G116" s="73"/>
      <c r="H116" s="186"/>
      <c r="I116" s="187"/>
      <c r="J116" s="195"/>
      <c r="K116" s="195"/>
      <c r="L116" s="195"/>
      <c r="M116" s="195"/>
      <c r="N116" s="195"/>
      <c r="O116" s="211"/>
      <c r="P116" s="86"/>
      <c r="Q116" s="211"/>
      <c r="R116" s="590"/>
      <c r="S116" s="590"/>
      <c r="T116" s="590"/>
      <c r="U116" s="590"/>
      <c r="V116" s="202"/>
      <c r="W116" s="202"/>
      <c r="X116" s="200"/>
      <c r="Y116" s="85"/>
      <c r="Z116" s="85"/>
      <c r="AA116" s="79"/>
    </row>
    <row r="117" spans="1:27" s="48" customFormat="1" ht="16.5">
      <c r="A117" s="66"/>
      <c r="B117" s="79"/>
      <c r="C117" s="79"/>
      <c r="D117" s="79"/>
      <c r="E117" s="79"/>
      <c r="F117" s="590"/>
      <c r="G117" s="73"/>
      <c r="H117" s="186"/>
      <c r="I117" s="187"/>
      <c r="J117" s="195"/>
      <c r="K117" s="195"/>
      <c r="L117" s="195"/>
      <c r="M117" s="195"/>
      <c r="N117" s="195"/>
      <c r="O117" s="211"/>
      <c r="P117" s="86"/>
      <c r="Q117" s="211"/>
      <c r="R117" s="590"/>
      <c r="S117" s="590"/>
      <c r="T117" s="590"/>
      <c r="U117" s="590"/>
      <c r="V117" s="202"/>
      <c r="W117" s="202"/>
      <c r="X117" s="200"/>
      <c r="Y117" s="85"/>
      <c r="Z117" s="85"/>
      <c r="AA117" s="79"/>
    </row>
    <row r="118" spans="1:27" s="48" customFormat="1" ht="16.5">
      <c r="A118" s="66"/>
      <c r="B118" s="79"/>
      <c r="C118" s="79"/>
      <c r="D118" s="79"/>
      <c r="E118" s="79"/>
      <c r="F118" s="590"/>
      <c r="G118" s="73"/>
      <c r="H118" s="186"/>
      <c r="I118" s="187"/>
      <c r="J118" s="195"/>
      <c r="K118" s="195"/>
      <c r="L118" s="195"/>
      <c r="M118" s="195"/>
      <c r="N118" s="195"/>
      <c r="O118" s="211"/>
      <c r="P118" s="86"/>
      <c r="Q118" s="211"/>
      <c r="R118" s="590"/>
      <c r="S118" s="590"/>
      <c r="T118" s="590"/>
      <c r="U118" s="590"/>
      <c r="V118" s="202"/>
      <c r="W118" s="202"/>
      <c r="X118" s="200"/>
      <c r="Y118" s="85"/>
      <c r="Z118" s="85"/>
      <c r="AA118" s="79"/>
    </row>
    <row r="119" spans="1:27" s="48" customFormat="1" ht="16.5">
      <c r="A119" s="66"/>
      <c r="B119" s="79"/>
      <c r="C119" s="79"/>
      <c r="D119" s="79"/>
      <c r="E119" s="79"/>
      <c r="F119" s="590"/>
      <c r="G119" s="73"/>
      <c r="H119" s="186"/>
      <c r="I119" s="187"/>
      <c r="J119" s="195"/>
      <c r="K119" s="195"/>
      <c r="L119" s="195"/>
      <c r="M119" s="195"/>
      <c r="N119" s="195"/>
      <c r="O119" s="211"/>
      <c r="P119" s="86"/>
      <c r="Q119" s="211"/>
      <c r="R119" s="590"/>
      <c r="S119" s="590"/>
      <c r="T119" s="590"/>
      <c r="U119" s="590"/>
      <c r="V119" s="202"/>
      <c r="W119" s="202"/>
      <c r="X119" s="200"/>
      <c r="Y119" s="85"/>
      <c r="Z119" s="85"/>
      <c r="AA119" s="79"/>
    </row>
    <row r="120" spans="1:27" s="48" customFormat="1" ht="16.5">
      <c r="A120" s="66"/>
      <c r="B120" s="79"/>
      <c r="C120" s="79"/>
      <c r="D120" s="79"/>
      <c r="E120" s="79"/>
      <c r="F120" s="590"/>
      <c r="G120" s="73"/>
      <c r="H120" s="186"/>
      <c r="I120" s="187"/>
      <c r="J120" s="195"/>
      <c r="K120" s="195"/>
      <c r="L120" s="195"/>
      <c r="M120" s="195"/>
      <c r="N120" s="195"/>
      <c r="O120" s="211"/>
      <c r="P120" s="86"/>
      <c r="Q120" s="211"/>
      <c r="R120" s="590"/>
      <c r="S120" s="590"/>
      <c r="T120" s="590"/>
      <c r="U120" s="590"/>
      <c r="V120" s="202"/>
      <c r="W120" s="202"/>
      <c r="X120" s="200"/>
      <c r="Y120" s="85"/>
      <c r="Z120" s="85"/>
      <c r="AA120" s="79"/>
    </row>
    <row r="121" spans="1:27" s="48" customFormat="1" ht="16.5">
      <c r="A121" s="66"/>
      <c r="B121" s="79"/>
      <c r="C121" s="79"/>
      <c r="D121" s="79"/>
      <c r="E121" s="79"/>
      <c r="F121" s="590"/>
      <c r="G121" s="73"/>
      <c r="H121" s="186"/>
      <c r="I121" s="187"/>
      <c r="J121" s="195"/>
      <c r="K121" s="195"/>
      <c r="L121" s="195"/>
      <c r="M121" s="195"/>
      <c r="N121" s="195"/>
      <c r="O121" s="211"/>
      <c r="P121" s="86"/>
      <c r="Q121" s="211"/>
      <c r="R121" s="590"/>
      <c r="S121" s="590"/>
      <c r="T121" s="590"/>
      <c r="U121" s="590"/>
      <c r="V121" s="202"/>
      <c r="W121" s="202"/>
      <c r="X121" s="200"/>
      <c r="Y121" s="85"/>
      <c r="Z121" s="85"/>
      <c r="AA121" s="79"/>
    </row>
    <row r="122" spans="1:27" s="48" customFormat="1" ht="16.5">
      <c r="A122" s="66"/>
      <c r="B122" s="79"/>
      <c r="C122" s="79"/>
      <c r="D122" s="79"/>
      <c r="E122" s="79"/>
      <c r="F122" s="590"/>
      <c r="G122" s="73"/>
      <c r="H122" s="186"/>
      <c r="I122" s="187"/>
      <c r="J122" s="195"/>
      <c r="K122" s="195"/>
      <c r="L122" s="195"/>
      <c r="M122" s="195"/>
      <c r="N122" s="195"/>
      <c r="O122" s="211"/>
      <c r="P122" s="86"/>
      <c r="Q122" s="211"/>
      <c r="R122" s="590"/>
      <c r="S122" s="590"/>
      <c r="T122" s="590"/>
      <c r="U122" s="590"/>
      <c r="V122" s="202"/>
      <c r="W122" s="202"/>
      <c r="X122" s="200"/>
      <c r="Y122" s="85"/>
      <c r="Z122" s="85"/>
      <c r="AA122" s="79"/>
    </row>
    <row r="123" spans="1:27" s="48" customFormat="1" ht="16.5">
      <c r="A123" s="66"/>
      <c r="B123" s="79"/>
      <c r="C123" s="79"/>
      <c r="D123" s="79"/>
      <c r="E123" s="79"/>
      <c r="F123" s="590"/>
      <c r="G123" s="73"/>
      <c r="H123" s="186"/>
      <c r="I123" s="187"/>
      <c r="J123" s="195"/>
      <c r="K123" s="195"/>
      <c r="L123" s="195"/>
      <c r="M123" s="195"/>
      <c r="N123" s="195"/>
      <c r="O123" s="211"/>
      <c r="P123" s="86"/>
      <c r="Q123" s="211"/>
      <c r="R123" s="590"/>
      <c r="S123" s="590"/>
      <c r="T123" s="590"/>
      <c r="U123" s="590"/>
      <c r="V123" s="202"/>
      <c r="W123" s="202"/>
      <c r="X123" s="200"/>
      <c r="Y123" s="85"/>
      <c r="Z123" s="85"/>
      <c r="AA123" s="79"/>
    </row>
    <row r="124" spans="1:27" s="48" customFormat="1" ht="16.5">
      <c r="A124" s="66"/>
      <c r="B124" s="79"/>
      <c r="C124" s="79"/>
      <c r="D124" s="79"/>
      <c r="E124" s="79"/>
      <c r="F124" s="590"/>
      <c r="G124" s="73"/>
      <c r="H124" s="186"/>
      <c r="I124" s="187"/>
      <c r="J124" s="195"/>
      <c r="K124" s="195"/>
      <c r="L124" s="195"/>
      <c r="M124" s="195"/>
      <c r="N124" s="195"/>
      <c r="O124" s="211"/>
      <c r="P124" s="86"/>
      <c r="Q124" s="211"/>
      <c r="R124" s="590"/>
      <c r="S124" s="590"/>
      <c r="T124" s="590"/>
      <c r="U124" s="590"/>
      <c r="V124" s="202"/>
      <c r="W124" s="202"/>
      <c r="X124" s="200"/>
      <c r="Y124" s="85"/>
      <c r="Z124" s="85"/>
      <c r="AA124" s="79"/>
    </row>
    <row r="125" spans="1:27" s="48" customFormat="1" ht="16.5">
      <c r="A125" s="66"/>
      <c r="B125" s="79"/>
      <c r="C125" s="79"/>
      <c r="D125" s="79"/>
      <c r="E125" s="79"/>
      <c r="F125" s="590"/>
      <c r="G125" s="73"/>
      <c r="H125" s="186"/>
      <c r="I125" s="187"/>
      <c r="J125" s="195"/>
      <c r="K125" s="195"/>
      <c r="L125" s="195"/>
      <c r="M125" s="195"/>
      <c r="N125" s="195"/>
      <c r="O125" s="211"/>
      <c r="P125" s="86"/>
      <c r="Q125" s="211"/>
      <c r="R125" s="590"/>
      <c r="S125" s="590"/>
      <c r="T125" s="590"/>
      <c r="U125" s="590"/>
      <c r="V125" s="202"/>
      <c r="W125" s="202"/>
      <c r="X125" s="200"/>
      <c r="Y125" s="85"/>
      <c r="Z125" s="85"/>
      <c r="AA125" s="79"/>
    </row>
    <row r="126" spans="1:27" s="48" customFormat="1">
      <c r="A126" s="66"/>
      <c r="F126" s="643"/>
      <c r="G126" s="191"/>
      <c r="H126" s="156"/>
      <c r="I126" s="192"/>
      <c r="J126" s="199"/>
      <c r="K126" s="199"/>
      <c r="L126" s="199"/>
      <c r="M126" s="199"/>
      <c r="N126" s="199"/>
      <c r="O126" s="582"/>
      <c r="P126" s="70"/>
      <c r="Q126" s="582"/>
      <c r="R126" s="583"/>
      <c r="S126" s="583"/>
      <c r="T126" s="643"/>
      <c r="U126" s="583"/>
      <c r="V126" s="207"/>
      <c r="W126" s="207"/>
      <c r="X126" s="203"/>
      <c r="Y126" s="69"/>
      <c r="Z126" s="69"/>
    </row>
    <row r="127" spans="1:27" s="48" customFormat="1">
      <c r="A127" s="66"/>
      <c r="F127" s="643"/>
      <c r="G127" s="191"/>
      <c r="H127" s="156"/>
      <c r="I127" s="192"/>
      <c r="J127" s="199"/>
      <c r="K127" s="199"/>
      <c r="L127" s="199"/>
      <c r="M127" s="199"/>
      <c r="N127" s="199"/>
      <c r="O127" s="582"/>
      <c r="P127" s="70"/>
      <c r="Q127" s="582"/>
      <c r="R127" s="583"/>
      <c r="S127" s="583"/>
      <c r="T127" s="643"/>
      <c r="U127" s="583"/>
      <c r="V127" s="207"/>
      <c r="W127" s="207"/>
      <c r="X127" s="203"/>
      <c r="Y127" s="69"/>
      <c r="Z127" s="69"/>
    </row>
    <row r="128" spans="1:27" s="48" customFormat="1">
      <c r="A128" s="66"/>
      <c r="F128" s="643"/>
      <c r="G128" s="191"/>
      <c r="H128" s="156"/>
      <c r="I128" s="192"/>
      <c r="J128" s="199"/>
      <c r="K128" s="199"/>
      <c r="L128" s="199"/>
      <c r="M128" s="199"/>
      <c r="N128" s="199"/>
      <c r="O128" s="582"/>
      <c r="P128" s="70"/>
      <c r="Q128" s="582"/>
      <c r="R128" s="583"/>
      <c r="S128" s="583"/>
      <c r="T128" s="643"/>
      <c r="U128" s="583"/>
      <c r="V128" s="207"/>
      <c r="W128" s="207"/>
      <c r="X128" s="203"/>
      <c r="Y128" s="69"/>
      <c r="Z128" s="69"/>
    </row>
    <row r="129" spans="1:26" s="48" customFormat="1">
      <c r="A129" s="66"/>
      <c r="F129" s="643"/>
      <c r="G129" s="191"/>
      <c r="H129" s="156"/>
      <c r="I129" s="192"/>
      <c r="J129" s="199"/>
      <c r="K129" s="199"/>
      <c r="L129" s="199"/>
      <c r="M129" s="199"/>
      <c r="N129" s="199"/>
      <c r="O129" s="582"/>
      <c r="P129" s="70"/>
      <c r="Q129" s="582"/>
      <c r="R129" s="583"/>
      <c r="S129" s="583"/>
      <c r="T129" s="643"/>
      <c r="U129" s="583"/>
      <c r="V129" s="207"/>
      <c r="W129" s="207"/>
      <c r="X129" s="203"/>
      <c r="Y129" s="69"/>
      <c r="Z129" s="69"/>
    </row>
    <row r="130" spans="1:26" s="48" customFormat="1">
      <c r="A130" s="66"/>
      <c r="F130" s="643"/>
      <c r="G130" s="191"/>
      <c r="H130" s="156"/>
      <c r="I130" s="192"/>
      <c r="J130" s="199"/>
      <c r="K130" s="199"/>
      <c r="L130" s="199"/>
      <c r="M130" s="199"/>
      <c r="N130" s="199"/>
      <c r="O130" s="582"/>
      <c r="P130" s="70"/>
      <c r="Q130" s="582"/>
      <c r="R130" s="583"/>
      <c r="S130" s="583"/>
      <c r="T130" s="643"/>
      <c r="U130" s="583"/>
      <c r="V130" s="207"/>
      <c r="W130" s="207"/>
      <c r="X130" s="203"/>
      <c r="Y130" s="69"/>
      <c r="Z130" s="69"/>
    </row>
    <row r="131" spans="1:26" s="48" customFormat="1">
      <c r="A131" s="66"/>
      <c r="F131" s="643"/>
      <c r="G131" s="191"/>
      <c r="H131" s="156"/>
      <c r="I131" s="192"/>
      <c r="J131" s="199"/>
      <c r="K131" s="199"/>
      <c r="L131" s="199"/>
      <c r="M131" s="199"/>
      <c r="N131" s="199"/>
      <c r="O131" s="582"/>
      <c r="P131" s="70"/>
      <c r="Q131" s="582"/>
      <c r="R131" s="583"/>
      <c r="S131" s="583"/>
      <c r="T131" s="643"/>
      <c r="U131" s="583"/>
      <c r="V131" s="207"/>
      <c r="W131" s="207"/>
      <c r="X131" s="203"/>
      <c r="Y131" s="69"/>
      <c r="Z131" s="69"/>
    </row>
    <row r="132" spans="1:26" s="48" customFormat="1">
      <c r="A132" s="66"/>
      <c r="F132" s="643"/>
      <c r="G132" s="191"/>
      <c r="H132" s="156"/>
      <c r="I132" s="192"/>
      <c r="J132" s="199"/>
      <c r="K132" s="199"/>
      <c r="L132" s="199"/>
      <c r="M132" s="199"/>
      <c r="N132" s="199"/>
      <c r="O132" s="582"/>
      <c r="P132" s="70"/>
      <c r="Q132" s="582"/>
      <c r="R132" s="583"/>
      <c r="S132" s="583"/>
      <c r="T132" s="643"/>
      <c r="U132" s="583"/>
      <c r="V132" s="207"/>
      <c r="W132" s="207"/>
      <c r="X132" s="203"/>
      <c r="Y132" s="69"/>
      <c r="Z132" s="69"/>
    </row>
    <row r="133" spans="1:26" s="48" customFormat="1">
      <c r="A133" s="66"/>
      <c r="F133" s="643"/>
      <c r="G133" s="191"/>
      <c r="H133" s="156"/>
      <c r="I133" s="192"/>
      <c r="J133" s="199"/>
      <c r="K133" s="199"/>
      <c r="L133" s="199"/>
      <c r="M133" s="199"/>
      <c r="N133" s="199"/>
      <c r="O133" s="582"/>
      <c r="P133" s="70"/>
      <c r="Q133" s="582"/>
      <c r="R133" s="583"/>
      <c r="S133" s="583"/>
      <c r="T133" s="643"/>
      <c r="U133" s="583"/>
      <c r="V133" s="207"/>
      <c r="W133" s="207"/>
      <c r="X133" s="203"/>
      <c r="Y133" s="69"/>
      <c r="Z133" s="69"/>
    </row>
    <row r="134" spans="1:26" s="48" customFormat="1">
      <c r="A134" s="66"/>
      <c r="F134" s="643"/>
      <c r="G134" s="191"/>
      <c r="H134" s="156"/>
      <c r="I134" s="192"/>
      <c r="J134" s="199"/>
      <c r="K134" s="199"/>
      <c r="L134" s="199"/>
      <c r="M134" s="199"/>
      <c r="N134" s="199"/>
      <c r="O134" s="582"/>
      <c r="P134" s="70"/>
      <c r="Q134" s="582"/>
      <c r="R134" s="583"/>
      <c r="S134" s="583"/>
      <c r="T134" s="643"/>
      <c r="U134" s="583"/>
      <c r="V134" s="207"/>
      <c r="W134" s="207"/>
      <c r="X134" s="203"/>
      <c r="Y134" s="69"/>
      <c r="Z134" s="69"/>
    </row>
    <row r="135" spans="1:26" s="48" customFormat="1">
      <c r="A135" s="66"/>
      <c r="F135" s="643"/>
      <c r="G135" s="191"/>
      <c r="H135" s="156"/>
      <c r="I135" s="192"/>
      <c r="J135" s="199"/>
      <c r="K135" s="199"/>
      <c r="L135" s="199"/>
      <c r="M135" s="199"/>
      <c r="N135" s="199"/>
      <c r="O135" s="582"/>
      <c r="P135" s="70"/>
      <c r="Q135" s="582"/>
      <c r="R135" s="583"/>
      <c r="S135" s="583"/>
      <c r="T135" s="643"/>
      <c r="U135" s="583"/>
      <c r="V135" s="207"/>
      <c r="W135" s="207"/>
      <c r="X135" s="203"/>
      <c r="Y135" s="69"/>
      <c r="Z135" s="69"/>
    </row>
    <row r="136" spans="1:26" s="48" customFormat="1">
      <c r="A136" s="66"/>
      <c r="F136" s="643"/>
      <c r="G136" s="191"/>
      <c r="H136" s="156"/>
      <c r="I136" s="192"/>
      <c r="J136" s="199"/>
      <c r="K136" s="199"/>
      <c r="L136" s="199"/>
      <c r="M136" s="199"/>
      <c r="N136" s="199"/>
      <c r="O136" s="582"/>
      <c r="P136" s="70"/>
      <c r="Q136" s="582"/>
      <c r="R136" s="583"/>
      <c r="S136" s="583"/>
      <c r="T136" s="643"/>
      <c r="U136" s="583"/>
      <c r="V136" s="207"/>
      <c r="W136" s="207"/>
      <c r="X136" s="203"/>
      <c r="Y136" s="69"/>
      <c r="Z136" s="69"/>
    </row>
    <row r="137" spans="1:26" s="48" customFormat="1">
      <c r="A137" s="66"/>
      <c r="F137" s="643"/>
      <c r="G137" s="191"/>
      <c r="H137" s="156"/>
      <c r="I137" s="192"/>
      <c r="J137" s="199"/>
      <c r="K137" s="199"/>
      <c r="L137" s="199"/>
      <c r="M137" s="199"/>
      <c r="N137" s="199"/>
      <c r="O137" s="582"/>
      <c r="P137" s="70"/>
      <c r="Q137" s="582"/>
      <c r="R137" s="583"/>
      <c r="S137" s="583"/>
      <c r="T137" s="643"/>
      <c r="U137" s="583"/>
      <c r="V137" s="207"/>
      <c r="W137" s="207"/>
      <c r="X137" s="203"/>
      <c r="Y137" s="69"/>
      <c r="Z137" s="69"/>
    </row>
    <row r="138" spans="1:26" s="48" customFormat="1">
      <c r="A138" s="66"/>
      <c r="F138" s="643"/>
      <c r="G138" s="191"/>
      <c r="H138" s="156"/>
      <c r="I138" s="192"/>
      <c r="J138" s="199"/>
      <c r="K138" s="199"/>
      <c r="L138" s="199"/>
      <c r="M138" s="199"/>
      <c r="N138" s="199"/>
      <c r="O138" s="582"/>
      <c r="P138" s="70"/>
      <c r="Q138" s="582"/>
      <c r="R138" s="583"/>
      <c r="S138" s="583"/>
      <c r="T138" s="643"/>
      <c r="U138" s="583"/>
      <c r="V138" s="207"/>
      <c r="W138" s="207"/>
      <c r="X138" s="203"/>
      <c r="Y138" s="69"/>
      <c r="Z138" s="69"/>
    </row>
    <row r="139" spans="1:26" s="48" customFormat="1">
      <c r="A139" s="66"/>
      <c r="F139" s="643"/>
      <c r="G139" s="191"/>
      <c r="H139" s="156"/>
      <c r="I139" s="192"/>
      <c r="J139" s="199"/>
      <c r="K139" s="199"/>
      <c r="L139" s="199"/>
      <c r="M139" s="199"/>
      <c r="N139" s="199"/>
      <c r="O139" s="582"/>
      <c r="P139" s="70"/>
      <c r="Q139" s="582"/>
      <c r="R139" s="583"/>
      <c r="S139" s="583"/>
      <c r="T139" s="643"/>
      <c r="U139" s="583"/>
      <c r="V139" s="207"/>
      <c r="W139" s="207"/>
      <c r="X139" s="203"/>
      <c r="Y139" s="69"/>
      <c r="Z139" s="69"/>
    </row>
    <row r="140" spans="1:26" s="48" customFormat="1">
      <c r="A140" s="66"/>
      <c r="F140" s="643"/>
      <c r="G140" s="191"/>
      <c r="H140" s="156"/>
      <c r="I140" s="192"/>
      <c r="J140" s="199"/>
      <c r="K140" s="199"/>
      <c r="L140" s="199"/>
      <c r="M140" s="199"/>
      <c r="N140" s="199"/>
      <c r="O140" s="582"/>
      <c r="P140" s="70"/>
      <c r="Q140" s="582"/>
      <c r="R140" s="583"/>
      <c r="S140" s="583"/>
      <c r="T140" s="643"/>
      <c r="U140" s="583"/>
      <c r="V140" s="207"/>
      <c r="W140" s="207"/>
      <c r="X140" s="203"/>
      <c r="Y140" s="69"/>
      <c r="Z140" s="69"/>
    </row>
    <row r="141" spans="1:26" s="48" customFormat="1">
      <c r="A141" s="66"/>
      <c r="F141" s="643"/>
      <c r="G141" s="191"/>
      <c r="H141" s="156"/>
      <c r="I141" s="192"/>
      <c r="J141" s="199"/>
      <c r="K141" s="199"/>
      <c r="L141" s="199"/>
      <c r="M141" s="199"/>
      <c r="N141" s="199"/>
      <c r="O141" s="582"/>
      <c r="P141" s="70"/>
      <c r="Q141" s="582"/>
      <c r="R141" s="583"/>
      <c r="S141" s="583"/>
      <c r="T141" s="643"/>
      <c r="U141" s="583"/>
      <c r="V141" s="207"/>
      <c r="W141" s="207"/>
      <c r="X141" s="203"/>
      <c r="Y141" s="69"/>
      <c r="Z141" s="69"/>
    </row>
    <row r="142" spans="1:26" s="48" customFormat="1">
      <c r="A142" s="66"/>
      <c r="F142" s="643"/>
      <c r="G142" s="191"/>
      <c r="H142" s="156"/>
      <c r="I142" s="192"/>
      <c r="J142" s="199"/>
      <c r="K142" s="199"/>
      <c r="L142" s="199"/>
      <c r="M142" s="199"/>
      <c r="N142" s="199"/>
      <c r="O142" s="582"/>
      <c r="P142" s="70"/>
      <c r="Q142" s="582"/>
      <c r="R142" s="583"/>
      <c r="S142" s="583"/>
      <c r="T142" s="643"/>
      <c r="U142" s="583"/>
      <c r="V142" s="207"/>
      <c r="W142" s="207"/>
      <c r="X142" s="203"/>
      <c r="Y142" s="69"/>
      <c r="Z142" s="69"/>
    </row>
    <row r="143" spans="1:26" s="48" customFormat="1">
      <c r="A143" s="66"/>
      <c r="F143" s="643"/>
      <c r="G143" s="191"/>
      <c r="H143" s="156"/>
      <c r="I143" s="192"/>
      <c r="J143" s="199"/>
      <c r="K143" s="199"/>
      <c r="L143" s="199"/>
      <c r="M143" s="199"/>
      <c r="N143" s="199"/>
      <c r="O143" s="582"/>
      <c r="P143" s="70"/>
      <c r="Q143" s="582"/>
      <c r="R143" s="583"/>
      <c r="S143" s="583"/>
      <c r="T143" s="643"/>
      <c r="U143" s="583"/>
      <c r="V143" s="207"/>
      <c r="W143" s="207"/>
      <c r="X143" s="203"/>
      <c r="Y143" s="69"/>
      <c r="Z143" s="69"/>
    </row>
    <row r="144" spans="1:26" s="48" customFormat="1">
      <c r="A144" s="66"/>
      <c r="F144" s="643"/>
      <c r="G144" s="191"/>
      <c r="H144" s="156"/>
      <c r="I144" s="192"/>
      <c r="J144" s="199"/>
      <c r="K144" s="199"/>
      <c r="L144" s="199"/>
      <c r="M144" s="199"/>
      <c r="N144" s="199"/>
      <c r="O144" s="582"/>
      <c r="P144" s="70"/>
      <c r="Q144" s="582"/>
      <c r="R144" s="583"/>
      <c r="S144" s="583"/>
      <c r="T144" s="643"/>
      <c r="U144" s="583"/>
      <c r="V144" s="207"/>
      <c r="W144" s="207"/>
      <c r="X144" s="203"/>
      <c r="Y144" s="69"/>
      <c r="Z144" s="69"/>
    </row>
  </sheetData>
  <mergeCells count="42">
    <mergeCell ref="B102:G102"/>
    <mergeCell ref="A95:F95"/>
    <mergeCell ref="A96:AA96"/>
    <mergeCell ref="A98:F98"/>
    <mergeCell ref="G98:H98"/>
    <mergeCell ref="I98:P98"/>
    <mergeCell ref="V98:X98"/>
    <mergeCell ref="Y98:AA98"/>
    <mergeCell ref="V97:AA97"/>
    <mergeCell ref="B7:AA7"/>
    <mergeCell ref="B8:F8"/>
    <mergeCell ref="G10:X10"/>
    <mergeCell ref="G11:H11"/>
    <mergeCell ref="I11:P11"/>
    <mergeCell ref="Q11:X11"/>
    <mergeCell ref="Z10:Z12"/>
    <mergeCell ref="AA10:AA12"/>
    <mergeCell ref="A10:B12"/>
    <mergeCell ref="E10:E12"/>
    <mergeCell ref="C10:C12"/>
    <mergeCell ref="D10:D12"/>
    <mergeCell ref="F10:F12"/>
    <mergeCell ref="Y10:Y12"/>
    <mergeCell ref="C1:AA1"/>
    <mergeCell ref="C2:AA2"/>
    <mergeCell ref="D3:AA3"/>
    <mergeCell ref="B4:I4"/>
    <mergeCell ref="B5:I5"/>
    <mergeCell ref="I107:P107"/>
    <mergeCell ref="Q98:T98"/>
    <mergeCell ref="Q107:T107"/>
    <mergeCell ref="V107:X107"/>
    <mergeCell ref="Y107:AA107"/>
    <mergeCell ref="J102:P102"/>
    <mergeCell ref="H103:J103"/>
    <mergeCell ref="H104:J104"/>
    <mergeCell ref="H105:J105"/>
    <mergeCell ref="H106:J106"/>
    <mergeCell ref="P100:V100"/>
    <mergeCell ref="I101:J101"/>
    <mergeCell ref="O101:P101"/>
    <mergeCell ref="Y101:AA101"/>
  </mergeCells>
  <printOptions horizontalCentered="1"/>
  <pageMargins left="0" right="0" top="0.2" bottom="0.2" header="0.31496062992125984" footer="0.2"/>
  <pageSetup paperSize="9" scale="44" fitToHeight="0"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O609"/>
  <sheetViews>
    <sheetView showWhiteSpace="0" zoomScale="85" zoomScaleNormal="85" zoomScaleSheetLayoutView="55" workbookViewId="0">
      <selection activeCell="I7" sqref="I7"/>
    </sheetView>
  </sheetViews>
  <sheetFormatPr defaultRowHeight="23.25" customHeight="1"/>
  <cols>
    <col min="1" max="1" width="18.140625" style="651" customWidth="1"/>
    <col min="2" max="2" width="20.5703125" style="651" customWidth="1"/>
    <col min="3" max="3" width="11.140625" style="651" customWidth="1"/>
    <col min="4" max="4" width="16.7109375" style="651" customWidth="1"/>
    <col min="5" max="6" width="5" style="651" customWidth="1"/>
    <col min="7" max="7" width="18.140625" style="651" customWidth="1"/>
    <col min="8" max="8" width="20.5703125" style="651" customWidth="1"/>
    <col min="9" max="9" width="11.140625" style="651" customWidth="1"/>
    <col min="10" max="10" width="16.7109375" style="651" customWidth="1"/>
    <col min="11" max="11" width="16" style="678" customWidth="1"/>
    <col min="12" max="12" width="38" style="672" customWidth="1"/>
    <col min="13" max="13" width="25" style="673" customWidth="1"/>
    <col min="14" max="14" width="14.85546875" style="651" customWidth="1"/>
    <col min="15" max="16384" width="9.140625" style="651"/>
  </cols>
  <sheetData>
    <row r="1" spans="1:15" ht="23.25" customHeight="1">
      <c r="A1" s="1436" t="str">
        <f>$L$1</f>
        <v>Tháng 12/2025</v>
      </c>
      <c r="B1" s="1436"/>
      <c r="C1" s="1436"/>
      <c r="D1" s="1436"/>
      <c r="E1" s="647"/>
      <c r="F1" s="647"/>
      <c r="G1" s="1436" t="str">
        <f>$L$1</f>
        <v>Tháng 12/2025</v>
      </c>
      <c r="H1" s="1436"/>
      <c r="I1" s="1436"/>
      <c r="J1" s="1436"/>
      <c r="K1" s="648"/>
      <c r="L1" s="649" t="s">
        <v>560</v>
      </c>
      <c r="M1" s="650"/>
    </row>
    <row r="2" spans="1:15" ht="23.25" customHeight="1">
      <c r="A2" s="652" t="s">
        <v>12</v>
      </c>
      <c r="B2" s="653" t="str">
        <f>VLOOKUP(C2,'LƯƠNG KT'!$A$13:$D$53,4,0)</f>
        <v>Phò Thưng</v>
      </c>
      <c r="C2" s="654">
        <v>1</v>
      </c>
      <c r="D2" s="655">
        <f>+VLOOKUP(B2,'LƯƠNG KT'!$D$13:$O$94,11,0)</f>
        <v>1129.1902868856992</v>
      </c>
      <c r="E2" s="656"/>
      <c r="F2" s="656"/>
      <c r="G2" s="652" t="s">
        <v>12</v>
      </c>
      <c r="H2" s="653" t="str">
        <f>VLOOKUP(I2,'LƯƠNG KT'!$A$13:$D$53,4,0)</f>
        <v>A Nhợp</v>
      </c>
      <c r="I2" s="654">
        <v>2</v>
      </c>
      <c r="J2" s="655">
        <f>+VLOOKUP(H2,'LƯƠNG KT'!$D$13:$O$94,11,0)</f>
        <v>1209.7203151824067</v>
      </c>
      <c r="K2" s="657"/>
      <c r="L2" s="658" t="str">
        <f>+'BẢNG PHÂN TOÁN '!B20</f>
        <v>Phụ cấp ngày công cạo bình thường</v>
      </c>
      <c r="M2" s="659">
        <f>+'BẢNG PHÂN TOÁN '!E20</f>
        <v>30792.956000000002</v>
      </c>
    </row>
    <row r="3" spans="1:15" ht="23.25" customHeight="1">
      <c r="A3" s="652" t="s">
        <v>13</v>
      </c>
      <c r="B3" s="660" t="s">
        <v>14</v>
      </c>
      <c r="C3" s="805">
        <f>VLOOKUP(C2,'LƯƠNG KT'!$A$13:$G$53,7,0)</f>
        <v>0</v>
      </c>
      <c r="D3" s="806">
        <f>C3*25000</f>
        <v>0</v>
      </c>
      <c r="E3" s="662"/>
      <c r="F3" s="662"/>
      <c r="G3" s="652" t="s">
        <v>13</v>
      </c>
      <c r="H3" s="660" t="s">
        <v>14</v>
      </c>
      <c r="I3" s="805">
        <f>VLOOKUP(I2,'LƯƠNG KT'!$A$13:$G$53,7,0)</f>
        <v>0</v>
      </c>
      <c r="J3" s="806">
        <f>I3*25000</f>
        <v>0</v>
      </c>
      <c r="K3" s="648"/>
      <c r="L3" s="658" t="str">
        <f>+'BẢNG PHÂN TOÁN '!B21</f>
        <v>Phụ cấp ngày công chủ nhật</v>
      </c>
      <c r="M3" s="659">
        <f>+'BẢNG PHÂN TOÁN '!E21</f>
        <v>51366.124000000003</v>
      </c>
    </row>
    <row r="4" spans="1:15" ht="23.25" customHeight="1">
      <c r="A4" s="652" t="s">
        <v>15</v>
      </c>
      <c r="B4" s="663" t="s">
        <v>16</v>
      </c>
      <c r="C4" s="653">
        <f>VLOOKUP(B2,'LƯƠNG KT'!$D$13:$Q$94,13,0)</f>
        <v>4132836.4500016589</v>
      </c>
      <c r="D4" s="664">
        <f>+C4*$M$2</f>
        <v>127262250960.09729</v>
      </c>
      <c r="E4" s="665"/>
      <c r="F4" s="665"/>
      <c r="G4" s="652" t="s">
        <v>15</v>
      </c>
      <c r="H4" s="663" t="s">
        <v>16</v>
      </c>
      <c r="I4" s="653">
        <f>VLOOKUP(H2,'LƯƠNG KT'!$D$13:$Q$94,13,0)</f>
        <v>3992077.0401019421</v>
      </c>
      <c r="J4" s="664">
        <f>+I4*$M$2</f>
        <v>122927852644.46935</v>
      </c>
      <c r="K4" s="666"/>
      <c r="L4" s="658" t="str">
        <f>+'BẢNG PHÂN TOÁN '!B22</f>
        <v>Phụ cấp vườn cây năm nhất</v>
      </c>
      <c r="M4" s="659">
        <f>+'BẢNG PHÂN TOÁN '!E22</f>
        <v>20506.371999999999</v>
      </c>
    </row>
    <row r="5" spans="1:15" ht="23.25" customHeight="1">
      <c r="A5" s="652" t="s">
        <v>357</v>
      </c>
      <c r="B5" s="663" t="s">
        <v>17</v>
      </c>
      <c r="C5" s="653">
        <f>VLOOKUP(B2,'LƯƠNG KT'!$D$13:$R$94,14,0)</f>
        <v>27</v>
      </c>
      <c r="D5" s="664">
        <f>+C5*$M$3</f>
        <v>1386885.348</v>
      </c>
      <c r="E5" s="665"/>
      <c r="F5" s="665"/>
      <c r="G5" s="652" t="s">
        <v>357</v>
      </c>
      <c r="H5" s="663" t="s">
        <v>17</v>
      </c>
      <c r="I5" s="653">
        <f>VLOOKUP(H2,'LƯƠNG KT'!$D$13:$R$94,14,0)</f>
        <v>26</v>
      </c>
      <c r="J5" s="664">
        <f>+I5*$M$3</f>
        <v>1335519.2240000002</v>
      </c>
      <c r="K5" s="666"/>
      <c r="L5" s="658" t="str">
        <f>+'BẢNG PHÂN TOÁN '!B23</f>
        <v>Phụ cấp cạo 2 lát ngày thường</v>
      </c>
      <c r="M5" s="659">
        <f>+'BẢNG PHÂN TOÁN '!E23</f>
        <v>61585.912000000004</v>
      </c>
    </row>
    <row r="6" spans="1:15" ht="23.25" customHeight="1">
      <c r="A6" s="1434" t="s">
        <v>375</v>
      </c>
      <c r="B6" s="1435"/>
      <c r="C6" s="653">
        <f>VLOOKUP(B2,'LƯƠNG KT'!$D$13:$S$94,15,0)</f>
        <v>4</v>
      </c>
      <c r="D6" s="664">
        <f>+C6*$M$5</f>
        <v>246343.64800000002</v>
      </c>
      <c r="E6" s="665"/>
      <c r="F6" s="665"/>
      <c r="G6" s="1434" t="s">
        <v>375</v>
      </c>
      <c r="H6" s="1435"/>
      <c r="I6" s="653">
        <f>VLOOKUP(H2,'LƯƠNG KT'!$D$13:$S$94,15,0)</f>
        <v>4</v>
      </c>
      <c r="J6" s="664">
        <f>+I6*$M$5</f>
        <v>246343.64800000002</v>
      </c>
      <c r="K6" s="666"/>
      <c r="L6" s="658" t="str">
        <f>+'BẢNG PHÂN TOÁN '!B24</f>
        <v>Phụ cấp cạo 2 lát ngày chủ nhật</v>
      </c>
      <c r="M6" s="659">
        <f>+'BẢNG PHÂN TOÁN '!E24</f>
        <v>102732.24800000001</v>
      </c>
    </row>
    <row r="7" spans="1:15" ht="23.25" customHeight="1">
      <c r="A7" s="1434" t="s">
        <v>545</v>
      </c>
      <c r="B7" s="1435"/>
      <c r="C7" s="653">
        <f>VLOOKUP(B2,'LƯƠNG KT'!$D$13:$T$90,16,0)</f>
        <v>0</v>
      </c>
      <c r="D7" s="664">
        <f>C7*$M$6</f>
        <v>0</v>
      </c>
      <c r="E7" s="665"/>
      <c r="F7" s="665"/>
      <c r="G7" s="1434" t="s">
        <v>545</v>
      </c>
      <c r="H7" s="1435"/>
      <c r="I7" s="653">
        <f>VLOOKUP(H2,'LƯƠNG KT'!$D$13:$T$90,16,0)</f>
        <v>0</v>
      </c>
      <c r="J7" s="664">
        <f>I7*$M$6</f>
        <v>0</v>
      </c>
      <c r="K7" s="666"/>
      <c r="L7" s="658" t="str">
        <f>+'BẢNG PHÂN TOÁN '!B25</f>
        <v>Phụ cấp thêm cạo 2 lát</v>
      </c>
      <c r="M7" s="659">
        <f>+'BẢNG PHÂN TOÁN '!E25</f>
        <v>100000</v>
      </c>
    </row>
    <row r="8" spans="1:15" ht="23.25" customHeight="1">
      <c r="A8" s="1434" t="s">
        <v>427</v>
      </c>
      <c r="B8" s="1435"/>
      <c r="C8" s="653">
        <f>+C6+C7</f>
        <v>4</v>
      </c>
      <c r="D8" s="664">
        <f>+C8*$M$7</f>
        <v>400000</v>
      </c>
      <c r="E8" s="665"/>
      <c r="F8" s="665"/>
      <c r="G8" s="1434" t="s">
        <v>427</v>
      </c>
      <c r="H8" s="1435"/>
      <c r="I8" s="653">
        <f>+I6+I7</f>
        <v>4</v>
      </c>
      <c r="J8" s="664">
        <f>+I8*$M$7</f>
        <v>400000</v>
      </c>
      <c r="K8" s="666"/>
      <c r="L8" s="658" t="str">
        <f>+'BẢNG PHÂN TOÁN '!B26</f>
        <v>Phụ cấp vùng xa khó khăn</v>
      </c>
      <c r="M8" s="659">
        <f>+'BẢNG PHÂN TOÁN '!E26</f>
        <v>20000</v>
      </c>
    </row>
    <row r="9" spans="1:15" ht="23.25" customHeight="1">
      <c r="A9" s="1434" t="s">
        <v>358</v>
      </c>
      <c r="B9" s="1435"/>
      <c r="C9" s="653">
        <f>+C4+C5+C6+C7</f>
        <v>4132867.4500016589</v>
      </c>
      <c r="D9" s="664">
        <f>+C9*$M$8</f>
        <v>82657349000.033173</v>
      </c>
      <c r="E9" s="665"/>
      <c r="F9" s="665"/>
      <c r="G9" s="1434" t="s">
        <v>358</v>
      </c>
      <c r="H9" s="1435"/>
      <c r="I9" s="653">
        <f>+I4+I5+I6+I7</f>
        <v>3992107.0401019421</v>
      </c>
      <c r="J9" s="664">
        <f>+I9*$M$8</f>
        <v>79842140802.038849</v>
      </c>
      <c r="K9" s="666"/>
      <c r="L9" s="658"/>
      <c r="M9" s="659"/>
    </row>
    <row r="10" spans="1:15" ht="23.25" customHeight="1">
      <c r="A10" s="652" t="s">
        <v>481</v>
      </c>
      <c r="B10" s="663" t="s">
        <v>127</v>
      </c>
      <c r="C10" s="667">
        <f>VLOOKUP(B2,'LƯƠNG KT'!$D$13:$I$94,6,0)</f>
        <v>2552</v>
      </c>
      <c r="D10" s="661" t="str">
        <f>VLOOKUP(B2,'LƯƠNG KT'!$D$13:$P$94,12,0)</f>
        <v>A</v>
      </c>
      <c r="E10" s="668"/>
      <c r="F10" s="668"/>
      <c r="G10" s="652" t="s">
        <v>481</v>
      </c>
      <c r="H10" s="663" t="s">
        <v>127</v>
      </c>
      <c r="I10" s="667">
        <f>VLOOKUP(H2,'LƯƠNG KT'!$D$13:$I$94,6,0)</f>
        <v>2734</v>
      </c>
      <c r="J10" s="661" t="str">
        <f>VLOOKUP(H2,'LƯƠNG KT'!$D$13:$P$94,12,0)</f>
        <v>C</v>
      </c>
      <c r="K10" s="648"/>
      <c r="L10" s="658"/>
      <c r="M10" s="659"/>
    </row>
    <row r="11" spans="1:15" ht="23.25" hidden="1" customHeight="1">
      <c r="A11" s="669" t="s">
        <v>19</v>
      </c>
      <c r="B11" s="663" t="s">
        <v>20</v>
      </c>
      <c r="C11" s="670"/>
      <c r="D11" s="661"/>
      <c r="E11" s="671"/>
      <c r="F11" s="671"/>
      <c r="G11" s="669" t="s">
        <v>19</v>
      </c>
      <c r="H11" s="663" t="s">
        <v>20</v>
      </c>
      <c r="I11" s="670"/>
      <c r="J11" s="661"/>
      <c r="K11" s="648"/>
    </row>
    <row r="12" spans="1:15" ht="23.25" hidden="1" customHeight="1">
      <c r="A12" s="674" t="s">
        <v>21</v>
      </c>
      <c r="B12" s="663" t="s">
        <v>22</v>
      </c>
      <c r="C12" s="670"/>
      <c r="D12" s="661">
        <v>0</v>
      </c>
      <c r="E12" s="668"/>
      <c r="F12" s="668"/>
      <c r="G12" s="674" t="s">
        <v>21</v>
      </c>
      <c r="H12" s="663" t="s">
        <v>22</v>
      </c>
      <c r="I12" s="670"/>
      <c r="J12" s="661">
        <v>0</v>
      </c>
      <c r="K12" s="648"/>
      <c r="L12" s="675" t="s">
        <v>359</v>
      </c>
      <c r="M12" s="676">
        <f>SUM(K14:K29)</f>
        <v>412693608498.50665</v>
      </c>
    </row>
    <row r="13" spans="1:15" ht="23.25" hidden="1" customHeight="1">
      <c r="A13" s="669" t="s">
        <v>23</v>
      </c>
      <c r="B13" s="663" t="s">
        <v>24</v>
      </c>
      <c r="C13" s="670"/>
      <c r="D13" s="661">
        <f>+D12</f>
        <v>0</v>
      </c>
      <c r="E13" s="677"/>
      <c r="F13" s="677"/>
      <c r="G13" s="669" t="s">
        <v>23</v>
      </c>
      <c r="H13" s="663" t="s">
        <v>24</v>
      </c>
      <c r="I13" s="670"/>
      <c r="J13" s="661">
        <f>+J12</f>
        <v>0</v>
      </c>
      <c r="L13" s="675" t="s">
        <v>360</v>
      </c>
      <c r="M13" s="676" t="e">
        <f>SUM(#REF!)</f>
        <v>#REF!</v>
      </c>
      <c r="N13" s="679" t="e">
        <f>+M16-'LƯƠNG KT'!AA95</f>
        <v>#REF!</v>
      </c>
    </row>
    <row r="14" spans="1:15" ht="23.25" customHeight="1">
      <c r="A14" s="669" t="s">
        <v>25</v>
      </c>
      <c r="B14" s="663" t="s">
        <v>26</v>
      </c>
      <c r="C14" s="680"/>
      <c r="D14" s="669">
        <f>SUM(D3:D10)-D13</f>
        <v>209921633189.12646</v>
      </c>
      <c r="E14" s="681"/>
      <c r="F14" s="681"/>
      <c r="G14" s="669" t="s">
        <v>25</v>
      </c>
      <c r="H14" s="663" t="s">
        <v>26</v>
      </c>
      <c r="I14" s="680"/>
      <c r="J14" s="669">
        <f>SUM(J3:J10)-J13</f>
        <v>202771975309.38019</v>
      </c>
      <c r="K14" s="682">
        <f>+D14+J14</f>
        <v>412693608498.50665</v>
      </c>
      <c r="L14" s="808" t="s">
        <v>361</v>
      </c>
      <c r="M14" s="807" t="e">
        <f>+K608+#REF!</f>
        <v>#REF!</v>
      </c>
      <c r="N14" s="810" t="e">
        <f>+'LƯƠNG KT'!#REF!+'LƯƠNG KT'!#REF!+'LƯƠNG KT'!#REF!</f>
        <v>#REF!</v>
      </c>
      <c r="O14" s="810" t="e">
        <f>+M14-N14</f>
        <v>#REF!</v>
      </c>
    </row>
    <row r="15" spans="1:15" ht="23.25" customHeight="1">
      <c r="A15" s="683"/>
      <c r="B15" s="684"/>
      <c r="C15" s="697"/>
      <c r="D15" s="683"/>
      <c r="E15" s="686"/>
      <c r="F15" s="686"/>
      <c r="G15" s="683"/>
      <c r="H15" s="684"/>
      <c r="I15" s="697"/>
      <c r="J15" s="683"/>
      <c r="K15" s="682"/>
      <c r="L15" s="1438" t="s">
        <v>435</v>
      </c>
      <c r="M15" s="807" t="e">
        <f>+#REF!</f>
        <v>#REF!</v>
      </c>
      <c r="N15" s="810">
        <f>+SUM('LƯƠNG KT'!AA13:AA53)</f>
        <v>230523182.29043821</v>
      </c>
      <c r="O15" s="810" t="e">
        <f t="shared" ref="O15:O17" si="0">+M15-N15</f>
        <v>#REF!</v>
      </c>
    </row>
    <row r="16" spans="1:15" ht="23.25" customHeight="1">
      <c r="A16" s="683"/>
      <c r="B16" s="684"/>
      <c r="C16" s="685"/>
      <c r="D16" s="686"/>
      <c r="E16" s="687"/>
      <c r="F16" s="686"/>
      <c r="G16" s="683"/>
      <c r="H16" s="684"/>
      <c r="I16" s="685"/>
      <c r="J16" s="688"/>
      <c r="K16" s="689"/>
      <c r="L16" s="1438"/>
      <c r="M16" s="807" t="e">
        <f>+#REF!</f>
        <v>#REF!</v>
      </c>
      <c r="N16" s="810">
        <f>+SUM('LƯƠNG KT'!AA54:AA94)</f>
        <v>222331675.71313202</v>
      </c>
      <c r="O16" s="810" t="e">
        <f t="shared" si="0"/>
        <v>#REF!</v>
      </c>
    </row>
    <row r="17" spans="1:15" ht="23.25" customHeight="1">
      <c r="A17" s="1436" t="str">
        <f>$L$1</f>
        <v>Tháng 12/2025</v>
      </c>
      <c r="B17" s="1436"/>
      <c r="C17" s="1436"/>
      <c r="D17" s="1436"/>
      <c r="E17" s="647"/>
      <c r="F17" s="647"/>
      <c r="G17" s="1436" t="str">
        <f>$L$1</f>
        <v>Tháng 12/2025</v>
      </c>
      <c r="H17" s="1436"/>
      <c r="I17" s="1436"/>
      <c r="J17" s="1436"/>
      <c r="K17" s="648"/>
      <c r="L17" s="809" t="s">
        <v>436</v>
      </c>
      <c r="M17" s="807" t="e">
        <f>+M14+M15+M16</f>
        <v>#REF!</v>
      </c>
      <c r="N17" s="810">
        <f>+'LƯƠNG KT'!Y95</f>
        <v>456929858.0035705</v>
      </c>
      <c r="O17" s="810" t="e">
        <f t="shared" si="0"/>
        <v>#REF!</v>
      </c>
    </row>
    <row r="18" spans="1:15" ht="23.25" customHeight="1">
      <c r="A18" s="652" t="s">
        <v>12</v>
      </c>
      <c r="B18" s="653" t="str">
        <f>VLOOKUP(C18,'LƯƠNG KT'!$A$13:$D$53,4,0)</f>
        <v>Van</v>
      </c>
      <c r="C18" s="654">
        <v>3</v>
      </c>
      <c r="D18" s="655">
        <f>+VLOOKUP(B18,'LƯƠNG KT'!$D$13:$O$94,11,0)</f>
        <v>1103.0843985917115</v>
      </c>
      <c r="E18" s="656"/>
      <c r="F18" s="656"/>
      <c r="G18" s="652" t="s">
        <v>12</v>
      </c>
      <c r="H18" s="653" t="str">
        <f>VLOOKUP(I18,'LƯƠNG KT'!$A$13:$D$53,4,0)</f>
        <v>Thảo Khọt</v>
      </c>
      <c r="I18" s="654">
        <v>4</v>
      </c>
      <c r="J18" s="655">
        <f>+VLOOKUP(H18,'LƯƠNG KT'!$D$13:$O$94,11,0)</f>
        <v>1404.4082956799409</v>
      </c>
      <c r="K18" s="657"/>
      <c r="M18" s="690"/>
    </row>
    <row r="19" spans="1:15" ht="23.25" customHeight="1">
      <c r="A19" s="652" t="s">
        <v>13</v>
      </c>
      <c r="B19" s="660" t="s">
        <v>14</v>
      </c>
      <c r="C19" s="805">
        <f>VLOOKUP(C18,'LƯƠNG KT'!$A$13:$G$53,7,0)</f>
        <v>0</v>
      </c>
      <c r="D19" s="806">
        <f>C19*25000</f>
        <v>0</v>
      </c>
      <c r="E19" s="662"/>
      <c r="F19" s="662"/>
      <c r="G19" s="652" t="s">
        <v>13</v>
      </c>
      <c r="H19" s="660" t="s">
        <v>14</v>
      </c>
      <c r="I19" s="805">
        <f>VLOOKUP(I18,'LƯƠNG KT'!$A$13:$G$53,7,0)</f>
        <v>0</v>
      </c>
      <c r="J19" s="806">
        <f>I19*25000</f>
        <v>0</v>
      </c>
      <c r="K19" s="648"/>
    </row>
    <row r="20" spans="1:15" ht="23.25" customHeight="1">
      <c r="A20" s="652" t="s">
        <v>15</v>
      </c>
      <c r="B20" s="663" t="s">
        <v>16</v>
      </c>
      <c r="C20" s="653">
        <f>VLOOKUP(B18,'LƯƠNG KT'!$D$13:$Q$94,13,0)</f>
        <v>3838733.707099156</v>
      </c>
      <c r="D20" s="664">
        <f>+C20*$M$2</f>
        <v>118205958138.4212</v>
      </c>
      <c r="E20" s="665"/>
      <c r="F20" s="665"/>
      <c r="G20" s="652" t="s">
        <v>15</v>
      </c>
      <c r="H20" s="663" t="s">
        <v>16</v>
      </c>
      <c r="I20" s="653">
        <f>VLOOKUP(H18,'LƯƠNG KT'!$D$13:$Q$94,13,0)</f>
        <v>5140134.3621885832</v>
      </c>
      <c r="J20" s="664">
        <f>+I20*$M$2</f>
        <v>158279931248.96112</v>
      </c>
      <c r="K20" s="666"/>
    </row>
    <row r="21" spans="1:15" ht="23.25" customHeight="1">
      <c r="A21" s="652" t="s">
        <v>357</v>
      </c>
      <c r="B21" s="663" t="s">
        <v>17</v>
      </c>
      <c r="C21" s="653">
        <f>VLOOKUP(B18,'LƯƠNG KT'!$D$13:$R$94,14,0)</f>
        <v>23</v>
      </c>
      <c r="D21" s="664">
        <f>+C21*$M$3</f>
        <v>1181420.8520000002</v>
      </c>
      <c r="E21" s="665"/>
      <c r="F21" s="665"/>
      <c r="G21" s="652" t="s">
        <v>357</v>
      </c>
      <c r="H21" s="663" t="s">
        <v>17</v>
      </c>
      <c r="I21" s="653">
        <f>VLOOKUP(H18,'LƯƠNG KT'!$D$13:$R$94,14,0)</f>
        <v>27</v>
      </c>
      <c r="J21" s="664">
        <f>+I21*$M$3</f>
        <v>1386885.348</v>
      </c>
      <c r="K21" s="666"/>
    </row>
    <row r="22" spans="1:15" ht="23.25" customHeight="1">
      <c r="A22" s="1434" t="s">
        <v>375</v>
      </c>
      <c r="B22" s="1435"/>
      <c r="C22" s="653">
        <f>VLOOKUP(B18,'LƯƠNG KT'!$D$13:$S$94,15,0)</f>
        <v>4</v>
      </c>
      <c r="D22" s="664">
        <f>+C22*$M$5</f>
        <v>246343.64800000002</v>
      </c>
      <c r="E22" s="665"/>
      <c r="F22" s="665"/>
      <c r="G22" s="1434" t="s">
        <v>375</v>
      </c>
      <c r="H22" s="1435"/>
      <c r="I22" s="653">
        <f>VLOOKUP(H18,'LƯƠNG KT'!$D$13:$S$94,15,0)</f>
        <v>4</v>
      </c>
      <c r="J22" s="664">
        <f>+I22*$M$5</f>
        <v>246343.64800000002</v>
      </c>
      <c r="K22" s="666"/>
    </row>
    <row r="23" spans="1:15" ht="23.25" customHeight="1">
      <c r="A23" s="1434" t="s">
        <v>545</v>
      </c>
      <c r="B23" s="1435"/>
      <c r="C23" s="653">
        <f>VLOOKUP(B18,'LƯƠNG KT'!$D$13:$T$90,16,0)</f>
        <v>0</v>
      </c>
      <c r="D23" s="664">
        <f>C23*$M$6</f>
        <v>0</v>
      </c>
      <c r="E23" s="665"/>
      <c r="F23" s="665"/>
      <c r="G23" s="1434" t="s">
        <v>545</v>
      </c>
      <c r="H23" s="1435"/>
      <c r="I23" s="653">
        <f>VLOOKUP(H18,'LƯƠNG KT'!$D$13:$T$90,16,0)</f>
        <v>0</v>
      </c>
      <c r="J23" s="664">
        <f>I23*$M$6</f>
        <v>0</v>
      </c>
      <c r="K23" s="666"/>
    </row>
    <row r="24" spans="1:15" ht="23.25" customHeight="1">
      <c r="A24" s="1434" t="s">
        <v>427</v>
      </c>
      <c r="B24" s="1435"/>
      <c r="C24" s="653">
        <f>+C22+C23</f>
        <v>4</v>
      </c>
      <c r="D24" s="664">
        <f>+C24*$M$7</f>
        <v>400000</v>
      </c>
      <c r="E24" s="665"/>
      <c r="F24" s="665"/>
      <c r="G24" s="1434" t="s">
        <v>427</v>
      </c>
      <c r="H24" s="1435"/>
      <c r="I24" s="653">
        <f>+I22+I23</f>
        <v>4</v>
      </c>
      <c r="J24" s="664">
        <f>+I24*$M$7</f>
        <v>400000</v>
      </c>
      <c r="K24" s="666"/>
    </row>
    <row r="25" spans="1:15" ht="23.25" hidden="1" customHeight="1">
      <c r="A25" s="1434" t="s">
        <v>358</v>
      </c>
      <c r="B25" s="1435"/>
      <c r="C25" s="653">
        <f>+C20+C21+C22+C23</f>
        <v>3838760.707099156</v>
      </c>
      <c r="D25" s="664">
        <f>+C25*$M$8</f>
        <v>76775214141.983124</v>
      </c>
      <c r="E25" s="665"/>
      <c r="F25" s="665"/>
      <c r="G25" s="1434" t="s">
        <v>358</v>
      </c>
      <c r="H25" s="1435"/>
      <c r="I25" s="653">
        <f>+I20+I21+I22+I23</f>
        <v>5140165.3621885832</v>
      </c>
      <c r="J25" s="664">
        <f>+I25*$M$8</f>
        <v>102803307243.77167</v>
      </c>
      <c r="K25" s="666"/>
    </row>
    <row r="26" spans="1:15" ht="23.25" hidden="1" customHeight="1">
      <c r="A26" s="652" t="s">
        <v>481</v>
      </c>
      <c r="B26" s="663" t="s">
        <v>127</v>
      </c>
      <c r="C26" s="667">
        <f>VLOOKUP(B18,'LƯƠNG KT'!$D$13:$I$94,6,0)</f>
        <v>2493</v>
      </c>
      <c r="D26" s="661" t="str">
        <f>VLOOKUP(B18,'LƯƠNG KT'!$D$13:$P$94,12,0)</f>
        <v>B</v>
      </c>
      <c r="E26" s="668"/>
      <c r="F26" s="668"/>
      <c r="G26" s="652" t="s">
        <v>481</v>
      </c>
      <c r="H26" s="663" t="s">
        <v>127</v>
      </c>
      <c r="I26" s="667">
        <f>VLOOKUP(H18,'LƯƠNG KT'!$D$13:$I$94,6,0)</f>
        <v>3174</v>
      </c>
      <c r="J26" s="661" t="str">
        <f>VLOOKUP(H18,'LƯƠNG KT'!$D$13:$P$94,12,0)</f>
        <v>A</v>
      </c>
      <c r="K26" s="648"/>
    </row>
    <row r="27" spans="1:15" ht="23.25" hidden="1" customHeight="1">
      <c r="A27" s="669" t="s">
        <v>19</v>
      </c>
      <c r="B27" s="663" t="s">
        <v>20</v>
      </c>
      <c r="C27" s="670"/>
      <c r="D27" s="661"/>
      <c r="E27" s="671"/>
      <c r="F27" s="671"/>
      <c r="G27" s="669" t="s">
        <v>19</v>
      </c>
      <c r="H27" s="663" t="s">
        <v>20</v>
      </c>
      <c r="I27" s="670"/>
      <c r="J27" s="661"/>
      <c r="K27" s="648"/>
    </row>
    <row r="28" spans="1:15" ht="23.25" customHeight="1">
      <c r="A28" s="674" t="s">
        <v>21</v>
      </c>
      <c r="B28" s="663" t="s">
        <v>22</v>
      </c>
      <c r="C28" s="670"/>
      <c r="D28" s="661">
        <v>0</v>
      </c>
      <c r="E28" s="668"/>
      <c r="F28" s="668"/>
      <c r="G28" s="674" t="s">
        <v>21</v>
      </c>
      <c r="H28" s="663" t="s">
        <v>22</v>
      </c>
      <c r="I28" s="670"/>
      <c r="J28" s="661">
        <v>0</v>
      </c>
      <c r="K28" s="648"/>
    </row>
    <row r="29" spans="1:15" ht="23.25" customHeight="1">
      <c r="A29" s="669" t="s">
        <v>23</v>
      </c>
      <c r="B29" s="663" t="s">
        <v>24</v>
      </c>
      <c r="C29" s="670"/>
      <c r="D29" s="661">
        <f>+D28</f>
        <v>0</v>
      </c>
      <c r="E29" s="677"/>
      <c r="F29" s="677"/>
      <c r="G29" s="669" t="s">
        <v>23</v>
      </c>
      <c r="H29" s="663" t="s">
        <v>24</v>
      </c>
      <c r="I29" s="670"/>
      <c r="J29" s="661">
        <f>+J28</f>
        <v>0</v>
      </c>
    </row>
    <row r="30" spans="1:15" ht="23.25" customHeight="1">
      <c r="A30" s="669" t="s">
        <v>25</v>
      </c>
      <c r="B30" s="663" t="s">
        <v>26</v>
      </c>
      <c r="C30" s="680"/>
      <c r="D30" s="669">
        <f>SUM(D19:D26)-D29</f>
        <v>194983000044.90433</v>
      </c>
      <c r="E30" s="681"/>
      <c r="F30" s="681"/>
      <c r="G30" s="669" t="s">
        <v>25</v>
      </c>
      <c r="H30" s="663" t="s">
        <v>26</v>
      </c>
      <c r="I30" s="680"/>
      <c r="J30" s="669">
        <f>SUM(J19:J26)-J29</f>
        <v>261085271721.72879</v>
      </c>
      <c r="K30" s="682">
        <f>+D30+J30</f>
        <v>456068271766.63312</v>
      </c>
    </row>
    <row r="31" spans="1:15" ht="23.25" customHeight="1">
      <c r="A31" s="683"/>
      <c r="B31" s="684"/>
      <c r="C31" s="697"/>
      <c r="D31" s="683"/>
      <c r="E31" s="686"/>
      <c r="F31" s="686"/>
      <c r="G31" s="683"/>
      <c r="H31" s="684"/>
      <c r="I31" s="697"/>
      <c r="J31" s="683"/>
      <c r="K31" s="682"/>
    </row>
    <row r="32" spans="1:15" ht="23.25" customHeight="1">
      <c r="A32" s="1436" t="str">
        <f>$L$1</f>
        <v>Tháng 12/2025</v>
      </c>
      <c r="B32" s="1436"/>
      <c r="C32" s="1436"/>
      <c r="D32" s="1436"/>
      <c r="E32" s="647"/>
      <c r="F32" s="647"/>
      <c r="G32" s="1436" t="str">
        <f>$L$1</f>
        <v>Tháng 12/2025</v>
      </c>
      <c r="H32" s="1436"/>
      <c r="I32" s="1436"/>
      <c r="J32" s="1436"/>
      <c r="K32" s="648"/>
    </row>
    <row r="33" spans="1:11" ht="23.25" customHeight="1">
      <c r="A33" s="652" t="s">
        <v>12</v>
      </c>
      <c r="B33" s="653" t="str">
        <f>VLOOKUP(C33,'LƯƠNG KT'!$A$13:$D$53,4,0)</f>
        <v>A Cơ</v>
      </c>
      <c r="C33" s="654">
        <v>5</v>
      </c>
      <c r="D33" s="655">
        <f>+VLOOKUP(B33,'LƯƠNG KT'!$D$13:$O$94,11,0)</f>
        <v>1069.4564746875919</v>
      </c>
      <c r="E33" s="656"/>
      <c r="F33" s="656"/>
      <c r="G33" s="652" t="s">
        <v>12</v>
      </c>
      <c r="H33" s="653" t="str">
        <f>VLOOKUP(I33,'LƯƠNG KT'!$A$13:$D$53,4,0)</f>
        <v>Phơ</v>
      </c>
      <c r="I33" s="654">
        <v>6</v>
      </c>
      <c r="J33" s="655">
        <f>+VLOOKUP(H33,'LƯƠNG KT'!$D$13:$O$94,11,0)</f>
        <v>973.88237517062055</v>
      </c>
      <c r="K33" s="657"/>
    </row>
    <row r="34" spans="1:11" ht="23.25" customHeight="1">
      <c r="A34" s="652" t="s">
        <v>13</v>
      </c>
      <c r="B34" s="660" t="s">
        <v>14</v>
      </c>
      <c r="C34" s="805">
        <f>VLOOKUP(C33,'LƯƠNG KT'!$A$13:$G$53,7,0)</f>
        <v>0</v>
      </c>
      <c r="D34" s="806">
        <f>C34*25000</f>
        <v>0</v>
      </c>
      <c r="E34" s="662"/>
      <c r="F34" s="662"/>
      <c r="G34" s="652" t="s">
        <v>13</v>
      </c>
      <c r="H34" s="660" t="s">
        <v>14</v>
      </c>
      <c r="I34" s="805">
        <f>VLOOKUP(I33,'LƯƠNG KT'!$A$13:$G$53,7,0)</f>
        <v>0</v>
      </c>
      <c r="J34" s="806">
        <f>I34*25000</f>
        <v>0</v>
      </c>
      <c r="K34" s="648"/>
    </row>
    <row r="35" spans="1:11" ht="23.25" customHeight="1">
      <c r="A35" s="652" t="s">
        <v>15</v>
      </c>
      <c r="B35" s="663" t="s">
        <v>16</v>
      </c>
      <c r="C35" s="653">
        <f>VLOOKUP(B33,'LƯƠNG KT'!$D$13:$Q$94,13,0)</f>
        <v>3721708.5319128199</v>
      </c>
      <c r="D35" s="664">
        <f>+C35*$M$2</f>
        <v>114602407068.01607</v>
      </c>
      <c r="E35" s="665"/>
      <c r="F35" s="665"/>
      <c r="G35" s="652" t="s">
        <v>15</v>
      </c>
      <c r="H35" s="663" t="s">
        <v>16</v>
      </c>
      <c r="I35" s="653">
        <f>VLOOKUP(H33,'LƯƠNG KT'!$D$13:$Q$94,13,0)</f>
        <v>3564409.493124471</v>
      </c>
      <c r="J35" s="664">
        <f>+I35*$M$2</f>
        <v>109758704687.76414</v>
      </c>
      <c r="K35" s="666"/>
    </row>
    <row r="36" spans="1:11" ht="23.25" customHeight="1">
      <c r="A36" s="652" t="s">
        <v>357</v>
      </c>
      <c r="B36" s="663" t="s">
        <v>17</v>
      </c>
      <c r="C36" s="653">
        <f>VLOOKUP(B33,'LƯƠNG KT'!$D$13:$R$94,14,0)</f>
        <v>27</v>
      </c>
      <c r="D36" s="664">
        <f>+C36*$M$3</f>
        <v>1386885.348</v>
      </c>
      <c r="E36" s="665"/>
      <c r="F36" s="665"/>
      <c r="G36" s="652" t="s">
        <v>357</v>
      </c>
      <c r="H36" s="663" t="s">
        <v>17</v>
      </c>
      <c r="I36" s="653">
        <f>VLOOKUP(H33,'LƯƠNG KT'!$D$13:$R$94,14,0)</f>
        <v>27</v>
      </c>
      <c r="J36" s="664">
        <f>+I36*$M$3</f>
        <v>1386885.348</v>
      </c>
      <c r="K36" s="666"/>
    </row>
    <row r="37" spans="1:11" ht="23.25" customHeight="1">
      <c r="A37" s="1434" t="s">
        <v>375</v>
      </c>
      <c r="B37" s="1435"/>
      <c r="C37" s="653">
        <f>VLOOKUP(B33,'LƯƠNG KT'!$D$13:$S$94,15,0)</f>
        <v>4</v>
      </c>
      <c r="D37" s="664">
        <f>+C37*$M$5</f>
        <v>246343.64800000002</v>
      </c>
      <c r="E37" s="665"/>
      <c r="F37" s="665"/>
      <c r="G37" s="1434" t="s">
        <v>375</v>
      </c>
      <c r="H37" s="1435"/>
      <c r="I37" s="653">
        <f>VLOOKUP(H33,'LƯƠNG KT'!$D$13:$S$94,15,0)</f>
        <v>2</v>
      </c>
      <c r="J37" s="664">
        <f>+I37*$M$5</f>
        <v>123171.82400000001</v>
      </c>
      <c r="K37" s="666"/>
    </row>
    <row r="38" spans="1:11" ht="23.25" customHeight="1">
      <c r="A38" s="1434" t="s">
        <v>545</v>
      </c>
      <c r="B38" s="1435"/>
      <c r="C38" s="653">
        <f>VLOOKUP(B33,'LƯƠNG KT'!$D$13:$T$90,16,0)</f>
        <v>0</v>
      </c>
      <c r="D38" s="664">
        <f>C38*$M$6</f>
        <v>0</v>
      </c>
      <c r="E38" s="665"/>
      <c r="F38" s="665"/>
      <c r="G38" s="1434" t="s">
        <v>545</v>
      </c>
      <c r="H38" s="1435"/>
      <c r="I38" s="653">
        <f>VLOOKUP(H33,'LƯƠNG KT'!$D$13:$T$90,16,0)</f>
        <v>0</v>
      </c>
      <c r="J38" s="664">
        <f>I38*$M$6</f>
        <v>0</v>
      </c>
      <c r="K38" s="666"/>
    </row>
    <row r="39" spans="1:11" ht="23.25" customHeight="1">
      <c r="A39" s="1434" t="s">
        <v>427</v>
      </c>
      <c r="B39" s="1435"/>
      <c r="C39" s="653">
        <f>+C37+C38</f>
        <v>4</v>
      </c>
      <c r="D39" s="664">
        <f>+C39*$M$7</f>
        <v>400000</v>
      </c>
      <c r="E39" s="665"/>
      <c r="F39" s="665"/>
      <c r="G39" s="1434" t="s">
        <v>427</v>
      </c>
      <c r="H39" s="1435"/>
      <c r="I39" s="653">
        <f>+I37+I38</f>
        <v>2</v>
      </c>
      <c r="J39" s="664">
        <f>+I39*$M$7</f>
        <v>200000</v>
      </c>
      <c r="K39" s="666"/>
    </row>
    <row r="40" spans="1:11" ht="23.25" customHeight="1">
      <c r="A40" s="1434" t="s">
        <v>358</v>
      </c>
      <c r="B40" s="1435"/>
      <c r="C40" s="653">
        <f>+C35+C36+C37+C38</f>
        <v>3721739.5319128199</v>
      </c>
      <c r="D40" s="664">
        <f>+C40*$M$8</f>
        <v>74434790638.256393</v>
      </c>
      <c r="E40" s="665"/>
      <c r="F40" s="665"/>
      <c r="G40" s="1434" t="s">
        <v>358</v>
      </c>
      <c r="H40" s="1435"/>
      <c r="I40" s="653">
        <f>+I35+I36+I37+I38</f>
        <v>3564438.493124471</v>
      </c>
      <c r="J40" s="664">
        <f>+I40*$M$8</f>
        <v>71288769862.489426</v>
      </c>
      <c r="K40" s="666"/>
    </row>
    <row r="41" spans="1:11" ht="23.25" customHeight="1">
      <c r="A41" s="652" t="s">
        <v>481</v>
      </c>
      <c r="B41" s="663" t="s">
        <v>127</v>
      </c>
      <c r="C41" s="667">
        <f>VLOOKUP(B33,'LƯƠNG KT'!$D$13:$I$94,6,0)</f>
        <v>2417</v>
      </c>
      <c r="D41" s="661" t="str">
        <f>VLOOKUP(B33,'LƯƠNG KT'!$D$13:$P$94,12,0)</f>
        <v>B</v>
      </c>
      <c r="E41" s="668"/>
      <c r="F41" s="668"/>
      <c r="G41" s="652" t="s">
        <v>481</v>
      </c>
      <c r="H41" s="663" t="s">
        <v>127</v>
      </c>
      <c r="I41" s="667">
        <f>VLOOKUP(H33,'LƯƠNG KT'!$D$13:$I$94,6,0)</f>
        <v>2201</v>
      </c>
      <c r="J41" s="661" t="str">
        <f>VLOOKUP(H33,'LƯƠNG KT'!$D$13:$P$94,12,0)</f>
        <v>A</v>
      </c>
      <c r="K41" s="648"/>
    </row>
    <row r="42" spans="1:11" ht="23.25" customHeight="1">
      <c r="A42" s="669" t="s">
        <v>19</v>
      </c>
      <c r="B42" s="663" t="s">
        <v>20</v>
      </c>
      <c r="C42" s="670"/>
      <c r="D42" s="661"/>
      <c r="E42" s="671"/>
      <c r="F42" s="671"/>
      <c r="G42" s="669" t="s">
        <v>19</v>
      </c>
      <c r="H42" s="663" t="s">
        <v>20</v>
      </c>
      <c r="I42" s="670"/>
      <c r="J42" s="661"/>
      <c r="K42" s="648"/>
    </row>
    <row r="43" spans="1:11" ht="23.25" customHeight="1">
      <c r="A43" s="674" t="s">
        <v>21</v>
      </c>
      <c r="B43" s="663" t="s">
        <v>22</v>
      </c>
      <c r="C43" s="670"/>
      <c r="D43" s="661">
        <v>0</v>
      </c>
      <c r="E43" s="668"/>
      <c r="F43" s="668"/>
      <c r="G43" s="674" t="s">
        <v>21</v>
      </c>
      <c r="H43" s="663" t="s">
        <v>22</v>
      </c>
      <c r="I43" s="670"/>
      <c r="J43" s="661">
        <v>0</v>
      </c>
      <c r="K43" s="648"/>
    </row>
    <row r="44" spans="1:11" ht="23.25" customHeight="1">
      <c r="A44" s="669" t="s">
        <v>23</v>
      </c>
      <c r="B44" s="663" t="s">
        <v>24</v>
      </c>
      <c r="C44" s="670"/>
      <c r="D44" s="661">
        <f>+D43</f>
        <v>0</v>
      </c>
      <c r="E44" s="677"/>
      <c r="F44" s="677"/>
      <c r="G44" s="669" t="s">
        <v>23</v>
      </c>
      <c r="H44" s="663" t="s">
        <v>24</v>
      </c>
      <c r="I44" s="670"/>
      <c r="J44" s="661">
        <f>+J43</f>
        <v>0</v>
      </c>
    </row>
    <row r="45" spans="1:11" ht="23.25" customHeight="1">
      <c r="A45" s="669" t="s">
        <v>25</v>
      </c>
      <c r="B45" s="663" t="s">
        <v>26</v>
      </c>
      <c r="C45" s="680"/>
      <c r="D45" s="669">
        <f>SUM(D34:D41)-D44</f>
        <v>189039230935.26846</v>
      </c>
      <c r="E45" s="681"/>
      <c r="F45" s="681"/>
      <c r="G45" s="669" t="s">
        <v>25</v>
      </c>
      <c r="H45" s="663" t="s">
        <v>26</v>
      </c>
      <c r="I45" s="680"/>
      <c r="J45" s="669">
        <f>SUM(J34:J41)-J44</f>
        <v>181049184607.4256</v>
      </c>
      <c r="K45" s="682">
        <f>+D45+J45</f>
        <v>370088415542.69409</v>
      </c>
    </row>
    <row r="46" spans="1:11" ht="23.25" customHeight="1">
      <c r="A46" s="683"/>
      <c r="B46" s="684"/>
      <c r="C46" s="697"/>
      <c r="D46" s="683"/>
      <c r="E46" s="686"/>
      <c r="F46" s="686"/>
      <c r="G46" s="683"/>
      <c r="H46" s="684"/>
      <c r="I46" s="697"/>
      <c r="J46" s="683"/>
      <c r="K46" s="682"/>
    </row>
    <row r="47" spans="1:11" ht="23.25" customHeight="1">
      <c r="A47" s="683"/>
      <c r="B47" s="684"/>
      <c r="C47" s="685"/>
      <c r="D47" s="686"/>
      <c r="E47" s="687"/>
      <c r="F47" s="686"/>
      <c r="G47" s="683"/>
      <c r="H47" s="684"/>
      <c r="I47" s="685"/>
      <c r="J47" s="688"/>
      <c r="K47" s="689"/>
    </row>
    <row r="48" spans="1:11" ht="23.25" customHeight="1">
      <c r="A48" s="1436" t="str">
        <f>$L$1</f>
        <v>Tháng 12/2025</v>
      </c>
      <c r="B48" s="1436"/>
      <c r="C48" s="1436"/>
      <c r="D48" s="1436"/>
      <c r="E48" s="647"/>
      <c r="F48" s="647"/>
      <c r="G48" s="1436" t="str">
        <f>$L$1</f>
        <v>Tháng 12/2025</v>
      </c>
      <c r="H48" s="1436"/>
      <c r="I48" s="1436"/>
      <c r="J48" s="1436"/>
      <c r="K48" s="648"/>
    </row>
    <row r="49" spans="1:11" ht="23.25" customHeight="1">
      <c r="A49" s="652" t="s">
        <v>12</v>
      </c>
      <c r="B49" s="653" t="str">
        <f>VLOOKUP(C49,'LƯƠNG KT'!$A$13:$D$53,4,0)</f>
        <v>A phơ</v>
      </c>
      <c r="C49" s="654">
        <v>7</v>
      </c>
      <c r="D49" s="655">
        <f>+VLOOKUP(B49,'LƯƠNG KT'!$D$13:$O$94,11,0)</f>
        <v>1206.6230064017639</v>
      </c>
      <c r="E49" s="656"/>
      <c r="F49" s="656"/>
      <c r="G49" s="652" t="s">
        <v>12</v>
      </c>
      <c r="H49" s="653" t="str">
        <f>VLOOKUP(I49,'LƯƠNG KT'!$A$13:$D$53,4,0)</f>
        <v>Nang Đăm</v>
      </c>
      <c r="I49" s="654">
        <v>8</v>
      </c>
      <c r="J49" s="655">
        <f>+VLOOKUP(H49,'LƯƠNG KT'!$D$13:$O$94,11,0)</f>
        <v>807.07017369886967</v>
      </c>
      <c r="K49" s="657"/>
    </row>
    <row r="50" spans="1:11" ht="23.25" customHeight="1">
      <c r="A50" s="652" t="s">
        <v>13</v>
      </c>
      <c r="B50" s="660" t="s">
        <v>14</v>
      </c>
      <c r="C50" s="805">
        <f>VLOOKUP(C49,'LƯƠNG KT'!$A$13:$G$53,7,0)</f>
        <v>0</v>
      </c>
      <c r="D50" s="806">
        <f>C50*25000</f>
        <v>0</v>
      </c>
      <c r="E50" s="662"/>
      <c r="F50" s="662"/>
      <c r="G50" s="652" t="s">
        <v>13</v>
      </c>
      <c r="H50" s="660" t="s">
        <v>14</v>
      </c>
      <c r="I50" s="805">
        <f>VLOOKUP(I49,'LƯƠNG KT'!$A$13:$G$53,7,0)</f>
        <v>0</v>
      </c>
      <c r="J50" s="806">
        <f>I50*25000</f>
        <v>0</v>
      </c>
      <c r="K50" s="648"/>
    </row>
    <row r="51" spans="1:11" ht="23.25" customHeight="1">
      <c r="A51" s="652" t="s">
        <v>15</v>
      </c>
      <c r="B51" s="663" t="s">
        <v>16</v>
      </c>
      <c r="C51" s="653">
        <f>VLOOKUP(B49,'LƯƠNG KT'!$D$13:$Q$94,13,0)</f>
        <v>4199048.0622781375</v>
      </c>
      <c r="D51" s="664">
        <f>+C51*$M$2</f>
        <v>129301102223.61595</v>
      </c>
      <c r="E51" s="665"/>
      <c r="F51" s="665"/>
      <c r="G51" s="652" t="s">
        <v>15</v>
      </c>
      <c r="H51" s="663" t="s">
        <v>16</v>
      </c>
      <c r="I51" s="653">
        <f>VLOOKUP(H49,'LƯƠNG KT'!$D$13:$Q$94,13,0)</f>
        <v>2808604.2044720664</v>
      </c>
      <c r="J51" s="664">
        <f>+I51*$M$2</f>
        <v>86485225689.723343</v>
      </c>
      <c r="K51" s="666"/>
    </row>
    <row r="52" spans="1:11" ht="23.25" customHeight="1">
      <c r="A52" s="652" t="s">
        <v>357</v>
      </c>
      <c r="B52" s="663" t="s">
        <v>17</v>
      </c>
      <c r="C52" s="653">
        <f>VLOOKUP(B49,'LƯƠNG KT'!$D$13:$R$94,14,0)</f>
        <v>27</v>
      </c>
      <c r="D52" s="664">
        <f>+C52*$M$3</f>
        <v>1386885.348</v>
      </c>
      <c r="E52" s="665"/>
      <c r="F52" s="665"/>
      <c r="G52" s="652" t="s">
        <v>357</v>
      </c>
      <c r="H52" s="663" t="s">
        <v>17</v>
      </c>
      <c r="I52" s="653">
        <f>VLOOKUP(H49,'LƯƠNG KT'!$D$13:$R$94,14,0)</f>
        <v>26</v>
      </c>
      <c r="J52" s="664">
        <f>+I52*$M$3</f>
        <v>1335519.2240000002</v>
      </c>
      <c r="K52" s="666"/>
    </row>
    <row r="53" spans="1:11" ht="23.25" customHeight="1">
      <c r="A53" s="1434" t="s">
        <v>375</v>
      </c>
      <c r="B53" s="1435"/>
      <c r="C53" s="653">
        <f>VLOOKUP(B49,'LƯƠNG KT'!$D$13:$S$94,15,0)</f>
        <v>4</v>
      </c>
      <c r="D53" s="664">
        <f>+C53*$M$5</f>
        <v>246343.64800000002</v>
      </c>
      <c r="E53" s="665"/>
      <c r="F53" s="665"/>
      <c r="G53" s="1434" t="s">
        <v>375</v>
      </c>
      <c r="H53" s="1435"/>
      <c r="I53" s="653">
        <f>VLOOKUP(H49,'LƯƠNG KT'!$D$13:$S$94,15,0)</f>
        <v>4</v>
      </c>
      <c r="J53" s="664">
        <f>+I53*$M$5</f>
        <v>246343.64800000002</v>
      </c>
      <c r="K53" s="666"/>
    </row>
    <row r="54" spans="1:11" ht="23.25" customHeight="1">
      <c r="A54" s="1434" t="s">
        <v>545</v>
      </c>
      <c r="B54" s="1435"/>
      <c r="C54" s="653">
        <f>VLOOKUP(B49,'LƯƠNG KT'!$D$13:$T$90,16,0)</f>
        <v>0</v>
      </c>
      <c r="D54" s="664">
        <f>C54*$M$6</f>
        <v>0</v>
      </c>
      <c r="E54" s="665"/>
      <c r="F54" s="665"/>
      <c r="G54" s="1434" t="s">
        <v>545</v>
      </c>
      <c r="H54" s="1435"/>
      <c r="I54" s="653">
        <f>VLOOKUP(H49,'LƯƠNG KT'!$D$13:$T$90,16,0)</f>
        <v>0</v>
      </c>
      <c r="J54" s="664">
        <f>I54*$M$6</f>
        <v>0</v>
      </c>
      <c r="K54" s="666"/>
    </row>
    <row r="55" spans="1:11" ht="23.25" customHeight="1">
      <c r="A55" s="1434" t="s">
        <v>427</v>
      </c>
      <c r="B55" s="1435"/>
      <c r="C55" s="653">
        <f>+C53+C54</f>
        <v>4</v>
      </c>
      <c r="D55" s="664">
        <f>+C55*$M$7</f>
        <v>400000</v>
      </c>
      <c r="E55" s="665"/>
      <c r="F55" s="665"/>
      <c r="G55" s="1434" t="s">
        <v>427</v>
      </c>
      <c r="H55" s="1435"/>
      <c r="I55" s="653">
        <f>+I53+I54</f>
        <v>4</v>
      </c>
      <c r="J55" s="664">
        <f>+I55*$M$7</f>
        <v>400000</v>
      </c>
      <c r="K55" s="666"/>
    </row>
    <row r="56" spans="1:11" ht="23.25" customHeight="1">
      <c r="A56" s="1434" t="s">
        <v>358</v>
      </c>
      <c r="B56" s="1435"/>
      <c r="C56" s="653">
        <f>+C51+C52+C53+C54</f>
        <v>4199079.0622781375</v>
      </c>
      <c r="D56" s="664">
        <f>+C56*$M$8</f>
        <v>83981581245.562744</v>
      </c>
      <c r="E56" s="665"/>
      <c r="F56" s="665"/>
      <c r="G56" s="1434" t="s">
        <v>358</v>
      </c>
      <c r="H56" s="1435"/>
      <c r="I56" s="653">
        <f>+I51+I52+I53+I54</f>
        <v>2808634.2044720664</v>
      </c>
      <c r="J56" s="664">
        <f>+I56*$M$8</f>
        <v>56172684089.44133</v>
      </c>
      <c r="K56" s="666"/>
    </row>
    <row r="57" spans="1:11" ht="23.25" customHeight="1">
      <c r="A57" s="652" t="s">
        <v>481</v>
      </c>
      <c r="B57" s="663" t="s">
        <v>127</v>
      </c>
      <c r="C57" s="667">
        <f>VLOOKUP(B49,'LƯƠNG KT'!$D$13:$I$94,6,0)</f>
        <v>2727</v>
      </c>
      <c r="D57" s="661" t="str">
        <f>VLOOKUP(B49,'LƯƠNG KT'!$D$13:$P$94,12,0)</f>
        <v>B</v>
      </c>
      <c r="E57" s="668"/>
      <c r="F57" s="668"/>
      <c r="G57" s="652" t="s">
        <v>481</v>
      </c>
      <c r="H57" s="663" t="s">
        <v>127</v>
      </c>
      <c r="I57" s="667">
        <f>VLOOKUP(H49,'LƯƠNG KT'!$D$13:$I$94,6,0)</f>
        <v>1824</v>
      </c>
      <c r="J57" s="661" t="str">
        <f>VLOOKUP(H49,'LƯƠNG KT'!$D$13:$P$94,12,0)</f>
        <v>B</v>
      </c>
      <c r="K57" s="648"/>
    </row>
    <row r="58" spans="1:11" ht="23.25" customHeight="1">
      <c r="A58" s="669" t="s">
        <v>19</v>
      </c>
      <c r="B58" s="663" t="s">
        <v>20</v>
      </c>
      <c r="C58" s="670"/>
      <c r="D58" s="661"/>
      <c r="E58" s="671"/>
      <c r="F58" s="671"/>
      <c r="G58" s="669" t="s">
        <v>19</v>
      </c>
      <c r="H58" s="663" t="s">
        <v>20</v>
      </c>
      <c r="I58" s="670"/>
      <c r="J58" s="661"/>
      <c r="K58" s="648"/>
    </row>
    <row r="59" spans="1:11" ht="23.25" customHeight="1">
      <c r="A59" s="674" t="s">
        <v>21</v>
      </c>
      <c r="B59" s="663" t="s">
        <v>22</v>
      </c>
      <c r="C59" s="670"/>
      <c r="D59" s="661">
        <v>0</v>
      </c>
      <c r="E59" s="668"/>
      <c r="F59" s="668"/>
      <c r="G59" s="674" t="s">
        <v>21</v>
      </c>
      <c r="H59" s="663" t="s">
        <v>22</v>
      </c>
      <c r="I59" s="670"/>
      <c r="J59" s="661">
        <v>0</v>
      </c>
      <c r="K59" s="648"/>
    </row>
    <row r="60" spans="1:11" ht="23.25" customHeight="1">
      <c r="A60" s="669" t="s">
        <v>23</v>
      </c>
      <c r="B60" s="663" t="s">
        <v>24</v>
      </c>
      <c r="C60" s="670"/>
      <c r="D60" s="661">
        <f>+D59</f>
        <v>0</v>
      </c>
      <c r="E60" s="677"/>
      <c r="F60" s="677"/>
      <c r="G60" s="669" t="s">
        <v>23</v>
      </c>
      <c r="H60" s="663" t="s">
        <v>24</v>
      </c>
      <c r="I60" s="670"/>
      <c r="J60" s="661">
        <f>+J59</f>
        <v>0</v>
      </c>
    </row>
    <row r="61" spans="1:11" ht="23.25" customHeight="1">
      <c r="A61" s="669" t="s">
        <v>25</v>
      </c>
      <c r="B61" s="663" t="s">
        <v>26</v>
      </c>
      <c r="C61" s="680"/>
      <c r="D61" s="669">
        <f>SUM(D50:D57)-D60</f>
        <v>213284716698.17468</v>
      </c>
      <c r="E61" s="681"/>
      <c r="F61" s="681"/>
      <c r="G61" s="669" t="s">
        <v>25</v>
      </c>
      <c r="H61" s="663" t="s">
        <v>26</v>
      </c>
      <c r="I61" s="680"/>
      <c r="J61" s="669">
        <f>SUM(J50:J57)-J60</f>
        <v>142659891642.03668</v>
      </c>
      <c r="K61" s="682">
        <f>+D61+J61</f>
        <v>355944608340.21136</v>
      </c>
    </row>
    <row r="62" spans="1:11" ht="23.25" customHeight="1">
      <c r="A62" s="683"/>
      <c r="B62" s="684"/>
      <c r="C62" s="697"/>
      <c r="D62" s="683"/>
      <c r="E62" s="686"/>
      <c r="F62" s="686"/>
      <c r="G62" s="683"/>
      <c r="H62" s="684"/>
      <c r="I62" s="697"/>
      <c r="J62" s="683"/>
      <c r="K62" s="682"/>
    </row>
    <row r="63" spans="1:11" ht="23.25" customHeight="1">
      <c r="A63" s="1436" t="str">
        <f>$L$1</f>
        <v>Tháng 12/2025</v>
      </c>
      <c r="B63" s="1436"/>
      <c r="C63" s="1436"/>
      <c r="D63" s="1436"/>
      <c r="E63" s="647"/>
      <c r="F63" s="647"/>
      <c r="G63" s="1436" t="str">
        <f>$L$1</f>
        <v>Tháng 12/2025</v>
      </c>
      <c r="H63" s="1436"/>
      <c r="I63" s="1436"/>
      <c r="J63" s="1436"/>
      <c r="K63" s="648"/>
    </row>
    <row r="64" spans="1:11" ht="23.25" customHeight="1">
      <c r="A64" s="652" t="s">
        <v>12</v>
      </c>
      <c r="B64" s="653" t="str">
        <f>VLOOKUP(C64,'LƯƠNG KT'!$A$13:$D$53,4,0)</f>
        <v>Nang Sun</v>
      </c>
      <c r="C64" s="654">
        <v>9</v>
      </c>
      <c r="D64" s="655">
        <f>+VLOOKUP(B64,'LƯƠNG KT'!$D$13:$O$94,11,0)</f>
        <v>1025.2092063926978</v>
      </c>
      <c r="E64" s="656"/>
      <c r="F64" s="656"/>
      <c r="G64" s="652" t="s">
        <v>12</v>
      </c>
      <c r="H64" s="653" t="str">
        <f>VLOOKUP(I64,'LƯƠNG KT'!$A$13:$D$53,4,0)</f>
        <v>A Nghen</v>
      </c>
      <c r="I64" s="654">
        <v>10</v>
      </c>
      <c r="J64" s="655">
        <f>+VLOOKUP(H64,'LƯƠNG KT'!$D$13:$O$94,11,0)</f>
        <v>860.1668956527426</v>
      </c>
      <c r="K64" s="657"/>
    </row>
    <row r="65" spans="1:11" ht="23.25" customHeight="1">
      <c r="A65" s="652" t="s">
        <v>13</v>
      </c>
      <c r="B65" s="660" t="s">
        <v>14</v>
      </c>
      <c r="C65" s="805">
        <f>VLOOKUP(C64,'LƯƠNG KT'!$A$13:$G$53,7,0)</f>
        <v>0</v>
      </c>
      <c r="D65" s="806">
        <f>C65*25000</f>
        <v>0</v>
      </c>
      <c r="E65" s="662"/>
      <c r="F65" s="662"/>
      <c r="G65" s="652" t="s">
        <v>13</v>
      </c>
      <c r="H65" s="660" t="s">
        <v>14</v>
      </c>
      <c r="I65" s="805">
        <f>VLOOKUP(I64,'LƯƠNG KT'!$A$13:$G$53,7,0)</f>
        <v>0</v>
      </c>
      <c r="J65" s="806">
        <f>I65*25000</f>
        <v>0</v>
      </c>
      <c r="K65" s="648"/>
    </row>
    <row r="66" spans="1:11" ht="23.25" customHeight="1">
      <c r="A66" s="652" t="s">
        <v>15</v>
      </c>
      <c r="B66" s="663" t="s">
        <v>16</v>
      </c>
      <c r="C66" s="653">
        <f>VLOOKUP(B64,'LƯƠNG KT'!$D$13:$Q$94,13,0)</f>
        <v>3752265.6953972736</v>
      </c>
      <c r="D66" s="664">
        <f>+C66*$M$2</f>
        <v>115543352458.67766</v>
      </c>
      <c r="E66" s="665"/>
      <c r="F66" s="665"/>
      <c r="G66" s="652" t="s">
        <v>15</v>
      </c>
      <c r="H66" s="663" t="s">
        <v>16</v>
      </c>
      <c r="I66" s="653">
        <f>VLOOKUP(H64,'LƯƠNG KT'!$D$13:$Q$94,13,0)</f>
        <v>3148210.8380890377</v>
      </c>
      <c r="J66" s="664">
        <f>+I66*$M$2</f>
        <v>96942717815.998871</v>
      </c>
      <c r="K66" s="666"/>
    </row>
    <row r="67" spans="1:11" ht="23.25" customHeight="1">
      <c r="A67" s="652" t="s">
        <v>357</v>
      </c>
      <c r="B67" s="663" t="s">
        <v>17</v>
      </c>
      <c r="C67" s="653">
        <f>VLOOKUP(B64,'LƯƠNG KT'!$D$13:$R$94,14,0)</f>
        <v>27</v>
      </c>
      <c r="D67" s="664">
        <f>+C67*$M$3</f>
        <v>1386885.348</v>
      </c>
      <c r="E67" s="665"/>
      <c r="F67" s="665"/>
      <c r="G67" s="652" t="s">
        <v>357</v>
      </c>
      <c r="H67" s="663" t="s">
        <v>17</v>
      </c>
      <c r="I67" s="653">
        <f>VLOOKUP(H64,'LƯƠNG KT'!$D$13:$R$94,14,0)</f>
        <v>24</v>
      </c>
      <c r="J67" s="664">
        <f>+I67*$M$3</f>
        <v>1232786.976</v>
      </c>
      <c r="K67" s="666"/>
    </row>
    <row r="68" spans="1:11" ht="23.25" customHeight="1">
      <c r="A68" s="1434" t="s">
        <v>375</v>
      </c>
      <c r="B68" s="1435"/>
      <c r="C68" s="653">
        <f>VLOOKUP(B64,'LƯƠNG KT'!$D$13:$S$94,15,0)</f>
        <v>4</v>
      </c>
      <c r="D68" s="664">
        <f>+C68*$M$5</f>
        <v>246343.64800000002</v>
      </c>
      <c r="E68" s="665"/>
      <c r="F68" s="665"/>
      <c r="G68" s="1434" t="s">
        <v>375</v>
      </c>
      <c r="H68" s="1435"/>
      <c r="I68" s="653">
        <f>VLOOKUP(H64,'LƯƠNG KT'!$D$13:$S$94,15,0)</f>
        <v>4</v>
      </c>
      <c r="J68" s="664">
        <f>+I68*$M$5</f>
        <v>246343.64800000002</v>
      </c>
      <c r="K68" s="666"/>
    </row>
    <row r="69" spans="1:11" ht="23.25" customHeight="1">
      <c r="A69" s="1434" t="s">
        <v>545</v>
      </c>
      <c r="B69" s="1435"/>
      <c r="C69" s="653">
        <f>VLOOKUP(B64,'LƯƠNG KT'!$D$13:$T$90,16,0)</f>
        <v>0</v>
      </c>
      <c r="D69" s="664">
        <f>C69*$M$6</f>
        <v>0</v>
      </c>
      <c r="E69" s="665"/>
      <c r="F69" s="665"/>
      <c r="G69" s="1434" t="s">
        <v>545</v>
      </c>
      <c r="H69" s="1435"/>
      <c r="I69" s="653">
        <f>VLOOKUP(H64,'LƯƠNG KT'!$D$13:$T$90,16,0)</f>
        <v>0</v>
      </c>
      <c r="J69" s="664">
        <f>I69*$M$6</f>
        <v>0</v>
      </c>
      <c r="K69" s="666"/>
    </row>
    <row r="70" spans="1:11" ht="23.25" customHeight="1">
      <c r="A70" s="1434" t="s">
        <v>427</v>
      </c>
      <c r="B70" s="1435"/>
      <c r="C70" s="653">
        <f>+C68+C69</f>
        <v>4</v>
      </c>
      <c r="D70" s="664">
        <f>+C70*$M$7</f>
        <v>400000</v>
      </c>
      <c r="E70" s="665"/>
      <c r="F70" s="665"/>
      <c r="G70" s="1434" t="s">
        <v>427</v>
      </c>
      <c r="H70" s="1435"/>
      <c r="I70" s="653">
        <f>+I68+I69</f>
        <v>4</v>
      </c>
      <c r="J70" s="664">
        <f>+I70*$M$7</f>
        <v>400000</v>
      </c>
      <c r="K70" s="666"/>
    </row>
    <row r="71" spans="1:11" ht="23.25" customHeight="1">
      <c r="A71" s="1434" t="s">
        <v>358</v>
      </c>
      <c r="B71" s="1435"/>
      <c r="C71" s="653">
        <f>+C66+C67+C68+C69</f>
        <v>3752296.6953972736</v>
      </c>
      <c r="D71" s="664">
        <f>+C71*$M$8</f>
        <v>75045933907.94548</v>
      </c>
      <c r="E71" s="665"/>
      <c r="F71" s="665"/>
      <c r="G71" s="1434" t="s">
        <v>358</v>
      </c>
      <c r="H71" s="1435"/>
      <c r="I71" s="653">
        <f>+I66+I67+I68+I69</f>
        <v>3148238.8380890377</v>
      </c>
      <c r="J71" s="664">
        <f>+I71*$M$8</f>
        <v>62964776761.780754</v>
      </c>
      <c r="K71" s="666"/>
    </row>
    <row r="72" spans="1:11" ht="23.25" customHeight="1">
      <c r="A72" s="652" t="s">
        <v>481</v>
      </c>
      <c r="B72" s="663" t="s">
        <v>127</v>
      </c>
      <c r="C72" s="667">
        <f>VLOOKUP(B64,'LƯƠNG KT'!$D$13:$I$94,6,0)</f>
        <v>2317</v>
      </c>
      <c r="D72" s="661" t="str">
        <f>VLOOKUP(B64,'LƯƠNG KT'!$D$13:$P$94,12,0)</f>
        <v>A</v>
      </c>
      <c r="E72" s="668"/>
      <c r="F72" s="668"/>
      <c r="G72" s="652" t="s">
        <v>481</v>
      </c>
      <c r="H72" s="663" t="s">
        <v>127</v>
      </c>
      <c r="I72" s="667">
        <f>VLOOKUP(H64,'LƯƠNG KT'!$D$13:$I$94,6,0)</f>
        <v>1944</v>
      </c>
      <c r="J72" s="661" t="str">
        <f>VLOOKUP(H64,'LƯƠNG KT'!$D$13:$P$94,12,0)</f>
        <v>A</v>
      </c>
      <c r="K72" s="648"/>
    </row>
    <row r="73" spans="1:11" ht="23.25" customHeight="1">
      <c r="A73" s="669" t="s">
        <v>19</v>
      </c>
      <c r="B73" s="663" t="s">
        <v>20</v>
      </c>
      <c r="C73" s="670"/>
      <c r="D73" s="661"/>
      <c r="E73" s="671"/>
      <c r="F73" s="671"/>
      <c r="G73" s="669" t="s">
        <v>19</v>
      </c>
      <c r="H73" s="663" t="s">
        <v>20</v>
      </c>
      <c r="I73" s="670"/>
      <c r="J73" s="661"/>
      <c r="K73" s="648"/>
    </row>
    <row r="74" spans="1:11" ht="23.25" customHeight="1">
      <c r="A74" s="674" t="s">
        <v>21</v>
      </c>
      <c r="B74" s="663" t="s">
        <v>22</v>
      </c>
      <c r="C74" s="670"/>
      <c r="D74" s="661">
        <v>0</v>
      </c>
      <c r="E74" s="668"/>
      <c r="F74" s="668"/>
      <c r="G74" s="674" t="s">
        <v>21</v>
      </c>
      <c r="H74" s="663" t="s">
        <v>22</v>
      </c>
      <c r="I74" s="670"/>
      <c r="J74" s="661">
        <v>0</v>
      </c>
      <c r="K74" s="648"/>
    </row>
    <row r="75" spans="1:11" ht="23.25" customHeight="1">
      <c r="A75" s="669" t="s">
        <v>23</v>
      </c>
      <c r="B75" s="663" t="s">
        <v>24</v>
      </c>
      <c r="C75" s="670"/>
      <c r="D75" s="661">
        <f>+D74</f>
        <v>0</v>
      </c>
      <c r="E75" s="677"/>
      <c r="F75" s="677"/>
      <c r="G75" s="669" t="s">
        <v>23</v>
      </c>
      <c r="H75" s="663" t="s">
        <v>24</v>
      </c>
      <c r="I75" s="670"/>
      <c r="J75" s="661">
        <f>+J74</f>
        <v>0</v>
      </c>
    </row>
    <row r="76" spans="1:11" ht="23.25" customHeight="1">
      <c r="A76" s="669" t="s">
        <v>25</v>
      </c>
      <c r="B76" s="663" t="s">
        <v>26</v>
      </c>
      <c r="C76" s="680"/>
      <c r="D76" s="669">
        <f>SUM(D65:D72)-D75</f>
        <v>190591319595.61914</v>
      </c>
      <c r="E76" s="681"/>
      <c r="F76" s="681"/>
      <c r="G76" s="669" t="s">
        <v>25</v>
      </c>
      <c r="H76" s="663" t="s">
        <v>26</v>
      </c>
      <c r="I76" s="680"/>
      <c r="J76" s="669">
        <f>SUM(J65:J72)-J75</f>
        <v>159909373708.40363</v>
      </c>
      <c r="K76" s="682">
        <f>+D76+J76</f>
        <v>350500693304.02277</v>
      </c>
    </row>
    <row r="77" spans="1:11" ht="23.25" customHeight="1">
      <c r="A77" s="683"/>
      <c r="B77" s="684"/>
      <c r="C77" s="697"/>
      <c r="D77" s="683"/>
      <c r="E77" s="686"/>
      <c r="F77" s="686"/>
      <c r="G77" s="683"/>
      <c r="H77" s="684"/>
      <c r="I77" s="697"/>
      <c r="J77" s="683"/>
      <c r="K77" s="682"/>
    </row>
    <row r="78" spans="1:11" ht="23.25" customHeight="1">
      <c r="A78" s="683"/>
      <c r="B78" s="684"/>
      <c r="C78" s="685"/>
      <c r="D78" s="686"/>
      <c r="E78" s="687"/>
      <c r="F78" s="686"/>
      <c r="G78" s="683"/>
      <c r="H78" s="684"/>
      <c r="I78" s="685"/>
      <c r="J78" s="688"/>
      <c r="K78" s="689"/>
    </row>
    <row r="79" spans="1:11" ht="23.25" customHeight="1">
      <c r="A79" s="1436" t="str">
        <f>$L$1</f>
        <v>Tháng 12/2025</v>
      </c>
      <c r="B79" s="1436"/>
      <c r="C79" s="1436"/>
      <c r="D79" s="1436"/>
      <c r="E79" s="647"/>
      <c r="F79" s="647"/>
      <c r="G79" s="1436" t="str">
        <f>$L$1</f>
        <v>Tháng 12/2025</v>
      </c>
      <c r="H79" s="1436"/>
      <c r="I79" s="1436"/>
      <c r="J79" s="1436"/>
      <c r="K79" s="648"/>
    </row>
    <row r="80" spans="1:11" ht="23.25" customHeight="1">
      <c r="A80" s="652" t="s">
        <v>12</v>
      </c>
      <c r="B80" s="653" t="str">
        <f>VLOOKUP(C80,'LƯƠNG KT'!$A$13:$D$53,4,0)</f>
        <v>Nguyễn Thị Thanh Trà</v>
      </c>
      <c r="C80" s="654">
        <v>11</v>
      </c>
      <c r="D80" s="655">
        <f>+VLOOKUP(B80,'LƯƠNG KT'!$D$13:$O$94,11,0)</f>
        <v>1344.6744834818337</v>
      </c>
      <c r="E80" s="656"/>
      <c r="F80" s="656"/>
      <c r="G80" s="652" t="s">
        <v>12</v>
      </c>
      <c r="H80" s="653" t="str">
        <f>VLOOKUP(I80,'LƯƠNG KT'!$A$13:$D$53,4,0)</f>
        <v>Phò Thít</v>
      </c>
      <c r="I80" s="654">
        <v>12</v>
      </c>
      <c r="J80" s="655">
        <f>+VLOOKUP(H80,'LƯƠNG KT'!$D$13:$O$94,11,0)</f>
        <v>1155.2961751796868</v>
      </c>
      <c r="K80" s="657"/>
    </row>
    <row r="81" spans="1:11" ht="23.25" customHeight="1">
      <c r="A81" s="652" t="s">
        <v>13</v>
      </c>
      <c r="B81" s="660" t="s">
        <v>14</v>
      </c>
      <c r="C81" s="805">
        <f>VLOOKUP(C80,'LƯƠNG KT'!$A$13:$G$53,7,0)</f>
        <v>0</v>
      </c>
      <c r="D81" s="806">
        <f>C81*25000</f>
        <v>0</v>
      </c>
      <c r="E81" s="662"/>
      <c r="F81" s="662"/>
      <c r="G81" s="652" t="s">
        <v>13</v>
      </c>
      <c r="H81" s="660" t="s">
        <v>14</v>
      </c>
      <c r="I81" s="805">
        <f>VLOOKUP(I80,'LƯƠNG KT'!$A$13:$G$53,7,0)</f>
        <v>0</v>
      </c>
      <c r="J81" s="806">
        <f>I81*25000</f>
        <v>0</v>
      </c>
      <c r="K81" s="648"/>
    </row>
    <row r="82" spans="1:11" ht="23.25" customHeight="1">
      <c r="A82" s="652" t="s">
        <v>15</v>
      </c>
      <c r="B82" s="663" t="s">
        <v>16</v>
      </c>
      <c r="C82" s="653">
        <f>VLOOKUP(B80,'LƯƠNG KT'!$D$13:$Q$94,13,0)</f>
        <v>4921508.6095435116</v>
      </c>
      <c r="D82" s="664">
        <f>+C82*$M$2</f>
        <v>151547798067.29456</v>
      </c>
      <c r="E82" s="665"/>
      <c r="F82" s="665"/>
      <c r="G82" s="652" t="s">
        <v>15</v>
      </c>
      <c r="H82" s="663" t="s">
        <v>16</v>
      </c>
      <c r="I82" s="653">
        <f>VLOOKUP(H80,'LƯƠNG KT'!$D$13:$Q$94,13,0)</f>
        <v>4228384.0011576535</v>
      </c>
      <c r="J82" s="664">
        <f>+I82*$M$2</f>
        <v>130204442498.75159</v>
      </c>
      <c r="K82" s="666"/>
    </row>
    <row r="83" spans="1:11" ht="23.25" customHeight="1">
      <c r="A83" s="652" t="s">
        <v>357</v>
      </c>
      <c r="B83" s="663" t="s">
        <v>17</v>
      </c>
      <c r="C83" s="653">
        <f>VLOOKUP(B80,'LƯƠNG KT'!$D$13:$R$94,14,0)</f>
        <v>27</v>
      </c>
      <c r="D83" s="664">
        <f>+C83*$M$3</f>
        <v>1386885.348</v>
      </c>
      <c r="E83" s="665"/>
      <c r="F83" s="665"/>
      <c r="G83" s="652" t="s">
        <v>357</v>
      </c>
      <c r="H83" s="663" t="s">
        <v>17</v>
      </c>
      <c r="I83" s="653">
        <f>VLOOKUP(H80,'LƯƠNG KT'!$D$13:$R$94,14,0)</f>
        <v>27</v>
      </c>
      <c r="J83" s="664">
        <f>+I83*$M$3</f>
        <v>1386885.348</v>
      </c>
      <c r="K83" s="666"/>
    </row>
    <row r="84" spans="1:11" ht="23.25" customHeight="1">
      <c r="A84" s="1434" t="s">
        <v>375</v>
      </c>
      <c r="B84" s="1435"/>
      <c r="C84" s="653">
        <f>VLOOKUP(B80,'LƯƠNG KT'!$D$13:$S$94,15,0)</f>
        <v>4</v>
      </c>
      <c r="D84" s="664">
        <f>+C84*$M$5</f>
        <v>246343.64800000002</v>
      </c>
      <c r="E84" s="665"/>
      <c r="F84" s="665"/>
      <c r="G84" s="1434" t="s">
        <v>375</v>
      </c>
      <c r="H84" s="1435"/>
      <c r="I84" s="653">
        <f>VLOOKUP(H80,'LƯƠNG KT'!$D$13:$S$94,15,0)</f>
        <v>4</v>
      </c>
      <c r="J84" s="664">
        <f>+I84*$M$5</f>
        <v>246343.64800000002</v>
      </c>
      <c r="K84" s="666"/>
    </row>
    <row r="85" spans="1:11" ht="23.25" customHeight="1">
      <c r="A85" s="1434" t="s">
        <v>545</v>
      </c>
      <c r="B85" s="1435"/>
      <c r="C85" s="653">
        <f>VLOOKUP(B80,'LƯƠNG KT'!$D$13:$T$90,16,0)</f>
        <v>0</v>
      </c>
      <c r="D85" s="664">
        <f>C85*$M$6</f>
        <v>0</v>
      </c>
      <c r="E85" s="665"/>
      <c r="F85" s="665"/>
      <c r="G85" s="1434" t="s">
        <v>545</v>
      </c>
      <c r="H85" s="1435"/>
      <c r="I85" s="653">
        <f>VLOOKUP(H80,'LƯƠNG KT'!$D$13:$T$90,16,0)</f>
        <v>0</v>
      </c>
      <c r="J85" s="664">
        <f>I85*$M$6</f>
        <v>0</v>
      </c>
      <c r="K85" s="666"/>
    </row>
    <row r="86" spans="1:11" ht="23.25" customHeight="1">
      <c r="A86" s="1434" t="s">
        <v>427</v>
      </c>
      <c r="B86" s="1435"/>
      <c r="C86" s="653">
        <f>+C84+C85</f>
        <v>4</v>
      </c>
      <c r="D86" s="664">
        <f>+C86*$M$7</f>
        <v>400000</v>
      </c>
      <c r="E86" s="665"/>
      <c r="F86" s="665"/>
      <c r="G86" s="1434" t="s">
        <v>427</v>
      </c>
      <c r="H86" s="1435"/>
      <c r="I86" s="653">
        <f>+I84+I85</f>
        <v>4</v>
      </c>
      <c r="J86" s="664">
        <f>+I86*$M$7</f>
        <v>400000</v>
      </c>
      <c r="K86" s="666"/>
    </row>
    <row r="87" spans="1:11" ht="23.25" customHeight="1">
      <c r="A87" s="1434" t="s">
        <v>358</v>
      </c>
      <c r="B87" s="1435"/>
      <c r="C87" s="653">
        <f>+C82+C83+C84+C85</f>
        <v>4921539.6095435116</v>
      </c>
      <c r="D87" s="664">
        <f>+C87*$M$8</f>
        <v>98430792190.870239</v>
      </c>
      <c r="E87" s="665"/>
      <c r="F87" s="665"/>
      <c r="G87" s="1434" t="s">
        <v>358</v>
      </c>
      <c r="H87" s="1435"/>
      <c r="I87" s="653">
        <f>+I82+I83+I84+I85</f>
        <v>4228415.0011576535</v>
      </c>
      <c r="J87" s="664">
        <f>+I87*$M$8</f>
        <v>84568300023.153076</v>
      </c>
      <c r="K87" s="666"/>
    </row>
    <row r="88" spans="1:11" ht="23.25" customHeight="1">
      <c r="A88" s="652" t="s">
        <v>481</v>
      </c>
      <c r="B88" s="663" t="s">
        <v>127</v>
      </c>
      <c r="C88" s="667">
        <f>VLOOKUP(B80,'LƯƠNG KT'!$D$13:$I$94,6,0)</f>
        <v>3039</v>
      </c>
      <c r="D88" s="661" t="str">
        <f>VLOOKUP(B80,'LƯƠNG KT'!$D$13:$P$94,12,0)</f>
        <v>A</v>
      </c>
      <c r="E88" s="668"/>
      <c r="F88" s="668"/>
      <c r="G88" s="652" t="s">
        <v>481</v>
      </c>
      <c r="H88" s="663" t="s">
        <v>127</v>
      </c>
      <c r="I88" s="667">
        <f>VLOOKUP(H80,'LƯƠNG KT'!$D$13:$I$94,6,0)</f>
        <v>2611</v>
      </c>
      <c r="J88" s="661" t="str">
        <f>VLOOKUP(H80,'LƯƠNG KT'!$D$13:$P$94,12,0)</f>
        <v>A</v>
      </c>
      <c r="K88" s="648"/>
    </row>
    <row r="89" spans="1:11" ht="23.25" customHeight="1">
      <c r="A89" s="669" t="s">
        <v>19</v>
      </c>
      <c r="B89" s="663" t="s">
        <v>20</v>
      </c>
      <c r="C89" s="670"/>
      <c r="D89" s="661"/>
      <c r="E89" s="671"/>
      <c r="F89" s="671"/>
      <c r="G89" s="669" t="s">
        <v>19</v>
      </c>
      <c r="H89" s="663" t="s">
        <v>20</v>
      </c>
      <c r="I89" s="670"/>
      <c r="J89" s="661"/>
      <c r="K89" s="648"/>
    </row>
    <row r="90" spans="1:11" ht="23.25" customHeight="1">
      <c r="A90" s="674" t="s">
        <v>21</v>
      </c>
      <c r="B90" s="663" t="s">
        <v>22</v>
      </c>
      <c r="C90" s="670"/>
      <c r="D90" s="661">
        <v>0</v>
      </c>
      <c r="E90" s="668"/>
      <c r="F90" s="668"/>
      <c r="G90" s="674" t="s">
        <v>21</v>
      </c>
      <c r="H90" s="663" t="s">
        <v>22</v>
      </c>
      <c r="I90" s="670"/>
      <c r="J90" s="661">
        <v>0</v>
      </c>
      <c r="K90" s="648"/>
    </row>
    <row r="91" spans="1:11" ht="23.25" customHeight="1">
      <c r="A91" s="669" t="s">
        <v>23</v>
      </c>
      <c r="B91" s="663" t="s">
        <v>24</v>
      </c>
      <c r="C91" s="670"/>
      <c r="D91" s="661">
        <f>+D90</f>
        <v>0</v>
      </c>
      <c r="E91" s="677"/>
      <c r="F91" s="677"/>
      <c r="G91" s="669" t="s">
        <v>23</v>
      </c>
      <c r="H91" s="663" t="s">
        <v>24</v>
      </c>
      <c r="I91" s="670"/>
      <c r="J91" s="661">
        <f>+J90</f>
        <v>0</v>
      </c>
    </row>
    <row r="92" spans="1:11" ht="23.25" customHeight="1">
      <c r="A92" s="669" t="s">
        <v>25</v>
      </c>
      <c r="B92" s="663" t="s">
        <v>26</v>
      </c>
      <c r="C92" s="680"/>
      <c r="D92" s="669">
        <f>SUM(D81:D88)-D91</f>
        <v>249980623487.1608</v>
      </c>
      <c r="E92" s="681"/>
      <c r="F92" s="681"/>
      <c r="G92" s="669" t="s">
        <v>25</v>
      </c>
      <c r="H92" s="663" t="s">
        <v>26</v>
      </c>
      <c r="I92" s="680"/>
      <c r="J92" s="669">
        <f>SUM(J81:J88)-J91</f>
        <v>214774775750.90067</v>
      </c>
      <c r="K92" s="682">
        <f>+D92+J92</f>
        <v>464755399238.06146</v>
      </c>
    </row>
    <row r="93" spans="1:11" ht="23.25" customHeight="1">
      <c r="A93" s="683"/>
      <c r="B93" s="684"/>
      <c r="C93" s="697"/>
      <c r="D93" s="683"/>
      <c r="E93" s="686"/>
      <c r="F93" s="686"/>
      <c r="G93" s="683"/>
      <c r="H93" s="684"/>
      <c r="I93" s="697"/>
      <c r="J93" s="683"/>
      <c r="K93" s="682"/>
    </row>
    <row r="94" spans="1:11" ht="23.25" customHeight="1">
      <c r="A94" s="1436" t="str">
        <f>$L$1</f>
        <v>Tháng 12/2025</v>
      </c>
      <c r="B94" s="1436"/>
      <c r="C94" s="1436"/>
      <c r="D94" s="1436"/>
      <c r="E94" s="647"/>
      <c r="F94" s="647"/>
      <c r="G94" s="1436" t="str">
        <f>$L$1</f>
        <v>Tháng 12/2025</v>
      </c>
      <c r="H94" s="1436"/>
      <c r="I94" s="1436"/>
      <c r="J94" s="1436"/>
      <c r="K94" s="648"/>
    </row>
    <row r="95" spans="1:11" ht="23.25" customHeight="1">
      <c r="A95" s="652" t="s">
        <v>12</v>
      </c>
      <c r="B95" s="653" t="str">
        <f>VLOOKUP(C95,'LƯƠNG KT'!$A$13:$D$53,4,0)</f>
        <v>A Bợp</v>
      </c>
      <c r="C95" s="654">
        <v>13</v>
      </c>
      <c r="D95" s="655">
        <f>+VLOOKUP(B95,'LƯƠNG KT'!$D$13:$O$94,11,0)</f>
        <v>1439.3636376329073</v>
      </c>
      <c r="E95" s="656"/>
      <c r="F95" s="656"/>
      <c r="G95" s="652" t="s">
        <v>12</v>
      </c>
      <c r="H95" s="653" t="str">
        <f>VLOOKUP(I95,'LƯƠNG KT'!$A$13:$D$53,4,0)</f>
        <v>A Khai</v>
      </c>
      <c r="I95" s="654">
        <v>14</v>
      </c>
      <c r="J95" s="655">
        <f>+VLOOKUP(H95,'LƯƠNG KT'!$D$13:$O$94,11,0)</f>
        <v>924.32543468033919</v>
      </c>
      <c r="K95" s="657"/>
    </row>
    <row r="96" spans="1:11" ht="23.25" customHeight="1">
      <c r="A96" s="652" t="s">
        <v>13</v>
      </c>
      <c r="B96" s="660" t="s">
        <v>14</v>
      </c>
      <c r="C96" s="805">
        <f>VLOOKUP(C95,'LƯƠNG KT'!$A$13:$G$53,7,0)</f>
        <v>0</v>
      </c>
      <c r="D96" s="806">
        <f>C96*25000</f>
        <v>0</v>
      </c>
      <c r="E96" s="662"/>
      <c r="F96" s="662"/>
      <c r="G96" s="652" t="s">
        <v>13</v>
      </c>
      <c r="H96" s="660" t="s">
        <v>14</v>
      </c>
      <c r="I96" s="805">
        <f>VLOOKUP(I95,'LƯƠNG KT'!$A$13:$G$53,7,0)</f>
        <v>0</v>
      </c>
      <c r="J96" s="806">
        <f>I96*25000</f>
        <v>0</v>
      </c>
      <c r="K96" s="648"/>
    </row>
    <row r="97" spans="1:11" ht="23.25" customHeight="1">
      <c r="A97" s="652" t="s">
        <v>15</v>
      </c>
      <c r="B97" s="663" t="s">
        <v>16</v>
      </c>
      <c r="C97" s="653">
        <f>VLOOKUP(B95,'LƯƠNG KT'!$D$13:$Q$94,13,0)</f>
        <v>5008985.4589625169</v>
      </c>
      <c r="D97" s="664">
        <f>+C97*$M$2</f>
        <v>154241468842.4726</v>
      </c>
      <c r="E97" s="665"/>
      <c r="F97" s="665"/>
      <c r="G97" s="652" t="s">
        <v>15</v>
      </c>
      <c r="H97" s="663" t="s">
        <v>16</v>
      </c>
      <c r="I97" s="653">
        <f>VLOOKUP(H95,'LƯƠNG KT'!$D$13:$Q$94,13,0)</f>
        <v>3383031.0909300409</v>
      </c>
      <c r="J97" s="664">
        <f>+I97*$M$2</f>
        <v>104173527529.64076</v>
      </c>
      <c r="K97" s="666"/>
    </row>
    <row r="98" spans="1:11" ht="23.25" customHeight="1">
      <c r="A98" s="652" t="s">
        <v>357</v>
      </c>
      <c r="B98" s="663" t="s">
        <v>17</v>
      </c>
      <c r="C98" s="653">
        <f>VLOOKUP(B95,'LƯƠNG KT'!$D$13:$R$94,14,0)</f>
        <v>27</v>
      </c>
      <c r="D98" s="664">
        <f>+C98*$M$3</f>
        <v>1386885.348</v>
      </c>
      <c r="E98" s="665"/>
      <c r="F98" s="665"/>
      <c r="G98" s="652" t="s">
        <v>357</v>
      </c>
      <c r="H98" s="663" t="s">
        <v>17</v>
      </c>
      <c r="I98" s="653">
        <f>VLOOKUP(H95,'LƯƠNG KT'!$D$13:$R$94,14,0)</f>
        <v>27</v>
      </c>
      <c r="J98" s="664">
        <f>+I98*$M$3</f>
        <v>1386885.348</v>
      </c>
      <c r="K98" s="666"/>
    </row>
    <row r="99" spans="1:11" ht="23.25" customHeight="1">
      <c r="A99" s="1434" t="s">
        <v>375</v>
      </c>
      <c r="B99" s="1435"/>
      <c r="C99" s="653">
        <f>VLOOKUP(B95,'LƯƠNG KT'!$D$13:$S$94,15,0)</f>
        <v>4</v>
      </c>
      <c r="D99" s="664">
        <f>+C99*$M$5</f>
        <v>246343.64800000002</v>
      </c>
      <c r="E99" s="665"/>
      <c r="F99" s="665"/>
      <c r="G99" s="1434" t="s">
        <v>375</v>
      </c>
      <c r="H99" s="1435"/>
      <c r="I99" s="653">
        <f>VLOOKUP(H95,'LƯƠNG KT'!$D$13:$S$94,15,0)</f>
        <v>4</v>
      </c>
      <c r="J99" s="664">
        <f>+I99*$M$5</f>
        <v>246343.64800000002</v>
      </c>
      <c r="K99" s="666"/>
    </row>
    <row r="100" spans="1:11" ht="23.25" customHeight="1">
      <c r="A100" s="1434" t="s">
        <v>545</v>
      </c>
      <c r="B100" s="1435"/>
      <c r="C100" s="653">
        <f>VLOOKUP(B95,'LƯƠNG KT'!$D$13:$T$90,16,0)</f>
        <v>0</v>
      </c>
      <c r="D100" s="664">
        <f>C100*$M$6</f>
        <v>0</v>
      </c>
      <c r="E100" s="665"/>
      <c r="F100" s="665"/>
      <c r="G100" s="1434" t="s">
        <v>545</v>
      </c>
      <c r="H100" s="1435"/>
      <c r="I100" s="653">
        <f>VLOOKUP(H95,'LƯƠNG KT'!$D$13:$T$90,16,0)</f>
        <v>0</v>
      </c>
      <c r="J100" s="664">
        <f>I100*$M$6</f>
        <v>0</v>
      </c>
      <c r="K100" s="666"/>
    </row>
    <row r="101" spans="1:11" ht="23.25" customHeight="1">
      <c r="A101" s="1434" t="s">
        <v>427</v>
      </c>
      <c r="B101" s="1435"/>
      <c r="C101" s="653">
        <f>+C99+C100</f>
        <v>4</v>
      </c>
      <c r="D101" s="664">
        <f>+C101*$M$7</f>
        <v>400000</v>
      </c>
      <c r="E101" s="665"/>
      <c r="F101" s="665"/>
      <c r="G101" s="1434" t="s">
        <v>427</v>
      </c>
      <c r="H101" s="1435"/>
      <c r="I101" s="653">
        <f>+I99+I100</f>
        <v>4</v>
      </c>
      <c r="J101" s="664">
        <f>+I101*$M$7</f>
        <v>400000</v>
      </c>
      <c r="K101" s="666"/>
    </row>
    <row r="102" spans="1:11" ht="23.25" customHeight="1">
      <c r="A102" s="1434" t="s">
        <v>358</v>
      </c>
      <c r="B102" s="1435"/>
      <c r="C102" s="653">
        <f>+C97+C98+C99+C100</f>
        <v>5009016.4589625169</v>
      </c>
      <c r="D102" s="664">
        <f>+C102*$M$8</f>
        <v>100180329179.25034</v>
      </c>
      <c r="E102" s="665"/>
      <c r="F102" s="665"/>
      <c r="G102" s="1434" t="s">
        <v>358</v>
      </c>
      <c r="H102" s="1435"/>
      <c r="I102" s="653">
        <f>+I97+I98+I99+I100</f>
        <v>3383062.0909300409</v>
      </c>
      <c r="J102" s="664">
        <f>+I102*$M$8</f>
        <v>67661241818.600815</v>
      </c>
      <c r="K102" s="666"/>
    </row>
    <row r="103" spans="1:11" ht="23.25" customHeight="1">
      <c r="A103" s="652" t="s">
        <v>481</v>
      </c>
      <c r="B103" s="663" t="s">
        <v>127</v>
      </c>
      <c r="C103" s="667">
        <f>VLOOKUP(B95,'LƯƠNG KT'!$D$13:$I$94,6,0)</f>
        <v>3253</v>
      </c>
      <c r="D103" s="661" t="str">
        <f>VLOOKUP(B95,'LƯƠNG KT'!$D$13:$P$94,12,0)</f>
        <v>B</v>
      </c>
      <c r="E103" s="668"/>
      <c r="F103" s="668"/>
      <c r="G103" s="652" t="s">
        <v>481</v>
      </c>
      <c r="H103" s="663" t="s">
        <v>127</v>
      </c>
      <c r="I103" s="667">
        <f>VLOOKUP(H95,'LƯƠNG KT'!$D$13:$I$94,6,0)</f>
        <v>2089</v>
      </c>
      <c r="J103" s="661" t="str">
        <f>VLOOKUP(H95,'LƯƠNG KT'!$D$13:$P$94,12,0)</f>
        <v>A</v>
      </c>
      <c r="K103" s="648"/>
    </row>
    <row r="104" spans="1:11" ht="23.25" customHeight="1">
      <c r="A104" s="669" t="s">
        <v>19</v>
      </c>
      <c r="B104" s="663" t="s">
        <v>20</v>
      </c>
      <c r="C104" s="670"/>
      <c r="D104" s="661"/>
      <c r="E104" s="671"/>
      <c r="F104" s="671"/>
      <c r="G104" s="669" t="s">
        <v>19</v>
      </c>
      <c r="H104" s="663" t="s">
        <v>20</v>
      </c>
      <c r="I104" s="670"/>
      <c r="J104" s="661"/>
      <c r="K104" s="648"/>
    </row>
    <row r="105" spans="1:11" ht="23.25" customHeight="1">
      <c r="A105" s="674" t="s">
        <v>21</v>
      </c>
      <c r="B105" s="663" t="s">
        <v>22</v>
      </c>
      <c r="C105" s="670"/>
      <c r="D105" s="661">
        <v>0</v>
      </c>
      <c r="E105" s="668"/>
      <c r="F105" s="668"/>
      <c r="G105" s="674" t="s">
        <v>21</v>
      </c>
      <c r="H105" s="663" t="s">
        <v>22</v>
      </c>
      <c r="I105" s="670"/>
      <c r="J105" s="661">
        <v>0</v>
      </c>
      <c r="K105" s="648"/>
    </row>
    <row r="106" spans="1:11" ht="23.25" customHeight="1">
      <c r="A106" s="669" t="s">
        <v>23</v>
      </c>
      <c r="B106" s="663" t="s">
        <v>24</v>
      </c>
      <c r="C106" s="670"/>
      <c r="D106" s="661">
        <f>+D105</f>
        <v>0</v>
      </c>
      <c r="E106" s="677"/>
      <c r="F106" s="677"/>
      <c r="G106" s="669" t="s">
        <v>23</v>
      </c>
      <c r="H106" s="663" t="s">
        <v>24</v>
      </c>
      <c r="I106" s="670"/>
      <c r="J106" s="661">
        <f>+J105</f>
        <v>0</v>
      </c>
    </row>
    <row r="107" spans="1:11" ht="23.25" customHeight="1">
      <c r="A107" s="669" t="s">
        <v>25</v>
      </c>
      <c r="B107" s="663" t="s">
        <v>26</v>
      </c>
      <c r="C107" s="680"/>
      <c r="D107" s="669">
        <f>SUM(D96:D103)-D106</f>
        <v>254423831250.71893</v>
      </c>
      <c r="E107" s="681"/>
      <c r="F107" s="681"/>
      <c r="G107" s="669" t="s">
        <v>25</v>
      </c>
      <c r="H107" s="663" t="s">
        <v>26</v>
      </c>
      <c r="I107" s="680"/>
      <c r="J107" s="669">
        <f>SUM(J96:J103)-J106</f>
        <v>171836802577.23758</v>
      </c>
      <c r="K107" s="682">
        <f>+D107+J107</f>
        <v>426260633827.95654</v>
      </c>
    </row>
    <row r="108" spans="1:11" ht="23.25" customHeight="1">
      <c r="A108" s="683"/>
      <c r="B108" s="684"/>
      <c r="C108" s="697"/>
      <c r="D108" s="683"/>
      <c r="E108" s="686"/>
      <c r="F108" s="686"/>
      <c r="G108" s="683"/>
      <c r="H108" s="684"/>
      <c r="I108" s="697"/>
      <c r="J108" s="683"/>
      <c r="K108" s="682"/>
    </row>
    <row r="109" spans="1:11" ht="23.25" customHeight="1">
      <c r="A109" s="683"/>
      <c r="B109" s="684"/>
      <c r="C109" s="685"/>
      <c r="D109" s="686"/>
      <c r="E109" s="687"/>
      <c r="F109" s="686"/>
      <c r="G109" s="683"/>
      <c r="H109" s="684"/>
      <c r="I109" s="685"/>
      <c r="J109" s="688"/>
      <c r="K109" s="689"/>
    </row>
    <row r="110" spans="1:11" ht="23.25" customHeight="1">
      <c r="A110" s="1436" t="str">
        <f>$L$1</f>
        <v>Tháng 12/2025</v>
      </c>
      <c r="B110" s="1436"/>
      <c r="C110" s="1436"/>
      <c r="D110" s="1436"/>
      <c r="E110" s="647"/>
      <c r="F110" s="647"/>
      <c r="G110" s="1436" t="str">
        <f>$L$1</f>
        <v>Tháng 12/2025</v>
      </c>
      <c r="H110" s="1436"/>
      <c r="I110" s="1436"/>
      <c r="J110" s="1436"/>
      <c r="K110" s="648"/>
    </row>
    <row r="111" spans="1:11" ht="23.25" customHeight="1">
      <c r="A111" s="652" t="s">
        <v>12</v>
      </c>
      <c r="B111" s="653" t="str">
        <f>VLOOKUP(C111,'LƯƠNG KT'!$A$13:$D$53,4,0)</f>
        <v>Võ Thị Nguyên</v>
      </c>
      <c r="C111" s="654">
        <v>15</v>
      </c>
      <c r="D111" s="655">
        <f>+VLOOKUP(B111,'LƯƠNG KT'!$D$13:$O$94,11,0)</f>
        <v>1344.6744834818337</v>
      </c>
      <c r="E111" s="656"/>
      <c r="F111" s="656"/>
      <c r="G111" s="652" t="s">
        <v>12</v>
      </c>
      <c r="H111" s="653" t="str">
        <f>VLOOKUP(I111,'LƯƠNG KT'!$A$13:$D$53,4,0)</f>
        <v>Tà Lọt</v>
      </c>
      <c r="I111" s="654">
        <v>16</v>
      </c>
      <c r="J111" s="655">
        <f>+VLOOKUP(H111,'LƯƠNG KT'!$D$13:$O$94,11,0)</f>
        <v>1026.9790971244936</v>
      </c>
      <c r="K111" s="657"/>
    </row>
    <row r="112" spans="1:11" ht="23.25" customHeight="1">
      <c r="A112" s="652" t="s">
        <v>13</v>
      </c>
      <c r="B112" s="660" t="s">
        <v>14</v>
      </c>
      <c r="C112" s="805">
        <f>VLOOKUP(C111,'LƯƠNG KT'!$A$13:$G$53,7,0)</f>
        <v>0</v>
      </c>
      <c r="D112" s="806">
        <f>C112*25000</f>
        <v>0</v>
      </c>
      <c r="E112" s="662"/>
      <c r="F112" s="662"/>
      <c r="G112" s="652" t="s">
        <v>13</v>
      </c>
      <c r="H112" s="660" t="s">
        <v>14</v>
      </c>
      <c r="I112" s="805">
        <f>VLOOKUP(I111,'LƯƠNG KT'!$A$13:$G$53,7,0)</f>
        <v>0</v>
      </c>
      <c r="J112" s="806">
        <f>I112*25000</f>
        <v>0</v>
      </c>
      <c r="K112" s="648"/>
    </row>
    <row r="113" spans="1:11" ht="23.25" customHeight="1">
      <c r="A113" s="652" t="s">
        <v>15</v>
      </c>
      <c r="B113" s="663" t="s">
        <v>16</v>
      </c>
      <c r="C113" s="653">
        <f>VLOOKUP(B111,'LƯƠNG KT'!$D$13:$Q$94,13,0)</f>
        <v>4921508.6095435116</v>
      </c>
      <c r="D113" s="664">
        <f>+C113*$M$2</f>
        <v>151547798067.29456</v>
      </c>
      <c r="E113" s="665"/>
      <c r="F113" s="665"/>
      <c r="G113" s="652" t="s">
        <v>15</v>
      </c>
      <c r="H113" s="663" t="s">
        <v>16</v>
      </c>
      <c r="I113" s="653">
        <f>VLOOKUP(H111,'LƯƠNG KT'!$D$13:$Q$94,13,0)</f>
        <v>3573887.257993238</v>
      </c>
      <c r="J113" s="664">
        <f>+I113*$M$2</f>
        <v>110050553084.34644</v>
      </c>
      <c r="K113" s="666"/>
    </row>
    <row r="114" spans="1:11" ht="23.25" customHeight="1">
      <c r="A114" s="652" t="s">
        <v>357</v>
      </c>
      <c r="B114" s="663" t="s">
        <v>17</v>
      </c>
      <c r="C114" s="653">
        <f>VLOOKUP(B111,'LƯƠNG KT'!$D$13:$R$94,14,0)</f>
        <v>27</v>
      </c>
      <c r="D114" s="664">
        <f>+C114*$M$3</f>
        <v>1386885.348</v>
      </c>
      <c r="E114" s="665"/>
      <c r="F114" s="665"/>
      <c r="G114" s="652" t="s">
        <v>357</v>
      </c>
      <c r="H114" s="663" t="s">
        <v>17</v>
      </c>
      <c r="I114" s="653">
        <f>VLOOKUP(H111,'LƯƠNG KT'!$D$13:$R$94,14,0)</f>
        <v>26</v>
      </c>
      <c r="J114" s="664">
        <f>+I114*$M$3</f>
        <v>1335519.2240000002</v>
      </c>
      <c r="K114" s="666"/>
    </row>
    <row r="115" spans="1:11" ht="23.25" customHeight="1">
      <c r="A115" s="1434" t="s">
        <v>375</v>
      </c>
      <c r="B115" s="1435"/>
      <c r="C115" s="653">
        <f>VLOOKUP(B111,'LƯƠNG KT'!$D$13:$S$94,15,0)</f>
        <v>4</v>
      </c>
      <c r="D115" s="664">
        <f>+C115*$M$5</f>
        <v>246343.64800000002</v>
      </c>
      <c r="E115" s="665"/>
      <c r="F115" s="665"/>
      <c r="G115" s="1434" t="s">
        <v>375</v>
      </c>
      <c r="H115" s="1435"/>
      <c r="I115" s="653">
        <f>VLOOKUP(H111,'LƯƠNG KT'!$D$13:$S$94,15,0)</f>
        <v>4</v>
      </c>
      <c r="J115" s="664">
        <f>+I115*$M$5</f>
        <v>246343.64800000002</v>
      </c>
      <c r="K115" s="666"/>
    </row>
    <row r="116" spans="1:11" ht="23.25" customHeight="1">
      <c r="A116" s="1434" t="s">
        <v>545</v>
      </c>
      <c r="B116" s="1435"/>
      <c r="C116" s="653">
        <f>VLOOKUP(B111,'LƯƠNG KT'!$D$13:$T$90,16,0)</f>
        <v>0</v>
      </c>
      <c r="D116" s="664">
        <f>C116*$M$6</f>
        <v>0</v>
      </c>
      <c r="E116" s="665"/>
      <c r="F116" s="665"/>
      <c r="G116" s="1434" t="s">
        <v>545</v>
      </c>
      <c r="H116" s="1435"/>
      <c r="I116" s="653">
        <f>VLOOKUP(H111,'LƯƠNG KT'!$D$13:$T$90,16,0)</f>
        <v>0</v>
      </c>
      <c r="J116" s="664">
        <f>I116*$M$6</f>
        <v>0</v>
      </c>
      <c r="K116" s="666"/>
    </row>
    <row r="117" spans="1:11" ht="23.25" customHeight="1">
      <c r="A117" s="1434" t="s">
        <v>427</v>
      </c>
      <c r="B117" s="1435"/>
      <c r="C117" s="653">
        <f>+C115+C116</f>
        <v>4</v>
      </c>
      <c r="D117" s="664">
        <f>+C117*$M$7</f>
        <v>400000</v>
      </c>
      <c r="E117" s="665"/>
      <c r="F117" s="665"/>
      <c r="G117" s="1434" t="s">
        <v>427</v>
      </c>
      <c r="H117" s="1435"/>
      <c r="I117" s="653">
        <f>+I115+I116</f>
        <v>4</v>
      </c>
      <c r="J117" s="664">
        <f>+I117*$M$7</f>
        <v>400000</v>
      </c>
      <c r="K117" s="666"/>
    </row>
    <row r="118" spans="1:11" ht="23.25" customHeight="1">
      <c r="A118" s="1434" t="s">
        <v>358</v>
      </c>
      <c r="B118" s="1435"/>
      <c r="C118" s="653">
        <f>+C113+C114+C115+C116</f>
        <v>4921539.6095435116</v>
      </c>
      <c r="D118" s="664">
        <f>+C118*$M$8</f>
        <v>98430792190.870239</v>
      </c>
      <c r="E118" s="665"/>
      <c r="F118" s="665"/>
      <c r="G118" s="1434" t="s">
        <v>358</v>
      </c>
      <c r="H118" s="1435"/>
      <c r="I118" s="653">
        <f>+I113+I114+I115+I116</f>
        <v>3573917.257993238</v>
      </c>
      <c r="J118" s="664">
        <f>+I118*$M$8</f>
        <v>71478345159.864761</v>
      </c>
      <c r="K118" s="666"/>
    </row>
    <row r="119" spans="1:11" ht="23.25" customHeight="1">
      <c r="A119" s="652" t="s">
        <v>481</v>
      </c>
      <c r="B119" s="663" t="s">
        <v>127</v>
      </c>
      <c r="C119" s="667">
        <f>VLOOKUP(B111,'LƯƠNG KT'!$D$13:$I$94,6,0)</f>
        <v>3039</v>
      </c>
      <c r="D119" s="661" t="str">
        <f>VLOOKUP(B111,'LƯƠNG KT'!$D$13:$P$94,12,0)</f>
        <v>A</v>
      </c>
      <c r="E119" s="668"/>
      <c r="F119" s="668"/>
      <c r="G119" s="652" t="s">
        <v>481</v>
      </c>
      <c r="H119" s="663" t="s">
        <v>127</v>
      </c>
      <c r="I119" s="667">
        <f>VLOOKUP(H111,'LƯƠNG KT'!$D$13:$I$94,6,0)</f>
        <v>2321</v>
      </c>
      <c r="J119" s="661" t="str">
        <f>VLOOKUP(H111,'LƯƠNG KT'!$D$13:$P$94,12,0)</f>
        <v>B</v>
      </c>
      <c r="K119" s="648"/>
    </row>
    <row r="120" spans="1:11" ht="23.25" customHeight="1">
      <c r="A120" s="669" t="s">
        <v>19</v>
      </c>
      <c r="B120" s="663" t="s">
        <v>20</v>
      </c>
      <c r="C120" s="670"/>
      <c r="D120" s="661"/>
      <c r="E120" s="671"/>
      <c r="F120" s="671"/>
      <c r="G120" s="669" t="s">
        <v>19</v>
      </c>
      <c r="H120" s="663" t="s">
        <v>20</v>
      </c>
      <c r="I120" s="670"/>
      <c r="J120" s="661"/>
      <c r="K120" s="648"/>
    </row>
    <row r="121" spans="1:11" ht="23.25" customHeight="1">
      <c r="A121" s="674" t="s">
        <v>21</v>
      </c>
      <c r="B121" s="663" t="s">
        <v>22</v>
      </c>
      <c r="C121" s="670"/>
      <c r="D121" s="661">
        <v>0</v>
      </c>
      <c r="E121" s="668"/>
      <c r="F121" s="668"/>
      <c r="G121" s="674" t="s">
        <v>21</v>
      </c>
      <c r="H121" s="663" t="s">
        <v>22</v>
      </c>
      <c r="I121" s="670"/>
      <c r="J121" s="661">
        <v>0</v>
      </c>
      <c r="K121" s="648"/>
    </row>
    <row r="122" spans="1:11" ht="23.25" customHeight="1">
      <c r="A122" s="669" t="s">
        <v>23</v>
      </c>
      <c r="B122" s="663" t="s">
        <v>24</v>
      </c>
      <c r="C122" s="670"/>
      <c r="D122" s="661">
        <f>+D121</f>
        <v>0</v>
      </c>
      <c r="E122" s="677"/>
      <c r="F122" s="677"/>
      <c r="G122" s="669" t="s">
        <v>23</v>
      </c>
      <c r="H122" s="663" t="s">
        <v>24</v>
      </c>
      <c r="I122" s="670"/>
      <c r="J122" s="661">
        <f>+J121</f>
        <v>0</v>
      </c>
    </row>
    <row r="123" spans="1:11" ht="23.25" customHeight="1">
      <c r="A123" s="669" t="s">
        <v>25</v>
      </c>
      <c r="B123" s="663" t="s">
        <v>26</v>
      </c>
      <c r="C123" s="680"/>
      <c r="D123" s="669">
        <f>SUM(D112:D119)-D122</f>
        <v>249980623487.1608</v>
      </c>
      <c r="E123" s="681"/>
      <c r="F123" s="681"/>
      <c r="G123" s="669" t="s">
        <v>25</v>
      </c>
      <c r="H123" s="663" t="s">
        <v>26</v>
      </c>
      <c r="I123" s="680"/>
      <c r="J123" s="669">
        <f>SUM(J112:J119)-J122</f>
        <v>181530880107.08319</v>
      </c>
      <c r="K123" s="682">
        <f>+D123+J123</f>
        <v>431511503594.24402</v>
      </c>
    </row>
    <row r="124" spans="1:11" ht="23.25" customHeight="1">
      <c r="A124" s="683"/>
      <c r="B124" s="684"/>
      <c r="C124" s="697"/>
      <c r="D124" s="683"/>
      <c r="E124" s="686"/>
      <c r="F124" s="686"/>
      <c r="G124" s="683"/>
      <c r="H124" s="684"/>
      <c r="I124" s="697"/>
      <c r="J124" s="683"/>
      <c r="K124" s="682"/>
    </row>
    <row r="125" spans="1:11" ht="23.25" customHeight="1">
      <c r="A125" s="1436" t="str">
        <f>$L$1</f>
        <v>Tháng 12/2025</v>
      </c>
      <c r="B125" s="1436"/>
      <c r="C125" s="1436"/>
      <c r="D125" s="1436"/>
      <c r="E125" s="647"/>
      <c r="F125" s="647"/>
      <c r="G125" s="1436" t="str">
        <f>$L$1</f>
        <v>Tháng 12/2025</v>
      </c>
      <c r="H125" s="1436"/>
      <c r="I125" s="1436"/>
      <c r="J125" s="1436"/>
      <c r="K125" s="648"/>
    </row>
    <row r="126" spans="1:11" ht="23.25" customHeight="1">
      <c r="A126" s="652" t="s">
        <v>12</v>
      </c>
      <c r="B126" s="653" t="str">
        <f>VLOOKUP(C126,'LƯƠNG KT'!$A$13:$D$53,4,0)</f>
        <v>A Han</v>
      </c>
      <c r="C126" s="654">
        <v>17</v>
      </c>
      <c r="D126" s="655">
        <f>+VLOOKUP(B126,'LƯƠNG KT'!$D$13:$O$94,11,0)</f>
        <v>1300.8696878698884</v>
      </c>
      <c r="E126" s="656"/>
      <c r="F126" s="656"/>
      <c r="G126" s="652" t="s">
        <v>12</v>
      </c>
      <c r="H126" s="653" t="str">
        <f>VLOOKUP(I126,'LƯƠNG KT'!$A$13:$D$53,4,0)</f>
        <v>A Nút</v>
      </c>
      <c r="I126" s="654">
        <v>18</v>
      </c>
      <c r="J126" s="655">
        <f>+VLOOKUP(H126,'LƯƠNG KT'!$D$13:$O$94,11,0)</f>
        <v>1108.3940707870988</v>
      </c>
      <c r="K126" s="657"/>
    </row>
    <row r="127" spans="1:11" ht="23.25" customHeight="1">
      <c r="A127" s="652" t="s">
        <v>13</v>
      </c>
      <c r="B127" s="660" t="s">
        <v>14</v>
      </c>
      <c r="C127" s="805">
        <f>VLOOKUP(C126,'LƯƠNG KT'!$A$13:$G$53,7,0)</f>
        <v>0</v>
      </c>
      <c r="D127" s="806">
        <f>C127*25000</f>
        <v>0</v>
      </c>
      <c r="E127" s="662"/>
      <c r="F127" s="662"/>
      <c r="G127" s="652" t="s">
        <v>13</v>
      </c>
      <c r="H127" s="660" t="s">
        <v>14</v>
      </c>
      <c r="I127" s="805">
        <f>VLOOKUP(I126,'LƯƠNG KT'!$A$13:$G$53,7,0)</f>
        <v>0</v>
      </c>
      <c r="J127" s="806">
        <f>I127*25000</f>
        <v>0</v>
      </c>
      <c r="K127" s="648"/>
    </row>
    <row r="128" spans="1:11" ht="23.25" customHeight="1">
      <c r="A128" s="652" t="s">
        <v>15</v>
      </c>
      <c r="B128" s="663" t="s">
        <v>16</v>
      </c>
      <c r="C128" s="653">
        <f>VLOOKUP(B126,'LƯƠNG KT'!$D$13:$Q$94,13,0)</f>
        <v>4761183.0576037914</v>
      </c>
      <c r="D128" s="664">
        <f>+C128*$M$2</f>
        <v>146610900400.73901</v>
      </c>
      <c r="E128" s="665"/>
      <c r="F128" s="665"/>
      <c r="G128" s="652" t="s">
        <v>15</v>
      </c>
      <c r="H128" s="663" t="s">
        <v>16</v>
      </c>
      <c r="I128" s="653">
        <f>VLOOKUP(H126,'LƯƠNG KT'!$D$13:$Q$94,13,0)</f>
        <v>3857211.3663391038</v>
      </c>
      <c r="J128" s="664">
        <f>+I128*$M$2</f>
        <v>118774939886.37991</v>
      </c>
      <c r="K128" s="666"/>
    </row>
    <row r="129" spans="1:11" ht="23.25" customHeight="1">
      <c r="A129" s="652" t="s">
        <v>357</v>
      </c>
      <c r="B129" s="663" t="s">
        <v>17</v>
      </c>
      <c r="C129" s="653">
        <f>VLOOKUP(B126,'LƯƠNG KT'!$D$13:$R$94,14,0)</f>
        <v>24</v>
      </c>
      <c r="D129" s="664">
        <f>+C129*$M$3</f>
        <v>1232786.976</v>
      </c>
      <c r="E129" s="665"/>
      <c r="F129" s="665"/>
      <c r="G129" s="652" t="s">
        <v>357</v>
      </c>
      <c r="H129" s="663" t="s">
        <v>17</v>
      </c>
      <c r="I129" s="653">
        <f>VLOOKUP(H126,'LƯƠNG KT'!$D$13:$R$94,14,0)</f>
        <v>27</v>
      </c>
      <c r="J129" s="664">
        <f>+I129*$M$3</f>
        <v>1386885.348</v>
      </c>
      <c r="K129" s="666"/>
    </row>
    <row r="130" spans="1:11" ht="23.25" customHeight="1">
      <c r="A130" s="1434" t="s">
        <v>375</v>
      </c>
      <c r="B130" s="1435"/>
      <c r="C130" s="653">
        <f>VLOOKUP(B126,'LƯƠNG KT'!$D$13:$S$94,15,0)</f>
        <v>4</v>
      </c>
      <c r="D130" s="664">
        <f>+C130*$M$5</f>
        <v>246343.64800000002</v>
      </c>
      <c r="E130" s="665"/>
      <c r="F130" s="665"/>
      <c r="G130" s="1434" t="s">
        <v>375</v>
      </c>
      <c r="H130" s="1435"/>
      <c r="I130" s="653">
        <f>VLOOKUP(H126,'LƯƠNG KT'!$D$13:$S$94,15,0)</f>
        <v>4</v>
      </c>
      <c r="J130" s="664">
        <f>+I130*$M$5</f>
        <v>246343.64800000002</v>
      </c>
      <c r="K130" s="666"/>
    </row>
    <row r="131" spans="1:11" ht="23.25" customHeight="1">
      <c r="A131" s="1434" t="s">
        <v>545</v>
      </c>
      <c r="B131" s="1435"/>
      <c r="C131" s="653">
        <f>VLOOKUP(B126,'LƯƠNG KT'!$D$13:$T$90,16,0)</f>
        <v>0</v>
      </c>
      <c r="D131" s="664">
        <f>C131*$M$6</f>
        <v>0</v>
      </c>
      <c r="E131" s="665"/>
      <c r="F131" s="665"/>
      <c r="G131" s="1434" t="s">
        <v>545</v>
      </c>
      <c r="H131" s="1435"/>
      <c r="I131" s="653">
        <f>VLOOKUP(H126,'LƯƠNG KT'!$D$13:$T$90,16,0)</f>
        <v>0</v>
      </c>
      <c r="J131" s="664">
        <f>I131*$M$6</f>
        <v>0</v>
      </c>
      <c r="K131" s="666"/>
    </row>
    <row r="132" spans="1:11" ht="23.25" customHeight="1">
      <c r="A132" s="1434" t="s">
        <v>427</v>
      </c>
      <c r="B132" s="1435"/>
      <c r="C132" s="653">
        <f>+C130+C131</f>
        <v>4</v>
      </c>
      <c r="D132" s="664">
        <f>+C132*$M$7</f>
        <v>400000</v>
      </c>
      <c r="E132" s="665"/>
      <c r="F132" s="665"/>
      <c r="G132" s="1434" t="s">
        <v>427</v>
      </c>
      <c r="H132" s="1435"/>
      <c r="I132" s="653">
        <f>+I130+I131</f>
        <v>4</v>
      </c>
      <c r="J132" s="664">
        <f>+I132*$M$7</f>
        <v>400000</v>
      </c>
      <c r="K132" s="666"/>
    </row>
    <row r="133" spans="1:11" ht="23.25" customHeight="1">
      <c r="A133" s="1434" t="s">
        <v>358</v>
      </c>
      <c r="B133" s="1435"/>
      <c r="C133" s="653">
        <f>+C128+C129+C130+C131</f>
        <v>4761211.0576037914</v>
      </c>
      <c r="D133" s="664">
        <f>+C133*$M$8</f>
        <v>95224221152.075821</v>
      </c>
      <c r="E133" s="665"/>
      <c r="F133" s="665"/>
      <c r="G133" s="1434" t="s">
        <v>358</v>
      </c>
      <c r="H133" s="1435"/>
      <c r="I133" s="653">
        <f>+I128+I129+I130+I131</f>
        <v>3857242.3663391038</v>
      </c>
      <c r="J133" s="664">
        <f>+I133*$M$8</f>
        <v>77144847326.782074</v>
      </c>
      <c r="K133" s="666"/>
    </row>
    <row r="134" spans="1:11" ht="23.25" customHeight="1">
      <c r="A134" s="652" t="s">
        <v>481</v>
      </c>
      <c r="B134" s="663" t="s">
        <v>127</v>
      </c>
      <c r="C134" s="667">
        <f>VLOOKUP(B126,'LƯƠNG KT'!$D$13:$I$94,6,0)</f>
        <v>2940</v>
      </c>
      <c r="D134" s="661" t="str">
        <f>VLOOKUP(B126,'LƯƠNG KT'!$D$13:$P$94,12,0)</f>
        <v>A</v>
      </c>
      <c r="E134" s="668"/>
      <c r="F134" s="668"/>
      <c r="G134" s="652" t="s">
        <v>481</v>
      </c>
      <c r="H134" s="663" t="s">
        <v>127</v>
      </c>
      <c r="I134" s="667">
        <f>VLOOKUP(H126,'LƯƠNG KT'!$D$13:$I$94,6,0)</f>
        <v>2505</v>
      </c>
      <c r="J134" s="661" t="str">
        <f>VLOOKUP(H126,'LƯƠNG KT'!$D$13:$P$94,12,0)</f>
        <v>B</v>
      </c>
      <c r="K134" s="648"/>
    </row>
    <row r="135" spans="1:11" ht="23.25" customHeight="1">
      <c r="A135" s="669" t="s">
        <v>19</v>
      </c>
      <c r="B135" s="663" t="s">
        <v>20</v>
      </c>
      <c r="C135" s="670"/>
      <c r="D135" s="661"/>
      <c r="E135" s="671"/>
      <c r="F135" s="671"/>
      <c r="G135" s="669" t="s">
        <v>19</v>
      </c>
      <c r="H135" s="663" t="s">
        <v>20</v>
      </c>
      <c r="I135" s="670"/>
      <c r="J135" s="661"/>
      <c r="K135" s="648"/>
    </row>
    <row r="136" spans="1:11" ht="23.25" customHeight="1">
      <c r="A136" s="674" t="s">
        <v>21</v>
      </c>
      <c r="B136" s="663" t="s">
        <v>22</v>
      </c>
      <c r="C136" s="670"/>
      <c r="D136" s="661">
        <v>0</v>
      </c>
      <c r="E136" s="668"/>
      <c r="F136" s="668"/>
      <c r="G136" s="674" t="s">
        <v>21</v>
      </c>
      <c r="H136" s="663" t="s">
        <v>22</v>
      </c>
      <c r="I136" s="670"/>
      <c r="J136" s="661">
        <v>0</v>
      </c>
      <c r="K136" s="648"/>
    </row>
    <row r="137" spans="1:11" ht="23.25" customHeight="1">
      <c r="A137" s="669" t="s">
        <v>23</v>
      </c>
      <c r="B137" s="663" t="s">
        <v>24</v>
      </c>
      <c r="C137" s="670"/>
      <c r="D137" s="661">
        <f>+D136</f>
        <v>0</v>
      </c>
      <c r="E137" s="677"/>
      <c r="F137" s="677"/>
      <c r="G137" s="669" t="s">
        <v>23</v>
      </c>
      <c r="H137" s="663" t="s">
        <v>24</v>
      </c>
      <c r="I137" s="670"/>
      <c r="J137" s="661">
        <f>+J136</f>
        <v>0</v>
      </c>
    </row>
    <row r="138" spans="1:11" ht="23.25" customHeight="1">
      <c r="A138" s="669" t="s">
        <v>25</v>
      </c>
      <c r="B138" s="663" t="s">
        <v>26</v>
      </c>
      <c r="C138" s="680"/>
      <c r="D138" s="669">
        <f>SUM(D127:D134)-D137</f>
        <v>241837000683.43884</v>
      </c>
      <c r="E138" s="681"/>
      <c r="F138" s="681"/>
      <c r="G138" s="669" t="s">
        <v>25</v>
      </c>
      <c r="H138" s="663" t="s">
        <v>26</v>
      </c>
      <c r="I138" s="680"/>
      <c r="J138" s="669">
        <f>SUM(J127:J134)-J137</f>
        <v>195921820442.15799</v>
      </c>
      <c r="K138" s="682">
        <f>+D138+J138</f>
        <v>437758821125.5968</v>
      </c>
    </row>
    <row r="139" spans="1:11" ht="23.25" customHeight="1">
      <c r="A139" s="683"/>
      <c r="B139" s="684"/>
      <c r="C139" s="697"/>
      <c r="D139" s="683"/>
      <c r="E139" s="686"/>
      <c r="F139" s="686"/>
      <c r="G139" s="683"/>
      <c r="H139" s="684"/>
      <c r="I139" s="697"/>
      <c r="J139" s="683"/>
      <c r="K139" s="682"/>
    </row>
    <row r="140" spans="1:11" ht="23.25" customHeight="1">
      <c r="A140" s="683"/>
      <c r="B140" s="684"/>
      <c r="C140" s="685"/>
      <c r="D140" s="686"/>
      <c r="E140" s="687"/>
      <c r="F140" s="686"/>
      <c r="G140" s="683"/>
      <c r="H140" s="684"/>
      <c r="I140" s="685"/>
      <c r="J140" s="688"/>
      <c r="K140" s="689"/>
    </row>
    <row r="141" spans="1:11" ht="23.25" customHeight="1">
      <c r="A141" s="1436" t="str">
        <f>$L$1</f>
        <v>Tháng 12/2025</v>
      </c>
      <c r="B141" s="1436"/>
      <c r="C141" s="1436"/>
      <c r="D141" s="1436"/>
      <c r="E141" s="647"/>
      <c r="F141" s="647"/>
      <c r="G141" s="1436" t="str">
        <f>$L$1</f>
        <v>Tháng 12/2025</v>
      </c>
      <c r="H141" s="1436"/>
      <c r="I141" s="1436"/>
      <c r="J141" s="1436"/>
      <c r="K141" s="648"/>
    </row>
    <row r="142" spans="1:11" ht="23.25" customHeight="1">
      <c r="A142" s="652" t="s">
        <v>12</v>
      </c>
      <c r="B142" s="653" t="str">
        <f>VLOOKUP(C142,'LƯƠNG KT'!$A$13:$D$53,4,0)</f>
        <v>Thảo Buôn</v>
      </c>
      <c r="C142" s="654">
        <v>19</v>
      </c>
      <c r="D142" s="655">
        <f>+VLOOKUP(B142,'LƯƠNG KT'!$D$13:$O$94,11,0)</f>
        <v>1037.1559688323193</v>
      </c>
      <c r="E142" s="656"/>
      <c r="F142" s="656"/>
      <c r="G142" s="652" t="s">
        <v>12</v>
      </c>
      <c r="H142" s="653" t="str">
        <f>VLOOKUP(I142,'LƯƠNG KT'!$A$13:$D$53,4,0)</f>
        <v>Phò Lấp</v>
      </c>
      <c r="I142" s="654">
        <v>20</v>
      </c>
      <c r="J142" s="655">
        <f>+VLOOKUP(H142,'LƯƠNG KT'!$D$13:$O$94,11,0)</f>
        <v>1135.3849044469844</v>
      </c>
      <c r="K142" s="657"/>
    </row>
    <row r="143" spans="1:11" ht="23.25" customHeight="1">
      <c r="A143" s="652" t="s">
        <v>13</v>
      </c>
      <c r="B143" s="660" t="s">
        <v>14</v>
      </c>
      <c r="C143" s="805">
        <f>VLOOKUP(C142,'LƯƠNG KT'!$A$13:$G$53,7,0)</f>
        <v>0</v>
      </c>
      <c r="D143" s="806">
        <f>C143*25000</f>
        <v>0</v>
      </c>
      <c r="E143" s="662"/>
      <c r="F143" s="662"/>
      <c r="G143" s="652" t="s">
        <v>13</v>
      </c>
      <c r="H143" s="660" t="s">
        <v>14</v>
      </c>
      <c r="I143" s="805">
        <f>VLOOKUP(I142,'LƯƠNG KT'!$A$13:$G$53,7,0)</f>
        <v>0</v>
      </c>
      <c r="J143" s="806">
        <f>I143*25000</f>
        <v>0</v>
      </c>
      <c r="K143" s="648"/>
    </row>
    <row r="144" spans="1:11" ht="23.25" customHeight="1">
      <c r="A144" s="652" t="s">
        <v>15</v>
      </c>
      <c r="B144" s="663" t="s">
        <v>16</v>
      </c>
      <c r="C144" s="653">
        <f>VLOOKUP(B142,'LƯƠNG KT'!$D$13:$Q$94,13,0)</f>
        <v>3609302.7715364713</v>
      </c>
      <c r="D144" s="664">
        <f>+C144*$M$2</f>
        <v>111141101434.60062</v>
      </c>
      <c r="E144" s="665"/>
      <c r="F144" s="665"/>
      <c r="G144" s="652" t="s">
        <v>15</v>
      </c>
      <c r="H144" s="663" t="s">
        <v>16</v>
      </c>
      <c r="I144" s="653">
        <f>VLOOKUP(H142,'LƯƠNG KT'!$D$13:$Q$94,13,0)</f>
        <v>3951139.4674755051</v>
      </c>
      <c r="J144" s="664">
        <f>+I144*$M$2</f>
        <v>121667263771.83667</v>
      </c>
      <c r="K144" s="666"/>
    </row>
    <row r="145" spans="1:11" ht="23.25" customHeight="1">
      <c r="A145" s="652" t="s">
        <v>357</v>
      </c>
      <c r="B145" s="663" t="s">
        <v>17</v>
      </c>
      <c r="C145" s="653">
        <f>VLOOKUP(B142,'LƯƠNG KT'!$D$13:$R$94,14,0)</f>
        <v>26</v>
      </c>
      <c r="D145" s="664">
        <f>+C145*$M$3</f>
        <v>1335519.2240000002</v>
      </c>
      <c r="E145" s="665"/>
      <c r="F145" s="665"/>
      <c r="G145" s="652" t="s">
        <v>357</v>
      </c>
      <c r="H145" s="663" t="s">
        <v>17</v>
      </c>
      <c r="I145" s="653">
        <f>VLOOKUP(H142,'LƯƠNG KT'!$D$13:$R$94,14,0)</f>
        <v>26</v>
      </c>
      <c r="J145" s="664">
        <f>+I145*$M$3</f>
        <v>1335519.2240000002</v>
      </c>
      <c r="K145" s="666"/>
    </row>
    <row r="146" spans="1:11" ht="23.25" customHeight="1">
      <c r="A146" s="1434" t="s">
        <v>375</v>
      </c>
      <c r="B146" s="1435"/>
      <c r="C146" s="653">
        <f>VLOOKUP(B142,'LƯƠNG KT'!$D$13:$S$94,15,0)</f>
        <v>4</v>
      </c>
      <c r="D146" s="664">
        <f>+C146*$M$5</f>
        <v>246343.64800000002</v>
      </c>
      <c r="E146" s="665"/>
      <c r="F146" s="665"/>
      <c r="G146" s="1434" t="s">
        <v>375</v>
      </c>
      <c r="H146" s="1435"/>
      <c r="I146" s="653">
        <f>VLOOKUP(H142,'LƯƠNG KT'!$D$13:$S$94,15,0)</f>
        <v>4</v>
      </c>
      <c r="J146" s="664">
        <f>+I146*$M$5</f>
        <v>246343.64800000002</v>
      </c>
      <c r="K146" s="666"/>
    </row>
    <row r="147" spans="1:11" ht="23.25" customHeight="1">
      <c r="A147" s="1434" t="s">
        <v>545</v>
      </c>
      <c r="B147" s="1435"/>
      <c r="C147" s="653">
        <f>VLOOKUP(B142,'LƯƠNG KT'!$D$13:$T$90,16,0)</f>
        <v>0</v>
      </c>
      <c r="D147" s="664">
        <f>C147*$M$6</f>
        <v>0</v>
      </c>
      <c r="E147" s="665"/>
      <c r="F147" s="665"/>
      <c r="G147" s="1434" t="s">
        <v>545</v>
      </c>
      <c r="H147" s="1435"/>
      <c r="I147" s="653">
        <f>VLOOKUP(H142,'LƯƠNG KT'!$D$13:$T$90,16,0)</f>
        <v>0</v>
      </c>
      <c r="J147" s="664">
        <f>I147*$M$6</f>
        <v>0</v>
      </c>
      <c r="K147" s="666"/>
    </row>
    <row r="148" spans="1:11" ht="23.25" customHeight="1">
      <c r="A148" s="1434" t="s">
        <v>427</v>
      </c>
      <c r="B148" s="1435"/>
      <c r="C148" s="653">
        <f>+C146+C147</f>
        <v>4</v>
      </c>
      <c r="D148" s="664">
        <f>+C148*$M$7</f>
        <v>400000</v>
      </c>
      <c r="E148" s="665"/>
      <c r="F148" s="665"/>
      <c r="G148" s="1434" t="s">
        <v>427</v>
      </c>
      <c r="H148" s="1435"/>
      <c r="I148" s="653">
        <f>+I146+I147</f>
        <v>4</v>
      </c>
      <c r="J148" s="664">
        <f>+I148*$M$7</f>
        <v>400000</v>
      </c>
      <c r="K148" s="666"/>
    </row>
    <row r="149" spans="1:11" ht="23.25" customHeight="1">
      <c r="A149" s="1434" t="s">
        <v>358</v>
      </c>
      <c r="B149" s="1435"/>
      <c r="C149" s="653">
        <f>+C144+C145+C146+C147</f>
        <v>3609332.7715364713</v>
      </c>
      <c r="D149" s="664">
        <f>+C149*$M$8</f>
        <v>72186655430.729431</v>
      </c>
      <c r="E149" s="665"/>
      <c r="F149" s="665"/>
      <c r="G149" s="1434" t="s">
        <v>358</v>
      </c>
      <c r="H149" s="1435"/>
      <c r="I149" s="653">
        <f>+I144+I145+I146+I147</f>
        <v>3951169.4674755051</v>
      </c>
      <c r="J149" s="664">
        <f>+I149*$M$8</f>
        <v>79023389349.510101</v>
      </c>
      <c r="K149" s="666"/>
    </row>
    <row r="150" spans="1:11" ht="23.25" customHeight="1">
      <c r="A150" s="652" t="s">
        <v>481</v>
      </c>
      <c r="B150" s="663" t="s">
        <v>127</v>
      </c>
      <c r="C150" s="667">
        <f>VLOOKUP(B142,'LƯƠNG KT'!$D$13:$I$94,6,0)</f>
        <v>2344</v>
      </c>
      <c r="D150" s="661" t="str">
        <f>VLOOKUP(B142,'LƯƠNG KT'!$D$13:$P$94,12,0)</f>
        <v>B</v>
      </c>
      <c r="E150" s="668"/>
      <c r="F150" s="668"/>
      <c r="G150" s="652" t="s">
        <v>481</v>
      </c>
      <c r="H150" s="663" t="s">
        <v>127</v>
      </c>
      <c r="I150" s="667">
        <f>VLOOKUP(H142,'LƯƠNG KT'!$D$13:$I$94,6,0)</f>
        <v>2566</v>
      </c>
      <c r="J150" s="661" t="str">
        <f>VLOOKUP(H142,'LƯƠNG KT'!$D$13:$P$94,12,0)</f>
        <v>B</v>
      </c>
      <c r="K150" s="648"/>
    </row>
    <row r="151" spans="1:11" ht="23.25" customHeight="1">
      <c r="A151" s="669" t="s">
        <v>19</v>
      </c>
      <c r="B151" s="663" t="s">
        <v>20</v>
      </c>
      <c r="C151" s="670"/>
      <c r="D151" s="661"/>
      <c r="E151" s="671"/>
      <c r="F151" s="671"/>
      <c r="G151" s="669" t="s">
        <v>19</v>
      </c>
      <c r="H151" s="663" t="s">
        <v>20</v>
      </c>
      <c r="I151" s="670"/>
      <c r="J151" s="661"/>
      <c r="K151" s="648"/>
    </row>
    <row r="152" spans="1:11" ht="23.25" customHeight="1">
      <c r="A152" s="674" t="s">
        <v>21</v>
      </c>
      <c r="B152" s="663" t="s">
        <v>22</v>
      </c>
      <c r="C152" s="670"/>
      <c r="D152" s="661">
        <v>0</v>
      </c>
      <c r="E152" s="668"/>
      <c r="F152" s="668"/>
      <c r="G152" s="674" t="s">
        <v>21</v>
      </c>
      <c r="H152" s="663" t="s">
        <v>22</v>
      </c>
      <c r="I152" s="670"/>
      <c r="J152" s="661">
        <v>0</v>
      </c>
      <c r="K152" s="648"/>
    </row>
    <row r="153" spans="1:11" ht="23.25" customHeight="1">
      <c r="A153" s="669" t="s">
        <v>23</v>
      </c>
      <c r="B153" s="663" t="s">
        <v>24</v>
      </c>
      <c r="C153" s="670"/>
      <c r="D153" s="661">
        <f>+D152</f>
        <v>0</v>
      </c>
      <c r="E153" s="677"/>
      <c r="F153" s="677"/>
      <c r="G153" s="669" t="s">
        <v>23</v>
      </c>
      <c r="H153" s="663" t="s">
        <v>24</v>
      </c>
      <c r="I153" s="670"/>
      <c r="J153" s="661">
        <f>+J152</f>
        <v>0</v>
      </c>
    </row>
    <row r="154" spans="1:11" ht="23.25" customHeight="1">
      <c r="A154" s="669" t="s">
        <v>25</v>
      </c>
      <c r="B154" s="663" t="s">
        <v>26</v>
      </c>
      <c r="C154" s="680"/>
      <c r="D154" s="669">
        <f>SUM(D143:D150)-D153</f>
        <v>183329738728.20203</v>
      </c>
      <c r="E154" s="681"/>
      <c r="F154" s="681"/>
      <c r="G154" s="669" t="s">
        <v>25</v>
      </c>
      <c r="H154" s="663" t="s">
        <v>26</v>
      </c>
      <c r="I154" s="680"/>
      <c r="J154" s="669">
        <f>SUM(J143:J150)-J153</f>
        <v>200692634984.21875</v>
      </c>
      <c r="K154" s="682">
        <f>+D154+J154</f>
        <v>384022373712.42078</v>
      </c>
    </row>
    <row r="155" spans="1:11" ht="23.25" customHeight="1">
      <c r="A155" s="683"/>
      <c r="B155" s="684"/>
      <c r="C155" s="697"/>
      <c r="D155" s="683"/>
      <c r="E155" s="686"/>
      <c r="F155" s="686"/>
      <c r="G155" s="683"/>
      <c r="H155" s="684"/>
      <c r="I155" s="697"/>
      <c r="J155" s="683"/>
      <c r="K155" s="682"/>
    </row>
    <row r="156" spans="1:11" ht="23.25" customHeight="1">
      <c r="A156" s="1436" t="str">
        <f>$L$1</f>
        <v>Tháng 12/2025</v>
      </c>
      <c r="B156" s="1436"/>
      <c r="C156" s="1436"/>
      <c r="D156" s="1436"/>
      <c r="E156" s="647"/>
      <c r="F156" s="647"/>
      <c r="G156" s="1436" t="str">
        <f>$L$1</f>
        <v>Tháng 12/2025</v>
      </c>
      <c r="H156" s="1436"/>
      <c r="I156" s="1436"/>
      <c r="J156" s="1436"/>
      <c r="K156" s="648"/>
    </row>
    <row r="157" spans="1:11" ht="23.25" customHeight="1">
      <c r="A157" s="652" t="s">
        <v>12</v>
      </c>
      <c r="B157" s="653" t="str">
        <f>VLOOKUP(C157,'LƯƠNG KT'!$A$13:$D$53,4,0)</f>
        <v>Phò Nhạc</v>
      </c>
      <c r="C157" s="654">
        <v>21</v>
      </c>
      <c r="D157" s="655">
        <f>+VLOOKUP(B157,'LƯƠNG KT'!$D$13:$O$94,11,0)</f>
        <v>1249.542856647811</v>
      </c>
      <c r="E157" s="656"/>
      <c r="F157" s="656"/>
      <c r="G157" s="652" t="s">
        <v>12</v>
      </c>
      <c r="H157" s="653" t="str">
        <f>VLOOKUP(I157,'LƯƠNG KT'!$A$13:$D$53,4,0)</f>
        <v>Nang Nọi</v>
      </c>
      <c r="I157" s="654">
        <v>22</v>
      </c>
      <c r="J157" s="655">
        <f>+VLOOKUP(H157,'LƯƠNG KT'!$D$13:$O$94,11,0)</f>
        <v>884.50289321493426</v>
      </c>
      <c r="K157" s="657"/>
    </row>
    <row r="158" spans="1:11" ht="23.25" customHeight="1">
      <c r="A158" s="652" t="s">
        <v>13</v>
      </c>
      <c r="B158" s="660" t="s">
        <v>14</v>
      </c>
      <c r="C158" s="805">
        <f>VLOOKUP(C157,'LƯƠNG KT'!$A$13:$G$53,7,0)</f>
        <v>0</v>
      </c>
      <c r="D158" s="806">
        <f>C158*25000</f>
        <v>0</v>
      </c>
      <c r="E158" s="662"/>
      <c r="F158" s="662"/>
      <c r="G158" s="652" t="s">
        <v>13</v>
      </c>
      <c r="H158" s="660" t="s">
        <v>14</v>
      </c>
      <c r="I158" s="805">
        <f>VLOOKUP(I157,'LƯƠNG KT'!$A$13:$G$53,7,0)</f>
        <v>0</v>
      </c>
      <c r="J158" s="806">
        <f>I158*25000</f>
        <v>0</v>
      </c>
      <c r="K158" s="648"/>
    </row>
    <row r="159" spans="1:11" ht="23.25" customHeight="1">
      <c r="A159" s="652" t="s">
        <v>15</v>
      </c>
      <c r="B159" s="663" t="s">
        <v>16</v>
      </c>
      <c r="C159" s="653">
        <f>VLOOKUP(B157,'LƯƠNG KT'!$D$13:$Q$94,13,0)</f>
        <v>4573326.8553309878</v>
      </c>
      <c r="D159" s="664">
        <f>+C159*$M$2</f>
        <v>140826252629.82547</v>
      </c>
      <c r="E159" s="665"/>
      <c r="F159" s="665"/>
      <c r="G159" s="652" t="s">
        <v>15</v>
      </c>
      <c r="H159" s="663" t="s">
        <v>16</v>
      </c>
      <c r="I159" s="653">
        <f>VLOOKUP(H157,'LƯƠNG KT'!$D$13:$Q$94,13,0)</f>
        <v>3078070.0683879708</v>
      </c>
      <c r="J159" s="664">
        <f>+I159*$M$2</f>
        <v>94782876180.787781</v>
      </c>
      <c r="K159" s="666"/>
    </row>
    <row r="160" spans="1:11" ht="23.25" customHeight="1">
      <c r="A160" s="652" t="s">
        <v>357</v>
      </c>
      <c r="B160" s="663" t="s">
        <v>17</v>
      </c>
      <c r="C160" s="653">
        <f>VLOOKUP(B157,'LƯƠNG KT'!$D$13:$R$94,14,0)</f>
        <v>27</v>
      </c>
      <c r="D160" s="664">
        <f>+C160*$M$3</f>
        <v>1386885.348</v>
      </c>
      <c r="E160" s="665"/>
      <c r="F160" s="665"/>
      <c r="G160" s="652" t="s">
        <v>357</v>
      </c>
      <c r="H160" s="663" t="s">
        <v>17</v>
      </c>
      <c r="I160" s="653">
        <f>VLOOKUP(H157,'LƯƠNG KT'!$D$13:$R$94,14,0)</f>
        <v>24</v>
      </c>
      <c r="J160" s="664">
        <f>+I160*$M$3</f>
        <v>1232786.976</v>
      </c>
      <c r="K160" s="666"/>
    </row>
    <row r="161" spans="1:11" ht="23.25" customHeight="1">
      <c r="A161" s="1434" t="s">
        <v>375</v>
      </c>
      <c r="B161" s="1435"/>
      <c r="C161" s="653">
        <f>VLOOKUP(B157,'LƯƠNG KT'!$D$13:$S$94,15,0)</f>
        <v>4</v>
      </c>
      <c r="D161" s="664">
        <f>+C161*$M$5</f>
        <v>246343.64800000002</v>
      </c>
      <c r="E161" s="665"/>
      <c r="F161" s="665"/>
      <c r="G161" s="1434" t="s">
        <v>375</v>
      </c>
      <c r="H161" s="1435"/>
      <c r="I161" s="653">
        <f>VLOOKUP(H157,'LƯƠNG KT'!$D$13:$S$94,15,0)</f>
        <v>4</v>
      </c>
      <c r="J161" s="664">
        <f>+I161*$M$5</f>
        <v>246343.64800000002</v>
      </c>
      <c r="K161" s="666"/>
    </row>
    <row r="162" spans="1:11" ht="23.25" customHeight="1">
      <c r="A162" s="1434" t="s">
        <v>545</v>
      </c>
      <c r="B162" s="1435"/>
      <c r="C162" s="653">
        <f>VLOOKUP(B157,'LƯƠNG KT'!$D$13:$T$90,16,0)</f>
        <v>0</v>
      </c>
      <c r="D162" s="664">
        <f>C162*$M$6</f>
        <v>0</v>
      </c>
      <c r="E162" s="665"/>
      <c r="F162" s="665"/>
      <c r="G162" s="1434" t="s">
        <v>545</v>
      </c>
      <c r="H162" s="1435"/>
      <c r="I162" s="653">
        <f>VLOOKUP(H157,'LƯƠNG KT'!$D$13:$T$90,16,0)</f>
        <v>0</v>
      </c>
      <c r="J162" s="664">
        <f>I162*$M$6</f>
        <v>0</v>
      </c>
      <c r="K162" s="666"/>
    </row>
    <row r="163" spans="1:11" ht="23.25" customHeight="1">
      <c r="A163" s="1434" t="s">
        <v>427</v>
      </c>
      <c r="B163" s="1435"/>
      <c r="C163" s="653">
        <f>+C161+C162</f>
        <v>4</v>
      </c>
      <c r="D163" s="664">
        <f>+C163*$M$7</f>
        <v>400000</v>
      </c>
      <c r="E163" s="665"/>
      <c r="F163" s="665"/>
      <c r="G163" s="1434" t="s">
        <v>427</v>
      </c>
      <c r="H163" s="1435"/>
      <c r="I163" s="653">
        <f>+I161+I162</f>
        <v>4</v>
      </c>
      <c r="J163" s="664">
        <f>+I163*$M$7</f>
        <v>400000</v>
      </c>
      <c r="K163" s="666"/>
    </row>
    <row r="164" spans="1:11" ht="23.25" customHeight="1">
      <c r="A164" s="1434" t="s">
        <v>358</v>
      </c>
      <c r="B164" s="1435"/>
      <c r="C164" s="653">
        <f>+C159+C160+C161+C162</f>
        <v>4573357.8553309878</v>
      </c>
      <c r="D164" s="664">
        <f>+C164*$M$8</f>
        <v>91467157106.619751</v>
      </c>
      <c r="E164" s="665"/>
      <c r="F164" s="665"/>
      <c r="G164" s="1434" t="s">
        <v>358</v>
      </c>
      <c r="H164" s="1435"/>
      <c r="I164" s="653">
        <f>+I159+I160+I161+I162</f>
        <v>3078098.0683879708</v>
      </c>
      <c r="J164" s="664">
        <f>+I164*$M$8</f>
        <v>61561961367.759415</v>
      </c>
      <c r="K164" s="666"/>
    </row>
    <row r="165" spans="1:11" ht="23.25" customHeight="1">
      <c r="A165" s="652" t="s">
        <v>481</v>
      </c>
      <c r="B165" s="663" t="s">
        <v>127</v>
      </c>
      <c r="C165" s="667">
        <f>VLOOKUP(B157,'LƯƠNG KT'!$D$13:$I$94,6,0)</f>
        <v>2824</v>
      </c>
      <c r="D165" s="661" t="str">
        <f>VLOOKUP(B157,'LƯƠNG KT'!$D$13:$P$94,12,0)</f>
        <v>A</v>
      </c>
      <c r="E165" s="668"/>
      <c r="F165" s="668"/>
      <c r="G165" s="652" t="s">
        <v>481</v>
      </c>
      <c r="H165" s="663" t="s">
        <v>127</v>
      </c>
      <c r="I165" s="667">
        <f>VLOOKUP(H157,'LƯƠNG KT'!$D$13:$I$94,6,0)</f>
        <v>1999</v>
      </c>
      <c r="J165" s="661" t="str">
        <f>VLOOKUP(H157,'LƯƠNG KT'!$D$13:$P$94,12,0)</f>
        <v>B</v>
      </c>
      <c r="K165" s="648"/>
    </row>
    <row r="166" spans="1:11" ht="23.25" customHeight="1">
      <c r="A166" s="669" t="s">
        <v>19</v>
      </c>
      <c r="B166" s="663" t="s">
        <v>20</v>
      </c>
      <c r="C166" s="670"/>
      <c r="D166" s="661"/>
      <c r="E166" s="671"/>
      <c r="F166" s="671"/>
      <c r="G166" s="669" t="s">
        <v>19</v>
      </c>
      <c r="H166" s="663" t="s">
        <v>20</v>
      </c>
      <c r="I166" s="670"/>
      <c r="J166" s="661"/>
      <c r="K166" s="648"/>
    </row>
    <row r="167" spans="1:11" ht="23.25" customHeight="1">
      <c r="A167" s="674" t="s">
        <v>21</v>
      </c>
      <c r="B167" s="663" t="s">
        <v>22</v>
      </c>
      <c r="C167" s="670"/>
      <c r="D167" s="661">
        <v>0</v>
      </c>
      <c r="E167" s="668"/>
      <c r="F167" s="668"/>
      <c r="G167" s="674" t="s">
        <v>21</v>
      </c>
      <c r="H167" s="663" t="s">
        <v>22</v>
      </c>
      <c r="I167" s="670"/>
      <c r="J167" s="661">
        <v>0</v>
      </c>
      <c r="K167" s="648"/>
    </row>
    <row r="168" spans="1:11" ht="23.25" customHeight="1">
      <c r="A168" s="669" t="s">
        <v>23</v>
      </c>
      <c r="B168" s="663" t="s">
        <v>24</v>
      </c>
      <c r="C168" s="670"/>
      <c r="D168" s="661">
        <f>+D167</f>
        <v>0</v>
      </c>
      <c r="E168" s="677"/>
      <c r="F168" s="677"/>
      <c r="G168" s="669" t="s">
        <v>23</v>
      </c>
      <c r="H168" s="663" t="s">
        <v>24</v>
      </c>
      <c r="I168" s="670"/>
      <c r="J168" s="661">
        <f>+J167</f>
        <v>0</v>
      </c>
    </row>
    <row r="169" spans="1:11" ht="23.25" customHeight="1">
      <c r="A169" s="669" t="s">
        <v>25</v>
      </c>
      <c r="B169" s="663" t="s">
        <v>26</v>
      </c>
      <c r="C169" s="680"/>
      <c r="D169" s="669">
        <f>SUM(D158:D165)-D168</f>
        <v>232295442965.44122</v>
      </c>
      <c r="E169" s="681"/>
      <c r="F169" s="681"/>
      <c r="G169" s="669" t="s">
        <v>25</v>
      </c>
      <c r="H169" s="663" t="s">
        <v>26</v>
      </c>
      <c r="I169" s="680"/>
      <c r="J169" s="669">
        <f>SUM(J158:J165)-J168</f>
        <v>156346716679.1712</v>
      </c>
      <c r="K169" s="682">
        <f>+D169+J169</f>
        <v>388642159644.61243</v>
      </c>
    </row>
    <row r="170" spans="1:11" ht="23.25" customHeight="1">
      <c r="A170" s="683"/>
      <c r="B170" s="684"/>
      <c r="C170" s="697"/>
      <c r="D170" s="683"/>
      <c r="E170" s="686"/>
      <c r="F170" s="686"/>
      <c r="G170" s="683"/>
      <c r="H170" s="684"/>
      <c r="I170" s="697"/>
      <c r="J170" s="683"/>
      <c r="K170" s="682"/>
    </row>
    <row r="171" spans="1:11" ht="23.25" customHeight="1">
      <c r="A171" s="683"/>
      <c r="B171" s="684"/>
      <c r="C171" s="685"/>
      <c r="D171" s="686"/>
      <c r="E171" s="687"/>
      <c r="F171" s="686"/>
      <c r="G171" s="683"/>
      <c r="H171" s="684"/>
      <c r="I171" s="685"/>
      <c r="J171" s="688"/>
      <c r="K171" s="689"/>
    </row>
    <row r="172" spans="1:11" ht="23.25" customHeight="1">
      <c r="A172" s="1436" t="str">
        <f>$L$1</f>
        <v>Tháng 12/2025</v>
      </c>
      <c r="B172" s="1436"/>
      <c r="C172" s="1436"/>
      <c r="D172" s="1436"/>
      <c r="E172" s="647"/>
      <c r="F172" s="647"/>
      <c r="G172" s="1436" t="str">
        <f>$L$1</f>
        <v>Tháng 12/2025</v>
      </c>
      <c r="H172" s="1436"/>
      <c r="I172" s="1436"/>
      <c r="J172" s="1436"/>
      <c r="K172" s="648"/>
    </row>
    <row r="173" spans="1:11" ht="23.25" customHeight="1">
      <c r="A173" s="652" t="s">
        <v>12</v>
      </c>
      <c r="B173" s="653" t="str">
        <f>VLOOKUP(C173,'LƯƠNG KT'!$A$13:$D$53,4,0)</f>
        <v>Húc</v>
      </c>
      <c r="C173" s="654">
        <v>23</v>
      </c>
      <c r="D173" s="655">
        <f>+VLOOKUP(B173,'LƯƠNG KT'!$D$13:$O$94,11,0)</f>
        <v>1012.8199712701274</v>
      </c>
      <c r="E173" s="656"/>
      <c r="F173" s="656"/>
      <c r="G173" s="652" t="s">
        <v>12</v>
      </c>
      <c r="H173" s="653" t="str">
        <f>VLOOKUP(I173,'LƯƠNG KT'!$A$13:$D$53,4,0)</f>
        <v>A Côm</v>
      </c>
      <c r="I173" s="654">
        <v>24</v>
      </c>
      <c r="J173" s="655">
        <f>+VLOOKUP(H173,'LƯƠNG KT'!$D$13:$O$94,11,0)</f>
        <v>1444.2308371453457</v>
      </c>
      <c r="K173" s="657"/>
    </row>
    <row r="174" spans="1:11" ht="23.25" customHeight="1">
      <c r="A174" s="652" t="s">
        <v>13</v>
      </c>
      <c r="B174" s="660" t="s">
        <v>14</v>
      </c>
      <c r="C174" s="805">
        <f>VLOOKUP(C173,'LƯƠNG KT'!$A$13:$G$53,7,0)</f>
        <v>0</v>
      </c>
      <c r="D174" s="806">
        <f>C174*25000</f>
        <v>0</v>
      </c>
      <c r="E174" s="662"/>
      <c r="F174" s="662"/>
      <c r="G174" s="652" t="s">
        <v>13</v>
      </c>
      <c r="H174" s="660" t="s">
        <v>14</v>
      </c>
      <c r="I174" s="805">
        <f>VLOOKUP(I173,'LƯƠNG KT'!$A$13:$G$53,7,0)</f>
        <v>0</v>
      </c>
      <c r="J174" s="806">
        <f>I174*25000</f>
        <v>0</v>
      </c>
      <c r="K174" s="648"/>
    </row>
    <row r="175" spans="1:11" ht="23.25" customHeight="1">
      <c r="A175" s="652" t="s">
        <v>15</v>
      </c>
      <c r="B175" s="663" t="s">
        <v>16</v>
      </c>
      <c r="C175" s="653">
        <f>VLOOKUP(B173,'LƯƠNG KT'!$D$13:$Q$94,13,0)</f>
        <v>3706921.0948486663</v>
      </c>
      <c r="D175" s="664">
        <f>+C175*$M$2</f>
        <v>114147058169.14682</v>
      </c>
      <c r="E175" s="665"/>
      <c r="F175" s="665"/>
      <c r="G175" s="652" t="s">
        <v>15</v>
      </c>
      <c r="H175" s="663" t="s">
        <v>16</v>
      </c>
      <c r="I175" s="653">
        <f>VLOOKUP(H173,'LƯƠNG KT'!$D$13:$Q$94,13,0)</f>
        <v>5025923.3132658023</v>
      </c>
      <c r="J175" s="664">
        <f>+I175*$M$2</f>
        <v>154763035444.76807</v>
      </c>
      <c r="K175" s="666"/>
    </row>
    <row r="176" spans="1:11" ht="23.25" customHeight="1">
      <c r="A176" s="652" t="s">
        <v>357</v>
      </c>
      <c r="B176" s="663" t="s">
        <v>17</v>
      </c>
      <c r="C176" s="653">
        <f>VLOOKUP(B173,'LƯƠNG KT'!$D$13:$R$94,14,0)</f>
        <v>26</v>
      </c>
      <c r="D176" s="664">
        <f>+C176*$M$3</f>
        <v>1335519.2240000002</v>
      </c>
      <c r="E176" s="665"/>
      <c r="F176" s="665"/>
      <c r="G176" s="652" t="s">
        <v>357</v>
      </c>
      <c r="H176" s="663" t="s">
        <v>17</v>
      </c>
      <c r="I176" s="653">
        <f>VLOOKUP(H173,'LƯƠNG KT'!$D$13:$R$94,14,0)</f>
        <v>27</v>
      </c>
      <c r="J176" s="664">
        <f>+I176*$M$3</f>
        <v>1386885.348</v>
      </c>
      <c r="K176" s="666"/>
    </row>
    <row r="177" spans="1:11" ht="23.25" customHeight="1">
      <c r="A177" s="1434" t="s">
        <v>375</v>
      </c>
      <c r="B177" s="1435"/>
      <c r="C177" s="653">
        <f>VLOOKUP(B173,'LƯƠNG KT'!$D$13:$S$94,15,0)</f>
        <v>4</v>
      </c>
      <c r="D177" s="664">
        <f>+C177*$M$5</f>
        <v>246343.64800000002</v>
      </c>
      <c r="E177" s="665"/>
      <c r="F177" s="665"/>
      <c r="G177" s="1434" t="s">
        <v>375</v>
      </c>
      <c r="H177" s="1435"/>
      <c r="I177" s="653">
        <f>VLOOKUP(H173,'LƯƠNG KT'!$D$13:$S$94,15,0)</f>
        <v>4</v>
      </c>
      <c r="J177" s="664">
        <f>+I177*$M$5</f>
        <v>246343.64800000002</v>
      </c>
      <c r="K177" s="666"/>
    </row>
    <row r="178" spans="1:11" ht="23.25" customHeight="1">
      <c r="A178" s="1434" t="s">
        <v>545</v>
      </c>
      <c r="B178" s="1435"/>
      <c r="C178" s="653">
        <f>VLOOKUP(B173,'LƯƠNG KT'!$D$13:$T$90,16,0)</f>
        <v>0</v>
      </c>
      <c r="D178" s="664">
        <f>C178*$M$6</f>
        <v>0</v>
      </c>
      <c r="E178" s="665"/>
      <c r="F178" s="665"/>
      <c r="G178" s="1434" t="s">
        <v>545</v>
      </c>
      <c r="H178" s="1435"/>
      <c r="I178" s="653">
        <f>VLOOKUP(H173,'LƯƠNG KT'!$D$13:$T$90,16,0)</f>
        <v>0</v>
      </c>
      <c r="J178" s="664">
        <f>I178*$M$6</f>
        <v>0</v>
      </c>
      <c r="K178" s="666"/>
    </row>
    <row r="179" spans="1:11" ht="23.25" customHeight="1">
      <c r="A179" s="1434" t="s">
        <v>427</v>
      </c>
      <c r="B179" s="1435"/>
      <c r="C179" s="653">
        <f>+C177+C178</f>
        <v>4</v>
      </c>
      <c r="D179" s="664">
        <f>+C179*$M$7</f>
        <v>400000</v>
      </c>
      <c r="E179" s="665"/>
      <c r="F179" s="665"/>
      <c r="G179" s="1434" t="s">
        <v>427</v>
      </c>
      <c r="H179" s="1435"/>
      <c r="I179" s="653">
        <f>+I177+I178</f>
        <v>4</v>
      </c>
      <c r="J179" s="664">
        <f>+I179*$M$7</f>
        <v>400000</v>
      </c>
      <c r="K179" s="666"/>
    </row>
    <row r="180" spans="1:11" ht="23.25" customHeight="1">
      <c r="A180" s="1434" t="s">
        <v>358</v>
      </c>
      <c r="B180" s="1435"/>
      <c r="C180" s="653">
        <f>+C175+C176+C177+C178</f>
        <v>3706951.0948486663</v>
      </c>
      <c r="D180" s="664">
        <f>+C180*$M$8</f>
        <v>74139021896.973328</v>
      </c>
      <c r="E180" s="665"/>
      <c r="F180" s="665"/>
      <c r="G180" s="1434" t="s">
        <v>358</v>
      </c>
      <c r="H180" s="1435"/>
      <c r="I180" s="653">
        <f>+I175+I176+I177+I178</f>
        <v>5025954.3132658023</v>
      </c>
      <c r="J180" s="664">
        <f>+I180*$M$8</f>
        <v>100519086265.31604</v>
      </c>
      <c r="K180" s="666"/>
    </row>
    <row r="181" spans="1:11" ht="23.25" customHeight="1">
      <c r="A181" s="652" t="s">
        <v>481</v>
      </c>
      <c r="B181" s="663" t="s">
        <v>127</v>
      </c>
      <c r="C181" s="667">
        <f>VLOOKUP(B173,'LƯƠNG KT'!$D$13:$I$94,6,0)</f>
        <v>2289</v>
      </c>
      <c r="D181" s="661" t="str">
        <f>VLOOKUP(B173,'LƯƠNG KT'!$D$13:$P$94,12,0)</f>
        <v>A</v>
      </c>
      <c r="E181" s="668"/>
      <c r="F181" s="668"/>
      <c r="G181" s="652" t="s">
        <v>481</v>
      </c>
      <c r="H181" s="663" t="s">
        <v>127</v>
      </c>
      <c r="I181" s="667">
        <f>VLOOKUP(H173,'LƯƠNG KT'!$D$13:$I$94,6,0)</f>
        <v>3264</v>
      </c>
      <c r="J181" s="661" t="str">
        <f>VLOOKUP(H173,'LƯƠNG KT'!$D$13:$P$94,12,0)</f>
        <v>B</v>
      </c>
      <c r="K181" s="648"/>
    </row>
    <row r="182" spans="1:11" ht="23.25" customHeight="1">
      <c r="A182" s="669" t="s">
        <v>19</v>
      </c>
      <c r="B182" s="663" t="s">
        <v>20</v>
      </c>
      <c r="C182" s="670"/>
      <c r="D182" s="661"/>
      <c r="E182" s="671"/>
      <c r="F182" s="671"/>
      <c r="G182" s="669" t="s">
        <v>19</v>
      </c>
      <c r="H182" s="663" t="s">
        <v>20</v>
      </c>
      <c r="I182" s="670"/>
      <c r="J182" s="661"/>
      <c r="K182" s="648"/>
    </row>
    <row r="183" spans="1:11" ht="23.25" customHeight="1">
      <c r="A183" s="674" t="s">
        <v>21</v>
      </c>
      <c r="B183" s="663" t="s">
        <v>22</v>
      </c>
      <c r="C183" s="670"/>
      <c r="D183" s="661">
        <v>0</v>
      </c>
      <c r="E183" s="668"/>
      <c r="F183" s="668"/>
      <c r="G183" s="674" t="s">
        <v>21</v>
      </c>
      <c r="H183" s="663" t="s">
        <v>22</v>
      </c>
      <c r="I183" s="670"/>
      <c r="J183" s="661">
        <v>0</v>
      </c>
      <c r="K183" s="648"/>
    </row>
    <row r="184" spans="1:11" ht="23.25" customHeight="1">
      <c r="A184" s="669" t="s">
        <v>23</v>
      </c>
      <c r="B184" s="663" t="s">
        <v>24</v>
      </c>
      <c r="C184" s="670"/>
      <c r="D184" s="661">
        <f>+D183</f>
        <v>0</v>
      </c>
      <c r="E184" s="677"/>
      <c r="F184" s="677"/>
      <c r="G184" s="669" t="s">
        <v>23</v>
      </c>
      <c r="H184" s="663" t="s">
        <v>24</v>
      </c>
      <c r="I184" s="670"/>
      <c r="J184" s="661">
        <f>+J183</f>
        <v>0</v>
      </c>
    </row>
    <row r="185" spans="1:11" ht="23.25" customHeight="1">
      <c r="A185" s="669" t="s">
        <v>25</v>
      </c>
      <c r="B185" s="663" t="s">
        <v>26</v>
      </c>
      <c r="C185" s="680"/>
      <c r="D185" s="669">
        <f>SUM(D174:D181)-D184</f>
        <v>188288061928.99213</v>
      </c>
      <c r="E185" s="681"/>
      <c r="F185" s="681"/>
      <c r="G185" s="669" t="s">
        <v>25</v>
      </c>
      <c r="H185" s="663" t="s">
        <v>26</v>
      </c>
      <c r="I185" s="680"/>
      <c r="J185" s="669">
        <f>SUM(J174:J181)-J184</f>
        <v>255284154939.08011</v>
      </c>
      <c r="K185" s="682">
        <f>+D185+J185</f>
        <v>443572216868.07227</v>
      </c>
    </row>
    <row r="186" spans="1:11" ht="23.25" customHeight="1">
      <c r="A186" s="683"/>
      <c r="B186" s="684"/>
      <c r="C186" s="697"/>
      <c r="D186" s="683"/>
      <c r="E186" s="686"/>
      <c r="F186" s="686"/>
      <c r="G186" s="683"/>
      <c r="H186" s="684"/>
      <c r="I186" s="697"/>
      <c r="J186" s="683"/>
      <c r="K186" s="682"/>
    </row>
    <row r="187" spans="1:11" ht="23.25" customHeight="1">
      <c r="A187" s="1436" t="str">
        <f>$L$1</f>
        <v>Tháng 12/2025</v>
      </c>
      <c r="B187" s="1436"/>
      <c r="C187" s="1436"/>
      <c r="D187" s="1436"/>
      <c r="E187" s="647"/>
      <c r="F187" s="647"/>
      <c r="G187" s="1436" t="str">
        <f>$L$1</f>
        <v>Tháng 12/2025</v>
      </c>
      <c r="H187" s="1436"/>
      <c r="I187" s="1436"/>
      <c r="J187" s="1436"/>
      <c r="K187" s="648"/>
    </row>
    <row r="188" spans="1:11" ht="23.25" customHeight="1">
      <c r="A188" s="652" t="s">
        <v>12</v>
      </c>
      <c r="B188" s="653" t="str">
        <f>VLOOKUP(C188,'LƯƠNG KT'!$A$13:$D$53,4,0)</f>
        <v>Nang Phen</v>
      </c>
      <c r="C188" s="654">
        <v>25</v>
      </c>
      <c r="D188" s="655">
        <f>+VLOOKUP(B188,'LƯƠNG KT'!$D$13:$O$94,11,0)</f>
        <v>1397.7712054357066</v>
      </c>
      <c r="E188" s="656"/>
      <c r="F188" s="656"/>
      <c r="G188" s="652" t="s">
        <v>12</v>
      </c>
      <c r="H188" s="653" t="str">
        <f>VLOOKUP(I188,'LƯƠNG KT'!$A$13:$D$53,4,0)</f>
        <v>Thảo Đuôn</v>
      </c>
      <c r="I188" s="654">
        <v>26</v>
      </c>
      <c r="J188" s="655">
        <f>+VLOOKUP(H188,'LƯƠNG KT'!$D$13:$O$94,11,0)</f>
        <v>1329.1879395786209</v>
      </c>
      <c r="K188" s="657"/>
    </row>
    <row r="189" spans="1:11" ht="23.25" customHeight="1">
      <c r="A189" s="652" t="s">
        <v>13</v>
      </c>
      <c r="B189" s="660" t="s">
        <v>14</v>
      </c>
      <c r="C189" s="805">
        <f>VLOOKUP(C188,'LƯƠNG KT'!$A$13:$G$53,7,0)</f>
        <v>0</v>
      </c>
      <c r="D189" s="806">
        <f>C189*25000</f>
        <v>0</v>
      </c>
      <c r="E189" s="662"/>
      <c r="F189" s="662"/>
      <c r="G189" s="652" t="s">
        <v>13</v>
      </c>
      <c r="H189" s="660" t="s">
        <v>14</v>
      </c>
      <c r="I189" s="805">
        <f>VLOOKUP(I188,'LƯƠNG KT'!$A$13:$G$53,7,0)</f>
        <v>0</v>
      </c>
      <c r="J189" s="806">
        <f>I189*25000</f>
        <v>0</v>
      </c>
      <c r="K189" s="648"/>
    </row>
    <row r="190" spans="1:11" ht="23.25" customHeight="1">
      <c r="A190" s="652" t="s">
        <v>15</v>
      </c>
      <c r="B190" s="663" t="s">
        <v>16</v>
      </c>
      <c r="C190" s="653">
        <f>VLOOKUP(B188,'LƯƠNG KT'!$D$13:$Q$94,13,0)</f>
        <v>5115842.6118946858</v>
      </c>
      <c r="D190" s="664">
        <f>+C190*$M$2</f>
        <v>157531916450.99814</v>
      </c>
      <c r="E190" s="665"/>
      <c r="F190" s="665"/>
      <c r="G190" s="652" t="s">
        <v>15</v>
      </c>
      <c r="H190" s="663" t="s">
        <v>16</v>
      </c>
      <c r="I190" s="653">
        <f>VLOOKUP(H188,'LƯƠNG KT'!$D$13:$Q$94,13,0)</f>
        <v>4864827.8588577518</v>
      </c>
      <c r="J190" s="664">
        <f>+I190*$M$2</f>
        <v>149802430205.38098</v>
      </c>
      <c r="K190" s="666"/>
    </row>
    <row r="191" spans="1:11" ht="23.25" customHeight="1">
      <c r="A191" s="652" t="s">
        <v>357</v>
      </c>
      <c r="B191" s="663" t="s">
        <v>17</v>
      </c>
      <c r="C191" s="653">
        <f>VLOOKUP(B188,'LƯƠNG KT'!$D$13:$R$94,14,0)</f>
        <v>27</v>
      </c>
      <c r="D191" s="664">
        <f>+C191*$M$3</f>
        <v>1386885.348</v>
      </c>
      <c r="E191" s="665"/>
      <c r="F191" s="665"/>
      <c r="G191" s="652" t="s">
        <v>357</v>
      </c>
      <c r="H191" s="663" t="s">
        <v>17</v>
      </c>
      <c r="I191" s="653">
        <f>VLOOKUP(H188,'LƯƠNG KT'!$D$13:$R$94,14,0)</f>
        <v>27</v>
      </c>
      <c r="J191" s="664">
        <f>+I191*$M$3</f>
        <v>1386885.348</v>
      </c>
      <c r="K191" s="666"/>
    </row>
    <row r="192" spans="1:11" ht="23.25" customHeight="1">
      <c r="A192" s="1434" t="s">
        <v>375</v>
      </c>
      <c r="B192" s="1435"/>
      <c r="C192" s="653">
        <f>VLOOKUP(B188,'LƯƠNG KT'!$D$13:$S$94,15,0)</f>
        <v>4</v>
      </c>
      <c r="D192" s="664">
        <f>+C192*$M$5</f>
        <v>246343.64800000002</v>
      </c>
      <c r="E192" s="665"/>
      <c r="F192" s="665"/>
      <c r="G192" s="1434" t="s">
        <v>375</v>
      </c>
      <c r="H192" s="1435"/>
      <c r="I192" s="653">
        <f>VLOOKUP(H188,'LƯƠNG KT'!$D$13:$S$94,15,0)</f>
        <v>4</v>
      </c>
      <c r="J192" s="664">
        <f>+I192*$M$5</f>
        <v>246343.64800000002</v>
      </c>
      <c r="K192" s="666"/>
    </row>
    <row r="193" spans="1:11" ht="23.25" customHeight="1">
      <c r="A193" s="1434" t="s">
        <v>545</v>
      </c>
      <c r="B193" s="1435"/>
      <c r="C193" s="653">
        <f>VLOOKUP(B188,'LƯƠNG KT'!$D$13:$T$90,16,0)</f>
        <v>0</v>
      </c>
      <c r="D193" s="664">
        <f>C193*$M$6</f>
        <v>0</v>
      </c>
      <c r="E193" s="665"/>
      <c r="F193" s="665"/>
      <c r="G193" s="1434" t="s">
        <v>545</v>
      </c>
      <c r="H193" s="1435"/>
      <c r="I193" s="653">
        <f>VLOOKUP(H188,'LƯƠNG KT'!$D$13:$T$90,16,0)</f>
        <v>0</v>
      </c>
      <c r="J193" s="664">
        <f>I193*$M$6</f>
        <v>0</v>
      </c>
      <c r="K193" s="666"/>
    </row>
    <row r="194" spans="1:11" ht="23.25" customHeight="1">
      <c r="A194" s="1434" t="s">
        <v>427</v>
      </c>
      <c r="B194" s="1435"/>
      <c r="C194" s="653">
        <f>+C192+C193</f>
        <v>4</v>
      </c>
      <c r="D194" s="664">
        <f>+C194*$M$7</f>
        <v>400000</v>
      </c>
      <c r="E194" s="665"/>
      <c r="F194" s="665"/>
      <c r="G194" s="1434" t="s">
        <v>427</v>
      </c>
      <c r="H194" s="1435"/>
      <c r="I194" s="653">
        <f>+I192+I193</f>
        <v>4</v>
      </c>
      <c r="J194" s="664">
        <f>+I194*$M$7</f>
        <v>400000</v>
      </c>
      <c r="K194" s="666"/>
    </row>
    <row r="195" spans="1:11" ht="23.25" customHeight="1">
      <c r="A195" s="1434" t="s">
        <v>358</v>
      </c>
      <c r="B195" s="1435"/>
      <c r="C195" s="653">
        <f>+C190+C191+C192+C193</f>
        <v>5115873.6118946858</v>
      </c>
      <c r="D195" s="664">
        <f>+C195*$M$8</f>
        <v>102317472237.89372</v>
      </c>
      <c r="E195" s="665"/>
      <c r="F195" s="665"/>
      <c r="G195" s="1434" t="s">
        <v>358</v>
      </c>
      <c r="H195" s="1435"/>
      <c r="I195" s="653">
        <f>+I190+I191+I192+I193</f>
        <v>4864858.8588577518</v>
      </c>
      <c r="J195" s="664">
        <f>+I195*$M$8</f>
        <v>97297177177.155029</v>
      </c>
      <c r="K195" s="666"/>
    </row>
    <row r="196" spans="1:11" ht="23.25" customHeight="1">
      <c r="A196" s="652" t="s">
        <v>481</v>
      </c>
      <c r="B196" s="663" t="s">
        <v>127</v>
      </c>
      <c r="C196" s="667">
        <f>VLOOKUP(B188,'LƯƠNG KT'!$D$13:$I$94,6,0)</f>
        <v>3159</v>
      </c>
      <c r="D196" s="661" t="str">
        <f>VLOOKUP(B188,'LƯƠNG KT'!$D$13:$P$94,12,0)</f>
        <v>A</v>
      </c>
      <c r="E196" s="668"/>
      <c r="F196" s="668"/>
      <c r="G196" s="652" t="s">
        <v>481</v>
      </c>
      <c r="H196" s="663" t="s">
        <v>127</v>
      </c>
      <c r="I196" s="667">
        <f>VLOOKUP(H188,'LƯƠNG KT'!$D$13:$I$94,6,0)</f>
        <v>3004</v>
      </c>
      <c r="J196" s="661" t="str">
        <f>VLOOKUP(H188,'LƯƠNG KT'!$D$13:$P$94,12,0)</f>
        <v>A</v>
      </c>
      <c r="K196" s="648"/>
    </row>
    <row r="197" spans="1:11" ht="23.25" customHeight="1">
      <c r="A197" s="669" t="s">
        <v>19</v>
      </c>
      <c r="B197" s="663" t="s">
        <v>20</v>
      </c>
      <c r="C197" s="670"/>
      <c r="D197" s="661"/>
      <c r="E197" s="671"/>
      <c r="F197" s="671"/>
      <c r="G197" s="669" t="s">
        <v>19</v>
      </c>
      <c r="H197" s="663" t="s">
        <v>20</v>
      </c>
      <c r="I197" s="670"/>
      <c r="J197" s="661"/>
      <c r="K197" s="648"/>
    </row>
    <row r="198" spans="1:11" ht="23.25" customHeight="1">
      <c r="A198" s="674" t="s">
        <v>21</v>
      </c>
      <c r="B198" s="663" t="s">
        <v>22</v>
      </c>
      <c r="C198" s="670"/>
      <c r="D198" s="661">
        <v>0</v>
      </c>
      <c r="E198" s="668"/>
      <c r="F198" s="668"/>
      <c r="G198" s="674" t="s">
        <v>21</v>
      </c>
      <c r="H198" s="663" t="s">
        <v>22</v>
      </c>
      <c r="I198" s="670"/>
      <c r="J198" s="661">
        <v>0</v>
      </c>
      <c r="K198" s="648"/>
    </row>
    <row r="199" spans="1:11" ht="23.25" customHeight="1">
      <c r="A199" s="669" t="s">
        <v>23</v>
      </c>
      <c r="B199" s="663" t="s">
        <v>24</v>
      </c>
      <c r="C199" s="670"/>
      <c r="D199" s="661">
        <f>+D198</f>
        <v>0</v>
      </c>
      <c r="E199" s="677"/>
      <c r="F199" s="677"/>
      <c r="G199" s="669" t="s">
        <v>23</v>
      </c>
      <c r="H199" s="663" t="s">
        <v>24</v>
      </c>
      <c r="I199" s="670"/>
      <c r="J199" s="661">
        <f>+J198</f>
        <v>0</v>
      </c>
    </row>
    <row r="200" spans="1:11" ht="23.25" customHeight="1">
      <c r="A200" s="669" t="s">
        <v>25</v>
      </c>
      <c r="B200" s="663" t="s">
        <v>26</v>
      </c>
      <c r="C200" s="680"/>
      <c r="D200" s="669">
        <f>SUM(D189:D196)-D199</f>
        <v>259851421917.88788</v>
      </c>
      <c r="E200" s="681"/>
      <c r="F200" s="681"/>
      <c r="G200" s="669" t="s">
        <v>25</v>
      </c>
      <c r="H200" s="663" t="s">
        <v>26</v>
      </c>
      <c r="I200" s="680"/>
      <c r="J200" s="669">
        <f>SUM(J189:J196)-J199</f>
        <v>247101640611.53201</v>
      </c>
      <c r="K200" s="682">
        <f>+D200+J200</f>
        <v>506953062529.41992</v>
      </c>
    </row>
    <row r="201" spans="1:11" ht="23.25" customHeight="1">
      <c r="A201" s="683"/>
      <c r="B201" s="684"/>
      <c r="C201" s="697"/>
      <c r="D201" s="683"/>
      <c r="E201" s="686"/>
      <c r="F201" s="686"/>
      <c r="G201" s="683"/>
      <c r="H201" s="684"/>
      <c r="I201" s="697"/>
      <c r="J201" s="683"/>
      <c r="K201" s="682"/>
    </row>
    <row r="202" spans="1:11" ht="23.25" customHeight="1">
      <c r="A202" s="683"/>
      <c r="B202" s="684"/>
      <c r="C202" s="685"/>
      <c r="D202" s="686"/>
      <c r="E202" s="687"/>
      <c r="F202" s="686"/>
      <c r="G202" s="683"/>
      <c r="H202" s="684"/>
      <c r="I202" s="685"/>
      <c r="J202" s="688"/>
      <c r="K202" s="689"/>
    </row>
    <row r="203" spans="1:11" ht="23.25" customHeight="1">
      <c r="A203" s="1436" t="str">
        <f>$L$1</f>
        <v>Tháng 12/2025</v>
      </c>
      <c r="B203" s="1436"/>
      <c r="C203" s="1436"/>
      <c r="D203" s="1436"/>
      <c r="E203" s="647"/>
      <c r="F203" s="647"/>
      <c r="G203" s="1436" t="str">
        <f>$L$1</f>
        <v>Tháng 12/2025</v>
      </c>
      <c r="H203" s="1436"/>
      <c r="I203" s="1436"/>
      <c r="J203" s="1436"/>
      <c r="K203" s="648"/>
    </row>
    <row r="204" spans="1:11" ht="23.25" customHeight="1">
      <c r="A204" s="652" t="s">
        <v>12</v>
      </c>
      <c r="B204" s="653" t="str">
        <f>VLOOKUP(C204,'LƯƠNG KT'!$A$13:$D$53,4,0)</f>
        <v>A Rơ</v>
      </c>
      <c r="C204" s="654">
        <v>27</v>
      </c>
      <c r="D204" s="655">
        <f>+VLOOKUP(B204,'LƯƠNG KT'!$D$13:$O$94,11,0)</f>
        <v>1111.4913795677414</v>
      </c>
      <c r="E204" s="656"/>
      <c r="F204" s="656"/>
      <c r="G204" s="652" t="s">
        <v>12</v>
      </c>
      <c r="H204" s="653" t="str">
        <f>VLOOKUP(I204,'LƯƠNG KT'!$A$13:$D$53,4,0)</f>
        <v>Thảo Xâm</v>
      </c>
      <c r="I204" s="654">
        <v>28</v>
      </c>
      <c r="J204" s="655">
        <f>+VLOOKUP(H204,'LƯƠNG KT'!$D$13:$O$94,11,0)</f>
        <v>1178.3047546930318</v>
      </c>
      <c r="K204" s="657"/>
    </row>
    <row r="205" spans="1:11" ht="23.25" customHeight="1">
      <c r="A205" s="652" t="s">
        <v>13</v>
      </c>
      <c r="B205" s="660" t="s">
        <v>14</v>
      </c>
      <c r="C205" s="805">
        <f>VLOOKUP(C204,'LƯƠNG KT'!$A$13:$G$53,7,0)</f>
        <v>0</v>
      </c>
      <c r="D205" s="806">
        <f>C205*25000</f>
        <v>0</v>
      </c>
      <c r="E205" s="662"/>
      <c r="F205" s="662"/>
      <c r="G205" s="652" t="s">
        <v>13</v>
      </c>
      <c r="H205" s="660" t="s">
        <v>14</v>
      </c>
      <c r="I205" s="805">
        <f>VLOOKUP(I204,'LƯƠNG KT'!$A$13:$G$53,7,0)</f>
        <v>0</v>
      </c>
      <c r="J205" s="806">
        <f>I205*25000</f>
        <v>0</v>
      </c>
      <c r="K205" s="648"/>
    </row>
    <row r="206" spans="1:11" ht="23.25" customHeight="1">
      <c r="A206" s="652" t="s">
        <v>15</v>
      </c>
      <c r="B206" s="663" t="s">
        <v>16</v>
      </c>
      <c r="C206" s="653">
        <f>VLOOKUP(B204,'LƯƠNG KT'!$D$13:$Q$94,13,0)</f>
        <v>4068058.4492179332</v>
      </c>
      <c r="D206" s="664">
        <f>+C206*$M$2</f>
        <v>125267544832.19606</v>
      </c>
      <c r="E206" s="665"/>
      <c r="F206" s="665"/>
      <c r="G206" s="652" t="s">
        <v>15</v>
      </c>
      <c r="H206" s="663" t="s">
        <v>16</v>
      </c>
      <c r="I206" s="653">
        <f>VLOOKUP(H204,'LƯƠNG KT'!$D$13:$Q$94,13,0)</f>
        <v>4100500.5463317502</v>
      </c>
      <c r="J206" s="664">
        <f>+I206*$M$2</f>
        <v>126266532901.16956</v>
      </c>
      <c r="K206" s="666"/>
    </row>
    <row r="207" spans="1:11" ht="23.25" customHeight="1">
      <c r="A207" s="652" t="s">
        <v>357</v>
      </c>
      <c r="B207" s="663" t="s">
        <v>17</v>
      </c>
      <c r="C207" s="653">
        <f>VLOOKUP(B204,'LƯƠNG KT'!$D$13:$R$94,14,0)</f>
        <v>27</v>
      </c>
      <c r="D207" s="664">
        <f>+C207*$M$3</f>
        <v>1386885.348</v>
      </c>
      <c r="E207" s="665"/>
      <c r="F207" s="665"/>
      <c r="G207" s="652" t="s">
        <v>357</v>
      </c>
      <c r="H207" s="663" t="s">
        <v>17</v>
      </c>
      <c r="I207" s="653">
        <f>VLOOKUP(H204,'LƯƠNG KT'!$D$13:$R$94,14,0)</f>
        <v>27</v>
      </c>
      <c r="J207" s="664">
        <f>+I207*$M$3</f>
        <v>1386885.348</v>
      </c>
      <c r="K207" s="666"/>
    </row>
    <row r="208" spans="1:11" ht="23.25" customHeight="1">
      <c r="A208" s="1434" t="s">
        <v>375</v>
      </c>
      <c r="B208" s="1435"/>
      <c r="C208" s="653">
        <f>VLOOKUP(B204,'LƯƠNG KT'!$D$13:$S$94,15,0)</f>
        <v>4</v>
      </c>
      <c r="D208" s="664">
        <f>+C208*$M$5</f>
        <v>246343.64800000002</v>
      </c>
      <c r="E208" s="665"/>
      <c r="F208" s="665"/>
      <c r="G208" s="1434" t="s">
        <v>375</v>
      </c>
      <c r="H208" s="1435"/>
      <c r="I208" s="653">
        <f>VLOOKUP(H204,'LƯƠNG KT'!$D$13:$S$94,15,0)</f>
        <v>4</v>
      </c>
      <c r="J208" s="664">
        <f>+I208*$M$5</f>
        <v>246343.64800000002</v>
      </c>
      <c r="K208" s="666"/>
    </row>
    <row r="209" spans="1:11" ht="23.25" customHeight="1">
      <c r="A209" s="1434" t="s">
        <v>545</v>
      </c>
      <c r="B209" s="1435"/>
      <c r="C209" s="653">
        <f>VLOOKUP(B204,'LƯƠNG KT'!$D$13:$T$90,16,0)</f>
        <v>0</v>
      </c>
      <c r="D209" s="664">
        <f>C209*$M$6</f>
        <v>0</v>
      </c>
      <c r="E209" s="665"/>
      <c r="F209" s="665"/>
      <c r="G209" s="1434" t="s">
        <v>545</v>
      </c>
      <c r="H209" s="1435"/>
      <c r="I209" s="653">
        <f>VLOOKUP(H204,'LƯƠNG KT'!$D$13:$T$90,16,0)</f>
        <v>0</v>
      </c>
      <c r="J209" s="664">
        <f>I209*$M$6</f>
        <v>0</v>
      </c>
      <c r="K209" s="666"/>
    </row>
    <row r="210" spans="1:11" ht="23.25" customHeight="1">
      <c r="A210" s="1434" t="s">
        <v>427</v>
      </c>
      <c r="B210" s="1435"/>
      <c r="C210" s="653">
        <f>+C208+C209</f>
        <v>4</v>
      </c>
      <c r="D210" s="664">
        <f>+C210*$M$7</f>
        <v>400000</v>
      </c>
      <c r="E210" s="665"/>
      <c r="F210" s="665"/>
      <c r="G210" s="1434" t="s">
        <v>427</v>
      </c>
      <c r="H210" s="1435"/>
      <c r="I210" s="653">
        <f>+I208+I209</f>
        <v>4</v>
      </c>
      <c r="J210" s="664">
        <f>+I210*$M$7</f>
        <v>400000</v>
      </c>
      <c r="K210" s="666"/>
    </row>
    <row r="211" spans="1:11" ht="23.25" customHeight="1">
      <c r="A211" s="1434" t="s">
        <v>358</v>
      </c>
      <c r="B211" s="1435"/>
      <c r="C211" s="653">
        <f>+C206+C207+C208+C209</f>
        <v>4068089.4492179332</v>
      </c>
      <c r="D211" s="664">
        <f>+C211*$M$8</f>
        <v>81361788984.358658</v>
      </c>
      <c r="E211" s="665"/>
      <c r="F211" s="665"/>
      <c r="G211" s="1434" t="s">
        <v>358</v>
      </c>
      <c r="H211" s="1435"/>
      <c r="I211" s="653">
        <f>+I206+I207+I208+I209</f>
        <v>4100531.5463317502</v>
      </c>
      <c r="J211" s="664">
        <f>+I211*$M$8</f>
        <v>82010630926.63501</v>
      </c>
      <c r="K211" s="666"/>
    </row>
    <row r="212" spans="1:11" ht="23.25" customHeight="1">
      <c r="A212" s="652" t="s">
        <v>481</v>
      </c>
      <c r="B212" s="663" t="s">
        <v>127</v>
      </c>
      <c r="C212" s="667">
        <f>VLOOKUP(B204,'LƯƠNG KT'!$D$13:$I$94,6,0)</f>
        <v>2512</v>
      </c>
      <c r="D212" s="661" t="str">
        <f>VLOOKUP(B204,'LƯƠNG KT'!$D$13:$P$94,12,0)</f>
        <v>A</v>
      </c>
      <c r="E212" s="668"/>
      <c r="F212" s="668"/>
      <c r="G212" s="652" t="s">
        <v>481</v>
      </c>
      <c r="H212" s="663" t="s">
        <v>127</v>
      </c>
      <c r="I212" s="667">
        <f>VLOOKUP(H204,'LƯƠNG KT'!$D$13:$I$94,6,0)</f>
        <v>2663</v>
      </c>
      <c r="J212" s="661" t="str">
        <f>VLOOKUP(H204,'LƯƠNG KT'!$D$13:$P$94,12,0)</f>
        <v>B</v>
      </c>
      <c r="K212" s="648"/>
    </row>
    <row r="213" spans="1:11" ht="23.25" customHeight="1">
      <c r="A213" s="669" t="s">
        <v>19</v>
      </c>
      <c r="B213" s="663" t="s">
        <v>20</v>
      </c>
      <c r="C213" s="670"/>
      <c r="D213" s="661"/>
      <c r="E213" s="671"/>
      <c r="F213" s="671"/>
      <c r="G213" s="669" t="s">
        <v>19</v>
      </c>
      <c r="H213" s="663" t="s">
        <v>20</v>
      </c>
      <c r="I213" s="670"/>
      <c r="J213" s="661"/>
      <c r="K213" s="648"/>
    </row>
    <row r="214" spans="1:11" ht="23.25" customHeight="1">
      <c r="A214" s="674" t="s">
        <v>21</v>
      </c>
      <c r="B214" s="663" t="s">
        <v>22</v>
      </c>
      <c r="C214" s="670"/>
      <c r="D214" s="661">
        <v>0</v>
      </c>
      <c r="E214" s="668"/>
      <c r="F214" s="668"/>
      <c r="G214" s="674" t="s">
        <v>21</v>
      </c>
      <c r="H214" s="663" t="s">
        <v>22</v>
      </c>
      <c r="I214" s="670"/>
      <c r="J214" s="661">
        <v>0</v>
      </c>
      <c r="K214" s="648"/>
    </row>
    <row r="215" spans="1:11" ht="23.25" customHeight="1">
      <c r="A215" s="669" t="s">
        <v>23</v>
      </c>
      <c r="B215" s="663" t="s">
        <v>24</v>
      </c>
      <c r="C215" s="670"/>
      <c r="D215" s="661">
        <f>+D214</f>
        <v>0</v>
      </c>
      <c r="E215" s="677"/>
      <c r="F215" s="677"/>
      <c r="G215" s="669" t="s">
        <v>23</v>
      </c>
      <c r="H215" s="663" t="s">
        <v>24</v>
      </c>
      <c r="I215" s="670"/>
      <c r="J215" s="661">
        <f>+J214</f>
        <v>0</v>
      </c>
    </row>
    <row r="216" spans="1:11" ht="23.25" customHeight="1">
      <c r="A216" s="669" t="s">
        <v>25</v>
      </c>
      <c r="B216" s="663" t="s">
        <v>26</v>
      </c>
      <c r="C216" s="680"/>
      <c r="D216" s="669">
        <f>SUM(D205:D212)-D215</f>
        <v>206631367045.55072</v>
      </c>
      <c r="E216" s="681"/>
      <c r="F216" s="681"/>
      <c r="G216" s="669" t="s">
        <v>25</v>
      </c>
      <c r="H216" s="663" t="s">
        <v>26</v>
      </c>
      <c r="I216" s="680"/>
      <c r="J216" s="669">
        <f>SUM(J205:J212)-J215</f>
        <v>208279197056.80057</v>
      </c>
      <c r="K216" s="682">
        <f>+D216+J216</f>
        <v>414910564102.35132</v>
      </c>
    </row>
    <row r="217" spans="1:11" ht="23.25" customHeight="1">
      <c r="A217" s="683"/>
      <c r="B217" s="684"/>
      <c r="C217" s="697"/>
      <c r="D217" s="683"/>
      <c r="E217" s="686"/>
      <c r="F217" s="686"/>
      <c r="G217" s="683"/>
      <c r="H217" s="684"/>
      <c r="I217" s="697"/>
      <c r="J217" s="683"/>
      <c r="K217" s="682"/>
    </row>
    <row r="218" spans="1:11" ht="23.25" customHeight="1">
      <c r="A218" s="1436" t="str">
        <f>$L$1</f>
        <v>Tháng 12/2025</v>
      </c>
      <c r="B218" s="1436"/>
      <c r="C218" s="1436"/>
      <c r="D218" s="1436"/>
      <c r="E218" s="647"/>
      <c r="F218" s="647"/>
      <c r="G218" s="1436" t="str">
        <f>$L$1</f>
        <v>Tháng 12/2025</v>
      </c>
      <c r="H218" s="1436"/>
      <c r="I218" s="1436"/>
      <c r="J218" s="1436"/>
      <c r="K218" s="648"/>
    </row>
    <row r="219" spans="1:11" ht="23.25" customHeight="1">
      <c r="A219" s="652" t="s">
        <v>12</v>
      </c>
      <c r="B219" s="653" t="str">
        <f>VLOOKUP(C219,'LƯƠNG KT'!$A$13:$D$53,4,0)</f>
        <v>Thảo Anh</v>
      </c>
      <c r="C219" s="654">
        <v>29</v>
      </c>
      <c r="D219" s="655">
        <f>+VLOOKUP(B219,'LƯƠNG KT'!$D$13:$O$94,11,0)</f>
        <v>975.20979321946743</v>
      </c>
      <c r="E219" s="656"/>
      <c r="F219" s="656"/>
      <c r="G219" s="652" t="s">
        <v>12</v>
      </c>
      <c r="H219" s="653" t="str">
        <f>VLOOKUP(I219,'LƯƠNG KT'!$A$13:$D$53,4,0)</f>
        <v>Nang Banh</v>
      </c>
      <c r="I219" s="654">
        <v>30</v>
      </c>
      <c r="J219" s="655">
        <f>+VLOOKUP(H219,'LƯƠNG KT'!$D$13:$O$94,11,0)</f>
        <v>1581.8398415424663</v>
      </c>
      <c r="K219" s="657"/>
    </row>
    <row r="220" spans="1:11" ht="23.25" customHeight="1">
      <c r="A220" s="652" t="s">
        <v>13</v>
      </c>
      <c r="B220" s="660" t="s">
        <v>14</v>
      </c>
      <c r="C220" s="805">
        <f>VLOOKUP(C219,'LƯƠNG KT'!$A$13:$G$53,7,0)</f>
        <v>0</v>
      </c>
      <c r="D220" s="806">
        <f>C220*25000</f>
        <v>0</v>
      </c>
      <c r="E220" s="662"/>
      <c r="F220" s="662"/>
      <c r="G220" s="652" t="s">
        <v>13</v>
      </c>
      <c r="H220" s="660" t="s">
        <v>14</v>
      </c>
      <c r="I220" s="805">
        <f>VLOOKUP(I219,'LƯƠNG KT'!$A$13:$G$53,7,0)</f>
        <v>0</v>
      </c>
      <c r="J220" s="806">
        <f>I220*25000</f>
        <v>0</v>
      </c>
      <c r="K220" s="648"/>
    </row>
    <row r="221" spans="1:11" ht="23.25" customHeight="1">
      <c r="A221" s="652" t="s">
        <v>15</v>
      </c>
      <c r="B221" s="663" t="s">
        <v>16</v>
      </c>
      <c r="C221" s="653">
        <f>VLOOKUP(B219,'LƯƠNG KT'!$D$13:$Q$94,13,0)</f>
        <v>3393730.0804037466</v>
      </c>
      <c r="D221" s="664">
        <f>+C221*$M$2</f>
        <v>104502981041.74904</v>
      </c>
      <c r="E221" s="665"/>
      <c r="F221" s="665"/>
      <c r="G221" s="652" t="s">
        <v>15</v>
      </c>
      <c r="H221" s="663" t="s">
        <v>16</v>
      </c>
      <c r="I221" s="653">
        <f>VLOOKUP(H219,'LƯƠNG KT'!$D$13:$Q$94,13,0)</f>
        <v>5789533.8200454265</v>
      </c>
      <c r="J221" s="664">
        <f>+I221*$M$2</f>
        <v>178276860181.17075</v>
      </c>
      <c r="K221" s="666"/>
    </row>
    <row r="222" spans="1:11" ht="23.25" customHeight="1">
      <c r="A222" s="652" t="s">
        <v>357</v>
      </c>
      <c r="B222" s="663" t="s">
        <v>17</v>
      </c>
      <c r="C222" s="653">
        <f>VLOOKUP(B219,'LƯƠNG KT'!$D$13:$R$94,14,0)</f>
        <v>27</v>
      </c>
      <c r="D222" s="664">
        <f>+C222*$M$3</f>
        <v>1386885.348</v>
      </c>
      <c r="E222" s="665"/>
      <c r="F222" s="665"/>
      <c r="G222" s="652" t="s">
        <v>357</v>
      </c>
      <c r="H222" s="663" t="s">
        <v>17</v>
      </c>
      <c r="I222" s="653">
        <f>VLOOKUP(H219,'LƯƠNG KT'!$D$13:$R$94,14,0)</f>
        <v>27</v>
      </c>
      <c r="J222" s="664">
        <f>+I222*$M$3</f>
        <v>1386885.348</v>
      </c>
      <c r="K222" s="666"/>
    </row>
    <row r="223" spans="1:11" ht="23.25" customHeight="1">
      <c r="A223" s="1434" t="s">
        <v>375</v>
      </c>
      <c r="B223" s="1435"/>
      <c r="C223" s="653">
        <f>VLOOKUP(B219,'LƯƠNG KT'!$D$13:$S$94,15,0)</f>
        <v>4</v>
      </c>
      <c r="D223" s="664">
        <f>+C223*$M$5</f>
        <v>246343.64800000002</v>
      </c>
      <c r="E223" s="665"/>
      <c r="F223" s="665"/>
      <c r="G223" s="1434" t="s">
        <v>375</v>
      </c>
      <c r="H223" s="1435"/>
      <c r="I223" s="653">
        <f>VLOOKUP(H219,'LƯƠNG KT'!$D$13:$S$94,15,0)</f>
        <v>4</v>
      </c>
      <c r="J223" s="664">
        <f>+I223*$M$5</f>
        <v>246343.64800000002</v>
      </c>
      <c r="K223" s="666"/>
    </row>
    <row r="224" spans="1:11" ht="23.25" customHeight="1">
      <c r="A224" s="1434" t="s">
        <v>545</v>
      </c>
      <c r="B224" s="1435"/>
      <c r="C224" s="653">
        <f>VLOOKUP(B219,'LƯƠNG KT'!$D$13:$T$90,16,0)</f>
        <v>0</v>
      </c>
      <c r="D224" s="664">
        <f>C224*$M$6</f>
        <v>0</v>
      </c>
      <c r="E224" s="665"/>
      <c r="F224" s="665"/>
      <c r="G224" s="1434" t="s">
        <v>545</v>
      </c>
      <c r="H224" s="1435"/>
      <c r="I224" s="653">
        <f>VLOOKUP(H219,'LƯƠNG KT'!$D$13:$T$90,16,0)</f>
        <v>0</v>
      </c>
      <c r="J224" s="664">
        <f>I224*$M$6</f>
        <v>0</v>
      </c>
      <c r="K224" s="666"/>
    </row>
    <row r="225" spans="1:11" ht="23.25" customHeight="1">
      <c r="A225" s="1434" t="s">
        <v>427</v>
      </c>
      <c r="B225" s="1435"/>
      <c r="C225" s="653">
        <f>+C223+C224</f>
        <v>4</v>
      </c>
      <c r="D225" s="664">
        <f>+C225*$M$7</f>
        <v>400000</v>
      </c>
      <c r="E225" s="665"/>
      <c r="F225" s="665"/>
      <c r="G225" s="1434" t="s">
        <v>427</v>
      </c>
      <c r="H225" s="1435"/>
      <c r="I225" s="653">
        <f>+I223+I224</f>
        <v>4</v>
      </c>
      <c r="J225" s="664">
        <f>+I225*$M$7</f>
        <v>400000</v>
      </c>
      <c r="K225" s="666"/>
    </row>
    <row r="226" spans="1:11" ht="23.25" customHeight="1">
      <c r="A226" s="1434" t="s">
        <v>358</v>
      </c>
      <c r="B226" s="1435"/>
      <c r="C226" s="653">
        <f>+C221+C222+C223+C224</f>
        <v>3393761.0804037466</v>
      </c>
      <c r="D226" s="664">
        <f>+C226*$M$8</f>
        <v>67875221608.074928</v>
      </c>
      <c r="E226" s="665"/>
      <c r="F226" s="665"/>
      <c r="G226" s="1434" t="s">
        <v>358</v>
      </c>
      <c r="H226" s="1435"/>
      <c r="I226" s="653">
        <f>+I221+I222+I223+I224</f>
        <v>5789564.8200454265</v>
      </c>
      <c r="J226" s="664">
        <f>+I226*$M$8</f>
        <v>115791296400.90852</v>
      </c>
      <c r="K226" s="666"/>
    </row>
    <row r="227" spans="1:11" ht="23.25" customHeight="1">
      <c r="A227" s="652" t="s">
        <v>481</v>
      </c>
      <c r="B227" s="663" t="s">
        <v>127</v>
      </c>
      <c r="C227" s="667">
        <f>VLOOKUP(B219,'LƯƠNG KT'!$D$13:$I$94,6,0)</f>
        <v>2204</v>
      </c>
      <c r="D227" s="661" t="str">
        <f>VLOOKUP(B219,'LƯƠNG KT'!$D$13:$P$94,12,0)</f>
        <v>B</v>
      </c>
      <c r="E227" s="668"/>
      <c r="F227" s="668"/>
      <c r="G227" s="652" t="s">
        <v>481</v>
      </c>
      <c r="H227" s="663" t="s">
        <v>127</v>
      </c>
      <c r="I227" s="667">
        <f>VLOOKUP(H219,'LƯƠNG KT'!$D$13:$I$94,6,0)</f>
        <v>3575</v>
      </c>
      <c r="J227" s="661" t="str">
        <f>VLOOKUP(H219,'LƯƠNG KT'!$D$13:$P$94,12,0)</f>
        <v>A</v>
      </c>
      <c r="K227" s="648"/>
    </row>
    <row r="228" spans="1:11" ht="23.25" customHeight="1">
      <c r="A228" s="669" t="s">
        <v>19</v>
      </c>
      <c r="B228" s="663" t="s">
        <v>20</v>
      </c>
      <c r="C228" s="670"/>
      <c r="D228" s="661"/>
      <c r="E228" s="671"/>
      <c r="F228" s="671"/>
      <c r="G228" s="669" t="s">
        <v>19</v>
      </c>
      <c r="H228" s="663" t="s">
        <v>20</v>
      </c>
      <c r="I228" s="670"/>
      <c r="J228" s="661"/>
      <c r="K228" s="648"/>
    </row>
    <row r="229" spans="1:11" ht="23.25" customHeight="1">
      <c r="A229" s="674" t="s">
        <v>21</v>
      </c>
      <c r="B229" s="663" t="s">
        <v>22</v>
      </c>
      <c r="C229" s="670"/>
      <c r="D229" s="661">
        <v>0</v>
      </c>
      <c r="E229" s="668"/>
      <c r="F229" s="668"/>
      <c r="G229" s="674" t="s">
        <v>21</v>
      </c>
      <c r="H229" s="663" t="s">
        <v>22</v>
      </c>
      <c r="I229" s="670"/>
      <c r="J229" s="661">
        <v>0</v>
      </c>
      <c r="K229" s="648"/>
    </row>
    <row r="230" spans="1:11" ht="23.25" customHeight="1">
      <c r="A230" s="669" t="s">
        <v>23</v>
      </c>
      <c r="B230" s="663" t="s">
        <v>24</v>
      </c>
      <c r="C230" s="670"/>
      <c r="D230" s="661">
        <f>+D229</f>
        <v>0</v>
      </c>
      <c r="E230" s="677"/>
      <c r="F230" s="677"/>
      <c r="G230" s="669" t="s">
        <v>23</v>
      </c>
      <c r="H230" s="663" t="s">
        <v>24</v>
      </c>
      <c r="I230" s="670"/>
      <c r="J230" s="661">
        <f>+J229</f>
        <v>0</v>
      </c>
    </row>
    <row r="231" spans="1:11" ht="23.25" customHeight="1">
      <c r="A231" s="669" t="s">
        <v>25</v>
      </c>
      <c r="B231" s="663" t="s">
        <v>26</v>
      </c>
      <c r="C231" s="680"/>
      <c r="D231" s="669">
        <f>SUM(D220:D227)-D230</f>
        <v>172380235878.81998</v>
      </c>
      <c r="E231" s="681"/>
      <c r="F231" s="681"/>
      <c r="G231" s="669" t="s">
        <v>25</v>
      </c>
      <c r="H231" s="663" t="s">
        <v>26</v>
      </c>
      <c r="I231" s="680"/>
      <c r="J231" s="669">
        <f>SUM(J220:J227)-J230</f>
        <v>294070189811.07526</v>
      </c>
      <c r="K231" s="682">
        <f>+D231+J231</f>
        <v>466450425689.89526</v>
      </c>
    </row>
    <row r="232" spans="1:11" ht="23.25" customHeight="1">
      <c r="A232" s="683"/>
      <c r="B232" s="684"/>
      <c r="C232" s="697"/>
      <c r="D232" s="683"/>
      <c r="E232" s="686"/>
      <c r="F232" s="686"/>
      <c r="G232" s="683"/>
      <c r="H232" s="684"/>
      <c r="I232" s="697"/>
      <c r="J232" s="683"/>
      <c r="K232" s="682"/>
    </row>
    <row r="233" spans="1:11" ht="23.25" customHeight="1">
      <c r="A233" s="683"/>
      <c r="B233" s="684"/>
      <c r="C233" s="685"/>
      <c r="D233" s="686"/>
      <c r="E233" s="687"/>
      <c r="F233" s="686"/>
      <c r="G233" s="683"/>
      <c r="H233" s="684"/>
      <c r="I233" s="685"/>
      <c r="J233" s="688"/>
      <c r="K233" s="689"/>
    </row>
    <row r="234" spans="1:11" ht="23.25" customHeight="1">
      <c r="A234" s="1436" t="str">
        <f>$L$1</f>
        <v>Tháng 12/2025</v>
      </c>
      <c r="B234" s="1436"/>
      <c r="C234" s="1436"/>
      <c r="D234" s="1436"/>
      <c r="E234" s="647"/>
      <c r="F234" s="647"/>
      <c r="G234" s="1436" t="str">
        <f>$L$1</f>
        <v>Tháng 12/2025</v>
      </c>
      <c r="H234" s="1436"/>
      <c r="I234" s="1436"/>
      <c r="J234" s="1436"/>
      <c r="K234" s="648"/>
    </row>
    <row r="235" spans="1:11" ht="23.25" customHeight="1">
      <c r="A235" s="652" t="s">
        <v>12</v>
      </c>
      <c r="B235" s="653" t="str">
        <f>VLOOKUP(C235,'LƯƠNG KT'!$A$13:$D$53,4,0)</f>
        <v>Thảo Boi</v>
      </c>
      <c r="C235" s="654">
        <v>31</v>
      </c>
      <c r="D235" s="655">
        <f>+VLOOKUP(B235,'LƯƠNG KT'!$D$13:$O$94,11,0)</f>
        <v>1357.0637186044041</v>
      </c>
      <c r="E235" s="656"/>
      <c r="F235" s="656"/>
      <c r="G235" s="652" t="s">
        <v>12</v>
      </c>
      <c r="H235" s="653" t="str">
        <f>VLOOKUP(I235,'LƯƠNG KT'!$A$13:$D$53,4,0)</f>
        <v>Cha Lơ</v>
      </c>
      <c r="I235" s="654">
        <v>32</v>
      </c>
      <c r="J235" s="655">
        <f>+VLOOKUP(H235,'LƯƠNG KT'!$D$13:$O$94,11,0)</f>
        <v>831.40617126106144</v>
      </c>
      <c r="K235" s="657"/>
    </row>
    <row r="236" spans="1:11" ht="23.25" customHeight="1">
      <c r="A236" s="652" t="s">
        <v>13</v>
      </c>
      <c r="B236" s="660" t="s">
        <v>14</v>
      </c>
      <c r="C236" s="805">
        <f>VLOOKUP(C235,'LƯƠNG KT'!$A$13:$G$53,7,0)</f>
        <v>0</v>
      </c>
      <c r="D236" s="806">
        <f>C236*25000</f>
        <v>0</v>
      </c>
      <c r="E236" s="662"/>
      <c r="F236" s="662"/>
      <c r="G236" s="652" t="s">
        <v>13</v>
      </c>
      <c r="H236" s="660" t="s">
        <v>14</v>
      </c>
      <c r="I236" s="805">
        <f>VLOOKUP(I235,'LƯƠNG KT'!$A$13:$G$53,7,0)</f>
        <v>0</v>
      </c>
      <c r="J236" s="806">
        <f>I236*25000</f>
        <v>0</v>
      </c>
      <c r="K236" s="648"/>
    </row>
    <row r="237" spans="1:11" ht="23.25" customHeight="1">
      <c r="A237" s="652" t="s">
        <v>15</v>
      </c>
      <c r="B237" s="663" t="s">
        <v>16</v>
      </c>
      <c r="C237" s="653">
        <f>VLOOKUP(B235,'LƯƠNG KT'!$D$13:$Q$94,13,0)</f>
        <v>4722581.740743326</v>
      </c>
      <c r="D237" s="664">
        <f>+C237*$M$2</f>
        <v>145422251749.11264</v>
      </c>
      <c r="E237" s="665"/>
      <c r="F237" s="665"/>
      <c r="G237" s="652" t="s">
        <v>15</v>
      </c>
      <c r="H237" s="663" t="s">
        <v>16</v>
      </c>
      <c r="I237" s="653">
        <f>VLOOKUP(H235,'LƯƠNG KT'!$D$13:$Q$94,13,0)</f>
        <v>2893293.4759884938</v>
      </c>
      <c r="J237" s="664">
        <f>+I237*$M$2</f>
        <v>89093058701.200745</v>
      </c>
      <c r="K237" s="666"/>
    </row>
    <row r="238" spans="1:11" ht="23.25" customHeight="1">
      <c r="A238" s="652" t="s">
        <v>357</v>
      </c>
      <c r="B238" s="663" t="s">
        <v>17</v>
      </c>
      <c r="C238" s="653">
        <f>VLOOKUP(B235,'LƯƠNG KT'!$D$13:$R$94,14,0)</f>
        <v>27</v>
      </c>
      <c r="D238" s="664">
        <f>+C238*$M$3</f>
        <v>1386885.348</v>
      </c>
      <c r="E238" s="665"/>
      <c r="F238" s="665"/>
      <c r="G238" s="652" t="s">
        <v>357</v>
      </c>
      <c r="H238" s="663" t="s">
        <v>17</v>
      </c>
      <c r="I238" s="653">
        <f>VLOOKUP(H235,'LƯƠNG KT'!$D$13:$R$94,14,0)</f>
        <v>26</v>
      </c>
      <c r="J238" s="664">
        <f>+I238*$M$3</f>
        <v>1335519.2240000002</v>
      </c>
      <c r="K238" s="666"/>
    </row>
    <row r="239" spans="1:11" ht="23.25" customHeight="1">
      <c r="A239" s="1434" t="s">
        <v>375</v>
      </c>
      <c r="B239" s="1435"/>
      <c r="C239" s="653">
        <f>VLOOKUP(B235,'LƯƠNG KT'!$D$13:$S$94,15,0)</f>
        <v>4</v>
      </c>
      <c r="D239" s="664">
        <f>+C239*$M$5</f>
        <v>246343.64800000002</v>
      </c>
      <c r="E239" s="665"/>
      <c r="F239" s="665"/>
      <c r="G239" s="1434" t="s">
        <v>375</v>
      </c>
      <c r="H239" s="1435"/>
      <c r="I239" s="653">
        <f>VLOOKUP(H235,'LƯƠNG KT'!$D$13:$S$94,15,0)</f>
        <v>4</v>
      </c>
      <c r="J239" s="664">
        <f>+I239*$M$5</f>
        <v>246343.64800000002</v>
      </c>
      <c r="K239" s="666"/>
    </row>
    <row r="240" spans="1:11" ht="23.25" customHeight="1">
      <c r="A240" s="1434" t="s">
        <v>545</v>
      </c>
      <c r="B240" s="1435"/>
      <c r="C240" s="653">
        <f>VLOOKUP(B235,'LƯƠNG KT'!$D$13:$T$90,16,0)</f>
        <v>0</v>
      </c>
      <c r="D240" s="664">
        <f>C240*$M$6</f>
        <v>0</v>
      </c>
      <c r="E240" s="665"/>
      <c r="F240" s="665"/>
      <c r="G240" s="1434" t="s">
        <v>545</v>
      </c>
      <c r="H240" s="1435"/>
      <c r="I240" s="653">
        <f>VLOOKUP(H235,'LƯƠNG KT'!$D$13:$T$90,16,0)</f>
        <v>0</v>
      </c>
      <c r="J240" s="664">
        <f>I240*$M$6</f>
        <v>0</v>
      </c>
      <c r="K240" s="666"/>
    </row>
    <row r="241" spans="1:11" ht="23.25" customHeight="1">
      <c r="A241" s="1434" t="s">
        <v>427</v>
      </c>
      <c r="B241" s="1435"/>
      <c r="C241" s="653">
        <f>+C239+C240</f>
        <v>4</v>
      </c>
      <c r="D241" s="664">
        <f>+C241*$M$7</f>
        <v>400000</v>
      </c>
      <c r="E241" s="665"/>
      <c r="F241" s="665"/>
      <c r="G241" s="1434" t="s">
        <v>427</v>
      </c>
      <c r="H241" s="1435"/>
      <c r="I241" s="653">
        <f>+I239+I240</f>
        <v>4</v>
      </c>
      <c r="J241" s="664">
        <f>+I241*$M$7</f>
        <v>400000</v>
      </c>
      <c r="K241" s="666"/>
    </row>
    <row r="242" spans="1:11" ht="23.25" customHeight="1">
      <c r="A242" s="1434" t="s">
        <v>358</v>
      </c>
      <c r="B242" s="1435"/>
      <c r="C242" s="653">
        <f>+C237+C238+C239+C240</f>
        <v>4722612.740743326</v>
      </c>
      <c r="D242" s="664">
        <f>+C242*$M$8</f>
        <v>94452254814.866516</v>
      </c>
      <c r="E242" s="665"/>
      <c r="F242" s="665"/>
      <c r="G242" s="1434" t="s">
        <v>358</v>
      </c>
      <c r="H242" s="1435"/>
      <c r="I242" s="653">
        <f>+I237+I238+I239+I240</f>
        <v>2893323.4759884938</v>
      </c>
      <c r="J242" s="664">
        <f>+I242*$M$8</f>
        <v>57866469519.769875</v>
      </c>
      <c r="K242" s="666"/>
    </row>
    <row r="243" spans="1:11" ht="23.25" customHeight="1">
      <c r="A243" s="652" t="s">
        <v>481</v>
      </c>
      <c r="B243" s="663" t="s">
        <v>127</v>
      </c>
      <c r="C243" s="667">
        <f>VLOOKUP(B235,'LƯƠNG KT'!$D$13:$I$94,6,0)</f>
        <v>3067</v>
      </c>
      <c r="D243" s="661" t="str">
        <f>VLOOKUP(B235,'LƯƠNG KT'!$D$13:$P$94,12,0)</f>
        <v>B</v>
      </c>
      <c r="E243" s="668"/>
      <c r="F243" s="668"/>
      <c r="G243" s="652" t="s">
        <v>481</v>
      </c>
      <c r="H243" s="663" t="s">
        <v>127</v>
      </c>
      <c r="I243" s="667">
        <f>VLOOKUP(H235,'LƯƠNG KT'!$D$13:$I$94,6,0)</f>
        <v>1879</v>
      </c>
      <c r="J243" s="661" t="str">
        <f>VLOOKUP(H235,'LƯƠNG KT'!$D$13:$P$94,12,0)</f>
        <v>B</v>
      </c>
      <c r="K243" s="648"/>
    </row>
    <row r="244" spans="1:11" ht="23.25" customHeight="1">
      <c r="A244" s="669" t="s">
        <v>19</v>
      </c>
      <c r="B244" s="663" t="s">
        <v>20</v>
      </c>
      <c r="C244" s="670"/>
      <c r="D244" s="661"/>
      <c r="E244" s="671"/>
      <c r="F244" s="671"/>
      <c r="G244" s="669" t="s">
        <v>19</v>
      </c>
      <c r="H244" s="663" t="s">
        <v>20</v>
      </c>
      <c r="I244" s="670"/>
      <c r="J244" s="661"/>
      <c r="K244" s="648"/>
    </row>
    <row r="245" spans="1:11" ht="23.25" customHeight="1">
      <c r="A245" s="674" t="s">
        <v>21</v>
      </c>
      <c r="B245" s="663" t="s">
        <v>22</v>
      </c>
      <c r="C245" s="670"/>
      <c r="D245" s="661">
        <v>0</v>
      </c>
      <c r="E245" s="668"/>
      <c r="F245" s="668"/>
      <c r="G245" s="674" t="s">
        <v>21</v>
      </c>
      <c r="H245" s="663" t="s">
        <v>22</v>
      </c>
      <c r="I245" s="670"/>
      <c r="J245" s="661">
        <v>0</v>
      </c>
      <c r="K245" s="648"/>
    </row>
    <row r="246" spans="1:11" ht="23.25" customHeight="1">
      <c r="A246" s="669" t="s">
        <v>23</v>
      </c>
      <c r="B246" s="663" t="s">
        <v>24</v>
      </c>
      <c r="C246" s="670"/>
      <c r="D246" s="661">
        <f>+D245</f>
        <v>0</v>
      </c>
      <c r="E246" s="677"/>
      <c r="F246" s="677"/>
      <c r="G246" s="669" t="s">
        <v>23</v>
      </c>
      <c r="H246" s="663" t="s">
        <v>24</v>
      </c>
      <c r="I246" s="670"/>
      <c r="J246" s="661">
        <f>+J245</f>
        <v>0</v>
      </c>
    </row>
    <row r="247" spans="1:11" ht="23.25" customHeight="1">
      <c r="A247" s="669" t="s">
        <v>25</v>
      </c>
      <c r="B247" s="663" t="s">
        <v>26</v>
      </c>
      <c r="C247" s="680"/>
      <c r="D247" s="669">
        <f>SUM(D236:D243)-D246</f>
        <v>239876539792.97516</v>
      </c>
      <c r="E247" s="681"/>
      <c r="F247" s="681"/>
      <c r="G247" s="669" t="s">
        <v>25</v>
      </c>
      <c r="H247" s="663" t="s">
        <v>26</v>
      </c>
      <c r="I247" s="680"/>
      <c r="J247" s="669">
        <f>SUM(J236:J243)-J246</f>
        <v>146961510083.84262</v>
      </c>
      <c r="K247" s="682">
        <f>+D247+J247</f>
        <v>386838049876.81775</v>
      </c>
    </row>
    <row r="248" spans="1:11" ht="23.25" customHeight="1">
      <c r="A248" s="683"/>
      <c r="B248" s="684"/>
      <c r="C248" s="697"/>
      <c r="D248" s="683"/>
      <c r="E248" s="686"/>
      <c r="F248" s="686"/>
      <c r="G248" s="683"/>
      <c r="H248" s="684"/>
      <c r="I248" s="697"/>
      <c r="J248" s="683"/>
      <c r="K248" s="682"/>
    </row>
    <row r="249" spans="1:11" ht="23.25" customHeight="1">
      <c r="A249" s="1436" t="str">
        <f>$L$1</f>
        <v>Tháng 12/2025</v>
      </c>
      <c r="B249" s="1436"/>
      <c r="C249" s="1436"/>
      <c r="D249" s="1436"/>
      <c r="E249" s="647"/>
      <c r="F249" s="647"/>
      <c r="G249" s="1436" t="str">
        <f>$L$1</f>
        <v>Tháng 12/2025</v>
      </c>
      <c r="H249" s="1436"/>
      <c r="I249" s="1436"/>
      <c r="J249" s="1436"/>
      <c r="K249" s="648"/>
    </row>
    <row r="250" spans="1:11" ht="23.25" customHeight="1">
      <c r="A250" s="652" t="s">
        <v>12</v>
      </c>
      <c r="B250" s="653" t="str">
        <f>VLOOKUP(C250,'LƯƠNG KT'!$A$13:$D$53,4,0)</f>
        <v>Nang Cung</v>
      </c>
      <c r="C250" s="654">
        <v>33</v>
      </c>
      <c r="D250" s="655">
        <f>+VLOOKUP(B250,'LƯƠNG KT'!$D$13:$O$94,11,0)</f>
        <v>971.22753907292702</v>
      </c>
      <c r="E250" s="656"/>
      <c r="F250" s="656"/>
      <c r="G250" s="652" t="s">
        <v>12</v>
      </c>
      <c r="H250" s="653" t="str">
        <f>VLOOKUP(I250,'LƯƠNG KT'!$A$13:$D$53,4,0)</f>
        <v>Thảo Xen</v>
      </c>
      <c r="I250" s="654">
        <v>34</v>
      </c>
      <c r="J250" s="655">
        <f>+VLOOKUP(H250,'LƯƠNG KT'!$D$13:$O$94,11,0)</f>
        <v>885.83031126378125</v>
      </c>
      <c r="K250" s="657"/>
    </row>
    <row r="251" spans="1:11" ht="23.25" customHeight="1">
      <c r="A251" s="652" t="s">
        <v>13</v>
      </c>
      <c r="B251" s="660" t="s">
        <v>14</v>
      </c>
      <c r="C251" s="805">
        <f>VLOOKUP(C250,'LƯƠNG KT'!$A$13:$G$53,7,0)</f>
        <v>0</v>
      </c>
      <c r="D251" s="806">
        <f>C251*25000</f>
        <v>0</v>
      </c>
      <c r="E251" s="662"/>
      <c r="F251" s="662"/>
      <c r="G251" s="652" t="s">
        <v>13</v>
      </c>
      <c r="H251" s="660" t="s">
        <v>14</v>
      </c>
      <c r="I251" s="805">
        <f>VLOOKUP(I250,'LƯƠNG KT'!$A$13:$G$53,7,0)</f>
        <v>0</v>
      </c>
      <c r="J251" s="806">
        <f>I251*25000</f>
        <v>0</v>
      </c>
      <c r="K251" s="648"/>
    </row>
    <row r="252" spans="1:11" ht="23.25" customHeight="1">
      <c r="A252" s="652" t="s">
        <v>15</v>
      </c>
      <c r="B252" s="663" t="s">
        <v>16</v>
      </c>
      <c r="C252" s="653">
        <f>VLOOKUP(B250,'LƯƠNG KT'!$D$13:$Q$94,13,0)</f>
        <v>3379871.8359737857</v>
      </c>
      <c r="D252" s="664">
        <f>+C252*$M$2</f>
        <v>104076244730.78001</v>
      </c>
      <c r="E252" s="665"/>
      <c r="F252" s="665"/>
      <c r="G252" s="652" t="s">
        <v>15</v>
      </c>
      <c r="H252" s="663" t="s">
        <v>16</v>
      </c>
      <c r="I252" s="653">
        <f>VLOOKUP(H250,'LƯƠNG KT'!$D$13:$Q$94,13,0)</f>
        <v>3242138.939225439</v>
      </c>
      <c r="J252" s="664">
        <f>+I252*$M$2</f>
        <v>99835041701.455627</v>
      </c>
      <c r="K252" s="666"/>
    </row>
    <row r="253" spans="1:11" ht="23.25" customHeight="1">
      <c r="A253" s="652" t="s">
        <v>357</v>
      </c>
      <c r="B253" s="663" t="s">
        <v>17</v>
      </c>
      <c r="C253" s="653">
        <f>VLOOKUP(B250,'LƯƠNG KT'!$D$13:$R$94,14,0)</f>
        <v>25</v>
      </c>
      <c r="D253" s="664">
        <f>+C253*$M$3</f>
        <v>1284153.1000000001</v>
      </c>
      <c r="E253" s="665"/>
      <c r="F253" s="665"/>
      <c r="G253" s="652" t="s">
        <v>357</v>
      </c>
      <c r="H253" s="663" t="s">
        <v>17</v>
      </c>
      <c r="I253" s="653">
        <f>VLOOKUP(H250,'LƯƠNG KT'!$D$13:$R$94,14,0)</f>
        <v>27</v>
      </c>
      <c r="J253" s="664">
        <f>+I253*$M$3</f>
        <v>1386885.348</v>
      </c>
      <c r="K253" s="666"/>
    </row>
    <row r="254" spans="1:11" ht="23.25" customHeight="1">
      <c r="A254" s="1434" t="s">
        <v>375</v>
      </c>
      <c r="B254" s="1435"/>
      <c r="C254" s="653">
        <f>VLOOKUP(B250,'LƯƠNG KT'!$D$13:$S$94,15,0)</f>
        <v>2</v>
      </c>
      <c r="D254" s="664">
        <f>+C254*$M$5</f>
        <v>123171.82400000001</v>
      </c>
      <c r="E254" s="665"/>
      <c r="F254" s="665"/>
      <c r="G254" s="1434" t="s">
        <v>375</v>
      </c>
      <c r="H254" s="1435"/>
      <c r="I254" s="653">
        <f>VLOOKUP(H250,'LƯƠNG KT'!$D$13:$S$94,15,0)</f>
        <v>4</v>
      </c>
      <c r="J254" s="664">
        <f>+I254*$M$5</f>
        <v>246343.64800000002</v>
      </c>
      <c r="K254" s="666"/>
    </row>
    <row r="255" spans="1:11" ht="23.25" customHeight="1">
      <c r="A255" s="1434" t="s">
        <v>545</v>
      </c>
      <c r="B255" s="1435"/>
      <c r="C255" s="653">
        <f>VLOOKUP(B250,'LƯƠNG KT'!$D$13:$T$90,16,0)</f>
        <v>0</v>
      </c>
      <c r="D255" s="664">
        <f>C255*$M$6</f>
        <v>0</v>
      </c>
      <c r="E255" s="665"/>
      <c r="F255" s="665"/>
      <c r="G255" s="1434" t="s">
        <v>545</v>
      </c>
      <c r="H255" s="1435"/>
      <c r="I255" s="653">
        <f>VLOOKUP(H250,'LƯƠNG KT'!$D$13:$T$90,16,0)</f>
        <v>0</v>
      </c>
      <c r="J255" s="664">
        <f>I255*$M$6</f>
        <v>0</v>
      </c>
      <c r="K255" s="666"/>
    </row>
    <row r="256" spans="1:11" ht="23.25" customHeight="1">
      <c r="A256" s="1434" t="s">
        <v>427</v>
      </c>
      <c r="B256" s="1435"/>
      <c r="C256" s="653">
        <f>+C254+C255</f>
        <v>2</v>
      </c>
      <c r="D256" s="664">
        <f>+C256*$M$7</f>
        <v>200000</v>
      </c>
      <c r="E256" s="665"/>
      <c r="F256" s="665"/>
      <c r="G256" s="1434" t="s">
        <v>427</v>
      </c>
      <c r="H256" s="1435"/>
      <c r="I256" s="653">
        <f>+I254+I255</f>
        <v>4</v>
      </c>
      <c r="J256" s="664">
        <f>+I256*$M$7</f>
        <v>400000</v>
      </c>
      <c r="K256" s="666"/>
    </row>
    <row r="257" spans="1:12" ht="23.25" customHeight="1">
      <c r="A257" s="1434" t="s">
        <v>358</v>
      </c>
      <c r="B257" s="1435"/>
      <c r="C257" s="653">
        <f>+C252+C253+C254+C255</f>
        <v>3379898.8359737857</v>
      </c>
      <c r="D257" s="664">
        <f>+C257*$M$8</f>
        <v>67597976719.475716</v>
      </c>
      <c r="E257" s="665"/>
      <c r="F257" s="665"/>
      <c r="G257" s="1434" t="s">
        <v>358</v>
      </c>
      <c r="H257" s="1435"/>
      <c r="I257" s="653">
        <f>+I252+I253+I254+I255</f>
        <v>3242169.939225439</v>
      </c>
      <c r="J257" s="664">
        <f>+I257*$M$8</f>
        <v>64843398784.508781</v>
      </c>
      <c r="K257" s="666"/>
    </row>
    <row r="258" spans="1:12" ht="23.25" customHeight="1">
      <c r="A258" s="652" t="s">
        <v>481</v>
      </c>
      <c r="B258" s="663" t="s">
        <v>127</v>
      </c>
      <c r="C258" s="667">
        <f>VLOOKUP(B250,'LƯƠNG KT'!$D$13:$I$94,6,0)</f>
        <v>2195</v>
      </c>
      <c r="D258" s="661" t="str">
        <f>VLOOKUP(B250,'LƯƠNG KT'!$D$13:$P$94,12,0)</f>
        <v>B</v>
      </c>
      <c r="E258" s="668"/>
      <c r="F258" s="668"/>
      <c r="G258" s="652" t="s">
        <v>481</v>
      </c>
      <c r="H258" s="663" t="s">
        <v>127</v>
      </c>
      <c r="I258" s="667">
        <f>VLOOKUP(H250,'LƯƠNG KT'!$D$13:$I$94,6,0)</f>
        <v>2002</v>
      </c>
      <c r="J258" s="661" t="str">
        <f>VLOOKUP(H250,'LƯƠNG KT'!$D$13:$P$94,12,0)</f>
        <v>A</v>
      </c>
      <c r="K258" s="648"/>
    </row>
    <row r="259" spans="1:12" ht="23.25" customHeight="1">
      <c r="A259" s="669" t="s">
        <v>19</v>
      </c>
      <c r="B259" s="663" t="s">
        <v>20</v>
      </c>
      <c r="C259" s="670"/>
      <c r="D259" s="661"/>
      <c r="E259" s="671"/>
      <c r="F259" s="671"/>
      <c r="G259" s="669" t="s">
        <v>19</v>
      </c>
      <c r="H259" s="663" t="s">
        <v>20</v>
      </c>
      <c r="I259" s="670"/>
      <c r="J259" s="661"/>
      <c r="K259" s="648"/>
    </row>
    <row r="260" spans="1:12" ht="23.25" customHeight="1">
      <c r="A260" s="674" t="s">
        <v>21</v>
      </c>
      <c r="B260" s="663" t="s">
        <v>22</v>
      </c>
      <c r="C260" s="670"/>
      <c r="D260" s="661">
        <v>0</v>
      </c>
      <c r="E260" s="668"/>
      <c r="F260" s="668"/>
      <c r="G260" s="674" t="s">
        <v>21</v>
      </c>
      <c r="H260" s="663" t="s">
        <v>22</v>
      </c>
      <c r="I260" s="670"/>
      <c r="J260" s="661">
        <v>0</v>
      </c>
      <c r="K260" s="648"/>
    </row>
    <row r="261" spans="1:12" ht="23.25" customHeight="1">
      <c r="A261" s="669" t="s">
        <v>23</v>
      </c>
      <c r="B261" s="663" t="s">
        <v>24</v>
      </c>
      <c r="C261" s="670"/>
      <c r="D261" s="661">
        <f>+D260</f>
        <v>0</v>
      </c>
      <c r="E261" s="677"/>
      <c r="F261" s="677"/>
      <c r="G261" s="669" t="s">
        <v>23</v>
      </c>
      <c r="H261" s="663" t="s">
        <v>24</v>
      </c>
      <c r="I261" s="670"/>
      <c r="J261" s="661">
        <f>+J260</f>
        <v>0</v>
      </c>
    </row>
    <row r="262" spans="1:12" ht="23.25" customHeight="1">
      <c r="A262" s="669" t="s">
        <v>25</v>
      </c>
      <c r="B262" s="663" t="s">
        <v>26</v>
      </c>
      <c r="C262" s="680"/>
      <c r="D262" s="669">
        <f>SUM(D251:D258)-D261</f>
        <v>171675828775.17975</v>
      </c>
      <c r="E262" s="681"/>
      <c r="F262" s="681"/>
      <c r="G262" s="669" t="s">
        <v>25</v>
      </c>
      <c r="H262" s="663" t="s">
        <v>26</v>
      </c>
      <c r="I262" s="680"/>
      <c r="J262" s="669">
        <f>SUM(J251:J258)-J261</f>
        <v>164680473714.96042</v>
      </c>
      <c r="K262" s="682">
        <f>+D262+J262</f>
        <v>336356302490.14014</v>
      </c>
    </row>
    <row r="263" spans="1:12" ht="23.25" customHeight="1">
      <c r="A263" s="683"/>
      <c r="B263" s="684"/>
      <c r="C263" s="697"/>
      <c r="D263" s="683"/>
      <c r="E263" s="686"/>
      <c r="F263" s="686"/>
      <c r="G263" s="683"/>
      <c r="H263" s="684"/>
      <c r="I263" s="697"/>
      <c r="J263" s="683"/>
      <c r="K263" s="682"/>
      <c r="L263" s="691"/>
    </row>
    <row r="264" spans="1:12" ht="23.25" customHeight="1">
      <c r="A264" s="1436" t="str">
        <f>$L$1</f>
        <v>Tháng 12/2025</v>
      </c>
      <c r="B264" s="1436"/>
      <c r="C264" s="1436"/>
      <c r="D264" s="1436"/>
      <c r="E264" s="647"/>
      <c r="F264" s="647"/>
      <c r="G264" s="1436" t="str">
        <f>$L$1</f>
        <v>Tháng 12/2025</v>
      </c>
      <c r="H264" s="1436"/>
      <c r="I264" s="1436"/>
      <c r="J264" s="1436"/>
      <c r="K264" s="648"/>
      <c r="L264" s="691"/>
    </row>
    <row r="265" spans="1:12" ht="23.25" customHeight="1">
      <c r="A265" s="652" t="s">
        <v>12</v>
      </c>
      <c r="B265" s="653" t="str">
        <f>VLOOKUP(C265,'LƯƠNG KT'!$A$13:$D$53,4,0)</f>
        <v>Phò Nhuận</v>
      </c>
      <c r="C265" s="654">
        <v>35</v>
      </c>
      <c r="D265" s="655">
        <f>+VLOOKUP(B265,'LƯƠNG KT'!$D$13:$O$94,11,0)</f>
        <v>0</v>
      </c>
      <c r="E265" s="656"/>
      <c r="F265" s="656"/>
      <c r="G265" s="652" t="s">
        <v>12</v>
      </c>
      <c r="H265" s="653" t="e">
        <f>VLOOKUP(I265,'LƯƠNG KT'!$A$13:$D$53,4,0)</f>
        <v>#N/A</v>
      </c>
      <c r="I265" s="654"/>
      <c r="J265" s="655" t="e">
        <f>+VLOOKUP(H265,'LƯƠNG KT'!$D$13:$O$94,11,0)</f>
        <v>#N/A</v>
      </c>
      <c r="K265" s="657"/>
      <c r="L265" s="691"/>
    </row>
    <row r="266" spans="1:12" ht="23.25" customHeight="1">
      <c r="A266" s="652" t="s">
        <v>13</v>
      </c>
      <c r="B266" s="660" t="s">
        <v>14</v>
      </c>
      <c r="C266" s="805">
        <f>VLOOKUP(C265,'LƯƠNG KT'!$A$13:$G$53,7,0)</f>
        <v>0</v>
      </c>
      <c r="D266" s="806">
        <f>C266*25000</f>
        <v>0</v>
      </c>
      <c r="E266" s="662"/>
      <c r="F266" s="662"/>
      <c r="G266" s="652" t="s">
        <v>13</v>
      </c>
      <c r="H266" s="660" t="s">
        <v>14</v>
      </c>
      <c r="I266" s="805" t="e">
        <f>VLOOKUP(I265,'LƯƠNG KT'!$A$13:$G$53,7,0)</f>
        <v>#N/A</v>
      </c>
      <c r="J266" s="806" t="e">
        <f>I266*25000</f>
        <v>#N/A</v>
      </c>
      <c r="K266" s="648"/>
      <c r="L266" s="691"/>
    </row>
    <row r="267" spans="1:12" ht="23.25" customHeight="1">
      <c r="A267" s="652" t="s">
        <v>15</v>
      </c>
      <c r="B267" s="663" t="s">
        <v>16</v>
      </c>
      <c r="C267" s="653">
        <f>VLOOKUP(B265,'LƯƠNG KT'!$D$13:$Q$94,13,0)</f>
        <v>0</v>
      </c>
      <c r="D267" s="664">
        <f>+C267*$M$2</f>
        <v>0</v>
      </c>
      <c r="E267" s="665"/>
      <c r="F267" s="665"/>
      <c r="G267" s="652" t="s">
        <v>15</v>
      </c>
      <c r="H267" s="663" t="s">
        <v>16</v>
      </c>
      <c r="I267" s="653" t="e">
        <f>VLOOKUP(H265,'LƯƠNG KT'!$D$13:$Q$94,13,0)</f>
        <v>#N/A</v>
      </c>
      <c r="J267" s="664" t="e">
        <f>+I267*$M$2</f>
        <v>#N/A</v>
      </c>
      <c r="K267" s="666"/>
      <c r="L267" s="691"/>
    </row>
    <row r="268" spans="1:12" ht="23.25" customHeight="1">
      <c r="A268" s="652" t="s">
        <v>357</v>
      </c>
      <c r="B268" s="663" t="s">
        <v>17</v>
      </c>
      <c r="C268" s="653">
        <f>VLOOKUP(B265,'LƯƠNG KT'!$D$13:$R$94,14,0)</f>
        <v>13</v>
      </c>
      <c r="D268" s="664">
        <f>+C268*$M$3</f>
        <v>667759.61200000008</v>
      </c>
      <c r="E268" s="665"/>
      <c r="F268" s="665"/>
      <c r="G268" s="652" t="s">
        <v>357</v>
      </c>
      <c r="H268" s="663" t="s">
        <v>17</v>
      </c>
      <c r="I268" s="653" t="e">
        <f>VLOOKUP(H265,'LƯƠNG KT'!$D$13:$R$94,14,0)</f>
        <v>#N/A</v>
      </c>
      <c r="J268" s="664" t="e">
        <f>+I268*$M$3</f>
        <v>#N/A</v>
      </c>
      <c r="K268" s="666"/>
      <c r="L268" s="691"/>
    </row>
    <row r="269" spans="1:12" ht="23.25" customHeight="1">
      <c r="A269" s="1434" t="s">
        <v>375</v>
      </c>
      <c r="B269" s="1435"/>
      <c r="C269" s="653">
        <f>VLOOKUP(B265,'LƯƠNG KT'!$D$13:$S$94,15,0)</f>
        <v>4</v>
      </c>
      <c r="D269" s="664">
        <f>+C269*$M$5</f>
        <v>246343.64800000002</v>
      </c>
      <c r="E269" s="665"/>
      <c r="F269" s="665"/>
      <c r="G269" s="1434" t="s">
        <v>375</v>
      </c>
      <c r="H269" s="1435"/>
      <c r="I269" s="653" t="e">
        <f>VLOOKUP(H265,'LƯƠNG KT'!$D$13:$S$94,15,0)</f>
        <v>#N/A</v>
      </c>
      <c r="J269" s="664" t="e">
        <f>+I269*$M$5</f>
        <v>#N/A</v>
      </c>
      <c r="K269" s="666"/>
      <c r="L269" s="691"/>
    </row>
    <row r="270" spans="1:12" ht="23.25" customHeight="1">
      <c r="A270" s="1434" t="s">
        <v>545</v>
      </c>
      <c r="B270" s="1435"/>
      <c r="C270" s="653">
        <f>VLOOKUP(B265,'LƯƠNG KT'!$D$13:$T$90,16,0)</f>
        <v>0</v>
      </c>
      <c r="D270" s="664">
        <f>C270*$M$6</f>
        <v>0</v>
      </c>
      <c r="E270" s="665"/>
      <c r="F270" s="665"/>
      <c r="G270" s="1434" t="s">
        <v>545</v>
      </c>
      <c r="H270" s="1435"/>
      <c r="I270" s="653" t="e">
        <f>VLOOKUP(H265,'LƯƠNG KT'!$D$13:$T$90,16,0)</f>
        <v>#N/A</v>
      </c>
      <c r="J270" s="664" t="e">
        <f>I270*$M$6</f>
        <v>#N/A</v>
      </c>
      <c r="K270" s="666"/>
      <c r="L270" s="691"/>
    </row>
    <row r="271" spans="1:12" ht="23.25" customHeight="1">
      <c r="A271" s="1434" t="s">
        <v>427</v>
      </c>
      <c r="B271" s="1435"/>
      <c r="C271" s="653">
        <f>+C269+C270</f>
        <v>4</v>
      </c>
      <c r="D271" s="664">
        <f>+C271*$M$7</f>
        <v>400000</v>
      </c>
      <c r="E271" s="665"/>
      <c r="F271" s="665"/>
      <c r="G271" s="1434" t="s">
        <v>427</v>
      </c>
      <c r="H271" s="1435"/>
      <c r="I271" s="653" t="e">
        <f>+I269+I270</f>
        <v>#N/A</v>
      </c>
      <c r="J271" s="664" t="e">
        <f>+I271*$M$7</f>
        <v>#N/A</v>
      </c>
      <c r="K271" s="666"/>
      <c r="L271" s="691"/>
    </row>
    <row r="272" spans="1:12" ht="23.25" customHeight="1">
      <c r="A272" s="1434" t="s">
        <v>358</v>
      </c>
      <c r="B272" s="1435"/>
      <c r="C272" s="653">
        <f>+C267+C268+C269+C270</f>
        <v>17</v>
      </c>
      <c r="D272" s="664">
        <f>+C272*$M$8</f>
        <v>340000</v>
      </c>
      <c r="E272" s="665"/>
      <c r="F272" s="665"/>
      <c r="G272" s="1434" t="s">
        <v>358</v>
      </c>
      <c r="H272" s="1435"/>
      <c r="I272" s="653" t="e">
        <f>+I267+I268+I269+I270</f>
        <v>#N/A</v>
      </c>
      <c r="J272" s="664" t="e">
        <f>+I272*$M$8</f>
        <v>#N/A</v>
      </c>
      <c r="K272" s="666"/>
      <c r="L272" s="691"/>
    </row>
    <row r="273" spans="1:13" ht="23.25" customHeight="1">
      <c r="A273" s="652" t="s">
        <v>481</v>
      </c>
      <c r="B273" s="663" t="s">
        <v>127</v>
      </c>
      <c r="C273" s="667">
        <f>VLOOKUP(B265,'LƯƠNG KT'!$D$13:$I$94,6,0)</f>
        <v>0</v>
      </c>
      <c r="D273" s="661">
        <f>VLOOKUP(B265,'LƯƠNG KT'!$D$13:$P$94,12,0)</f>
        <v>0</v>
      </c>
      <c r="E273" s="668"/>
      <c r="F273" s="668"/>
      <c r="G273" s="652" t="s">
        <v>481</v>
      </c>
      <c r="H273" s="663" t="s">
        <v>127</v>
      </c>
      <c r="I273" s="667" t="e">
        <f>VLOOKUP(H265,'LƯƠNG KT'!$D$13:$I$94,6,0)</f>
        <v>#N/A</v>
      </c>
      <c r="J273" s="661" t="e">
        <f>VLOOKUP(H265,'LƯƠNG KT'!$D$13:$P$94,12,0)</f>
        <v>#N/A</v>
      </c>
      <c r="K273" s="648"/>
      <c r="L273" s="691"/>
    </row>
    <row r="274" spans="1:13" ht="23.25" customHeight="1">
      <c r="A274" s="669" t="s">
        <v>19</v>
      </c>
      <c r="B274" s="663" t="s">
        <v>20</v>
      </c>
      <c r="C274" s="670"/>
      <c r="D274" s="661"/>
      <c r="E274" s="671"/>
      <c r="F274" s="671"/>
      <c r="G274" s="669" t="s">
        <v>19</v>
      </c>
      <c r="H274" s="663" t="s">
        <v>20</v>
      </c>
      <c r="I274" s="670"/>
      <c r="J274" s="661"/>
      <c r="K274" s="648"/>
      <c r="L274" s="691"/>
    </row>
    <row r="275" spans="1:13" ht="23.25" customHeight="1">
      <c r="A275" s="674" t="s">
        <v>21</v>
      </c>
      <c r="B275" s="663" t="s">
        <v>22</v>
      </c>
      <c r="C275" s="670"/>
      <c r="D275" s="661">
        <v>0</v>
      </c>
      <c r="E275" s="668"/>
      <c r="F275" s="668"/>
      <c r="G275" s="674" t="s">
        <v>21</v>
      </c>
      <c r="H275" s="663" t="s">
        <v>22</v>
      </c>
      <c r="I275" s="670"/>
      <c r="J275" s="661">
        <v>0</v>
      </c>
      <c r="K275" s="648"/>
      <c r="L275" s="691"/>
    </row>
    <row r="276" spans="1:13" ht="23.25" customHeight="1">
      <c r="A276" s="669" t="s">
        <v>23</v>
      </c>
      <c r="B276" s="663" t="s">
        <v>24</v>
      </c>
      <c r="C276" s="670"/>
      <c r="D276" s="661">
        <f>+D275</f>
        <v>0</v>
      </c>
      <c r="E276" s="677"/>
      <c r="F276" s="677"/>
      <c r="G276" s="669" t="s">
        <v>23</v>
      </c>
      <c r="H276" s="663" t="s">
        <v>24</v>
      </c>
      <c r="I276" s="670"/>
      <c r="J276" s="661">
        <f>+J275</f>
        <v>0</v>
      </c>
      <c r="L276" s="1080" t="s">
        <v>546</v>
      </c>
    </row>
    <row r="277" spans="1:13" ht="23.25" customHeight="1">
      <c r="A277" s="669" t="s">
        <v>25</v>
      </c>
      <c r="B277" s="663" t="s">
        <v>26</v>
      </c>
      <c r="C277" s="680"/>
      <c r="D277" s="669">
        <f>SUM(D266:D273)-D276</f>
        <v>1654103.2600000002</v>
      </c>
      <c r="E277" s="681"/>
      <c r="F277" s="681"/>
      <c r="G277" s="669" t="s">
        <v>25</v>
      </c>
      <c r="H277" s="663" t="s">
        <v>26</v>
      </c>
      <c r="I277" s="680"/>
      <c r="J277" s="669"/>
      <c r="K277" s="682">
        <f>+D277+J277</f>
        <v>1654103.2600000002</v>
      </c>
      <c r="L277" s="1081">
        <f>+SUM(K2:K277)</f>
        <v>7033328764254.916</v>
      </c>
    </row>
    <row r="278" spans="1:13" ht="23.25" customHeight="1">
      <c r="A278" s="683"/>
      <c r="B278" s="684"/>
      <c r="C278" s="697"/>
      <c r="D278" s="683"/>
      <c r="E278" s="686"/>
      <c r="F278" s="686"/>
      <c r="G278" s="683"/>
      <c r="H278" s="684"/>
      <c r="I278" s="697"/>
      <c r="J278" s="683"/>
      <c r="K278" s="682"/>
      <c r="L278" s="691"/>
    </row>
    <row r="279" spans="1:13" ht="23.25" customHeight="1">
      <c r="A279" s="683"/>
      <c r="B279" s="684"/>
      <c r="C279" s="697"/>
      <c r="D279" s="683"/>
      <c r="E279" s="686"/>
      <c r="F279" s="686"/>
      <c r="G279" s="683"/>
      <c r="H279" s="684"/>
      <c r="I279" s="697"/>
      <c r="J279" s="683"/>
      <c r="K279" s="682"/>
      <c r="L279" s="691"/>
    </row>
    <row r="280" spans="1:13" ht="23.25" customHeight="1">
      <c r="A280" s="683"/>
      <c r="B280" s="684"/>
      <c r="C280" s="697"/>
      <c r="D280" s="683"/>
      <c r="E280" s="686"/>
      <c r="F280" s="686"/>
      <c r="G280" s="683"/>
      <c r="H280" s="684"/>
      <c r="I280" s="697"/>
      <c r="J280" s="683"/>
      <c r="K280" s="682"/>
    </row>
    <row r="281" spans="1:13" ht="23.25" customHeight="1">
      <c r="A281" s="683"/>
      <c r="B281" s="684"/>
      <c r="C281" s="685"/>
      <c r="D281" s="686"/>
      <c r="E281" s="687"/>
      <c r="F281" s="686"/>
      <c r="G281" s="683"/>
      <c r="H281" s="684"/>
      <c r="I281" s="685"/>
      <c r="J281" s="688"/>
    </row>
    <row r="282" spans="1:13" s="695" customFormat="1" ht="23.25" customHeight="1">
      <c r="A282" s="1437" t="s">
        <v>433</v>
      </c>
      <c r="B282" s="1437"/>
      <c r="C282" s="1437"/>
      <c r="D282" s="1437"/>
      <c r="E282" s="1437"/>
      <c r="F282" s="1437"/>
      <c r="G282" s="1437"/>
      <c r="H282" s="1437"/>
      <c r="I282" s="1437"/>
      <c r="J282" s="1437"/>
      <c r="K282" s="692"/>
      <c r="L282" s="693"/>
      <c r="M282" s="694"/>
    </row>
    <row r="283" spans="1:13" ht="23.25" customHeight="1">
      <c r="A283" s="683"/>
      <c r="B283" s="684"/>
      <c r="C283" s="685"/>
      <c r="D283" s="686"/>
      <c r="E283" s="687"/>
      <c r="F283" s="686"/>
      <c r="G283" s="683"/>
      <c r="H283" s="684"/>
      <c r="I283" s="685"/>
      <c r="J283" s="688"/>
    </row>
    <row r="284" spans="1:13" ht="23.25" customHeight="1">
      <c r="A284" s="1436" t="str">
        <f>$L$1</f>
        <v>Tháng 12/2025</v>
      </c>
      <c r="B284" s="1436"/>
      <c r="C284" s="1436"/>
      <c r="D284" s="1436"/>
      <c r="E284" s="647"/>
      <c r="F284" s="647"/>
      <c r="G284" s="1436" t="str">
        <f>$L$1</f>
        <v>Tháng 12/2025</v>
      </c>
      <c r="H284" s="1436"/>
      <c r="I284" s="1436"/>
      <c r="J284" s="1436"/>
    </row>
    <row r="285" spans="1:13" ht="23.25" customHeight="1">
      <c r="A285" s="652" t="s">
        <v>12</v>
      </c>
      <c r="B285" s="653" t="str">
        <f>VLOOKUP(C285,'LƯƠNG KT'!$B$48:$D$92,3,0)</f>
        <v>Nàng Pong</v>
      </c>
      <c r="C285" s="654">
        <v>1</v>
      </c>
      <c r="D285" s="655">
        <f>VLOOKUP(B285,'LƯƠNG KT'!$D$48:$O$90,11,0)</f>
        <v>1185.8267903031635</v>
      </c>
      <c r="E285" s="656"/>
      <c r="F285" s="656"/>
      <c r="G285" s="652" t="s">
        <v>12</v>
      </c>
      <c r="H285" s="653" t="str">
        <f>VLOOKUP(I285,'LƯƠNG KT'!$B$48:$D$92,3,0)</f>
        <v>Thảo Ơ</v>
      </c>
      <c r="I285" s="654">
        <v>2</v>
      </c>
      <c r="J285" s="655">
        <f>VLOOKUP(H285,'LƯƠNG KT'!$D$48:$O$90,11,0)</f>
        <v>1161.9332654239208</v>
      </c>
    </row>
    <row r="286" spans="1:13" ht="23.25" customHeight="1">
      <c r="A286" s="652" t="s">
        <v>13</v>
      </c>
      <c r="B286" s="660" t="s">
        <v>14</v>
      </c>
      <c r="C286" s="805">
        <f>VLOOKUP(B285,'LƯƠNG KT'!$D$48:$G$92,4,0)</f>
        <v>0</v>
      </c>
      <c r="D286" s="806">
        <f>C286*25000</f>
        <v>0</v>
      </c>
      <c r="E286" s="662"/>
      <c r="F286" s="662"/>
      <c r="G286" s="652" t="s">
        <v>13</v>
      </c>
      <c r="H286" s="660" t="s">
        <v>14</v>
      </c>
      <c r="I286" s="805">
        <f>VLOOKUP(H285,'LƯƠNG KT'!$D$48:$G$92,4,0)</f>
        <v>0</v>
      </c>
      <c r="J286" s="806">
        <f>I286*25000</f>
        <v>0</v>
      </c>
    </row>
    <row r="287" spans="1:13" ht="23.25" customHeight="1">
      <c r="A287" s="652" t="s">
        <v>15</v>
      </c>
      <c r="B287" s="663" t="s">
        <v>16</v>
      </c>
      <c r="C287" s="653">
        <f>VLOOKUP(B285,'LƯƠNG KT'!$D$48:$Q$92,13,0)</f>
        <v>4126677.2302550087</v>
      </c>
      <c r="D287" s="664">
        <f>+C287*$M$2</f>
        <v>127072590377.44437</v>
      </c>
      <c r="E287" s="665"/>
      <c r="F287" s="665"/>
      <c r="G287" s="652" t="s">
        <v>15</v>
      </c>
      <c r="H287" s="663" t="s">
        <v>16</v>
      </c>
      <c r="I287" s="653">
        <f>VLOOKUP(H285,'LƯƠNG KT'!$D$48:$Q$92,13,0)</f>
        <v>4043527.7636752445</v>
      </c>
      <c r="J287" s="664">
        <f>+I287*$M$2</f>
        <v>124512172511.6302</v>
      </c>
    </row>
    <row r="288" spans="1:13" ht="23.25" customHeight="1">
      <c r="A288" s="652" t="s">
        <v>357</v>
      </c>
      <c r="B288" s="663"/>
      <c r="C288" s="653">
        <f>VLOOKUP(B285,'LƯƠNG KT'!$D$48:$R$92,14,0)</f>
        <v>26</v>
      </c>
      <c r="D288" s="664">
        <f>+C288*$M$3</f>
        <v>1335519.2240000002</v>
      </c>
      <c r="E288" s="665"/>
      <c r="F288" s="665"/>
      <c r="G288" s="652" t="s">
        <v>357</v>
      </c>
      <c r="H288" s="663"/>
      <c r="I288" s="653">
        <f>VLOOKUP(H285,'LƯƠNG KT'!$D$48:$R$92,14,0)</f>
        <v>26</v>
      </c>
      <c r="J288" s="664">
        <f>+I288*$M$3</f>
        <v>1335519.2240000002</v>
      </c>
    </row>
    <row r="289" spans="1:11" ht="23.25" customHeight="1">
      <c r="A289" s="1434" t="s">
        <v>375</v>
      </c>
      <c r="B289" s="1435"/>
      <c r="C289" s="653">
        <f>VLOOKUP(B285,'LƯƠNG KT'!$D$48:$S$92,15,0)</f>
        <v>3</v>
      </c>
      <c r="D289" s="664">
        <f>+C289*$M$5</f>
        <v>184757.736</v>
      </c>
      <c r="E289" s="665"/>
      <c r="F289" s="665"/>
      <c r="G289" s="1434" t="s">
        <v>375</v>
      </c>
      <c r="H289" s="1435"/>
      <c r="I289" s="653">
        <f>VLOOKUP(H285,'LƯƠNG KT'!$D$48:$S$92,15,0)</f>
        <v>3</v>
      </c>
      <c r="J289" s="664">
        <f>+I289*$M$5</f>
        <v>184757.736</v>
      </c>
    </row>
    <row r="290" spans="1:11" ht="23.25" customHeight="1">
      <c r="A290" s="1434" t="s">
        <v>427</v>
      </c>
      <c r="B290" s="1435"/>
      <c r="C290" s="653">
        <f>+C289</f>
        <v>3</v>
      </c>
      <c r="D290" s="664">
        <f>+C290*$M$7</f>
        <v>300000</v>
      </c>
      <c r="E290" s="665"/>
      <c r="F290" s="665"/>
      <c r="G290" s="1434" t="s">
        <v>427</v>
      </c>
      <c r="H290" s="1435"/>
      <c r="I290" s="653">
        <f>+I289</f>
        <v>3</v>
      </c>
      <c r="J290" s="664">
        <f>+I290*$M$7</f>
        <v>300000</v>
      </c>
    </row>
    <row r="291" spans="1:11" ht="23.25" customHeight="1">
      <c r="A291" s="1434" t="s">
        <v>358</v>
      </c>
      <c r="B291" s="1435"/>
      <c r="C291" s="653">
        <f>+C287+C288+C289</f>
        <v>4126706.2302550087</v>
      </c>
      <c r="D291" s="664">
        <f>+C291*$M$8</f>
        <v>82534124605.100174</v>
      </c>
      <c r="E291" s="665"/>
      <c r="F291" s="665"/>
      <c r="G291" s="1434" t="s">
        <v>358</v>
      </c>
      <c r="H291" s="1435"/>
      <c r="I291" s="653">
        <f>+I287+I288+I289</f>
        <v>4043556.7636752445</v>
      </c>
      <c r="J291" s="664">
        <f>+I291*$M$8</f>
        <v>80871135273.504898</v>
      </c>
    </row>
    <row r="292" spans="1:11" ht="23.25" customHeight="1">
      <c r="A292" s="652" t="s">
        <v>18</v>
      </c>
      <c r="B292" s="663"/>
      <c r="C292" s="667">
        <f>VLOOKUP(B285,'LƯƠNG KT'!$D$48:$I$92,6,0)</f>
        <v>2680</v>
      </c>
      <c r="D292" s="661" t="str">
        <f>VLOOKUP(B285,'LƯƠNG KT'!$D$48:$P$92,12,0)</f>
        <v>B</v>
      </c>
      <c r="E292" s="668"/>
      <c r="F292" s="668"/>
      <c r="G292" s="652" t="s">
        <v>18</v>
      </c>
      <c r="H292" s="663"/>
      <c r="I292" s="667">
        <f>VLOOKUP(H285,'LƯƠNG KT'!$D$48:$I$92,6,0)</f>
        <v>2626</v>
      </c>
      <c r="J292" s="661" t="str">
        <f>VLOOKUP(H285,'LƯƠNG KT'!$D$48:$P$92,12,0)</f>
        <v>B</v>
      </c>
    </row>
    <row r="293" spans="1:11" ht="23.25" customHeight="1">
      <c r="A293" s="669" t="s">
        <v>19</v>
      </c>
      <c r="B293" s="663" t="s">
        <v>20</v>
      </c>
      <c r="C293" s="670"/>
      <c r="D293" s="661"/>
      <c r="E293" s="671"/>
      <c r="F293" s="671"/>
      <c r="G293" s="669" t="s">
        <v>19</v>
      </c>
      <c r="H293" s="663" t="s">
        <v>20</v>
      </c>
      <c r="I293" s="670"/>
      <c r="J293" s="661"/>
    </row>
    <row r="294" spans="1:11" ht="23.25" customHeight="1">
      <c r="A294" s="674" t="s">
        <v>21</v>
      </c>
      <c r="B294" s="663" t="s">
        <v>22</v>
      </c>
      <c r="C294" s="670"/>
      <c r="D294" s="661"/>
      <c r="E294" s="668"/>
      <c r="F294" s="668"/>
      <c r="G294" s="674" t="s">
        <v>21</v>
      </c>
      <c r="H294" s="663" t="s">
        <v>22</v>
      </c>
      <c r="I294" s="670"/>
      <c r="J294" s="661"/>
    </row>
    <row r="295" spans="1:11" ht="23.25" customHeight="1">
      <c r="A295" s="669" t="s">
        <v>23</v>
      </c>
      <c r="B295" s="663" t="s">
        <v>24</v>
      </c>
      <c r="C295" s="670"/>
      <c r="D295" s="661">
        <f>+D294</f>
        <v>0</v>
      </c>
      <c r="E295" s="677"/>
      <c r="F295" s="677"/>
      <c r="G295" s="669" t="s">
        <v>23</v>
      </c>
      <c r="H295" s="663" t="s">
        <v>24</v>
      </c>
      <c r="I295" s="670"/>
      <c r="J295" s="661">
        <f>+J294</f>
        <v>0</v>
      </c>
    </row>
    <row r="296" spans="1:11" ht="23.25" customHeight="1">
      <c r="A296" s="669" t="s">
        <v>25</v>
      </c>
      <c r="B296" s="663" t="s">
        <v>26</v>
      </c>
      <c r="C296" s="680"/>
      <c r="D296" s="669">
        <f>SUM(D286:D292)-D295</f>
        <v>209608535259.50452</v>
      </c>
      <c r="E296" s="681"/>
      <c r="F296" s="681"/>
      <c r="G296" s="669" t="s">
        <v>25</v>
      </c>
      <c r="H296" s="663" t="s">
        <v>26</v>
      </c>
      <c r="I296" s="680"/>
      <c r="J296" s="669">
        <f>SUM(J286:J292)-J295</f>
        <v>205385128062.09509</v>
      </c>
      <c r="K296" s="696">
        <f>+J296+D296</f>
        <v>414993663321.59961</v>
      </c>
    </row>
    <row r="297" spans="1:11" ht="23.25" customHeight="1">
      <c r="A297" s="683"/>
      <c r="B297" s="684"/>
      <c r="C297" s="685"/>
      <c r="D297" s="686"/>
      <c r="E297" s="687"/>
      <c r="F297" s="686"/>
      <c r="G297" s="683"/>
      <c r="H297" s="684"/>
      <c r="I297" s="685"/>
      <c r="J297" s="688"/>
    </row>
    <row r="298" spans="1:11" ht="23.25" customHeight="1">
      <c r="A298" s="1436" t="str">
        <f>$L$1</f>
        <v>Tháng 12/2025</v>
      </c>
      <c r="B298" s="1436"/>
      <c r="C298" s="1436"/>
      <c r="D298" s="1436"/>
      <c r="E298" s="647"/>
      <c r="F298" s="647"/>
      <c r="G298" s="1436" t="str">
        <f>$L$1</f>
        <v>Tháng 12/2025</v>
      </c>
      <c r="H298" s="1436"/>
      <c r="I298" s="1436"/>
      <c r="J298" s="1436"/>
    </row>
    <row r="299" spans="1:11" ht="23.25" customHeight="1">
      <c r="A299" s="652" t="s">
        <v>12</v>
      </c>
      <c r="B299" s="653" t="str">
        <f>VLOOKUP(C299,'LƯƠNG KT'!$B$48:$D$92,3,0)</f>
        <v>Thảo Ui</v>
      </c>
      <c r="C299" s="654">
        <v>3</v>
      </c>
      <c r="D299" s="655">
        <f>VLOOKUP(B299,'LƯƠNG KT'!$D$48:$O$90,11,0)</f>
        <v>1206.180533718815</v>
      </c>
      <c r="E299" s="656"/>
      <c r="F299" s="656"/>
      <c r="G299" s="652" t="s">
        <v>12</v>
      </c>
      <c r="H299" s="653" t="str">
        <f>VLOOKUP(I299,'LƯƠNG KT'!$B$48:$D$92,3,0)</f>
        <v>Thảo Xoan Chay</v>
      </c>
      <c r="I299" s="654">
        <v>4</v>
      </c>
      <c r="J299" s="655">
        <f>VLOOKUP(H299,'LƯƠNG KT'!$D$48:$O$90,11,0)</f>
        <v>1192.9063532303469</v>
      </c>
    </row>
    <row r="300" spans="1:11" ht="23.25" customHeight="1">
      <c r="A300" s="652" t="s">
        <v>13</v>
      </c>
      <c r="B300" s="660" t="s">
        <v>14</v>
      </c>
      <c r="C300" s="805">
        <f>VLOOKUP(B299,'LƯƠNG KT'!$D$48:$G$92,4,0)</f>
        <v>0</v>
      </c>
      <c r="D300" s="806">
        <f>C300*25000</f>
        <v>0</v>
      </c>
      <c r="E300" s="662"/>
      <c r="F300" s="662"/>
      <c r="G300" s="652" t="s">
        <v>13</v>
      </c>
      <c r="H300" s="660" t="s">
        <v>14</v>
      </c>
      <c r="I300" s="805">
        <f>VLOOKUP(H299,'LƯƠNG KT'!$D$48:$G$92,4,0)</f>
        <v>0</v>
      </c>
      <c r="J300" s="806">
        <f>I300*25000</f>
        <v>0</v>
      </c>
    </row>
    <row r="301" spans="1:11" ht="23.25" customHeight="1">
      <c r="A301" s="652" t="s">
        <v>15</v>
      </c>
      <c r="B301" s="663" t="s">
        <v>16</v>
      </c>
      <c r="C301" s="653">
        <f>VLOOKUP(B299,'LƯƠNG KT'!$D$48:$Q$92,13,0)</f>
        <v>4414620.7534108628</v>
      </c>
      <c r="D301" s="664">
        <f>+C301*$M$2</f>
        <v>135939222616.46756</v>
      </c>
      <c r="E301" s="665"/>
      <c r="F301" s="665"/>
      <c r="G301" s="652" t="s">
        <v>15</v>
      </c>
      <c r="H301" s="663" t="s">
        <v>16</v>
      </c>
      <c r="I301" s="653">
        <f>VLOOKUP(H299,'LƯƠNG KT'!$D$48:$Q$92,13,0)</f>
        <v>4151314.1092416071</v>
      </c>
      <c r="J301" s="664">
        <f>+I301*$M$2</f>
        <v>127831232708.05602</v>
      </c>
    </row>
    <row r="302" spans="1:11" ht="23.25" customHeight="1">
      <c r="A302" s="652" t="s">
        <v>357</v>
      </c>
      <c r="B302" s="663"/>
      <c r="C302" s="653">
        <f>VLOOKUP(B299,'LƯƠNG KT'!$D$48:$R$92,14,0)</f>
        <v>26</v>
      </c>
      <c r="D302" s="664">
        <f>+C302*$M$3</f>
        <v>1335519.2240000002</v>
      </c>
      <c r="E302" s="665"/>
      <c r="F302" s="665"/>
      <c r="G302" s="652" t="s">
        <v>357</v>
      </c>
      <c r="H302" s="663"/>
      <c r="I302" s="653">
        <f>VLOOKUP(H299,'LƯƠNG KT'!$D$48:$R$92,14,0)</f>
        <v>26</v>
      </c>
      <c r="J302" s="664">
        <f>+I302*$M$3</f>
        <v>1335519.2240000002</v>
      </c>
    </row>
    <row r="303" spans="1:11" ht="23.25" customHeight="1">
      <c r="A303" s="1434" t="s">
        <v>375</v>
      </c>
      <c r="B303" s="1435"/>
      <c r="C303" s="653">
        <f>VLOOKUP(B299,'LƯƠNG KT'!$D$48:$S$92,15,0)</f>
        <v>3</v>
      </c>
      <c r="D303" s="664">
        <f>+C303*$M$5</f>
        <v>184757.736</v>
      </c>
      <c r="E303" s="665"/>
      <c r="F303" s="665"/>
      <c r="G303" s="1434" t="s">
        <v>375</v>
      </c>
      <c r="H303" s="1435"/>
      <c r="I303" s="653">
        <f>VLOOKUP(H299,'LƯƠNG KT'!$D$48:$S$92,15,0)</f>
        <v>3</v>
      </c>
      <c r="J303" s="664">
        <f>+I303*$M$5</f>
        <v>184757.736</v>
      </c>
    </row>
    <row r="304" spans="1:11" ht="23.25" customHeight="1">
      <c r="A304" s="1434" t="s">
        <v>427</v>
      </c>
      <c r="B304" s="1435"/>
      <c r="C304" s="653">
        <f>+C303</f>
        <v>3</v>
      </c>
      <c r="D304" s="664">
        <f>+C304*$M$7</f>
        <v>300000</v>
      </c>
      <c r="E304" s="665"/>
      <c r="F304" s="665"/>
      <c r="G304" s="1434" t="s">
        <v>427</v>
      </c>
      <c r="H304" s="1435"/>
      <c r="I304" s="653">
        <f>+I303</f>
        <v>3</v>
      </c>
      <c r="J304" s="664">
        <f>+I304*$M$7</f>
        <v>300000</v>
      </c>
    </row>
    <row r="305" spans="1:11" ht="23.25" customHeight="1">
      <c r="A305" s="1434" t="s">
        <v>358</v>
      </c>
      <c r="B305" s="1435"/>
      <c r="C305" s="653">
        <f>+C301+C302+C303</f>
        <v>4414649.7534108628</v>
      </c>
      <c r="D305" s="664">
        <f>+C305*$M$8</f>
        <v>88292995068.217255</v>
      </c>
      <c r="E305" s="665"/>
      <c r="F305" s="665"/>
      <c r="G305" s="1434" t="s">
        <v>358</v>
      </c>
      <c r="H305" s="1435"/>
      <c r="I305" s="653">
        <f>+I301+I302+I303</f>
        <v>4151343.1092416071</v>
      </c>
      <c r="J305" s="664">
        <f>+I305*$M$8</f>
        <v>83026862184.832138</v>
      </c>
    </row>
    <row r="306" spans="1:11" ht="23.25" customHeight="1">
      <c r="A306" s="652" t="s">
        <v>18</v>
      </c>
      <c r="B306" s="663"/>
      <c r="C306" s="667">
        <f>VLOOKUP(B299,'LƯƠNG KT'!$D$48:$I$92,6,0)</f>
        <v>2726</v>
      </c>
      <c r="D306" s="661" t="str">
        <f>VLOOKUP(B299,'LƯƠNG KT'!$D$48:$P$92,12,0)</f>
        <v>A</v>
      </c>
      <c r="E306" s="668"/>
      <c r="F306" s="668"/>
      <c r="G306" s="652" t="s">
        <v>18</v>
      </c>
      <c r="H306" s="663"/>
      <c r="I306" s="667">
        <f>VLOOKUP(H299,'LƯƠNG KT'!$D$48:$I$92,6,0)</f>
        <v>2696</v>
      </c>
      <c r="J306" s="661" t="str">
        <f>VLOOKUP(H299,'LƯƠNG KT'!$D$48:$P$92,12,0)</f>
        <v>B</v>
      </c>
    </row>
    <row r="307" spans="1:11" ht="23.25" customHeight="1">
      <c r="A307" s="669" t="s">
        <v>19</v>
      </c>
      <c r="B307" s="663" t="s">
        <v>20</v>
      </c>
      <c r="C307" s="670"/>
      <c r="D307" s="661"/>
      <c r="E307" s="671"/>
      <c r="F307" s="671"/>
      <c r="G307" s="669" t="s">
        <v>19</v>
      </c>
      <c r="H307" s="663" t="s">
        <v>20</v>
      </c>
      <c r="I307" s="670"/>
      <c r="J307" s="661"/>
    </row>
    <row r="308" spans="1:11" ht="23.25" customHeight="1">
      <c r="A308" s="674" t="s">
        <v>21</v>
      </c>
      <c r="B308" s="663" t="s">
        <v>22</v>
      </c>
      <c r="C308" s="670"/>
      <c r="D308" s="661"/>
      <c r="E308" s="668"/>
      <c r="F308" s="668"/>
      <c r="G308" s="674" t="s">
        <v>21</v>
      </c>
      <c r="H308" s="663" t="s">
        <v>22</v>
      </c>
      <c r="I308" s="670"/>
      <c r="J308" s="661"/>
    </row>
    <row r="309" spans="1:11" ht="23.25" customHeight="1">
      <c r="A309" s="669" t="s">
        <v>23</v>
      </c>
      <c r="B309" s="663" t="s">
        <v>24</v>
      </c>
      <c r="C309" s="670"/>
      <c r="D309" s="661">
        <f>+D308</f>
        <v>0</v>
      </c>
      <c r="E309" s="677"/>
      <c r="F309" s="677"/>
      <c r="G309" s="669" t="s">
        <v>23</v>
      </c>
      <c r="H309" s="663" t="s">
        <v>24</v>
      </c>
      <c r="I309" s="670"/>
      <c r="J309" s="661">
        <f>+J308</f>
        <v>0</v>
      </c>
    </row>
    <row r="310" spans="1:11" ht="23.25" customHeight="1">
      <c r="A310" s="669" t="s">
        <v>25</v>
      </c>
      <c r="B310" s="663" t="s">
        <v>26</v>
      </c>
      <c r="C310" s="680"/>
      <c r="D310" s="669">
        <f>SUM(D300:D306)-D309</f>
        <v>224234037961.64481</v>
      </c>
      <c r="E310" s="681"/>
      <c r="F310" s="681"/>
      <c r="G310" s="669" t="s">
        <v>25</v>
      </c>
      <c r="H310" s="663" t="s">
        <v>26</v>
      </c>
      <c r="I310" s="680"/>
      <c r="J310" s="669">
        <f>SUM(J300:J306)-J309</f>
        <v>210859915169.84814</v>
      </c>
      <c r="K310" s="696">
        <f>+J310+D310</f>
        <v>435093953131.49292</v>
      </c>
    </row>
    <row r="311" spans="1:11" ht="23.25" customHeight="1">
      <c r="A311" s="683"/>
      <c r="B311" s="684"/>
      <c r="C311" s="685"/>
      <c r="D311" s="686"/>
      <c r="E311" s="687"/>
      <c r="F311" s="686"/>
      <c r="G311" s="683"/>
      <c r="H311" s="684"/>
      <c r="I311" s="685"/>
      <c r="J311" s="688"/>
    </row>
    <row r="312" spans="1:11" ht="23.25" customHeight="1">
      <c r="A312" s="1436" t="str">
        <f>$L$1</f>
        <v>Tháng 12/2025</v>
      </c>
      <c r="B312" s="1436"/>
      <c r="C312" s="1436"/>
      <c r="D312" s="1436"/>
      <c r="E312" s="647"/>
      <c r="F312" s="647"/>
      <c r="G312" s="1436" t="str">
        <f>$L$1</f>
        <v>Tháng 12/2025</v>
      </c>
      <c r="H312" s="1436"/>
      <c r="I312" s="1436"/>
      <c r="J312" s="1436"/>
    </row>
    <row r="313" spans="1:11" ht="23.25" customHeight="1">
      <c r="A313" s="652" t="s">
        <v>12</v>
      </c>
      <c r="B313" s="653" t="str">
        <f>VLOOKUP(C313,'LƯƠNG KT'!$B$48:$D$92,3,0)</f>
        <v>Nàng Út</v>
      </c>
      <c r="C313" s="654">
        <v>5</v>
      </c>
      <c r="D313" s="655">
        <f>VLOOKUP(B313,'LƯƠNG KT'!$D$48:$O$90,11,0)</f>
        <v>1210.6052605483044</v>
      </c>
      <c r="E313" s="656"/>
      <c r="F313" s="656"/>
      <c r="G313" s="652" t="s">
        <v>12</v>
      </c>
      <c r="H313" s="653" t="str">
        <f>VLOOKUP(I313,'LƯƠNG KT'!$B$48:$D$92,3,0)</f>
        <v>Thảo Phôn Xay</v>
      </c>
      <c r="I313" s="654">
        <v>6</v>
      </c>
      <c r="J313" s="655">
        <f>VLOOKUP(H313,'LƯƠNG KT'!$D$48:$O$90,11,0)</f>
        <v>1251.3127473796069</v>
      </c>
    </row>
    <row r="314" spans="1:11" ht="23.25" customHeight="1">
      <c r="A314" s="652" t="s">
        <v>13</v>
      </c>
      <c r="B314" s="660" t="s">
        <v>14</v>
      </c>
      <c r="C314" s="805">
        <f>VLOOKUP(B313,'LƯƠNG KT'!$D$48:$G$92,4,0)</f>
        <v>0</v>
      </c>
      <c r="D314" s="806">
        <f>C314*25000</f>
        <v>0</v>
      </c>
      <c r="E314" s="662"/>
      <c r="F314" s="662"/>
      <c r="G314" s="652" t="s">
        <v>13</v>
      </c>
      <c r="H314" s="660" t="s">
        <v>14</v>
      </c>
      <c r="I314" s="805">
        <f>VLOOKUP(H313,'LƯƠNG KT'!$D$48:$G$92,4,0)</f>
        <v>0</v>
      </c>
      <c r="J314" s="806">
        <f>I314*25000</f>
        <v>0</v>
      </c>
    </row>
    <row r="315" spans="1:11" ht="23.25" customHeight="1">
      <c r="A315" s="652" t="s">
        <v>15</v>
      </c>
      <c r="B315" s="663" t="s">
        <v>16</v>
      </c>
      <c r="C315" s="653">
        <f>VLOOKUP(B313,'LƯƠNG KT'!$D$48:$Q$92,13,0)</f>
        <v>4212906.3067080993</v>
      </c>
      <c r="D315" s="664">
        <f>+C315*$M$2</f>
        <v>129727838534.58502</v>
      </c>
      <c r="E315" s="665"/>
      <c r="F315" s="665"/>
      <c r="G315" s="652" t="s">
        <v>15</v>
      </c>
      <c r="H315" s="663" t="s">
        <v>16</v>
      </c>
      <c r="I315" s="653">
        <f>VLOOKUP(H313,'LƯƠNG KT'!$D$48:$Q$92,13,0)</f>
        <v>4354568.3608810315</v>
      </c>
      <c r="J315" s="664">
        <f>+I315*$M$2</f>
        <v>134090031935.60173</v>
      </c>
    </row>
    <row r="316" spans="1:11" ht="23.25" customHeight="1">
      <c r="A316" s="652" t="s">
        <v>357</v>
      </c>
      <c r="B316" s="663"/>
      <c r="C316" s="653">
        <f>VLOOKUP(B313,'LƯƠNG KT'!$D$48:$R$92,14,0)</f>
        <v>26</v>
      </c>
      <c r="D316" s="664">
        <f>+C316*$M$3</f>
        <v>1335519.2240000002</v>
      </c>
      <c r="E316" s="665"/>
      <c r="F316" s="665"/>
      <c r="G316" s="652" t="s">
        <v>357</v>
      </c>
      <c r="H316" s="663"/>
      <c r="I316" s="653">
        <f>VLOOKUP(H313,'LƯƠNG KT'!$D$48:$R$92,14,0)</f>
        <v>26</v>
      </c>
      <c r="J316" s="664">
        <f>+I316*$M$3</f>
        <v>1335519.2240000002</v>
      </c>
    </row>
    <row r="317" spans="1:11" ht="23.25" customHeight="1">
      <c r="A317" s="1434" t="s">
        <v>375</v>
      </c>
      <c r="B317" s="1435"/>
      <c r="C317" s="653">
        <f>VLOOKUP(B313,'LƯƠNG KT'!$D$48:$S$92,15,0)</f>
        <v>3</v>
      </c>
      <c r="D317" s="664">
        <f>+C317*$M$5</f>
        <v>184757.736</v>
      </c>
      <c r="E317" s="665"/>
      <c r="F317" s="665"/>
      <c r="G317" s="1434" t="s">
        <v>375</v>
      </c>
      <c r="H317" s="1435"/>
      <c r="I317" s="653">
        <f>VLOOKUP(H313,'LƯƠNG KT'!$D$48:$S$92,15,0)</f>
        <v>3</v>
      </c>
      <c r="J317" s="664">
        <f>+I317*$M$5</f>
        <v>184757.736</v>
      </c>
    </row>
    <row r="318" spans="1:11" ht="23.25" customHeight="1">
      <c r="A318" s="1434" t="s">
        <v>427</v>
      </c>
      <c r="B318" s="1435"/>
      <c r="C318" s="653">
        <f>+C317</f>
        <v>3</v>
      </c>
      <c r="D318" s="664">
        <f>+C318*$M$7</f>
        <v>300000</v>
      </c>
      <c r="E318" s="665"/>
      <c r="F318" s="665"/>
      <c r="G318" s="1434" t="s">
        <v>427</v>
      </c>
      <c r="H318" s="1435"/>
      <c r="I318" s="653">
        <f>+I317</f>
        <v>3</v>
      </c>
      <c r="J318" s="664">
        <f>+I318*$M$7</f>
        <v>300000</v>
      </c>
    </row>
    <row r="319" spans="1:11" ht="23.25" customHeight="1">
      <c r="A319" s="1434" t="s">
        <v>358</v>
      </c>
      <c r="B319" s="1435"/>
      <c r="C319" s="653">
        <f>+C315+C316+C317</f>
        <v>4212935.3067080993</v>
      </c>
      <c r="D319" s="664">
        <f>+C319*$M$8</f>
        <v>84258706134.161987</v>
      </c>
      <c r="E319" s="665"/>
      <c r="F319" s="665"/>
      <c r="G319" s="1434" t="s">
        <v>358</v>
      </c>
      <c r="H319" s="1435"/>
      <c r="I319" s="653">
        <f>+I315+I316+I317</f>
        <v>4354597.3608810315</v>
      </c>
      <c r="J319" s="664">
        <f>+I319*$M$8</f>
        <v>87091947217.620636</v>
      </c>
    </row>
    <row r="320" spans="1:11" ht="23.25" customHeight="1">
      <c r="A320" s="652" t="s">
        <v>18</v>
      </c>
      <c r="B320" s="663"/>
      <c r="C320" s="667">
        <f>VLOOKUP(B313,'LƯƠNG KT'!$D$48:$I$92,6,0)</f>
        <v>2736</v>
      </c>
      <c r="D320" s="661" t="str">
        <f>VLOOKUP(B313,'LƯƠNG KT'!$D$48:$P$92,12,0)</f>
        <v>B</v>
      </c>
      <c r="E320" s="668"/>
      <c r="F320" s="668"/>
      <c r="G320" s="652" t="s">
        <v>18</v>
      </c>
      <c r="H320" s="663"/>
      <c r="I320" s="667">
        <f>VLOOKUP(H313,'LƯƠNG KT'!$D$48:$I$92,6,0)</f>
        <v>2828</v>
      </c>
      <c r="J320" s="661" t="str">
        <f>VLOOKUP(H313,'LƯƠNG KT'!$D$48:$P$92,12,0)</f>
        <v>B</v>
      </c>
    </row>
    <row r="321" spans="1:11" ht="23.25" customHeight="1">
      <c r="A321" s="669" t="s">
        <v>19</v>
      </c>
      <c r="B321" s="663" t="s">
        <v>20</v>
      </c>
      <c r="C321" s="670"/>
      <c r="D321" s="661"/>
      <c r="E321" s="671"/>
      <c r="F321" s="671"/>
      <c r="G321" s="669" t="s">
        <v>19</v>
      </c>
      <c r="H321" s="663" t="s">
        <v>20</v>
      </c>
      <c r="I321" s="670"/>
      <c r="J321" s="661"/>
    </row>
    <row r="322" spans="1:11" ht="23.25" customHeight="1">
      <c r="A322" s="674" t="s">
        <v>21</v>
      </c>
      <c r="B322" s="663" t="s">
        <v>22</v>
      </c>
      <c r="C322" s="670"/>
      <c r="D322" s="661"/>
      <c r="E322" s="668"/>
      <c r="F322" s="668"/>
      <c r="G322" s="674" t="s">
        <v>21</v>
      </c>
      <c r="H322" s="663" t="s">
        <v>22</v>
      </c>
      <c r="I322" s="670"/>
      <c r="J322" s="661"/>
    </row>
    <row r="323" spans="1:11" ht="23.25" customHeight="1">
      <c r="A323" s="669" t="s">
        <v>23</v>
      </c>
      <c r="B323" s="663" t="s">
        <v>24</v>
      </c>
      <c r="C323" s="670"/>
      <c r="D323" s="661">
        <f>+D322</f>
        <v>0</v>
      </c>
      <c r="E323" s="677"/>
      <c r="F323" s="677"/>
      <c r="G323" s="669" t="s">
        <v>23</v>
      </c>
      <c r="H323" s="663" t="s">
        <v>24</v>
      </c>
      <c r="I323" s="670"/>
      <c r="J323" s="661">
        <f>+J322</f>
        <v>0</v>
      </c>
    </row>
    <row r="324" spans="1:11" ht="23.25" customHeight="1">
      <c r="A324" s="669" t="s">
        <v>25</v>
      </c>
      <c r="B324" s="663" t="s">
        <v>26</v>
      </c>
      <c r="C324" s="680"/>
      <c r="D324" s="669">
        <f>SUM(D314:D320)-D323</f>
        <v>213988364945.707</v>
      </c>
      <c r="E324" s="681"/>
      <c r="F324" s="681"/>
      <c r="G324" s="669" t="s">
        <v>25</v>
      </c>
      <c r="H324" s="663" t="s">
        <v>26</v>
      </c>
      <c r="I324" s="680"/>
      <c r="J324" s="669">
        <f>SUM(J314:J320)-J323</f>
        <v>221183799430.18237</v>
      </c>
      <c r="K324" s="696">
        <f>+J324+D324</f>
        <v>435172164375.8894</v>
      </c>
    </row>
    <row r="325" spans="1:11" ht="23.25" customHeight="1">
      <c r="A325" s="683"/>
      <c r="B325" s="684"/>
      <c r="C325" s="685"/>
      <c r="D325" s="686"/>
      <c r="E325" s="687"/>
      <c r="F325" s="686"/>
      <c r="G325" s="683"/>
      <c r="H325" s="684"/>
      <c r="I325" s="685"/>
      <c r="J325" s="688"/>
    </row>
    <row r="326" spans="1:11" ht="23.25" customHeight="1">
      <c r="A326" s="1436" t="str">
        <f>$L$1</f>
        <v>Tháng 12/2025</v>
      </c>
      <c r="B326" s="1436"/>
      <c r="C326" s="1436"/>
      <c r="D326" s="1436"/>
      <c r="E326" s="647"/>
      <c r="F326" s="647"/>
      <c r="G326" s="1436" t="str">
        <f>$L$1</f>
        <v>Tháng 12/2025</v>
      </c>
      <c r="H326" s="1436"/>
      <c r="I326" s="1436"/>
      <c r="J326" s="1436"/>
    </row>
    <row r="327" spans="1:11" ht="23.25" customHeight="1">
      <c r="A327" s="652" t="s">
        <v>12</v>
      </c>
      <c r="B327" s="653" t="str">
        <f>VLOOKUP(C327,'LƯƠNG KT'!$B$48:$D$92,3,0)</f>
        <v>Nàng Phêng</v>
      </c>
      <c r="C327" s="654">
        <v>7</v>
      </c>
      <c r="D327" s="655">
        <f>VLOOKUP(B327,'LƯƠNG KT'!$D$48:$O$90,11,0)</f>
        <v>1173.4375551805933</v>
      </c>
      <c r="E327" s="656"/>
      <c r="F327" s="656"/>
      <c r="G327" s="652" t="s">
        <v>12</v>
      </c>
      <c r="H327" s="653" t="str">
        <f>VLOOKUP(I327,'LƯƠNG KT'!$B$48:$D$92,3,0)</f>
        <v>Thảo Phíc</v>
      </c>
      <c r="I327" s="654">
        <v>8</v>
      </c>
      <c r="J327" s="655">
        <f>VLOOKUP(H327,'LƯƠNG KT'!$D$48:$O$90,11,0)</f>
        <v>1027.4215698074424</v>
      </c>
    </row>
    <row r="328" spans="1:11" ht="23.25" customHeight="1">
      <c r="A328" s="652" t="s">
        <v>13</v>
      </c>
      <c r="B328" s="660" t="s">
        <v>14</v>
      </c>
      <c r="C328" s="805">
        <f>VLOOKUP(B327,'LƯƠNG KT'!$D$48:$G$92,4,0)</f>
        <v>0</v>
      </c>
      <c r="D328" s="806">
        <f>C328*25000</f>
        <v>0</v>
      </c>
      <c r="E328" s="662"/>
      <c r="F328" s="662"/>
      <c r="G328" s="652" t="s">
        <v>13</v>
      </c>
      <c r="H328" s="660" t="s">
        <v>14</v>
      </c>
      <c r="I328" s="805">
        <f>VLOOKUP(H327,'LƯƠNG KT'!$D$48:$G$92,4,0)</f>
        <v>0</v>
      </c>
      <c r="J328" s="806">
        <f>I328*25000</f>
        <v>0</v>
      </c>
    </row>
    <row r="329" spans="1:11" ht="23.25" customHeight="1">
      <c r="A329" s="652" t="s">
        <v>15</v>
      </c>
      <c r="B329" s="663" t="s">
        <v>16</v>
      </c>
      <c r="C329" s="653">
        <f>VLOOKUP(B327,'LƯƠNG KT'!$D$48:$Q$92,13,0)</f>
        <v>4294781.4519609716</v>
      </c>
      <c r="D329" s="664">
        <f>+C329*$M$2</f>
        <v>132249016279.85033</v>
      </c>
      <c r="E329" s="665"/>
      <c r="F329" s="665"/>
      <c r="G329" s="652" t="s">
        <v>15</v>
      </c>
      <c r="H329" s="663" t="s">
        <v>16</v>
      </c>
      <c r="I329" s="653">
        <f>VLOOKUP(H327,'LƯƠNG KT'!$D$48:$Q$92,13,0)</f>
        <v>3575427.0629298994</v>
      </c>
      <c r="J329" s="664">
        <f>+I329*$M$2</f>
        <v>110097968230.00963</v>
      </c>
    </row>
    <row r="330" spans="1:11" ht="23.25" customHeight="1">
      <c r="A330" s="652" t="s">
        <v>357</v>
      </c>
      <c r="B330" s="663"/>
      <c r="C330" s="653">
        <f>VLOOKUP(B327,'LƯƠNG KT'!$D$48:$R$92,14,0)</f>
        <v>26</v>
      </c>
      <c r="D330" s="664">
        <f>+C330*$M$3</f>
        <v>1335519.2240000002</v>
      </c>
      <c r="E330" s="665"/>
      <c r="F330" s="665"/>
      <c r="G330" s="652" t="s">
        <v>357</v>
      </c>
      <c r="H330" s="663"/>
      <c r="I330" s="653">
        <f>VLOOKUP(H327,'LƯƠNG KT'!$D$48:$R$92,14,0)</f>
        <v>26</v>
      </c>
      <c r="J330" s="664">
        <f>+I330*$M$3</f>
        <v>1335519.2240000002</v>
      </c>
    </row>
    <row r="331" spans="1:11" ht="23.25" customHeight="1">
      <c r="A331" s="1434" t="s">
        <v>375</v>
      </c>
      <c r="B331" s="1435"/>
      <c r="C331" s="653">
        <f>VLOOKUP(B327,'LƯƠNG KT'!$D$48:$S$92,15,0)</f>
        <v>3</v>
      </c>
      <c r="D331" s="664">
        <f>+C331*$M$5</f>
        <v>184757.736</v>
      </c>
      <c r="E331" s="665"/>
      <c r="F331" s="665"/>
      <c r="G331" s="1434" t="s">
        <v>375</v>
      </c>
      <c r="H331" s="1435"/>
      <c r="I331" s="653">
        <f>VLOOKUP(H327,'LƯƠNG KT'!$D$48:$S$92,15,0)</f>
        <v>3</v>
      </c>
      <c r="J331" s="664">
        <f>+I331*$M$5</f>
        <v>184757.736</v>
      </c>
    </row>
    <row r="332" spans="1:11" ht="23.25" customHeight="1">
      <c r="A332" s="1434" t="s">
        <v>427</v>
      </c>
      <c r="B332" s="1435"/>
      <c r="C332" s="653">
        <f>+C331</f>
        <v>3</v>
      </c>
      <c r="D332" s="664">
        <f>+C332*$M$7</f>
        <v>300000</v>
      </c>
      <c r="E332" s="665"/>
      <c r="F332" s="665"/>
      <c r="G332" s="1434" t="s">
        <v>427</v>
      </c>
      <c r="H332" s="1435"/>
      <c r="I332" s="653">
        <f>+I331</f>
        <v>3</v>
      </c>
      <c r="J332" s="664">
        <f>+I332*$M$7</f>
        <v>300000</v>
      </c>
    </row>
    <row r="333" spans="1:11" ht="23.25" customHeight="1">
      <c r="A333" s="1434" t="s">
        <v>358</v>
      </c>
      <c r="B333" s="1435"/>
      <c r="C333" s="653">
        <f>+C329+C330+C331</f>
        <v>4294810.4519609716</v>
      </c>
      <c r="D333" s="664">
        <f>+C333*$M$8</f>
        <v>85896209039.219437</v>
      </c>
      <c r="E333" s="665"/>
      <c r="F333" s="665"/>
      <c r="G333" s="1434" t="s">
        <v>358</v>
      </c>
      <c r="H333" s="1435"/>
      <c r="I333" s="653">
        <f>+I329+I330+I331</f>
        <v>3575456.0629298994</v>
      </c>
      <c r="J333" s="664">
        <f>+I333*$M$8</f>
        <v>71509121258.597992</v>
      </c>
    </row>
    <row r="334" spans="1:11" ht="23.25" customHeight="1">
      <c r="A334" s="652" t="s">
        <v>18</v>
      </c>
      <c r="B334" s="663"/>
      <c r="C334" s="667">
        <f>VLOOKUP(B327,'LƯƠNG KT'!$D$48:$I$92,6,0)</f>
        <v>2652</v>
      </c>
      <c r="D334" s="661" t="str">
        <f>VLOOKUP(B327,'LƯƠNG KT'!$D$48:$P$92,12,0)</f>
        <v>A</v>
      </c>
      <c r="E334" s="668"/>
      <c r="F334" s="668"/>
      <c r="G334" s="652" t="s">
        <v>18</v>
      </c>
      <c r="H334" s="663"/>
      <c r="I334" s="667">
        <f>VLOOKUP(H327,'LƯƠNG KT'!$D$48:$I$92,6,0)</f>
        <v>2322</v>
      </c>
      <c r="J334" s="661" t="str">
        <f>VLOOKUP(H327,'LƯƠNG KT'!$D$48:$P$92,12,0)</f>
        <v>B</v>
      </c>
    </row>
    <row r="335" spans="1:11" ht="23.25" customHeight="1">
      <c r="A335" s="669" t="s">
        <v>19</v>
      </c>
      <c r="B335" s="663" t="s">
        <v>20</v>
      </c>
      <c r="C335" s="670"/>
      <c r="D335" s="661"/>
      <c r="E335" s="671"/>
      <c r="F335" s="671"/>
      <c r="G335" s="669" t="s">
        <v>19</v>
      </c>
      <c r="H335" s="663" t="s">
        <v>20</v>
      </c>
      <c r="I335" s="670"/>
      <c r="J335" s="661"/>
    </row>
    <row r="336" spans="1:11" ht="23.25" customHeight="1">
      <c r="A336" s="674" t="s">
        <v>21</v>
      </c>
      <c r="B336" s="663" t="s">
        <v>22</v>
      </c>
      <c r="C336" s="670"/>
      <c r="D336" s="661"/>
      <c r="E336" s="668"/>
      <c r="F336" s="668"/>
      <c r="G336" s="674" t="s">
        <v>21</v>
      </c>
      <c r="H336" s="663" t="s">
        <v>22</v>
      </c>
      <c r="I336" s="670"/>
      <c r="J336" s="661"/>
    </row>
    <row r="337" spans="1:11" ht="23.25" customHeight="1">
      <c r="A337" s="669" t="s">
        <v>23</v>
      </c>
      <c r="B337" s="663" t="s">
        <v>24</v>
      </c>
      <c r="C337" s="670"/>
      <c r="D337" s="661">
        <f>+D336</f>
        <v>0</v>
      </c>
      <c r="E337" s="677"/>
      <c r="F337" s="677"/>
      <c r="G337" s="669" t="s">
        <v>23</v>
      </c>
      <c r="H337" s="663" t="s">
        <v>24</v>
      </c>
      <c r="I337" s="670"/>
      <c r="J337" s="661">
        <f>+J336</f>
        <v>0</v>
      </c>
    </row>
    <row r="338" spans="1:11" ht="23.25" customHeight="1">
      <c r="A338" s="669" t="s">
        <v>25</v>
      </c>
      <c r="B338" s="663" t="s">
        <v>26</v>
      </c>
      <c r="C338" s="680"/>
      <c r="D338" s="669">
        <f>SUM(D328:D334)-D337</f>
        <v>218147045596.02975</v>
      </c>
      <c r="E338" s="681"/>
      <c r="F338" s="681"/>
      <c r="G338" s="669" t="s">
        <v>25</v>
      </c>
      <c r="H338" s="663" t="s">
        <v>26</v>
      </c>
      <c r="I338" s="680"/>
      <c r="J338" s="669">
        <f>SUM(J328:J334)-J337</f>
        <v>181608909765.56763</v>
      </c>
      <c r="K338" s="696">
        <f>+J338+D338</f>
        <v>399755955361.59741</v>
      </c>
    </row>
    <row r="339" spans="1:11" ht="23.25" customHeight="1">
      <c r="A339" s="683"/>
      <c r="B339" s="684"/>
      <c r="C339" s="685"/>
      <c r="D339" s="686"/>
      <c r="E339" s="687"/>
      <c r="F339" s="686"/>
      <c r="G339" s="683"/>
      <c r="H339" s="684"/>
      <c r="I339" s="685"/>
      <c r="J339" s="688"/>
    </row>
    <row r="340" spans="1:11" ht="23.25" customHeight="1">
      <c r="A340" s="1436" t="str">
        <f>$L$1</f>
        <v>Tháng 12/2025</v>
      </c>
      <c r="B340" s="1436"/>
      <c r="C340" s="1436"/>
      <c r="D340" s="1436"/>
      <c r="E340" s="647"/>
      <c r="F340" s="647"/>
      <c r="G340" s="1436" t="str">
        <f>$L$1</f>
        <v>Tháng 12/2025</v>
      </c>
      <c r="H340" s="1436"/>
      <c r="I340" s="1436"/>
      <c r="J340" s="1436"/>
    </row>
    <row r="341" spans="1:11" ht="23.25" customHeight="1">
      <c r="A341" s="652" t="s">
        <v>12</v>
      </c>
      <c r="B341" s="653" t="str">
        <f>VLOOKUP(C341,'LƯƠNG KT'!$B$48:$D$92,3,0)</f>
        <v>Nàng Chai</v>
      </c>
      <c r="C341" s="654">
        <v>9</v>
      </c>
      <c r="D341" s="655">
        <f>VLOOKUP(B341,'LƯƠNG KT'!$D$48:$O$90,11,0)</f>
        <v>983.17430151254837</v>
      </c>
      <c r="E341" s="656"/>
      <c r="F341" s="656"/>
      <c r="G341" s="652" t="s">
        <v>12</v>
      </c>
      <c r="H341" s="653" t="str">
        <f>VLOOKUP(I341,'LƯƠNG KT'!$B$48:$D$92,3,0)</f>
        <v>Thảo Viêng</v>
      </c>
      <c r="I341" s="654">
        <v>10</v>
      </c>
      <c r="J341" s="655">
        <f>VLOOKUP(H341,'LƯƠNG KT'!$D$48:$O$90,11,0)</f>
        <v>1197.7735527427851</v>
      </c>
    </row>
    <row r="342" spans="1:11" ht="23.25" customHeight="1">
      <c r="A342" s="652" t="s">
        <v>13</v>
      </c>
      <c r="B342" s="660" t="s">
        <v>14</v>
      </c>
      <c r="C342" s="805">
        <f>VLOOKUP(B341,'LƯƠNG KT'!$D$48:$G$92,4,0)</f>
        <v>0</v>
      </c>
      <c r="D342" s="806">
        <f>C342*25000</f>
        <v>0</v>
      </c>
      <c r="E342" s="662"/>
      <c r="F342" s="662"/>
      <c r="G342" s="652" t="s">
        <v>13</v>
      </c>
      <c r="H342" s="660" t="s">
        <v>14</v>
      </c>
      <c r="I342" s="805">
        <f>VLOOKUP(H341,'LƯƠNG KT'!$D$48:$G$92,4,0)</f>
        <v>0</v>
      </c>
      <c r="J342" s="806">
        <f>I342*25000</f>
        <v>0</v>
      </c>
    </row>
    <row r="343" spans="1:11" ht="23.25" customHeight="1">
      <c r="A343" s="652" t="s">
        <v>15</v>
      </c>
      <c r="B343" s="663" t="s">
        <v>16</v>
      </c>
      <c r="C343" s="653">
        <f>VLOOKUP(B341,'LƯƠNG KT'!$D$48:$Q$92,13,0)</f>
        <v>3598417.9435359268</v>
      </c>
      <c r="D343" s="664">
        <f>+C343*$M$2</f>
        <v>110805925404.91228</v>
      </c>
      <c r="E343" s="665"/>
      <c r="F343" s="665"/>
      <c r="G343" s="652" t="s">
        <v>15</v>
      </c>
      <c r="H343" s="663" t="s">
        <v>16</v>
      </c>
      <c r="I343" s="653">
        <f>VLOOKUP(H341,'LƯƠNG KT'!$D$48:$Q$92,13,0)</f>
        <v>4383851.2030385928</v>
      </c>
      <c r="J343" s="664">
        <f>+I343*$M$2</f>
        <v>134991737205.71446</v>
      </c>
    </row>
    <row r="344" spans="1:11" ht="23.25" customHeight="1">
      <c r="A344" s="652" t="s">
        <v>357</v>
      </c>
      <c r="B344" s="663"/>
      <c r="C344" s="653">
        <f>VLOOKUP(B341,'LƯƠNG KT'!$D$48:$R$92,14,0)</f>
        <v>26</v>
      </c>
      <c r="D344" s="664">
        <f>+C344*$M$3</f>
        <v>1335519.2240000002</v>
      </c>
      <c r="E344" s="665"/>
      <c r="F344" s="665"/>
      <c r="G344" s="652" t="s">
        <v>357</v>
      </c>
      <c r="H344" s="663"/>
      <c r="I344" s="653">
        <f>VLOOKUP(H341,'LƯƠNG KT'!$D$48:$R$92,14,0)</f>
        <v>26</v>
      </c>
      <c r="J344" s="664">
        <f>+I344*$M$3</f>
        <v>1335519.2240000002</v>
      </c>
    </row>
    <row r="345" spans="1:11" ht="23.25" customHeight="1">
      <c r="A345" s="1434" t="s">
        <v>375</v>
      </c>
      <c r="B345" s="1435"/>
      <c r="C345" s="653">
        <f>VLOOKUP(B341,'LƯƠNG KT'!$D$48:$S$92,15,0)</f>
        <v>3</v>
      </c>
      <c r="D345" s="664">
        <f>+C345*$M$5</f>
        <v>184757.736</v>
      </c>
      <c r="E345" s="665"/>
      <c r="F345" s="665"/>
      <c r="G345" s="1434" t="s">
        <v>375</v>
      </c>
      <c r="H345" s="1435"/>
      <c r="I345" s="653">
        <f>VLOOKUP(H341,'LƯƠNG KT'!$D$48:$S$92,15,0)</f>
        <v>3</v>
      </c>
      <c r="J345" s="664">
        <f>+I345*$M$5</f>
        <v>184757.736</v>
      </c>
    </row>
    <row r="346" spans="1:11" ht="23.25" customHeight="1">
      <c r="A346" s="1434" t="s">
        <v>427</v>
      </c>
      <c r="B346" s="1435"/>
      <c r="C346" s="653">
        <f>+C345</f>
        <v>3</v>
      </c>
      <c r="D346" s="664">
        <f>+C346*$M$7</f>
        <v>300000</v>
      </c>
      <c r="E346" s="665"/>
      <c r="F346" s="665"/>
      <c r="G346" s="1434" t="s">
        <v>427</v>
      </c>
      <c r="H346" s="1435"/>
      <c r="I346" s="653">
        <f>+I345</f>
        <v>3</v>
      </c>
      <c r="J346" s="664">
        <f>+I346*$M$7</f>
        <v>300000</v>
      </c>
    </row>
    <row r="347" spans="1:11" ht="23.25" customHeight="1">
      <c r="A347" s="1434" t="s">
        <v>358</v>
      </c>
      <c r="B347" s="1435"/>
      <c r="C347" s="653">
        <f>+C343+C344+C345</f>
        <v>3598446.9435359268</v>
      </c>
      <c r="D347" s="664">
        <f>+C347*$M$8</f>
        <v>71968938870.718536</v>
      </c>
      <c r="E347" s="665"/>
      <c r="F347" s="665"/>
      <c r="G347" s="1434" t="s">
        <v>358</v>
      </c>
      <c r="H347" s="1435"/>
      <c r="I347" s="653">
        <f>+I343+I344+I345</f>
        <v>4383880.2030385928</v>
      </c>
      <c r="J347" s="664">
        <f>+I347*$M$8</f>
        <v>87677604060.771851</v>
      </c>
    </row>
    <row r="348" spans="1:11" ht="23.25" customHeight="1">
      <c r="A348" s="652" t="s">
        <v>18</v>
      </c>
      <c r="B348" s="663"/>
      <c r="C348" s="667">
        <f>VLOOKUP(B341,'LƯƠNG KT'!$D$48:$I$92,6,0)</f>
        <v>2222</v>
      </c>
      <c r="D348" s="661" t="str">
        <f>VLOOKUP(B341,'LƯƠNG KT'!$D$48:$P$92,12,0)</f>
        <v>A</v>
      </c>
      <c r="E348" s="668"/>
      <c r="F348" s="668"/>
      <c r="G348" s="652" t="s">
        <v>18</v>
      </c>
      <c r="H348" s="663"/>
      <c r="I348" s="667">
        <f>VLOOKUP(H341,'LƯƠNG KT'!$D$48:$I$92,6,0)</f>
        <v>2707</v>
      </c>
      <c r="J348" s="661" t="str">
        <f>VLOOKUP(H341,'LƯƠNG KT'!$D$48:$P$92,12,0)</f>
        <v>A</v>
      </c>
    </row>
    <row r="349" spans="1:11" ht="23.25" customHeight="1">
      <c r="A349" s="669" t="s">
        <v>19</v>
      </c>
      <c r="B349" s="663" t="s">
        <v>20</v>
      </c>
      <c r="C349" s="670"/>
      <c r="D349" s="661"/>
      <c r="E349" s="671"/>
      <c r="F349" s="671"/>
      <c r="G349" s="669" t="s">
        <v>19</v>
      </c>
      <c r="H349" s="663" t="s">
        <v>20</v>
      </c>
      <c r="I349" s="670"/>
      <c r="J349" s="661"/>
    </row>
    <row r="350" spans="1:11" ht="23.25" customHeight="1">
      <c r="A350" s="674" t="s">
        <v>21</v>
      </c>
      <c r="B350" s="663" t="s">
        <v>22</v>
      </c>
      <c r="C350" s="670"/>
      <c r="D350" s="661"/>
      <c r="E350" s="668"/>
      <c r="F350" s="668"/>
      <c r="G350" s="674" t="s">
        <v>21</v>
      </c>
      <c r="H350" s="663" t="s">
        <v>22</v>
      </c>
      <c r="I350" s="670"/>
      <c r="J350" s="661"/>
    </row>
    <row r="351" spans="1:11" ht="23.25" customHeight="1">
      <c r="A351" s="669" t="s">
        <v>23</v>
      </c>
      <c r="B351" s="663" t="s">
        <v>24</v>
      </c>
      <c r="C351" s="670"/>
      <c r="D351" s="661">
        <f>+D350</f>
        <v>0</v>
      </c>
      <c r="E351" s="677"/>
      <c r="F351" s="677"/>
      <c r="G351" s="669" t="s">
        <v>23</v>
      </c>
      <c r="H351" s="663" t="s">
        <v>24</v>
      </c>
      <c r="I351" s="670"/>
      <c r="J351" s="661">
        <f>+J350</f>
        <v>0</v>
      </c>
    </row>
    <row r="352" spans="1:11" ht="23.25" customHeight="1">
      <c r="A352" s="669" t="s">
        <v>25</v>
      </c>
      <c r="B352" s="663" t="s">
        <v>26</v>
      </c>
      <c r="C352" s="680"/>
      <c r="D352" s="669">
        <f>SUM(D342:D348)-D351</f>
        <v>182776684552.59082</v>
      </c>
      <c r="E352" s="681"/>
      <c r="F352" s="681"/>
      <c r="G352" s="669" t="s">
        <v>25</v>
      </c>
      <c r="H352" s="663" t="s">
        <v>26</v>
      </c>
      <c r="I352" s="680"/>
      <c r="J352" s="669">
        <f>SUM(J342:J348)-J351</f>
        <v>222671161543.44629</v>
      </c>
      <c r="K352" s="696">
        <f>+J352+D352</f>
        <v>405447846096.03711</v>
      </c>
    </row>
    <row r="353" spans="1:11" ht="23.25" customHeight="1">
      <c r="A353" s="683"/>
      <c r="B353" s="684"/>
      <c r="C353" s="685"/>
      <c r="D353" s="686"/>
      <c r="E353" s="687"/>
      <c r="F353" s="686"/>
      <c r="G353" s="683"/>
      <c r="H353" s="684"/>
      <c r="I353" s="685"/>
      <c r="J353" s="688"/>
    </row>
    <row r="354" spans="1:11" ht="23.25" customHeight="1">
      <c r="A354" s="1436" t="str">
        <f>$L$1</f>
        <v>Tháng 12/2025</v>
      </c>
      <c r="B354" s="1436"/>
      <c r="C354" s="1436"/>
      <c r="D354" s="1436"/>
      <c r="E354" s="647"/>
      <c r="F354" s="647"/>
      <c r="G354" s="1436" t="str">
        <f>$L$1</f>
        <v>Tháng 12/2025</v>
      </c>
      <c r="H354" s="1436"/>
      <c r="I354" s="1436"/>
      <c r="J354" s="1436"/>
    </row>
    <row r="355" spans="1:11" ht="23.25" customHeight="1">
      <c r="A355" s="652" t="s">
        <v>12</v>
      </c>
      <c r="B355" s="653" t="str">
        <f>VLOOKUP(C355,'LƯƠNG KT'!$B$48:$D$92,3,0)</f>
        <v>Thảo Xượm</v>
      </c>
      <c r="C355" s="654">
        <v>11</v>
      </c>
      <c r="D355" s="655">
        <f>VLOOKUP(B355,'LƯƠNG KT'!$D$48:$O$90,11,0)</f>
        <v>1125.2080327391586</v>
      </c>
      <c r="E355" s="656"/>
      <c r="F355" s="656"/>
      <c r="G355" s="652" t="s">
        <v>12</v>
      </c>
      <c r="H355" s="653" t="str">
        <f>VLOOKUP(I355,'LƯƠNG KT'!$B$48:$D$92,3,0)</f>
        <v>Thảo Tích</v>
      </c>
      <c r="I355" s="654">
        <v>12</v>
      </c>
      <c r="J355" s="655">
        <f>VLOOKUP(H355,'LƯƠNG KT'!$D$48:$O$90,11,0)</f>
        <v>1094.2349449327328</v>
      </c>
    </row>
    <row r="356" spans="1:11" ht="23.25" customHeight="1">
      <c r="A356" s="652" t="s">
        <v>13</v>
      </c>
      <c r="B356" s="660" t="s">
        <v>14</v>
      </c>
      <c r="C356" s="805">
        <f>VLOOKUP(B355,'LƯƠNG KT'!$D$48:$G$92,4,0)</f>
        <v>0</v>
      </c>
      <c r="D356" s="806">
        <f>C356*25000</f>
        <v>0</v>
      </c>
      <c r="E356" s="662"/>
      <c r="F356" s="662"/>
      <c r="G356" s="652" t="s">
        <v>13</v>
      </c>
      <c r="H356" s="660" t="s">
        <v>14</v>
      </c>
      <c r="I356" s="805">
        <f>VLOOKUP(H355,'LƯƠNG KT'!$D$48:$G$92,4,0)</f>
        <v>0</v>
      </c>
      <c r="J356" s="806">
        <f>I356*25000</f>
        <v>0</v>
      </c>
    </row>
    <row r="357" spans="1:11" ht="23.25" customHeight="1">
      <c r="A357" s="652" t="s">
        <v>15</v>
      </c>
      <c r="B357" s="663" t="s">
        <v>16</v>
      </c>
      <c r="C357" s="653">
        <f>VLOOKUP(B355,'LƯƠNG KT'!$D$48:$Q$92,13,0)</f>
        <v>3915723.9539322718</v>
      </c>
      <c r="D357" s="664">
        <f>+C357*$M$2</f>
        <v>120576715421.58247</v>
      </c>
      <c r="E357" s="665"/>
      <c r="F357" s="665"/>
      <c r="G357" s="652" t="s">
        <v>15</v>
      </c>
      <c r="H357" s="663" t="s">
        <v>16</v>
      </c>
      <c r="I357" s="653">
        <f>VLOOKUP(H355,'LƯƠNG KT'!$D$48:$Q$92,13,0)</f>
        <v>3807937.6083659101</v>
      </c>
      <c r="J357" s="664">
        <f>+I357*$M$2</f>
        <v>117257655225.15671</v>
      </c>
    </row>
    <row r="358" spans="1:11" ht="23.25" customHeight="1">
      <c r="A358" s="652" t="s">
        <v>357</v>
      </c>
      <c r="B358" s="663"/>
      <c r="C358" s="653">
        <f>VLOOKUP(B355,'LƯƠNG KT'!$D$48:$R$92,14,0)</f>
        <v>26</v>
      </c>
      <c r="D358" s="664">
        <f>+C358*$M$3</f>
        <v>1335519.2240000002</v>
      </c>
      <c r="E358" s="665"/>
      <c r="F358" s="665"/>
      <c r="G358" s="652" t="s">
        <v>357</v>
      </c>
      <c r="H358" s="663"/>
      <c r="I358" s="653">
        <f>VLOOKUP(H355,'LƯƠNG KT'!$D$48:$R$92,14,0)</f>
        <v>26</v>
      </c>
      <c r="J358" s="664">
        <f>+I358*$M$3</f>
        <v>1335519.2240000002</v>
      </c>
    </row>
    <row r="359" spans="1:11" ht="23.25" customHeight="1">
      <c r="A359" s="1434" t="s">
        <v>375</v>
      </c>
      <c r="B359" s="1435"/>
      <c r="C359" s="653">
        <f>VLOOKUP(B355,'LƯƠNG KT'!$D$48:$S$92,15,0)</f>
        <v>3</v>
      </c>
      <c r="D359" s="664">
        <f>+C359*$M$5</f>
        <v>184757.736</v>
      </c>
      <c r="E359" s="665"/>
      <c r="F359" s="665"/>
      <c r="G359" s="1434" t="s">
        <v>375</v>
      </c>
      <c r="H359" s="1435"/>
      <c r="I359" s="653">
        <f>VLOOKUP(H355,'LƯƠNG KT'!$D$48:$S$92,15,0)</f>
        <v>3</v>
      </c>
      <c r="J359" s="664">
        <f>+I359*$M$5</f>
        <v>184757.736</v>
      </c>
    </row>
    <row r="360" spans="1:11" ht="23.25" customHeight="1">
      <c r="A360" s="1434" t="s">
        <v>427</v>
      </c>
      <c r="B360" s="1435"/>
      <c r="C360" s="653">
        <f>+C359</f>
        <v>3</v>
      </c>
      <c r="D360" s="664">
        <f>+C360*$M$7</f>
        <v>300000</v>
      </c>
      <c r="E360" s="665"/>
      <c r="F360" s="665"/>
      <c r="G360" s="1434" t="s">
        <v>427</v>
      </c>
      <c r="H360" s="1435"/>
      <c r="I360" s="653">
        <f>+I359</f>
        <v>3</v>
      </c>
      <c r="J360" s="664">
        <f>+I360*$M$7</f>
        <v>300000</v>
      </c>
    </row>
    <row r="361" spans="1:11" ht="23.25" customHeight="1">
      <c r="A361" s="1434" t="s">
        <v>358</v>
      </c>
      <c r="B361" s="1435"/>
      <c r="C361" s="653">
        <f>+C357+C358+C359</f>
        <v>3915752.9539322718</v>
      </c>
      <c r="D361" s="664">
        <f>+C361*$M$8</f>
        <v>78315059078.645432</v>
      </c>
      <c r="E361" s="665"/>
      <c r="F361" s="665"/>
      <c r="G361" s="1434" t="s">
        <v>358</v>
      </c>
      <c r="H361" s="1435"/>
      <c r="I361" s="653">
        <f>+I357+I358+I359</f>
        <v>3807966.6083659101</v>
      </c>
      <c r="J361" s="664">
        <f>+I361*$M$8</f>
        <v>76159332167.318207</v>
      </c>
    </row>
    <row r="362" spans="1:11" ht="23.25" customHeight="1">
      <c r="A362" s="652" t="s">
        <v>18</v>
      </c>
      <c r="B362" s="663"/>
      <c r="C362" s="667">
        <f>VLOOKUP(B355,'LƯƠNG KT'!$D$48:$I$92,6,0)</f>
        <v>2543</v>
      </c>
      <c r="D362" s="661" t="str">
        <f>VLOOKUP(B355,'LƯƠNG KT'!$D$48:$P$92,12,0)</f>
        <v>B</v>
      </c>
      <c r="E362" s="668"/>
      <c r="F362" s="668"/>
      <c r="G362" s="652" t="s">
        <v>18</v>
      </c>
      <c r="H362" s="663"/>
      <c r="I362" s="667">
        <f>VLOOKUP(H355,'LƯƠNG KT'!$D$48:$I$92,6,0)</f>
        <v>2473</v>
      </c>
      <c r="J362" s="661" t="str">
        <f>VLOOKUP(H355,'LƯƠNG KT'!$D$48:$P$92,12,0)</f>
        <v>B</v>
      </c>
    </row>
    <row r="363" spans="1:11" ht="23.25" customHeight="1">
      <c r="A363" s="669" t="s">
        <v>19</v>
      </c>
      <c r="B363" s="663" t="s">
        <v>20</v>
      </c>
      <c r="C363" s="670"/>
      <c r="D363" s="661"/>
      <c r="E363" s="671"/>
      <c r="F363" s="671"/>
      <c r="G363" s="669" t="s">
        <v>19</v>
      </c>
      <c r="H363" s="663" t="s">
        <v>20</v>
      </c>
      <c r="I363" s="670"/>
      <c r="J363" s="661"/>
    </row>
    <row r="364" spans="1:11" ht="23.25" customHeight="1">
      <c r="A364" s="674" t="s">
        <v>21</v>
      </c>
      <c r="B364" s="663" t="s">
        <v>22</v>
      </c>
      <c r="C364" s="670"/>
      <c r="D364" s="661"/>
      <c r="E364" s="668"/>
      <c r="F364" s="668"/>
      <c r="G364" s="674" t="s">
        <v>21</v>
      </c>
      <c r="H364" s="663" t="s">
        <v>22</v>
      </c>
      <c r="I364" s="670"/>
      <c r="J364" s="661"/>
    </row>
    <row r="365" spans="1:11" ht="23.25" customHeight="1">
      <c r="A365" s="669" t="s">
        <v>23</v>
      </c>
      <c r="B365" s="663" t="s">
        <v>24</v>
      </c>
      <c r="C365" s="670"/>
      <c r="D365" s="661">
        <f>+D364</f>
        <v>0</v>
      </c>
      <c r="E365" s="677"/>
      <c r="F365" s="677"/>
      <c r="G365" s="669" t="s">
        <v>23</v>
      </c>
      <c r="H365" s="663" t="s">
        <v>24</v>
      </c>
      <c r="I365" s="670"/>
      <c r="J365" s="661">
        <f>+J364</f>
        <v>0</v>
      </c>
    </row>
    <row r="366" spans="1:11" ht="23.25" customHeight="1">
      <c r="A366" s="669" t="s">
        <v>25</v>
      </c>
      <c r="B366" s="663" t="s">
        <v>26</v>
      </c>
      <c r="C366" s="680"/>
      <c r="D366" s="669">
        <f>SUM(D356:D362)-D365</f>
        <v>198893594777.1879</v>
      </c>
      <c r="E366" s="681"/>
      <c r="F366" s="681"/>
      <c r="G366" s="669" t="s">
        <v>25</v>
      </c>
      <c r="H366" s="663" t="s">
        <v>26</v>
      </c>
      <c r="I366" s="680"/>
      <c r="J366" s="669">
        <f>SUM(J356:J362)-J365</f>
        <v>193418807669.43491</v>
      </c>
      <c r="K366" s="696">
        <f>+J366+D366</f>
        <v>392312402446.6228</v>
      </c>
    </row>
    <row r="367" spans="1:11" ht="23.25" customHeight="1">
      <c r="A367" s="683"/>
      <c r="B367" s="684"/>
      <c r="C367" s="685"/>
      <c r="D367" s="686"/>
      <c r="E367" s="687"/>
      <c r="F367" s="686"/>
      <c r="G367" s="683"/>
      <c r="H367" s="684"/>
      <c r="I367" s="685"/>
      <c r="J367" s="688"/>
    </row>
    <row r="368" spans="1:11" ht="23.25" customHeight="1">
      <c r="A368" s="1436" t="str">
        <f>$L$1</f>
        <v>Tháng 12/2025</v>
      </c>
      <c r="B368" s="1436"/>
      <c r="C368" s="1436"/>
      <c r="D368" s="1436"/>
      <c r="E368" s="647"/>
      <c r="F368" s="647"/>
      <c r="G368" s="1436" t="str">
        <f>$L$1</f>
        <v>Tháng 12/2025</v>
      </c>
      <c r="H368" s="1436"/>
      <c r="I368" s="1436"/>
      <c r="J368" s="1436"/>
    </row>
    <row r="369" spans="1:11" ht="23.25" customHeight="1">
      <c r="A369" s="652" t="s">
        <v>12</v>
      </c>
      <c r="B369" s="653" t="str">
        <f>VLOOKUP(C369,'LƯƠNG KT'!$B$48:$D$92,3,0)</f>
        <v>Nàng Thoong</v>
      </c>
      <c r="C369" s="654">
        <v>13</v>
      </c>
      <c r="D369" s="655">
        <f>VLOOKUP(B369,'LƯƠNG KT'!$D$48:$O$90,11,0)</f>
        <v>1094.2349449327328</v>
      </c>
      <c r="E369" s="656"/>
      <c r="F369" s="656"/>
      <c r="G369" s="652" t="s">
        <v>12</v>
      </c>
      <c r="H369" s="653" t="str">
        <f>VLOOKUP(I369,'LƯƠNG KT'!$B$48:$D$92,3,0)</f>
        <v>Thảo Tý 2</v>
      </c>
      <c r="I369" s="654">
        <v>14</v>
      </c>
      <c r="J369" s="655">
        <f>VLOOKUP(H369,'LƯƠNG KT'!$D$48:$O$90,11,0)</f>
        <v>1416.7975308025113</v>
      </c>
    </row>
    <row r="370" spans="1:11" ht="23.25" customHeight="1">
      <c r="A370" s="652" t="s">
        <v>13</v>
      </c>
      <c r="B370" s="660" t="s">
        <v>14</v>
      </c>
      <c r="C370" s="805">
        <f>VLOOKUP(B369,'LƯƠNG KT'!$D$48:$G$92,4,0)</f>
        <v>0</v>
      </c>
      <c r="D370" s="806">
        <f>C370*25000</f>
        <v>0</v>
      </c>
      <c r="E370" s="662"/>
      <c r="F370" s="662"/>
      <c r="G370" s="652" t="s">
        <v>13</v>
      </c>
      <c r="H370" s="660" t="s">
        <v>14</v>
      </c>
      <c r="I370" s="805">
        <f>VLOOKUP(H369,'LƯƠNG KT'!$D$48:$G$92,4,0)</f>
        <v>0</v>
      </c>
      <c r="J370" s="806">
        <f>I370*25000</f>
        <v>0</v>
      </c>
    </row>
    <row r="371" spans="1:11" ht="23.25" customHeight="1">
      <c r="A371" s="652" t="s">
        <v>15</v>
      </c>
      <c r="B371" s="663" t="s">
        <v>16</v>
      </c>
      <c r="C371" s="653">
        <f>VLOOKUP(B369,'LƯƠNG KT'!$D$48:$Q$92,13,0)</f>
        <v>3807937.6083659101</v>
      </c>
      <c r="D371" s="664">
        <f>+C371*$M$2</f>
        <v>117257655225.15671</v>
      </c>
      <c r="E371" s="665"/>
      <c r="F371" s="665"/>
      <c r="G371" s="652" t="s">
        <v>15</v>
      </c>
      <c r="H371" s="663" t="s">
        <v>16</v>
      </c>
      <c r="I371" s="653">
        <f>VLOOKUP(H369,'LƯƠNG KT'!$D$48:$Q$92,13,0)</f>
        <v>4930455.4071927387</v>
      </c>
      <c r="J371" s="664">
        <f>+I371*$M$2</f>
        <v>151823296413.6481</v>
      </c>
    </row>
    <row r="372" spans="1:11" ht="23.25" customHeight="1">
      <c r="A372" s="652" t="s">
        <v>357</v>
      </c>
      <c r="B372" s="663"/>
      <c r="C372" s="653">
        <f>VLOOKUP(B369,'LƯƠNG KT'!$D$48:$R$92,14,0)</f>
        <v>26</v>
      </c>
      <c r="D372" s="664">
        <f>+C372*$M$3</f>
        <v>1335519.2240000002</v>
      </c>
      <c r="E372" s="665"/>
      <c r="F372" s="665"/>
      <c r="G372" s="652" t="s">
        <v>357</v>
      </c>
      <c r="H372" s="663"/>
      <c r="I372" s="653">
        <f>VLOOKUP(H369,'LƯƠNG KT'!$D$48:$R$92,14,0)</f>
        <v>26</v>
      </c>
      <c r="J372" s="664">
        <f>+I372*$M$3</f>
        <v>1335519.2240000002</v>
      </c>
    </row>
    <row r="373" spans="1:11" ht="23.25" customHeight="1">
      <c r="A373" s="1434" t="s">
        <v>375</v>
      </c>
      <c r="B373" s="1435"/>
      <c r="C373" s="653">
        <f>VLOOKUP(B369,'LƯƠNG KT'!$D$48:$S$92,15,0)</f>
        <v>3</v>
      </c>
      <c r="D373" s="664">
        <f>+C373*$M$5</f>
        <v>184757.736</v>
      </c>
      <c r="E373" s="665"/>
      <c r="F373" s="665"/>
      <c r="G373" s="1434" t="s">
        <v>375</v>
      </c>
      <c r="H373" s="1435"/>
      <c r="I373" s="653">
        <f>VLOOKUP(H369,'LƯƠNG KT'!$D$48:$S$92,15,0)</f>
        <v>3</v>
      </c>
      <c r="J373" s="664">
        <f>+I373*$M$5</f>
        <v>184757.736</v>
      </c>
    </row>
    <row r="374" spans="1:11" ht="23.25" customHeight="1">
      <c r="A374" s="1434" t="s">
        <v>427</v>
      </c>
      <c r="B374" s="1435"/>
      <c r="C374" s="653">
        <f>+C373</f>
        <v>3</v>
      </c>
      <c r="D374" s="664">
        <f>+C374*$M$7</f>
        <v>300000</v>
      </c>
      <c r="E374" s="665"/>
      <c r="F374" s="665"/>
      <c r="G374" s="1434" t="s">
        <v>427</v>
      </c>
      <c r="H374" s="1435"/>
      <c r="I374" s="653">
        <f>+I373</f>
        <v>3</v>
      </c>
      <c r="J374" s="664">
        <f>+I374*$M$7</f>
        <v>300000</v>
      </c>
    </row>
    <row r="375" spans="1:11" ht="23.25" customHeight="1">
      <c r="A375" s="1434" t="s">
        <v>358</v>
      </c>
      <c r="B375" s="1435"/>
      <c r="C375" s="653">
        <f>+C371+C372+C373</f>
        <v>3807966.6083659101</v>
      </c>
      <c r="D375" s="664">
        <f>+C375*$M$8</f>
        <v>76159332167.318207</v>
      </c>
      <c r="E375" s="665"/>
      <c r="F375" s="665"/>
      <c r="G375" s="1434" t="s">
        <v>358</v>
      </c>
      <c r="H375" s="1435"/>
      <c r="I375" s="653">
        <f>+I371+I372+I373</f>
        <v>4930484.4071927387</v>
      </c>
      <c r="J375" s="664">
        <f>+I375*$M$8</f>
        <v>98609688143.854782</v>
      </c>
    </row>
    <row r="376" spans="1:11" ht="23.25" customHeight="1">
      <c r="A376" s="652" t="s">
        <v>18</v>
      </c>
      <c r="B376" s="663"/>
      <c r="C376" s="667">
        <f>VLOOKUP(B369,'LƯƠNG KT'!$D$48:$I$92,6,0)</f>
        <v>2473</v>
      </c>
      <c r="D376" s="661" t="str">
        <f>VLOOKUP(B369,'LƯƠNG KT'!$D$48:$P$92,12,0)</f>
        <v>B</v>
      </c>
      <c r="E376" s="668"/>
      <c r="F376" s="668"/>
      <c r="G376" s="652" t="s">
        <v>18</v>
      </c>
      <c r="H376" s="663"/>
      <c r="I376" s="667">
        <f>VLOOKUP(H369,'LƯƠNG KT'!$D$48:$I$92,6,0)</f>
        <v>3202</v>
      </c>
      <c r="J376" s="661" t="str">
        <f>VLOOKUP(H369,'LƯƠNG KT'!$D$48:$P$92,12,0)</f>
        <v>B</v>
      </c>
    </row>
    <row r="377" spans="1:11" ht="23.25" customHeight="1">
      <c r="A377" s="669" t="s">
        <v>19</v>
      </c>
      <c r="B377" s="663" t="s">
        <v>20</v>
      </c>
      <c r="C377" s="670"/>
      <c r="D377" s="661"/>
      <c r="E377" s="671"/>
      <c r="F377" s="671"/>
      <c r="G377" s="669" t="s">
        <v>19</v>
      </c>
      <c r="H377" s="663" t="s">
        <v>20</v>
      </c>
      <c r="I377" s="670"/>
      <c r="J377" s="661"/>
    </row>
    <row r="378" spans="1:11" ht="23.25" customHeight="1">
      <c r="A378" s="674" t="s">
        <v>21</v>
      </c>
      <c r="B378" s="663" t="s">
        <v>22</v>
      </c>
      <c r="C378" s="670"/>
      <c r="D378" s="661"/>
      <c r="E378" s="668"/>
      <c r="F378" s="668"/>
      <c r="G378" s="674" t="s">
        <v>21</v>
      </c>
      <c r="H378" s="663" t="s">
        <v>22</v>
      </c>
      <c r="I378" s="670"/>
      <c r="J378" s="661"/>
    </row>
    <row r="379" spans="1:11" ht="23.25" customHeight="1">
      <c r="A379" s="669" t="s">
        <v>23</v>
      </c>
      <c r="B379" s="663" t="s">
        <v>24</v>
      </c>
      <c r="C379" s="670"/>
      <c r="D379" s="661">
        <f>+D378</f>
        <v>0</v>
      </c>
      <c r="E379" s="677"/>
      <c r="F379" s="677"/>
      <c r="G379" s="669" t="s">
        <v>23</v>
      </c>
      <c r="H379" s="663" t="s">
        <v>24</v>
      </c>
      <c r="I379" s="670"/>
      <c r="J379" s="661">
        <f>+J378</f>
        <v>0</v>
      </c>
    </row>
    <row r="380" spans="1:11" ht="23.25" customHeight="1">
      <c r="A380" s="669" t="s">
        <v>25</v>
      </c>
      <c r="B380" s="663" t="s">
        <v>26</v>
      </c>
      <c r="C380" s="680"/>
      <c r="D380" s="669">
        <f>SUM(D370:D376)-D379</f>
        <v>193418807669.43491</v>
      </c>
      <c r="E380" s="681"/>
      <c r="F380" s="681"/>
      <c r="G380" s="669" t="s">
        <v>25</v>
      </c>
      <c r="H380" s="663" t="s">
        <v>26</v>
      </c>
      <c r="I380" s="680"/>
      <c r="J380" s="669">
        <f>SUM(J370:J376)-J379</f>
        <v>250434804834.46289</v>
      </c>
      <c r="K380" s="696">
        <f>+J380+D380</f>
        <v>443853612503.89783</v>
      </c>
    </row>
    <row r="381" spans="1:11" ht="23.25" customHeight="1">
      <c r="A381" s="683"/>
      <c r="B381" s="684"/>
      <c r="C381" s="685"/>
      <c r="D381" s="686"/>
      <c r="E381" s="687"/>
      <c r="F381" s="686"/>
      <c r="G381" s="683"/>
      <c r="H381" s="684"/>
      <c r="I381" s="685"/>
      <c r="J381" s="688"/>
    </row>
    <row r="382" spans="1:11" ht="23.25" customHeight="1">
      <c r="A382" s="1436" t="str">
        <f>$L$1</f>
        <v>Tháng 12/2025</v>
      </c>
      <c r="B382" s="1436"/>
      <c r="C382" s="1436"/>
      <c r="D382" s="1436"/>
      <c r="E382" s="647"/>
      <c r="F382" s="647"/>
      <c r="G382" s="1436" t="str">
        <f>$L$1</f>
        <v>Tháng 12/2025</v>
      </c>
      <c r="H382" s="1436"/>
      <c r="I382" s="1436"/>
      <c r="J382" s="1436"/>
    </row>
    <row r="383" spans="1:11" ht="23.25" customHeight="1">
      <c r="A383" s="652" t="s">
        <v>12</v>
      </c>
      <c r="B383" s="653" t="str">
        <f>VLOOKUP(C383,'LƯƠNG KT'!$B$48:$D$92,3,0)</f>
        <v>Nàng Mui</v>
      </c>
      <c r="C383" s="654">
        <v>15</v>
      </c>
      <c r="D383" s="655">
        <f>VLOOKUP(B383,'LƯƠNG KT'!$D$48:$O$90,11,0)</f>
        <v>1123.8806146903119</v>
      </c>
      <c r="E383" s="656"/>
      <c r="F383" s="656"/>
      <c r="G383" s="652" t="s">
        <v>12</v>
      </c>
      <c r="H383" s="653" t="str">
        <f>VLOOKUP(I383,'LƯƠNG KT'!$B$48:$D$92,3,0)</f>
        <v>Thảo Xay Phôn</v>
      </c>
      <c r="I383" s="654">
        <v>16</v>
      </c>
      <c r="J383" s="655">
        <f>VLOOKUP(H383,'LƯƠNG KT'!$D$48:$O$90,11,0)</f>
        <v>1225.6493317685683</v>
      </c>
    </row>
    <row r="384" spans="1:11" ht="23.25" customHeight="1">
      <c r="A384" s="652" t="s">
        <v>13</v>
      </c>
      <c r="B384" s="660" t="s">
        <v>14</v>
      </c>
      <c r="C384" s="805">
        <f>VLOOKUP(B383,'LƯƠNG KT'!$D$48:$G$92,4,0)</f>
        <v>0</v>
      </c>
      <c r="D384" s="806">
        <f>C384*25000</f>
        <v>0</v>
      </c>
      <c r="E384" s="662"/>
      <c r="F384" s="662"/>
      <c r="G384" s="652" t="s">
        <v>13</v>
      </c>
      <c r="H384" s="660" t="s">
        <v>14</v>
      </c>
      <c r="I384" s="805">
        <f>VLOOKUP(H383,'LƯƠNG KT'!$D$48:$G$92,4,0)</f>
        <v>0</v>
      </c>
      <c r="J384" s="806">
        <f>I384*25000</f>
        <v>0</v>
      </c>
    </row>
    <row r="385" spans="1:11" ht="23.25" customHeight="1">
      <c r="A385" s="652" t="s">
        <v>15</v>
      </c>
      <c r="B385" s="663" t="s">
        <v>16</v>
      </c>
      <c r="C385" s="653">
        <f>VLOOKUP(B383,'LƯƠNG KT'!$D$48:$Q$92,13,0)</f>
        <v>3911104.5391222853</v>
      </c>
      <c r="D385" s="664">
        <f>+C385*$M$2</f>
        <v>120434469984.59282</v>
      </c>
      <c r="E385" s="665"/>
      <c r="F385" s="665"/>
      <c r="G385" s="652" t="s">
        <v>15</v>
      </c>
      <c r="H385" s="663" t="s">
        <v>16</v>
      </c>
      <c r="I385" s="653">
        <f>VLOOKUP(H383,'LƯƠNG KT'!$D$48:$Q$92,13,0)</f>
        <v>4265259.6745546171</v>
      </c>
      <c r="J385" s="664">
        <f>+I385*$M$2</f>
        <v>131339953487.13466</v>
      </c>
    </row>
    <row r="386" spans="1:11" ht="23.25" customHeight="1">
      <c r="A386" s="652" t="s">
        <v>357</v>
      </c>
      <c r="B386" s="663"/>
      <c r="C386" s="653">
        <f>VLOOKUP(B383,'LƯƠNG KT'!$D$48:$R$92,14,0)</f>
        <v>26</v>
      </c>
      <c r="D386" s="664">
        <f>+C386*$M$3</f>
        <v>1335519.2240000002</v>
      </c>
      <c r="E386" s="665"/>
      <c r="F386" s="665"/>
      <c r="G386" s="652" t="s">
        <v>357</v>
      </c>
      <c r="H386" s="663"/>
      <c r="I386" s="653">
        <f>VLOOKUP(H383,'LƯƠNG KT'!$D$48:$R$92,14,0)</f>
        <v>26</v>
      </c>
      <c r="J386" s="664">
        <f>+I386*$M$3</f>
        <v>1335519.2240000002</v>
      </c>
    </row>
    <row r="387" spans="1:11" ht="23.25" customHeight="1">
      <c r="A387" s="1434" t="s">
        <v>375</v>
      </c>
      <c r="B387" s="1435"/>
      <c r="C387" s="653">
        <f>VLOOKUP(B383,'LƯƠNG KT'!$D$48:$S$92,15,0)</f>
        <v>3</v>
      </c>
      <c r="D387" s="664">
        <f>+C387*$M$5</f>
        <v>184757.736</v>
      </c>
      <c r="E387" s="665"/>
      <c r="F387" s="665"/>
      <c r="G387" s="1434" t="s">
        <v>375</v>
      </c>
      <c r="H387" s="1435"/>
      <c r="I387" s="653">
        <f>VLOOKUP(H383,'LƯƠNG KT'!$D$48:$S$92,15,0)</f>
        <v>3</v>
      </c>
      <c r="J387" s="664">
        <f>+I387*$M$5</f>
        <v>184757.736</v>
      </c>
    </row>
    <row r="388" spans="1:11" ht="23.25" customHeight="1">
      <c r="A388" s="1434" t="s">
        <v>427</v>
      </c>
      <c r="B388" s="1435"/>
      <c r="C388" s="653">
        <f>+C387</f>
        <v>3</v>
      </c>
      <c r="D388" s="664">
        <f>+C388*$M$7</f>
        <v>300000</v>
      </c>
      <c r="E388" s="665"/>
      <c r="F388" s="665"/>
      <c r="G388" s="1434" t="s">
        <v>427</v>
      </c>
      <c r="H388" s="1435"/>
      <c r="I388" s="653">
        <f>+I387</f>
        <v>3</v>
      </c>
      <c r="J388" s="664">
        <f>+I388*$M$7</f>
        <v>300000</v>
      </c>
    </row>
    <row r="389" spans="1:11" ht="23.25" customHeight="1">
      <c r="A389" s="1434" t="s">
        <v>358</v>
      </c>
      <c r="B389" s="1435"/>
      <c r="C389" s="653">
        <f>+C385+C386+C387</f>
        <v>3911133.5391222853</v>
      </c>
      <c r="D389" s="664">
        <f>+C389*$M$8</f>
        <v>78222670782.445709</v>
      </c>
      <c r="E389" s="665"/>
      <c r="F389" s="665"/>
      <c r="G389" s="1434" t="s">
        <v>358</v>
      </c>
      <c r="H389" s="1435"/>
      <c r="I389" s="653">
        <f>+I385+I386+I387</f>
        <v>4265288.6745546171</v>
      </c>
      <c r="J389" s="664">
        <f>+I389*$M$8</f>
        <v>85305773491.092346</v>
      </c>
    </row>
    <row r="390" spans="1:11" ht="23.25" customHeight="1">
      <c r="A390" s="652" t="s">
        <v>18</v>
      </c>
      <c r="B390" s="663"/>
      <c r="C390" s="667">
        <f>VLOOKUP(B383,'LƯƠNG KT'!$D$48:$I$92,6,0)</f>
        <v>2540</v>
      </c>
      <c r="D390" s="661" t="str">
        <f>VLOOKUP(B383,'LƯƠNG KT'!$D$48:$P$92,12,0)</f>
        <v>B</v>
      </c>
      <c r="E390" s="668"/>
      <c r="F390" s="668"/>
      <c r="G390" s="652" t="s">
        <v>18</v>
      </c>
      <c r="H390" s="663"/>
      <c r="I390" s="667">
        <f>VLOOKUP(H383,'LƯƠNG KT'!$D$48:$I$92,6,0)</f>
        <v>2770</v>
      </c>
      <c r="J390" s="661" t="str">
        <f>VLOOKUP(H383,'LƯƠNG KT'!$D$48:$P$92,12,0)</f>
        <v>B</v>
      </c>
    </row>
    <row r="391" spans="1:11" ht="23.25" customHeight="1">
      <c r="A391" s="669" t="s">
        <v>19</v>
      </c>
      <c r="B391" s="663" t="s">
        <v>20</v>
      </c>
      <c r="C391" s="670"/>
      <c r="D391" s="661"/>
      <c r="E391" s="671"/>
      <c r="F391" s="671"/>
      <c r="G391" s="669" t="s">
        <v>19</v>
      </c>
      <c r="H391" s="663" t="s">
        <v>20</v>
      </c>
      <c r="I391" s="670"/>
      <c r="J391" s="661"/>
    </row>
    <row r="392" spans="1:11" ht="23.25" customHeight="1">
      <c r="A392" s="674" t="s">
        <v>21</v>
      </c>
      <c r="B392" s="663" t="s">
        <v>22</v>
      </c>
      <c r="C392" s="670"/>
      <c r="D392" s="661"/>
      <c r="E392" s="668"/>
      <c r="F392" s="668"/>
      <c r="G392" s="674" t="s">
        <v>21</v>
      </c>
      <c r="H392" s="663" t="s">
        <v>22</v>
      </c>
      <c r="I392" s="670"/>
      <c r="J392" s="661"/>
    </row>
    <row r="393" spans="1:11" ht="23.25" customHeight="1">
      <c r="A393" s="669" t="s">
        <v>23</v>
      </c>
      <c r="B393" s="663" t="s">
        <v>24</v>
      </c>
      <c r="C393" s="670"/>
      <c r="D393" s="661">
        <f>+D392</f>
        <v>0</v>
      </c>
      <c r="E393" s="677"/>
      <c r="F393" s="677"/>
      <c r="G393" s="669" t="s">
        <v>23</v>
      </c>
      <c r="H393" s="663" t="s">
        <v>24</v>
      </c>
      <c r="I393" s="670"/>
      <c r="J393" s="661">
        <f>+J392</f>
        <v>0</v>
      </c>
    </row>
    <row r="394" spans="1:11" ht="23.25" customHeight="1">
      <c r="A394" s="669" t="s">
        <v>25</v>
      </c>
      <c r="B394" s="663" t="s">
        <v>26</v>
      </c>
      <c r="C394" s="680"/>
      <c r="D394" s="669">
        <f>SUM(D384:D390)-D393</f>
        <v>198658961043.99854</v>
      </c>
      <c r="E394" s="681"/>
      <c r="F394" s="681"/>
      <c r="G394" s="669" t="s">
        <v>25</v>
      </c>
      <c r="H394" s="663" t="s">
        <v>26</v>
      </c>
      <c r="I394" s="680"/>
      <c r="J394" s="669">
        <f>SUM(J384:J390)-J393</f>
        <v>216647547255.18701</v>
      </c>
      <c r="K394" s="696">
        <f>+J394+D394</f>
        <v>415306508299.18555</v>
      </c>
    </row>
    <row r="395" spans="1:11" ht="23.25" customHeight="1">
      <c r="A395" s="683"/>
      <c r="B395" s="684"/>
      <c r="C395" s="685"/>
      <c r="D395" s="686"/>
      <c r="E395" s="687"/>
      <c r="F395" s="686"/>
      <c r="G395" s="683"/>
      <c r="H395" s="684"/>
      <c r="I395" s="685"/>
      <c r="J395" s="688"/>
    </row>
    <row r="396" spans="1:11" ht="23.25" customHeight="1">
      <c r="A396" s="1436" t="str">
        <f>$L$1</f>
        <v>Tháng 12/2025</v>
      </c>
      <c r="B396" s="1436"/>
      <c r="C396" s="1436"/>
      <c r="D396" s="1436"/>
      <c r="E396" s="647"/>
      <c r="F396" s="647"/>
      <c r="G396" s="1436" t="str">
        <f>$L$1</f>
        <v>Tháng 12/2025</v>
      </c>
      <c r="H396" s="1436"/>
      <c r="I396" s="1436"/>
      <c r="J396" s="1436"/>
    </row>
    <row r="397" spans="1:11" ht="23.25" customHeight="1">
      <c r="A397" s="652" t="s">
        <v>12</v>
      </c>
      <c r="B397" s="653" t="str">
        <f>VLOOKUP(C397,'LƯƠNG KT'!$B$48:$D$92,3,0)</f>
        <v>Ning Dung 2</v>
      </c>
      <c r="C397" s="654">
        <v>17</v>
      </c>
      <c r="D397" s="655">
        <f>VLOOKUP(B397,'LƯƠNG KT'!$D$48:$O$90,11,0)</f>
        <v>832.29111662695914</v>
      </c>
      <c r="E397" s="656"/>
      <c r="F397" s="656"/>
      <c r="G397" s="652" t="s">
        <v>12</v>
      </c>
      <c r="H397" s="653" t="str">
        <f>VLOOKUP(I397,'LƯƠNG KT'!$B$48:$D$92,3,0)</f>
        <v>Ning Dung</v>
      </c>
      <c r="I397" s="654">
        <v>18</v>
      </c>
      <c r="J397" s="655">
        <f>VLOOKUP(H397,'LƯƠNG KT'!$D$48:$O$90,11,0)</f>
        <v>832.29111662695914</v>
      </c>
    </row>
    <row r="398" spans="1:11" ht="23.25" customHeight="1">
      <c r="A398" s="652" t="s">
        <v>13</v>
      </c>
      <c r="B398" s="660" t="s">
        <v>14</v>
      </c>
      <c r="C398" s="805">
        <f>VLOOKUP(B397,'LƯƠNG KT'!$D$48:$G$92,4,0)</f>
        <v>0</v>
      </c>
      <c r="D398" s="806">
        <f>C398*25000</f>
        <v>0</v>
      </c>
      <c r="E398" s="662"/>
      <c r="F398" s="662"/>
      <c r="G398" s="652" t="s">
        <v>13</v>
      </c>
      <c r="H398" s="660" t="s">
        <v>14</v>
      </c>
      <c r="I398" s="805">
        <f>VLOOKUP(H397,'LƯƠNG KT'!$D$48:$G$92,4,0)</f>
        <v>0</v>
      </c>
      <c r="J398" s="806">
        <f>I398*25000</f>
        <v>0</v>
      </c>
    </row>
    <row r="399" spans="1:11" ht="23.25" customHeight="1">
      <c r="A399" s="652" t="s">
        <v>15</v>
      </c>
      <c r="B399" s="663" t="s">
        <v>16</v>
      </c>
      <c r="C399" s="653">
        <f>VLOOKUP(B397,'LƯƠNG KT'!$D$48:$Q$92,13,0)</f>
        <v>3046185.4868546701</v>
      </c>
      <c r="D399" s="664">
        <f>+C399*$M$2</f>
        <v>93801055664.554443</v>
      </c>
      <c r="E399" s="665"/>
      <c r="F399" s="665"/>
      <c r="G399" s="652" t="s">
        <v>15</v>
      </c>
      <c r="H399" s="663" t="s">
        <v>16</v>
      </c>
      <c r="I399" s="653">
        <f>VLOOKUP(H397,'LƯƠNG KT'!$D$48:$Q$92,13,0)</f>
        <v>2896373.0858618175</v>
      </c>
      <c r="J399" s="664">
        <f>+I399*$M$2</f>
        <v>89187888992.527176</v>
      </c>
    </row>
    <row r="400" spans="1:11" ht="23.25" customHeight="1">
      <c r="A400" s="652" t="s">
        <v>357</v>
      </c>
      <c r="B400" s="663"/>
      <c r="C400" s="653">
        <f>VLOOKUP(B397,'LƯƠNG KT'!$D$48:$R$92,14,0)</f>
        <v>26</v>
      </c>
      <c r="D400" s="664">
        <f>+C400*$M$3</f>
        <v>1335519.2240000002</v>
      </c>
      <c r="E400" s="665"/>
      <c r="F400" s="665"/>
      <c r="G400" s="652" t="s">
        <v>357</v>
      </c>
      <c r="H400" s="663"/>
      <c r="I400" s="653">
        <f>VLOOKUP(H397,'LƯƠNG KT'!$D$48:$R$92,14,0)</f>
        <v>26</v>
      </c>
      <c r="J400" s="664">
        <f>+I400*$M$3</f>
        <v>1335519.2240000002</v>
      </c>
    </row>
    <row r="401" spans="1:11" ht="23.25" customHeight="1">
      <c r="A401" s="1434" t="s">
        <v>375</v>
      </c>
      <c r="B401" s="1435"/>
      <c r="C401" s="653">
        <f>VLOOKUP(B397,'LƯƠNG KT'!$D$48:$S$92,15,0)</f>
        <v>3</v>
      </c>
      <c r="D401" s="664">
        <f>+C401*$M$5</f>
        <v>184757.736</v>
      </c>
      <c r="E401" s="665"/>
      <c r="F401" s="665"/>
      <c r="G401" s="1434" t="s">
        <v>375</v>
      </c>
      <c r="H401" s="1435"/>
      <c r="I401" s="653">
        <f>VLOOKUP(H397,'LƯƠNG KT'!$D$48:$S$92,15,0)</f>
        <v>3</v>
      </c>
      <c r="J401" s="664">
        <f>+I401*$M$5</f>
        <v>184757.736</v>
      </c>
    </row>
    <row r="402" spans="1:11" ht="23.25" customHeight="1">
      <c r="A402" s="1434" t="s">
        <v>427</v>
      </c>
      <c r="B402" s="1435"/>
      <c r="C402" s="653">
        <f>+C401</f>
        <v>3</v>
      </c>
      <c r="D402" s="664">
        <f>+C402*$M$7</f>
        <v>300000</v>
      </c>
      <c r="E402" s="665"/>
      <c r="F402" s="665"/>
      <c r="G402" s="1434" t="s">
        <v>427</v>
      </c>
      <c r="H402" s="1435"/>
      <c r="I402" s="653">
        <f>+I401</f>
        <v>3</v>
      </c>
      <c r="J402" s="664">
        <f>+I402*$M$7</f>
        <v>300000</v>
      </c>
    </row>
    <row r="403" spans="1:11" ht="23.25" customHeight="1">
      <c r="A403" s="1434" t="s">
        <v>358</v>
      </c>
      <c r="B403" s="1435"/>
      <c r="C403" s="653">
        <f>+C399+C400+C401</f>
        <v>3046214.4868546701</v>
      </c>
      <c r="D403" s="664">
        <f>+C403*$M$8</f>
        <v>60924289737.093399</v>
      </c>
      <c r="E403" s="665"/>
      <c r="F403" s="665"/>
      <c r="G403" s="1434" t="s">
        <v>358</v>
      </c>
      <c r="H403" s="1435"/>
      <c r="I403" s="653">
        <f>+I399+I400+I401</f>
        <v>2896402.0858618175</v>
      </c>
      <c r="J403" s="664">
        <f>+I403*$M$8</f>
        <v>57928041717.236351</v>
      </c>
    </row>
    <row r="404" spans="1:11" ht="23.25" customHeight="1">
      <c r="A404" s="652" t="s">
        <v>18</v>
      </c>
      <c r="B404" s="663"/>
      <c r="C404" s="667">
        <f>VLOOKUP(B397,'LƯƠNG KT'!$D$48:$I$92,6,0)</f>
        <v>1881</v>
      </c>
      <c r="D404" s="661" t="str">
        <f>VLOOKUP(B397,'LƯƠNG KT'!$D$48:$P$92,12,0)</f>
        <v>A</v>
      </c>
      <c r="E404" s="668"/>
      <c r="F404" s="668"/>
      <c r="G404" s="652" t="s">
        <v>18</v>
      </c>
      <c r="H404" s="663"/>
      <c r="I404" s="667">
        <f>VLOOKUP(H397,'LƯƠNG KT'!$D$48:$I$92,6,0)</f>
        <v>1881</v>
      </c>
      <c r="J404" s="661" t="str">
        <f>VLOOKUP(H397,'LƯƠNG KT'!$D$48:$P$92,12,0)</f>
        <v>B</v>
      </c>
    </row>
    <row r="405" spans="1:11" ht="23.25" customHeight="1">
      <c r="A405" s="669" t="s">
        <v>19</v>
      </c>
      <c r="B405" s="663" t="s">
        <v>20</v>
      </c>
      <c r="C405" s="670"/>
      <c r="D405" s="661"/>
      <c r="E405" s="671"/>
      <c r="F405" s="671"/>
      <c r="G405" s="669" t="s">
        <v>19</v>
      </c>
      <c r="H405" s="663" t="s">
        <v>20</v>
      </c>
      <c r="I405" s="670"/>
      <c r="J405" s="661"/>
    </row>
    <row r="406" spans="1:11" ht="23.25" customHeight="1">
      <c r="A406" s="674" t="s">
        <v>21</v>
      </c>
      <c r="B406" s="663" t="s">
        <v>22</v>
      </c>
      <c r="C406" s="670"/>
      <c r="D406" s="661"/>
      <c r="E406" s="668"/>
      <c r="F406" s="668"/>
      <c r="G406" s="674" t="s">
        <v>21</v>
      </c>
      <c r="H406" s="663" t="s">
        <v>22</v>
      </c>
      <c r="I406" s="670"/>
      <c r="J406" s="661"/>
    </row>
    <row r="407" spans="1:11" ht="23.25" customHeight="1">
      <c r="A407" s="669" t="s">
        <v>23</v>
      </c>
      <c r="B407" s="663" t="s">
        <v>24</v>
      </c>
      <c r="C407" s="670"/>
      <c r="D407" s="661">
        <f>+D406</f>
        <v>0</v>
      </c>
      <c r="E407" s="677"/>
      <c r="F407" s="677"/>
      <c r="G407" s="669" t="s">
        <v>23</v>
      </c>
      <c r="H407" s="663" t="s">
        <v>24</v>
      </c>
      <c r="I407" s="670"/>
      <c r="J407" s="661">
        <f>+J406</f>
        <v>0</v>
      </c>
    </row>
    <row r="408" spans="1:11" ht="23.25" customHeight="1">
      <c r="A408" s="669" t="s">
        <v>25</v>
      </c>
      <c r="B408" s="663" t="s">
        <v>26</v>
      </c>
      <c r="C408" s="680"/>
      <c r="D408" s="669">
        <f>SUM(D398:D404)-D407</f>
        <v>154727165678.60785</v>
      </c>
      <c r="E408" s="681"/>
      <c r="F408" s="681"/>
      <c r="G408" s="669" t="s">
        <v>25</v>
      </c>
      <c r="H408" s="663" t="s">
        <v>26</v>
      </c>
      <c r="I408" s="680"/>
      <c r="J408" s="669">
        <f>SUM(J398:J404)-J407</f>
        <v>147117750986.72351</v>
      </c>
      <c r="K408" s="696">
        <f>+J408+D408</f>
        <v>301844916665.33136</v>
      </c>
    </row>
    <row r="409" spans="1:11" ht="23.25" customHeight="1">
      <c r="A409" s="683"/>
      <c r="B409" s="684"/>
      <c r="C409" s="685"/>
      <c r="D409" s="686"/>
      <c r="E409" s="687"/>
      <c r="F409" s="686"/>
      <c r="G409" s="683"/>
      <c r="H409" s="684"/>
      <c r="I409" s="685"/>
      <c r="J409" s="688"/>
    </row>
    <row r="410" spans="1:11" ht="23.25" customHeight="1">
      <c r="A410" s="1436" t="str">
        <f>$L$1</f>
        <v>Tháng 12/2025</v>
      </c>
      <c r="B410" s="1436"/>
      <c r="C410" s="1436"/>
      <c r="D410" s="1436"/>
      <c r="E410" s="647"/>
      <c r="F410" s="647"/>
      <c r="G410" s="1436" t="str">
        <f>$L$1</f>
        <v>Tháng 12/2025</v>
      </c>
      <c r="H410" s="1436"/>
      <c r="I410" s="1436"/>
      <c r="J410" s="1436"/>
    </row>
    <row r="411" spans="1:11" ht="23.25" customHeight="1">
      <c r="A411" s="652" t="s">
        <v>12</v>
      </c>
      <c r="B411" s="653" t="str">
        <f>VLOOKUP(C411,'LƯƠNG KT'!$B$48:$D$92,3,0)</f>
        <v>Mua Chăn</v>
      </c>
      <c r="C411" s="654">
        <v>19</v>
      </c>
      <c r="D411" s="655">
        <f>VLOOKUP(B411,'LƯƠNG KT'!$D$48:$O$90,11,0)</f>
        <v>864.14914979928301</v>
      </c>
      <c r="E411" s="656"/>
      <c r="F411" s="656"/>
      <c r="G411" s="652" t="s">
        <v>12</v>
      </c>
      <c r="H411" s="653" t="str">
        <f>VLOOKUP(I411,'LƯƠNG KT'!$B$48:$D$92,3,0)</f>
        <v>Thảo Chọi 2</v>
      </c>
      <c r="I411" s="654">
        <v>20</v>
      </c>
      <c r="J411" s="655">
        <f>VLOOKUP(H411,'LƯƠNG KT'!$D$48:$O$90,11,0)</f>
        <v>1176.5348639612359</v>
      </c>
    </row>
    <row r="412" spans="1:11" ht="23.25" customHeight="1">
      <c r="A412" s="652" t="s">
        <v>13</v>
      </c>
      <c r="B412" s="660" t="s">
        <v>14</v>
      </c>
      <c r="C412" s="805">
        <f>VLOOKUP(B411,'LƯƠNG KT'!$D$48:$G$92,4,0)</f>
        <v>0</v>
      </c>
      <c r="D412" s="806">
        <f>C412*25000</f>
        <v>0</v>
      </c>
      <c r="E412" s="662"/>
      <c r="F412" s="662"/>
      <c r="G412" s="652" t="s">
        <v>13</v>
      </c>
      <c r="H412" s="660" t="s">
        <v>14</v>
      </c>
      <c r="I412" s="805">
        <f>VLOOKUP(H411,'LƯƠNG KT'!$D$48:$G$92,4,0)</f>
        <v>0</v>
      </c>
      <c r="J412" s="806">
        <f>I412*25000</f>
        <v>0</v>
      </c>
    </row>
    <row r="413" spans="1:11" ht="23.25" customHeight="1">
      <c r="A413" s="652" t="s">
        <v>15</v>
      </c>
      <c r="B413" s="663" t="s">
        <v>16</v>
      </c>
      <c r="C413" s="653">
        <f>VLOOKUP(B411,'LƯƠNG KT'!$D$48:$Q$92,13,0)</f>
        <v>3162785.8882653755</v>
      </c>
      <c r="D413" s="664">
        <f>+C413*$M$2</f>
        <v>97391526694.776627</v>
      </c>
      <c r="E413" s="665"/>
      <c r="F413" s="665"/>
      <c r="G413" s="652" t="s">
        <v>15</v>
      </c>
      <c r="H413" s="663" t="s">
        <v>16</v>
      </c>
      <c r="I413" s="653">
        <f>VLOOKUP(H411,'LƯƠNG KT'!$D$48:$Q$92,13,0)</f>
        <v>4306117.6020981232</v>
      </c>
      <c r="J413" s="664">
        <f>+I413*$M$2</f>
        <v>132598089852.23302</v>
      </c>
    </row>
    <row r="414" spans="1:11" ht="23.25" customHeight="1">
      <c r="A414" s="652" t="s">
        <v>357</v>
      </c>
      <c r="B414" s="663"/>
      <c r="C414" s="653">
        <f>VLOOKUP(B411,'LƯƠNG KT'!$D$48:$R$92,14,0)</f>
        <v>26</v>
      </c>
      <c r="D414" s="664">
        <f>+C414*$M$3</f>
        <v>1335519.2240000002</v>
      </c>
      <c r="E414" s="665"/>
      <c r="F414" s="665"/>
      <c r="G414" s="652" t="s">
        <v>357</v>
      </c>
      <c r="H414" s="663"/>
      <c r="I414" s="653">
        <f>VLOOKUP(H411,'LƯƠNG KT'!$D$48:$R$92,14,0)</f>
        <v>26</v>
      </c>
      <c r="J414" s="664">
        <f>+I414*$M$3</f>
        <v>1335519.2240000002</v>
      </c>
    </row>
    <row r="415" spans="1:11" ht="23.25" customHeight="1">
      <c r="A415" s="1434" t="s">
        <v>375</v>
      </c>
      <c r="B415" s="1435"/>
      <c r="C415" s="653">
        <f>VLOOKUP(B411,'LƯƠNG KT'!$D$48:$S$92,15,0)</f>
        <v>3</v>
      </c>
      <c r="D415" s="664">
        <f>+C415*$M$5</f>
        <v>184757.736</v>
      </c>
      <c r="E415" s="665"/>
      <c r="F415" s="665"/>
      <c r="G415" s="1434" t="s">
        <v>375</v>
      </c>
      <c r="H415" s="1435"/>
      <c r="I415" s="653">
        <f>VLOOKUP(H411,'LƯƠNG KT'!$D$48:$S$92,15,0)</f>
        <v>3</v>
      </c>
      <c r="J415" s="664">
        <f>+I415*$M$5</f>
        <v>184757.736</v>
      </c>
    </row>
    <row r="416" spans="1:11" ht="23.25" customHeight="1">
      <c r="A416" s="1434" t="s">
        <v>427</v>
      </c>
      <c r="B416" s="1435"/>
      <c r="C416" s="653">
        <f>+C415</f>
        <v>3</v>
      </c>
      <c r="D416" s="664">
        <f>+C416*$M$7</f>
        <v>300000</v>
      </c>
      <c r="E416" s="665"/>
      <c r="F416" s="665"/>
      <c r="G416" s="1434" t="s">
        <v>427</v>
      </c>
      <c r="H416" s="1435"/>
      <c r="I416" s="653">
        <f>+I415</f>
        <v>3</v>
      </c>
      <c r="J416" s="664">
        <f>+I416*$M$7</f>
        <v>300000</v>
      </c>
    </row>
    <row r="417" spans="1:11" ht="23.25" customHeight="1">
      <c r="A417" s="1434" t="s">
        <v>358</v>
      </c>
      <c r="B417" s="1435"/>
      <c r="C417" s="653">
        <f>+C413+C414+C415</f>
        <v>3162814.8882653755</v>
      </c>
      <c r="D417" s="664">
        <f>+C417*$M$8</f>
        <v>63256297765.30751</v>
      </c>
      <c r="E417" s="665"/>
      <c r="F417" s="665"/>
      <c r="G417" s="1434" t="s">
        <v>358</v>
      </c>
      <c r="H417" s="1435"/>
      <c r="I417" s="653">
        <f>+I413+I414+I415</f>
        <v>4306146.6020981232</v>
      </c>
      <c r="J417" s="664">
        <f>+I417*$M$8</f>
        <v>86122932041.962463</v>
      </c>
    </row>
    <row r="418" spans="1:11" ht="23.25" customHeight="1">
      <c r="A418" s="652" t="s">
        <v>18</v>
      </c>
      <c r="B418" s="663"/>
      <c r="C418" s="667">
        <f>VLOOKUP(B411,'LƯƠNG KT'!$D$48:$I$92,6,0)</f>
        <v>1953</v>
      </c>
      <c r="D418" s="661" t="str">
        <f>VLOOKUP(B411,'LƯƠNG KT'!$D$48:$P$92,12,0)</f>
        <v>A</v>
      </c>
      <c r="E418" s="668"/>
      <c r="F418" s="668"/>
      <c r="G418" s="652" t="s">
        <v>18</v>
      </c>
      <c r="H418" s="663"/>
      <c r="I418" s="667">
        <f>VLOOKUP(H411,'LƯƠNG KT'!$D$48:$I$92,6,0)</f>
        <v>2659</v>
      </c>
      <c r="J418" s="661" t="str">
        <f>VLOOKUP(H411,'LƯƠNG KT'!$D$48:$P$92,12,0)</f>
        <v>A</v>
      </c>
    </row>
    <row r="419" spans="1:11" ht="23.25" customHeight="1">
      <c r="A419" s="669" t="s">
        <v>19</v>
      </c>
      <c r="B419" s="663" t="s">
        <v>20</v>
      </c>
      <c r="C419" s="670"/>
      <c r="D419" s="661"/>
      <c r="E419" s="671"/>
      <c r="F419" s="671"/>
      <c r="G419" s="669" t="s">
        <v>19</v>
      </c>
      <c r="H419" s="663" t="s">
        <v>20</v>
      </c>
      <c r="I419" s="670"/>
      <c r="J419" s="661"/>
    </row>
    <row r="420" spans="1:11" ht="23.25" customHeight="1">
      <c r="A420" s="674" t="s">
        <v>21</v>
      </c>
      <c r="B420" s="663" t="s">
        <v>22</v>
      </c>
      <c r="C420" s="670"/>
      <c r="D420" s="661"/>
      <c r="E420" s="668"/>
      <c r="F420" s="668"/>
      <c r="G420" s="674" t="s">
        <v>21</v>
      </c>
      <c r="H420" s="663" t="s">
        <v>22</v>
      </c>
      <c r="I420" s="670"/>
      <c r="J420" s="661"/>
    </row>
    <row r="421" spans="1:11" ht="23.25" customHeight="1">
      <c r="A421" s="669" t="s">
        <v>23</v>
      </c>
      <c r="B421" s="663" t="s">
        <v>24</v>
      </c>
      <c r="C421" s="670"/>
      <c r="D421" s="661">
        <f>+D420</f>
        <v>0</v>
      </c>
      <c r="E421" s="677"/>
      <c r="F421" s="677"/>
      <c r="G421" s="669" t="s">
        <v>23</v>
      </c>
      <c r="H421" s="663" t="s">
        <v>24</v>
      </c>
      <c r="I421" s="670"/>
      <c r="J421" s="661">
        <f>+J420</f>
        <v>0</v>
      </c>
    </row>
    <row r="422" spans="1:11" ht="23.25" customHeight="1">
      <c r="A422" s="669" t="s">
        <v>25</v>
      </c>
      <c r="B422" s="663" t="s">
        <v>26</v>
      </c>
      <c r="C422" s="680"/>
      <c r="D422" s="669">
        <f>SUM(D412:D418)-D421</f>
        <v>160649644737.04413</v>
      </c>
      <c r="E422" s="681"/>
      <c r="F422" s="681"/>
      <c r="G422" s="669" t="s">
        <v>25</v>
      </c>
      <c r="H422" s="663" t="s">
        <v>26</v>
      </c>
      <c r="I422" s="680"/>
      <c r="J422" s="669">
        <f>SUM(J412:J418)-J421</f>
        <v>218722842171.15546</v>
      </c>
      <c r="K422" s="696">
        <f>+J422+D422</f>
        <v>379372486908.19958</v>
      </c>
    </row>
    <row r="423" spans="1:11" ht="23.25" customHeight="1">
      <c r="A423" s="683"/>
      <c r="B423" s="684"/>
      <c r="C423" s="685"/>
      <c r="D423" s="686"/>
      <c r="E423" s="687"/>
      <c r="F423" s="686"/>
      <c r="G423" s="683"/>
      <c r="H423" s="684"/>
      <c r="I423" s="685"/>
      <c r="J423" s="688"/>
    </row>
    <row r="424" spans="1:11" ht="23.25" customHeight="1">
      <c r="A424" s="1436" t="str">
        <f>$L$1</f>
        <v>Tháng 12/2025</v>
      </c>
      <c r="B424" s="1436"/>
      <c r="C424" s="1436"/>
      <c r="D424" s="1436"/>
      <c r="E424" s="647"/>
      <c r="F424" s="647"/>
      <c r="G424" s="1436" t="str">
        <f>$L$1</f>
        <v>Tháng 12/2025</v>
      </c>
      <c r="H424" s="1436"/>
      <c r="I424" s="1436"/>
      <c r="J424" s="1436"/>
    </row>
    <row r="425" spans="1:11" ht="23.25" customHeight="1">
      <c r="A425" s="652" t="s">
        <v>12</v>
      </c>
      <c r="B425" s="653" t="str">
        <f>VLOOKUP(C425,'LƯƠNG KT'!$B$48:$D$92,3,0)</f>
        <v>Thảo Sing</v>
      </c>
      <c r="C425" s="654">
        <v>21</v>
      </c>
      <c r="D425" s="655">
        <f>VLOOKUP(B425,'LƯƠNG KT'!$D$48:$O$90,11,0)</f>
        <v>1357.9486639703018</v>
      </c>
      <c r="E425" s="656"/>
      <c r="F425" s="656"/>
      <c r="G425" s="652" t="s">
        <v>12</v>
      </c>
      <c r="H425" s="653" t="str">
        <f>VLOOKUP(I425,'LƯƠNG KT'!$B$48:$D$92,3,0)</f>
        <v>Thảo Phu</v>
      </c>
      <c r="I425" s="654">
        <v>22</v>
      </c>
      <c r="J425" s="655">
        <f>VLOOKUP(H425,'LƯƠNG KT'!$D$48:$O$90,11,0)</f>
        <v>1297.3299064062969</v>
      </c>
    </row>
    <row r="426" spans="1:11" ht="23.25" customHeight="1">
      <c r="A426" s="652" t="s">
        <v>13</v>
      </c>
      <c r="B426" s="660" t="s">
        <v>14</v>
      </c>
      <c r="C426" s="805">
        <f>VLOOKUP(B425,'LƯƠNG KT'!$D$48:$G$92,4,0)</f>
        <v>0</v>
      </c>
      <c r="D426" s="806">
        <f>C426*25000</f>
        <v>0</v>
      </c>
      <c r="E426" s="662"/>
      <c r="F426" s="662"/>
      <c r="G426" s="652" t="s">
        <v>13</v>
      </c>
      <c r="H426" s="660" t="s">
        <v>14</v>
      </c>
      <c r="I426" s="805">
        <f>VLOOKUP(H425,'LƯƠNG KT'!$D$48:$G$92,4,0)</f>
        <v>0</v>
      </c>
      <c r="J426" s="806">
        <f>I426*25000</f>
        <v>0</v>
      </c>
    </row>
    <row r="427" spans="1:11" ht="23.25" customHeight="1">
      <c r="A427" s="652" t="s">
        <v>15</v>
      </c>
      <c r="B427" s="663" t="s">
        <v>16</v>
      </c>
      <c r="C427" s="653">
        <f>VLOOKUP(B425,'LƯƠNG KT'!$D$48:$Q$92,13,0)</f>
        <v>4970092.1101313038</v>
      </c>
      <c r="D427" s="664">
        <f>+C427*$M$2</f>
        <v>153043827663.2204</v>
      </c>
      <c r="E427" s="665"/>
      <c r="F427" s="665"/>
      <c r="G427" s="652" t="s">
        <v>15</v>
      </c>
      <c r="H427" s="663" t="s">
        <v>16</v>
      </c>
      <c r="I427" s="653">
        <f>VLOOKUP(H425,'LƯƠNG KT'!$D$48:$Q$92,13,0)</f>
        <v>4514708.0742939133</v>
      </c>
      <c r="J427" s="664">
        <f>+I427*$M$2</f>
        <v>139021207084.57721</v>
      </c>
    </row>
    <row r="428" spans="1:11" ht="23.25" customHeight="1">
      <c r="A428" s="652" t="s">
        <v>357</v>
      </c>
      <c r="B428" s="663"/>
      <c r="C428" s="653">
        <f>VLOOKUP(B425,'LƯƠNG KT'!$D$48:$R$92,14,0)</f>
        <v>26</v>
      </c>
      <c r="D428" s="664">
        <f>+C428*$M$3</f>
        <v>1335519.2240000002</v>
      </c>
      <c r="E428" s="665"/>
      <c r="F428" s="665"/>
      <c r="G428" s="652" t="s">
        <v>357</v>
      </c>
      <c r="H428" s="663"/>
      <c r="I428" s="653">
        <f>VLOOKUP(H425,'LƯƠNG KT'!$D$48:$R$92,14,0)</f>
        <v>26</v>
      </c>
      <c r="J428" s="664">
        <f>+I428*$M$3</f>
        <v>1335519.2240000002</v>
      </c>
    </row>
    <row r="429" spans="1:11" ht="23.25" customHeight="1">
      <c r="A429" s="1434" t="s">
        <v>375</v>
      </c>
      <c r="B429" s="1435"/>
      <c r="C429" s="653">
        <f>VLOOKUP(B425,'LƯƠNG KT'!$D$48:$S$92,15,0)</f>
        <v>3</v>
      </c>
      <c r="D429" s="664">
        <f>+C429*$M$5</f>
        <v>184757.736</v>
      </c>
      <c r="E429" s="665"/>
      <c r="F429" s="665"/>
      <c r="G429" s="1434" t="s">
        <v>375</v>
      </c>
      <c r="H429" s="1435"/>
      <c r="I429" s="653">
        <f>VLOOKUP(H425,'LƯƠNG KT'!$D$48:$S$92,15,0)</f>
        <v>3</v>
      </c>
      <c r="J429" s="664">
        <f>+I429*$M$5</f>
        <v>184757.736</v>
      </c>
    </row>
    <row r="430" spans="1:11" ht="23.25" customHeight="1">
      <c r="A430" s="1434" t="s">
        <v>427</v>
      </c>
      <c r="B430" s="1435"/>
      <c r="C430" s="653">
        <f>+C429</f>
        <v>3</v>
      </c>
      <c r="D430" s="664">
        <f>+C430*$M$7</f>
        <v>300000</v>
      </c>
      <c r="E430" s="665"/>
      <c r="F430" s="665"/>
      <c r="G430" s="1434" t="s">
        <v>427</v>
      </c>
      <c r="H430" s="1435"/>
      <c r="I430" s="653">
        <f>+I429</f>
        <v>3</v>
      </c>
      <c r="J430" s="664">
        <f>+I430*$M$7</f>
        <v>300000</v>
      </c>
    </row>
    <row r="431" spans="1:11" ht="23.25" customHeight="1">
      <c r="A431" s="1434" t="s">
        <v>358</v>
      </c>
      <c r="B431" s="1435"/>
      <c r="C431" s="653">
        <f>+C427+C428+C429</f>
        <v>4970121.1101313038</v>
      </c>
      <c r="D431" s="664">
        <f>+C431*$M$8</f>
        <v>99402422202.626068</v>
      </c>
      <c r="E431" s="665"/>
      <c r="F431" s="665"/>
      <c r="G431" s="1434" t="s">
        <v>358</v>
      </c>
      <c r="H431" s="1435"/>
      <c r="I431" s="653">
        <f>+I427+I428+I429</f>
        <v>4514737.0742939133</v>
      </c>
      <c r="J431" s="664">
        <f>+I431*$M$8</f>
        <v>90294741485.878265</v>
      </c>
    </row>
    <row r="432" spans="1:11" ht="23.25" customHeight="1">
      <c r="A432" s="652" t="s">
        <v>18</v>
      </c>
      <c r="B432" s="663"/>
      <c r="C432" s="667">
        <f>VLOOKUP(B425,'LƯƠNG KT'!$D$48:$I$92,6,0)</f>
        <v>3069</v>
      </c>
      <c r="D432" s="661" t="str">
        <f>VLOOKUP(B425,'LƯƠNG KT'!$D$48:$P$92,12,0)</f>
        <v>A</v>
      </c>
      <c r="E432" s="668"/>
      <c r="F432" s="668"/>
      <c r="G432" s="652" t="s">
        <v>18</v>
      </c>
      <c r="H432" s="663"/>
      <c r="I432" s="667">
        <f>VLOOKUP(H425,'LƯƠNG KT'!$D$48:$I$92,6,0)</f>
        <v>2932</v>
      </c>
      <c r="J432" s="661" t="str">
        <f>VLOOKUP(H425,'LƯƠNG KT'!$D$48:$P$92,12,0)</f>
        <v>B</v>
      </c>
    </row>
    <row r="433" spans="1:11" ht="23.25" customHeight="1">
      <c r="A433" s="669" t="s">
        <v>19</v>
      </c>
      <c r="B433" s="663" t="s">
        <v>20</v>
      </c>
      <c r="C433" s="670"/>
      <c r="D433" s="661"/>
      <c r="E433" s="671"/>
      <c r="F433" s="671"/>
      <c r="G433" s="669" t="s">
        <v>19</v>
      </c>
      <c r="H433" s="663" t="s">
        <v>20</v>
      </c>
      <c r="I433" s="670"/>
      <c r="J433" s="661"/>
    </row>
    <row r="434" spans="1:11" ht="23.25" customHeight="1">
      <c r="A434" s="674" t="s">
        <v>21</v>
      </c>
      <c r="B434" s="663" t="s">
        <v>22</v>
      </c>
      <c r="C434" s="670"/>
      <c r="D434" s="661"/>
      <c r="E434" s="668"/>
      <c r="F434" s="668"/>
      <c r="G434" s="674" t="s">
        <v>21</v>
      </c>
      <c r="H434" s="663" t="s">
        <v>22</v>
      </c>
      <c r="I434" s="670"/>
      <c r="J434" s="661"/>
    </row>
    <row r="435" spans="1:11" ht="23.25" customHeight="1">
      <c r="A435" s="669" t="s">
        <v>23</v>
      </c>
      <c r="B435" s="663" t="s">
        <v>24</v>
      </c>
      <c r="C435" s="670"/>
      <c r="D435" s="661">
        <f>+D434</f>
        <v>0</v>
      </c>
      <c r="E435" s="677"/>
      <c r="F435" s="677"/>
      <c r="G435" s="669" t="s">
        <v>23</v>
      </c>
      <c r="H435" s="663" t="s">
        <v>24</v>
      </c>
      <c r="I435" s="670"/>
      <c r="J435" s="661">
        <f>+J434</f>
        <v>0</v>
      </c>
    </row>
    <row r="436" spans="1:11" ht="23.25" customHeight="1">
      <c r="A436" s="669" t="s">
        <v>25</v>
      </c>
      <c r="B436" s="663" t="s">
        <v>26</v>
      </c>
      <c r="C436" s="680"/>
      <c r="D436" s="669">
        <f>SUM(D426:D432)-D435</f>
        <v>252448070142.80646</v>
      </c>
      <c r="E436" s="681"/>
      <c r="F436" s="681"/>
      <c r="G436" s="669" t="s">
        <v>25</v>
      </c>
      <c r="H436" s="663" t="s">
        <v>26</v>
      </c>
      <c r="I436" s="680"/>
      <c r="J436" s="669">
        <f>SUM(J426:J432)-J435</f>
        <v>229317768847.41547</v>
      </c>
      <c r="K436" s="696">
        <f>+J436+D436</f>
        <v>481765838990.22192</v>
      </c>
    </row>
    <row r="437" spans="1:11" ht="23.25" customHeight="1">
      <c r="A437" s="683"/>
      <c r="B437" s="684"/>
      <c r="C437" s="685"/>
      <c r="D437" s="686"/>
      <c r="E437" s="687"/>
      <c r="F437" s="686"/>
      <c r="G437" s="683"/>
      <c r="H437" s="684"/>
      <c r="I437" s="685"/>
      <c r="J437" s="688"/>
    </row>
    <row r="438" spans="1:11" ht="23.25" customHeight="1">
      <c r="A438" s="1436" t="str">
        <f>$L$1</f>
        <v>Tháng 12/2025</v>
      </c>
      <c r="B438" s="1436"/>
      <c r="C438" s="1436"/>
      <c r="D438" s="1436"/>
      <c r="E438" s="647"/>
      <c r="F438" s="647"/>
      <c r="G438" s="1436" t="str">
        <f>$L$1</f>
        <v>Tháng 12/2025</v>
      </c>
      <c r="H438" s="1436"/>
      <c r="I438" s="1436"/>
      <c r="J438" s="1436"/>
    </row>
    <row r="439" spans="1:11" ht="23.25" customHeight="1">
      <c r="A439" s="652" t="s">
        <v>12</v>
      </c>
      <c r="B439" s="653" t="str">
        <f>VLOOKUP(C439,'LƯƠNG KT'!$B$48:$D$92,3,0)</f>
        <v>Nàng Tịa</v>
      </c>
      <c r="C439" s="654">
        <v>23</v>
      </c>
      <c r="D439" s="655">
        <f>VLOOKUP(B439,'LƯƠNG KT'!$D$48:$O$90,11,0)</f>
        <v>1278.7460537224415</v>
      </c>
      <c r="E439" s="656"/>
      <c r="F439" s="656"/>
      <c r="G439" s="652" t="s">
        <v>12</v>
      </c>
      <c r="H439" s="653" t="str">
        <f>VLOOKUP(I439,'LƯƠNG KT'!$B$48:$D$92,3,0)</f>
        <v>Thảo Tý</v>
      </c>
      <c r="I439" s="654">
        <v>24</v>
      </c>
      <c r="J439" s="655">
        <f>VLOOKUP(H439,'LƯƠNG KT'!$D$48:$O$90,11,0)</f>
        <v>1418.1249488513581</v>
      </c>
    </row>
    <row r="440" spans="1:11" ht="23.25" customHeight="1">
      <c r="A440" s="652" t="s">
        <v>13</v>
      </c>
      <c r="B440" s="660" t="s">
        <v>14</v>
      </c>
      <c r="C440" s="805">
        <f>VLOOKUP(B439,'LƯƠNG KT'!$D$48:$G$92,4,0)</f>
        <v>0</v>
      </c>
      <c r="D440" s="806">
        <f>C440*25000</f>
        <v>0</v>
      </c>
      <c r="E440" s="662"/>
      <c r="F440" s="662"/>
      <c r="G440" s="652" t="s">
        <v>13</v>
      </c>
      <c r="H440" s="660" t="s">
        <v>14</v>
      </c>
      <c r="I440" s="805">
        <f>VLOOKUP(H439,'LƯƠNG KT'!$D$48:$G$92,4,0)</f>
        <v>0</v>
      </c>
      <c r="J440" s="806">
        <f>I440*25000</f>
        <v>0</v>
      </c>
    </row>
    <row r="441" spans="1:11" ht="23.25" customHeight="1">
      <c r="A441" s="652" t="s">
        <v>15</v>
      </c>
      <c r="B441" s="663" t="s">
        <v>16</v>
      </c>
      <c r="C441" s="653">
        <f>VLOOKUP(B439,'LƯƠNG KT'!$D$48:$Q$92,13,0)</f>
        <v>4680210.556624135</v>
      </c>
      <c r="D441" s="664">
        <f>+C441*$M$2</f>
        <v>144117517740.86252</v>
      </c>
      <c r="E441" s="665"/>
      <c r="F441" s="665"/>
      <c r="G441" s="652" t="s">
        <v>15</v>
      </c>
      <c r="H441" s="663" t="s">
        <v>16</v>
      </c>
      <c r="I441" s="653">
        <f>VLOOKUP(H439,'LƯƠNG KT'!$D$48:$Q$92,13,0)</f>
        <v>5190337.3127959706</v>
      </c>
      <c r="J441" s="664">
        <f>+I441*$M$2</f>
        <v>159825828498.08456</v>
      </c>
    </row>
    <row r="442" spans="1:11" ht="23.25" customHeight="1">
      <c r="A442" s="652" t="s">
        <v>357</v>
      </c>
      <c r="B442" s="663"/>
      <c r="C442" s="653">
        <f>VLOOKUP(B439,'LƯƠNG KT'!$D$48:$R$92,14,0)</f>
        <v>26</v>
      </c>
      <c r="D442" s="664">
        <f>+C442*$M$3</f>
        <v>1335519.2240000002</v>
      </c>
      <c r="E442" s="665"/>
      <c r="F442" s="665"/>
      <c r="G442" s="652" t="s">
        <v>357</v>
      </c>
      <c r="H442" s="663"/>
      <c r="I442" s="653">
        <f>VLOOKUP(H439,'LƯƠNG KT'!$D$48:$R$92,14,0)</f>
        <v>26</v>
      </c>
      <c r="J442" s="664">
        <f>+I442*$M$3</f>
        <v>1335519.2240000002</v>
      </c>
    </row>
    <row r="443" spans="1:11" ht="23.25" customHeight="1">
      <c r="A443" s="1434" t="s">
        <v>375</v>
      </c>
      <c r="B443" s="1435"/>
      <c r="C443" s="653">
        <f>VLOOKUP(B439,'LƯƠNG KT'!$D$48:$S$92,15,0)</f>
        <v>3</v>
      </c>
      <c r="D443" s="664">
        <f>+C443*$M$5</f>
        <v>184757.736</v>
      </c>
      <c r="E443" s="665"/>
      <c r="F443" s="665"/>
      <c r="G443" s="1434" t="s">
        <v>375</v>
      </c>
      <c r="H443" s="1435"/>
      <c r="I443" s="653">
        <f>VLOOKUP(H439,'LƯƠNG KT'!$D$48:$S$92,15,0)</f>
        <v>3</v>
      </c>
      <c r="J443" s="664">
        <f>+I443*$M$5</f>
        <v>184757.736</v>
      </c>
    </row>
    <row r="444" spans="1:11" ht="23.25" customHeight="1">
      <c r="A444" s="1434" t="s">
        <v>427</v>
      </c>
      <c r="B444" s="1435"/>
      <c r="C444" s="653">
        <f>+C443</f>
        <v>3</v>
      </c>
      <c r="D444" s="664">
        <f>+C444*$M$7</f>
        <v>300000</v>
      </c>
      <c r="E444" s="665"/>
      <c r="F444" s="665"/>
      <c r="G444" s="1434" t="s">
        <v>427</v>
      </c>
      <c r="H444" s="1435"/>
      <c r="I444" s="653">
        <f>+I443</f>
        <v>3</v>
      </c>
      <c r="J444" s="664">
        <f>+I444*$M$7</f>
        <v>300000</v>
      </c>
    </row>
    <row r="445" spans="1:11" ht="23.25" customHeight="1">
      <c r="A445" s="1434" t="s">
        <v>358</v>
      </c>
      <c r="B445" s="1435"/>
      <c r="C445" s="653">
        <f>+C441+C442+C443</f>
        <v>4680239.556624135</v>
      </c>
      <c r="D445" s="664">
        <f>+C445*$M$8</f>
        <v>93604791132.482697</v>
      </c>
      <c r="E445" s="665"/>
      <c r="F445" s="665"/>
      <c r="G445" s="1434" t="s">
        <v>358</v>
      </c>
      <c r="H445" s="1435"/>
      <c r="I445" s="653">
        <f>+I441+I442+I443</f>
        <v>5190366.3127959706</v>
      </c>
      <c r="J445" s="664">
        <f>+I445*$M$8</f>
        <v>103807326255.91942</v>
      </c>
    </row>
    <row r="446" spans="1:11" ht="23.25" customHeight="1">
      <c r="A446" s="652" t="s">
        <v>18</v>
      </c>
      <c r="B446" s="663"/>
      <c r="C446" s="667">
        <f>VLOOKUP(B439,'LƯƠNG KT'!$D$48:$I$92,6,0)</f>
        <v>2890</v>
      </c>
      <c r="D446" s="661" t="str">
        <f>VLOOKUP(B439,'LƯƠNG KT'!$D$48:$P$92,12,0)</f>
        <v>A</v>
      </c>
      <c r="E446" s="668"/>
      <c r="F446" s="668"/>
      <c r="G446" s="652" t="s">
        <v>18</v>
      </c>
      <c r="H446" s="663"/>
      <c r="I446" s="667">
        <f>VLOOKUP(H439,'LƯƠNG KT'!$D$48:$I$92,6,0)</f>
        <v>3205</v>
      </c>
      <c r="J446" s="661" t="str">
        <f>VLOOKUP(H439,'LƯƠNG KT'!$D$48:$P$92,12,0)</f>
        <v>A</v>
      </c>
    </row>
    <row r="447" spans="1:11" ht="23.25" customHeight="1">
      <c r="A447" s="669" t="s">
        <v>19</v>
      </c>
      <c r="B447" s="663" t="s">
        <v>20</v>
      </c>
      <c r="C447" s="670"/>
      <c r="D447" s="661"/>
      <c r="E447" s="671"/>
      <c r="F447" s="671"/>
      <c r="G447" s="669" t="s">
        <v>19</v>
      </c>
      <c r="H447" s="663" t="s">
        <v>20</v>
      </c>
      <c r="I447" s="670"/>
      <c r="J447" s="661"/>
    </row>
    <row r="448" spans="1:11" ht="23.25" customHeight="1">
      <c r="A448" s="674" t="s">
        <v>21</v>
      </c>
      <c r="B448" s="663" t="s">
        <v>22</v>
      </c>
      <c r="C448" s="670"/>
      <c r="D448" s="661"/>
      <c r="E448" s="668"/>
      <c r="F448" s="668"/>
      <c r="G448" s="674" t="s">
        <v>21</v>
      </c>
      <c r="H448" s="663" t="s">
        <v>22</v>
      </c>
      <c r="I448" s="670"/>
      <c r="J448" s="661"/>
    </row>
    <row r="449" spans="1:11" ht="23.25" customHeight="1">
      <c r="A449" s="669" t="s">
        <v>23</v>
      </c>
      <c r="B449" s="663" t="s">
        <v>24</v>
      </c>
      <c r="C449" s="670"/>
      <c r="D449" s="661">
        <f>+D448</f>
        <v>0</v>
      </c>
      <c r="E449" s="677"/>
      <c r="F449" s="677"/>
      <c r="G449" s="669" t="s">
        <v>23</v>
      </c>
      <c r="H449" s="663" t="s">
        <v>24</v>
      </c>
      <c r="I449" s="670"/>
      <c r="J449" s="661">
        <f>+J448</f>
        <v>0</v>
      </c>
    </row>
    <row r="450" spans="1:11" ht="23.25" customHeight="1">
      <c r="A450" s="669" t="s">
        <v>25</v>
      </c>
      <c r="B450" s="663" t="s">
        <v>26</v>
      </c>
      <c r="C450" s="680"/>
      <c r="D450" s="669">
        <f>SUM(D440:D446)-D449</f>
        <v>237724129150.30521</v>
      </c>
      <c r="E450" s="681"/>
      <c r="F450" s="681"/>
      <c r="G450" s="669" t="s">
        <v>25</v>
      </c>
      <c r="H450" s="663" t="s">
        <v>26</v>
      </c>
      <c r="I450" s="680"/>
      <c r="J450" s="669">
        <f>SUM(J440:J446)-J449</f>
        <v>263634975030.96399</v>
      </c>
      <c r="K450" s="696">
        <f>+J450+D450</f>
        <v>501359104181.26917</v>
      </c>
    </row>
    <row r="451" spans="1:11" ht="23.25" customHeight="1">
      <c r="A451" s="683"/>
      <c r="B451" s="684"/>
      <c r="C451" s="685"/>
      <c r="D451" s="686"/>
      <c r="E451" s="687"/>
      <c r="F451" s="686"/>
      <c r="G451" s="683"/>
      <c r="H451" s="684"/>
      <c r="I451" s="685"/>
      <c r="J451" s="688"/>
    </row>
    <row r="452" spans="1:11" ht="23.25" customHeight="1">
      <c r="A452" s="1436" t="str">
        <f>$L$1</f>
        <v>Tháng 12/2025</v>
      </c>
      <c r="B452" s="1436"/>
      <c r="C452" s="1436"/>
      <c r="D452" s="1436"/>
      <c r="E452" s="647"/>
      <c r="F452" s="647"/>
      <c r="G452" s="1436" t="str">
        <f>$L$1</f>
        <v>Tháng 12/2025</v>
      </c>
      <c r="H452" s="1436"/>
      <c r="I452" s="1436"/>
      <c r="J452" s="1436"/>
    </row>
    <row r="453" spans="1:11" ht="23.25" customHeight="1">
      <c r="A453" s="652" t="s">
        <v>12</v>
      </c>
      <c r="B453" s="653" t="str">
        <f>VLOOKUP(C453,'LƯƠNG KT'!$B$48:$D$92,3,0)</f>
        <v>Nàng Lếc</v>
      </c>
      <c r="C453" s="654">
        <v>25</v>
      </c>
      <c r="D453" s="655">
        <f>VLOOKUP(B453,'LƯƠNG KT'!$D$48:$O$90,11,0)</f>
        <v>1421.2222576320007</v>
      </c>
      <c r="E453" s="656"/>
      <c r="F453" s="656"/>
      <c r="G453" s="652" t="s">
        <v>12</v>
      </c>
      <c r="H453" s="653" t="str">
        <f>VLOOKUP(I453,'LƯƠNG KT'!$B$48:$D$92,3,0)</f>
        <v>Nàng Veo</v>
      </c>
      <c r="I453" s="654">
        <v>26</v>
      </c>
      <c r="J453" s="655">
        <f>VLOOKUP(H453,'LƯƠNG KT'!$D$48:$O$90,11,0)</f>
        <v>1177.8622820100827</v>
      </c>
    </row>
    <row r="454" spans="1:11" ht="23.25" customHeight="1">
      <c r="A454" s="652" t="s">
        <v>13</v>
      </c>
      <c r="B454" s="660" t="s">
        <v>14</v>
      </c>
      <c r="C454" s="805">
        <f>VLOOKUP(B453,'LƯƠNG KT'!$D$48:$G$92,4,0)</f>
        <v>0</v>
      </c>
      <c r="D454" s="806">
        <f>C454*25000</f>
        <v>0</v>
      </c>
      <c r="E454" s="662"/>
      <c r="F454" s="662"/>
      <c r="G454" s="652" t="s">
        <v>13</v>
      </c>
      <c r="H454" s="660" t="s">
        <v>14</v>
      </c>
      <c r="I454" s="805">
        <f>VLOOKUP(H453,'LƯƠNG KT'!$D$48:$G$92,4,0)</f>
        <v>0</v>
      </c>
      <c r="J454" s="806">
        <f>I454*25000</f>
        <v>0</v>
      </c>
    </row>
    <row r="455" spans="1:11" ht="23.25" customHeight="1">
      <c r="A455" s="652" t="s">
        <v>15</v>
      </c>
      <c r="B455" s="663" t="s">
        <v>16</v>
      </c>
      <c r="C455" s="653">
        <f>VLOOKUP(B453,'LƯƠNG KT'!$D$48:$Q$92,13,0)</f>
        <v>5201673.4629331222</v>
      </c>
      <c r="D455" s="664">
        <f>+C455*$M$2</f>
        <v>160174902070.46729</v>
      </c>
      <c r="E455" s="665"/>
      <c r="F455" s="665"/>
      <c r="G455" s="652" t="s">
        <v>15</v>
      </c>
      <c r="H455" s="663" t="s">
        <v>16</v>
      </c>
      <c r="I455" s="653">
        <f>VLOOKUP(H453,'LƯƠNG KT'!$D$48:$Q$92,13,0)</f>
        <v>4098960.7413950879</v>
      </c>
      <c r="J455" s="664">
        <f>+I455*$M$2</f>
        <v>126219117755.50633</v>
      </c>
    </row>
    <row r="456" spans="1:11" ht="23.25" customHeight="1">
      <c r="A456" s="652" t="s">
        <v>357</v>
      </c>
      <c r="B456" s="663"/>
      <c r="C456" s="653">
        <f>VLOOKUP(B453,'LƯƠNG KT'!$D$48:$R$92,14,0)</f>
        <v>26</v>
      </c>
      <c r="D456" s="664">
        <f>+C456*$M$3</f>
        <v>1335519.2240000002</v>
      </c>
      <c r="E456" s="665"/>
      <c r="F456" s="665"/>
      <c r="G456" s="652" t="s">
        <v>357</v>
      </c>
      <c r="H456" s="663"/>
      <c r="I456" s="653">
        <f>VLOOKUP(H453,'LƯƠNG KT'!$D$48:$R$92,14,0)</f>
        <v>26</v>
      </c>
      <c r="J456" s="664">
        <f>+I456*$M$3</f>
        <v>1335519.2240000002</v>
      </c>
    </row>
    <row r="457" spans="1:11" ht="23.25" customHeight="1">
      <c r="A457" s="1434" t="s">
        <v>375</v>
      </c>
      <c r="B457" s="1435"/>
      <c r="C457" s="653">
        <f>VLOOKUP(B453,'LƯƠNG KT'!$D$48:$S$92,15,0)</f>
        <v>3</v>
      </c>
      <c r="D457" s="664">
        <f>+C457*$M$5</f>
        <v>184757.736</v>
      </c>
      <c r="E457" s="665"/>
      <c r="F457" s="665"/>
      <c r="G457" s="1434" t="s">
        <v>375</v>
      </c>
      <c r="H457" s="1435"/>
      <c r="I457" s="653">
        <f>VLOOKUP(H453,'LƯƠNG KT'!$D$48:$S$92,15,0)</f>
        <v>3</v>
      </c>
      <c r="J457" s="664">
        <f>+I457*$M$5</f>
        <v>184757.736</v>
      </c>
    </row>
    <row r="458" spans="1:11" ht="23.25" customHeight="1">
      <c r="A458" s="1434" t="s">
        <v>427</v>
      </c>
      <c r="B458" s="1435"/>
      <c r="C458" s="653">
        <f>+C457</f>
        <v>3</v>
      </c>
      <c r="D458" s="664">
        <f>+C458*$M$7</f>
        <v>300000</v>
      </c>
      <c r="E458" s="665"/>
      <c r="F458" s="665"/>
      <c r="G458" s="1434" t="s">
        <v>427</v>
      </c>
      <c r="H458" s="1435"/>
      <c r="I458" s="653">
        <f>+I457</f>
        <v>3</v>
      </c>
      <c r="J458" s="664">
        <f>+I458*$M$7</f>
        <v>300000</v>
      </c>
    </row>
    <row r="459" spans="1:11" ht="23.25" customHeight="1">
      <c r="A459" s="1434" t="s">
        <v>358</v>
      </c>
      <c r="B459" s="1435"/>
      <c r="C459" s="653">
        <f>+C455+C456+C457</f>
        <v>5201702.4629331222</v>
      </c>
      <c r="D459" s="664">
        <f>+C459*$M$8</f>
        <v>104034049258.66245</v>
      </c>
      <c r="E459" s="665"/>
      <c r="F459" s="665"/>
      <c r="G459" s="1434" t="s">
        <v>358</v>
      </c>
      <c r="H459" s="1435"/>
      <c r="I459" s="653">
        <f>+I455+I456+I457</f>
        <v>4098989.7413950879</v>
      </c>
      <c r="J459" s="664">
        <f>+I459*$M$8</f>
        <v>81979794827.901764</v>
      </c>
    </row>
    <row r="460" spans="1:11" ht="23.25" customHeight="1">
      <c r="A460" s="652" t="s">
        <v>18</v>
      </c>
      <c r="B460" s="663"/>
      <c r="C460" s="667">
        <f>VLOOKUP(B453,'LƯƠNG KT'!$D$48:$I$92,6,0)</f>
        <v>3212</v>
      </c>
      <c r="D460" s="661" t="str">
        <f>VLOOKUP(B453,'LƯƠNG KT'!$D$48:$P$92,12,0)</f>
        <v>A</v>
      </c>
      <c r="E460" s="668"/>
      <c r="F460" s="668"/>
      <c r="G460" s="652" t="s">
        <v>18</v>
      </c>
      <c r="H460" s="663"/>
      <c r="I460" s="667">
        <f>VLOOKUP(H453,'LƯƠNG KT'!$D$48:$I$92,6,0)</f>
        <v>2662</v>
      </c>
      <c r="J460" s="661" t="str">
        <f>VLOOKUP(H453,'LƯƠNG KT'!$D$48:$P$92,12,0)</f>
        <v>B</v>
      </c>
    </row>
    <row r="461" spans="1:11" ht="23.25" customHeight="1">
      <c r="A461" s="669" t="s">
        <v>19</v>
      </c>
      <c r="B461" s="663" t="s">
        <v>20</v>
      </c>
      <c r="C461" s="670"/>
      <c r="D461" s="661"/>
      <c r="E461" s="671"/>
      <c r="F461" s="671"/>
      <c r="G461" s="669" t="s">
        <v>19</v>
      </c>
      <c r="H461" s="663" t="s">
        <v>20</v>
      </c>
      <c r="I461" s="670"/>
      <c r="J461" s="661"/>
    </row>
    <row r="462" spans="1:11" ht="23.25" customHeight="1">
      <c r="A462" s="674" t="s">
        <v>21</v>
      </c>
      <c r="B462" s="663" t="s">
        <v>22</v>
      </c>
      <c r="C462" s="670"/>
      <c r="D462" s="661"/>
      <c r="E462" s="668"/>
      <c r="F462" s="668"/>
      <c r="G462" s="674" t="s">
        <v>21</v>
      </c>
      <c r="H462" s="663" t="s">
        <v>22</v>
      </c>
      <c r="I462" s="670"/>
      <c r="J462" s="661"/>
    </row>
    <row r="463" spans="1:11" ht="23.25" customHeight="1">
      <c r="A463" s="669" t="s">
        <v>23</v>
      </c>
      <c r="B463" s="663" t="s">
        <v>24</v>
      </c>
      <c r="C463" s="670"/>
      <c r="D463" s="661">
        <f>+D462</f>
        <v>0</v>
      </c>
      <c r="E463" s="677"/>
      <c r="F463" s="677"/>
      <c r="G463" s="669" t="s">
        <v>23</v>
      </c>
      <c r="H463" s="663" t="s">
        <v>24</v>
      </c>
      <c r="I463" s="670"/>
      <c r="J463" s="661">
        <f>+J462</f>
        <v>0</v>
      </c>
    </row>
    <row r="464" spans="1:11" ht="23.25" customHeight="1">
      <c r="A464" s="669" t="s">
        <v>25</v>
      </c>
      <c r="B464" s="663" t="s">
        <v>26</v>
      </c>
      <c r="C464" s="680"/>
      <c r="D464" s="669">
        <f>SUM(D454:D460)-D463</f>
        <v>264210771606.08972</v>
      </c>
      <c r="E464" s="681"/>
      <c r="F464" s="681"/>
      <c r="G464" s="669" t="s">
        <v>25</v>
      </c>
      <c r="H464" s="663" t="s">
        <v>26</v>
      </c>
      <c r="I464" s="680"/>
      <c r="J464" s="669">
        <f>SUM(J454:J460)-J463</f>
        <v>208200732860.3681</v>
      </c>
      <c r="K464" s="696">
        <f>+J464+D464</f>
        <v>472411504466.45782</v>
      </c>
    </row>
    <row r="465" spans="1:11" ht="23.25" customHeight="1">
      <c r="A465" s="683"/>
      <c r="B465" s="684"/>
      <c r="C465" s="685"/>
      <c r="D465" s="686"/>
      <c r="E465" s="687"/>
      <c r="F465" s="686"/>
      <c r="G465" s="683"/>
      <c r="H465" s="684"/>
      <c r="I465" s="685"/>
      <c r="J465" s="688"/>
    </row>
    <row r="466" spans="1:11" ht="23.25" customHeight="1">
      <c r="A466" s="1436" t="str">
        <f>$L$1</f>
        <v>Tháng 12/2025</v>
      </c>
      <c r="B466" s="1436"/>
      <c r="C466" s="1436"/>
      <c r="D466" s="1436"/>
      <c r="E466" s="647"/>
      <c r="F466" s="647"/>
      <c r="G466" s="1436" t="str">
        <f>$L$1</f>
        <v>Tháng 12/2025</v>
      </c>
      <c r="H466" s="1436"/>
      <c r="I466" s="1436"/>
      <c r="J466" s="1436"/>
    </row>
    <row r="467" spans="1:11" ht="23.25" customHeight="1">
      <c r="A467" s="652" t="s">
        <v>12</v>
      </c>
      <c r="B467" s="653" t="str">
        <f>VLOOKUP(C467,'LƯƠNG KT'!$B$48:$D$92,3,0)</f>
        <v>Thảo Chọi</v>
      </c>
      <c r="C467" s="654">
        <v>27</v>
      </c>
      <c r="D467" s="655">
        <f>VLOOKUP(B467,'LƯƠNG KT'!$D$48:$O$90,11,0)</f>
        <v>1181.844536156623</v>
      </c>
      <c r="E467" s="656"/>
      <c r="F467" s="656"/>
      <c r="G467" s="652" t="s">
        <v>12</v>
      </c>
      <c r="H467" s="653" t="str">
        <f>VLOOKUP(I467,'LƯƠNG KT'!$B$48:$D$92,3,0)</f>
        <v>Nàng Nọi</v>
      </c>
      <c r="I467" s="654">
        <v>28</v>
      </c>
      <c r="J467" s="655">
        <f>VLOOKUP(H467,'LƯƠNG KT'!$D$48:$O$90,11,0)</f>
        <v>1413.2577493389197</v>
      </c>
    </row>
    <row r="468" spans="1:11" ht="23.25" customHeight="1">
      <c r="A468" s="652" t="s">
        <v>13</v>
      </c>
      <c r="B468" s="660" t="s">
        <v>14</v>
      </c>
      <c r="C468" s="805">
        <f>VLOOKUP(B467,'LƯƠNG KT'!$D$48:$G$92,4,0)</f>
        <v>0</v>
      </c>
      <c r="D468" s="806">
        <f>C468*25000</f>
        <v>0</v>
      </c>
      <c r="E468" s="662"/>
      <c r="F468" s="662"/>
      <c r="G468" s="652" t="s">
        <v>13</v>
      </c>
      <c r="H468" s="660" t="s">
        <v>14</v>
      </c>
      <c r="I468" s="805">
        <f>VLOOKUP(H467,'LƯƠNG KT'!$D$48:$G$92,4,0)</f>
        <v>0</v>
      </c>
      <c r="J468" s="806">
        <f>I468*25000</f>
        <v>0</v>
      </c>
    </row>
    <row r="469" spans="1:11" ht="23.25" customHeight="1">
      <c r="A469" s="652" t="s">
        <v>15</v>
      </c>
      <c r="B469" s="663" t="s">
        <v>16</v>
      </c>
      <c r="C469" s="653">
        <f>VLOOKUP(B467,'LƯƠNG KT'!$D$48:$Q$92,13,0)</f>
        <v>4325551.0023332397</v>
      </c>
      <c r="D469" s="664">
        <f>+C469*$M$2</f>
        <v>133196501690.60335</v>
      </c>
      <c r="E469" s="665"/>
      <c r="F469" s="665"/>
      <c r="G469" s="652" t="s">
        <v>15</v>
      </c>
      <c r="H469" s="663" t="s">
        <v>16</v>
      </c>
      <c r="I469" s="653">
        <f>VLOOKUP(H467,'LƯƠNG KT'!$D$48:$Q$92,13,0)</f>
        <v>4918136.9676994402</v>
      </c>
      <c r="J469" s="664">
        <f>+I469*$M$2</f>
        <v>151443975248.34229</v>
      </c>
    </row>
    <row r="470" spans="1:11" ht="23.25" customHeight="1">
      <c r="A470" s="652" t="s">
        <v>357</v>
      </c>
      <c r="B470" s="663"/>
      <c r="C470" s="653">
        <f>VLOOKUP(B467,'LƯƠNG KT'!$D$48:$R$92,14,0)</f>
        <v>26</v>
      </c>
      <c r="D470" s="664">
        <f>+C470*$M$3</f>
        <v>1335519.2240000002</v>
      </c>
      <c r="E470" s="665"/>
      <c r="F470" s="665"/>
      <c r="G470" s="652" t="s">
        <v>357</v>
      </c>
      <c r="H470" s="663"/>
      <c r="I470" s="653">
        <f>VLOOKUP(H467,'LƯƠNG KT'!$D$48:$R$92,14,0)</f>
        <v>26</v>
      </c>
      <c r="J470" s="664">
        <f>+I470*$M$3</f>
        <v>1335519.2240000002</v>
      </c>
    </row>
    <row r="471" spans="1:11" ht="23.25" customHeight="1">
      <c r="A471" s="1434" t="s">
        <v>375</v>
      </c>
      <c r="B471" s="1435"/>
      <c r="C471" s="653">
        <f>VLOOKUP(B467,'LƯƠNG KT'!$D$48:$S$92,15,0)</f>
        <v>3</v>
      </c>
      <c r="D471" s="664">
        <f>+C471*$M$5</f>
        <v>184757.736</v>
      </c>
      <c r="E471" s="665"/>
      <c r="F471" s="665"/>
      <c r="G471" s="1434" t="s">
        <v>375</v>
      </c>
      <c r="H471" s="1435"/>
      <c r="I471" s="653">
        <f>VLOOKUP(H467,'LƯƠNG KT'!$D$48:$S$92,15,0)</f>
        <v>3</v>
      </c>
      <c r="J471" s="664">
        <f>+I471*$M$5</f>
        <v>184757.736</v>
      </c>
    </row>
    <row r="472" spans="1:11" ht="23.25" customHeight="1">
      <c r="A472" s="1434" t="s">
        <v>427</v>
      </c>
      <c r="B472" s="1435"/>
      <c r="C472" s="653">
        <f>+C471</f>
        <v>3</v>
      </c>
      <c r="D472" s="664">
        <f>+C472*$M$7</f>
        <v>300000</v>
      </c>
      <c r="E472" s="665"/>
      <c r="F472" s="665"/>
      <c r="G472" s="1434" t="s">
        <v>427</v>
      </c>
      <c r="H472" s="1435"/>
      <c r="I472" s="653">
        <f>+I471</f>
        <v>3</v>
      </c>
      <c r="J472" s="664">
        <f>+I472*$M$7</f>
        <v>300000</v>
      </c>
    </row>
    <row r="473" spans="1:11" ht="23.25" customHeight="1">
      <c r="A473" s="1434" t="s">
        <v>358</v>
      </c>
      <c r="B473" s="1435"/>
      <c r="C473" s="653">
        <f>+C469+C470+C471</f>
        <v>4325580.0023332397</v>
      </c>
      <c r="D473" s="664">
        <f>+C473*$M$8</f>
        <v>86511600046.664795</v>
      </c>
      <c r="E473" s="665"/>
      <c r="F473" s="665"/>
      <c r="G473" s="1434" t="s">
        <v>358</v>
      </c>
      <c r="H473" s="1435"/>
      <c r="I473" s="653">
        <f>+I469+I470+I471</f>
        <v>4918165.9676994402</v>
      </c>
      <c r="J473" s="664">
        <f>+I473*$M$8</f>
        <v>98363319353.9888</v>
      </c>
    </row>
    <row r="474" spans="1:11" ht="23.25" customHeight="1">
      <c r="A474" s="652" t="s">
        <v>18</v>
      </c>
      <c r="B474" s="663"/>
      <c r="C474" s="667">
        <f>VLOOKUP(B467,'LƯƠNG KT'!$D$48:$I$92,6,0)</f>
        <v>2671</v>
      </c>
      <c r="D474" s="661" t="str">
        <f>VLOOKUP(B467,'LƯƠNG KT'!$D$48:$P$92,12,0)</f>
        <v>A</v>
      </c>
      <c r="E474" s="668"/>
      <c r="F474" s="668"/>
      <c r="G474" s="652" t="s">
        <v>18</v>
      </c>
      <c r="H474" s="663"/>
      <c r="I474" s="667">
        <f>VLOOKUP(H467,'LƯƠNG KT'!$D$48:$I$92,6,0)</f>
        <v>3194</v>
      </c>
      <c r="J474" s="661" t="str">
        <f>VLOOKUP(H467,'LƯƠNG KT'!$D$48:$P$92,12,0)</f>
        <v>B</v>
      </c>
    </row>
    <row r="475" spans="1:11" ht="23.25" customHeight="1">
      <c r="A475" s="669" t="s">
        <v>19</v>
      </c>
      <c r="B475" s="663" t="s">
        <v>20</v>
      </c>
      <c r="C475" s="670"/>
      <c r="D475" s="661"/>
      <c r="E475" s="671"/>
      <c r="F475" s="671"/>
      <c r="G475" s="669" t="s">
        <v>19</v>
      </c>
      <c r="H475" s="663" t="s">
        <v>20</v>
      </c>
      <c r="I475" s="670"/>
      <c r="J475" s="661"/>
    </row>
    <row r="476" spans="1:11" ht="23.25" customHeight="1">
      <c r="A476" s="674" t="s">
        <v>21</v>
      </c>
      <c r="B476" s="663" t="s">
        <v>22</v>
      </c>
      <c r="C476" s="670"/>
      <c r="D476" s="661"/>
      <c r="E476" s="668"/>
      <c r="F476" s="668"/>
      <c r="G476" s="674" t="s">
        <v>21</v>
      </c>
      <c r="H476" s="663" t="s">
        <v>22</v>
      </c>
      <c r="I476" s="670"/>
      <c r="J476" s="661"/>
    </row>
    <row r="477" spans="1:11" ht="23.25" customHeight="1">
      <c r="A477" s="669" t="s">
        <v>23</v>
      </c>
      <c r="B477" s="663" t="s">
        <v>24</v>
      </c>
      <c r="C477" s="670"/>
      <c r="D477" s="661">
        <f>+D476</f>
        <v>0</v>
      </c>
      <c r="E477" s="677"/>
      <c r="F477" s="677"/>
      <c r="G477" s="669" t="s">
        <v>23</v>
      </c>
      <c r="H477" s="663" t="s">
        <v>24</v>
      </c>
      <c r="I477" s="670"/>
      <c r="J477" s="661">
        <f>+J476</f>
        <v>0</v>
      </c>
    </row>
    <row r="478" spans="1:11" ht="23.25" customHeight="1">
      <c r="A478" s="669" t="s">
        <v>25</v>
      </c>
      <c r="B478" s="663" t="s">
        <v>26</v>
      </c>
      <c r="C478" s="680"/>
      <c r="D478" s="669">
        <f>SUM(D468:D474)-D477</f>
        <v>219709922014.22815</v>
      </c>
      <c r="E478" s="681"/>
      <c r="F478" s="681"/>
      <c r="G478" s="669" t="s">
        <v>25</v>
      </c>
      <c r="H478" s="663" t="s">
        <v>26</v>
      </c>
      <c r="I478" s="680"/>
      <c r="J478" s="669">
        <f>SUM(J468:J474)-J477</f>
        <v>249809114879.29108</v>
      </c>
      <c r="K478" s="696">
        <f>+J478+D478</f>
        <v>469519036893.51923</v>
      </c>
    </row>
    <row r="479" spans="1:11" ht="23.25" customHeight="1">
      <c r="A479" s="683"/>
      <c r="B479" s="684"/>
      <c r="C479" s="685"/>
      <c r="D479" s="686"/>
      <c r="E479" s="687"/>
      <c r="F479" s="686"/>
      <c r="G479" s="683"/>
      <c r="H479" s="684"/>
      <c r="I479" s="685"/>
      <c r="J479" s="688"/>
    </row>
    <row r="480" spans="1:11" ht="23.25" customHeight="1">
      <c r="A480" s="1436" t="str">
        <f>$L$1</f>
        <v>Tháng 12/2025</v>
      </c>
      <c r="B480" s="1436"/>
      <c r="C480" s="1436"/>
      <c r="D480" s="1436"/>
      <c r="E480" s="647"/>
      <c r="F480" s="647"/>
      <c r="G480" s="1436" t="str">
        <f>$L$1</f>
        <v>Tháng 12/2025</v>
      </c>
      <c r="H480" s="1436"/>
      <c r="I480" s="1436"/>
      <c r="J480" s="1436"/>
    </row>
    <row r="481" spans="1:11" ht="23.25" customHeight="1">
      <c r="A481" s="652" t="s">
        <v>12</v>
      </c>
      <c r="B481" s="653" t="str">
        <f>VLOOKUP(C481,'LƯƠNG KT'!$B$48:$D$92,3,0)</f>
        <v>Thảo Uổn</v>
      </c>
      <c r="C481" s="654">
        <v>29</v>
      </c>
      <c r="D481" s="655">
        <f>VLOOKUP(B481,'LƯƠNG KT'!$D$48:$O$90,11,0)</f>
        <v>1441.576001047652</v>
      </c>
      <c r="E481" s="656"/>
      <c r="F481" s="656"/>
      <c r="G481" s="652" t="s">
        <v>12</v>
      </c>
      <c r="H481" s="653" t="str">
        <f>VLOOKUP(I481,'LƯƠNG KT'!$B$48:$D$92,3,0)</f>
        <v>Nàng Văn</v>
      </c>
      <c r="I481" s="654">
        <v>30</v>
      </c>
      <c r="J481" s="655">
        <f>VLOOKUP(H481,'LƯƠNG KT'!$D$48:$O$90,11,0)</f>
        <v>1441.576001047652</v>
      </c>
    </row>
    <row r="482" spans="1:11" ht="23.25" customHeight="1">
      <c r="A482" s="652" t="s">
        <v>13</v>
      </c>
      <c r="B482" s="660" t="s">
        <v>14</v>
      </c>
      <c r="C482" s="805">
        <f>VLOOKUP(B481,'LƯƠNG KT'!$D$48:$G$92,4,0)</f>
        <v>0</v>
      </c>
      <c r="D482" s="806">
        <f>C482*25000</f>
        <v>0</v>
      </c>
      <c r="E482" s="662"/>
      <c r="F482" s="662"/>
      <c r="G482" s="652" t="s">
        <v>13</v>
      </c>
      <c r="H482" s="660" t="s">
        <v>14</v>
      </c>
      <c r="I482" s="805">
        <f>VLOOKUP(H481,'LƯƠNG KT'!$D$48:$G$92,4,0)</f>
        <v>0</v>
      </c>
      <c r="J482" s="806">
        <f>I482*25000</f>
        <v>0</v>
      </c>
    </row>
    <row r="483" spans="1:11" ht="23.25" customHeight="1">
      <c r="A483" s="652" t="s">
        <v>15</v>
      </c>
      <c r="B483" s="663" t="s">
        <v>16</v>
      </c>
      <c r="C483" s="653">
        <f>VLOOKUP(B481,'LƯƠNG KT'!$D$48:$Q$92,13,0)</f>
        <v>5016684.4836458284</v>
      </c>
      <c r="D483" s="664">
        <f>+C483*$M$2</f>
        <v>154478544570.78873</v>
      </c>
      <c r="E483" s="665"/>
      <c r="F483" s="665"/>
      <c r="G483" s="652" t="s">
        <v>15</v>
      </c>
      <c r="H483" s="663" t="s">
        <v>16</v>
      </c>
      <c r="I483" s="653">
        <f>VLOOKUP(H481,'LƯƠNG KT'!$D$48:$Q$92,13,0)</f>
        <v>5276168.1638344061</v>
      </c>
      <c r="J483" s="664">
        <f>+I483*$M$2</f>
        <v>162468814117.55368</v>
      </c>
    </row>
    <row r="484" spans="1:11" ht="23.25" customHeight="1">
      <c r="A484" s="652" t="s">
        <v>357</v>
      </c>
      <c r="B484" s="663"/>
      <c r="C484" s="653">
        <f>VLOOKUP(B481,'LƯƠNG KT'!$D$48:$R$92,14,0)</f>
        <v>26</v>
      </c>
      <c r="D484" s="664">
        <f>+C484*$M$3</f>
        <v>1335519.2240000002</v>
      </c>
      <c r="E484" s="665"/>
      <c r="F484" s="665"/>
      <c r="G484" s="652" t="s">
        <v>357</v>
      </c>
      <c r="H484" s="663"/>
      <c r="I484" s="653">
        <f>VLOOKUP(H481,'LƯƠNG KT'!$D$48:$R$92,14,0)</f>
        <v>26</v>
      </c>
      <c r="J484" s="664">
        <f>+I484*$M$3</f>
        <v>1335519.2240000002</v>
      </c>
    </row>
    <row r="485" spans="1:11" ht="23.25" customHeight="1">
      <c r="A485" s="1434" t="s">
        <v>375</v>
      </c>
      <c r="B485" s="1435"/>
      <c r="C485" s="653">
        <f>VLOOKUP(B481,'LƯƠNG KT'!$D$48:$S$92,15,0)</f>
        <v>3</v>
      </c>
      <c r="D485" s="664">
        <f>+C485*$M$5</f>
        <v>184757.736</v>
      </c>
      <c r="E485" s="665"/>
      <c r="F485" s="665"/>
      <c r="G485" s="1434" t="s">
        <v>375</v>
      </c>
      <c r="H485" s="1435"/>
      <c r="I485" s="653">
        <f>VLOOKUP(H481,'LƯƠNG KT'!$D$48:$S$92,15,0)</f>
        <v>3</v>
      </c>
      <c r="J485" s="664">
        <f>+I485*$M$5</f>
        <v>184757.736</v>
      </c>
    </row>
    <row r="486" spans="1:11" ht="23.25" customHeight="1">
      <c r="A486" s="1434" t="s">
        <v>427</v>
      </c>
      <c r="B486" s="1435"/>
      <c r="C486" s="653">
        <f>+C485</f>
        <v>3</v>
      </c>
      <c r="D486" s="664">
        <f>+C486*$M$7</f>
        <v>300000</v>
      </c>
      <c r="E486" s="665"/>
      <c r="F486" s="665"/>
      <c r="G486" s="1434" t="s">
        <v>427</v>
      </c>
      <c r="H486" s="1435"/>
      <c r="I486" s="653">
        <f>+I485</f>
        <v>3</v>
      </c>
      <c r="J486" s="664">
        <f>+I486*$M$7</f>
        <v>300000</v>
      </c>
    </row>
    <row r="487" spans="1:11" ht="23.25" customHeight="1">
      <c r="A487" s="1434" t="s">
        <v>358</v>
      </c>
      <c r="B487" s="1435"/>
      <c r="C487" s="653">
        <f>+C483+C484+C485</f>
        <v>5016713.4836458284</v>
      </c>
      <c r="D487" s="664">
        <f>+C487*$M$8</f>
        <v>100334269672.91656</v>
      </c>
      <c r="E487" s="665"/>
      <c r="F487" s="665"/>
      <c r="G487" s="1434" t="s">
        <v>358</v>
      </c>
      <c r="H487" s="1435"/>
      <c r="I487" s="653">
        <f>+I483+I484+I485</f>
        <v>5276197.1638344061</v>
      </c>
      <c r="J487" s="664">
        <f>+I487*$M$8</f>
        <v>105523943276.68813</v>
      </c>
    </row>
    <row r="488" spans="1:11" ht="23.25" customHeight="1">
      <c r="A488" s="652" t="s">
        <v>18</v>
      </c>
      <c r="B488" s="663"/>
      <c r="C488" s="667">
        <f>VLOOKUP(B481,'LƯƠNG KT'!$D$48:$I$92,6,0)</f>
        <v>3258</v>
      </c>
      <c r="D488" s="661" t="str">
        <f>VLOOKUP(B481,'LƯƠNG KT'!$D$48:$P$92,12,0)</f>
        <v>B</v>
      </c>
      <c r="E488" s="668"/>
      <c r="F488" s="668"/>
      <c r="G488" s="652" t="s">
        <v>18</v>
      </c>
      <c r="H488" s="663"/>
      <c r="I488" s="667">
        <f>VLOOKUP(H481,'LƯƠNG KT'!$D$48:$I$92,6,0)</f>
        <v>3258</v>
      </c>
      <c r="J488" s="661" t="str">
        <f>VLOOKUP(H481,'LƯƠNG KT'!$D$48:$P$92,12,0)</f>
        <v>A</v>
      </c>
    </row>
    <row r="489" spans="1:11" ht="23.25" customHeight="1">
      <c r="A489" s="669" t="s">
        <v>19</v>
      </c>
      <c r="B489" s="663" t="s">
        <v>20</v>
      </c>
      <c r="C489" s="670"/>
      <c r="D489" s="661"/>
      <c r="E489" s="671"/>
      <c r="F489" s="671"/>
      <c r="G489" s="669" t="s">
        <v>19</v>
      </c>
      <c r="H489" s="663" t="s">
        <v>20</v>
      </c>
      <c r="I489" s="670"/>
      <c r="J489" s="661"/>
    </row>
    <row r="490" spans="1:11" ht="23.25" customHeight="1">
      <c r="A490" s="674" t="s">
        <v>21</v>
      </c>
      <c r="B490" s="663" t="s">
        <v>22</v>
      </c>
      <c r="C490" s="670"/>
      <c r="D490" s="661"/>
      <c r="E490" s="668"/>
      <c r="F490" s="668"/>
      <c r="G490" s="674" t="s">
        <v>21</v>
      </c>
      <c r="H490" s="663" t="s">
        <v>22</v>
      </c>
      <c r="I490" s="670"/>
      <c r="J490" s="661"/>
    </row>
    <row r="491" spans="1:11" ht="23.25" customHeight="1">
      <c r="A491" s="669" t="s">
        <v>23</v>
      </c>
      <c r="B491" s="663" t="s">
        <v>24</v>
      </c>
      <c r="C491" s="670"/>
      <c r="D491" s="661">
        <f>+D490</f>
        <v>0</v>
      </c>
      <c r="E491" s="677"/>
      <c r="F491" s="677"/>
      <c r="G491" s="669" t="s">
        <v>23</v>
      </c>
      <c r="H491" s="663" t="s">
        <v>24</v>
      </c>
      <c r="I491" s="670"/>
      <c r="J491" s="661">
        <f>+J490</f>
        <v>0</v>
      </c>
    </row>
    <row r="492" spans="1:11" ht="23.25" customHeight="1">
      <c r="A492" s="669" t="s">
        <v>25</v>
      </c>
      <c r="B492" s="663" t="s">
        <v>26</v>
      </c>
      <c r="C492" s="680"/>
      <c r="D492" s="669">
        <f>SUM(D482:D488)-D491</f>
        <v>254814634520.66528</v>
      </c>
      <c r="E492" s="681"/>
      <c r="F492" s="681"/>
      <c r="G492" s="669" t="s">
        <v>25</v>
      </c>
      <c r="H492" s="663" t="s">
        <v>26</v>
      </c>
      <c r="I492" s="680"/>
      <c r="J492" s="669">
        <f>SUM(J482:J488)-J491</f>
        <v>267994577671.20178</v>
      </c>
      <c r="K492" s="696">
        <f>+J492+D492</f>
        <v>522809212191.86707</v>
      </c>
    </row>
    <row r="493" spans="1:11" ht="23.25" customHeight="1">
      <c r="A493" s="683"/>
      <c r="B493" s="684"/>
      <c r="C493" s="685"/>
      <c r="D493" s="686"/>
      <c r="E493" s="687"/>
      <c r="F493" s="686"/>
      <c r="G493" s="683"/>
      <c r="H493" s="684"/>
      <c r="I493" s="685"/>
      <c r="J493" s="688"/>
    </row>
    <row r="494" spans="1:11" ht="23.25" customHeight="1">
      <c r="A494" s="1436" t="str">
        <f>$L$1</f>
        <v>Tháng 12/2025</v>
      </c>
      <c r="B494" s="1436"/>
      <c r="C494" s="1436"/>
      <c r="D494" s="1436"/>
      <c r="E494" s="647"/>
      <c r="F494" s="647"/>
      <c r="G494" s="1436" t="str">
        <f>$L$1</f>
        <v>Tháng 12/2025</v>
      </c>
      <c r="H494" s="1436"/>
      <c r="I494" s="1436"/>
      <c r="J494" s="1436"/>
    </row>
    <row r="495" spans="1:11" ht="23.25" customHeight="1">
      <c r="A495" s="652" t="s">
        <v>12</v>
      </c>
      <c r="B495" s="653" t="str">
        <f>VLOOKUP(C495,'LƯƠNG KT'!$B$48:$D$92,3,0)</f>
        <v>Thảo Chòi</v>
      </c>
      <c r="C495" s="654">
        <v>31</v>
      </c>
      <c r="D495" s="655">
        <f>VLOOKUP(B495,'LƯƠNG KT'!$D$48:$O$90,11,0)</f>
        <v>1422.5496756808475</v>
      </c>
      <c r="E495" s="656"/>
      <c r="F495" s="656"/>
      <c r="G495" s="652" t="s">
        <v>12</v>
      </c>
      <c r="H495" s="653" t="str">
        <f>VLOOKUP(I495,'LƯƠNG KT'!$B$48:$D$92,3,0)</f>
        <v>Thảo Chanh</v>
      </c>
      <c r="I495" s="654">
        <v>32</v>
      </c>
      <c r="J495" s="655">
        <f>VLOOKUP(H495,'LƯƠNG KT'!$D$48:$O$90,11,0)</f>
        <v>1265.0294005510243</v>
      </c>
    </row>
    <row r="496" spans="1:11" ht="23.25" customHeight="1">
      <c r="A496" s="652" t="s">
        <v>13</v>
      </c>
      <c r="B496" s="660" t="s">
        <v>14</v>
      </c>
      <c r="C496" s="805">
        <f>VLOOKUP(B495,'LƯƠNG KT'!$D$48:$G$92,4,0)</f>
        <v>0</v>
      </c>
      <c r="D496" s="806">
        <f>C496*25000</f>
        <v>0</v>
      </c>
      <c r="E496" s="662"/>
      <c r="F496" s="662"/>
      <c r="G496" s="652" t="s">
        <v>13</v>
      </c>
      <c r="H496" s="660" t="s">
        <v>14</v>
      </c>
      <c r="I496" s="805">
        <f>VLOOKUP(H495,'LƯƠNG KT'!$D$48:$G$92,4,0)</f>
        <v>0</v>
      </c>
      <c r="J496" s="806">
        <f>I496*25000</f>
        <v>0</v>
      </c>
    </row>
    <row r="497" spans="1:11" ht="23.25" customHeight="1">
      <c r="A497" s="652" t="s">
        <v>15</v>
      </c>
      <c r="B497" s="663" t="s">
        <v>16</v>
      </c>
      <c r="C497" s="653">
        <f>VLOOKUP(B495,'LƯƠNG KT'!$D$48:$Q$92,13,0)</f>
        <v>5206531.8129919022</v>
      </c>
      <c r="D497" s="664">
        <f>+C497*$M$2</f>
        <v>160324505030.05988</v>
      </c>
      <c r="E497" s="665"/>
      <c r="F497" s="665"/>
      <c r="G497" s="652" t="s">
        <v>15</v>
      </c>
      <c r="H497" s="663" t="s">
        <v>16</v>
      </c>
      <c r="I497" s="653">
        <f>VLOOKUP(H495,'LƯƠNG KT'!$D$48:$Q$92,13,0)</f>
        <v>4630007.6060167486</v>
      </c>
      <c r="J497" s="664">
        <f>+I497*$M$2</f>
        <v>142571620491.73907</v>
      </c>
    </row>
    <row r="498" spans="1:11" ht="23.25" customHeight="1">
      <c r="A498" s="652" t="s">
        <v>357</v>
      </c>
      <c r="B498" s="663"/>
      <c r="C498" s="653">
        <f>VLOOKUP(B495,'LƯƠNG KT'!$D$48:$R$92,14,0)</f>
        <v>26</v>
      </c>
      <c r="D498" s="664">
        <f>+C498*$M$3</f>
        <v>1335519.2240000002</v>
      </c>
      <c r="E498" s="665"/>
      <c r="F498" s="665"/>
      <c r="G498" s="652" t="s">
        <v>357</v>
      </c>
      <c r="H498" s="663"/>
      <c r="I498" s="653">
        <f>VLOOKUP(H495,'LƯƠNG KT'!$D$48:$R$92,14,0)</f>
        <v>26</v>
      </c>
      <c r="J498" s="664">
        <f>+I498*$M$3</f>
        <v>1335519.2240000002</v>
      </c>
    </row>
    <row r="499" spans="1:11" ht="23.25" customHeight="1">
      <c r="A499" s="1434" t="s">
        <v>375</v>
      </c>
      <c r="B499" s="1435"/>
      <c r="C499" s="653">
        <f>VLOOKUP(B495,'LƯƠNG KT'!$D$48:$S$92,15,0)</f>
        <v>3</v>
      </c>
      <c r="D499" s="664">
        <f>+C499*$M$5</f>
        <v>184757.736</v>
      </c>
      <c r="E499" s="665"/>
      <c r="F499" s="665"/>
      <c r="G499" s="1434" t="s">
        <v>375</v>
      </c>
      <c r="H499" s="1435"/>
      <c r="I499" s="653">
        <f>VLOOKUP(H495,'LƯƠNG KT'!$D$48:$S$92,15,0)</f>
        <v>3</v>
      </c>
      <c r="J499" s="664">
        <f>+I499*$M$5</f>
        <v>184757.736</v>
      </c>
    </row>
    <row r="500" spans="1:11" ht="23.25" customHeight="1">
      <c r="A500" s="1434" t="s">
        <v>427</v>
      </c>
      <c r="B500" s="1435"/>
      <c r="C500" s="653">
        <f>+C499</f>
        <v>3</v>
      </c>
      <c r="D500" s="664">
        <f>+C500*$M$7</f>
        <v>300000</v>
      </c>
      <c r="E500" s="665"/>
      <c r="F500" s="665"/>
      <c r="G500" s="1434" t="s">
        <v>427</v>
      </c>
      <c r="H500" s="1435"/>
      <c r="I500" s="653">
        <f>+I499</f>
        <v>3</v>
      </c>
      <c r="J500" s="664">
        <f>+I500*$M$7</f>
        <v>300000</v>
      </c>
    </row>
    <row r="501" spans="1:11" ht="23.25" customHeight="1">
      <c r="A501" s="1434" t="s">
        <v>358</v>
      </c>
      <c r="B501" s="1435"/>
      <c r="C501" s="653">
        <f>+C497+C498+C499</f>
        <v>5206560.8129919022</v>
      </c>
      <c r="D501" s="664">
        <f>+C501*$M$8</f>
        <v>104131216259.83804</v>
      </c>
      <c r="E501" s="665"/>
      <c r="F501" s="665"/>
      <c r="G501" s="1434" t="s">
        <v>358</v>
      </c>
      <c r="H501" s="1435"/>
      <c r="I501" s="653">
        <f>+I497+I498+I499</f>
        <v>4630036.6060167486</v>
      </c>
      <c r="J501" s="664">
        <f>+I501*$M$8</f>
        <v>92600732120.334976</v>
      </c>
    </row>
    <row r="502" spans="1:11" ht="23.25" customHeight="1">
      <c r="A502" s="652" t="s">
        <v>18</v>
      </c>
      <c r="B502" s="663"/>
      <c r="C502" s="667">
        <f>VLOOKUP(B495,'LƯƠNG KT'!$D$48:$I$92,6,0)</f>
        <v>3215</v>
      </c>
      <c r="D502" s="661" t="str">
        <f>VLOOKUP(B495,'LƯƠNG KT'!$D$48:$P$92,12,0)</f>
        <v>A</v>
      </c>
      <c r="E502" s="668"/>
      <c r="F502" s="668"/>
      <c r="G502" s="652" t="s">
        <v>18</v>
      </c>
      <c r="H502" s="663"/>
      <c r="I502" s="667">
        <f>VLOOKUP(H495,'LƯƠNG KT'!$D$48:$I$92,6,0)</f>
        <v>2859</v>
      </c>
      <c r="J502" s="661" t="str">
        <f>VLOOKUP(H495,'LƯƠNG KT'!$D$48:$P$92,12,0)</f>
        <v>A</v>
      </c>
    </row>
    <row r="503" spans="1:11" ht="23.25" customHeight="1">
      <c r="A503" s="669" t="s">
        <v>19</v>
      </c>
      <c r="B503" s="663" t="s">
        <v>20</v>
      </c>
      <c r="C503" s="670"/>
      <c r="D503" s="661"/>
      <c r="E503" s="671"/>
      <c r="F503" s="671"/>
      <c r="G503" s="669" t="s">
        <v>19</v>
      </c>
      <c r="H503" s="663" t="s">
        <v>20</v>
      </c>
      <c r="I503" s="670"/>
      <c r="J503" s="661"/>
    </row>
    <row r="504" spans="1:11" ht="23.25" customHeight="1">
      <c r="A504" s="674" t="s">
        <v>21</v>
      </c>
      <c r="B504" s="663" t="s">
        <v>22</v>
      </c>
      <c r="C504" s="670"/>
      <c r="D504" s="661"/>
      <c r="E504" s="668"/>
      <c r="F504" s="668"/>
      <c r="G504" s="674" t="s">
        <v>21</v>
      </c>
      <c r="H504" s="663" t="s">
        <v>22</v>
      </c>
      <c r="I504" s="670"/>
      <c r="J504" s="661"/>
    </row>
    <row r="505" spans="1:11" ht="23.25" customHeight="1">
      <c r="A505" s="669" t="s">
        <v>23</v>
      </c>
      <c r="B505" s="663" t="s">
        <v>24</v>
      </c>
      <c r="C505" s="670"/>
      <c r="D505" s="661">
        <f>+D504</f>
        <v>0</v>
      </c>
      <c r="E505" s="677"/>
      <c r="F505" s="677"/>
      <c r="G505" s="669" t="s">
        <v>23</v>
      </c>
      <c r="H505" s="663" t="s">
        <v>24</v>
      </c>
      <c r="I505" s="670"/>
      <c r="J505" s="661">
        <f>+J504</f>
        <v>0</v>
      </c>
    </row>
    <row r="506" spans="1:11" ht="23.25" customHeight="1">
      <c r="A506" s="669" t="s">
        <v>25</v>
      </c>
      <c r="B506" s="663" t="s">
        <v>26</v>
      </c>
      <c r="C506" s="680"/>
      <c r="D506" s="669">
        <f>SUM(D496:D502)-D505</f>
        <v>264457541566.85791</v>
      </c>
      <c r="E506" s="681"/>
      <c r="F506" s="681"/>
      <c r="G506" s="669" t="s">
        <v>25</v>
      </c>
      <c r="H506" s="663" t="s">
        <v>26</v>
      </c>
      <c r="I506" s="680"/>
      <c r="J506" s="669">
        <f>SUM(J496:J502)-J505</f>
        <v>235174172889.03406</v>
      </c>
      <c r="K506" s="696">
        <f>+J506+D506</f>
        <v>499631714455.89197</v>
      </c>
    </row>
    <row r="507" spans="1:11" ht="23.25" customHeight="1">
      <c r="A507" s="683"/>
      <c r="B507" s="684"/>
      <c r="C507" s="685"/>
      <c r="D507" s="686"/>
      <c r="E507" s="687"/>
      <c r="F507" s="686"/>
      <c r="G507" s="683"/>
      <c r="H507" s="684"/>
      <c r="I507" s="685"/>
      <c r="J507" s="688"/>
    </row>
    <row r="508" spans="1:11" ht="23.25" customHeight="1">
      <c r="A508" s="1436" t="str">
        <f>$L$1</f>
        <v>Tháng 12/2025</v>
      </c>
      <c r="B508" s="1436"/>
      <c r="C508" s="1436"/>
      <c r="D508" s="1436"/>
      <c r="E508" s="647"/>
      <c r="F508" s="647"/>
      <c r="G508" s="1436" t="str">
        <f>$L$1</f>
        <v>Tháng 12/2025</v>
      </c>
      <c r="H508" s="1436"/>
      <c r="I508" s="1436"/>
      <c r="J508" s="1436"/>
    </row>
    <row r="509" spans="1:11" ht="23.25" customHeight="1">
      <c r="A509" s="652" t="s">
        <v>12</v>
      </c>
      <c r="B509" s="653" t="str">
        <f>VLOOKUP(C509,'LƯƠNG KT'!$B$48:$D$92,3,0)</f>
        <v>Thảo Sa</v>
      </c>
      <c r="C509" s="654">
        <v>33</v>
      </c>
      <c r="D509" s="655">
        <f>VLOOKUP(B509,'LƯƠNG KT'!$D$48:$O$90,11,0)</f>
        <v>1238.4810395740878</v>
      </c>
      <c r="E509" s="656"/>
      <c r="F509" s="656"/>
      <c r="G509" s="652" t="s">
        <v>12</v>
      </c>
      <c r="H509" s="653" t="str">
        <f>VLOOKUP(I509,'LƯƠNG KT'!$B$48:$D$92,3,0)</f>
        <v>Nàng Phôn</v>
      </c>
      <c r="I509" s="654">
        <v>34</v>
      </c>
      <c r="J509" s="655">
        <f>VLOOKUP(H509,'LƯƠNG KT'!$D$48:$O$90,11,0)</f>
        <v>1167.6854103022572</v>
      </c>
    </row>
    <row r="510" spans="1:11" ht="23.25" customHeight="1">
      <c r="A510" s="652" t="s">
        <v>13</v>
      </c>
      <c r="B510" s="660" t="s">
        <v>14</v>
      </c>
      <c r="C510" s="805">
        <f>VLOOKUP(B509,'LƯƠNG KT'!$D$48:$G$92,4,0)</f>
        <v>0</v>
      </c>
      <c r="D510" s="806">
        <f>C510*25000</f>
        <v>0</v>
      </c>
      <c r="E510" s="662"/>
      <c r="F510" s="662"/>
      <c r="G510" s="652" t="s">
        <v>13</v>
      </c>
      <c r="H510" s="660" t="s">
        <v>14</v>
      </c>
      <c r="I510" s="805">
        <f>VLOOKUP(H509,'LƯƠNG KT'!$D$48:$G$92,4,0)</f>
        <v>0</v>
      </c>
      <c r="J510" s="806">
        <f>I510*25000</f>
        <v>0</v>
      </c>
    </row>
    <row r="511" spans="1:11" ht="23.25" customHeight="1">
      <c r="A511" s="652" t="s">
        <v>15</v>
      </c>
      <c r="B511" s="663" t="s">
        <v>16</v>
      </c>
      <c r="C511" s="653">
        <f>VLOOKUP(B509,'LƯƠNG KT'!$D$48:$Q$92,13,0)</f>
        <v>4309914.0177178252</v>
      </c>
      <c r="D511" s="664">
        <f>+C511*$M$2</f>
        <v>132714992711.36823</v>
      </c>
      <c r="E511" s="665"/>
      <c r="F511" s="665"/>
      <c r="G511" s="652" t="s">
        <v>15</v>
      </c>
      <c r="H511" s="663" t="s">
        <v>16</v>
      </c>
      <c r="I511" s="653">
        <f>VLOOKUP(H509,'LƯƠNG KT'!$D$48:$Q$92,13,0)</f>
        <v>4063545.2278518551</v>
      </c>
      <c r="J511" s="664">
        <f>+I511*$M$2</f>
        <v>125128569405.25215</v>
      </c>
    </row>
    <row r="512" spans="1:11" ht="23.25" customHeight="1">
      <c r="A512" s="652" t="s">
        <v>357</v>
      </c>
      <c r="B512" s="663"/>
      <c r="C512" s="653">
        <f>VLOOKUP(B509,'LƯƠNG KT'!$D$48:$R$92,14,0)</f>
        <v>26</v>
      </c>
      <c r="D512" s="664">
        <f>+C512*$M$3</f>
        <v>1335519.2240000002</v>
      </c>
      <c r="E512" s="665"/>
      <c r="F512" s="665"/>
      <c r="G512" s="652" t="s">
        <v>357</v>
      </c>
      <c r="H512" s="663"/>
      <c r="I512" s="653">
        <f>VLOOKUP(H509,'LƯƠNG KT'!$D$48:$R$92,14,0)</f>
        <v>26</v>
      </c>
      <c r="J512" s="664">
        <f>+I512*$M$3</f>
        <v>1335519.2240000002</v>
      </c>
    </row>
    <row r="513" spans="1:11" ht="23.25" customHeight="1">
      <c r="A513" s="1434" t="s">
        <v>375</v>
      </c>
      <c r="B513" s="1435"/>
      <c r="C513" s="653">
        <f>VLOOKUP(B509,'LƯƠNG KT'!$D$48:$S$92,15,0)</f>
        <v>3</v>
      </c>
      <c r="D513" s="664">
        <f>+C513*$M$5</f>
        <v>184757.736</v>
      </c>
      <c r="E513" s="665"/>
      <c r="F513" s="665"/>
      <c r="G513" s="1434" t="s">
        <v>375</v>
      </c>
      <c r="H513" s="1435"/>
      <c r="I513" s="653">
        <f>VLOOKUP(H509,'LƯƠNG KT'!$D$48:$S$92,15,0)</f>
        <v>3</v>
      </c>
      <c r="J513" s="664">
        <f>+I513*$M$5</f>
        <v>184757.736</v>
      </c>
    </row>
    <row r="514" spans="1:11" ht="23.25" customHeight="1">
      <c r="A514" s="1434" t="s">
        <v>427</v>
      </c>
      <c r="B514" s="1435"/>
      <c r="C514" s="653">
        <f>+C513</f>
        <v>3</v>
      </c>
      <c r="D514" s="664">
        <f>+C514*$M$7</f>
        <v>300000</v>
      </c>
      <c r="E514" s="665"/>
      <c r="F514" s="665"/>
      <c r="G514" s="1434" t="s">
        <v>427</v>
      </c>
      <c r="H514" s="1435"/>
      <c r="I514" s="653">
        <f>+I513</f>
        <v>3</v>
      </c>
      <c r="J514" s="664">
        <f>+I514*$M$7</f>
        <v>300000</v>
      </c>
    </row>
    <row r="515" spans="1:11" ht="23.25" customHeight="1">
      <c r="A515" s="1434" t="s">
        <v>358</v>
      </c>
      <c r="B515" s="1435"/>
      <c r="C515" s="653">
        <f>+C511+C512+C513</f>
        <v>4309943.0177178252</v>
      </c>
      <c r="D515" s="664">
        <f>+C515*$M$8</f>
        <v>86198860354.356506</v>
      </c>
      <c r="E515" s="665"/>
      <c r="F515" s="665"/>
      <c r="G515" s="1434" t="s">
        <v>358</v>
      </c>
      <c r="H515" s="1435"/>
      <c r="I515" s="653">
        <f>+I511+I512+I513</f>
        <v>4063574.2278518551</v>
      </c>
      <c r="J515" s="664">
        <f>+I515*$M$8</f>
        <v>81271484557.037109</v>
      </c>
    </row>
    <row r="516" spans="1:11" ht="23.25" customHeight="1">
      <c r="A516" s="652" t="s">
        <v>18</v>
      </c>
      <c r="B516" s="663"/>
      <c r="C516" s="667">
        <f>VLOOKUP(B509,'LƯƠNG KT'!$D$48:$I$92,6,0)</f>
        <v>2799</v>
      </c>
      <c r="D516" s="661" t="str">
        <f>VLOOKUP(B509,'LƯƠNG KT'!$D$48:$P$92,12,0)</f>
        <v>B</v>
      </c>
      <c r="E516" s="668"/>
      <c r="F516" s="668"/>
      <c r="G516" s="652" t="s">
        <v>18</v>
      </c>
      <c r="H516" s="663"/>
      <c r="I516" s="667">
        <f>VLOOKUP(H509,'LƯƠNG KT'!$D$48:$I$92,6,0)</f>
        <v>2639</v>
      </c>
      <c r="J516" s="661" t="str">
        <f>VLOOKUP(H509,'LƯƠNG KT'!$D$48:$P$92,12,0)</f>
        <v>B</v>
      </c>
    </row>
    <row r="517" spans="1:11" ht="23.25" customHeight="1">
      <c r="A517" s="669" t="s">
        <v>19</v>
      </c>
      <c r="B517" s="663" t="s">
        <v>20</v>
      </c>
      <c r="C517" s="670"/>
      <c r="D517" s="661"/>
      <c r="E517" s="671"/>
      <c r="F517" s="671"/>
      <c r="G517" s="669" t="s">
        <v>19</v>
      </c>
      <c r="H517" s="663" t="s">
        <v>20</v>
      </c>
      <c r="I517" s="670"/>
      <c r="J517" s="661"/>
    </row>
    <row r="518" spans="1:11" ht="23.25" customHeight="1">
      <c r="A518" s="674" t="s">
        <v>21</v>
      </c>
      <c r="B518" s="663" t="s">
        <v>22</v>
      </c>
      <c r="C518" s="670"/>
      <c r="D518" s="661"/>
      <c r="E518" s="668"/>
      <c r="F518" s="668"/>
      <c r="G518" s="674" t="s">
        <v>21</v>
      </c>
      <c r="H518" s="663" t="s">
        <v>22</v>
      </c>
      <c r="I518" s="670"/>
      <c r="J518" s="661"/>
    </row>
    <row r="519" spans="1:11" ht="23.25" customHeight="1">
      <c r="A519" s="669" t="s">
        <v>23</v>
      </c>
      <c r="B519" s="663" t="s">
        <v>24</v>
      </c>
      <c r="C519" s="670"/>
      <c r="D519" s="661">
        <f>+D518</f>
        <v>0</v>
      </c>
      <c r="E519" s="677"/>
      <c r="F519" s="677"/>
      <c r="G519" s="669" t="s">
        <v>23</v>
      </c>
      <c r="H519" s="663" t="s">
        <v>24</v>
      </c>
      <c r="I519" s="670"/>
      <c r="J519" s="661">
        <f>+J518</f>
        <v>0</v>
      </c>
    </row>
    <row r="520" spans="1:11" ht="23.25" customHeight="1">
      <c r="A520" s="669" t="s">
        <v>25</v>
      </c>
      <c r="B520" s="663" t="s">
        <v>26</v>
      </c>
      <c r="C520" s="680"/>
      <c r="D520" s="669">
        <f>SUM(D510:D516)-D519</f>
        <v>218915673342.68472</v>
      </c>
      <c r="E520" s="681"/>
      <c r="F520" s="681"/>
      <c r="G520" s="669" t="s">
        <v>25</v>
      </c>
      <c r="H520" s="663" t="s">
        <v>26</v>
      </c>
      <c r="I520" s="680"/>
      <c r="J520" s="669">
        <f>SUM(J510:J516)-J519</f>
        <v>206401874239.24927</v>
      </c>
      <c r="K520" s="696">
        <f>+J520+D520</f>
        <v>425317547581.93396</v>
      </c>
    </row>
    <row r="521" spans="1:11" ht="23.25" customHeight="1">
      <c r="A521" s="683"/>
      <c r="B521" s="684"/>
      <c r="C521" s="685"/>
      <c r="D521" s="686"/>
      <c r="E521" s="687"/>
      <c r="F521" s="686"/>
      <c r="G521" s="683"/>
      <c r="H521" s="684"/>
      <c r="I521" s="685"/>
      <c r="J521" s="688"/>
    </row>
    <row r="522" spans="1:11" ht="23.25" customHeight="1">
      <c r="A522" s="1436" t="str">
        <f>$L$1</f>
        <v>Tháng 12/2025</v>
      </c>
      <c r="B522" s="1436"/>
      <c r="C522" s="1436"/>
      <c r="D522" s="1436"/>
      <c r="E522" s="647"/>
      <c r="F522" s="647"/>
      <c r="G522" s="1436" t="str">
        <f>$L$1</f>
        <v>Tháng 12/2025</v>
      </c>
      <c r="H522" s="1436"/>
      <c r="I522" s="1436"/>
      <c r="J522" s="1436"/>
    </row>
    <row r="523" spans="1:11" ht="23.25" customHeight="1">
      <c r="A523" s="652" t="s">
        <v>12</v>
      </c>
      <c r="B523" s="653" t="str">
        <f>VLOOKUP(C523,'LƯƠNG KT'!$B$48:$D$92,3,0)</f>
        <v>Thảo Mon</v>
      </c>
      <c r="C523" s="654">
        <v>35</v>
      </c>
      <c r="D523" s="655">
        <f>VLOOKUP(B523,'LƯƠNG KT'!$D$48:$O$90,11,0)</f>
        <v>1141.5795220082696</v>
      </c>
      <c r="E523" s="656"/>
      <c r="F523" s="656"/>
      <c r="G523" s="652" t="s">
        <v>12</v>
      </c>
      <c r="H523" s="653" t="str">
        <f>VLOOKUP(I523,'LƯƠNG KT'!$B$48:$D$92,3,0)</f>
        <v>Thảo Vông Xay</v>
      </c>
      <c r="I523" s="654">
        <v>36</v>
      </c>
      <c r="J523" s="655">
        <f>VLOOKUP(H523,'LƯƠNG KT'!$D$48:$O$90,11,0)</f>
        <v>767.24763223346486</v>
      </c>
    </row>
    <row r="524" spans="1:11" ht="23.25" customHeight="1">
      <c r="A524" s="652" t="s">
        <v>13</v>
      </c>
      <c r="B524" s="660" t="s">
        <v>14</v>
      </c>
      <c r="C524" s="805">
        <f>VLOOKUP(B523,'LƯƠNG KT'!$D$48:$G$92,4,0)</f>
        <v>0</v>
      </c>
      <c r="D524" s="806">
        <f>C524*25000</f>
        <v>0</v>
      </c>
      <c r="E524" s="662"/>
      <c r="F524" s="662"/>
      <c r="G524" s="652" t="s">
        <v>13</v>
      </c>
      <c r="H524" s="660" t="s">
        <v>14</v>
      </c>
      <c r="I524" s="805">
        <f>VLOOKUP(H523,'LƯƠNG KT'!$D$48:$G$92,4,0)</f>
        <v>0</v>
      </c>
      <c r="J524" s="806">
        <f>I524*25000</f>
        <v>0</v>
      </c>
    </row>
    <row r="525" spans="1:11" ht="23.25" customHeight="1">
      <c r="A525" s="652" t="s">
        <v>15</v>
      </c>
      <c r="B525" s="663" t="s">
        <v>16</v>
      </c>
      <c r="C525" s="653">
        <f>VLOOKUP(B523,'LƯƠNG KT'!$D$48:$Q$92,13,0)</f>
        <v>4178181.0505502666</v>
      </c>
      <c r="D525" s="664">
        <f>+C525*$M$2</f>
        <v>128658545249.62814</v>
      </c>
      <c r="E525" s="665"/>
      <c r="F525" s="665"/>
      <c r="G525" s="652" t="s">
        <v>15</v>
      </c>
      <c r="H525" s="663" t="s">
        <v>16</v>
      </c>
      <c r="I525" s="653">
        <f>VLOOKUP(H523,'LƯƠNG KT'!$D$48:$Q$92,13,0)</f>
        <v>2670021.7601724579</v>
      </c>
      <c r="J525" s="664">
        <f>+I525*$M$2</f>
        <v>82217862580.033051</v>
      </c>
    </row>
    <row r="526" spans="1:11" ht="23.25" customHeight="1">
      <c r="A526" s="652" t="s">
        <v>357</v>
      </c>
      <c r="B526" s="663"/>
      <c r="C526" s="653">
        <f>VLOOKUP(B523,'LƯƠNG KT'!$D$48:$R$92,14,0)</f>
        <v>26</v>
      </c>
      <c r="D526" s="664">
        <f>+C526*$M$3</f>
        <v>1335519.2240000002</v>
      </c>
      <c r="E526" s="665"/>
      <c r="F526" s="665"/>
      <c r="G526" s="652" t="s">
        <v>357</v>
      </c>
      <c r="H526" s="663"/>
      <c r="I526" s="653">
        <f>VLOOKUP(H523,'LƯƠNG KT'!$D$48:$R$92,14,0)</f>
        <v>26</v>
      </c>
      <c r="J526" s="664">
        <f>+I526*$M$3</f>
        <v>1335519.2240000002</v>
      </c>
    </row>
    <row r="527" spans="1:11" ht="23.25" customHeight="1">
      <c r="A527" s="1434" t="s">
        <v>375</v>
      </c>
      <c r="B527" s="1435"/>
      <c r="C527" s="653">
        <f>VLOOKUP(B523,'LƯƠNG KT'!$D$48:$S$92,15,0)</f>
        <v>3</v>
      </c>
      <c r="D527" s="664">
        <f>+C527*$M$5</f>
        <v>184757.736</v>
      </c>
      <c r="E527" s="665"/>
      <c r="F527" s="665"/>
      <c r="G527" s="1434" t="s">
        <v>375</v>
      </c>
      <c r="H527" s="1435"/>
      <c r="I527" s="653">
        <f>VLOOKUP(H523,'LƯƠNG KT'!$D$48:$S$92,15,0)</f>
        <v>3</v>
      </c>
      <c r="J527" s="664">
        <f>+I527*$M$5</f>
        <v>184757.736</v>
      </c>
    </row>
    <row r="528" spans="1:11" ht="23.25" customHeight="1">
      <c r="A528" s="1434" t="s">
        <v>427</v>
      </c>
      <c r="B528" s="1435"/>
      <c r="C528" s="653">
        <f>+C527</f>
        <v>3</v>
      </c>
      <c r="D528" s="664">
        <f>+C528*$M$7</f>
        <v>300000</v>
      </c>
      <c r="E528" s="665"/>
      <c r="F528" s="665"/>
      <c r="G528" s="1434" t="s">
        <v>427</v>
      </c>
      <c r="H528" s="1435"/>
      <c r="I528" s="653">
        <f>+I527</f>
        <v>3</v>
      </c>
      <c r="J528" s="664">
        <f>+I528*$M$7</f>
        <v>300000</v>
      </c>
    </row>
    <row r="529" spans="1:11" ht="23.25" customHeight="1">
      <c r="A529" s="1434" t="s">
        <v>358</v>
      </c>
      <c r="B529" s="1435"/>
      <c r="C529" s="653">
        <f>+C525+C526+C527</f>
        <v>4178210.0505502666</v>
      </c>
      <c r="D529" s="664">
        <f>+C529*$M$8</f>
        <v>83564201011.005325</v>
      </c>
      <c r="E529" s="665"/>
      <c r="F529" s="665"/>
      <c r="G529" s="1434" t="s">
        <v>358</v>
      </c>
      <c r="H529" s="1435"/>
      <c r="I529" s="653">
        <f>+I525+I526+I527</f>
        <v>2670050.7601724579</v>
      </c>
      <c r="J529" s="664">
        <f>+I529*$M$8</f>
        <v>53401015203.449158</v>
      </c>
    </row>
    <row r="530" spans="1:11" ht="23.25" customHeight="1">
      <c r="A530" s="652" t="s">
        <v>18</v>
      </c>
      <c r="B530" s="663"/>
      <c r="C530" s="667">
        <f>VLOOKUP(B523,'LƯƠNG KT'!$D$48:$I$92,6,0)</f>
        <v>2580</v>
      </c>
      <c r="D530" s="661" t="str">
        <f>VLOOKUP(B523,'LƯƠNG KT'!$D$48:$P$92,12,0)</f>
        <v>A</v>
      </c>
      <c r="E530" s="668"/>
      <c r="F530" s="668"/>
      <c r="G530" s="652" t="s">
        <v>18</v>
      </c>
      <c r="H530" s="663"/>
      <c r="I530" s="667">
        <f>VLOOKUP(H523,'LƯƠNG KT'!$D$48:$I$92,6,0)</f>
        <v>1734</v>
      </c>
      <c r="J530" s="661" t="str">
        <f>VLOOKUP(H523,'LƯƠNG KT'!$D$48:$P$92,12,0)</f>
        <v>B</v>
      </c>
    </row>
    <row r="531" spans="1:11" ht="23.25" customHeight="1">
      <c r="A531" s="669" t="s">
        <v>19</v>
      </c>
      <c r="B531" s="663" t="s">
        <v>20</v>
      </c>
      <c r="C531" s="670"/>
      <c r="D531" s="661"/>
      <c r="E531" s="671"/>
      <c r="F531" s="671"/>
      <c r="G531" s="669" t="s">
        <v>19</v>
      </c>
      <c r="H531" s="663" t="s">
        <v>20</v>
      </c>
      <c r="I531" s="670"/>
      <c r="J531" s="661"/>
    </row>
    <row r="532" spans="1:11" ht="23.25" customHeight="1">
      <c r="A532" s="674" t="s">
        <v>21</v>
      </c>
      <c r="B532" s="663" t="s">
        <v>22</v>
      </c>
      <c r="C532" s="670"/>
      <c r="D532" s="661"/>
      <c r="E532" s="668"/>
      <c r="F532" s="668"/>
      <c r="G532" s="674" t="s">
        <v>21</v>
      </c>
      <c r="H532" s="663" t="s">
        <v>22</v>
      </c>
      <c r="I532" s="670"/>
      <c r="J532" s="661"/>
    </row>
    <row r="533" spans="1:11" ht="23.25" customHeight="1">
      <c r="A533" s="669" t="s">
        <v>23</v>
      </c>
      <c r="B533" s="663" t="s">
        <v>24</v>
      </c>
      <c r="C533" s="670"/>
      <c r="D533" s="661">
        <f>+D532</f>
        <v>0</v>
      </c>
      <c r="E533" s="677"/>
      <c r="F533" s="677"/>
      <c r="G533" s="669" t="s">
        <v>23</v>
      </c>
      <c r="H533" s="663" t="s">
        <v>24</v>
      </c>
      <c r="I533" s="670"/>
      <c r="J533" s="661">
        <f>+J532</f>
        <v>0</v>
      </c>
    </row>
    <row r="534" spans="1:11" ht="23.25" customHeight="1">
      <c r="A534" s="669" t="s">
        <v>25</v>
      </c>
      <c r="B534" s="663" t="s">
        <v>26</v>
      </c>
      <c r="C534" s="680"/>
      <c r="D534" s="669">
        <f>SUM(D524:D530)-D533</f>
        <v>212224566537.59344</v>
      </c>
      <c r="E534" s="681"/>
      <c r="F534" s="681"/>
      <c r="G534" s="669" t="s">
        <v>25</v>
      </c>
      <c r="H534" s="663" t="s">
        <v>26</v>
      </c>
      <c r="I534" s="680"/>
      <c r="J534" s="669">
        <f>SUM(J524:J530)-J533</f>
        <v>135620698060.4422</v>
      </c>
      <c r="K534" s="696">
        <f>+J534+D534</f>
        <v>347845264598.03564</v>
      </c>
    </row>
    <row r="535" spans="1:11" ht="23.25" customHeight="1">
      <c r="A535" s="683"/>
      <c r="B535" s="684"/>
      <c r="C535" s="685"/>
      <c r="D535" s="686"/>
    </row>
    <row r="536" spans="1:11" ht="23.25" customHeight="1">
      <c r="A536" s="1436" t="str">
        <f>$L$1</f>
        <v>Tháng 12/2025</v>
      </c>
      <c r="B536" s="1436"/>
      <c r="C536" s="1436"/>
      <c r="D536" s="1436"/>
      <c r="E536" s="647"/>
      <c r="F536" s="647"/>
      <c r="G536" s="1436" t="str">
        <f>$L$1</f>
        <v>Tháng 12/2025</v>
      </c>
      <c r="H536" s="1436"/>
      <c r="I536" s="1436"/>
      <c r="J536" s="1436"/>
    </row>
    <row r="537" spans="1:11" ht="23.25" customHeight="1">
      <c r="A537" s="652" t="s">
        <v>12</v>
      </c>
      <c r="B537" s="653" t="str">
        <f>VLOOKUP(C537,'LƯƠNG KT'!$B$48:$D$92,3,0)</f>
        <v>Nàng Lun</v>
      </c>
      <c r="C537" s="654">
        <v>37</v>
      </c>
      <c r="D537" s="655">
        <f>VLOOKUP(B537,'LƯƠNG KT'!$D$48:$O$90,11,0)</f>
        <v>767.69010491641382</v>
      </c>
      <c r="E537" s="656"/>
      <c r="F537" s="656"/>
      <c r="G537" s="652" t="s">
        <v>12</v>
      </c>
      <c r="H537" s="653" t="e">
        <f>VLOOKUP(I537,'LƯƠNG KT'!$B$48:$D$92,3,0)</f>
        <v>#N/A</v>
      </c>
      <c r="I537" s="654"/>
      <c r="J537" s="655" t="e">
        <f>VLOOKUP(H537,'LƯƠNG KT'!$D$48:$O$90,11,0)</f>
        <v>#N/A</v>
      </c>
    </row>
    <row r="538" spans="1:11" ht="23.25" customHeight="1">
      <c r="A538" s="652" t="s">
        <v>13</v>
      </c>
      <c r="B538" s="660" t="s">
        <v>14</v>
      </c>
      <c r="C538" s="805">
        <f>VLOOKUP(B537,'LƯƠNG KT'!$D$48:$G$92,4,0)</f>
        <v>0</v>
      </c>
      <c r="D538" s="806">
        <f>C538*25000</f>
        <v>0</v>
      </c>
      <c r="E538" s="662"/>
      <c r="F538" s="662"/>
      <c r="G538" s="652" t="s">
        <v>13</v>
      </c>
      <c r="H538" s="660" t="s">
        <v>14</v>
      </c>
      <c r="I538" s="805" t="e">
        <f>VLOOKUP(H537,'LƯƠNG KT'!$D$48:$G$92,4,0)</f>
        <v>#N/A</v>
      </c>
      <c r="J538" s="806" t="e">
        <f>I538*25000</f>
        <v>#N/A</v>
      </c>
    </row>
    <row r="539" spans="1:11" ht="23.25" customHeight="1">
      <c r="A539" s="652" t="s">
        <v>15</v>
      </c>
      <c r="B539" s="663" t="s">
        <v>16</v>
      </c>
      <c r="C539" s="653">
        <f>VLOOKUP(B537,'LƯƠNG KT'!$D$48:$Q$92,13,0)</f>
        <v>2809745.783994074</v>
      </c>
      <c r="D539" s="664">
        <f>+C539*$M$2</f>
        <v>86520378297.715027</v>
      </c>
      <c r="E539" s="665"/>
      <c r="F539" s="665"/>
      <c r="G539" s="652" t="s">
        <v>15</v>
      </c>
      <c r="H539" s="663" t="s">
        <v>16</v>
      </c>
      <c r="I539" s="653" t="e">
        <f>VLOOKUP(H537,'LƯƠNG KT'!$D$48:$Q$92,13,0)</f>
        <v>#N/A</v>
      </c>
      <c r="J539" s="664" t="e">
        <f>+I539*$M$2</f>
        <v>#N/A</v>
      </c>
    </row>
    <row r="540" spans="1:11" ht="23.25" customHeight="1">
      <c r="A540" s="652" t="s">
        <v>357</v>
      </c>
      <c r="B540" s="663"/>
      <c r="C540" s="653">
        <f>VLOOKUP(B537,'LƯƠNG KT'!$D$48:$R$92,14,0)</f>
        <v>26</v>
      </c>
      <c r="D540" s="664">
        <f>+C540*$M$3</f>
        <v>1335519.2240000002</v>
      </c>
      <c r="E540" s="665"/>
      <c r="F540" s="665"/>
      <c r="G540" s="652" t="s">
        <v>357</v>
      </c>
      <c r="H540" s="663"/>
      <c r="I540" s="653" t="e">
        <f>VLOOKUP(H537,'LƯƠNG KT'!$D$48:$R$92,14,0)</f>
        <v>#N/A</v>
      </c>
      <c r="J540" s="664" t="e">
        <f>+I540*$M$3</f>
        <v>#N/A</v>
      </c>
    </row>
    <row r="541" spans="1:11" ht="23.25" customHeight="1">
      <c r="A541" s="1434" t="s">
        <v>375</v>
      </c>
      <c r="B541" s="1435"/>
      <c r="C541" s="653">
        <f>VLOOKUP(B537,'LƯƠNG KT'!$D$48:$S$92,15,0)</f>
        <v>3</v>
      </c>
      <c r="D541" s="664">
        <f>+C541*$M$5</f>
        <v>184757.736</v>
      </c>
      <c r="E541" s="665"/>
      <c r="F541" s="665"/>
      <c r="G541" s="1434" t="s">
        <v>375</v>
      </c>
      <c r="H541" s="1435"/>
      <c r="I541" s="653" t="e">
        <f>VLOOKUP(H537,'LƯƠNG KT'!$D$48:$S$92,15,0)</f>
        <v>#N/A</v>
      </c>
      <c r="J541" s="664" t="e">
        <f>+I541*$M$5</f>
        <v>#N/A</v>
      </c>
    </row>
    <row r="542" spans="1:11" ht="23.25" customHeight="1">
      <c r="A542" s="1434" t="s">
        <v>427</v>
      </c>
      <c r="B542" s="1435"/>
      <c r="C542" s="653">
        <f>+C541</f>
        <v>3</v>
      </c>
      <c r="D542" s="664">
        <f>+C542*$M$7</f>
        <v>300000</v>
      </c>
      <c r="E542" s="665"/>
      <c r="F542" s="665"/>
      <c r="G542" s="1434" t="s">
        <v>427</v>
      </c>
      <c r="H542" s="1435"/>
      <c r="I542" s="653" t="e">
        <f>+I541</f>
        <v>#N/A</v>
      </c>
      <c r="J542" s="664" t="e">
        <f>+I542*$M$7</f>
        <v>#N/A</v>
      </c>
    </row>
    <row r="543" spans="1:11" ht="23.25" customHeight="1">
      <c r="A543" s="1434" t="s">
        <v>358</v>
      </c>
      <c r="B543" s="1435"/>
      <c r="C543" s="653">
        <f>+C539+C540+C541</f>
        <v>2809774.783994074</v>
      </c>
      <c r="D543" s="664">
        <f>+C543*$M$8</f>
        <v>56195495679.881477</v>
      </c>
      <c r="E543" s="665"/>
      <c r="F543" s="665"/>
      <c r="G543" s="1434" t="s">
        <v>358</v>
      </c>
      <c r="H543" s="1435"/>
      <c r="I543" s="653" t="e">
        <f>+I539+I540+I541</f>
        <v>#N/A</v>
      </c>
      <c r="J543" s="664" t="e">
        <f>+I543*$M$8</f>
        <v>#N/A</v>
      </c>
    </row>
    <row r="544" spans="1:11" ht="23.25" customHeight="1">
      <c r="A544" s="652" t="s">
        <v>18</v>
      </c>
      <c r="B544" s="663"/>
      <c r="C544" s="667">
        <f>VLOOKUP(B537,'LƯƠNG KT'!$D$48:$I$92,6,0)</f>
        <v>1735</v>
      </c>
      <c r="D544" s="661" t="str">
        <f>VLOOKUP(B537,'LƯƠNG KT'!$D$48:$P$92,12,0)</f>
        <v>A</v>
      </c>
      <c r="E544" s="668"/>
      <c r="F544" s="668"/>
      <c r="G544" s="652" t="s">
        <v>18</v>
      </c>
      <c r="H544" s="663"/>
      <c r="I544" s="667" t="e">
        <f>VLOOKUP(H537,'LƯƠNG KT'!$D$48:$I$92,6,0)</f>
        <v>#N/A</v>
      </c>
      <c r="J544" s="661" t="e">
        <f>VLOOKUP(H537,'LƯƠNG KT'!$D$48:$P$92,12,0)</f>
        <v>#N/A</v>
      </c>
    </row>
    <row r="545" spans="1:11" ht="23.25" customHeight="1">
      <c r="A545" s="669" t="s">
        <v>19</v>
      </c>
      <c r="B545" s="663" t="s">
        <v>20</v>
      </c>
      <c r="C545" s="670"/>
      <c r="D545" s="661"/>
      <c r="E545" s="671"/>
      <c r="F545" s="671"/>
      <c r="G545" s="669" t="s">
        <v>19</v>
      </c>
      <c r="H545" s="663" t="s">
        <v>20</v>
      </c>
      <c r="I545" s="670"/>
      <c r="J545" s="661"/>
    </row>
    <row r="546" spans="1:11" ht="23.25" customHeight="1">
      <c r="A546" s="674" t="s">
        <v>21</v>
      </c>
      <c r="B546" s="663" t="s">
        <v>22</v>
      </c>
      <c r="C546" s="670"/>
      <c r="D546" s="661"/>
      <c r="E546" s="668"/>
      <c r="F546" s="668"/>
      <c r="G546" s="674" t="s">
        <v>21</v>
      </c>
      <c r="H546" s="663" t="s">
        <v>22</v>
      </c>
      <c r="I546" s="670"/>
      <c r="J546" s="661"/>
    </row>
    <row r="547" spans="1:11" ht="23.25" customHeight="1">
      <c r="A547" s="669" t="s">
        <v>23</v>
      </c>
      <c r="B547" s="663" t="s">
        <v>24</v>
      </c>
      <c r="C547" s="670"/>
      <c r="D547" s="661">
        <f>+D546</f>
        <v>0</v>
      </c>
      <c r="E547" s="677"/>
      <c r="F547" s="677"/>
      <c r="G547" s="669" t="s">
        <v>23</v>
      </c>
      <c r="H547" s="663" t="s">
        <v>24</v>
      </c>
      <c r="I547" s="670"/>
      <c r="J547" s="661">
        <f>+J546</f>
        <v>0</v>
      </c>
    </row>
    <row r="548" spans="1:11" ht="23.25" customHeight="1">
      <c r="A548" s="669" t="s">
        <v>25</v>
      </c>
      <c r="B548" s="663" t="s">
        <v>26</v>
      </c>
      <c r="C548" s="680"/>
      <c r="D548" s="669">
        <f>SUM(D538:D544)-D547</f>
        <v>142717694254.55649</v>
      </c>
      <c r="E548" s="681"/>
      <c r="F548" s="681"/>
      <c r="G548" s="669" t="s">
        <v>25</v>
      </c>
      <c r="H548" s="663" t="s">
        <v>26</v>
      </c>
      <c r="I548" s="680"/>
      <c r="J548" s="669"/>
      <c r="K548" s="696">
        <f>+J548+D548</f>
        <v>142717694254.55649</v>
      </c>
    </row>
    <row r="549" spans="1:11" ht="23.25" customHeight="1">
      <c r="A549" s="683"/>
      <c r="B549" s="684"/>
      <c r="C549" s="685"/>
      <c r="D549" s="686"/>
    </row>
    <row r="550" spans="1:11" ht="23.25" customHeight="1">
      <c r="A550" s="1436" t="str">
        <f>$L$1</f>
        <v>Tháng 12/2025</v>
      </c>
      <c r="B550" s="1436"/>
      <c r="C550" s="1436"/>
      <c r="D550" s="1436"/>
      <c r="E550" s="647"/>
      <c r="F550" s="647"/>
      <c r="G550" s="1436" t="str">
        <f>$L$1</f>
        <v>Tháng 12/2025</v>
      </c>
      <c r="H550" s="1436"/>
      <c r="I550" s="1436"/>
      <c r="J550" s="1436"/>
    </row>
    <row r="551" spans="1:11" ht="23.25" customHeight="1">
      <c r="A551" s="652" t="s">
        <v>12</v>
      </c>
      <c r="B551" s="653" t="str">
        <f>VLOOKUP(C551,'LƯƠNG KT'!$B$48:$D$92,3,0)</f>
        <v>Thảo Vong</v>
      </c>
      <c r="C551" s="654">
        <v>38</v>
      </c>
      <c r="D551" s="655">
        <f>VLOOKUP(B551,'LƯƠNG KT'!$D$48:$O$90,11,0)</f>
        <v>1254.4100561602495</v>
      </c>
      <c r="E551" s="656"/>
      <c r="F551" s="656"/>
      <c r="G551" s="652" t="s">
        <v>12</v>
      </c>
      <c r="H551" s="653" t="str">
        <f>VLOOKUP(I551,'LƯƠNG KT'!$B$48:$D$92,3,0)</f>
        <v>Nàng Veng</v>
      </c>
      <c r="I551" s="654">
        <v>39</v>
      </c>
      <c r="J551" s="655">
        <f>VLOOKUP(H551,'LƯƠNG KT'!$D$48:$O$90,11,0)</f>
        <v>1257.9498376238412</v>
      </c>
    </row>
    <row r="552" spans="1:11" ht="23.25" customHeight="1">
      <c r="A552" s="652" t="s">
        <v>13</v>
      </c>
      <c r="B552" s="660" t="s">
        <v>14</v>
      </c>
      <c r="C552" s="805">
        <f>VLOOKUP(B551,'LƯƠNG KT'!$D$48:$G$92,4,0)</f>
        <v>0</v>
      </c>
      <c r="D552" s="806">
        <f>C552*25000</f>
        <v>0</v>
      </c>
      <c r="E552" s="662"/>
      <c r="F552" s="662"/>
      <c r="G552" s="652" t="s">
        <v>13</v>
      </c>
      <c r="H552" s="660" t="s">
        <v>14</v>
      </c>
      <c r="I552" s="805">
        <f>VLOOKUP(H551,'LƯƠNG KT'!$D$48:$G$92,4,0)</f>
        <v>0</v>
      </c>
      <c r="J552" s="806">
        <f>I552*25000</f>
        <v>0</v>
      </c>
    </row>
    <row r="553" spans="1:11" ht="23.25" customHeight="1">
      <c r="A553" s="652" t="s">
        <v>15</v>
      </c>
      <c r="B553" s="663" t="s">
        <v>16</v>
      </c>
      <c r="C553" s="653">
        <f>VLOOKUP(B551,'LƯƠNG KT'!$D$48:$Q$92,13,0)</f>
        <v>4591140.8055465128</v>
      </c>
      <c r="D553" s="664">
        <f>+C553*$M$2</f>
        <v>141374796814.99832</v>
      </c>
      <c r="E553" s="665"/>
      <c r="F553" s="665"/>
      <c r="G553" s="652" t="s">
        <v>15</v>
      </c>
      <c r="H553" s="663" t="s">
        <v>16</v>
      </c>
      <c r="I553" s="653">
        <f>VLOOKUP(H551,'LƯƠNG KT'!$D$48:$Q$92,13,0)</f>
        <v>4604096.4057032587</v>
      </c>
      <c r="J553" s="664">
        <f>+I553*$M$2</f>
        <v>141773738040.57861</v>
      </c>
    </row>
    <row r="554" spans="1:11" ht="23.25" customHeight="1">
      <c r="A554" s="652" t="s">
        <v>357</v>
      </c>
      <c r="B554" s="663"/>
      <c r="C554" s="653">
        <f>VLOOKUP(B551,'LƯƠNG KT'!$D$48:$R$92,14,0)</f>
        <v>26</v>
      </c>
      <c r="D554" s="664">
        <f>+C554*$M$3</f>
        <v>1335519.2240000002</v>
      </c>
      <c r="E554" s="665"/>
      <c r="F554" s="665"/>
      <c r="G554" s="652" t="s">
        <v>357</v>
      </c>
      <c r="H554" s="663"/>
      <c r="I554" s="653">
        <f>VLOOKUP(H551,'LƯƠNG KT'!$D$48:$R$92,14,0)</f>
        <v>26</v>
      </c>
      <c r="J554" s="664">
        <f>+I554*$M$3</f>
        <v>1335519.2240000002</v>
      </c>
    </row>
    <row r="555" spans="1:11" ht="23.25" customHeight="1">
      <c r="A555" s="1434" t="s">
        <v>375</v>
      </c>
      <c r="B555" s="1435"/>
      <c r="C555" s="653">
        <f>VLOOKUP(B551,'LƯƠNG KT'!$D$48:$S$92,15,0)</f>
        <v>3</v>
      </c>
      <c r="D555" s="664">
        <f>+C555*$M$5</f>
        <v>184757.736</v>
      </c>
      <c r="E555" s="665"/>
      <c r="F555" s="665"/>
      <c r="G555" s="1434" t="s">
        <v>375</v>
      </c>
      <c r="H555" s="1435"/>
      <c r="I555" s="653">
        <f>VLOOKUP(H551,'LƯƠNG KT'!$D$48:$S$92,15,0)</f>
        <v>3</v>
      </c>
      <c r="J555" s="664">
        <f>+I555*$M$5</f>
        <v>184757.736</v>
      </c>
    </row>
    <row r="556" spans="1:11" ht="23.25" customHeight="1">
      <c r="A556" s="1434" t="s">
        <v>427</v>
      </c>
      <c r="B556" s="1435"/>
      <c r="C556" s="653">
        <f>+C555</f>
        <v>3</v>
      </c>
      <c r="D556" s="664">
        <f>+C556*$M$7</f>
        <v>300000</v>
      </c>
      <c r="E556" s="665"/>
      <c r="F556" s="665"/>
      <c r="G556" s="1434" t="s">
        <v>427</v>
      </c>
      <c r="H556" s="1435"/>
      <c r="I556" s="653">
        <f>+I555</f>
        <v>3</v>
      </c>
      <c r="J556" s="664">
        <f>+I556*$M$7</f>
        <v>300000</v>
      </c>
    </row>
    <row r="557" spans="1:11" ht="23.25" customHeight="1">
      <c r="A557" s="1434" t="s">
        <v>547</v>
      </c>
      <c r="B557" s="1435"/>
      <c r="C557" s="653">
        <f>+VLOOKUP(B551,'LƯƠNG KT'!$D$85:$W$90,19,0)</f>
        <v>31</v>
      </c>
      <c r="D557" s="664">
        <f>+C557*$M$4</f>
        <v>635697.53200000001</v>
      </c>
      <c r="E557" s="665"/>
      <c r="F557" s="665"/>
      <c r="G557" s="1434" t="s">
        <v>547</v>
      </c>
      <c r="H557" s="1435"/>
      <c r="I557" s="653">
        <f>+VLOOKUP(H551,'LƯƠNG KT'!$D$85:$W$90,19,0)</f>
        <v>31</v>
      </c>
      <c r="J557" s="664">
        <f>+I557*$M$4</f>
        <v>635697.53200000001</v>
      </c>
    </row>
    <row r="558" spans="1:11" ht="23.25" customHeight="1">
      <c r="A558" s="1434" t="s">
        <v>358</v>
      </c>
      <c r="B558" s="1435"/>
      <c r="C558" s="653">
        <f>+C553+C554+C555</f>
        <v>4591169.8055465128</v>
      </c>
      <c r="D558" s="664">
        <f>+C558*$M$8</f>
        <v>91823396110.930252</v>
      </c>
      <c r="E558" s="665"/>
      <c r="F558" s="665"/>
      <c r="G558" s="1434" t="s">
        <v>358</v>
      </c>
      <c r="H558" s="1435"/>
      <c r="I558" s="653">
        <f>+I553+I554+I555</f>
        <v>4604125.4057032587</v>
      </c>
      <c r="J558" s="664">
        <f>+I558*$M$8</f>
        <v>92082508114.06517</v>
      </c>
    </row>
    <row r="559" spans="1:11" ht="23.25" customHeight="1">
      <c r="A559" s="652" t="s">
        <v>18</v>
      </c>
      <c r="B559" s="663"/>
      <c r="C559" s="667">
        <f>VLOOKUP(B551,'LƯƠNG KT'!$D$48:$I$92,6,0)</f>
        <v>2835</v>
      </c>
      <c r="D559" s="661" t="str">
        <f>VLOOKUP(B551,'LƯƠNG KT'!$D$48:$P$92,12,0)</f>
        <v>A</v>
      </c>
      <c r="E559" s="668"/>
      <c r="F559" s="668"/>
      <c r="G559" s="652" t="s">
        <v>18</v>
      </c>
      <c r="H559" s="663"/>
      <c r="I559" s="667">
        <f>VLOOKUP(H551,'LƯƠNG KT'!$D$48:$I$92,6,0)</f>
        <v>2843</v>
      </c>
      <c r="J559" s="661" t="str">
        <f>VLOOKUP(H551,'LƯƠNG KT'!$D$48:$P$92,12,0)</f>
        <v>A</v>
      </c>
    </row>
    <row r="560" spans="1:11" ht="23.25" customHeight="1">
      <c r="A560" s="669" t="s">
        <v>19</v>
      </c>
      <c r="B560" s="663" t="s">
        <v>20</v>
      </c>
      <c r="C560" s="670"/>
      <c r="D560" s="661"/>
      <c r="E560" s="671"/>
      <c r="F560" s="671"/>
      <c r="G560" s="669" t="s">
        <v>19</v>
      </c>
      <c r="H560" s="663" t="s">
        <v>20</v>
      </c>
      <c r="I560" s="670"/>
      <c r="J560" s="661"/>
    </row>
    <row r="561" spans="1:11" ht="23.25" customHeight="1">
      <c r="A561" s="674" t="s">
        <v>21</v>
      </c>
      <c r="B561" s="663" t="s">
        <v>22</v>
      </c>
      <c r="C561" s="670"/>
      <c r="D561" s="661"/>
      <c r="E561" s="668"/>
      <c r="F561" s="668"/>
      <c r="G561" s="674" t="s">
        <v>21</v>
      </c>
      <c r="H561" s="663" t="s">
        <v>22</v>
      </c>
      <c r="I561" s="670"/>
      <c r="J561" s="661"/>
    </row>
    <row r="562" spans="1:11" ht="23.25" customHeight="1">
      <c r="A562" s="669" t="s">
        <v>23</v>
      </c>
      <c r="B562" s="663" t="s">
        <v>24</v>
      </c>
      <c r="C562" s="670"/>
      <c r="D562" s="661">
        <f>+D561</f>
        <v>0</v>
      </c>
      <c r="E562" s="677"/>
      <c r="F562" s="677"/>
      <c r="G562" s="669" t="s">
        <v>23</v>
      </c>
      <c r="H562" s="663" t="s">
        <v>24</v>
      </c>
      <c r="I562" s="670"/>
      <c r="J562" s="661">
        <f>+J561</f>
        <v>0</v>
      </c>
    </row>
    <row r="563" spans="1:11" ht="23.25" customHeight="1">
      <c r="A563" s="669" t="s">
        <v>25</v>
      </c>
      <c r="B563" s="663" t="s">
        <v>26</v>
      </c>
      <c r="C563" s="680"/>
      <c r="D563" s="669">
        <f>SUM(D552:D559)-D562</f>
        <v>233200648900.42059</v>
      </c>
      <c r="E563" s="681"/>
      <c r="F563" s="681"/>
      <c r="G563" s="669" t="s">
        <v>25</v>
      </c>
      <c r="H563" s="663" t="s">
        <v>26</v>
      </c>
      <c r="I563" s="680"/>
      <c r="J563" s="669">
        <f>SUM(J552:J559)-J562</f>
        <v>233858702129.1358</v>
      </c>
      <c r="K563" s="696">
        <f>+J563+D563</f>
        <v>467059351029.5564</v>
      </c>
    </row>
    <row r="564" spans="1:11" ht="23.25" customHeight="1">
      <c r="A564" s="683"/>
      <c r="B564" s="684"/>
      <c r="C564" s="685"/>
      <c r="D564" s="686"/>
    </row>
    <row r="565" spans="1:11" ht="23.25" customHeight="1">
      <c r="A565" s="1436" t="str">
        <f>$L$1</f>
        <v>Tháng 12/2025</v>
      </c>
      <c r="B565" s="1436"/>
      <c r="C565" s="1436"/>
      <c r="D565" s="1436"/>
      <c r="E565" s="647"/>
      <c r="F565" s="647"/>
      <c r="G565" s="1436" t="str">
        <f>$L$1</f>
        <v>Tháng 12/2025</v>
      </c>
      <c r="H565" s="1436"/>
      <c r="I565" s="1436"/>
      <c r="J565" s="1436"/>
    </row>
    <row r="566" spans="1:11" ht="23.25" customHeight="1">
      <c r="A566" s="652" t="s">
        <v>12</v>
      </c>
      <c r="B566" s="653" t="str">
        <f>VLOOKUP(C566,'LƯƠNG KT'!$B$48:$D$92,3,0)</f>
        <v>Thảo Đuông Chăn</v>
      </c>
      <c r="C566" s="654">
        <v>40</v>
      </c>
      <c r="D566" s="655">
        <f>VLOOKUP(B566,'LƯƠNG KT'!$D$48:$O$90,11,0)</f>
        <v>361.9426546522343</v>
      </c>
      <c r="E566" s="656"/>
      <c r="F566" s="656"/>
      <c r="G566" s="652" t="s">
        <v>12</v>
      </c>
      <c r="H566" s="653" t="str">
        <f>VLOOKUP(I566,'LƯƠNG KT'!$B$48:$D$92,3,0)</f>
        <v>Nàng Peng</v>
      </c>
      <c r="I566" s="654">
        <v>41</v>
      </c>
      <c r="J566" s="655">
        <f>VLOOKUP(H566,'LƯƠNG KT'!$D$48:$O$90,11,0)</f>
        <v>351.32331026145971</v>
      </c>
    </row>
    <row r="567" spans="1:11" ht="23.25" customHeight="1">
      <c r="A567" s="652" t="s">
        <v>13</v>
      </c>
      <c r="B567" s="660" t="s">
        <v>14</v>
      </c>
      <c r="C567" s="805">
        <f>VLOOKUP(B566,'LƯƠNG KT'!$D$48:$G$92,4,0)</f>
        <v>0</v>
      </c>
      <c r="D567" s="806">
        <f>C567*25000</f>
        <v>0</v>
      </c>
      <c r="E567" s="662"/>
      <c r="F567" s="662"/>
      <c r="G567" s="652" t="s">
        <v>13</v>
      </c>
      <c r="H567" s="660" t="s">
        <v>14</v>
      </c>
      <c r="I567" s="805">
        <f>VLOOKUP(H566,'LƯƠNG KT'!$D$48:$G$92,4,0)</f>
        <v>0</v>
      </c>
      <c r="J567" s="806">
        <f>I567*25000</f>
        <v>0</v>
      </c>
    </row>
    <row r="568" spans="1:11" ht="23.25" customHeight="1">
      <c r="A568" s="652" t="s">
        <v>15</v>
      </c>
      <c r="B568" s="663" t="s">
        <v>16</v>
      </c>
      <c r="C568" s="653">
        <f>VLOOKUP(B566,'LƯƠNG KT'!$D$48:$Q$92,13,0)</f>
        <v>1259560.4381897752</v>
      </c>
      <c r="D568" s="664">
        <f>+C568*$M$2</f>
        <v>38785589152.518471</v>
      </c>
      <c r="E568" s="665"/>
      <c r="F568" s="665"/>
      <c r="G568" s="652" t="s">
        <v>15</v>
      </c>
      <c r="H568" s="663" t="s">
        <v>16</v>
      </c>
      <c r="I568" s="653">
        <f>VLOOKUP(H566,'LƯƠNG KT'!$D$48:$Q$92,13,0)</f>
        <v>1159366.923862817</v>
      </c>
      <c r="J568" s="664">
        <f>+I568*$M$2</f>
        <v>35700334674.363075</v>
      </c>
    </row>
    <row r="569" spans="1:11" ht="23.25" customHeight="1">
      <c r="A569" s="652" t="s">
        <v>357</v>
      </c>
      <c r="B569" s="663"/>
      <c r="C569" s="653">
        <f>VLOOKUP(B566,'LƯƠNG KT'!$D$48:$R$92,14,0)</f>
        <v>26</v>
      </c>
      <c r="D569" s="664">
        <f>+C569*$M$3</f>
        <v>1335519.2240000002</v>
      </c>
      <c r="E569" s="665"/>
      <c r="F569" s="665"/>
      <c r="G569" s="652" t="s">
        <v>357</v>
      </c>
      <c r="H569" s="663"/>
      <c r="I569" s="653">
        <f>VLOOKUP(H566,'LƯƠNG KT'!$D$48:$R$92,14,0)</f>
        <v>26</v>
      </c>
      <c r="J569" s="664">
        <f>+I569*$M$3</f>
        <v>1335519.2240000002</v>
      </c>
    </row>
    <row r="570" spans="1:11" ht="23.25" customHeight="1">
      <c r="A570" s="1434" t="s">
        <v>375</v>
      </c>
      <c r="B570" s="1435"/>
      <c r="C570" s="653">
        <f>VLOOKUP(B566,'LƯƠNG KT'!$D$48:$S$92,15,0)</f>
        <v>3</v>
      </c>
      <c r="D570" s="664">
        <f>+C570*$M$5</f>
        <v>184757.736</v>
      </c>
      <c r="E570" s="665"/>
      <c r="F570" s="665"/>
      <c r="G570" s="1434" t="s">
        <v>375</v>
      </c>
      <c r="H570" s="1435"/>
      <c r="I570" s="653">
        <f>VLOOKUP(H566,'LƯƠNG KT'!$D$48:$S$92,15,0)</f>
        <v>3</v>
      </c>
      <c r="J570" s="664">
        <f>+I570*$M$5</f>
        <v>184757.736</v>
      </c>
    </row>
    <row r="571" spans="1:11" ht="23.25" customHeight="1">
      <c r="A571" s="1434" t="s">
        <v>427</v>
      </c>
      <c r="B571" s="1435"/>
      <c r="C571" s="653">
        <f>+C570</f>
        <v>3</v>
      </c>
      <c r="D571" s="664">
        <f>+C571*$M$7</f>
        <v>300000</v>
      </c>
      <c r="E571" s="665"/>
      <c r="F571" s="665"/>
      <c r="G571" s="1434" t="s">
        <v>427</v>
      </c>
      <c r="H571" s="1435"/>
      <c r="I571" s="653">
        <f>+I570</f>
        <v>3</v>
      </c>
      <c r="J571" s="664">
        <f>+I571*$M$7</f>
        <v>300000</v>
      </c>
    </row>
    <row r="572" spans="1:11" ht="23.25" customHeight="1">
      <c r="A572" s="1434" t="s">
        <v>547</v>
      </c>
      <c r="B572" s="1435"/>
      <c r="C572" s="653">
        <f>+VLOOKUP(B566,'LƯƠNG KT'!$D$85:$W$90,19,0)</f>
        <v>31</v>
      </c>
      <c r="D572" s="664">
        <f>+C572*$M$4</f>
        <v>635697.53200000001</v>
      </c>
      <c r="E572" s="665"/>
      <c r="F572" s="665"/>
      <c r="G572" s="1434" t="s">
        <v>547</v>
      </c>
      <c r="H572" s="1435"/>
      <c r="I572" s="653">
        <f>+VLOOKUP(H566,'LƯƠNG KT'!$D$85:$W$90,19,0)</f>
        <v>31</v>
      </c>
      <c r="J572" s="664">
        <f>+I572*$M$4</f>
        <v>635697.53200000001</v>
      </c>
    </row>
    <row r="573" spans="1:11" ht="23.25" customHeight="1">
      <c r="A573" s="1434" t="s">
        <v>358</v>
      </c>
      <c r="B573" s="1435"/>
      <c r="C573" s="653">
        <f>+C568+C569+C570</f>
        <v>1259589.4381897752</v>
      </c>
      <c r="D573" s="664">
        <f>+C573*$M$8</f>
        <v>25191788763.795506</v>
      </c>
      <c r="E573" s="665"/>
      <c r="F573" s="665"/>
      <c r="G573" s="1434" t="s">
        <v>358</v>
      </c>
      <c r="H573" s="1435"/>
      <c r="I573" s="653">
        <f>+I568+I569+I570</f>
        <v>1159395.923862817</v>
      </c>
      <c r="J573" s="664">
        <f>+I573*$M$8</f>
        <v>23187918477.25634</v>
      </c>
    </row>
    <row r="574" spans="1:11" ht="23.25" customHeight="1">
      <c r="A574" s="652" t="s">
        <v>18</v>
      </c>
      <c r="B574" s="663"/>
      <c r="C574" s="667">
        <f>VLOOKUP(B566,'LƯƠNG KT'!$D$48:$I$92,6,0)</f>
        <v>818</v>
      </c>
      <c r="D574" s="661" t="str">
        <f>VLOOKUP(B566,'LƯƠNG KT'!$D$48:$P$92,12,0)</f>
        <v>B</v>
      </c>
      <c r="E574" s="668"/>
      <c r="F574" s="668"/>
      <c r="G574" s="652" t="s">
        <v>18</v>
      </c>
      <c r="H574" s="663"/>
      <c r="I574" s="667">
        <f>VLOOKUP(H566,'LƯƠNG KT'!$D$48:$I$92,6,0)</f>
        <v>794</v>
      </c>
      <c r="J574" s="661" t="str">
        <f>VLOOKUP(H566,'LƯƠNG KT'!$D$48:$P$92,12,0)</f>
        <v>C</v>
      </c>
    </row>
    <row r="575" spans="1:11" ht="23.25" customHeight="1">
      <c r="A575" s="669" t="s">
        <v>19</v>
      </c>
      <c r="B575" s="663" t="s">
        <v>20</v>
      </c>
      <c r="C575" s="670"/>
      <c r="D575" s="661"/>
      <c r="E575" s="671"/>
      <c r="F575" s="671"/>
      <c r="G575" s="669" t="s">
        <v>19</v>
      </c>
      <c r="H575" s="663" t="s">
        <v>20</v>
      </c>
      <c r="I575" s="670"/>
      <c r="J575" s="661"/>
    </row>
    <row r="576" spans="1:11" ht="23.25" customHeight="1">
      <c r="A576" s="674" t="s">
        <v>21</v>
      </c>
      <c r="B576" s="663" t="s">
        <v>22</v>
      </c>
      <c r="C576" s="670"/>
      <c r="D576" s="661"/>
      <c r="E576" s="668"/>
      <c r="F576" s="668"/>
      <c r="G576" s="674" t="s">
        <v>21</v>
      </c>
      <c r="H576" s="663" t="s">
        <v>22</v>
      </c>
      <c r="I576" s="670"/>
      <c r="J576" s="661"/>
    </row>
    <row r="577" spans="1:11" ht="23.25" customHeight="1">
      <c r="A577" s="669" t="s">
        <v>23</v>
      </c>
      <c r="B577" s="663" t="s">
        <v>24</v>
      </c>
      <c r="C577" s="670"/>
      <c r="D577" s="661">
        <f>+D576</f>
        <v>0</v>
      </c>
      <c r="E577" s="677"/>
      <c r="F577" s="677"/>
      <c r="G577" s="669" t="s">
        <v>23</v>
      </c>
      <c r="H577" s="663" t="s">
        <v>24</v>
      </c>
      <c r="I577" s="670"/>
      <c r="J577" s="661">
        <f>+J576</f>
        <v>0</v>
      </c>
    </row>
    <row r="578" spans="1:11" ht="23.25" customHeight="1">
      <c r="A578" s="669" t="s">
        <v>25</v>
      </c>
      <c r="B578" s="663" t="s">
        <v>26</v>
      </c>
      <c r="C578" s="680"/>
      <c r="D578" s="669">
        <f>SUM(D567:D574)-D577</f>
        <v>63979833890.805969</v>
      </c>
      <c r="E578" s="681"/>
      <c r="F578" s="681"/>
      <c r="G578" s="669" t="s">
        <v>25</v>
      </c>
      <c r="H578" s="663" t="s">
        <v>26</v>
      </c>
      <c r="I578" s="680"/>
      <c r="J578" s="669">
        <f>SUM(J567:J574)-J577</f>
        <v>58890709126.111412</v>
      </c>
      <c r="K578" s="696">
        <f>+J578+D578</f>
        <v>122870543016.91739</v>
      </c>
    </row>
    <row r="579" spans="1:11" ht="23.25" customHeight="1">
      <c r="A579" s="683"/>
      <c r="B579" s="684"/>
      <c r="C579" s="685"/>
      <c r="D579" s="686"/>
    </row>
    <row r="580" spans="1:11" ht="23.25" customHeight="1">
      <c r="A580" s="1436" t="str">
        <f>$L$1</f>
        <v>Tháng 12/2025</v>
      </c>
      <c r="B580" s="1436"/>
      <c r="C580" s="1436"/>
      <c r="D580" s="1436"/>
      <c r="E580" s="647"/>
      <c r="F580" s="647"/>
      <c r="G580" s="1436" t="str">
        <f>$L$1</f>
        <v>Tháng 12/2025</v>
      </c>
      <c r="H580" s="1436"/>
      <c r="I580" s="1436"/>
      <c r="J580" s="1436"/>
    </row>
    <row r="581" spans="1:11" ht="23.25" customHeight="1">
      <c r="A581" s="652" t="s">
        <v>12</v>
      </c>
      <c r="B581" s="653" t="str">
        <f>VLOOKUP(C581,'LƯƠNG KT'!$B$48:$D$92,3,0)</f>
        <v>Thảo Xay Tho</v>
      </c>
      <c r="C581" s="654">
        <v>42</v>
      </c>
      <c r="D581" s="655">
        <f>VLOOKUP(B581,'LƯƠNG KT'!$D$48:$O$90,11,0)</f>
        <v>1011.9350259042296</v>
      </c>
      <c r="E581" s="656"/>
      <c r="F581" s="656"/>
      <c r="G581" s="652" t="s">
        <v>12</v>
      </c>
      <c r="H581" s="653" t="str">
        <f>VLOOKUP(I581,'LƯƠNG KT'!$B$48:$D$92,3,0)</f>
        <v>Nàng Xia Lô</v>
      </c>
      <c r="I581" s="654">
        <v>43</v>
      </c>
      <c r="J581" s="655">
        <f>VLOOKUP(H581,'LƯƠNG KT'!$D$48:$O$90,11,0)</f>
        <v>1218.5697688413854</v>
      </c>
    </row>
    <row r="582" spans="1:11" ht="23.25" customHeight="1">
      <c r="A582" s="652" t="s">
        <v>13</v>
      </c>
      <c r="B582" s="660" t="s">
        <v>14</v>
      </c>
      <c r="C582" s="805">
        <f>VLOOKUP(B581,'LƯƠNG KT'!$D$48:$G$92,4,0)</f>
        <v>0</v>
      </c>
      <c r="D582" s="806">
        <f>C582*25000</f>
        <v>0</v>
      </c>
      <c r="E582" s="662"/>
      <c r="F582" s="662"/>
      <c r="G582" s="652" t="s">
        <v>13</v>
      </c>
      <c r="H582" s="660" t="s">
        <v>14</v>
      </c>
      <c r="I582" s="805">
        <f>VLOOKUP(H581,'LƯƠNG KT'!$D$48:$G$92,4,0)</f>
        <v>0</v>
      </c>
      <c r="J582" s="806">
        <f>I582*25000</f>
        <v>0</v>
      </c>
    </row>
    <row r="583" spans="1:11" ht="23.25" customHeight="1">
      <c r="A583" s="652" t="s">
        <v>15</v>
      </c>
      <c r="B583" s="663" t="s">
        <v>16</v>
      </c>
      <c r="C583" s="653">
        <f>VLOOKUP(B581,'LƯƠNG KT'!$D$48:$Q$92,13,0)</f>
        <v>3703682.1948094801</v>
      </c>
      <c r="D583" s="664">
        <f>+C583*$M$2</f>
        <v>114047322862.75175</v>
      </c>
      <c r="E583" s="665"/>
      <c r="F583" s="665"/>
      <c r="G583" s="652" t="s">
        <v>15</v>
      </c>
      <c r="H583" s="663" t="s">
        <v>16</v>
      </c>
      <c r="I583" s="653">
        <f>VLOOKUP(H581,'LƯƠNG KT'!$D$48:$Q$92,13,0)</f>
        <v>4459965.2939594714</v>
      </c>
      <c r="J583" s="664">
        <f>+I583*$M$2</f>
        <v>137335515058.42108</v>
      </c>
    </row>
    <row r="584" spans="1:11" ht="23.25" customHeight="1">
      <c r="A584" s="652" t="s">
        <v>357</v>
      </c>
      <c r="B584" s="663"/>
      <c r="C584" s="653">
        <f>VLOOKUP(B581,'LƯƠNG KT'!$D$48:$R$92,14,0)</f>
        <v>26</v>
      </c>
      <c r="D584" s="664">
        <f>+C584*$M$3</f>
        <v>1335519.2240000002</v>
      </c>
      <c r="E584" s="665"/>
      <c r="F584" s="665"/>
      <c r="G584" s="652" t="s">
        <v>357</v>
      </c>
      <c r="H584" s="663"/>
      <c r="I584" s="653">
        <f>VLOOKUP(H581,'LƯƠNG KT'!$D$48:$R$92,14,0)</f>
        <v>26</v>
      </c>
      <c r="J584" s="664">
        <f>+I584*$M$3</f>
        <v>1335519.2240000002</v>
      </c>
    </row>
    <row r="585" spans="1:11" ht="23.25" customHeight="1">
      <c r="A585" s="1434" t="s">
        <v>375</v>
      </c>
      <c r="B585" s="1435"/>
      <c r="C585" s="653">
        <f>VLOOKUP(B581,'LƯƠNG KT'!$D$48:$S$92,15,0)</f>
        <v>3</v>
      </c>
      <c r="D585" s="664">
        <f>+C585*$M$5</f>
        <v>184757.736</v>
      </c>
      <c r="E585" s="665"/>
      <c r="F585" s="665"/>
      <c r="G585" s="1434" t="s">
        <v>375</v>
      </c>
      <c r="H585" s="1435"/>
      <c r="I585" s="653">
        <f>VLOOKUP(H581,'LƯƠNG KT'!$D$48:$S$92,15,0)</f>
        <v>3</v>
      </c>
      <c r="J585" s="664">
        <f>+I585*$M$5</f>
        <v>184757.736</v>
      </c>
    </row>
    <row r="586" spans="1:11" ht="23.25" customHeight="1">
      <c r="A586" s="1434" t="s">
        <v>427</v>
      </c>
      <c r="B586" s="1435"/>
      <c r="C586" s="653">
        <f>+C585</f>
        <v>3</v>
      </c>
      <c r="D586" s="664">
        <f>+C586*$M$7</f>
        <v>300000</v>
      </c>
      <c r="E586" s="665"/>
      <c r="F586" s="665"/>
      <c r="G586" s="1434" t="s">
        <v>427</v>
      </c>
      <c r="H586" s="1435"/>
      <c r="I586" s="653">
        <f>+I585</f>
        <v>3</v>
      </c>
      <c r="J586" s="664">
        <f>+I586*$M$7</f>
        <v>300000</v>
      </c>
    </row>
    <row r="587" spans="1:11" ht="23.25" customHeight="1">
      <c r="A587" s="1434" t="s">
        <v>547</v>
      </c>
      <c r="B587" s="1435"/>
      <c r="C587" s="653">
        <f>+VLOOKUP(B581,'LƯƠNG KT'!$D$85:$W$90,19,0)</f>
        <v>31</v>
      </c>
      <c r="D587" s="664">
        <f>+C587*$M$4</f>
        <v>635697.53200000001</v>
      </c>
      <c r="E587" s="665"/>
      <c r="F587" s="665"/>
      <c r="G587" s="1434" t="s">
        <v>547</v>
      </c>
      <c r="H587" s="1435"/>
      <c r="I587" s="653">
        <f>+VLOOKUP(H581,'LƯƠNG KT'!$D$85:$W$90,19,0)</f>
        <v>31</v>
      </c>
      <c r="J587" s="664">
        <f>+I587*$M$4</f>
        <v>635697.53200000001</v>
      </c>
    </row>
    <row r="588" spans="1:11" ht="23.25" customHeight="1">
      <c r="A588" s="1434" t="s">
        <v>358</v>
      </c>
      <c r="B588" s="1435"/>
      <c r="C588" s="653">
        <f>+C583+C584+C585</f>
        <v>3703711.1948094801</v>
      </c>
      <c r="D588" s="664">
        <f>+C588*$M$8</f>
        <v>74074223896.189606</v>
      </c>
      <c r="E588" s="665"/>
      <c r="F588" s="665"/>
      <c r="G588" s="1434" t="s">
        <v>358</v>
      </c>
      <c r="H588" s="1435"/>
      <c r="I588" s="653">
        <f>+I583+I584+I585</f>
        <v>4459994.2939594714</v>
      </c>
      <c r="J588" s="664">
        <f>+I588*$M$8</f>
        <v>89199885879.189423</v>
      </c>
    </row>
    <row r="589" spans="1:11" ht="23.25" customHeight="1">
      <c r="A589" s="652" t="s">
        <v>18</v>
      </c>
      <c r="B589" s="663"/>
      <c r="C589" s="667">
        <f>VLOOKUP(B581,'LƯƠNG KT'!$D$48:$I$92,6,0)</f>
        <v>2287</v>
      </c>
      <c r="D589" s="661" t="str">
        <f>VLOOKUP(B581,'LƯƠNG KT'!$D$48:$P$92,12,0)</f>
        <v>A</v>
      </c>
      <c r="E589" s="668"/>
      <c r="F589" s="668"/>
      <c r="G589" s="652" t="s">
        <v>18</v>
      </c>
      <c r="H589" s="663"/>
      <c r="I589" s="667">
        <f>VLOOKUP(H581,'LƯƠNG KT'!$D$48:$I$92,6,0)</f>
        <v>2754</v>
      </c>
      <c r="J589" s="661" t="str">
        <f>VLOOKUP(H581,'LƯƠNG KT'!$D$48:$P$92,12,0)</f>
        <v>A</v>
      </c>
    </row>
    <row r="590" spans="1:11" ht="23.25" customHeight="1">
      <c r="A590" s="669" t="s">
        <v>19</v>
      </c>
      <c r="B590" s="663" t="s">
        <v>20</v>
      </c>
      <c r="C590" s="670"/>
      <c r="D590" s="661"/>
      <c r="E590" s="671"/>
      <c r="F590" s="671"/>
      <c r="G590" s="669" t="s">
        <v>19</v>
      </c>
      <c r="H590" s="663" t="s">
        <v>20</v>
      </c>
      <c r="I590" s="670"/>
      <c r="J590" s="661"/>
    </row>
    <row r="591" spans="1:11" ht="23.25" customHeight="1">
      <c r="A591" s="674" t="s">
        <v>21</v>
      </c>
      <c r="B591" s="663" t="s">
        <v>22</v>
      </c>
      <c r="C591" s="670"/>
      <c r="D591" s="661"/>
      <c r="E591" s="668"/>
      <c r="F591" s="668"/>
      <c r="G591" s="674" t="s">
        <v>21</v>
      </c>
      <c r="H591" s="663" t="s">
        <v>22</v>
      </c>
      <c r="I591" s="670"/>
      <c r="J591" s="661"/>
    </row>
    <row r="592" spans="1:11" ht="23.25" customHeight="1">
      <c r="A592" s="669" t="s">
        <v>23</v>
      </c>
      <c r="B592" s="663" t="s">
        <v>24</v>
      </c>
      <c r="C592" s="670"/>
      <c r="D592" s="661">
        <f>+D591</f>
        <v>0</v>
      </c>
      <c r="E592" s="677"/>
      <c r="F592" s="677"/>
      <c r="G592" s="669" t="s">
        <v>23</v>
      </c>
      <c r="H592" s="663" t="s">
        <v>24</v>
      </c>
      <c r="I592" s="670"/>
      <c r="J592" s="661">
        <f>+J591</f>
        <v>0</v>
      </c>
    </row>
    <row r="593" spans="1:13" ht="23.25" customHeight="1">
      <c r="A593" s="669" t="s">
        <v>25</v>
      </c>
      <c r="B593" s="663" t="s">
        <v>26</v>
      </c>
      <c r="C593" s="680"/>
      <c r="D593" s="669">
        <f>SUM(D582:D589)-D592</f>
        <v>188124002733.43335</v>
      </c>
      <c r="E593" s="681"/>
      <c r="F593" s="681"/>
      <c r="G593" s="669" t="s">
        <v>25</v>
      </c>
      <c r="H593" s="663" t="s">
        <v>26</v>
      </c>
      <c r="I593" s="680"/>
      <c r="J593" s="669">
        <f>SUM(J582:J589)-J592</f>
        <v>226537856912.10248</v>
      </c>
      <c r="K593" s="696">
        <f>+J593+D593</f>
        <v>414661859645.53583</v>
      </c>
      <c r="L593" s="1080" t="s">
        <v>433</v>
      </c>
      <c r="M593" s="1082">
        <f>+SUM(K284:K593)</f>
        <v>8891122180415.6172</v>
      </c>
    </row>
    <row r="594" spans="1:13" ht="23.25" customHeight="1">
      <c r="A594" s="683"/>
      <c r="B594" s="684"/>
      <c r="C594" s="685"/>
      <c r="D594" s="686"/>
    </row>
    <row r="595" spans="1:13" ht="23.25" customHeight="1">
      <c r="A595" s="1436" t="str">
        <f>$L$1</f>
        <v>Tháng 12/2025</v>
      </c>
      <c r="B595" s="1436"/>
      <c r="C595" s="1436"/>
      <c r="D595" s="1436"/>
      <c r="E595" s="647"/>
      <c r="F595" s="647"/>
      <c r="G595" s="1436" t="str">
        <f>$L$1</f>
        <v>Tháng 12/2025</v>
      </c>
      <c r="H595" s="1436"/>
      <c r="I595" s="1436"/>
      <c r="J595" s="1436"/>
    </row>
    <row r="596" spans="1:13" ht="23.25" customHeight="1">
      <c r="A596" s="652" t="s">
        <v>12</v>
      </c>
      <c r="B596" s="653" t="str">
        <f>VLOOKUP(C596,'LƯƠNG KT'!$B$48:$D$92,3,0)</f>
        <v>Mủ Sirum</v>
      </c>
      <c r="C596" s="654">
        <v>44</v>
      </c>
      <c r="D596" s="655" t="e">
        <f>VLOOKUP(B596,'LƯƠNG KT'!$D$48:$O$90,11,0)</f>
        <v>#N/A</v>
      </c>
      <c r="E596" s="656"/>
      <c r="F596" s="656"/>
      <c r="G596" s="652" t="s">
        <v>12</v>
      </c>
      <c r="H596" s="653" t="e">
        <f>VLOOKUP(I596,'LƯƠNG KT'!$B$48:$D$92,3,0)</f>
        <v>#N/A</v>
      </c>
      <c r="I596" s="654"/>
      <c r="J596" s="655" t="e">
        <f>VLOOKUP(H596,'LƯƠNG KT'!$D$48:$O$90,11,0)</f>
        <v>#N/A</v>
      </c>
    </row>
    <row r="597" spans="1:13" ht="23.25" customHeight="1">
      <c r="A597" s="652" t="s">
        <v>13</v>
      </c>
      <c r="B597" s="660" t="s">
        <v>14</v>
      </c>
      <c r="C597" s="805">
        <f>VLOOKUP(B596,'LƯƠNG KT'!$D$48:$G$92,4,0)</f>
        <v>0</v>
      </c>
      <c r="D597" s="806">
        <f>C597*25000</f>
        <v>0</v>
      </c>
      <c r="E597" s="662"/>
      <c r="F597" s="662"/>
      <c r="G597" s="652" t="s">
        <v>13</v>
      </c>
      <c r="H597" s="660" t="s">
        <v>14</v>
      </c>
      <c r="I597" s="805" t="e">
        <f>VLOOKUP(H596,'LƯƠNG KT'!$D$48:$G$92,4,0)</f>
        <v>#N/A</v>
      </c>
      <c r="J597" s="806" t="e">
        <f>I597*25000</f>
        <v>#N/A</v>
      </c>
    </row>
    <row r="598" spans="1:13" ht="23.25" customHeight="1">
      <c r="A598" s="652" t="s">
        <v>15</v>
      </c>
      <c r="B598" s="663" t="s">
        <v>16</v>
      </c>
      <c r="C598" s="653">
        <f>VLOOKUP(B596,'LƯƠNG KT'!$D$48:$Q$92,13,0)</f>
        <v>347601</v>
      </c>
      <c r="D598" s="664">
        <f>+C598*$M$2</f>
        <v>10703662298.556</v>
      </c>
      <c r="E598" s="665"/>
      <c r="F598" s="665"/>
      <c r="G598" s="652" t="s">
        <v>15</v>
      </c>
      <c r="H598" s="663" t="s">
        <v>16</v>
      </c>
      <c r="I598" s="653" t="e">
        <f>VLOOKUP(H596,'LƯƠNG KT'!$D$48:$Q$92,13,0)</f>
        <v>#N/A</v>
      </c>
      <c r="J598" s="664" t="e">
        <f>+I598*$M$2</f>
        <v>#N/A</v>
      </c>
    </row>
    <row r="599" spans="1:13" ht="23.25" customHeight="1">
      <c r="A599" s="652" t="s">
        <v>357</v>
      </c>
      <c r="B599" s="663"/>
      <c r="C599" s="653">
        <f>VLOOKUP(B596,'LƯƠNG KT'!$D$48:$R$92,14,0)</f>
        <v>0</v>
      </c>
      <c r="D599" s="664">
        <f>+C599*$M$3</f>
        <v>0</v>
      </c>
      <c r="E599" s="665"/>
      <c r="F599" s="665"/>
      <c r="G599" s="652" t="s">
        <v>357</v>
      </c>
      <c r="H599" s="663"/>
      <c r="I599" s="653" t="e">
        <f>VLOOKUP(H596,'LƯƠNG KT'!$D$48:$R$92,14,0)</f>
        <v>#N/A</v>
      </c>
      <c r="J599" s="664" t="e">
        <f>+I599*$M$3</f>
        <v>#N/A</v>
      </c>
    </row>
    <row r="600" spans="1:13" ht="23.25" customHeight="1">
      <c r="A600" s="1434" t="s">
        <v>375</v>
      </c>
      <c r="B600" s="1435"/>
      <c r="C600" s="653">
        <f>VLOOKUP(B596,'LƯƠNG KT'!$D$48:$S$92,15,0)</f>
        <v>0</v>
      </c>
      <c r="D600" s="664">
        <f>+C600*$M$5</f>
        <v>0</v>
      </c>
      <c r="E600" s="665"/>
      <c r="F600" s="665"/>
      <c r="G600" s="1434" t="s">
        <v>375</v>
      </c>
      <c r="H600" s="1435"/>
      <c r="I600" s="653" t="e">
        <f>VLOOKUP(H596,'LƯƠNG KT'!$D$48:$S$92,15,0)</f>
        <v>#N/A</v>
      </c>
      <c r="J600" s="664" t="e">
        <f>+I600*$M$5</f>
        <v>#N/A</v>
      </c>
    </row>
    <row r="601" spans="1:13" ht="23.25" customHeight="1">
      <c r="A601" s="1434" t="s">
        <v>427</v>
      </c>
      <c r="B601" s="1435"/>
      <c r="C601" s="653">
        <f>+C600</f>
        <v>0</v>
      </c>
      <c r="D601" s="664">
        <f>+C601*$M$7</f>
        <v>0</v>
      </c>
      <c r="E601" s="665"/>
      <c r="F601" s="665"/>
      <c r="G601" s="1434" t="s">
        <v>427</v>
      </c>
      <c r="H601" s="1435"/>
      <c r="I601" s="653" t="e">
        <f>+I600</f>
        <v>#N/A</v>
      </c>
      <c r="J601" s="664" t="e">
        <f>+I601*$M$7</f>
        <v>#N/A</v>
      </c>
    </row>
    <row r="602" spans="1:13" ht="23.25" customHeight="1">
      <c r="A602" s="1434" t="s">
        <v>547</v>
      </c>
      <c r="B602" s="1435"/>
      <c r="C602" s="653" t="e">
        <f>+VLOOKUP(B596,'LƯƠNG KT'!$D$85:$W$90,19,0)</f>
        <v>#N/A</v>
      </c>
      <c r="D602" s="664"/>
      <c r="E602" s="665"/>
      <c r="F602" s="665"/>
      <c r="G602" s="1434" t="s">
        <v>547</v>
      </c>
      <c r="H602" s="1435"/>
      <c r="I602" s="653" t="e">
        <f>+VLOOKUP(H596,'LƯƠNG KT'!$D$85:$W$90,19,0)</f>
        <v>#N/A</v>
      </c>
      <c r="J602" s="664" t="e">
        <f>+I602*$M$4</f>
        <v>#N/A</v>
      </c>
    </row>
    <row r="603" spans="1:13" ht="23.25" customHeight="1">
      <c r="A603" s="1434" t="s">
        <v>358</v>
      </c>
      <c r="B603" s="1435"/>
      <c r="C603" s="653">
        <f>+C598+C599+C600</f>
        <v>347601</v>
      </c>
      <c r="D603" s="664">
        <f>+C603*$M$8</f>
        <v>6952020000</v>
      </c>
      <c r="E603" s="665"/>
      <c r="F603" s="665"/>
      <c r="G603" s="1434" t="s">
        <v>358</v>
      </c>
      <c r="H603" s="1435"/>
      <c r="I603" s="653" t="e">
        <f>+I598+I599+I600</f>
        <v>#N/A</v>
      </c>
      <c r="J603" s="664" t="e">
        <f>+I603*$M$8</f>
        <v>#N/A</v>
      </c>
    </row>
    <row r="604" spans="1:13" ht="23.25" customHeight="1">
      <c r="A604" s="652" t="s">
        <v>18</v>
      </c>
      <c r="B604" s="663"/>
      <c r="C604" s="667">
        <f>VLOOKUP(B596,'LƯƠNG KT'!$D$48:$I$92,6,0)</f>
        <v>0</v>
      </c>
      <c r="D604" s="661">
        <f>VLOOKUP(B596,'LƯƠNG KT'!$D$48:$P$92,12,0)</f>
        <v>0</v>
      </c>
      <c r="E604" s="668"/>
      <c r="F604" s="668"/>
      <c r="G604" s="652" t="s">
        <v>18</v>
      </c>
      <c r="H604" s="663"/>
      <c r="I604" s="667" t="e">
        <f>VLOOKUP(H596,'LƯƠNG KT'!$D$48:$I$92,6,0)</f>
        <v>#N/A</v>
      </c>
      <c r="J604" s="661" t="e">
        <f>VLOOKUP(H596,'LƯƠNG KT'!$D$48:$P$92,12,0)</f>
        <v>#N/A</v>
      </c>
    </row>
    <row r="605" spans="1:13" ht="23.25" customHeight="1">
      <c r="A605" s="669" t="s">
        <v>19</v>
      </c>
      <c r="B605" s="663" t="s">
        <v>20</v>
      </c>
      <c r="C605" s="670"/>
      <c r="D605" s="661"/>
      <c r="E605" s="671"/>
      <c r="F605" s="671"/>
      <c r="G605" s="669" t="s">
        <v>19</v>
      </c>
      <c r="H605" s="663" t="s">
        <v>20</v>
      </c>
      <c r="I605" s="670"/>
      <c r="J605" s="661"/>
    </row>
    <row r="606" spans="1:13" ht="23.25" customHeight="1">
      <c r="A606" s="674" t="s">
        <v>21</v>
      </c>
      <c r="B606" s="663" t="s">
        <v>22</v>
      </c>
      <c r="C606" s="670"/>
      <c r="D606" s="661"/>
      <c r="E606" s="668"/>
      <c r="F606" s="668"/>
      <c r="G606" s="674" t="s">
        <v>21</v>
      </c>
      <c r="H606" s="663" t="s">
        <v>22</v>
      </c>
      <c r="I606" s="670"/>
      <c r="J606" s="661"/>
    </row>
    <row r="607" spans="1:13" ht="23.25" customHeight="1">
      <c r="A607" s="669" t="s">
        <v>23</v>
      </c>
      <c r="B607" s="663" t="s">
        <v>24</v>
      </c>
      <c r="C607" s="670"/>
      <c r="D607" s="661">
        <f>+D606</f>
        <v>0</v>
      </c>
      <c r="E607" s="677"/>
      <c r="F607" s="677"/>
      <c r="G607" s="669" t="s">
        <v>23</v>
      </c>
      <c r="H607" s="663" t="s">
        <v>24</v>
      </c>
      <c r="I607" s="670"/>
      <c r="J607" s="661">
        <f>+J606</f>
        <v>0</v>
      </c>
    </row>
    <row r="608" spans="1:13" ht="23.25" customHeight="1">
      <c r="A608" s="669" t="s">
        <v>25</v>
      </c>
      <c r="B608" s="663" t="s">
        <v>26</v>
      </c>
      <c r="C608" s="680"/>
      <c r="D608" s="669">
        <f>SUM(D597:D604)-D607</f>
        <v>17655682298.556</v>
      </c>
      <c r="E608" s="681"/>
      <c r="F608" s="681"/>
      <c r="G608" s="669" t="s">
        <v>25</v>
      </c>
      <c r="H608" s="663" t="s">
        <v>26</v>
      </c>
      <c r="I608" s="680"/>
      <c r="J608" s="669"/>
      <c r="K608" s="696">
        <f>+J608+D608</f>
        <v>17655682298.556</v>
      </c>
      <c r="L608" s="1080" t="s">
        <v>482</v>
      </c>
      <c r="M608" s="1083">
        <f>+'LƯƠNG KT'!Y92</f>
        <v>0</v>
      </c>
    </row>
    <row r="609" spans="1:4" ht="23.25" customHeight="1">
      <c r="A609" s="683"/>
      <c r="B609" s="684"/>
      <c r="C609" s="685"/>
      <c r="D609" s="686"/>
    </row>
  </sheetData>
  <mergeCells count="374">
    <mergeCell ref="A298:D298"/>
    <mergeCell ref="G374:H374"/>
    <mergeCell ref="A388:B388"/>
    <mergeCell ref="G388:H388"/>
    <mergeCell ref="L15:L16"/>
    <mergeCell ref="G536:J536"/>
    <mergeCell ref="G284:J284"/>
    <mergeCell ref="A289:B289"/>
    <mergeCell ref="G289:H289"/>
    <mergeCell ref="A254:B254"/>
    <mergeCell ref="G254:H254"/>
    <mergeCell ref="A255:B255"/>
    <mergeCell ref="G255:H255"/>
    <mergeCell ref="A256:B256"/>
    <mergeCell ref="G256:H256"/>
    <mergeCell ref="A257:B257"/>
    <mergeCell ref="G257:H257"/>
    <mergeCell ref="A264:D264"/>
    <mergeCell ref="G264:J264"/>
    <mergeCell ref="A269:B269"/>
    <mergeCell ref="G269:H269"/>
    <mergeCell ref="A270:B270"/>
    <mergeCell ref="A23:B23"/>
    <mergeCell ref="G23:H23"/>
    <mergeCell ref="G161:H161"/>
    <mergeCell ref="A396:D396"/>
    <mergeCell ref="G332:H332"/>
    <mergeCell ref="A346:B346"/>
    <mergeCell ref="G346:H346"/>
    <mergeCell ref="A555:B555"/>
    <mergeCell ref="G550:J550"/>
    <mergeCell ref="G555:H555"/>
    <mergeCell ref="A528:B528"/>
    <mergeCell ref="G528:H528"/>
    <mergeCell ref="A542:B542"/>
    <mergeCell ref="A373:B373"/>
    <mergeCell ref="G373:H373"/>
    <mergeCell ref="A382:D382"/>
    <mergeCell ref="A550:D550"/>
    <mergeCell ref="G396:J396"/>
    <mergeCell ref="A401:B401"/>
    <mergeCell ref="G401:H401"/>
    <mergeCell ref="A410:D410"/>
    <mergeCell ref="G410:J410"/>
    <mergeCell ref="A402:B402"/>
    <mergeCell ref="G402:H402"/>
    <mergeCell ref="A403:B403"/>
    <mergeCell ref="G403:H403"/>
    <mergeCell ref="A374:B374"/>
    <mergeCell ref="G494:J494"/>
    <mergeCell ref="A499:B499"/>
    <mergeCell ref="G499:H499"/>
    <mergeCell ref="G480:J480"/>
    <mergeCell ref="A485:B485"/>
    <mergeCell ref="G485:H485"/>
    <mergeCell ref="A473:B473"/>
    <mergeCell ref="G473:H473"/>
    <mergeCell ref="A471:B471"/>
    <mergeCell ref="G471:H471"/>
    <mergeCell ref="A472:B472"/>
    <mergeCell ref="G472:H472"/>
    <mergeCell ref="G565:J565"/>
    <mergeCell ref="A558:B558"/>
    <mergeCell ref="A515:B515"/>
    <mergeCell ref="G515:H515"/>
    <mergeCell ref="A38:B38"/>
    <mergeCell ref="G38:H38"/>
    <mergeCell ref="A179:B179"/>
    <mergeCell ref="G179:H179"/>
    <mergeCell ref="A193:B193"/>
    <mergeCell ref="G193:H193"/>
    <mergeCell ref="A223:B223"/>
    <mergeCell ref="G223:H223"/>
    <mergeCell ref="A282:J282"/>
    <mergeCell ref="A210:B210"/>
    <mergeCell ref="G210:H210"/>
    <mergeCell ref="A211:B211"/>
    <mergeCell ref="G211:H211"/>
    <mergeCell ref="G177:H177"/>
    <mergeCell ref="A178:B178"/>
    <mergeCell ref="G178:H178"/>
    <mergeCell ref="A79:D79"/>
    <mergeCell ref="G79:J79"/>
    <mergeCell ref="G298:J298"/>
    <mergeCell ref="A303:B303"/>
    <mergeCell ref="A84:B84"/>
    <mergeCell ref="G84:H84"/>
    <mergeCell ref="A161:B161"/>
    <mergeCell ref="A163:B163"/>
    <mergeCell ref="A457:B457"/>
    <mergeCell ref="G457:H457"/>
    <mergeCell ref="A332:B332"/>
    <mergeCell ref="G541:H541"/>
    <mergeCell ref="G542:H542"/>
    <mergeCell ref="A508:D508"/>
    <mergeCell ref="G508:J508"/>
    <mergeCell ref="A486:B486"/>
    <mergeCell ref="G486:H486"/>
    <mergeCell ref="A500:B500"/>
    <mergeCell ref="G500:H500"/>
    <mergeCell ref="A522:D522"/>
    <mergeCell ref="G522:J522"/>
    <mergeCell ref="A527:B527"/>
    <mergeCell ref="G527:H527"/>
    <mergeCell ref="A501:B501"/>
    <mergeCell ref="G501:H501"/>
    <mergeCell ref="A487:B487"/>
    <mergeCell ref="G487:H487"/>
    <mergeCell ref="A494:D494"/>
    <mergeCell ref="A340:D340"/>
    <mergeCell ref="G340:J340"/>
    <mergeCell ref="A290:B290"/>
    <mergeCell ref="G290:H290"/>
    <mergeCell ref="A304:B304"/>
    <mergeCell ref="G304:H304"/>
    <mergeCell ref="A333:B333"/>
    <mergeCell ref="G333:H333"/>
    <mergeCell ref="A319:B319"/>
    <mergeCell ref="G319:H319"/>
    <mergeCell ref="A312:D312"/>
    <mergeCell ref="G312:J312"/>
    <mergeCell ref="A317:B317"/>
    <mergeCell ref="G317:H317"/>
    <mergeCell ref="A326:D326"/>
    <mergeCell ref="G326:J326"/>
    <mergeCell ref="A331:B331"/>
    <mergeCell ref="G331:H331"/>
    <mergeCell ref="A318:B318"/>
    <mergeCell ref="G318:H318"/>
    <mergeCell ref="A305:B305"/>
    <mergeCell ref="G305:H305"/>
    <mergeCell ref="A291:B291"/>
    <mergeCell ref="G291:H291"/>
    <mergeCell ref="A94:D94"/>
    <mergeCell ref="G94:J94"/>
    <mergeCell ref="A115:B115"/>
    <mergeCell ref="G115:H115"/>
    <mergeCell ref="A195:B195"/>
    <mergeCell ref="G195:H195"/>
    <mergeCell ref="A209:B209"/>
    <mergeCell ref="G209:H209"/>
    <mergeCell ref="A180:B180"/>
    <mergeCell ref="G180:H180"/>
    <mergeCell ref="A194:B194"/>
    <mergeCell ref="G194:H194"/>
    <mergeCell ref="A208:B208"/>
    <mergeCell ref="G208:H208"/>
    <mergeCell ref="A187:D187"/>
    <mergeCell ref="G187:J187"/>
    <mergeCell ref="A192:B192"/>
    <mergeCell ref="G192:H192"/>
    <mergeCell ref="A203:D203"/>
    <mergeCell ref="G163:H163"/>
    <mergeCell ref="A164:B164"/>
    <mergeCell ref="A162:B162"/>
    <mergeCell ref="G162:H162"/>
    <mergeCell ref="G203:J203"/>
    <mergeCell ref="A177:B177"/>
    <mergeCell ref="A24:B24"/>
    <mergeCell ref="G24:H24"/>
    <mergeCell ref="A1:D1"/>
    <mergeCell ref="G1:J1"/>
    <mergeCell ref="A17:D17"/>
    <mergeCell ref="G17:J17"/>
    <mergeCell ref="A6:B6"/>
    <mergeCell ref="A9:B9"/>
    <mergeCell ref="G6:H6"/>
    <mergeCell ref="G9:H9"/>
    <mergeCell ref="A22:B22"/>
    <mergeCell ref="G22:H22"/>
    <mergeCell ref="A8:B8"/>
    <mergeCell ref="G8:H8"/>
    <mergeCell ref="A7:B7"/>
    <mergeCell ref="G7:H7"/>
    <mergeCell ref="G164:H164"/>
    <mergeCell ref="A172:D172"/>
    <mergeCell ref="G172:J172"/>
    <mergeCell ref="A71:B71"/>
    <mergeCell ref="G71:H71"/>
    <mergeCell ref="A131:B131"/>
    <mergeCell ref="A25:B25"/>
    <mergeCell ref="A218:D218"/>
    <mergeCell ref="G218:J218"/>
    <mergeCell ref="A224:B224"/>
    <mergeCell ref="G224:H224"/>
    <mergeCell ref="A225:B225"/>
    <mergeCell ref="G225:H225"/>
    <mergeCell ref="A226:B226"/>
    <mergeCell ref="G226:H226"/>
    <mergeCell ref="A234:D234"/>
    <mergeCell ref="G234:J234"/>
    <mergeCell ref="A239:B239"/>
    <mergeCell ref="G239:H239"/>
    <mergeCell ref="A240:B240"/>
    <mergeCell ref="G240:H240"/>
    <mergeCell ref="A241:B241"/>
    <mergeCell ref="G241:H241"/>
    <mergeCell ref="A242:B242"/>
    <mergeCell ref="A360:B360"/>
    <mergeCell ref="G360:H360"/>
    <mergeCell ref="A354:D354"/>
    <mergeCell ref="G354:J354"/>
    <mergeCell ref="A359:B359"/>
    <mergeCell ref="G359:H359"/>
    <mergeCell ref="G242:H242"/>
    <mergeCell ref="A249:D249"/>
    <mergeCell ref="G249:J249"/>
    <mergeCell ref="G270:H270"/>
    <mergeCell ref="A271:B271"/>
    <mergeCell ref="G271:H271"/>
    <mergeCell ref="A272:B272"/>
    <mergeCell ref="G272:H272"/>
    <mergeCell ref="A345:B345"/>
    <mergeCell ref="G303:H303"/>
    <mergeCell ref="A284:D284"/>
    <mergeCell ref="G25:H25"/>
    <mergeCell ref="G102:H102"/>
    <mergeCell ref="A110:D110"/>
    <mergeCell ref="G110:J110"/>
    <mergeCell ref="A116:B116"/>
    <mergeCell ref="G116:H116"/>
    <mergeCell ref="A117:B117"/>
    <mergeCell ref="G117:H117"/>
    <mergeCell ref="A32:D32"/>
    <mergeCell ref="G32:J32"/>
    <mergeCell ref="A37:B37"/>
    <mergeCell ref="G37:H37"/>
    <mergeCell ref="A39:B39"/>
    <mergeCell ref="A56:B56"/>
    <mergeCell ref="G56:H56"/>
    <mergeCell ref="A63:D63"/>
    <mergeCell ref="G63:J63"/>
    <mergeCell ref="A69:B69"/>
    <mergeCell ref="G69:H69"/>
    <mergeCell ref="A70:B70"/>
    <mergeCell ref="G70:H70"/>
    <mergeCell ref="A87:B87"/>
    <mergeCell ref="G87:H87"/>
    <mergeCell ref="G39:H39"/>
    <mergeCell ref="A600:B600"/>
    <mergeCell ref="G600:H600"/>
    <mergeCell ref="G571:H571"/>
    <mergeCell ref="G558:H558"/>
    <mergeCell ref="A565:D565"/>
    <mergeCell ref="A415:B415"/>
    <mergeCell ref="G415:H415"/>
    <mergeCell ref="A424:D424"/>
    <mergeCell ref="G424:J424"/>
    <mergeCell ref="A416:B416"/>
    <mergeCell ref="G416:H416"/>
    <mergeCell ref="A417:B417"/>
    <mergeCell ref="G417:H417"/>
    <mergeCell ref="A513:B513"/>
    <mergeCell ref="G513:H513"/>
    <mergeCell ref="A514:B514"/>
    <mergeCell ref="G514:H514"/>
    <mergeCell ref="A466:D466"/>
    <mergeCell ref="G466:J466"/>
    <mergeCell ref="A444:B444"/>
    <mergeCell ref="G444:H444"/>
    <mergeCell ref="A458:B458"/>
    <mergeCell ref="G458:H458"/>
    <mergeCell ref="A480:D480"/>
    <mergeCell ref="A586:B586"/>
    <mergeCell ref="G586:H586"/>
    <mergeCell ref="A587:B587"/>
    <mergeCell ref="G587:H587"/>
    <mergeCell ref="A595:D595"/>
    <mergeCell ref="G595:J595"/>
    <mergeCell ref="A570:B570"/>
    <mergeCell ref="G570:H570"/>
    <mergeCell ref="A580:D580"/>
    <mergeCell ref="G580:J580"/>
    <mergeCell ref="A585:B585"/>
    <mergeCell ref="G585:H585"/>
    <mergeCell ref="A571:B571"/>
    <mergeCell ref="A588:B588"/>
    <mergeCell ref="G588:H588"/>
    <mergeCell ref="A573:B573"/>
    <mergeCell ref="G573:H573"/>
    <mergeCell ref="G132:H132"/>
    <mergeCell ref="A133:B133"/>
    <mergeCell ref="G133:H133"/>
    <mergeCell ref="A99:B99"/>
    <mergeCell ref="G99:H99"/>
    <mergeCell ref="A100:B100"/>
    <mergeCell ref="G100:H100"/>
    <mergeCell ref="A101:B101"/>
    <mergeCell ref="G101:H101"/>
    <mergeCell ref="A102:B102"/>
    <mergeCell ref="A118:B118"/>
    <mergeCell ref="G118:H118"/>
    <mergeCell ref="A40:B40"/>
    <mergeCell ref="G40:H40"/>
    <mergeCell ref="A48:D48"/>
    <mergeCell ref="G48:J48"/>
    <mergeCell ref="A53:B53"/>
    <mergeCell ref="G53:H53"/>
    <mergeCell ref="A54:B54"/>
    <mergeCell ref="G54:H54"/>
    <mergeCell ref="A55:B55"/>
    <mergeCell ref="G55:H55"/>
    <mergeCell ref="A68:B68"/>
    <mergeCell ref="G68:H68"/>
    <mergeCell ref="A156:D156"/>
    <mergeCell ref="G156:J156"/>
    <mergeCell ref="A141:D141"/>
    <mergeCell ref="G141:J141"/>
    <mergeCell ref="A146:B146"/>
    <mergeCell ref="G146:H146"/>
    <mergeCell ref="A147:B147"/>
    <mergeCell ref="G147:H147"/>
    <mergeCell ref="A148:B148"/>
    <mergeCell ref="G148:H148"/>
    <mergeCell ref="A149:B149"/>
    <mergeCell ref="G149:H149"/>
    <mergeCell ref="A125:D125"/>
    <mergeCell ref="G125:J125"/>
    <mergeCell ref="A130:B130"/>
    <mergeCell ref="G130:H130"/>
    <mergeCell ref="A85:B85"/>
    <mergeCell ref="G85:H85"/>
    <mergeCell ref="A86:B86"/>
    <mergeCell ref="G86:H86"/>
    <mergeCell ref="G131:H131"/>
    <mergeCell ref="A132:B132"/>
    <mergeCell ref="A557:B557"/>
    <mergeCell ref="G557:H557"/>
    <mergeCell ref="A556:B556"/>
    <mergeCell ref="G556:H556"/>
    <mergeCell ref="G345:H345"/>
    <mergeCell ref="A375:B375"/>
    <mergeCell ref="G375:H375"/>
    <mergeCell ref="A361:B361"/>
    <mergeCell ref="G361:H361"/>
    <mergeCell ref="A389:B389"/>
    <mergeCell ref="G389:H389"/>
    <mergeCell ref="A387:B387"/>
    <mergeCell ref="G387:H387"/>
    <mergeCell ref="G382:J382"/>
    <mergeCell ref="A347:B347"/>
    <mergeCell ref="G347:H347"/>
    <mergeCell ref="A368:D368"/>
    <mergeCell ref="G368:J368"/>
    <mergeCell ref="A543:B543"/>
    <mergeCell ref="A529:B529"/>
    <mergeCell ref="G529:H529"/>
    <mergeCell ref="A536:D536"/>
    <mergeCell ref="A541:B541"/>
    <mergeCell ref="G543:H543"/>
    <mergeCell ref="A603:B603"/>
    <mergeCell ref="G603:H603"/>
    <mergeCell ref="G431:H431"/>
    <mergeCell ref="A429:B429"/>
    <mergeCell ref="G429:H429"/>
    <mergeCell ref="A430:B430"/>
    <mergeCell ref="G430:H430"/>
    <mergeCell ref="A459:B459"/>
    <mergeCell ref="G459:H459"/>
    <mergeCell ref="A445:B445"/>
    <mergeCell ref="G445:H445"/>
    <mergeCell ref="A438:D438"/>
    <mergeCell ref="G438:J438"/>
    <mergeCell ref="A443:B443"/>
    <mergeCell ref="G443:H443"/>
    <mergeCell ref="A452:D452"/>
    <mergeCell ref="G452:J452"/>
    <mergeCell ref="A431:B431"/>
    <mergeCell ref="A601:B601"/>
    <mergeCell ref="G601:H601"/>
    <mergeCell ref="A602:B602"/>
    <mergeCell ref="G602:H602"/>
    <mergeCell ref="A572:B572"/>
    <mergeCell ref="G572:H572"/>
  </mergeCells>
  <pageMargins left="0.26" right="0.19685039370078741" top="0.61" bottom="0.27559055118110237" header="0.19685039370078741" footer="0.19685039370078741"/>
  <pageSetup paperSize="9" scale="69" fitToHeight="0" orientation="portrait" r:id="rId1"/>
  <rowBreaks count="13" manualBreakCount="13">
    <brk id="46" max="9" man="1"/>
    <brk id="93" max="9" man="1"/>
    <brk id="139" max="9" man="1"/>
    <brk id="186" max="9" man="1"/>
    <brk id="232" max="9" man="1"/>
    <brk id="279" max="9" man="1"/>
    <brk id="325" max="9" man="1"/>
    <brk id="367" max="9" man="1"/>
    <brk id="409" max="9" man="1"/>
    <brk id="451" max="9" man="1"/>
    <brk id="493" max="9" man="1"/>
    <brk id="535" max="9" man="1"/>
    <brk id="579" max="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Q38"/>
  <sheetViews>
    <sheetView topLeftCell="A9" zoomScale="70" zoomScaleNormal="70" workbookViewId="0">
      <selection activeCell="O13" sqref="O13"/>
    </sheetView>
  </sheetViews>
  <sheetFormatPr defaultColWidth="9.140625" defaultRowHeight="12.75"/>
  <cols>
    <col min="1" max="1" width="5.5703125" style="162" customWidth="1"/>
    <col min="2" max="2" width="23.28515625" style="162" customWidth="1"/>
    <col min="3" max="3" width="13.5703125" style="162" customWidth="1"/>
    <col min="4" max="5" width="10.5703125" style="162" customWidth="1"/>
    <col min="6" max="6" width="12.28515625" style="162" customWidth="1"/>
    <col min="7" max="7" width="11.5703125" style="162" customWidth="1"/>
    <col min="8" max="9" width="15.7109375" style="162" hidden="1" customWidth="1"/>
    <col min="10" max="10" width="11.7109375" style="162" customWidth="1"/>
    <col min="11" max="11" width="11.5703125" style="162" customWidth="1"/>
    <col min="12" max="12" width="13.28515625" style="162" customWidth="1"/>
    <col min="13" max="13" width="15.7109375" style="162" hidden="1" customWidth="1"/>
    <col min="14" max="14" width="15.7109375" style="162" customWidth="1"/>
    <col min="15" max="15" width="12.28515625" style="162" customWidth="1"/>
    <col min="16" max="16" width="14.5703125" style="162" customWidth="1"/>
    <col min="17" max="17" width="13" style="162" customWidth="1"/>
    <col min="18" max="16384" width="9.140625" style="162"/>
  </cols>
  <sheetData>
    <row r="1" spans="1:17" s="159" customFormat="1" ht="18.75" customHeight="1">
      <c r="A1" s="1398" t="s">
        <v>0</v>
      </c>
      <c r="B1" s="1398"/>
      <c r="C1" s="1398"/>
      <c r="D1" s="1398"/>
      <c r="E1" s="1398"/>
      <c r="F1" s="1398"/>
      <c r="G1" s="1398"/>
      <c r="H1" s="1398"/>
      <c r="I1" s="1398"/>
      <c r="J1" s="1398"/>
      <c r="K1" s="1398"/>
      <c r="L1" s="1398"/>
      <c r="M1" s="1398"/>
      <c r="N1" s="1398"/>
      <c r="O1" s="1398"/>
      <c r="P1" s="1398"/>
      <c r="Q1" s="1398"/>
    </row>
    <row r="2" spans="1:17" s="159" customFormat="1" ht="18.75">
      <c r="A2" s="1398" t="s">
        <v>65</v>
      </c>
      <c r="B2" s="1398"/>
      <c r="C2" s="1398"/>
      <c r="D2" s="1398"/>
      <c r="E2" s="1398"/>
      <c r="F2" s="1398"/>
      <c r="G2" s="1398"/>
      <c r="H2" s="1398"/>
      <c r="I2" s="1398"/>
      <c r="J2" s="1398"/>
      <c r="K2" s="1398"/>
      <c r="L2" s="1398"/>
      <c r="M2" s="1398"/>
      <c r="N2" s="1398"/>
      <c r="O2" s="1398"/>
      <c r="P2" s="1398"/>
      <c r="Q2" s="1398"/>
    </row>
    <row r="3" spans="1:17" s="159" customFormat="1" ht="18.75">
      <c r="A3" s="1399" t="s">
        <v>39</v>
      </c>
      <c r="B3" s="1398"/>
      <c r="C3" s="1398"/>
      <c r="D3" s="1398"/>
      <c r="E3" s="1398"/>
      <c r="F3" s="1398"/>
      <c r="G3" s="1398"/>
      <c r="H3" s="1398"/>
      <c r="I3" s="1398"/>
      <c r="J3" s="1398"/>
      <c r="K3" s="1398"/>
      <c r="L3" s="1398"/>
      <c r="M3" s="1398"/>
      <c r="N3" s="1398"/>
      <c r="O3" s="1398"/>
      <c r="P3" s="1398"/>
      <c r="Q3" s="1398"/>
    </row>
    <row r="4" spans="1:17" s="159" customFormat="1" ht="18.75">
      <c r="A4" s="882" t="s">
        <v>115</v>
      </c>
      <c r="B4" s="882"/>
      <c r="C4" s="882"/>
      <c r="D4" s="851"/>
      <c r="E4" s="613"/>
      <c r="F4" s="613"/>
      <c r="G4" s="613"/>
      <c r="H4" s="613"/>
      <c r="I4" s="613"/>
      <c r="J4" s="613"/>
      <c r="K4" s="613"/>
      <c r="L4" s="883"/>
      <c r="M4" s="883"/>
      <c r="N4" s="613"/>
      <c r="O4" s="613"/>
      <c r="P4" s="613"/>
      <c r="Q4" s="613"/>
    </row>
    <row r="5" spans="1:17" s="159" customFormat="1" ht="18.75">
      <c r="A5" s="1398" t="s">
        <v>223</v>
      </c>
      <c r="B5" s="1398"/>
      <c r="C5" s="1398"/>
      <c r="D5" s="850"/>
      <c r="E5" s="613"/>
      <c r="F5" s="613"/>
      <c r="G5" s="613"/>
      <c r="H5" s="613"/>
      <c r="I5" s="613"/>
      <c r="J5" s="613"/>
      <c r="K5" s="613"/>
      <c r="L5" s="883"/>
      <c r="M5" s="883"/>
      <c r="N5" s="613"/>
      <c r="O5" s="613"/>
      <c r="P5" s="613"/>
      <c r="Q5" s="613"/>
    </row>
    <row r="6" spans="1:17" s="160" customFormat="1" ht="20.25" customHeight="1"/>
    <row r="7" spans="1:17" ht="22.5">
      <c r="A7" s="1440" t="s">
        <v>561</v>
      </c>
      <c r="B7" s="1440"/>
      <c r="C7" s="1440"/>
      <c r="D7" s="1440"/>
      <c r="E7" s="1440"/>
      <c r="F7" s="1440"/>
      <c r="G7" s="1440"/>
      <c r="H7" s="1440"/>
      <c r="I7" s="1440"/>
      <c r="J7" s="1440"/>
      <c r="K7" s="1440"/>
      <c r="L7" s="1440"/>
      <c r="M7" s="1440"/>
      <c r="N7" s="1440"/>
      <c r="O7" s="1440"/>
      <c r="P7" s="1440"/>
      <c r="Q7" s="1440"/>
    </row>
    <row r="8" spans="1:17" ht="19.5" customHeight="1">
      <c r="Q8" s="881" t="s">
        <v>383</v>
      </c>
    </row>
    <row r="9" spans="1:17" ht="115.5" customHeight="1">
      <c r="A9" s="884" t="s">
        <v>41</v>
      </c>
      <c r="B9" s="884" t="s">
        <v>12</v>
      </c>
      <c r="C9" s="884" t="s">
        <v>4</v>
      </c>
      <c r="D9" s="885" t="s">
        <v>177</v>
      </c>
      <c r="E9" s="885" t="s">
        <v>178</v>
      </c>
      <c r="F9" s="885" t="s">
        <v>179</v>
      </c>
      <c r="G9" s="885" t="s">
        <v>180</v>
      </c>
      <c r="H9" s="886" t="s">
        <v>470</v>
      </c>
      <c r="I9" s="886" t="s">
        <v>471</v>
      </c>
      <c r="J9" s="886" t="s">
        <v>593</v>
      </c>
      <c r="K9" s="886" t="s">
        <v>594</v>
      </c>
      <c r="L9" s="887" t="s">
        <v>181</v>
      </c>
      <c r="M9" s="887" t="s">
        <v>150</v>
      </c>
      <c r="N9" s="885" t="s">
        <v>182</v>
      </c>
      <c r="O9" s="886" t="s">
        <v>595</v>
      </c>
      <c r="P9" s="885" t="s">
        <v>183</v>
      </c>
      <c r="Q9" s="887" t="s">
        <v>5</v>
      </c>
    </row>
    <row r="10" spans="1:17" s="334" customFormat="1" ht="24" hidden="1" customHeight="1">
      <c r="A10" s="450"/>
      <c r="B10" s="163"/>
      <c r="C10" s="163"/>
      <c r="D10" s="164"/>
      <c r="E10" s="208" t="s">
        <v>184</v>
      </c>
      <c r="F10" s="208" t="s">
        <v>185</v>
      </c>
      <c r="G10" s="209" t="s">
        <v>186</v>
      </c>
      <c r="H10" s="744"/>
      <c r="I10" s="744"/>
      <c r="J10" s="744"/>
      <c r="K10" s="744"/>
      <c r="L10" s="208" t="s">
        <v>187</v>
      </c>
      <c r="M10" s="165"/>
      <c r="N10" s="208" t="s">
        <v>188</v>
      </c>
      <c r="O10" s="745"/>
      <c r="P10" s="210" t="s">
        <v>189</v>
      </c>
      <c r="Q10" s="167"/>
    </row>
    <row r="11" spans="1:17" s="851" customFormat="1" ht="27" customHeight="1">
      <c r="A11" s="884"/>
      <c r="B11" s="884" t="s">
        <v>147</v>
      </c>
      <c r="C11" s="884"/>
      <c r="D11" s="888"/>
      <c r="E11" s="889"/>
      <c r="F11" s="890"/>
      <c r="G11" s="890"/>
      <c r="H11" s="891"/>
      <c r="I11" s="891"/>
      <c r="J11" s="891"/>
      <c r="K11" s="891"/>
      <c r="L11" s="892">
        <f>+SUM(L12:L17)</f>
        <v>1660</v>
      </c>
      <c r="M11" s="890">
        <f>+SUM(M12:M17)</f>
        <v>0</v>
      </c>
      <c r="N11" s="892">
        <f>+SUM(N12:N17)</f>
        <v>1602.6200000000003</v>
      </c>
      <c r="O11" s="893"/>
      <c r="P11" s="892">
        <f>+SUM(P12:P17)</f>
        <v>3418.8600000000006</v>
      </c>
      <c r="Q11" s="894"/>
    </row>
    <row r="12" spans="1:17" s="613" customFormat="1" ht="33" customHeight="1">
      <c r="A12" s="895">
        <v>1</v>
      </c>
      <c r="B12" s="896" t="s">
        <v>290</v>
      </c>
      <c r="C12" s="897" t="s">
        <v>190</v>
      </c>
      <c r="D12" s="898">
        <v>1</v>
      </c>
      <c r="E12" s="899">
        <v>85</v>
      </c>
      <c r="F12" s="900">
        <v>80.131</v>
      </c>
      <c r="G12" s="901">
        <f>F12/E12</f>
        <v>0.94271764705882355</v>
      </c>
      <c r="H12" s="902"/>
      <c r="I12" s="903"/>
      <c r="J12" s="902">
        <v>7.8120000000000003</v>
      </c>
      <c r="K12" s="904">
        <f>+J12/E12</f>
        <v>9.1905882352941184E-2</v>
      </c>
      <c r="L12" s="898">
        <v>360</v>
      </c>
      <c r="M12" s="905"/>
      <c r="N12" s="906">
        <f>300*G12*D12</f>
        <v>282.81529411764706</v>
      </c>
      <c r="O12" s="906">
        <f>300*D12*K12</f>
        <v>27.571764705882355</v>
      </c>
      <c r="P12" s="906">
        <f>L12+N12+M12+O12</f>
        <v>670.3870588235294</v>
      </c>
      <c r="Q12" s="907"/>
    </row>
    <row r="13" spans="1:17" s="613" customFormat="1" ht="33" customHeight="1">
      <c r="A13" s="908">
        <v>2</v>
      </c>
      <c r="B13" s="909" t="s">
        <v>323</v>
      </c>
      <c r="C13" s="910" t="s">
        <v>191</v>
      </c>
      <c r="D13" s="911">
        <f>+D12</f>
        <v>1</v>
      </c>
      <c r="E13" s="899">
        <f>+E12</f>
        <v>85</v>
      </c>
      <c r="F13" s="900">
        <f>F12</f>
        <v>80.131</v>
      </c>
      <c r="G13" s="901">
        <f t="shared" ref="G13:G17" si="0">F13/E13</f>
        <v>0.94271764705882355</v>
      </c>
      <c r="H13" s="902">
        <f>+H12</f>
        <v>0</v>
      </c>
      <c r="I13" s="903">
        <f t="shared" ref="I13:I17" si="1">+I12</f>
        <v>0</v>
      </c>
      <c r="J13" s="902">
        <f>+J12</f>
        <v>7.8120000000000003</v>
      </c>
      <c r="K13" s="904">
        <f t="shared" ref="K13:K17" si="2">+J13/E13</f>
        <v>9.1905882352941184E-2</v>
      </c>
      <c r="L13" s="911">
        <v>280</v>
      </c>
      <c r="M13" s="912"/>
      <c r="N13" s="906">
        <f>280*G13*D13</f>
        <v>263.96094117647061</v>
      </c>
      <c r="O13" s="906">
        <f>280*D13*K13</f>
        <v>25.733647058823532</v>
      </c>
      <c r="P13" s="906">
        <f t="shared" ref="P13:P17" si="3">L13+N13+M13+O13</f>
        <v>569.69458823529419</v>
      </c>
      <c r="Q13" s="913"/>
    </row>
    <row r="14" spans="1:17" s="613" customFormat="1" ht="33" customHeight="1">
      <c r="A14" s="895">
        <v>3</v>
      </c>
      <c r="B14" s="909" t="s">
        <v>324</v>
      </c>
      <c r="C14" s="910" t="s">
        <v>191</v>
      </c>
      <c r="D14" s="911">
        <f>+D12</f>
        <v>1</v>
      </c>
      <c r="E14" s="899">
        <f>+E12</f>
        <v>85</v>
      </c>
      <c r="F14" s="900">
        <f>F12</f>
        <v>80.131</v>
      </c>
      <c r="G14" s="901">
        <f t="shared" si="0"/>
        <v>0.94271764705882355</v>
      </c>
      <c r="H14" s="902">
        <f>+H12</f>
        <v>0</v>
      </c>
      <c r="I14" s="903">
        <f t="shared" si="1"/>
        <v>0</v>
      </c>
      <c r="J14" s="902">
        <f>+J12</f>
        <v>7.8120000000000003</v>
      </c>
      <c r="K14" s="904">
        <f t="shared" si="2"/>
        <v>9.1905882352941184E-2</v>
      </c>
      <c r="L14" s="911">
        <v>280</v>
      </c>
      <c r="M14" s="912"/>
      <c r="N14" s="906">
        <f>280*G14*D14</f>
        <v>263.96094117647061</v>
      </c>
      <c r="O14" s="906">
        <f>280*D14*K14</f>
        <v>25.733647058823532</v>
      </c>
      <c r="P14" s="906">
        <f t="shared" si="3"/>
        <v>569.69458823529419</v>
      </c>
      <c r="Q14" s="913"/>
    </row>
    <row r="15" spans="1:17" s="613" customFormat="1" ht="33" customHeight="1">
      <c r="A15" s="908">
        <v>4</v>
      </c>
      <c r="B15" s="896" t="s">
        <v>348</v>
      </c>
      <c r="C15" s="897" t="s">
        <v>192</v>
      </c>
      <c r="D15" s="898">
        <f>+D12</f>
        <v>1</v>
      </c>
      <c r="E15" s="898">
        <f>+E12</f>
        <v>85</v>
      </c>
      <c r="F15" s="900">
        <f>F16</f>
        <v>80.131</v>
      </c>
      <c r="G15" s="901">
        <f>F15/E15</f>
        <v>0.94271764705882355</v>
      </c>
      <c r="H15" s="902">
        <f>+H12</f>
        <v>0</v>
      </c>
      <c r="I15" s="903">
        <f t="shared" si="1"/>
        <v>0</v>
      </c>
      <c r="J15" s="902">
        <f>+J12</f>
        <v>7.8120000000000003</v>
      </c>
      <c r="K15" s="904">
        <f t="shared" si="2"/>
        <v>9.1905882352941184E-2</v>
      </c>
      <c r="L15" s="898">
        <v>280</v>
      </c>
      <c r="M15" s="905">
        <v>0</v>
      </c>
      <c r="N15" s="906">
        <f>280*G15*D15</f>
        <v>263.96094117647061</v>
      </c>
      <c r="O15" s="906">
        <f>280*D15*K15</f>
        <v>25.733647058823532</v>
      </c>
      <c r="P15" s="906">
        <f t="shared" si="3"/>
        <v>569.69458823529419</v>
      </c>
      <c r="Q15" s="907"/>
    </row>
    <row r="16" spans="1:17" s="613" customFormat="1" ht="33" customHeight="1">
      <c r="A16" s="895">
        <v>5</v>
      </c>
      <c r="B16" s="896" t="s">
        <v>325</v>
      </c>
      <c r="C16" s="897" t="s">
        <v>192</v>
      </c>
      <c r="D16" s="898">
        <f>+D12</f>
        <v>1</v>
      </c>
      <c r="E16" s="899">
        <f>+E12</f>
        <v>85</v>
      </c>
      <c r="F16" s="900">
        <f>F17</f>
        <v>80.131</v>
      </c>
      <c r="G16" s="901">
        <f>F16/E16</f>
        <v>0.94271764705882355</v>
      </c>
      <c r="H16" s="902">
        <f>+H12</f>
        <v>0</v>
      </c>
      <c r="I16" s="903">
        <f t="shared" si="1"/>
        <v>0</v>
      </c>
      <c r="J16" s="902">
        <f>+J12</f>
        <v>7.8120000000000003</v>
      </c>
      <c r="K16" s="904">
        <f t="shared" si="2"/>
        <v>9.1905882352941184E-2</v>
      </c>
      <c r="L16" s="898">
        <v>230</v>
      </c>
      <c r="M16" s="905"/>
      <c r="N16" s="906">
        <f>280*G16*D16</f>
        <v>263.96094117647061</v>
      </c>
      <c r="O16" s="906">
        <f>280*D16*K16</f>
        <v>25.733647058823532</v>
      </c>
      <c r="P16" s="906">
        <f t="shared" si="3"/>
        <v>519.69458823529419</v>
      </c>
      <c r="Q16" s="907"/>
    </row>
    <row r="17" spans="1:17" s="613" customFormat="1" ht="33" customHeight="1">
      <c r="A17" s="908">
        <v>6</v>
      </c>
      <c r="B17" s="896" t="s">
        <v>314</v>
      </c>
      <c r="C17" s="897" t="s">
        <v>384</v>
      </c>
      <c r="D17" s="898">
        <v>0</v>
      </c>
      <c r="E17" s="899">
        <f>+E12</f>
        <v>85</v>
      </c>
      <c r="F17" s="900">
        <f>F12</f>
        <v>80.131</v>
      </c>
      <c r="G17" s="901">
        <f t="shared" si="0"/>
        <v>0.94271764705882355</v>
      </c>
      <c r="H17" s="742">
        <v>0</v>
      </c>
      <c r="I17" s="903">
        <f t="shared" si="1"/>
        <v>0</v>
      </c>
      <c r="J17" s="902">
        <f>+J12</f>
        <v>7.8120000000000003</v>
      </c>
      <c r="K17" s="904">
        <f t="shared" si="2"/>
        <v>9.1905882352941184E-2</v>
      </c>
      <c r="L17" s="898">
        <v>230</v>
      </c>
      <c r="M17" s="905"/>
      <c r="N17" s="906">
        <f>280*G17</f>
        <v>263.96094117647061</v>
      </c>
      <c r="O17" s="906">
        <f>280*K17</f>
        <v>25.733647058823532</v>
      </c>
      <c r="P17" s="906">
        <f t="shared" si="3"/>
        <v>519.69458823529419</v>
      </c>
      <c r="Q17" s="907"/>
    </row>
    <row r="18" spans="1:17" s="161" customFormat="1" ht="21" customHeight="1">
      <c r="A18" s="159"/>
      <c r="B18" s="159"/>
      <c r="C18" s="159"/>
      <c r="D18" s="159"/>
      <c r="E18" s="159"/>
      <c r="F18" s="159"/>
      <c r="G18" s="168"/>
      <c r="H18" s="168"/>
      <c r="I18" s="168"/>
      <c r="J18" s="168"/>
      <c r="K18" s="168"/>
      <c r="L18" s="159"/>
      <c r="M18" s="159"/>
      <c r="N18" s="1442"/>
      <c r="O18" s="1443"/>
      <c r="P18" s="1442"/>
      <c r="Q18" s="1442"/>
    </row>
    <row r="19" spans="1:17" s="161" customFormat="1" ht="30" customHeight="1">
      <c r="A19" s="159"/>
      <c r="B19" s="159"/>
      <c r="C19" s="159"/>
      <c r="D19" s="159"/>
      <c r="E19" s="159"/>
      <c r="F19" s="159"/>
      <c r="G19" s="168"/>
      <c r="H19" s="168"/>
      <c r="I19" s="168"/>
      <c r="J19" s="168"/>
      <c r="K19" s="168"/>
      <c r="L19" s="1441" t="s">
        <v>562</v>
      </c>
      <c r="M19" s="1441"/>
      <c r="N19" s="1441"/>
      <c r="O19" s="1441"/>
      <c r="P19" s="1441"/>
      <c r="Q19" s="1441"/>
    </row>
    <row r="20" spans="1:17" s="879" customFormat="1" ht="19.5" customHeight="1">
      <c r="A20" s="1439" t="s">
        <v>35</v>
      </c>
      <c r="B20" s="1439"/>
      <c r="C20" s="1439"/>
      <c r="D20" s="1439" t="s">
        <v>525</v>
      </c>
      <c r="E20" s="1439"/>
      <c r="F20" s="1439" t="s">
        <v>515</v>
      </c>
      <c r="G20" s="1439"/>
      <c r="I20" s="880"/>
      <c r="J20" s="879" t="s">
        <v>472</v>
      </c>
      <c r="L20" s="1439" t="s">
        <v>473</v>
      </c>
      <c r="M20" s="1439"/>
      <c r="N20" s="1439"/>
      <c r="P20" s="1439" t="s">
        <v>108</v>
      </c>
      <c r="Q20" s="1439"/>
    </row>
    <row r="21" spans="1:17" s="159" customFormat="1" ht="16.5">
      <c r="G21" s="169"/>
      <c r="H21" s="169"/>
      <c r="I21" s="169"/>
      <c r="J21" s="169"/>
      <c r="K21" s="169"/>
    </row>
    <row r="22" spans="1:17" s="159" customFormat="1" ht="16.5"/>
    <row r="23" spans="1:17" s="159" customFormat="1" ht="16.5"/>
    <row r="24" spans="1:17" s="159" customFormat="1" ht="20.25">
      <c r="E24" s="166"/>
      <c r="F24" s="161"/>
      <c r="G24" s="161"/>
      <c r="H24" s="161"/>
      <c r="I24" s="161"/>
      <c r="J24" s="161"/>
      <c r="K24" s="161"/>
      <c r="Q24" s="170"/>
    </row>
    <row r="25" spans="1:17" s="159" customFormat="1" ht="16.5"/>
    <row r="26" spans="1:17" s="879" customFormat="1" ht="24" customHeight="1">
      <c r="F26" s="1439" t="s">
        <v>524</v>
      </c>
      <c r="G26" s="1439"/>
      <c r="L26" s="1439" t="s">
        <v>110</v>
      </c>
      <c r="M26" s="1439"/>
      <c r="N26" s="1439"/>
      <c r="P26" s="1439" t="s">
        <v>290</v>
      </c>
      <c r="Q26" s="1439"/>
    </row>
    <row r="27" spans="1:17" s="159" customFormat="1" ht="16.5"/>
    <row r="28" spans="1:17" s="159" customFormat="1" ht="16.5"/>
    <row r="29" spans="1:17" s="159" customFormat="1" ht="16.5"/>
    <row r="30" spans="1:17" s="159" customFormat="1" ht="16.5"/>
    <row r="31" spans="1:17" s="159" customFormat="1" ht="16.5"/>
    <row r="32" spans="1:17" s="159" customFormat="1" ht="16.5"/>
    <row r="33" spans="1:17" s="159" customFormat="1" ht="16.5"/>
    <row r="34" spans="1:17" s="159" customFormat="1" ht="16.5"/>
    <row r="35" spans="1:17" s="159" customFormat="1" ht="16.5"/>
    <row r="36" spans="1:17" s="159" customFormat="1" ht="16.5"/>
    <row r="37" spans="1:17" s="159" customFormat="1" ht="16.5"/>
    <row r="38" spans="1:17" s="159" customFormat="1" ht="16.5">
      <c r="A38" s="162"/>
      <c r="B38" s="162"/>
      <c r="C38" s="162"/>
      <c r="D38" s="162"/>
      <c r="E38" s="162"/>
      <c r="F38" s="162"/>
      <c r="G38" s="162"/>
      <c r="H38" s="162"/>
      <c r="I38" s="162"/>
      <c r="J38" s="162"/>
      <c r="K38" s="162"/>
      <c r="L38" s="162"/>
      <c r="M38" s="162"/>
      <c r="N38" s="162"/>
      <c r="O38" s="162"/>
      <c r="P38" s="162"/>
      <c r="Q38" s="162"/>
    </row>
  </sheetData>
  <mergeCells count="15">
    <mergeCell ref="A1:Q1"/>
    <mergeCell ref="A2:Q2"/>
    <mergeCell ref="A3:Q3"/>
    <mergeCell ref="A5:C5"/>
    <mergeCell ref="N18:Q18"/>
    <mergeCell ref="F26:G26"/>
    <mergeCell ref="L26:N26"/>
    <mergeCell ref="P20:Q20"/>
    <mergeCell ref="P26:Q26"/>
    <mergeCell ref="A7:Q7"/>
    <mergeCell ref="L19:Q19"/>
    <mergeCell ref="L20:N20"/>
    <mergeCell ref="F20:G20"/>
    <mergeCell ref="D20:E20"/>
    <mergeCell ref="A20:C20"/>
  </mergeCells>
  <printOptions horizontalCentered="1"/>
  <pageMargins left="0" right="0" top="0.32" bottom="0.28000000000000003" header="0.2" footer="0.2"/>
  <pageSetup paperSize="9" scale="8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27"/>
  <sheetViews>
    <sheetView topLeftCell="B5" zoomScale="70" zoomScaleNormal="70" zoomScaleSheetLayoutView="85" workbookViewId="0">
      <selection activeCell="Y26" sqref="Y26"/>
    </sheetView>
  </sheetViews>
  <sheetFormatPr defaultColWidth="9.140625" defaultRowHeight="16.5"/>
  <cols>
    <col min="1" max="1" width="1" style="36" hidden="1" customWidth="1"/>
    <col min="2" max="2" width="6.42578125" style="36" customWidth="1"/>
    <col min="3" max="3" width="16.28515625" style="36" customWidth="1"/>
    <col min="4" max="4" width="10.28515625" style="36" customWidth="1"/>
    <col min="5" max="33" width="5" style="36" customWidth="1"/>
    <col min="34" max="35" width="4.7109375" style="36" customWidth="1"/>
    <col min="36" max="36" width="8.28515625" style="36" customWidth="1"/>
    <col min="37" max="37" width="0.85546875" style="36" hidden="1" customWidth="1"/>
    <col min="38" max="38" width="9.28515625" style="36" customWidth="1"/>
    <col min="39" max="47" width="9.140625" style="36" hidden="1" customWidth="1"/>
    <col min="48" max="48" width="6.85546875" style="36" customWidth="1"/>
    <col min="49" max="49" width="10.140625" style="36" customWidth="1"/>
    <col min="50" max="16384" width="9.140625" style="36"/>
  </cols>
  <sheetData>
    <row r="1" spans="2:49" s="32" customFormat="1" ht="21" customHeight="1">
      <c r="B1" s="1444" t="s">
        <v>37</v>
      </c>
      <c r="C1" s="1444"/>
      <c r="D1" s="1444"/>
      <c r="E1" s="1444"/>
      <c r="F1" s="1444"/>
      <c r="G1" s="1444"/>
      <c r="H1" s="1444"/>
      <c r="I1" s="1444"/>
      <c r="J1" s="1444"/>
      <c r="K1" s="1444"/>
      <c r="L1" s="1444"/>
      <c r="M1" s="1444"/>
      <c r="N1" s="1444"/>
      <c r="O1" s="1444"/>
      <c r="P1" s="1444"/>
      <c r="Q1" s="1444"/>
      <c r="R1" s="1444"/>
      <c r="S1" s="1444"/>
      <c r="T1" s="1444"/>
      <c r="U1" s="1444"/>
      <c r="V1" s="1444"/>
      <c r="W1" s="1444"/>
      <c r="X1" s="1444"/>
      <c r="Y1" s="1444"/>
      <c r="Z1" s="1444"/>
      <c r="AA1" s="1444"/>
      <c r="AB1" s="1444"/>
      <c r="AC1" s="1444"/>
      <c r="AD1" s="1444"/>
      <c r="AE1" s="1444"/>
      <c r="AF1" s="1444"/>
      <c r="AG1" s="1444"/>
      <c r="AH1" s="1444"/>
      <c r="AI1" s="1444"/>
      <c r="AJ1" s="1444"/>
      <c r="AK1" s="1444"/>
      <c r="AL1" s="1444"/>
      <c r="AO1" s="37">
        <v>1</v>
      </c>
      <c r="AP1" s="37">
        <v>2</v>
      </c>
      <c r="AQ1" s="37">
        <v>3</v>
      </c>
      <c r="AR1" s="37">
        <v>4</v>
      </c>
      <c r="AS1" s="37">
        <v>5</v>
      </c>
      <c r="AT1" s="37">
        <v>6</v>
      </c>
      <c r="AU1" s="37">
        <v>7</v>
      </c>
    </row>
    <row r="2" spans="2:49" s="32" customFormat="1" ht="18.75">
      <c r="B2" s="1444" t="s">
        <v>38</v>
      </c>
      <c r="C2" s="1444"/>
      <c r="D2" s="1444"/>
      <c r="E2" s="1444"/>
      <c r="F2" s="1444"/>
      <c r="G2" s="1444"/>
      <c r="H2" s="1444"/>
      <c r="I2" s="1444"/>
      <c r="J2" s="1444"/>
      <c r="K2" s="1444"/>
      <c r="L2" s="1444"/>
      <c r="M2" s="1444"/>
      <c r="N2" s="1444"/>
      <c r="O2" s="1444"/>
      <c r="P2" s="1444"/>
      <c r="Q2" s="1444"/>
      <c r="R2" s="1444"/>
      <c r="S2" s="1444"/>
      <c r="T2" s="1444"/>
      <c r="U2" s="1444"/>
      <c r="V2" s="1444"/>
      <c r="W2" s="1444"/>
      <c r="X2" s="1444"/>
      <c r="Y2" s="1444"/>
      <c r="Z2" s="1444"/>
      <c r="AA2" s="1444"/>
      <c r="AB2" s="1444"/>
      <c r="AC2" s="1444"/>
      <c r="AD2" s="1444"/>
      <c r="AE2" s="1444"/>
      <c r="AF2" s="1444"/>
      <c r="AG2" s="1444"/>
      <c r="AH2" s="1444"/>
      <c r="AI2" s="1444"/>
      <c r="AJ2" s="1444"/>
      <c r="AK2" s="1444"/>
      <c r="AL2" s="1444"/>
      <c r="AO2" s="37" t="s">
        <v>30</v>
      </c>
      <c r="AP2" s="37" t="s">
        <v>159</v>
      </c>
      <c r="AQ2" s="37" t="s">
        <v>160</v>
      </c>
      <c r="AR2" s="37" t="s">
        <v>161</v>
      </c>
      <c r="AS2" s="37" t="s">
        <v>10</v>
      </c>
      <c r="AT2" s="37" t="s">
        <v>162</v>
      </c>
      <c r="AU2" s="37" t="s">
        <v>163</v>
      </c>
    </row>
    <row r="3" spans="2:49" s="32" customFormat="1" ht="18.75">
      <c r="B3" s="1445" t="s">
        <v>39</v>
      </c>
      <c r="C3" s="1444"/>
      <c r="D3" s="1444"/>
      <c r="E3" s="1444"/>
      <c r="F3" s="1444"/>
      <c r="G3" s="1444"/>
      <c r="H3" s="1444"/>
      <c r="I3" s="1444"/>
      <c r="J3" s="1444"/>
      <c r="K3" s="1444"/>
      <c r="L3" s="1444"/>
      <c r="M3" s="1444"/>
      <c r="N3" s="1444"/>
      <c r="O3" s="1444"/>
      <c r="P3" s="1444"/>
      <c r="Q3" s="1444"/>
      <c r="R3" s="1444"/>
      <c r="S3" s="1444"/>
      <c r="T3" s="1444"/>
      <c r="U3" s="1444"/>
      <c r="V3" s="1444"/>
      <c r="W3" s="1444"/>
      <c r="X3" s="1444"/>
      <c r="Y3" s="1444"/>
      <c r="Z3" s="1444"/>
      <c r="AA3" s="1444"/>
      <c r="AB3" s="1444"/>
      <c r="AC3" s="1444"/>
      <c r="AD3" s="1444"/>
      <c r="AE3" s="1444"/>
      <c r="AF3" s="1444"/>
      <c r="AG3" s="1444"/>
      <c r="AH3" s="1444"/>
      <c r="AI3" s="1444"/>
      <c r="AJ3" s="1444"/>
      <c r="AK3" s="1444"/>
      <c r="AL3" s="1444"/>
      <c r="AO3" s="37"/>
      <c r="AP3" s="37"/>
      <c r="AQ3" s="37"/>
      <c r="AR3" s="37"/>
      <c r="AS3" s="37"/>
      <c r="AT3" s="37"/>
      <c r="AU3" s="37"/>
    </row>
    <row r="4" spans="2:49" s="32" customFormat="1" ht="18.75">
      <c r="B4" s="1446" t="s">
        <v>130</v>
      </c>
      <c r="C4" s="1446"/>
      <c r="D4" s="1446"/>
      <c r="E4" s="1446"/>
      <c r="F4" s="1446"/>
      <c r="G4" s="1446"/>
      <c r="H4" s="1446"/>
      <c r="I4" s="1446"/>
      <c r="J4" s="1446"/>
      <c r="K4" s="1446"/>
      <c r="L4" s="914"/>
      <c r="M4" s="914"/>
      <c r="N4" s="914"/>
      <c r="O4" s="914"/>
      <c r="P4" s="914"/>
      <c r="Q4" s="914"/>
      <c r="R4" s="914"/>
      <c r="S4" s="914"/>
      <c r="T4" s="914"/>
      <c r="U4" s="914"/>
      <c r="V4" s="914"/>
      <c r="W4" s="914"/>
      <c r="X4" s="914"/>
      <c r="Y4" s="914"/>
      <c r="Z4" s="914"/>
      <c r="AA4" s="914"/>
      <c r="AB4" s="914"/>
      <c r="AC4" s="914"/>
      <c r="AD4" s="914"/>
      <c r="AE4" s="914"/>
      <c r="AF4" s="914"/>
      <c r="AG4" s="914"/>
      <c r="AH4" s="914"/>
      <c r="AI4" s="914"/>
      <c r="AJ4" s="914"/>
      <c r="AK4" s="914"/>
      <c r="AL4" s="914"/>
      <c r="AO4" s="37"/>
      <c r="AP4" s="37"/>
      <c r="AQ4" s="37"/>
      <c r="AR4" s="37"/>
      <c r="AS4" s="37"/>
      <c r="AT4" s="37"/>
      <c r="AU4" s="37"/>
    </row>
    <row r="5" spans="2:49" s="32" customFormat="1" ht="18.75">
      <c r="B5" s="1444" t="s">
        <v>223</v>
      </c>
      <c r="C5" s="1444"/>
      <c r="D5" s="1444"/>
      <c r="E5" s="1444"/>
      <c r="F5" s="1444"/>
      <c r="G5" s="1444"/>
      <c r="H5" s="1444"/>
      <c r="I5" s="1444"/>
      <c r="J5" s="1444"/>
      <c r="K5" s="1444"/>
      <c r="L5" s="914"/>
      <c r="M5" s="914"/>
      <c r="N5" s="914"/>
      <c r="O5" s="914"/>
      <c r="P5" s="914"/>
      <c r="Q5" s="914"/>
      <c r="R5" s="914"/>
      <c r="S5" s="914"/>
      <c r="T5" s="914"/>
      <c r="U5" s="914"/>
      <c r="V5" s="914"/>
      <c r="W5" s="914"/>
      <c r="X5" s="914"/>
      <c r="Y5" s="914"/>
      <c r="Z5" s="914"/>
      <c r="AA5" s="914"/>
      <c r="AB5" s="914"/>
      <c r="AC5" s="914"/>
      <c r="AD5" s="914"/>
      <c r="AE5" s="914"/>
      <c r="AF5" s="914"/>
      <c r="AG5" s="914"/>
      <c r="AH5" s="914"/>
      <c r="AI5" s="914"/>
      <c r="AJ5" s="914"/>
      <c r="AK5" s="914"/>
      <c r="AL5" s="914"/>
      <c r="AO5" s="37"/>
      <c r="AP5" s="37"/>
      <c r="AQ5" s="37"/>
      <c r="AR5" s="37"/>
      <c r="AS5" s="37"/>
      <c r="AT5" s="37"/>
      <c r="AU5" s="37"/>
    </row>
    <row r="6" spans="2:49" s="32" customFormat="1">
      <c r="B6" s="707"/>
      <c r="C6" s="707"/>
      <c r="D6" s="707"/>
      <c r="E6" s="707"/>
      <c r="F6" s="707"/>
      <c r="G6" s="707"/>
      <c r="H6" s="707"/>
      <c r="I6" s="707"/>
      <c r="J6" s="707"/>
      <c r="K6" s="707"/>
      <c r="L6" s="707"/>
      <c r="M6" s="707"/>
      <c r="N6" s="707"/>
      <c r="O6" s="707"/>
      <c r="P6" s="707"/>
      <c r="Q6" s="707"/>
      <c r="R6" s="707"/>
      <c r="S6" s="707"/>
      <c r="T6" s="707"/>
      <c r="U6" s="707"/>
      <c r="V6" s="707"/>
      <c r="W6" s="707"/>
      <c r="X6" s="707"/>
      <c r="Y6" s="707"/>
      <c r="Z6" s="707"/>
      <c r="AA6" s="707"/>
      <c r="AB6" s="707"/>
      <c r="AC6" s="707"/>
      <c r="AD6" s="707"/>
      <c r="AE6" s="707"/>
      <c r="AF6" s="707"/>
      <c r="AG6" s="707"/>
      <c r="AH6" s="707"/>
      <c r="AI6" s="707"/>
      <c r="AJ6" s="707"/>
      <c r="AK6" s="707"/>
      <c r="AL6" s="707"/>
      <c r="AO6" s="707"/>
      <c r="AP6" s="707"/>
      <c r="AQ6" s="707"/>
      <c r="AR6" s="707"/>
      <c r="AS6" s="707"/>
      <c r="AT6" s="707"/>
      <c r="AU6" s="707"/>
    </row>
    <row r="7" spans="2:49" ht="34.5" customHeight="1">
      <c r="E7" s="1447" t="s">
        <v>315</v>
      </c>
      <c r="F7" s="1447"/>
      <c r="G7" s="1447"/>
      <c r="H7" s="1447"/>
      <c r="I7" s="1447"/>
      <c r="J7" s="1447"/>
      <c r="K7" s="1447"/>
      <c r="L7" s="1447"/>
      <c r="M7" s="1447"/>
      <c r="N7" s="1447"/>
      <c r="O7" s="1447"/>
      <c r="P7" s="1447"/>
      <c r="Q7" s="1447"/>
      <c r="R7" s="1447"/>
      <c r="S7" s="1447"/>
      <c r="T7" s="1447"/>
      <c r="U7" s="1447"/>
      <c r="V7" s="1447"/>
      <c r="W7" s="1447"/>
      <c r="X7" s="1447"/>
      <c r="Y7" s="1447"/>
      <c r="Z7" s="1447"/>
      <c r="AA7" s="1447"/>
      <c r="AB7" s="1447"/>
      <c r="AC7" s="1447"/>
      <c r="AD7" s="1447"/>
      <c r="AE7" s="1447"/>
      <c r="AF7" s="1447"/>
      <c r="AG7" s="1447"/>
      <c r="AH7" s="1447"/>
      <c r="AI7" s="1447"/>
    </row>
    <row r="8" spans="2:49" ht="16.5" customHeight="1">
      <c r="B8" s="1448" t="s">
        <v>165</v>
      </c>
      <c r="C8" s="1448"/>
      <c r="D8" s="37">
        <v>2025</v>
      </c>
      <c r="E8" s="1449" t="str">
        <f>"Tháng "&amp;IF(LEN($D$9)=1,"0"&amp;$D$9,$D$9)&amp;" năm "&amp;D8</f>
        <v>Tháng 12 năm 2025</v>
      </c>
      <c r="F8" s="1449"/>
      <c r="G8" s="1449"/>
      <c r="H8" s="1449"/>
      <c r="I8" s="1449"/>
      <c r="J8" s="1449"/>
      <c r="K8" s="1449"/>
      <c r="L8" s="1449"/>
      <c r="M8" s="1449"/>
      <c r="N8" s="1449"/>
      <c r="O8" s="1449"/>
      <c r="P8" s="1449"/>
      <c r="Q8" s="1449"/>
      <c r="R8" s="1449"/>
      <c r="S8" s="1449"/>
      <c r="T8" s="1449"/>
      <c r="U8" s="1449"/>
      <c r="V8" s="1449"/>
      <c r="W8" s="1449"/>
      <c r="X8" s="1449"/>
      <c r="Y8" s="1449"/>
      <c r="Z8" s="1449"/>
      <c r="AA8" s="1449"/>
      <c r="AB8" s="1449"/>
      <c r="AC8" s="1449"/>
      <c r="AD8" s="1449"/>
      <c r="AE8" s="1449"/>
      <c r="AF8" s="1449"/>
      <c r="AG8" s="1449"/>
      <c r="AH8" s="1449"/>
      <c r="AI8" s="1449"/>
    </row>
    <row r="9" spans="2:49" ht="22.5" customHeight="1">
      <c r="B9" s="1450" t="s">
        <v>166</v>
      </c>
      <c r="C9" s="1450"/>
      <c r="D9" s="37">
        <v>12</v>
      </c>
    </row>
    <row r="10" spans="2:49" s="33" customFormat="1" ht="22.5" customHeight="1">
      <c r="B10" s="1453" t="s">
        <v>3</v>
      </c>
      <c r="C10" s="1455" t="s">
        <v>12</v>
      </c>
      <c r="D10" s="1455" t="s">
        <v>4</v>
      </c>
      <c r="E10" s="504">
        <v>1</v>
      </c>
      <c r="F10" s="504">
        <v>2</v>
      </c>
      <c r="G10" s="504">
        <v>3</v>
      </c>
      <c r="H10" s="504">
        <v>4</v>
      </c>
      <c r="I10" s="504">
        <v>5</v>
      </c>
      <c r="J10" s="504">
        <v>6</v>
      </c>
      <c r="K10" s="504">
        <v>7</v>
      </c>
      <c r="L10" s="504">
        <v>8</v>
      </c>
      <c r="M10" s="504">
        <v>9</v>
      </c>
      <c r="N10" s="504">
        <v>10</v>
      </c>
      <c r="O10" s="504">
        <v>11</v>
      </c>
      <c r="P10" s="504">
        <v>12</v>
      </c>
      <c r="Q10" s="504">
        <v>13</v>
      </c>
      <c r="R10" s="504">
        <v>14</v>
      </c>
      <c r="S10" s="504">
        <v>15</v>
      </c>
      <c r="T10" s="504">
        <v>16</v>
      </c>
      <c r="U10" s="504">
        <v>17</v>
      </c>
      <c r="V10" s="504">
        <v>18</v>
      </c>
      <c r="W10" s="504">
        <v>19</v>
      </c>
      <c r="X10" s="504">
        <v>20</v>
      </c>
      <c r="Y10" s="504">
        <v>21</v>
      </c>
      <c r="Z10" s="504">
        <v>22</v>
      </c>
      <c r="AA10" s="504">
        <v>23</v>
      </c>
      <c r="AB10" s="504">
        <v>24</v>
      </c>
      <c r="AC10" s="504">
        <v>25</v>
      </c>
      <c r="AD10" s="504">
        <v>26</v>
      </c>
      <c r="AE10" s="504">
        <v>27</v>
      </c>
      <c r="AF10" s="504">
        <v>28</v>
      </c>
      <c r="AG10" s="504">
        <f>IF(DAY(DATE(D8,D9+1,1)-1)&lt;29,"",29)</f>
        <v>29</v>
      </c>
      <c r="AH10" s="504">
        <v>30</v>
      </c>
      <c r="AI10" s="504">
        <v>31</v>
      </c>
      <c r="AJ10" s="1455" t="s">
        <v>27</v>
      </c>
      <c r="AK10" s="1455" t="s">
        <v>167</v>
      </c>
      <c r="AL10" s="1455" t="s">
        <v>5</v>
      </c>
    </row>
    <row r="11" spans="2:49" s="33" customFormat="1" ht="42" customHeight="1">
      <c r="B11" s="1454"/>
      <c r="C11" s="1456"/>
      <c r="D11" s="1456"/>
      <c r="E11" s="915" t="str">
        <f t="shared" ref="E11:AI11" si="0">IF(E10="","",HLOOKUP(WEEKDAY(DATE($D$8,$D$9,E10)),$AO$1:$AU$2,2,0))</f>
        <v>Hai</v>
      </c>
      <c r="F11" s="915" t="str">
        <f t="shared" si="0"/>
        <v>Ba</v>
      </c>
      <c r="G11" s="915" t="str">
        <f t="shared" si="0"/>
        <v>Tư</v>
      </c>
      <c r="H11" s="915" t="str">
        <f t="shared" si="0"/>
        <v>Năm</v>
      </c>
      <c r="I11" s="915" t="str">
        <f t="shared" si="0"/>
        <v>Sáu</v>
      </c>
      <c r="J11" s="915" t="str">
        <f t="shared" si="0"/>
        <v>Bảy</v>
      </c>
      <c r="K11" s="915" t="str">
        <f t="shared" si="0"/>
        <v>CN</v>
      </c>
      <c r="L11" s="915" t="str">
        <f t="shared" si="0"/>
        <v>Hai</v>
      </c>
      <c r="M11" s="915" t="str">
        <f t="shared" si="0"/>
        <v>Ba</v>
      </c>
      <c r="N11" s="915" t="str">
        <f t="shared" si="0"/>
        <v>Tư</v>
      </c>
      <c r="O11" s="915" t="str">
        <f t="shared" si="0"/>
        <v>Năm</v>
      </c>
      <c r="P11" s="915" t="str">
        <f t="shared" si="0"/>
        <v>Sáu</v>
      </c>
      <c r="Q11" s="915" t="str">
        <f t="shared" si="0"/>
        <v>Bảy</v>
      </c>
      <c r="R11" s="915" t="str">
        <f t="shared" si="0"/>
        <v>CN</v>
      </c>
      <c r="S11" s="915" t="str">
        <f t="shared" si="0"/>
        <v>Hai</v>
      </c>
      <c r="T11" s="915" t="str">
        <f t="shared" si="0"/>
        <v>Ba</v>
      </c>
      <c r="U11" s="915" t="str">
        <f t="shared" si="0"/>
        <v>Tư</v>
      </c>
      <c r="V11" s="915" t="str">
        <f t="shared" si="0"/>
        <v>Năm</v>
      </c>
      <c r="W11" s="915" t="str">
        <f t="shared" si="0"/>
        <v>Sáu</v>
      </c>
      <c r="X11" s="915" t="str">
        <f t="shared" si="0"/>
        <v>Bảy</v>
      </c>
      <c r="Y11" s="915" t="str">
        <f t="shared" si="0"/>
        <v>CN</v>
      </c>
      <c r="Z11" s="915" t="str">
        <f t="shared" si="0"/>
        <v>Hai</v>
      </c>
      <c r="AA11" s="915" t="str">
        <f t="shared" si="0"/>
        <v>Ba</v>
      </c>
      <c r="AB11" s="915" t="str">
        <f t="shared" si="0"/>
        <v>Tư</v>
      </c>
      <c r="AC11" s="915" t="str">
        <f t="shared" si="0"/>
        <v>Năm</v>
      </c>
      <c r="AD11" s="915" t="str">
        <f t="shared" si="0"/>
        <v>Sáu</v>
      </c>
      <c r="AE11" s="915" t="str">
        <f t="shared" si="0"/>
        <v>Bảy</v>
      </c>
      <c r="AF11" s="915" t="str">
        <f t="shared" si="0"/>
        <v>CN</v>
      </c>
      <c r="AG11" s="916" t="str">
        <f t="shared" si="0"/>
        <v>Hai</v>
      </c>
      <c r="AH11" s="916" t="str">
        <f t="shared" si="0"/>
        <v>Ba</v>
      </c>
      <c r="AI11" s="504" t="str">
        <f t="shared" si="0"/>
        <v>Tư</v>
      </c>
      <c r="AJ11" s="1456"/>
      <c r="AK11" s="1456"/>
      <c r="AL11" s="1456"/>
    </row>
    <row r="12" spans="2:49" ht="36.75" customHeight="1">
      <c r="B12" s="504">
        <v>1</v>
      </c>
      <c r="C12" s="503" t="s">
        <v>49</v>
      </c>
      <c r="D12" s="504" t="s">
        <v>313</v>
      </c>
      <c r="E12" s="504" t="s">
        <v>123</v>
      </c>
      <c r="F12" s="504" t="s">
        <v>123</v>
      </c>
      <c r="G12" s="504" t="s">
        <v>123</v>
      </c>
      <c r="H12" s="504" t="s">
        <v>123</v>
      </c>
      <c r="I12" s="504" t="s">
        <v>123</v>
      </c>
      <c r="J12" s="504" t="s">
        <v>123</v>
      </c>
      <c r="K12" s="504" t="s">
        <v>123</v>
      </c>
      <c r="L12" s="504" t="s">
        <v>123</v>
      </c>
      <c r="M12" s="504" t="s">
        <v>123</v>
      </c>
      <c r="N12" s="504" t="s">
        <v>123</v>
      </c>
      <c r="O12" s="504" t="s">
        <v>123</v>
      </c>
      <c r="P12" s="504" t="s">
        <v>123</v>
      </c>
      <c r="Q12" s="504" t="s">
        <v>123</v>
      </c>
      <c r="R12" s="504" t="s">
        <v>123</v>
      </c>
      <c r="S12" s="504" t="s">
        <v>123</v>
      </c>
      <c r="T12" s="504" t="s">
        <v>123</v>
      </c>
      <c r="U12" s="504" t="s">
        <v>123</v>
      </c>
      <c r="V12" s="504" t="s">
        <v>123</v>
      </c>
      <c r="W12" s="504" t="s">
        <v>123</v>
      </c>
      <c r="X12" s="504" t="s">
        <v>123</v>
      </c>
      <c r="Y12" s="504" t="s">
        <v>123</v>
      </c>
      <c r="Z12" s="504" t="s">
        <v>123</v>
      </c>
      <c r="AA12" s="504" t="s">
        <v>123</v>
      </c>
      <c r="AB12" s="504" t="s">
        <v>123</v>
      </c>
      <c r="AC12" s="504" t="s">
        <v>123</v>
      </c>
      <c r="AD12" s="504" t="s">
        <v>123</v>
      </c>
      <c r="AE12" s="504" t="s">
        <v>123</v>
      </c>
      <c r="AF12" s="504" t="s">
        <v>123</v>
      </c>
      <c r="AG12" s="504" t="s">
        <v>123</v>
      </c>
      <c r="AH12" s="504" t="s">
        <v>123</v>
      </c>
      <c r="AI12" s="504" t="s">
        <v>123</v>
      </c>
      <c r="AJ12" s="504">
        <f>COUNTIF(E12:AI12,"X")+COUNTIF(E12:AI12,"P")+COUNTIF(E12:AI12,"PT")</f>
        <v>31</v>
      </c>
      <c r="AK12" s="40">
        <f>COUNTIF(E12:AI12,"TT")</f>
        <v>0</v>
      </c>
      <c r="AL12" s="40"/>
      <c r="AW12" s="41"/>
    </row>
    <row r="13" spans="2:49" ht="36.75" customHeight="1">
      <c r="B13" s="504">
        <v>2</v>
      </c>
      <c r="C13" s="503" t="s">
        <v>312</v>
      </c>
      <c r="D13" s="504" t="s">
        <v>313</v>
      </c>
      <c r="E13" s="504" t="s">
        <v>123</v>
      </c>
      <c r="F13" s="504" t="s">
        <v>123</v>
      </c>
      <c r="G13" s="504" t="s">
        <v>123</v>
      </c>
      <c r="H13" s="504" t="s">
        <v>123</v>
      </c>
      <c r="I13" s="504" t="s">
        <v>123</v>
      </c>
      <c r="J13" s="504" t="s">
        <v>123</v>
      </c>
      <c r="K13" s="504" t="s">
        <v>123</v>
      </c>
      <c r="L13" s="504" t="s">
        <v>123</v>
      </c>
      <c r="M13" s="504" t="s">
        <v>123</v>
      </c>
      <c r="N13" s="504" t="s">
        <v>123</v>
      </c>
      <c r="O13" s="504" t="s">
        <v>123</v>
      </c>
      <c r="P13" s="504" t="s">
        <v>123</v>
      </c>
      <c r="Q13" s="504" t="s">
        <v>123</v>
      </c>
      <c r="R13" s="504" t="s">
        <v>123</v>
      </c>
      <c r="S13" s="504" t="s">
        <v>123</v>
      </c>
      <c r="T13" s="504" t="s">
        <v>123</v>
      </c>
      <c r="U13" s="504" t="s">
        <v>123</v>
      </c>
      <c r="V13" s="504" t="s">
        <v>123</v>
      </c>
      <c r="W13" s="504" t="s">
        <v>123</v>
      </c>
      <c r="X13" s="504" t="s">
        <v>123</v>
      </c>
      <c r="Y13" s="504" t="s">
        <v>123</v>
      </c>
      <c r="Z13" s="504" t="s">
        <v>123</v>
      </c>
      <c r="AA13" s="504" t="s">
        <v>123</v>
      </c>
      <c r="AB13" s="504" t="s">
        <v>123</v>
      </c>
      <c r="AC13" s="504" t="s">
        <v>123</v>
      </c>
      <c r="AD13" s="504" t="s">
        <v>123</v>
      </c>
      <c r="AE13" s="504" t="s">
        <v>123</v>
      </c>
      <c r="AF13" s="504" t="s">
        <v>123</v>
      </c>
      <c r="AG13" s="504" t="s">
        <v>123</v>
      </c>
      <c r="AH13" s="504" t="s">
        <v>123</v>
      </c>
      <c r="AI13" s="504" t="s">
        <v>123</v>
      </c>
      <c r="AJ13" s="504">
        <f>COUNTIF(E13:AI13,"X")+COUNTIF(E13:AI13,"P")+COUNTIF(E13:AI13,"PT")</f>
        <v>31</v>
      </c>
      <c r="AK13" s="40">
        <f>COUNTIF(E13:AI13,"TT")</f>
        <v>0</v>
      </c>
      <c r="AL13" s="40"/>
      <c r="AW13" s="41"/>
    </row>
    <row r="14" spans="2:49" ht="36.75" customHeight="1">
      <c r="B14" s="505">
        <v>3</v>
      </c>
      <c r="C14" s="503" t="s">
        <v>396</v>
      </c>
      <c r="D14" s="506" t="s">
        <v>313</v>
      </c>
      <c r="E14" s="504" t="s">
        <v>123</v>
      </c>
      <c r="F14" s="504" t="s">
        <v>123</v>
      </c>
      <c r="G14" s="504" t="s">
        <v>123</v>
      </c>
      <c r="H14" s="504" t="s">
        <v>123</v>
      </c>
      <c r="I14" s="504" t="s">
        <v>123</v>
      </c>
      <c r="J14" s="504" t="s">
        <v>123</v>
      </c>
      <c r="K14" s="504" t="s">
        <v>123</v>
      </c>
      <c r="L14" s="504" t="s">
        <v>123</v>
      </c>
      <c r="M14" s="504" t="s">
        <v>123</v>
      </c>
      <c r="N14" s="504" t="s">
        <v>123</v>
      </c>
      <c r="O14" s="504" t="s">
        <v>123</v>
      </c>
      <c r="P14" s="504" t="s">
        <v>123</v>
      </c>
      <c r="Q14" s="504" t="s">
        <v>123</v>
      </c>
      <c r="R14" s="504" t="s">
        <v>123</v>
      </c>
      <c r="S14" s="504" t="s">
        <v>123</v>
      </c>
      <c r="T14" s="504" t="s">
        <v>123</v>
      </c>
      <c r="U14" s="504" t="s">
        <v>123</v>
      </c>
      <c r="V14" s="504" t="s">
        <v>123</v>
      </c>
      <c r="W14" s="504" t="s">
        <v>123</v>
      </c>
      <c r="X14" s="504" t="s">
        <v>123</v>
      </c>
      <c r="Y14" s="504" t="s">
        <v>123</v>
      </c>
      <c r="Z14" s="504" t="s">
        <v>123</v>
      </c>
      <c r="AA14" s="504" t="s">
        <v>123</v>
      </c>
      <c r="AB14" s="504" t="s">
        <v>123</v>
      </c>
      <c r="AC14" s="504" t="s">
        <v>123</v>
      </c>
      <c r="AD14" s="504" t="s">
        <v>123</v>
      </c>
      <c r="AE14" s="504" t="s">
        <v>123</v>
      </c>
      <c r="AF14" s="504" t="s">
        <v>123</v>
      </c>
      <c r="AG14" s="504" t="s">
        <v>123</v>
      </c>
      <c r="AH14" s="504" t="s">
        <v>123</v>
      </c>
      <c r="AI14" s="504" t="s">
        <v>123</v>
      </c>
      <c r="AJ14" s="504">
        <f>COUNTIF(E14:AI14,"X")+COUNTIF(E14:AI14,"P")+COUNTIF(E14:AI14,"PT")</f>
        <v>31</v>
      </c>
      <c r="AK14" s="40"/>
      <c r="AL14" s="40"/>
      <c r="AW14" s="41"/>
    </row>
    <row r="15" spans="2:49" s="32" customFormat="1" ht="36.75" customHeight="1">
      <c r="B15" s="1451" t="s">
        <v>168</v>
      </c>
      <c r="C15" s="1452"/>
      <c r="D15" s="507"/>
      <c r="E15" s="508">
        <f>COUNTIF(E12:E14,"X")+COUNTIF(E12:E13,"P")</f>
        <v>3</v>
      </c>
      <c r="F15" s="508">
        <f t="shared" ref="F15:AG15" si="1">COUNTIF(F12:F14,"X")+COUNTIF(F12:F13,"P")</f>
        <v>3</v>
      </c>
      <c r="G15" s="508">
        <f t="shared" si="1"/>
        <v>3</v>
      </c>
      <c r="H15" s="508">
        <f t="shared" si="1"/>
        <v>3</v>
      </c>
      <c r="I15" s="508">
        <f t="shared" si="1"/>
        <v>3</v>
      </c>
      <c r="J15" s="508">
        <f t="shared" si="1"/>
        <v>3</v>
      </c>
      <c r="K15" s="508">
        <f t="shared" si="1"/>
        <v>3</v>
      </c>
      <c r="L15" s="508">
        <f t="shared" si="1"/>
        <v>3</v>
      </c>
      <c r="M15" s="508">
        <f t="shared" si="1"/>
        <v>3</v>
      </c>
      <c r="N15" s="508">
        <f t="shared" si="1"/>
        <v>3</v>
      </c>
      <c r="O15" s="508">
        <f t="shared" si="1"/>
        <v>3</v>
      </c>
      <c r="P15" s="508">
        <f t="shared" si="1"/>
        <v>3</v>
      </c>
      <c r="Q15" s="508">
        <f t="shared" si="1"/>
        <v>3</v>
      </c>
      <c r="R15" s="508">
        <f t="shared" si="1"/>
        <v>3</v>
      </c>
      <c r="S15" s="508">
        <f t="shared" si="1"/>
        <v>3</v>
      </c>
      <c r="T15" s="508">
        <f t="shared" si="1"/>
        <v>3</v>
      </c>
      <c r="U15" s="508">
        <f t="shared" si="1"/>
        <v>3</v>
      </c>
      <c r="V15" s="508">
        <f t="shared" si="1"/>
        <v>3</v>
      </c>
      <c r="W15" s="508">
        <f t="shared" si="1"/>
        <v>3</v>
      </c>
      <c r="X15" s="508">
        <f t="shared" si="1"/>
        <v>3</v>
      </c>
      <c r="Y15" s="508">
        <f t="shared" si="1"/>
        <v>3</v>
      </c>
      <c r="Z15" s="508">
        <f t="shared" si="1"/>
        <v>3</v>
      </c>
      <c r="AA15" s="508">
        <f t="shared" si="1"/>
        <v>3</v>
      </c>
      <c r="AB15" s="508">
        <f t="shared" si="1"/>
        <v>3</v>
      </c>
      <c r="AC15" s="508">
        <f t="shared" si="1"/>
        <v>3</v>
      </c>
      <c r="AD15" s="508">
        <f t="shared" si="1"/>
        <v>3</v>
      </c>
      <c r="AE15" s="508">
        <f t="shared" si="1"/>
        <v>3</v>
      </c>
      <c r="AF15" s="508">
        <f t="shared" si="1"/>
        <v>3</v>
      </c>
      <c r="AG15" s="508">
        <f t="shared" si="1"/>
        <v>3</v>
      </c>
      <c r="AH15" s="508">
        <f>COUNTIF(AH12:AH14,"X")+COUNTIF(AH12:AH13,"P")</f>
        <v>3</v>
      </c>
      <c r="AI15" s="508">
        <f>COUNTIF(AI12:AI14,"X")+COUNTIF(AI12:AI13,"P")</f>
        <v>3</v>
      </c>
      <c r="AJ15" s="509">
        <f>SUM(AJ12:AK14)</f>
        <v>93</v>
      </c>
      <c r="AK15" s="39" t="e">
        <f>SUM(#REF!,#REF!,#REF!,#REF!)</f>
        <v>#REF!</v>
      </c>
      <c r="AL15" s="39"/>
    </row>
    <row r="16" spans="2:49" s="510" customFormat="1" ht="24.75" customHeight="1">
      <c r="B16" s="1457" t="s">
        <v>124</v>
      </c>
      <c r="C16" s="1457"/>
      <c r="D16" s="510" t="s">
        <v>353</v>
      </c>
      <c r="AA16" s="1458" t="s">
        <v>553</v>
      </c>
      <c r="AB16" s="1458"/>
      <c r="AC16" s="1458"/>
      <c r="AD16" s="1458"/>
      <c r="AE16" s="1458"/>
      <c r="AF16" s="1458"/>
      <c r="AG16" s="1458"/>
      <c r="AH16" s="1458"/>
      <c r="AI16" s="1458"/>
      <c r="AJ16" s="1458"/>
      <c r="AK16" s="1458"/>
      <c r="AL16" s="1458"/>
    </row>
    <row r="17" spans="1:38" s="32" customFormat="1" ht="16.5" hidden="1" customHeight="1">
      <c r="C17" s="36"/>
      <c r="D17" s="36"/>
      <c r="AA17" s="1449"/>
      <c r="AB17" s="1449"/>
      <c r="AC17" s="1449"/>
      <c r="AD17" s="1449"/>
      <c r="AE17" s="1449"/>
      <c r="AF17" s="1449"/>
      <c r="AG17" s="1449"/>
      <c r="AH17" s="1449"/>
      <c r="AI17" s="1449"/>
      <c r="AJ17" s="1449"/>
      <c r="AK17" s="1449"/>
      <c r="AL17" s="1449"/>
    </row>
    <row r="18" spans="1:38" s="34" customFormat="1" ht="16.5" customHeight="1"/>
    <row r="19" spans="1:38" s="490" customFormat="1" ht="18.75">
      <c r="A19" s="1402" t="s">
        <v>170</v>
      </c>
      <c r="B19" s="1402"/>
      <c r="C19" s="1402"/>
      <c r="D19" s="1402"/>
      <c r="E19" s="1402"/>
      <c r="F19" s="1402"/>
      <c r="G19" s="1402"/>
      <c r="H19" s="1402"/>
      <c r="I19" s="1402" t="s">
        <v>296</v>
      </c>
      <c r="J19" s="1402"/>
      <c r="K19" s="1402"/>
      <c r="L19" s="1402"/>
      <c r="M19" s="1402"/>
      <c r="N19" s="1402"/>
      <c r="O19" s="1402"/>
      <c r="P19" s="1402"/>
      <c r="Q19" s="1402"/>
      <c r="R19" s="1402"/>
      <c r="S19" s="1402"/>
      <c r="T19" s="1402"/>
      <c r="U19" s="494"/>
      <c r="V19" s="1402" t="s">
        <v>108</v>
      </c>
      <c r="W19" s="1402"/>
      <c r="X19" s="1402"/>
      <c r="Y19" s="1402"/>
      <c r="Z19" s="1402"/>
      <c r="AA19" s="1402"/>
      <c r="AB19" s="1402"/>
      <c r="AC19" s="1402"/>
      <c r="AD19" s="1402"/>
      <c r="AE19" s="1402" t="s">
        <v>33</v>
      </c>
      <c r="AF19" s="1402"/>
      <c r="AG19" s="1402"/>
      <c r="AH19" s="1402"/>
      <c r="AI19" s="1402"/>
      <c r="AJ19" s="1402"/>
      <c r="AK19" s="1402"/>
      <c r="AL19" s="1402"/>
    </row>
    <row r="27" spans="1:38" ht="24" customHeight="1">
      <c r="B27" s="1439" t="s">
        <v>524</v>
      </c>
      <c r="C27" s="1439"/>
      <c r="D27" s="1439"/>
      <c r="E27" s="1439"/>
      <c r="F27" s="1439"/>
      <c r="G27" s="1439"/>
      <c r="H27" s="1439"/>
      <c r="I27" s="1439" t="s">
        <v>110</v>
      </c>
      <c r="J27" s="1439"/>
      <c r="K27" s="1439"/>
      <c r="L27" s="1439"/>
      <c r="M27" s="1439"/>
      <c r="N27" s="1439"/>
      <c r="O27" s="1439"/>
      <c r="P27" s="1439"/>
      <c r="Q27" s="1439"/>
      <c r="R27" s="1439"/>
      <c r="S27" s="1439"/>
      <c r="T27" s="1439"/>
      <c r="V27" s="1439" t="s">
        <v>290</v>
      </c>
      <c r="W27" s="1439"/>
      <c r="X27" s="1439"/>
      <c r="Y27" s="1439"/>
      <c r="Z27" s="1439"/>
      <c r="AA27" s="1439"/>
      <c r="AB27" s="1439"/>
      <c r="AC27" s="1439"/>
      <c r="AD27" s="1439"/>
      <c r="AE27" s="1392" t="s">
        <v>314</v>
      </c>
      <c r="AF27" s="1392"/>
      <c r="AG27" s="1392"/>
      <c r="AH27" s="1392"/>
      <c r="AI27" s="1392"/>
      <c r="AJ27" s="1392"/>
      <c r="AK27" s="1392"/>
      <c r="AL27" s="1392"/>
    </row>
  </sheetData>
  <mergeCells count="27">
    <mergeCell ref="AJ10:AJ11"/>
    <mergeCell ref="AK10:AK11"/>
    <mergeCell ref="AL10:AL11"/>
    <mergeCell ref="B16:C16"/>
    <mergeCell ref="AA17:AL17"/>
    <mergeCell ref="AA16:AL16"/>
    <mergeCell ref="E7:AI7"/>
    <mergeCell ref="B8:C8"/>
    <mergeCell ref="E8:AI8"/>
    <mergeCell ref="B9:C9"/>
    <mergeCell ref="B15:C15"/>
    <mergeCell ref="B10:B11"/>
    <mergeCell ref="C10:C11"/>
    <mergeCell ref="D10:D11"/>
    <mergeCell ref="B1:AL1"/>
    <mergeCell ref="B2:AL2"/>
    <mergeCell ref="B3:AL3"/>
    <mergeCell ref="B4:K4"/>
    <mergeCell ref="B5:K5"/>
    <mergeCell ref="A19:H19"/>
    <mergeCell ref="B27:H27"/>
    <mergeCell ref="I27:T27"/>
    <mergeCell ref="V27:AD27"/>
    <mergeCell ref="AE27:AL27"/>
    <mergeCell ref="I19:T19"/>
    <mergeCell ref="V19:AD19"/>
    <mergeCell ref="AE19:AL19"/>
  </mergeCells>
  <pageMargins left="0.2" right="0.2" top="0.53" bottom="0.74803149606299213" header="0.31496062992125984" footer="0.31496062992125984"/>
  <pageSetup paperSize="9" scale="70" fitToHeight="0"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AD33"/>
  <sheetViews>
    <sheetView showGridLines="0" topLeftCell="A13" zoomScale="70" zoomScaleNormal="70" zoomScaleSheetLayoutView="70" workbookViewId="0">
      <selection activeCell="I18" sqref="I18"/>
    </sheetView>
  </sheetViews>
  <sheetFormatPr defaultColWidth="9.140625" defaultRowHeight="15"/>
  <cols>
    <col min="1" max="1" width="6" style="48" customWidth="1"/>
    <col min="2" max="2" width="7" style="48" hidden="1" customWidth="1"/>
    <col min="3" max="3" width="5.7109375" style="48" hidden="1" customWidth="1"/>
    <col min="4" max="4" width="27.140625" style="48" customWidth="1"/>
    <col min="5" max="5" width="18" style="48" hidden="1" customWidth="1"/>
    <col min="6" max="6" width="13.42578125" style="48" customWidth="1"/>
    <col min="7" max="7" width="14.140625" style="48" customWidth="1"/>
    <col min="8" max="8" width="17.85546875" style="48" customWidth="1"/>
    <col min="9" max="9" width="20.5703125" style="48" customWidth="1"/>
    <col min="10" max="10" width="31.7109375" style="48" customWidth="1"/>
    <col min="11" max="11" width="15" style="48" customWidth="1"/>
    <col min="12" max="13" width="16.5703125" style="48" customWidth="1"/>
    <col min="14" max="14" width="12.7109375" style="48" customWidth="1"/>
    <col min="15" max="15" width="10.28515625" style="48" customWidth="1"/>
    <col min="16" max="16" width="9.140625" style="48" customWidth="1"/>
    <col min="17" max="17" width="11.7109375" style="48" customWidth="1"/>
    <col min="18" max="18" width="17.85546875" style="48" customWidth="1"/>
    <col min="19" max="19" width="15.7109375" style="48" customWidth="1"/>
    <col min="20" max="21" width="9.140625" style="48"/>
    <col min="22" max="23" width="9.140625" style="48" hidden="1" customWidth="1"/>
    <col min="24" max="29" width="9.140625" style="48"/>
    <col min="30" max="30" width="9.140625" style="48" hidden="1" customWidth="1"/>
    <col min="31" max="16384" width="9.140625" style="48"/>
  </cols>
  <sheetData>
    <row r="1" spans="1:19" s="151" customFormat="1" ht="18.75">
      <c r="A1" s="1398" t="s">
        <v>0</v>
      </c>
      <c r="B1" s="1398"/>
      <c r="C1" s="1398"/>
      <c r="D1" s="1398"/>
      <c r="E1" s="1398"/>
      <c r="F1" s="1398"/>
      <c r="G1" s="1398"/>
      <c r="H1" s="1398"/>
      <c r="I1" s="1398"/>
      <c r="J1" s="1398"/>
      <c r="K1" s="1398"/>
      <c r="L1" s="1398"/>
      <c r="M1" s="1398"/>
      <c r="N1" s="1398"/>
      <c r="O1" s="153"/>
      <c r="P1" s="153"/>
      <c r="Q1" s="153"/>
      <c r="R1" s="153"/>
      <c r="S1" s="153"/>
    </row>
    <row r="2" spans="1:19" s="151" customFormat="1" ht="18.75">
      <c r="A2" s="1398" t="s">
        <v>65</v>
      </c>
      <c r="B2" s="1398"/>
      <c r="C2" s="1398"/>
      <c r="D2" s="1398"/>
      <c r="E2" s="1398"/>
      <c r="F2" s="1398"/>
      <c r="G2" s="1398"/>
      <c r="H2" s="1398"/>
      <c r="I2" s="1398"/>
      <c r="J2" s="1398"/>
      <c r="K2" s="1398"/>
      <c r="L2" s="1398"/>
      <c r="M2" s="1398"/>
      <c r="N2" s="1398"/>
      <c r="O2" s="153"/>
      <c r="P2" s="153"/>
      <c r="Q2" s="153"/>
      <c r="R2" s="153"/>
      <c r="S2" s="153"/>
    </row>
    <row r="3" spans="1:19" s="151" customFormat="1" ht="18.75">
      <c r="A3" s="1399" t="s">
        <v>39</v>
      </c>
      <c r="B3" s="1398"/>
      <c r="C3" s="1398"/>
      <c r="D3" s="1398"/>
      <c r="E3" s="1398"/>
      <c r="F3" s="1398"/>
      <c r="G3" s="1398"/>
      <c r="H3" s="1398"/>
      <c r="I3" s="1398"/>
      <c r="J3" s="1398"/>
      <c r="K3" s="1398"/>
      <c r="L3" s="1398"/>
      <c r="M3" s="1398"/>
      <c r="N3" s="1398"/>
      <c r="O3" s="153"/>
      <c r="P3" s="153"/>
      <c r="Q3" s="153"/>
      <c r="R3" s="153"/>
      <c r="S3" s="153"/>
    </row>
    <row r="4" spans="1:19" s="4" customFormat="1" ht="18.75">
      <c r="A4" s="1473" t="s">
        <v>130</v>
      </c>
      <c r="B4" s="1473"/>
      <c r="C4" s="1473"/>
      <c r="D4" s="1473"/>
      <c r="E4" s="1473"/>
      <c r="F4" s="1473"/>
      <c r="G4" s="1473"/>
      <c r="H4" s="860"/>
      <c r="I4" s="490"/>
      <c r="J4" s="490"/>
      <c r="K4" s="917"/>
      <c r="L4" s="917"/>
      <c r="M4" s="917"/>
      <c r="N4" s="493"/>
      <c r="O4" s="25"/>
      <c r="P4" s="29"/>
      <c r="Q4" s="30"/>
      <c r="S4" s="31"/>
    </row>
    <row r="5" spans="1:19" s="4" customFormat="1" ht="18.75">
      <c r="A5" s="1402" t="s">
        <v>223</v>
      </c>
      <c r="B5" s="1402"/>
      <c r="C5" s="1402"/>
      <c r="D5" s="1402"/>
      <c r="E5" s="1402"/>
      <c r="F5" s="1402"/>
      <c r="G5" s="1402"/>
      <c r="H5" s="852"/>
      <c r="I5" s="490"/>
      <c r="J5" s="490"/>
      <c r="K5" s="493"/>
      <c r="L5" s="493"/>
      <c r="M5" s="493"/>
      <c r="N5" s="493"/>
      <c r="O5" s="25"/>
      <c r="P5" s="29"/>
      <c r="Q5" s="30"/>
      <c r="S5" s="31"/>
    </row>
    <row r="6" spans="1:19" s="46" customFormat="1" ht="11.25"/>
    <row r="7" spans="1:19" ht="20.25">
      <c r="A7" s="1460" t="s">
        <v>563</v>
      </c>
      <c r="B7" s="1460"/>
      <c r="C7" s="1460"/>
      <c r="D7" s="1460"/>
      <c r="E7" s="1460"/>
      <c r="F7" s="1460"/>
      <c r="G7" s="1460"/>
      <c r="H7" s="1460"/>
      <c r="I7" s="1460"/>
      <c r="J7" s="1460"/>
      <c r="K7" s="1460"/>
      <c r="L7" s="1460"/>
      <c r="M7" s="1460"/>
      <c r="N7" s="1460"/>
      <c r="O7" s="642"/>
    </row>
    <row r="8" spans="1:19" s="46" customFormat="1" ht="18.75">
      <c r="N8" s="918" t="s">
        <v>196</v>
      </c>
      <c r="O8" s="56"/>
      <c r="P8" s="56">
        <v>30</v>
      </c>
    </row>
    <row r="9" spans="1:19" s="88" customFormat="1" ht="24" customHeight="1">
      <c r="A9" s="1461" t="s">
        <v>41</v>
      </c>
      <c r="B9" s="1466" t="s">
        <v>42</v>
      </c>
      <c r="C9" s="1467" t="s">
        <v>12</v>
      </c>
      <c r="D9" s="1468"/>
      <c r="E9" s="1471" t="s">
        <v>171</v>
      </c>
      <c r="F9" s="1466" t="s">
        <v>4</v>
      </c>
      <c r="G9" s="1475" t="s">
        <v>133</v>
      </c>
      <c r="H9" s="1476"/>
      <c r="I9" s="1476"/>
      <c r="J9" s="1477"/>
      <c r="K9" s="1466" t="s">
        <v>148</v>
      </c>
      <c r="L9" s="1478" t="s">
        <v>47</v>
      </c>
      <c r="M9" s="1478" t="s">
        <v>136</v>
      </c>
      <c r="N9" s="1466" t="s">
        <v>5</v>
      </c>
      <c r="O9" s="57"/>
    </row>
    <row r="10" spans="1:19" s="88" customFormat="1" ht="51.95" customHeight="1">
      <c r="A10" s="1461"/>
      <c r="B10" s="1466"/>
      <c r="C10" s="1469"/>
      <c r="D10" s="1470"/>
      <c r="E10" s="1472"/>
      <c r="F10" s="1461"/>
      <c r="G10" s="1087" t="s">
        <v>27</v>
      </c>
      <c r="H10" s="1087" t="s">
        <v>149</v>
      </c>
      <c r="I10" s="1087" t="s">
        <v>150</v>
      </c>
      <c r="J10" s="1087" t="s">
        <v>428</v>
      </c>
      <c r="K10" s="1461"/>
      <c r="L10" s="1479"/>
      <c r="M10" s="1479"/>
      <c r="N10" s="1461"/>
      <c r="O10" s="58"/>
      <c r="P10" s="176"/>
      <c r="R10" s="59"/>
    </row>
    <row r="11" spans="1:19" s="88" customFormat="1" ht="32.25" customHeight="1">
      <c r="A11" s="919" t="s">
        <v>429</v>
      </c>
      <c r="B11" s="920"/>
      <c r="C11" s="920"/>
      <c r="D11" s="921" t="s">
        <v>194</v>
      </c>
      <c r="E11" s="922"/>
      <c r="F11" s="923"/>
      <c r="G11" s="1106">
        <f>SUBTOTAL(9,G12:G14)</f>
        <v>93</v>
      </c>
      <c r="H11" s="1111">
        <f t="shared" ref="H11:L11" si="0">SUBTOTAL(9,H12:H14)</f>
        <v>6000000</v>
      </c>
      <c r="I11" s="1111">
        <f>SUBTOTAL(9,I12:I14)</f>
        <v>1800000</v>
      </c>
      <c r="J11" s="1111">
        <f>SUBTOTAL(9,J12:J14)</f>
        <v>7800000</v>
      </c>
      <c r="K11" s="1079">
        <f t="shared" si="0"/>
        <v>0</v>
      </c>
      <c r="L11" s="1111">
        <f t="shared" si="0"/>
        <v>7800000</v>
      </c>
      <c r="M11" s="925"/>
      <c r="N11" s="923"/>
      <c r="O11" s="58"/>
      <c r="P11" s="176"/>
      <c r="R11" s="59"/>
    </row>
    <row r="12" spans="1:19" s="641" customFormat="1" ht="32.25" customHeight="1">
      <c r="A12" s="926">
        <v>1</v>
      </c>
      <c r="B12" s="484"/>
      <c r="C12" s="927" t="s">
        <v>53</v>
      </c>
      <c r="D12" s="503" t="str">
        <f>+'BCC BẢO VỆ'!C12</f>
        <v>Phò Lay</v>
      </c>
      <c r="E12" s="927" t="s">
        <v>175</v>
      </c>
      <c r="F12" s="483" t="s">
        <v>55</v>
      </c>
      <c r="G12" s="928">
        <f>VLOOKUP(D12,'BCC BẢO VỆ'!$C$12:$AJ$14,34,0)</f>
        <v>31</v>
      </c>
      <c r="H12" s="929">
        <v>2000000</v>
      </c>
      <c r="I12" s="930">
        <v>600000</v>
      </c>
      <c r="J12" s="930">
        <f>+I12+H12</f>
        <v>2600000</v>
      </c>
      <c r="K12" s="1079">
        <v>0</v>
      </c>
      <c r="L12" s="930">
        <f>+J12-K12</f>
        <v>2600000</v>
      </c>
      <c r="M12" s="931"/>
      <c r="N12" s="932"/>
      <c r="O12" s="60"/>
      <c r="P12" s="61"/>
      <c r="Q12" s="178"/>
      <c r="R12" s="61"/>
      <c r="S12" s="62"/>
    </row>
    <row r="13" spans="1:19" s="641" customFormat="1" ht="32.25" customHeight="1">
      <c r="A13" s="926">
        <v>2</v>
      </c>
      <c r="B13" s="484" t="s">
        <v>54</v>
      </c>
      <c r="C13" s="927"/>
      <c r="D13" s="503" t="str">
        <f>+'BCC BẢO VỆ'!C13</f>
        <v>Phò Mừng</v>
      </c>
      <c r="E13" s="927" t="s">
        <v>175</v>
      </c>
      <c r="F13" s="483" t="s">
        <v>55</v>
      </c>
      <c r="G13" s="928">
        <f>VLOOKUP(D13,'BCC BẢO VỆ'!$C$12:$AJ$14,34,0)</f>
        <v>31</v>
      </c>
      <c r="H13" s="929">
        <v>2000000</v>
      </c>
      <c r="I13" s="930">
        <v>600000</v>
      </c>
      <c r="J13" s="930">
        <f t="shared" ref="J13:J14" si="1">+I13+H13</f>
        <v>2600000</v>
      </c>
      <c r="K13" s="1079">
        <v>0</v>
      </c>
      <c r="L13" s="930">
        <f t="shared" ref="L13:L14" si="2">+J13-K13</f>
        <v>2600000</v>
      </c>
      <c r="M13" s="931"/>
      <c r="N13" s="932"/>
      <c r="O13" s="60"/>
      <c r="P13" s="61"/>
      <c r="Q13" s="62"/>
      <c r="R13" s="61"/>
      <c r="S13" s="62"/>
    </row>
    <row r="14" spans="1:19" s="641" customFormat="1" ht="32.25" customHeight="1">
      <c r="A14" s="926">
        <v>3</v>
      </c>
      <c r="B14" s="484"/>
      <c r="C14" s="927"/>
      <c r="D14" s="503" t="str">
        <f>+'BCC BẢO VỆ'!C14</f>
        <v>Phò Khọi</v>
      </c>
      <c r="E14" s="927"/>
      <c r="F14" s="483" t="s">
        <v>55</v>
      </c>
      <c r="G14" s="928">
        <f>VLOOKUP(D14,'BCC BẢO VỆ'!$C$12:$AJ$14,34,0)</f>
        <v>31</v>
      </c>
      <c r="H14" s="929">
        <v>2000000</v>
      </c>
      <c r="I14" s="930">
        <v>600000</v>
      </c>
      <c r="J14" s="930">
        <f t="shared" si="1"/>
        <v>2600000</v>
      </c>
      <c r="K14" s="1079">
        <v>0</v>
      </c>
      <c r="L14" s="930">
        <f t="shared" si="2"/>
        <v>2600000</v>
      </c>
      <c r="M14" s="931"/>
      <c r="N14" s="932"/>
      <c r="O14" s="60"/>
      <c r="P14" s="61"/>
      <c r="Q14" s="62"/>
      <c r="R14" s="61"/>
      <c r="S14" s="62"/>
    </row>
    <row r="15" spans="1:19" s="705" customFormat="1" ht="32.25" customHeight="1">
      <c r="A15" s="1059" t="s">
        <v>430</v>
      </c>
      <c r="B15" s="933"/>
      <c r="C15" s="934"/>
      <c r="D15" s="935" t="s">
        <v>496</v>
      </c>
      <c r="E15" s="934"/>
      <c r="F15" s="1060"/>
      <c r="G15" s="1107">
        <f>SUBTOTAL(9,G16:G19)</f>
        <v>180.4</v>
      </c>
      <c r="H15" s="924">
        <f>SUBTOTAL(9,H16:H19)</f>
        <v>4510000</v>
      </c>
      <c r="I15" s="937">
        <f>SUBTOTAL(9,I16:I19)</f>
        <v>0</v>
      </c>
      <c r="J15" s="938">
        <f>SUBTOTAL(9,J16:J19)</f>
        <v>4510000</v>
      </c>
      <c r="K15" s="1079">
        <f t="shared" ref="K15:L15" si="3">SUBTOTAL(9,K16:K19)</f>
        <v>0</v>
      </c>
      <c r="L15" s="938">
        <f t="shared" si="3"/>
        <v>4510000</v>
      </c>
      <c r="M15" s="939"/>
      <c r="N15" s="940"/>
      <c r="O15" s="645"/>
      <c r="P15" s="65"/>
      <c r="Q15" s="646"/>
      <c r="R15" s="65"/>
      <c r="S15" s="646"/>
    </row>
    <row r="16" spans="1:19" s="705" customFormat="1" ht="32.25" customHeight="1">
      <c r="A16" s="1104">
        <v>1</v>
      </c>
      <c r="B16" s="1100"/>
      <c r="C16" s="1101"/>
      <c r="D16" s="1105" t="s">
        <v>565</v>
      </c>
      <c r="E16" s="1101"/>
      <c r="F16" s="483" t="s">
        <v>52</v>
      </c>
      <c r="G16" s="1108">
        <v>45</v>
      </c>
      <c r="H16" s="1109">
        <f>+G16*25000</f>
        <v>1125000</v>
      </c>
      <c r="I16" s="937">
        <v>0</v>
      </c>
      <c r="J16" s="1110">
        <f>+H16+I16</f>
        <v>1125000</v>
      </c>
      <c r="K16" s="1079">
        <v>0</v>
      </c>
      <c r="L16" s="1110">
        <f>+J16-K16</f>
        <v>1125000</v>
      </c>
      <c r="M16" s="1102"/>
      <c r="N16" s="1103"/>
      <c r="O16" s="645"/>
      <c r="P16" s="65"/>
      <c r="Q16" s="646"/>
      <c r="R16" s="65"/>
      <c r="S16" s="646"/>
    </row>
    <row r="17" spans="1:19" s="705" customFormat="1" ht="32.25" customHeight="1">
      <c r="A17" s="1104">
        <v>2</v>
      </c>
      <c r="B17" s="1100"/>
      <c r="C17" s="1101"/>
      <c r="D17" s="1105" t="s">
        <v>566</v>
      </c>
      <c r="E17" s="1101"/>
      <c r="F17" s="483" t="s">
        <v>52</v>
      </c>
      <c r="G17" s="1108">
        <v>45</v>
      </c>
      <c r="H17" s="1109">
        <f t="shared" ref="H17:H18" si="4">+G17*25000</f>
        <v>1125000</v>
      </c>
      <c r="I17" s="937">
        <v>0</v>
      </c>
      <c r="J17" s="1110">
        <f t="shared" ref="J17:J19" si="5">+H17+I17</f>
        <v>1125000</v>
      </c>
      <c r="K17" s="1079">
        <v>0</v>
      </c>
      <c r="L17" s="1110">
        <f t="shared" ref="L17:L19" si="6">+J17-K17</f>
        <v>1125000</v>
      </c>
      <c r="M17" s="1102"/>
      <c r="N17" s="1103"/>
      <c r="O17" s="645"/>
      <c r="P17" s="65"/>
      <c r="Q17" s="646"/>
      <c r="R17" s="65"/>
      <c r="S17" s="646"/>
    </row>
    <row r="18" spans="1:19" s="705" customFormat="1" ht="32.25" customHeight="1">
      <c r="A18" s="1104">
        <v>3</v>
      </c>
      <c r="B18" s="1100"/>
      <c r="C18" s="1101"/>
      <c r="D18" s="1105" t="s">
        <v>567</v>
      </c>
      <c r="E18" s="1101"/>
      <c r="F18" s="483" t="s">
        <v>52</v>
      </c>
      <c r="G18" s="1108">
        <v>45</v>
      </c>
      <c r="H18" s="1109">
        <f t="shared" si="4"/>
        <v>1125000</v>
      </c>
      <c r="I18" s="937">
        <v>0</v>
      </c>
      <c r="J18" s="1110">
        <f t="shared" si="5"/>
        <v>1125000</v>
      </c>
      <c r="K18" s="1079">
        <v>0</v>
      </c>
      <c r="L18" s="1110">
        <f t="shared" si="6"/>
        <v>1125000</v>
      </c>
      <c r="M18" s="1102"/>
      <c r="N18" s="1103"/>
      <c r="O18" s="645"/>
      <c r="P18" s="65"/>
      <c r="Q18" s="646"/>
      <c r="R18" s="65"/>
      <c r="S18" s="646"/>
    </row>
    <row r="19" spans="1:19" s="705" customFormat="1" ht="32.25" customHeight="1">
      <c r="A19" s="926">
        <v>4</v>
      </c>
      <c r="B19" s="933"/>
      <c r="C19" s="934"/>
      <c r="D19" s="503" t="s">
        <v>512</v>
      </c>
      <c r="E19" s="934"/>
      <c r="F19" s="483" t="s">
        <v>52</v>
      </c>
      <c r="G19" s="1078">
        <v>45.4</v>
      </c>
      <c r="H19" s="929">
        <f>+G19*25000</f>
        <v>1135000</v>
      </c>
      <c r="I19" s="937">
        <v>0</v>
      </c>
      <c r="J19" s="1110">
        <f t="shared" si="5"/>
        <v>1135000</v>
      </c>
      <c r="K19" s="1079">
        <v>0</v>
      </c>
      <c r="L19" s="1110">
        <f t="shared" si="6"/>
        <v>1135000</v>
      </c>
      <c r="M19" s="939"/>
      <c r="N19" s="940"/>
      <c r="O19" s="645"/>
      <c r="P19" s="65"/>
      <c r="Q19" s="646">
        <v>180.4</v>
      </c>
      <c r="R19" s="65"/>
      <c r="S19" s="646"/>
    </row>
    <row r="20" spans="1:19" s="640" customFormat="1" ht="32.25" customHeight="1">
      <c r="A20" s="869" t="s">
        <v>544</v>
      </c>
      <c r="B20" s="933"/>
      <c r="C20" s="934"/>
      <c r="D20" s="935" t="s">
        <v>431</v>
      </c>
      <c r="E20" s="934"/>
      <c r="F20" s="923"/>
      <c r="G20" s="1112">
        <f>SUBTOTAL(9,G21:G22)</f>
        <v>62</v>
      </c>
      <c r="H20" s="999">
        <f t="shared" ref="H20:L20" si="7">SUBTOTAL(9,H21:H22)</f>
        <v>0</v>
      </c>
      <c r="I20" s="941">
        <f t="shared" si="7"/>
        <v>4960000</v>
      </c>
      <c r="J20" s="941">
        <f t="shared" si="7"/>
        <v>4960000</v>
      </c>
      <c r="K20" s="941">
        <f t="shared" si="7"/>
        <v>118000</v>
      </c>
      <c r="L20" s="941">
        <f t="shared" si="7"/>
        <v>4842000</v>
      </c>
      <c r="M20" s="939"/>
      <c r="N20" s="940"/>
      <c r="O20" s="645"/>
      <c r="P20" s="65"/>
      <c r="Q20" s="646"/>
      <c r="R20" s="65"/>
      <c r="S20" s="646"/>
    </row>
    <row r="21" spans="1:19" s="640" customFormat="1" ht="32.25" customHeight="1">
      <c r="A21" s="926">
        <v>1</v>
      </c>
      <c r="B21" s="933"/>
      <c r="C21" s="934"/>
      <c r="D21" s="503" t="str">
        <f>+'Phụ cấp người việt'!B12</f>
        <v>Nguyễn Thị Thanh Trà</v>
      </c>
      <c r="E21" s="934"/>
      <c r="F21" s="483" t="s">
        <v>6</v>
      </c>
      <c r="G21" s="928">
        <v>31</v>
      </c>
      <c r="H21" s="937">
        <v>0</v>
      </c>
      <c r="I21" s="929">
        <f>+G21*80000</f>
        <v>2480000</v>
      </c>
      <c r="J21" s="930">
        <f>+I21</f>
        <v>2480000</v>
      </c>
      <c r="K21" s="931">
        <f>IF(J21&gt;65000000,((J21-65000000)*25%+10685000),IF(J21&gt;25000000,((J21-25000000)*20%+2685000),IF(J21&gt;15000000,((J21-15000000)*15%+1185000),IF(J21&gt;5000000,(J21-5000000)*10%+185000,IF(J21&gt;1300000,(J21-1300000)*5%,0)))))</f>
        <v>59000</v>
      </c>
      <c r="L21" s="930">
        <f>+J21-K21</f>
        <v>2421000</v>
      </c>
      <c r="M21" s="939"/>
      <c r="N21" s="940"/>
      <c r="O21" s="645"/>
      <c r="P21" s="65"/>
      <c r="Q21" s="646"/>
      <c r="R21" s="65"/>
      <c r="S21" s="646"/>
    </row>
    <row r="22" spans="1:19" s="641" customFormat="1" ht="32.25" customHeight="1">
      <c r="A22" s="926">
        <v>2</v>
      </c>
      <c r="B22" s="484"/>
      <c r="C22" s="927"/>
      <c r="D22" s="503" t="str">
        <f>+'Phụ cấp người việt'!B13</f>
        <v>Võ Thị Nguyên</v>
      </c>
      <c r="E22" s="927"/>
      <c r="F22" s="483" t="s">
        <v>6</v>
      </c>
      <c r="G22" s="928">
        <v>31</v>
      </c>
      <c r="H22" s="937">
        <v>0</v>
      </c>
      <c r="I22" s="929">
        <f>+G22*80000</f>
        <v>2480000</v>
      </c>
      <c r="J22" s="930">
        <f>+I22</f>
        <v>2480000</v>
      </c>
      <c r="K22" s="931">
        <f>IF(J22&gt;65000000,((J22-65000000)*25%+10685000),IF(J22&gt;25000000,((J22-25000000)*20%+2685000),IF(J22&gt;15000000,((J22-15000000)*15%+1185000),IF(J22&gt;5000000,(J22-5000000)*10%+185000,IF(J22&gt;1300000,(J22-1300000)*5%,0)))))</f>
        <v>59000</v>
      </c>
      <c r="L22" s="930">
        <f>+J22-K22</f>
        <v>2421000</v>
      </c>
      <c r="M22" s="931"/>
      <c r="N22" s="932"/>
      <c r="O22" s="60"/>
      <c r="P22" s="61"/>
      <c r="Q22" s="62"/>
      <c r="R22" s="61"/>
      <c r="S22" s="62"/>
    </row>
    <row r="23" spans="1:19" s="641" customFormat="1" ht="32.25" customHeight="1">
      <c r="A23" s="1461" t="s">
        <v>32</v>
      </c>
      <c r="B23" s="1461"/>
      <c r="C23" s="1461"/>
      <c r="D23" s="1461"/>
      <c r="E23" s="923"/>
      <c r="F23" s="923"/>
      <c r="G23" s="936"/>
      <c r="H23" s="941">
        <f>+SUBTOTAL(9,H11:H22)</f>
        <v>10510000</v>
      </c>
      <c r="I23" s="941">
        <f t="shared" ref="I23:L23" si="8">+SUBTOTAL(9,I11:I22)</f>
        <v>6760000</v>
      </c>
      <c r="J23" s="1113">
        <f t="shared" si="8"/>
        <v>17270000</v>
      </c>
      <c r="K23" s="941">
        <f t="shared" si="8"/>
        <v>118000</v>
      </c>
      <c r="L23" s="941">
        <f t="shared" si="8"/>
        <v>17152000</v>
      </c>
      <c r="M23" s="942"/>
      <c r="N23" s="923"/>
      <c r="O23" s="63"/>
      <c r="P23" s="64"/>
      <c r="Q23" s="62">
        <f>+K23/25000</f>
        <v>4.72</v>
      </c>
      <c r="R23" s="65"/>
      <c r="S23" s="62"/>
    </row>
    <row r="24" spans="1:19" s="47" customFormat="1" ht="32.25" customHeight="1">
      <c r="A24" s="1462" t="s">
        <v>568</v>
      </c>
      <c r="B24" s="1463"/>
      <c r="C24" s="1463"/>
      <c r="D24" s="1463"/>
      <c r="E24" s="1463"/>
      <c r="F24" s="1463"/>
      <c r="G24" s="1463"/>
      <c r="H24" s="1464"/>
      <c r="I24" s="1463"/>
      <c r="J24" s="1463"/>
      <c r="K24" s="1463"/>
      <c r="L24" s="1464"/>
      <c r="M24" s="1464"/>
      <c r="N24" s="1465"/>
      <c r="O24" s="66"/>
      <c r="P24" s="67"/>
      <c r="R24" s="68"/>
    </row>
    <row r="25" spans="1:19" s="88" customFormat="1" ht="32.25" customHeight="1">
      <c r="A25" s="853"/>
      <c r="B25" s="853"/>
      <c r="C25" s="943"/>
      <c r="D25" s="944"/>
      <c r="E25" s="944"/>
      <c r="F25" s="944"/>
      <c r="G25" s="945"/>
      <c r="H25" s="945"/>
      <c r="I25" s="943"/>
      <c r="J25" s="1480" t="s">
        <v>564</v>
      </c>
      <c r="K25" s="1480"/>
      <c r="L25" s="1480"/>
      <c r="M25" s="1480"/>
      <c r="N25" s="1480"/>
      <c r="O25" s="1474"/>
      <c r="P25" s="1474"/>
      <c r="Q25" s="59"/>
    </row>
    <row r="26" spans="1:19" s="35" customFormat="1" ht="25.5" customHeight="1">
      <c r="A26" s="1402" t="s">
        <v>35</v>
      </c>
      <c r="B26" s="1402"/>
      <c r="C26" s="1402"/>
      <c r="D26" s="1402"/>
      <c r="E26" s="1402"/>
      <c r="F26" s="1402"/>
      <c r="G26" s="1459" t="s">
        <v>514</v>
      </c>
      <c r="H26" s="1459"/>
      <c r="I26" s="852" t="s">
        <v>515</v>
      </c>
      <c r="J26" s="852" t="s">
        <v>437</v>
      </c>
      <c r="K26" s="1402" t="s">
        <v>526</v>
      </c>
      <c r="L26" s="1402"/>
      <c r="M26" s="1402" t="s">
        <v>33</v>
      </c>
      <c r="N26" s="1402"/>
      <c r="O26" s="859"/>
      <c r="P26" s="34"/>
    </row>
    <row r="27" spans="1:19" s="88" customFormat="1" ht="12.75">
      <c r="Q27" s="88">
        <f>+K23/25000</f>
        <v>4.72</v>
      </c>
    </row>
    <row r="28" spans="1:19" s="88" customFormat="1" ht="12.75">
      <c r="P28" s="88">
        <f>9*400</f>
        <v>3600</v>
      </c>
      <c r="Q28" s="88">
        <f>2000000/25000</f>
        <v>80</v>
      </c>
    </row>
    <row r="29" spans="1:19" s="88" customFormat="1" ht="14.25" customHeight="1">
      <c r="P29" s="88">
        <f>+P28+9000</f>
        <v>12600</v>
      </c>
      <c r="Q29" s="88">
        <f>+Q28+Q27</f>
        <v>84.72</v>
      </c>
    </row>
    <row r="30" spans="1:19" s="88" customFormat="1" ht="18.75" customHeight="1">
      <c r="A30" s="47"/>
      <c r="B30" s="47"/>
      <c r="C30" s="47"/>
      <c r="D30" s="47"/>
      <c r="E30" s="47"/>
      <c r="F30" s="47"/>
      <c r="G30" s="47"/>
      <c r="H30" s="47"/>
    </row>
    <row r="33" spans="9:14" s="867" customFormat="1" ht="18.75">
      <c r="I33" s="856" t="s">
        <v>524</v>
      </c>
      <c r="J33" s="856" t="s">
        <v>110</v>
      </c>
      <c r="K33" s="1389" t="s">
        <v>290</v>
      </c>
      <c r="L33" s="1389"/>
      <c r="M33" s="1389" t="s">
        <v>314</v>
      </c>
      <c r="N33" s="1389"/>
    </row>
  </sheetData>
  <mergeCells count="26">
    <mergeCell ref="O25:P25"/>
    <mergeCell ref="M26:N26"/>
    <mergeCell ref="K26:L26"/>
    <mergeCell ref="G9:J9"/>
    <mergeCell ref="L9:L10"/>
    <mergeCell ref="M9:M10"/>
    <mergeCell ref="J25:N25"/>
    <mergeCell ref="K9:K10"/>
    <mergeCell ref="N9:N10"/>
    <mergeCell ref="A1:N1"/>
    <mergeCell ref="A2:N2"/>
    <mergeCell ref="A3:N3"/>
    <mergeCell ref="A4:G4"/>
    <mergeCell ref="A5:G5"/>
    <mergeCell ref="K33:L33"/>
    <mergeCell ref="M33:N33"/>
    <mergeCell ref="G26:H26"/>
    <mergeCell ref="A26:F26"/>
    <mergeCell ref="A7:N7"/>
    <mergeCell ref="A23:D23"/>
    <mergeCell ref="A24:N24"/>
    <mergeCell ref="A9:A10"/>
    <mergeCell ref="B9:B10"/>
    <mergeCell ref="C9:D10"/>
    <mergeCell ref="E9:E10"/>
    <mergeCell ref="F9:F10"/>
  </mergeCells>
  <printOptions horizontalCentered="1"/>
  <pageMargins left="0.19685039370078741" right="0" top="0.39370078740157483" bottom="0.39370078740157483" header="0.31496062992125984" footer="0.31496062992125984"/>
  <pageSetup paperSize="9" scale="74" fitToHeight="0"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AF47"/>
  <sheetViews>
    <sheetView showZeros="0" topLeftCell="A9" zoomScale="70" zoomScaleNormal="70" workbookViewId="0">
      <selection activeCell="N15" sqref="N15"/>
    </sheetView>
  </sheetViews>
  <sheetFormatPr defaultColWidth="9.140625" defaultRowHeight="15"/>
  <cols>
    <col min="1" max="1" width="6" style="579" customWidth="1"/>
    <col min="2" max="2" width="5.140625" style="579" customWidth="1"/>
    <col min="3" max="3" width="12.85546875" style="4" hidden="1" customWidth="1"/>
    <col min="4" max="4" width="13.5703125" style="29" hidden="1" customWidth="1"/>
    <col min="5" max="5" width="13.7109375" style="4" customWidth="1"/>
    <col min="6" max="6" width="8.85546875" style="4" customWidth="1"/>
    <col min="7" max="7" width="11.28515625" style="579" customWidth="1"/>
    <col min="8" max="8" width="15" style="706" customWidth="1"/>
    <col min="9" max="9" width="10.140625" style="25" customWidth="1"/>
    <col min="10" max="14" width="9.5703125" style="25" customWidth="1"/>
    <col min="15" max="15" width="14.85546875" style="25" customWidth="1"/>
    <col min="16" max="16" width="9.140625" style="25" customWidth="1"/>
    <col min="17" max="17" width="7.85546875" style="25" customWidth="1"/>
    <col min="18" max="19" width="7.42578125" style="25" customWidth="1"/>
    <col min="20" max="20" width="8.7109375" style="25" customWidth="1"/>
    <col min="21" max="22" width="9.140625" style="25" customWidth="1"/>
    <col min="23" max="23" width="13.85546875" style="25" customWidth="1"/>
    <col min="24" max="24" width="13.85546875" style="4" customWidth="1"/>
    <col min="25" max="25" width="9.42578125" style="4" customWidth="1"/>
    <col min="26" max="26" width="7.7109375" style="4" hidden="1" customWidth="1"/>
    <col min="27" max="27" width="11" style="25" hidden="1" customWidth="1"/>
    <col min="28" max="28" width="14" style="29" hidden="1" customWidth="1"/>
    <col min="29" max="29" width="13.42578125" style="4" customWidth="1"/>
    <col min="30" max="30" width="19.140625" style="4" customWidth="1"/>
    <col min="31" max="31" width="36.85546875" style="4" customWidth="1"/>
    <col min="32" max="32" width="13.7109375" style="4" customWidth="1"/>
    <col min="33" max="16384" width="9.140625" style="4"/>
  </cols>
  <sheetData>
    <row r="1" spans="1:31" ht="30" customHeight="1">
      <c r="A1" s="860"/>
      <c r="B1" s="1402" t="s">
        <v>37</v>
      </c>
      <c r="C1" s="1402"/>
      <c r="D1" s="1402"/>
      <c r="E1" s="1402"/>
      <c r="F1" s="1402"/>
      <c r="G1" s="1402"/>
      <c r="H1" s="1402"/>
      <c r="I1" s="1402"/>
      <c r="J1" s="1402"/>
      <c r="K1" s="1402"/>
      <c r="L1" s="1402"/>
      <c r="M1" s="1402"/>
      <c r="N1" s="1402"/>
      <c r="O1" s="1402"/>
      <c r="P1" s="1402"/>
      <c r="Q1" s="1402"/>
      <c r="R1" s="1402"/>
      <c r="S1" s="1402"/>
      <c r="T1" s="1402"/>
      <c r="U1" s="1402"/>
      <c r="V1" s="1402"/>
      <c r="W1" s="1402"/>
      <c r="X1" s="1402"/>
      <c r="Y1" s="1402"/>
      <c r="Z1" s="1402"/>
      <c r="AA1" s="1402"/>
      <c r="AB1" s="1402"/>
      <c r="AC1" s="1402"/>
    </row>
    <row r="2" spans="1:31" ht="18.75">
      <c r="A2" s="860"/>
      <c r="B2" s="1402" t="s">
        <v>193</v>
      </c>
      <c r="C2" s="1402"/>
      <c r="D2" s="1402"/>
      <c r="E2" s="1402"/>
      <c r="F2" s="1402"/>
      <c r="G2" s="1402"/>
      <c r="H2" s="1402"/>
      <c r="I2" s="1402"/>
      <c r="J2" s="1402"/>
      <c r="K2" s="1402"/>
      <c r="L2" s="1402"/>
      <c r="M2" s="1402"/>
      <c r="N2" s="1402"/>
      <c r="O2" s="1402"/>
      <c r="P2" s="1402"/>
      <c r="Q2" s="1402"/>
      <c r="R2" s="1402"/>
      <c r="S2" s="1402"/>
      <c r="T2" s="1402"/>
      <c r="U2" s="1402"/>
      <c r="V2" s="1402"/>
      <c r="W2" s="1402"/>
      <c r="X2" s="1402"/>
      <c r="Y2" s="1402"/>
      <c r="Z2" s="1402"/>
      <c r="AA2" s="1402"/>
      <c r="AB2" s="1402"/>
      <c r="AC2" s="1402"/>
    </row>
    <row r="3" spans="1:31" ht="18.75">
      <c r="A3" s="860"/>
      <c r="B3" s="1490" t="s">
        <v>39</v>
      </c>
      <c r="C3" s="1402"/>
      <c r="D3" s="1402"/>
      <c r="E3" s="1402"/>
      <c r="F3" s="1402"/>
      <c r="G3" s="1402"/>
      <c r="H3" s="1402"/>
      <c r="I3" s="1402"/>
      <c r="J3" s="1402"/>
      <c r="K3" s="1402"/>
      <c r="L3" s="1402"/>
      <c r="M3" s="1402"/>
      <c r="N3" s="1402"/>
      <c r="O3" s="1402"/>
      <c r="P3" s="1402"/>
      <c r="Q3" s="1402"/>
      <c r="R3" s="1402"/>
      <c r="S3" s="1402"/>
      <c r="T3" s="1402"/>
      <c r="U3" s="1402"/>
      <c r="V3" s="1402"/>
      <c r="W3" s="1402"/>
      <c r="X3" s="1402"/>
      <c r="Y3" s="1402"/>
      <c r="Z3" s="1402"/>
      <c r="AA3" s="1402"/>
      <c r="AB3" s="1402"/>
      <c r="AC3" s="1402"/>
    </row>
    <row r="4" spans="1:31" ht="18.75">
      <c r="A4" s="35" t="s">
        <v>130</v>
      </c>
      <c r="B4" s="35"/>
      <c r="C4" s="35"/>
      <c r="D4" s="35"/>
      <c r="E4" s="35"/>
      <c r="F4" s="35"/>
      <c r="G4" s="35"/>
      <c r="H4" s="1088"/>
      <c r="I4" s="493"/>
      <c r="J4" s="493"/>
      <c r="K4" s="493"/>
      <c r="L4" s="493"/>
      <c r="M4" s="493"/>
      <c r="N4" s="493"/>
      <c r="O4" s="493"/>
      <c r="P4" s="917"/>
      <c r="Q4" s="917"/>
      <c r="R4" s="917"/>
      <c r="S4" s="917"/>
      <c r="T4" s="917"/>
      <c r="U4" s="917"/>
      <c r="V4" s="917"/>
      <c r="W4" s="917"/>
      <c r="X4" s="494"/>
      <c r="Y4" s="494"/>
      <c r="Z4" s="494"/>
      <c r="AA4" s="493"/>
      <c r="AB4" s="490"/>
      <c r="AC4" s="946"/>
    </row>
    <row r="5" spans="1:31" ht="18.75">
      <c r="A5" s="1481" t="s">
        <v>223</v>
      </c>
      <c r="B5" s="1481"/>
      <c r="C5" s="1481"/>
      <c r="D5" s="1481"/>
      <c r="E5" s="1481"/>
      <c r="F5" s="1481"/>
      <c r="G5" s="1481"/>
      <c r="H5" s="1481"/>
      <c r="I5" s="493"/>
      <c r="J5" s="493"/>
      <c r="K5" s="493"/>
      <c r="L5" s="493"/>
      <c r="M5" s="493"/>
      <c r="N5" s="493"/>
      <c r="O5" s="493"/>
      <c r="P5" s="493"/>
      <c r="Q5" s="493"/>
      <c r="R5" s="493"/>
      <c r="S5" s="493"/>
      <c r="T5" s="493"/>
      <c r="U5" s="493"/>
      <c r="V5" s="493"/>
      <c r="W5" s="493"/>
      <c r="X5" s="490"/>
      <c r="Y5" s="490"/>
      <c r="Z5" s="490"/>
      <c r="AA5" s="493"/>
      <c r="AB5" s="490"/>
      <c r="AC5" s="946"/>
    </row>
    <row r="6" spans="1:31" ht="16.5">
      <c r="B6" s="585"/>
      <c r="AC6" s="30"/>
    </row>
    <row r="7" spans="1:31" ht="24" customHeight="1">
      <c r="A7" s="1403" t="s">
        <v>569</v>
      </c>
      <c r="B7" s="1403"/>
      <c r="C7" s="1403"/>
      <c r="D7" s="1403"/>
      <c r="E7" s="1403"/>
      <c r="F7" s="1403"/>
      <c r="G7" s="1403"/>
      <c r="H7" s="1403"/>
      <c r="I7" s="1403"/>
      <c r="J7" s="1403"/>
      <c r="K7" s="1403"/>
      <c r="L7" s="1403"/>
      <c r="M7" s="1403"/>
      <c r="N7" s="1403"/>
      <c r="O7" s="1403"/>
      <c r="P7" s="1403"/>
      <c r="Q7" s="1403"/>
      <c r="R7" s="1403"/>
      <c r="S7" s="1403"/>
      <c r="T7" s="1403"/>
      <c r="U7" s="1403"/>
      <c r="V7" s="1403"/>
      <c r="W7" s="1403"/>
      <c r="X7" s="1403"/>
      <c r="Y7" s="1403"/>
      <c r="Z7" s="1403"/>
      <c r="AA7" s="1403"/>
      <c r="AB7" s="1403"/>
      <c r="AC7" s="1403"/>
    </row>
    <row r="8" spans="1:31" ht="18.75" customHeight="1">
      <c r="B8" s="1473" t="s">
        <v>40</v>
      </c>
      <c r="C8" s="1473"/>
      <c r="D8" s="1473"/>
      <c r="E8" s="1473"/>
      <c r="F8" s="1473"/>
      <c r="G8" s="489">
        <f>+'LƯƠNG KT'!G8</f>
        <v>600</v>
      </c>
      <c r="H8" s="489"/>
      <c r="X8" s="130"/>
      <c r="Y8" s="130"/>
      <c r="Z8" s="130"/>
      <c r="AC8" s="131"/>
    </row>
    <row r="9" spans="1:31" ht="18.75" customHeight="1">
      <c r="A9" s="706"/>
      <c r="B9" s="489"/>
      <c r="C9" s="489"/>
      <c r="D9" s="489"/>
      <c r="E9" s="489"/>
      <c r="F9" s="489"/>
      <c r="G9" s="489"/>
      <c r="H9" s="489"/>
      <c r="X9" s="130"/>
      <c r="Y9" s="130"/>
      <c r="Z9" s="130"/>
      <c r="AC9" s="131"/>
    </row>
    <row r="10" spans="1:31" s="5" customFormat="1" ht="30" customHeight="1">
      <c r="A10" s="1495" t="s">
        <v>41</v>
      </c>
      <c r="B10" s="1496"/>
      <c r="C10" s="1409" t="s">
        <v>42</v>
      </c>
      <c r="D10" s="1491" t="s">
        <v>43</v>
      </c>
      <c r="E10" s="1501" t="s">
        <v>12</v>
      </c>
      <c r="F10" s="1504" t="s">
        <v>117</v>
      </c>
      <c r="G10" s="1495" t="s">
        <v>45</v>
      </c>
      <c r="H10" s="1496"/>
      <c r="I10" s="1496"/>
      <c r="J10" s="1496"/>
      <c r="K10" s="1496"/>
      <c r="L10" s="1496"/>
      <c r="M10" s="1496"/>
      <c r="N10" s="1496"/>
      <c r="O10" s="1496"/>
      <c r="P10" s="1496"/>
      <c r="Q10" s="1496"/>
      <c r="R10" s="1496"/>
      <c r="S10" s="1496"/>
      <c r="T10" s="1496"/>
      <c r="U10" s="1496"/>
      <c r="V10" s="1496"/>
      <c r="W10" s="1507"/>
      <c r="X10" s="1504" t="s">
        <v>46</v>
      </c>
      <c r="Y10" s="1504" t="s">
        <v>148</v>
      </c>
      <c r="Z10" s="1504" t="s">
        <v>467</v>
      </c>
      <c r="AA10" s="1508" t="s">
        <v>154</v>
      </c>
      <c r="AB10" s="1504"/>
      <c r="AC10" s="1504" t="s">
        <v>47</v>
      </c>
    </row>
    <row r="11" spans="1:31" s="5" customFormat="1" ht="39.75" customHeight="1">
      <c r="A11" s="1497"/>
      <c r="B11" s="1498"/>
      <c r="C11" s="1409"/>
      <c r="D11" s="1491"/>
      <c r="E11" s="1502"/>
      <c r="F11" s="1505"/>
      <c r="G11" s="1492" t="s">
        <v>527</v>
      </c>
      <c r="H11" s="1493"/>
      <c r="I11" s="1492" t="s">
        <v>137</v>
      </c>
      <c r="J11" s="1494"/>
      <c r="K11" s="1494"/>
      <c r="L11" s="1494"/>
      <c r="M11" s="1494"/>
      <c r="N11" s="1494"/>
      <c r="O11" s="1493"/>
      <c r="P11" s="1492" t="s">
        <v>528</v>
      </c>
      <c r="Q11" s="1494"/>
      <c r="R11" s="1494"/>
      <c r="S11" s="1494"/>
      <c r="T11" s="1494"/>
      <c r="U11" s="1494"/>
      <c r="V11" s="1494"/>
      <c r="W11" s="1493"/>
      <c r="X11" s="1505"/>
      <c r="Y11" s="1505"/>
      <c r="Z11" s="1505"/>
      <c r="AA11" s="1415"/>
      <c r="AB11" s="1505"/>
      <c r="AC11" s="1505"/>
    </row>
    <row r="12" spans="1:31" s="5" customFormat="1" ht="90.75" customHeight="1">
      <c r="A12" s="1499"/>
      <c r="B12" s="1500"/>
      <c r="C12" s="947"/>
      <c r="D12" s="948"/>
      <c r="E12" s="1503"/>
      <c r="F12" s="1506"/>
      <c r="G12" s="949" t="s">
        <v>27</v>
      </c>
      <c r="H12" s="949" t="s">
        <v>144</v>
      </c>
      <c r="I12" s="949" t="s">
        <v>139</v>
      </c>
      <c r="J12" s="949" t="s">
        <v>365</v>
      </c>
      <c r="K12" s="871" t="s">
        <v>157</v>
      </c>
      <c r="L12" s="871" t="s">
        <v>556</v>
      </c>
      <c r="M12" s="949" t="s">
        <v>575</v>
      </c>
      <c r="N12" s="949" t="s">
        <v>596</v>
      </c>
      <c r="O12" s="949" t="s">
        <v>144</v>
      </c>
      <c r="P12" s="949" t="s">
        <v>464</v>
      </c>
      <c r="Q12" s="949" t="s">
        <v>465</v>
      </c>
      <c r="R12" s="858" t="s">
        <v>466</v>
      </c>
      <c r="S12" s="858" t="s">
        <v>463</v>
      </c>
      <c r="T12" s="858" t="s">
        <v>375</v>
      </c>
      <c r="U12" s="858" t="s">
        <v>494</v>
      </c>
      <c r="V12" s="858" t="s">
        <v>523</v>
      </c>
      <c r="W12" s="858" t="s">
        <v>144</v>
      </c>
      <c r="X12" s="1506"/>
      <c r="Y12" s="1506"/>
      <c r="Z12" s="1506"/>
      <c r="AA12" s="1416"/>
      <c r="AB12" s="1506"/>
      <c r="AC12" s="1506"/>
    </row>
    <row r="13" spans="1:31" s="35" customFormat="1" ht="38.25" customHeight="1">
      <c r="A13" s="1487" t="s">
        <v>468</v>
      </c>
      <c r="B13" s="1488"/>
      <c r="C13" s="1488"/>
      <c r="D13" s="1488"/>
      <c r="E13" s="1489"/>
      <c r="F13" s="950">
        <v>80</v>
      </c>
      <c r="G13" s="951">
        <f>+'LƯƠNG KT'!G95</f>
        <v>0</v>
      </c>
      <c r="H13" s="952">
        <f>+G13*25000</f>
        <v>0</v>
      </c>
      <c r="I13" s="954">
        <f>+'LƯƠNG KT'!I95</f>
        <v>198539</v>
      </c>
      <c r="J13" s="1116">
        <f>+'LƯƠNG KT'!J95</f>
        <v>80035.816999999894</v>
      </c>
      <c r="K13" s="1116">
        <f>+'LƯƠNG KT'!K95</f>
        <v>234</v>
      </c>
      <c r="L13" s="1116">
        <f>+'LƯƠNG KT'!L95</f>
        <v>94.97</v>
      </c>
      <c r="M13" s="1116">
        <f>+'LƯƠNG KT'!M95</f>
        <v>7812.2669999999989</v>
      </c>
      <c r="N13" s="1116">
        <f>+'LƯƠNG KT'!N95</f>
        <v>87943.05399999996</v>
      </c>
      <c r="O13" s="953">
        <f>+'LƯƠNG KT'!P95</f>
        <v>313860647.00357032</v>
      </c>
      <c r="P13" s="954">
        <f>+'LƯƠNG KT'!Q95</f>
        <v>2027</v>
      </c>
      <c r="Q13" s="955">
        <f>+'LƯƠNG KT'!R95</f>
        <v>265</v>
      </c>
      <c r="R13" s="955">
        <f>+'LƯƠNG KT'!W95</f>
        <v>186</v>
      </c>
      <c r="S13" s="955">
        <f>+'LƯƠNG KT'!V95</f>
        <v>2378</v>
      </c>
      <c r="T13" s="955">
        <f>+'LƯƠNG KT'!S95</f>
        <v>43</v>
      </c>
      <c r="U13" s="955">
        <f>+'LƯƠNG KT'!T95</f>
        <v>43</v>
      </c>
      <c r="V13" s="955">
        <f>+'LƯƠNG KT'!U95</f>
        <v>86</v>
      </c>
      <c r="W13" s="956">
        <f>+'LƯƠNG KT'!X95</f>
        <v>143069211</v>
      </c>
      <c r="X13" s="956">
        <f>+H13+O13+W13</f>
        <v>456929858.00357032</v>
      </c>
      <c r="Y13" s="956"/>
      <c r="Z13" s="956"/>
      <c r="AA13" s="957"/>
      <c r="AB13" s="950"/>
      <c r="AC13" s="631">
        <f>+X13-Y13-Z13-AA13</f>
        <v>456929858.00357032</v>
      </c>
      <c r="AD13" s="1117">
        <f>+'LƯƠNG KT'!Y95</f>
        <v>456929858.0035705</v>
      </c>
      <c r="AE13" s="1118">
        <f>+AD13-AC13</f>
        <v>0</v>
      </c>
    </row>
    <row r="14" spans="1:31" s="34" customFormat="1" ht="38.25" customHeight="1">
      <c r="A14" s="1509" t="s">
        <v>194</v>
      </c>
      <c r="B14" s="1510"/>
      <c r="C14" s="1510"/>
      <c r="D14" s="1510"/>
      <c r="E14" s="1510"/>
      <c r="F14" s="950">
        <v>3</v>
      </c>
      <c r="G14" s="958">
        <f>+'BCC BẢO VỆ'!AJ15</f>
        <v>93</v>
      </c>
      <c r="H14" s="959">
        <f>+'LƯƠNG BV9THUC gộp pc ng viết'!L11</f>
        <v>7800000</v>
      </c>
      <c r="I14" s="631"/>
      <c r="J14" s="959"/>
      <c r="K14" s="959"/>
      <c r="L14" s="959"/>
      <c r="M14" s="959"/>
      <c r="N14" s="959"/>
      <c r="O14" s="959"/>
      <c r="P14" s="631"/>
      <c r="Q14" s="959"/>
      <c r="R14" s="959"/>
      <c r="S14" s="959"/>
      <c r="T14" s="959"/>
      <c r="U14" s="959"/>
      <c r="V14" s="959"/>
      <c r="W14" s="959"/>
      <c r="X14" s="631">
        <f>+H14</f>
        <v>7800000</v>
      </c>
      <c r="Y14" s="959"/>
      <c r="Z14" s="959"/>
      <c r="AA14" s="631"/>
      <c r="AB14" s="631"/>
      <c r="AC14" s="631">
        <f t="shared" ref="AC14:AC16" si="0">+X14-Y14-Z14-AA14</f>
        <v>7800000</v>
      </c>
      <c r="AD14" s="34">
        <f>+'LƯƠNG BV9THUC gộp pc ng viết'!L11</f>
        <v>7800000</v>
      </c>
      <c r="AE14" s="1118">
        <f t="shared" ref="AE14:AE16" si="1">+AD14-AC14</f>
        <v>0</v>
      </c>
    </row>
    <row r="15" spans="1:31" s="34" customFormat="1" ht="38.25" customHeight="1">
      <c r="A15" s="1509" t="s">
        <v>496</v>
      </c>
      <c r="B15" s="1510"/>
      <c r="C15" s="1510"/>
      <c r="D15" s="1510"/>
      <c r="E15" s="1510"/>
      <c r="F15" s="960">
        <v>4</v>
      </c>
      <c r="G15" s="961">
        <f>+'KEO LAI'!D25</f>
        <v>180.4</v>
      </c>
      <c r="H15" s="959">
        <f>+G15*25000</f>
        <v>4510000</v>
      </c>
      <c r="I15" s="959"/>
      <c r="J15" s="959"/>
      <c r="K15" s="959"/>
      <c r="L15" s="959"/>
      <c r="M15" s="959"/>
      <c r="N15" s="959"/>
      <c r="O15" s="959"/>
      <c r="P15" s="959"/>
      <c r="Q15" s="959"/>
      <c r="R15" s="959"/>
      <c r="S15" s="959"/>
      <c r="T15" s="959"/>
      <c r="U15" s="959"/>
      <c r="V15" s="959"/>
      <c r="W15" s="959"/>
      <c r="X15" s="631">
        <f>+H15</f>
        <v>4510000</v>
      </c>
      <c r="Y15" s="959"/>
      <c r="Z15" s="959"/>
      <c r="AA15" s="959"/>
      <c r="AB15" s="959"/>
      <c r="AC15" s="631">
        <f t="shared" si="0"/>
        <v>4510000</v>
      </c>
      <c r="AD15" s="143">
        <f>+'LƯƠNG BV9THUC gộp pc ng viết'!L15</f>
        <v>4510000</v>
      </c>
      <c r="AE15" s="1118">
        <f t="shared" si="1"/>
        <v>0</v>
      </c>
    </row>
    <row r="16" spans="1:31" s="748" customFormat="1" ht="38.25" customHeight="1">
      <c r="A16" s="1487" t="s">
        <v>431</v>
      </c>
      <c r="B16" s="1488"/>
      <c r="C16" s="1488"/>
      <c r="D16" s="1488"/>
      <c r="E16" s="1488"/>
      <c r="F16" s="960">
        <v>2</v>
      </c>
      <c r="G16" s="954">
        <f>31+31</f>
        <v>62</v>
      </c>
      <c r="H16" s="953">
        <f>+'LƯƠNG BV9THUC gộp pc ng viết'!J20</f>
        <v>4960000</v>
      </c>
      <c r="I16" s="962"/>
      <c r="J16" s="953"/>
      <c r="K16" s="953"/>
      <c r="L16" s="953"/>
      <c r="M16" s="953"/>
      <c r="N16" s="953"/>
      <c r="O16" s="953"/>
      <c r="P16" s="962"/>
      <c r="Q16" s="953"/>
      <c r="R16" s="953"/>
      <c r="S16" s="953"/>
      <c r="T16" s="953"/>
      <c r="U16" s="953"/>
      <c r="V16" s="953"/>
      <c r="W16" s="953"/>
      <c r="X16" s="962">
        <f>+H16</f>
        <v>4960000</v>
      </c>
      <c r="Y16" s="953">
        <f>+'THUÊ TNCN'!E14</f>
        <v>118000</v>
      </c>
      <c r="Z16" s="953"/>
      <c r="AA16" s="962">
        <v>0</v>
      </c>
      <c r="AB16" s="962"/>
      <c r="AC16" s="631">
        <f t="shared" si="0"/>
        <v>4842000</v>
      </c>
      <c r="AD16" s="747">
        <f>+'LƯƠNG BV9THUC gộp pc ng viết'!L20</f>
        <v>4842000</v>
      </c>
      <c r="AE16" s="1118">
        <f t="shared" si="1"/>
        <v>0</v>
      </c>
    </row>
    <row r="17" spans="1:32" s="748" customFormat="1" ht="38.25" customHeight="1">
      <c r="A17" s="1483" t="s">
        <v>11</v>
      </c>
      <c r="B17" s="1484"/>
      <c r="C17" s="1484"/>
      <c r="D17" s="1484"/>
      <c r="E17" s="1485"/>
      <c r="F17" s="963">
        <f>SUM(F13:F16)</f>
        <v>89</v>
      </c>
      <c r="G17" s="964">
        <f>SUM(G13:G16)</f>
        <v>335.4</v>
      </c>
      <c r="H17" s="963">
        <f>SUM(H13:H16)</f>
        <v>17270000</v>
      </c>
      <c r="I17" s="963">
        <f t="shared" ref="I17:AB17" si="2">SUM(I13:I16)</f>
        <v>198539</v>
      </c>
      <c r="J17" s="963">
        <f t="shared" si="2"/>
        <v>80035.816999999894</v>
      </c>
      <c r="K17" s="963">
        <f t="shared" si="2"/>
        <v>234</v>
      </c>
      <c r="L17" s="963">
        <f t="shared" si="2"/>
        <v>94.97</v>
      </c>
      <c r="M17" s="963">
        <f t="shared" si="2"/>
        <v>7812.2669999999989</v>
      </c>
      <c r="N17" s="963">
        <f t="shared" si="2"/>
        <v>87943.05399999996</v>
      </c>
      <c r="O17" s="963">
        <f t="shared" si="2"/>
        <v>313860647.00357032</v>
      </c>
      <c r="P17" s="963">
        <f t="shared" si="2"/>
        <v>2027</v>
      </c>
      <c r="Q17" s="963">
        <f t="shared" si="2"/>
        <v>265</v>
      </c>
      <c r="R17" s="963">
        <f t="shared" si="2"/>
        <v>186</v>
      </c>
      <c r="S17" s="963">
        <f t="shared" si="2"/>
        <v>2378</v>
      </c>
      <c r="T17" s="963">
        <f t="shared" si="2"/>
        <v>43</v>
      </c>
      <c r="U17" s="963">
        <f t="shared" si="2"/>
        <v>43</v>
      </c>
      <c r="V17" s="963">
        <f t="shared" si="2"/>
        <v>86</v>
      </c>
      <c r="W17" s="963">
        <f t="shared" si="2"/>
        <v>143069211</v>
      </c>
      <c r="X17" s="1184">
        <f>SUM(X13:X16)</f>
        <v>474199858.00357032</v>
      </c>
      <c r="Y17" s="963">
        <f t="shared" si="2"/>
        <v>118000</v>
      </c>
      <c r="Z17" s="963">
        <f t="shared" si="2"/>
        <v>0</v>
      </c>
      <c r="AA17" s="963">
        <f t="shared" si="2"/>
        <v>0</v>
      </c>
      <c r="AB17" s="963">
        <f t="shared" si="2"/>
        <v>0</v>
      </c>
      <c r="AC17" s="963">
        <f>SUM(AC13:AC16)</f>
        <v>474081858.00357032</v>
      </c>
      <c r="AD17" s="749">
        <f>SUM(AD13:AD16)</f>
        <v>474081858.0035705</v>
      </c>
      <c r="AE17" s="1118">
        <f>+AD17-AC17</f>
        <v>0</v>
      </c>
      <c r="AF17" s="747"/>
    </row>
    <row r="18" spans="1:32" s="583" customFormat="1" ht="38.25" customHeight="1">
      <c r="A18" s="1462" t="s">
        <v>600</v>
      </c>
      <c r="B18" s="1463"/>
      <c r="C18" s="1463"/>
      <c r="D18" s="1463"/>
      <c r="E18" s="1463"/>
      <c r="F18" s="1463"/>
      <c r="G18" s="1463"/>
      <c r="H18" s="1463"/>
      <c r="I18" s="1463"/>
      <c r="J18" s="1463"/>
      <c r="K18" s="1463"/>
      <c r="L18" s="1463"/>
      <c r="M18" s="1463"/>
      <c r="N18" s="1463"/>
      <c r="O18" s="1463"/>
      <c r="P18" s="1463"/>
      <c r="Q18" s="1463"/>
      <c r="R18" s="1463"/>
      <c r="S18" s="1463"/>
      <c r="T18" s="1463"/>
      <c r="U18" s="1463"/>
      <c r="V18" s="1463"/>
      <c r="W18" s="1463"/>
      <c r="X18" s="1463"/>
      <c r="Y18" s="1463"/>
      <c r="Z18" s="1463"/>
      <c r="AA18" s="1463"/>
      <c r="AB18" s="1463"/>
      <c r="AC18" s="1465"/>
      <c r="AD18" s="137"/>
    </row>
    <row r="19" spans="1:32" ht="28.5" customHeight="1">
      <c r="A19" s="489"/>
      <c r="B19" s="489"/>
      <c r="C19" s="490"/>
      <c r="D19" s="490"/>
      <c r="E19" s="490"/>
      <c r="F19" s="491"/>
      <c r="G19" s="492"/>
      <c r="H19" s="492"/>
      <c r="I19" s="158"/>
      <c r="J19" s="158"/>
      <c r="K19" s="158"/>
      <c r="L19" s="158"/>
      <c r="M19" s="158"/>
      <c r="N19" s="158"/>
      <c r="O19" s="158"/>
      <c r="P19" s="493"/>
      <c r="Q19" s="493"/>
      <c r="R19" s="493"/>
      <c r="S19" s="493"/>
      <c r="T19" s="493"/>
      <c r="U19" s="493"/>
      <c r="V19" s="493"/>
      <c r="W19" s="1486" t="s">
        <v>601</v>
      </c>
      <c r="X19" s="1486"/>
      <c r="Y19" s="1486"/>
      <c r="Z19" s="1486"/>
      <c r="AA19" s="1486"/>
      <c r="AB19" s="1486"/>
      <c r="AC19" s="1486"/>
      <c r="AD19" s="138"/>
    </row>
    <row r="20" spans="1:32" s="218" customFormat="1" ht="21.75" customHeight="1">
      <c r="A20" s="1389" t="s">
        <v>35</v>
      </c>
      <c r="B20" s="1389"/>
      <c r="C20" s="1389"/>
      <c r="D20" s="1389"/>
      <c r="E20" s="1389"/>
      <c r="F20" s="1389"/>
      <c r="G20" s="1389"/>
      <c r="H20" s="1389" t="s">
        <v>529</v>
      </c>
      <c r="I20" s="1389"/>
      <c r="J20" s="1389"/>
      <c r="K20" s="1084"/>
      <c r="L20" s="1084"/>
      <c r="M20" s="1084"/>
      <c r="N20" s="1084"/>
      <c r="O20" s="1482" t="s">
        <v>515</v>
      </c>
      <c r="P20" s="1482"/>
      <c r="Q20" s="1389" t="s">
        <v>437</v>
      </c>
      <c r="R20" s="1389"/>
      <c r="S20" s="1389"/>
      <c r="T20" s="1389"/>
      <c r="U20" s="1389" t="s">
        <v>108</v>
      </c>
      <c r="V20" s="1389"/>
      <c r="W20" s="1389"/>
      <c r="X20" s="1389" t="s">
        <v>33</v>
      </c>
      <c r="Y20" s="1389"/>
      <c r="Z20" s="1389"/>
      <c r="AA20" s="1389"/>
      <c r="AB20" s="1389"/>
      <c r="AC20" s="1389"/>
    </row>
    <row r="21" spans="1:32">
      <c r="G21" s="132"/>
      <c r="H21" s="132"/>
      <c r="P21" s="139"/>
      <c r="Q21" s="139"/>
      <c r="R21" s="139"/>
      <c r="S21" s="139"/>
      <c r="T21" s="139"/>
      <c r="U21" s="139"/>
      <c r="V21" s="139"/>
      <c r="W21" s="139"/>
      <c r="AC21" s="140"/>
      <c r="AD21" s="141"/>
    </row>
    <row r="22" spans="1:32">
      <c r="G22" s="132"/>
      <c r="H22" s="132"/>
      <c r="P22" s="139"/>
      <c r="Q22" s="139"/>
      <c r="R22" s="139"/>
      <c r="S22" s="139"/>
      <c r="T22" s="139"/>
      <c r="U22" s="139"/>
      <c r="V22" s="139"/>
      <c r="W22" s="139"/>
      <c r="X22" s="495"/>
      <c r="Y22" s="495"/>
      <c r="Z22" s="495"/>
      <c r="AC22" s="140"/>
    </row>
    <row r="23" spans="1:32" ht="42.75" customHeight="1">
      <c r="G23" s="133"/>
      <c r="H23" s="133"/>
      <c r="I23" s="134"/>
      <c r="J23" s="134"/>
      <c r="K23" s="134"/>
      <c r="L23" s="134"/>
      <c r="M23" s="134"/>
      <c r="N23" s="134"/>
      <c r="O23" s="134"/>
      <c r="P23" s="142"/>
      <c r="Q23" s="142"/>
      <c r="R23" s="142"/>
      <c r="S23" s="142"/>
      <c r="T23" s="142"/>
      <c r="U23" s="142"/>
      <c r="V23" s="142"/>
      <c r="W23" s="142"/>
      <c r="X23" s="142"/>
      <c r="Y23" s="142"/>
      <c r="Z23" s="142"/>
      <c r="AA23" s="134"/>
      <c r="AB23" s="142"/>
      <c r="AC23" s="142"/>
    </row>
    <row r="24" spans="1:32" ht="16.5">
      <c r="E24" s="578"/>
      <c r="G24" s="578"/>
      <c r="H24" s="705"/>
      <c r="I24" s="135"/>
      <c r="J24" s="135"/>
      <c r="K24" s="135"/>
      <c r="L24" s="135"/>
      <c r="M24" s="135"/>
      <c r="N24" s="135"/>
      <c r="O24" s="135"/>
      <c r="P24" s="143"/>
      <c r="Q24" s="143"/>
      <c r="R24" s="143"/>
      <c r="S24" s="143"/>
      <c r="T24" s="143"/>
      <c r="U24" s="143"/>
      <c r="V24" s="143"/>
      <c r="W24" s="143"/>
      <c r="X24" s="144"/>
      <c r="Y24" s="144"/>
      <c r="Z24" s="144"/>
      <c r="AB24" s="4"/>
      <c r="AC24" s="3"/>
      <c r="AD24" s="145"/>
      <c r="AE24" s="145"/>
    </row>
    <row r="25" spans="1:32">
      <c r="G25" s="133"/>
      <c r="H25" s="133"/>
      <c r="I25" s="134"/>
      <c r="J25" s="134"/>
      <c r="K25" s="134"/>
      <c r="L25" s="134"/>
      <c r="M25" s="134"/>
      <c r="N25" s="134"/>
      <c r="O25" s="134"/>
      <c r="P25" s="146"/>
      <c r="Q25" s="146"/>
      <c r="R25" s="146"/>
      <c r="S25" s="146"/>
      <c r="T25" s="146"/>
      <c r="U25" s="146"/>
      <c r="V25" s="146"/>
      <c r="W25" s="146"/>
      <c r="X25" s="147"/>
      <c r="Y25" s="147"/>
      <c r="Z25" s="147"/>
      <c r="AA25" s="148"/>
      <c r="AB25" s="149"/>
      <c r="AC25" s="149"/>
    </row>
    <row r="26" spans="1:32" s="494" customFormat="1" ht="18.75">
      <c r="A26" s="852"/>
      <c r="B26" s="852"/>
      <c r="G26" s="965"/>
      <c r="H26" s="965"/>
      <c r="I26" s="966"/>
      <c r="J26" s="966"/>
      <c r="K26" s="966"/>
      <c r="L26" s="966"/>
      <c r="M26" s="966"/>
      <c r="N26" s="966"/>
      <c r="O26" s="1391" t="s">
        <v>524</v>
      </c>
      <c r="P26" s="1391"/>
      <c r="Q26" s="1391" t="s">
        <v>110</v>
      </c>
      <c r="R26" s="1391"/>
      <c r="S26" s="1391"/>
      <c r="T26" s="1391"/>
      <c r="U26" s="1391" t="s">
        <v>290</v>
      </c>
      <c r="V26" s="1391"/>
      <c r="W26" s="1391"/>
      <c r="X26" s="1391" t="s">
        <v>314</v>
      </c>
      <c r="Y26" s="1391"/>
      <c r="Z26" s="1391"/>
      <c r="AA26" s="1391"/>
      <c r="AB26" s="1391"/>
      <c r="AC26" s="1391"/>
    </row>
    <row r="27" spans="1:32">
      <c r="G27" s="133"/>
      <c r="H27" s="133"/>
      <c r="I27" s="134"/>
      <c r="J27" s="134"/>
      <c r="K27" s="134"/>
      <c r="L27" s="134"/>
      <c r="M27" s="134"/>
      <c r="N27" s="134"/>
      <c r="O27" s="134"/>
      <c r="P27" s="146"/>
      <c r="Q27" s="146"/>
      <c r="R27" s="146"/>
      <c r="S27" s="146"/>
      <c r="T27" s="146"/>
      <c r="U27" s="146"/>
      <c r="V27" s="146"/>
      <c r="W27" s="146"/>
      <c r="X27" s="146"/>
      <c r="Y27" s="146"/>
      <c r="Z27" s="146"/>
      <c r="AA27" s="148"/>
      <c r="AB27" s="150"/>
      <c r="AC27" s="150"/>
    </row>
    <row r="28" spans="1:32">
      <c r="E28" s="136"/>
      <c r="X28" s="67"/>
      <c r="Y28" s="67"/>
      <c r="Z28" s="67"/>
      <c r="AA28" s="47"/>
    </row>
    <row r="47" spans="1:32" s="25" customFormat="1">
      <c r="A47" s="579"/>
      <c r="B47" s="579"/>
      <c r="C47" s="4"/>
      <c r="D47" s="29"/>
      <c r="E47" s="4"/>
      <c r="F47" s="4"/>
      <c r="G47" s="61"/>
      <c r="H47" s="61"/>
      <c r="X47" s="4"/>
      <c r="Y47" s="4"/>
      <c r="Z47" s="4"/>
      <c r="AB47" s="29"/>
      <c r="AC47" s="4"/>
      <c r="AD47" s="4"/>
      <c r="AE47" s="4"/>
      <c r="AF47" s="4"/>
    </row>
  </sheetData>
  <mergeCells count="38">
    <mergeCell ref="A14:E14"/>
    <mergeCell ref="A18:AC18"/>
    <mergeCell ref="AB10:AB12"/>
    <mergeCell ref="AC10:AC12"/>
    <mergeCell ref="P11:W11"/>
    <mergeCell ref="A15:E15"/>
    <mergeCell ref="B1:AC1"/>
    <mergeCell ref="B2:AC2"/>
    <mergeCell ref="B3:AC3"/>
    <mergeCell ref="B8:F8"/>
    <mergeCell ref="C10:C11"/>
    <mergeCell ref="D10:D11"/>
    <mergeCell ref="G11:H11"/>
    <mergeCell ref="I11:O11"/>
    <mergeCell ref="A10:B12"/>
    <mergeCell ref="E10:E12"/>
    <mergeCell ref="F10:F12"/>
    <mergeCell ref="G10:W10"/>
    <mergeCell ref="X10:X12"/>
    <mergeCell ref="AA10:AA12"/>
    <mergeCell ref="Y10:Y12"/>
    <mergeCell ref="Z10:Z12"/>
    <mergeCell ref="A5:H5"/>
    <mergeCell ref="O26:P26"/>
    <mergeCell ref="Q26:T26"/>
    <mergeCell ref="U26:W26"/>
    <mergeCell ref="X26:AC26"/>
    <mergeCell ref="U20:W20"/>
    <mergeCell ref="Q20:T20"/>
    <mergeCell ref="O20:P20"/>
    <mergeCell ref="A20:G20"/>
    <mergeCell ref="H20:J20"/>
    <mergeCell ref="A7:AC7"/>
    <mergeCell ref="A17:E17"/>
    <mergeCell ref="W19:AC19"/>
    <mergeCell ref="X20:AC20"/>
    <mergeCell ref="A16:E16"/>
    <mergeCell ref="A13:E13"/>
  </mergeCells>
  <printOptions horizontalCentered="1"/>
  <pageMargins left="0" right="0" top="0.34" bottom="0.19685039370078741" header="0.2" footer="0.19685039370078741"/>
  <pageSetup paperSize="9" scale="70" fitToHeight="0"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M45"/>
  <sheetViews>
    <sheetView topLeftCell="A21" zoomScale="70" zoomScaleNormal="70" workbookViewId="0">
      <selection activeCell="A34" sqref="A34:G34"/>
    </sheetView>
  </sheetViews>
  <sheetFormatPr defaultColWidth="8.7109375" defaultRowHeight="15.75"/>
  <cols>
    <col min="1" max="1" width="6.7109375" style="109" customWidth="1"/>
    <col min="2" max="2" width="44.140625" style="109" customWidth="1"/>
    <col min="3" max="3" width="11" style="110" customWidth="1"/>
    <col min="4" max="4" width="15" style="110" customWidth="1"/>
    <col min="5" max="5" width="15" style="111" customWidth="1"/>
    <col min="6" max="6" width="24.28515625" style="112" customWidth="1"/>
    <col min="7" max="7" width="27.28515625" style="111" customWidth="1"/>
    <col min="8" max="8" width="28.28515625" style="109" customWidth="1"/>
    <col min="9" max="9" width="20.7109375" style="109" customWidth="1"/>
    <col min="10" max="10" width="34.7109375" style="109" customWidth="1"/>
    <col min="11" max="11" width="21.85546875" style="109" customWidth="1"/>
    <col min="12" max="12" width="15.7109375" style="109" customWidth="1"/>
    <col min="13" max="13" width="17.7109375" style="109" customWidth="1"/>
    <col min="14" max="256" width="8.7109375" style="109"/>
    <col min="257" max="257" width="6.85546875" style="109" customWidth="1"/>
    <col min="258" max="258" width="39.28515625" style="109" customWidth="1"/>
    <col min="259" max="259" width="9.28515625" style="109" customWidth="1"/>
    <col min="260" max="260" width="10.7109375" style="109" customWidth="1"/>
    <col min="261" max="261" width="15" style="109" customWidth="1"/>
    <col min="262" max="262" width="10.42578125" style="109" customWidth="1"/>
    <col min="263" max="263" width="20.42578125" style="109" customWidth="1"/>
    <col min="264" max="264" width="20.7109375" style="109" customWidth="1"/>
    <col min="265" max="265" width="11.140625" style="109" customWidth="1"/>
    <col min="266" max="266" width="24" style="109" customWidth="1"/>
    <col min="267" max="267" width="20.28515625" style="109" customWidth="1"/>
    <col min="268" max="268" width="14.85546875" style="109" customWidth="1"/>
    <col min="269" max="269" width="11.28515625" style="109" customWidth="1"/>
    <col min="270" max="512" width="8.7109375" style="109"/>
    <col min="513" max="513" width="6.85546875" style="109" customWidth="1"/>
    <col min="514" max="514" width="39.28515625" style="109" customWidth="1"/>
    <col min="515" max="515" width="9.28515625" style="109" customWidth="1"/>
    <col min="516" max="516" width="10.7109375" style="109" customWidth="1"/>
    <col min="517" max="517" width="15" style="109" customWidth="1"/>
    <col min="518" max="518" width="10.42578125" style="109" customWidth="1"/>
    <col min="519" max="519" width="20.42578125" style="109" customWidth="1"/>
    <col min="520" max="520" width="20.7109375" style="109" customWidth="1"/>
    <col min="521" max="521" width="11.140625" style="109" customWidth="1"/>
    <col min="522" max="522" width="24" style="109" customWidth="1"/>
    <col min="523" max="523" width="20.28515625" style="109" customWidth="1"/>
    <col min="524" max="524" width="14.85546875" style="109" customWidth="1"/>
    <col min="525" max="525" width="11.28515625" style="109" customWidth="1"/>
    <col min="526" max="768" width="8.7109375" style="109"/>
    <col min="769" max="769" width="6.85546875" style="109" customWidth="1"/>
    <col min="770" max="770" width="39.28515625" style="109" customWidth="1"/>
    <col min="771" max="771" width="9.28515625" style="109" customWidth="1"/>
    <col min="772" max="772" width="10.7109375" style="109" customWidth="1"/>
    <col min="773" max="773" width="15" style="109" customWidth="1"/>
    <col min="774" max="774" width="10.42578125" style="109" customWidth="1"/>
    <col min="775" max="775" width="20.42578125" style="109" customWidth="1"/>
    <col min="776" max="776" width="20.7109375" style="109" customWidth="1"/>
    <col min="777" max="777" width="11.140625" style="109" customWidth="1"/>
    <col min="778" max="778" width="24" style="109" customWidth="1"/>
    <col min="779" max="779" width="20.28515625" style="109" customWidth="1"/>
    <col min="780" max="780" width="14.85546875" style="109" customWidth="1"/>
    <col min="781" max="781" width="11.28515625" style="109" customWidth="1"/>
    <col min="782" max="1024" width="8.7109375" style="109"/>
    <col min="1025" max="1025" width="6.85546875" style="109" customWidth="1"/>
    <col min="1026" max="1026" width="39.28515625" style="109" customWidth="1"/>
    <col min="1027" max="1027" width="9.28515625" style="109" customWidth="1"/>
    <col min="1028" max="1028" width="10.7109375" style="109" customWidth="1"/>
    <col min="1029" max="1029" width="15" style="109" customWidth="1"/>
    <col min="1030" max="1030" width="10.42578125" style="109" customWidth="1"/>
    <col min="1031" max="1031" width="20.42578125" style="109" customWidth="1"/>
    <col min="1032" max="1032" width="20.7109375" style="109" customWidth="1"/>
    <col min="1033" max="1033" width="11.140625" style="109" customWidth="1"/>
    <col min="1034" max="1034" width="24" style="109" customWidth="1"/>
    <col min="1035" max="1035" width="20.28515625" style="109" customWidth="1"/>
    <col min="1036" max="1036" width="14.85546875" style="109" customWidth="1"/>
    <col min="1037" max="1037" width="11.28515625" style="109" customWidth="1"/>
    <col min="1038" max="1280" width="8.7109375" style="109"/>
    <col min="1281" max="1281" width="6.85546875" style="109" customWidth="1"/>
    <col min="1282" max="1282" width="39.28515625" style="109" customWidth="1"/>
    <col min="1283" max="1283" width="9.28515625" style="109" customWidth="1"/>
    <col min="1284" max="1284" width="10.7109375" style="109" customWidth="1"/>
    <col min="1285" max="1285" width="15" style="109" customWidth="1"/>
    <col min="1286" max="1286" width="10.42578125" style="109" customWidth="1"/>
    <col min="1287" max="1287" width="20.42578125" style="109" customWidth="1"/>
    <col min="1288" max="1288" width="20.7109375" style="109" customWidth="1"/>
    <col min="1289" max="1289" width="11.140625" style="109" customWidth="1"/>
    <col min="1290" max="1290" width="24" style="109" customWidth="1"/>
    <col min="1291" max="1291" width="20.28515625" style="109" customWidth="1"/>
    <col min="1292" max="1292" width="14.85546875" style="109" customWidth="1"/>
    <col min="1293" max="1293" width="11.28515625" style="109" customWidth="1"/>
    <col min="1294" max="1536" width="8.7109375" style="109"/>
    <col min="1537" max="1537" width="6.85546875" style="109" customWidth="1"/>
    <col min="1538" max="1538" width="39.28515625" style="109" customWidth="1"/>
    <col min="1539" max="1539" width="9.28515625" style="109" customWidth="1"/>
    <col min="1540" max="1540" width="10.7109375" style="109" customWidth="1"/>
    <col min="1541" max="1541" width="15" style="109" customWidth="1"/>
    <col min="1542" max="1542" width="10.42578125" style="109" customWidth="1"/>
    <col min="1543" max="1543" width="20.42578125" style="109" customWidth="1"/>
    <col min="1544" max="1544" width="20.7109375" style="109" customWidth="1"/>
    <col min="1545" max="1545" width="11.140625" style="109" customWidth="1"/>
    <col min="1546" max="1546" width="24" style="109" customWidth="1"/>
    <col min="1547" max="1547" width="20.28515625" style="109" customWidth="1"/>
    <col min="1548" max="1548" width="14.85546875" style="109" customWidth="1"/>
    <col min="1549" max="1549" width="11.28515625" style="109" customWidth="1"/>
    <col min="1550" max="1792" width="8.7109375" style="109"/>
    <col min="1793" max="1793" width="6.85546875" style="109" customWidth="1"/>
    <col min="1794" max="1794" width="39.28515625" style="109" customWidth="1"/>
    <col min="1795" max="1795" width="9.28515625" style="109" customWidth="1"/>
    <col min="1796" max="1796" width="10.7109375" style="109" customWidth="1"/>
    <col min="1797" max="1797" width="15" style="109" customWidth="1"/>
    <col min="1798" max="1798" width="10.42578125" style="109" customWidth="1"/>
    <col min="1799" max="1799" width="20.42578125" style="109" customWidth="1"/>
    <col min="1800" max="1800" width="20.7109375" style="109" customWidth="1"/>
    <col min="1801" max="1801" width="11.140625" style="109" customWidth="1"/>
    <col min="1802" max="1802" width="24" style="109" customWidth="1"/>
    <col min="1803" max="1803" width="20.28515625" style="109" customWidth="1"/>
    <col min="1804" max="1804" width="14.85546875" style="109" customWidth="1"/>
    <col min="1805" max="1805" width="11.28515625" style="109" customWidth="1"/>
    <col min="1806" max="2048" width="8.7109375" style="109"/>
    <col min="2049" max="2049" width="6.85546875" style="109" customWidth="1"/>
    <col min="2050" max="2050" width="39.28515625" style="109" customWidth="1"/>
    <col min="2051" max="2051" width="9.28515625" style="109" customWidth="1"/>
    <col min="2052" max="2052" width="10.7109375" style="109" customWidth="1"/>
    <col min="2053" max="2053" width="15" style="109" customWidth="1"/>
    <col min="2054" max="2054" width="10.42578125" style="109" customWidth="1"/>
    <col min="2055" max="2055" width="20.42578125" style="109" customWidth="1"/>
    <col min="2056" max="2056" width="20.7109375" style="109" customWidth="1"/>
    <col min="2057" max="2057" width="11.140625" style="109" customWidth="1"/>
    <col min="2058" max="2058" width="24" style="109" customWidth="1"/>
    <col min="2059" max="2059" width="20.28515625" style="109" customWidth="1"/>
    <col min="2060" max="2060" width="14.85546875" style="109" customWidth="1"/>
    <col min="2061" max="2061" width="11.28515625" style="109" customWidth="1"/>
    <col min="2062" max="2304" width="8.7109375" style="109"/>
    <col min="2305" max="2305" width="6.85546875" style="109" customWidth="1"/>
    <col min="2306" max="2306" width="39.28515625" style="109" customWidth="1"/>
    <col min="2307" max="2307" width="9.28515625" style="109" customWidth="1"/>
    <col min="2308" max="2308" width="10.7109375" style="109" customWidth="1"/>
    <col min="2309" max="2309" width="15" style="109" customWidth="1"/>
    <col min="2310" max="2310" width="10.42578125" style="109" customWidth="1"/>
    <col min="2311" max="2311" width="20.42578125" style="109" customWidth="1"/>
    <col min="2312" max="2312" width="20.7109375" style="109" customWidth="1"/>
    <col min="2313" max="2313" width="11.140625" style="109" customWidth="1"/>
    <col min="2314" max="2314" width="24" style="109" customWidth="1"/>
    <col min="2315" max="2315" width="20.28515625" style="109" customWidth="1"/>
    <col min="2316" max="2316" width="14.85546875" style="109" customWidth="1"/>
    <col min="2317" max="2317" width="11.28515625" style="109" customWidth="1"/>
    <col min="2318" max="2560" width="8.7109375" style="109"/>
    <col min="2561" max="2561" width="6.85546875" style="109" customWidth="1"/>
    <col min="2562" max="2562" width="39.28515625" style="109" customWidth="1"/>
    <col min="2563" max="2563" width="9.28515625" style="109" customWidth="1"/>
    <col min="2564" max="2564" width="10.7109375" style="109" customWidth="1"/>
    <col min="2565" max="2565" width="15" style="109" customWidth="1"/>
    <col min="2566" max="2566" width="10.42578125" style="109" customWidth="1"/>
    <col min="2567" max="2567" width="20.42578125" style="109" customWidth="1"/>
    <col min="2568" max="2568" width="20.7109375" style="109" customWidth="1"/>
    <col min="2569" max="2569" width="11.140625" style="109" customWidth="1"/>
    <col min="2570" max="2570" width="24" style="109" customWidth="1"/>
    <col min="2571" max="2571" width="20.28515625" style="109" customWidth="1"/>
    <col min="2572" max="2572" width="14.85546875" style="109" customWidth="1"/>
    <col min="2573" max="2573" width="11.28515625" style="109" customWidth="1"/>
    <col min="2574" max="2816" width="8.7109375" style="109"/>
    <col min="2817" max="2817" width="6.85546875" style="109" customWidth="1"/>
    <col min="2818" max="2818" width="39.28515625" style="109" customWidth="1"/>
    <col min="2819" max="2819" width="9.28515625" style="109" customWidth="1"/>
    <col min="2820" max="2820" width="10.7109375" style="109" customWidth="1"/>
    <col min="2821" max="2821" width="15" style="109" customWidth="1"/>
    <col min="2822" max="2822" width="10.42578125" style="109" customWidth="1"/>
    <col min="2823" max="2823" width="20.42578125" style="109" customWidth="1"/>
    <col min="2824" max="2824" width="20.7109375" style="109" customWidth="1"/>
    <col min="2825" max="2825" width="11.140625" style="109" customWidth="1"/>
    <col min="2826" max="2826" width="24" style="109" customWidth="1"/>
    <col min="2827" max="2827" width="20.28515625" style="109" customWidth="1"/>
    <col min="2828" max="2828" width="14.85546875" style="109" customWidth="1"/>
    <col min="2829" max="2829" width="11.28515625" style="109" customWidth="1"/>
    <col min="2830" max="3072" width="8.7109375" style="109"/>
    <col min="3073" max="3073" width="6.85546875" style="109" customWidth="1"/>
    <col min="3074" max="3074" width="39.28515625" style="109" customWidth="1"/>
    <col min="3075" max="3075" width="9.28515625" style="109" customWidth="1"/>
    <col min="3076" max="3076" width="10.7109375" style="109" customWidth="1"/>
    <col min="3077" max="3077" width="15" style="109" customWidth="1"/>
    <col min="3078" max="3078" width="10.42578125" style="109" customWidth="1"/>
    <col min="3079" max="3079" width="20.42578125" style="109" customWidth="1"/>
    <col min="3080" max="3080" width="20.7109375" style="109" customWidth="1"/>
    <col min="3081" max="3081" width="11.140625" style="109" customWidth="1"/>
    <col min="3082" max="3082" width="24" style="109" customWidth="1"/>
    <col min="3083" max="3083" width="20.28515625" style="109" customWidth="1"/>
    <col min="3084" max="3084" width="14.85546875" style="109" customWidth="1"/>
    <col min="3085" max="3085" width="11.28515625" style="109" customWidth="1"/>
    <col min="3086" max="3328" width="8.7109375" style="109"/>
    <col min="3329" max="3329" width="6.85546875" style="109" customWidth="1"/>
    <col min="3330" max="3330" width="39.28515625" style="109" customWidth="1"/>
    <col min="3331" max="3331" width="9.28515625" style="109" customWidth="1"/>
    <col min="3332" max="3332" width="10.7109375" style="109" customWidth="1"/>
    <col min="3333" max="3333" width="15" style="109" customWidth="1"/>
    <col min="3334" max="3334" width="10.42578125" style="109" customWidth="1"/>
    <col min="3335" max="3335" width="20.42578125" style="109" customWidth="1"/>
    <col min="3336" max="3336" width="20.7109375" style="109" customWidth="1"/>
    <col min="3337" max="3337" width="11.140625" style="109" customWidth="1"/>
    <col min="3338" max="3338" width="24" style="109" customWidth="1"/>
    <col min="3339" max="3339" width="20.28515625" style="109" customWidth="1"/>
    <col min="3340" max="3340" width="14.85546875" style="109" customWidth="1"/>
    <col min="3341" max="3341" width="11.28515625" style="109" customWidth="1"/>
    <col min="3342" max="3584" width="8.7109375" style="109"/>
    <col min="3585" max="3585" width="6.85546875" style="109" customWidth="1"/>
    <col min="3586" max="3586" width="39.28515625" style="109" customWidth="1"/>
    <col min="3587" max="3587" width="9.28515625" style="109" customWidth="1"/>
    <col min="3588" max="3588" width="10.7109375" style="109" customWidth="1"/>
    <col min="3589" max="3589" width="15" style="109" customWidth="1"/>
    <col min="3590" max="3590" width="10.42578125" style="109" customWidth="1"/>
    <col min="3591" max="3591" width="20.42578125" style="109" customWidth="1"/>
    <col min="3592" max="3592" width="20.7109375" style="109" customWidth="1"/>
    <col min="3593" max="3593" width="11.140625" style="109" customWidth="1"/>
    <col min="3594" max="3594" width="24" style="109" customWidth="1"/>
    <col min="3595" max="3595" width="20.28515625" style="109" customWidth="1"/>
    <col min="3596" max="3596" width="14.85546875" style="109" customWidth="1"/>
    <col min="3597" max="3597" width="11.28515625" style="109" customWidth="1"/>
    <col min="3598" max="3840" width="8.7109375" style="109"/>
    <col min="3841" max="3841" width="6.85546875" style="109" customWidth="1"/>
    <col min="3842" max="3842" width="39.28515625" style="109" customWidth="1"/>
    <col min="3843" max="3843" width="9.28515625" style="109" customWidth="1"/>
    <col min="3844" max="3844" width="10.7109375" style="109" customWidth="1"/>
    <col min="3845" max="3845" width="15" style="109" customWidth="1"/>
    <col min="3846" max="3846" width="10.42578125" style="109" customWidth="1"/>
    <col min="3847" max="3847" width="20.42578125" style="109" customWidth="1"/>
    <col min="3848" max="3848" width="20.7109375" style="109" customWidth="1"/>
    <col min="3849" max="3849" width="11.140625" style="109" customWidth="1"/>
    <col min="3850" max="3850" width="24" style="109" customWidth="1"/>
    <col min="3851" max="3851" width="20.28515625" style="109" customWidth="1"/>
    <col min="3852" max="3852" width="14.85546875" style="109" customWidth="1"/>
    <col min="3853" max="3853" width="11.28515625" style="109" customWidth="1"/>
    <col min="3854" max="4096" width="8.7109375" style="109"/>
    <col min="4097" max="4097" width="6.85546875" style="109" customWidth="1"/>
    <col min="4098" max="4098" width="39.28515625" style="109" customWidth="1"/>
    <col min="4099" max="4099" width="9.28515625" style="109" customWidth="1"/>
    <col min="4100" max="4100" width="10.7109375" style="109" customWidth="1"/>
    <col min="4101" max="4101" width="15" style="109" customWidth="1"/>
    <col min="4102" max="4102" width="10.42578125" style="109" customWidth="1"/>
    <col min="4103" max="4103" width="20.42578125" style="109" customWidth="1"/>
    <col min="4104" max="4104" width="20.7109375" style="109" customWidth="1"/>
    <col min="4105" max="4105" width="11.140625" style="109" customWidth="1"/>
    <col min="4106" max="4106" width="24" style="109" customWidth="1"/>
    <col min="4107" max="4107" width="20.28515625" style="109" customWidth="1"/>
    <col min="4108" max="4108" width="14.85546875" style="109" customWidth="1"/>
    <col min="4109" max="4109" width="11.28515625" style="109" customWidth="1"/>
    <col min="4110" max="4352" width="8.7109375" style="109"/>
    <col min="4353" max="4353" width="6.85546875" style="109" customWidth="1"/>
    <col min="4354" max="4354" width="39.28515625" style="109" customWidth="1"/>
    <col min="4355" max="4355" width="9.28515625" style="109" customWidth="1"/>
    <col min="4356" max="4356" width="10.7109375" style="109" customWidth="1"/>
    <col min="4357" max="4357" width="15" style="109" customWidth="1"/>
    <col min="4358" max="4358" width="10.42578125" style="109" customWidth="1"/>
    <col min="4359" max="4359" width="20.42578125" style="109" customWidth="1"/>
    <col min="4360" max="4360" width="20.7109375" style="109" customWidth="1"/>
    <col min="4361" max="4361" width="11.140625" style="109" customWidth="1"/>
    <col min="4362" max="4362" width="24" style="109" customWidth="1"/>
    <col min="4363" max="4363" width="20.28515625" style="109" customWidth="1"/>
    <col min="4364" max="4364" width="14.85546875" style="109" customWidth="1"/>
    <col min="4365" max="4365" width="11.28515625" style="109" customWidth="1"/>
    <col min="4366" max="4608" width="8.7109375" style="109"/>
    <col min="4609" max="4609" width="6.85546875" style="109" customWidth="1"/>
    <col min="4610" max="4610" width="39.28515625" style="109" customWidth="1"/>
    <col min="4611" max="4611" width="9.28515625" style="109" customWidth="1"/>
    <col min="4612" max="4612" width="10.7109375" style="109" customWidth="1"/>
    <col min="4613" max="4613" width="15" style="109" customWidth="1"/>
    <col min="4614" max="4614" width="10.42578125" style="109" customWidth="1"/>
    <col min="4615" max="4615" width="20.42578125" style="109" customWidth="1"/>
    <col min="4616" max="4616" width="20.7109375" style="109" customWidth="1"/>
    <col min="4617" max="4617" width="11.140625" style="109" customWidth="1"/>
    <col min="4618" max="4618" width="24" style="109" customWidth="1"/>
    <col min="4619" max="4619" width="20.28515625" style="109" customWidth="1"/>
    <col min="4620" max="4620" width="14.85546875" style="109" customWidth="1"/>
    <col min="4621" max="4621" width="11.28515625" style="109" customWidth="1"/>
    <col min="4622" max="4864" width="8.7109375" style="109"/>
    <col min="4865" max="4865" width="6.85546875" style="109" customWidth="1"/>
    <col min="4866" max="4866" width="39.28515625" style="109" customWidth="1"/>
    <col min="4867" max="4867" width="9.28515625" style="109" customWidth="1"/>
    <col min="4868" max="4868" width="10.7109375" style="109" customWidth="1"/>
    <col min="4869" max="4869" width="15" style="109" customWidth="1"/>
    <col min="4870" max="4870" width="10.42578125" style="109" customWidth="1"/>
    <col min="4871" max="4871" width="20.42578125" style="109" customWidth="1"/>
    <col min="4872" max="4872" width="20.7109375" style="109" customWidth="1"/>
    <col min="4873" max="4873" width="11.140625" style="109" customWidth="1"/>
    <col min="4874" max="4874" width="24" style="109" customWidth="1"/>
    <col min="4875" max="4875" width="20.28515625" style="109" customWidth="1"/>
    <col min="4876" max="4876" width="14.85546875" style="109" customWidth="1"/>
    <col min="4877" max="4877" width="11.28515625" style="109" customWidth="1"/>
    <col min="4878" max="5120" width="8.7109375" style="109"/>
    <col min="5121" max="5121" width="6.85546875" style="109" customWidth="1"/>
    <col min="5122" max="5122" width="39.28515625" style="109" customWidth="1"/>
    <col min="5123" max="5123" width="9.28515625" style="109" customWidth="1"/>
    <col min="5124" max="5124" width="10.7109375" style="109" customWidth="1"/>
    <col min="5125" max="5125" width="15" style="109" customWidth="1"/>
    <col min="5126" max="5126" width="10.42578125" style="109" customWidth="1"/>
    <col min="5127" max="5127" width="20.42578125" style="109" customWidth="1"/>
    <col min="5128" max="5128" width="20.7109375" style="109" customWidth="1"/>
    <col min="5129" max="5129" width="11.140625" style="109" customWidth="1"/>
    <col min="5130" max="5130" width="24" style="109" customWidth="1"/>
    <col min="5131" max="5131" width="20.28515625" style="109" customWidth="1"/>
    <col min="5132" max="5132" width="14.85546875" style="109" customWidth="1"/>
    <col min="5133" max="5133" width="11.28515625" style="109" customWidth="1"/>
    <col min="5134" max="5376" width="8.7109375" style="109"/>
    <col min="5377" max="5377" width="6.85546875" style="109" customWidth="1"/>
    <col min="5378" max="5378" width="39.28515625" style="109" customWidth="1"/>
    <col min="5379" max="5379" width="9.28515625" style="109" customWidth="1"/>
    <col min="5380" max="5380" width="10.7109375" style="109" customWidth="1"/>
    <col min="5381" max="5381" width="15" style="109" customWidth="1"/>
    <col min="5382" max="5382" width="10.42578125" style="109" customWidth="1"/>
    <col min="5383" max="5383" width="20.42578125" style="109" customWidth="1"/>
    <col min="5384" max="5384" width="20.7109375" style="109" customWidth="1"/>
    <col min="5385" max="5385" width="11.140625" style="109" customWidth="1"/>
    <col min="5386" max="5386" width="24" style="109" customWidth="1"/>
    <col min="5387" max="5387" width="20.28515625" style="109" customWidth="1"/>
    <col min="5388" max="5388" width="14.85546875" style="109" customWidth="1"/>
    <col min="5389" max="5389" width="11.28515625" style="109" customWidth="1"/>
    <col min="5390" max="5632" width="8.7109375" style="109"/>
    <col min="5633" max="5633" width="6.85546875" style="109" customWidth="1"/>
    <col min="5634" max="5634" width="39.28515625" style="109" customWidth="1"/>
    <col min="5635" max="5635" width="9.28515625" style="109" customWidth="1"/>
    <col min="5636" max="5636" width="10.7109375" style="109" customWidth="1"/>
    <col min="5637" max="5637" width="15" style="109" customWidth="1"/>
    <col min="5638" max="5638" width="10.42578125" style="109" customWidth="1"/>
    <col min="5639" max="5639" width="20.42578125" style="109" customWidth="1"/>
    <col min="5640" max="5640" width="20.7109375" style="109" customWidth="1"/>
    <col min="5641" max="5641" width="11.140625" style="109" customWidth="1"/>
    <col min="5642" max="5642" width="24" style="109" customWidth="1"/>
    <col min="5643" max="5643" width="20.28515625" style="109" customWidth="1"/>
    <col min="5644" max="5644" width="14.85546875" style="109" customWidth="1"/>
    <col min="5645" max="5645" width="11.28515625" style="109" customWidth="1"/>
    <col min="5646" max="5888" width="8.7109375" style="109"/>
    <col min="5889" max="5889" width="6.85546875" style="109" customWidth="1"/>
    <col min="5890" max="5890" width="39.28515625" style="109" customWidth="1"/>
    <col min="5891" max="5891" width="9.28515625" style="109" customWidth="1"/>
    <col min="5892" max="5892" width="10.7109375" style="109" customWidth="1"/>
    <col min="5893" max="5893" width="15" style="109" customWidth="1"/>
    <col min="5894" max="5894" width="10.42578125" style="109" customWidth="1"/>
    <col min="5895" max="5895" width="20.42578125" style="109" customWidth="1"/>
    <col min="5896" max="5896" width="20.7109375" style="109" customWidth="1"/>
    <col min="5897" max="5897" width="11.140625" style="109" customWidth="1"/>
    <col min="5898" max="5898" width="24" style="109" customWidth="1"/>
    <col min="5899" max="5899" width="20.28515625" style="109" customWidth="1"/>
    <col min="5900" max="5900" width="14.85546875" style="109" customWidth="1"/>
    <col min="5901" max="5901" width="11.28515625" style="109" customWidth="1"/>
    <col min="5902" max="6144" width="8.7109375" style="109"/>
    <col min="6145" max="6145" width="6.85546875" style="109" customWidth="1"/>
    <col min="6146" max="6146" width="39.28515625" style="109" customWidth="1"/>
    <col min="6147" max="6147" width="9.28515625" style="109" customWidth="1"/>
    <col min="6148" max="6148" width="10.7109375" style="109" customWidth="1"/>
    <col min="6149" max="6149" width="15" style="109" customWidth="1"/>
    <col min="6150" max="6150" width="10.42578125" style="109" customWidth="1"/>
    <col min="6151" max="6151" width="20.42578125" style="109" customWidth="1"/>
    <col min="6152" max="6152" width="20.7109375" style="109" customWidth="1"/>
    <col min="6153" max="6153" width="11.140625" style="109" customWidth="1"/>
    <col min="6154" max="6154" width="24" style="109" customWidth="1"/>
    <col min="6155" max="6155" width="20.28515625" style="109" customWidth="1"/>
    <col min="6156" max="6156" width="14.85546875" style="109" customWidth="1"/>
    <col min="6157" max="6157" width="11.28515625" style="109" customWidth="1"/>
    <col min="6158" max="6400" width="8.7109375" style="109"/>
    <col min="6401" max="6401" width="6.85546875" style="109" customWidth="1"/>
    <col min="6402" max="6402" width="39.28515625" style="109" customWidth="1"/>
    <col min="6403" max="6403" width="9.28515625" style="109" customWidth="1"/>
    <col min="6404" max="6404" width="10.7109375" style="109" customWidth="1"/>
    <col min="6405" max="6405" width="15" style="109" customWidth="1"/>
    <col min="6406" max="6406" width="10.42578125" style="109" customWidth="1"/>
    <col min="6407" max="6407" width="20.42578125" style="109" customWidth="1"/>
    <col min="6408" max="6408" width="20.7109375" style="109" customWidth="1"/>
    <col min="6409" max="6409" width="11.140625" style="109" customWidth="1"/>
    <col min="6410" max="6410" width="24" style="109" customWidth="1"/>
    <col min="6411" max="6411" width="20.28515625" style="109" customWidth="1"/>
    <col min="6412" max="6412" width="14.85546875" style="109" customWidth="1"/>
    <col min="6413" max="6413" width="11.28515625" style="109" customWidth="1"/>
    <col min="6414" max="6656" width="8.7109375" style="109"/>
    <col min="6657" max="6657" width="6.85546875" style="109" customWidth="1"/>
    <col min="6658" max="6658" width="39.28515625" style="109" customWidth="1"/>
    <col min="6659" max="6659" width="9.28515625" style="109" customWidth="1"/>
    <col min="6660" max="6660" width="10.7109375" style="109" customWidth="1"/>
    <col min="6661" max="6661" width="15" style="109" customWidth="1"/>
    <col min="6662" max="6662" width="10.42578125" style="109" customWidth="1"/>
    <col min="6663" max="6663" width="20.42578125" style="109" customWidth="1"/>
    <col min="6664" max="6664" width="20.7109375" style="109" customWidth="1"/>
    <col min="6665" max="6665" width="11.140625" style="109" customWidth="1"/>
    <col min="6666" max="6666" width="24" style="109" customWidth="1"/>
    <col min="6667" max="6667" width="20.28515625" style="109" customWidth="1"/>
    <col min="6668" max="6668" width="14.85546875" style="109" customWidth="1"/>
    <col min="6669" max="6669" width="11.28515625" style="109" customWidth="1"/>
    <col min="6670" max="6912" width="8.7109375" style="109"/>
    <col min="6913" max="6913" width="6.85546875" style="109" customWidth="1"/>
    <col min="6914" max="6914" width="39.28515625" style="109" customWidth="1"/>
    <col min="6915" max="6915" width="9.28515625" style="109" customWidth="1"/>
    <col min="6916" max="6916" width="10.7109375" style="109" customWidth="1"/>
    <col min="6917" max="6917" width="15" style="109" customWidth="1"/>
    <col min="6918" max="6918" width="10.42578125" style="109" customWidth="1"/>
    <col min="6919" max="6919" width="20.42578125" style="109" customWidth="1"/>
    <col min="6920" max="6920" width="20.7109375" style="109" customWidth="1"/>
    <col min="6921" max="6921" width="11.140625" style="109" customWidth="1"/>
    <col min="6922" max="6922" width="24" style="109" customWidth="1"/>
    <col min="6923" max="6923" width="20.28515625" style="109" customWidth="1"/>
    <col min="6924" max="6924" width="14.85546875" style="109" customWidth="1"/>
    <col min="6925" max="6925" width="11.28515625" style="109" customWidth="1"/>
    <col min="6926" max="7168" width="8.7109375" style="109"/>
    <col min="7169" max="7169" width="6.85546875" style="109" customWidth="1"/>
    <col min="7170" max="7170" width="39.28515625" style="109" customWidth="1"/>
    <col min="7171" max="7171" width="9.28515625" style="109" customWidth="1"/>
    <col min="7172" max="7172" width="10.7109375" style="109" customWidth="1"/>
    <col min="7173" max="7173" width="15" style="109" customWidth="1"/>
    <col min="7174" max="7174" width="10.42578125" style="109" customWidth="1"/>
    <col min="7175" max="7175" width="20.42578125" style="109" customWidth="1"/>
    <col min="7176" max="7176" width="20.7109375" style="109" customWidth="1"/>
    <col min="7177" max="7177" width="11.140625" style="109" customWidth="1"/>
    <col min="7178" max="7178" width="24" style="109" customWidth="1"/>
    <col min="7179" max="7179" width="20.28515625" style="109" customWidth="1"/>
    <col min="7180" max="7180" width="14.85546875" style="109" customWidth="1"/>
    <col min="7181" max="7181" width="11.28515625" style="109" customWidth="1"/>
    <col min="7182" max="7424" width="8.7109375" style="109"/>
    <col min="7425" max="7425" width="6.85546875" style="109" customWidth="1"/>
    <col min="7426" max="7426" width="39.28515625" style="109" customWidth="1"/>
    <col min="7427" max="7427" width="9.28515625" style="109" customWidth="1"/>
    <col min="7428" max="7428" width="10.7109375" style="109" customWidth="1"/>
    <col min="7429" max="7429" width="15" style="109" customWidth="1"/>
    <col min="7430" max="7430" width="10.42578125" style="109" customWidth="1"/>
    <col min="7431" max="7431" width="20.42578125" style="109" customWidth="1"/>
    <col min="7432" max="7432" width="20.7109375" style="109" customWidth="1"/>
    <col min="7433" max="7433" width="11.140625" style="109" customWidth="1"/>
    <col min="7434" max="7434" width="24" style="109" customWidth="1"/>
    <col min="7435" max="7435" width="20.28515625" style="109" customWidth="1"/>
    <col min="7436" max="7436" width="14.85546875" style="109" customWidth="1"/>
    <col min="7437" max="7437" width="11.28515625" style="109" customWidth="1"/>
    <col min="7438" max="7680" width="8.7109375" style="109"/>
    <col min="7681" max="7681" width="6.85546875" style="109" customWidth="1"/>
    <col min="7682" max="7682" width="39.28515625" style="109" customWidth="1"/>
    <col min="7683" max="7683" width="9.28515625" style="109" customWidth="1"/>
    <col min="7684" max="7684" width="10.7109375" style="109" customWidth="1"/>
    <col min="7685" max="7685" width="15" style="109" customWidth="1"/>
    <col min="7686" max="7686" width="10.42578125" style="109" customWidth="1"/>
    <col min="7687" max="7687" width="20.42578125" style="109" customWidth="1"/>
    <col min="7688" max="7688" width="20.7109375" style="109" customWidth="1"/>
    <col min="7689" max="7689" width="11.140625" style="109" customWidth="1"/>
    <col min="7690" max="7690" width="24" style="109" customWidth="1"/>
    <col min="7691" max="7691" width="20.28515625" style="109" customWidth="1"/>
    <col min="7692" max="7692" width="14.85546875" style="109" customWidth="1"/>
    <col min="7693" max="7693" width="11.28515625" style="109" customWidth="1"/>
    <col min="7694" max="7936" width="8.7109375" style="109"/>
    <col min="7937" max="7937" width="6.85546875" style="109" customWidth="1"/>
    <col min="7938" max="7938" width="39.28515625" style="109" customWidth="1"/>
    <col min="7939" max="7939" width="9.28515625" style="109" customWidth="1"/>
    <col min="7940" max="7940" width="10.7109375" style="109" customWidth="1"/>
    <col min="7941" max="7941" width="15" style="109" customWidth="1"/>
    <col min="7942" max="7942" width="10.42578125" style="109" customWidth="1"/>
    <col min="7943" max="7943" width="20.42578125" style="109" customWidth="1"/>
    <col min="7944" max="7944" width="20.7109375" style="109" customWidth="1"/>
    <col min="7945" max="7945" width="11.140625" style="109" customWidth="1"/>
    <col min="7946" max="7946" width="24" style="109" customWidth="1"/>
    <col min="7947" max="7947" width="20.28515625" style="109" customWidth="1"/>
    <col min="7948" max="7948" width="14.85546875" style="109" customWidth="1"/>
    <col min="7949" max="7949" width="11.28515625" style="109" customWidth="1"/>
    <col min="7950" max="8192" width="8.7109375" style="109"/>
    <col min="8193" max="8193" width="6.85546875" style="109" customWidth="1"/>
    <col min="8194" max="8194" width="39.28515625" style="109" customWidth="1"/>
    <col min="8195" max="8195" width="9.28515625" style="109" customWidth="1"/>
    <col min="8196" max="8196" width="10.7109375" style="109" customWidth="1"/>
    <col min="8197" max="8197" width="15" style="109" customWidth="1"/>
    <col min="8198" max="8198" width="10.42578125" style="109" customWidth="1"/>
    <col min="8199" max="8199" width="20.42578125" style="109" customWidth="1"/>
    <col min="8200" max="8200" width="20.7109375" style="109" customWidth="1"/>
    <col min="8201" max="8201" width="11.140625" style="109" customWidth="1"/>
    <col min="8202" max="8202" width="24" style="109" customWidth="1"/>
    <col min="8203" max="8203" width="20.28515625" style="109" customWidth="1"/>
    <col min="8204" max="8204" width="14.85546875" style="109" customWidth="1"/>
    <col min="8205" max="8205" width="11.28515625" style="109" customWidth="1"/>
    <col min="8206" max="8448" width="8.7109375" style="109"/>
    <col min="8449" max="8449" width="6.85546875" style="109" customWidth="1"/>
    <col min="8450" max="8450" width="39.28515625" style="109" customWidth="1"/>
    <col min="8451" max="8451" width="9.28515625" style="109" customWidth="1"/>
    <col min="8452" max="8452" width="10.7109375" style="109" customWidth="1"/>
    <col min="8453" max="8453" width="15" style="109" customWidth="1"/>
    <col min="8454" max="8454" width="10.42578125" style="109" customWidth="1"/>
    <col min="8455" max="8455" width="20.42578125" style="109" customWidth="1"/>
    <col min="8456" max="8456" width="20.7109375" style="109" customWidth="1"/>
    <col min="8457" max="8457" width="11.140625" style="109" customWidth="1"/>
    <col min="8458" max="8458" width="24" style="109" customWidth="1"/>
    <col min="8459" max="8459" width="20.28515625" style="109" customWidth="1"/>
    <col min="8460" max="8460" width="14.85546875" style="109" customWidth="1"/>
    <col min="8461" max="8461" width="11.28515625" style="109" customWidth="1"/>
    <col min="8462" max="8704" width="8.7109375" style="109"/>
    <col min="8705" max="8705" width="6.85546875" style="109" customWidth="1"/>
    <col min="8706" max="8706" width="39.28515625" style="109" customWidth="1"/>
    <col min="8707" max="8707" width="9.28515625" style="109" customWidth="1"/>
    <col min="8708" max="8708" width="10.7109375" style="109" customWidth="1"/>
    <col min="8709" max="8709" width="15" style="109" customWidth="1"/>
    <col min="8710" max="8710" width="10.42578125" style="109" customWidth="1"/>
    <col min="8711" max="8711" width="20.42578125" style="109" customWidth="1"/>
    <col min="8712" max="8712" width="20.7109375" style="109" customWidth="1"/>
    <col min="8713" max="8713" width="11.140625" style="109" customWidth="1"/>
    <col min="8714" max="8714" width="24" style="109" customWidth="1"/>
    <col min="8715" max="8715" width="20.28515625" style="109" customWidth="1"/>
    <col min="8716" max="8716" width="14.85546875" style="109" customWidth="1"/>
    <col min="8717" max="8717" width="11.28515625" style="109" customWidth="1"/>
    <col min="8718" max="8960" width="8.7109375" style="109"/>
    <col min="8961" max="8961" width="6.85546875" style="109" customWidth="1"/>
    <col min="8962" max="8962" width="39.28515625" style="109" customWidth="1"/>
    <col min="8963" max="8963" width="9.28515625" style="109" customWidth="1"/>
    <col min="8964" max="8964" width="10.7109375" style="109" customWidth="1"/>
    <col min="8965" max="8965" width="15" style="109" customWidth="1"/>
    <col min="8966" max="8966" width="10.42578125" style="109" customWidth="1"/>
    <col min="8967" max="8967" width="20.42578125" style="109" customWidth="1"/>
    <col min="8968" max="8968" width="20.7109375" style="109" customWidth="1"/>
    <col min="8969" max="8969" width="11.140625" style="109" customWidth="1"/>
    <col min="8970" max="8970" width="24" style="109" customWidth="1"/>
    <col min="8971" max="8971" width="20.28515625" style="109" customWidth="1"/>
    <col min="8972" max="8972" width="14.85546875" style="109" customWidth="1"/>
    <col min="8973" max="8973" width="11.28515625" style="109" customWidth="1"/>
    <col min="8974" max="9216" width="8.7109375" style="109"/>
    <col min="9217" max="9217" width="6.85546875" style="109" customWidth="1"/>
    <col min="9218" max="9218" width="39.28515625" style="109" customWidth="1"/>
    <col min="9219" max="9219" width="9.28515625" style="109" customWidth="1"/>
    <col min="9220" max="9220" width="10.7109375" style="109" customWidth="1"/>
    <col min="9221" max="9221" width="15" style="109" customWidth="1"/>
    <col min="9222" max="9222" width="10.42578125" style="109" customWidth="1"/>
    <col min="9223" max="9223" width="20.42578125" style="109" customWidth="1"/>
    <col min="9224" max="9224" width="20.7109375" style="109" customWidth="1"/>
    <col min="9225" max="9225" width="11.140625" style="109" customWidth="1"/>
    <col min="9226" max="9226" width="24" style="109" customWidth="1"/>
    <col min="9227" max="9227" width="20.28515625" style="109" customWidth="1"/>
    <col min="9228" max="9228" width="14.85546875" style="109" customWidth="1"/>
    <col min="9229" max="9229" width="11.28515625" style="109" customWidth="1"/>
    <col min="9230" max="9472" width="8.7109375" style="109"/>
    <col min="9473" max="9473" width="6.85546875" style="109" customWidth="1"/>
    <col min="9474" max="9474" width="39.28515625" style="109" customWidth="1"/>
    <col min="9475" max="9475" width="9.28515625" style="109" customWidth="1"/>
    <col min="9476" max="9476" width="10.7109375" style="109" customWidth="1"/>
    <col min="9477" max="9477" width="15" style="109" customWidth="1"/>
    <col min="9478" max="9478" width="10.42578125" style="109" customWidth="1"/>
    <col min="9479" max="9479" width="20.42578125" style="109" customWidth="1"/>
    <col min="9480" max="9480" width="20.7109375" style="109" customWidth="1"/>
    <col min="9481" max="9481" width="11.140625" style="109" customWidth="1"/>
    <col min="9482" max="9482" width="24" style="109" customWidth="1"/>
    <col min="9483" max="9483" width="20.28515625" style="109" customWidth="1"/>
    <col min="9484" max="9484" width="14.85546875" style="109" customWidth="1"/>
    <col min="9485" max="9485" width="11.28515625" style="109" customWidth="1"/>
    <col min="9486" max="9728" width="8.7109375" style="109"/>
    <col min="9729" max="9729" width="6.85546875" style="109" customWidth="1"/>
    <col min="9730" max="9730" width="39.28515625" style="109" customWidth="1"/>
    <col min="9731" max="9731" width="9.28515625" style="109" customWidth="1"/>
    <col min="9732" max="9732" width="10.7109375" style="109" customWidth="1"/>
    <col min="9733" max="9733" width="15" style="109" customWidth="1"/>
    <col min="9734" max="9734" width="10.42578125" style="109" customWidth="1"/>
    <col min="9735" max="9735" width="20.42578125" style="109" customWidth="1"/>
    <col min="9736" max="9736" width="20.7109375" style="109" customWidth="1"/>
    <col min="9737" max="9737" width="11.140625" style="109" customWidth="1"/>
    <col min="9738" max="9738" width="24" style="109" customWidth="1"/>
    <col min="9739" max="9739" width="20.28515625" style="109" customWidth="1"/>
    <col min="9740" max="9740" width="14.85546875" style="109" customWidth="1"/>
    <col min="9741" max="9741" width="11.28515625" style="109" customWidth="1"/>
    <col min="9742" max="9984" width="8.7109375" style="109"/>
    <col min="9985" max="9985" width="6.85546875" style="109" customWidth="1"/>
    <col min="9986" max="9986" width="39.28515625" style="109" customWidth="1"/>
    <col min="9987" max="9987" width="9.28515625" style="109" customWidth="1"/>
    <col min="9988" max="9988" width="10.7109375" style="109" customWidth="1"/>
    <col min="9989" max="9989" width="15" style="109" customWidth="1"/>
    <col min="9990" max="9990" width="10.42578125" style="109" customWidth="1"/>
    <col min="9991" max="9991" width="20.42578125" style="109" customWidth="1"/>
    <col min="9992" max="9992" width="20.7109375" style="109" customWidth="1"/>
    <col min="9993" max="9993" width="11.140625" style="109" customWidth="1"/>
    <col min="9994" max="9994" width="24" style="109" customWidth="1"/>
    <col min="9995" max="9995" width="20.28515625" style="109" customWidth="1"/>
    <col min="9996" max="9996" width="14.85546875" style="109" customWidth="1"/>
    <col min="9997" max="9997" width="11.28515625" style="109" customWidth="1"/>
    <col min="9998" max="10240" width="8.7109375" style="109"/>
    <col min="10241" max="10241" width="6.85546875" style="109" customWidth="1"/>
    <col min="10242" max="10242" width="39.28515625" style="109" customWidth="1"/>
    <col min="10243" max="10243" width="9.28515625" style="109" customWidth="1"/>
    <col min="10244" max="10244" width="10.7109375" style="109" customWidth="1"/>
    <col min="10245" max="10245" width="15" style="109" customWidth="1"/>
    <col min="10246" max="10246" width="10.42578125" style="109" customWidth="1"/>
    <col min="10247" max="10247" width="20.42578125" style="109" customWidth="1"/>
    <col min="10248" max="10248" width="20.7109375" style="109" customWidth="1"/>
    <col min="10249" max="10249" width="11.140625" style="109" customWidth="1"/>
    <col min="10250" max="10250" width="24" style="109" customWidth="1"/>
    <col min="10251" max="10251" width="20.28515625" style="109" customWidth="1"/>
    <col min="10252" max="10252" width="14.85546875" style="109" customWidth="1"/>
    <col min="10253" max="10253" width="11.28515625" style="109" customWidth="1"/>
    <col min="10254" max="10496" width="8.7109375" style="109"/>
    <col min="10497" max="10497" width="6.85546875" style="109" customWidth="1"/>
    <col min="10498" max="10498" width="39.28515625" style="109" customWidth="1"/>
    <col min="10499" max="10499" width="9.28515625" style="109" customWidth="1"/>
    <col min="10500" max="10500" width="10.7109375" style="109" customWidth="1"/>
    <col min="10501" max="10501" width="15" style="109" customWidth="1"/>
    <col min="10502" max="10502" width="10.42578125" style="109" customWidth="1"/>
    <col min="10503" max="10503" width="20.42578125" style="109" customWidth="1"/>
    <col min="10504" max="10504" width="20.7109375" style="109" customWidth="1"/>
    <col min="10505" max="10505" width="11.140625" style="109" customWidth="1"/>
    <col min="10506" max="10506" width="24" style="109" customWidth="1"/>
    <col min="10507" max="10507" width="20.28515625" style="109" customWidth="1"/>
    <col min="10508" max="10508" width="14.85546875" style="109" customWidth="1"/>
    <col min="10509" max="10509" width="11.28515625" style="109" customWidth="1"/>
    <col min="10510" max="10752" width="8.7109375" style="109"/>
    <col min="10753" max="10753" width="6.85546875" style="109" customWidth="1"/>
    <col min="10754" max="10754" width="39.28515625" style="109" customWidth="1"/>
    <col min="10755" max="10755" width="9.28515625" style="109" customWidth="1"/>
    <col min="10756" max="10756" width="10.7109375" style="109" customWidth="1"/>
    <col min="10757" max="10757" width="15" style="109" customWidth="1"/>
    <col min="10758" max="10758" width="10.42578125" style="109" customWidth="1"/>
    <col min="10759" max="10759" width="20.42578125" style="109" customWidth="1"/>
    <col min="10760" max="10760" width="20.7109375" style="109" customWidth="1"/>
    <col min="10761" max="10761" width="11.140625" style="109" customWidth="1"/>
    <col min="10762" max="10762" width="24" style="109" customWidth="1"/>
    <col min="10763" max="10763" width="20.28515625" style="109" customWidth="1"/>
    <col min="10764" max="10764" width="14.85546875" style="109" customWidth="1"/>
    <col min="10765" max="10765" width="11.28515625" style="109" customWidth="1"/>
    <col min="10766" max="11008" width="8.7109375" style="109"/>
    <col min="11009" max="11009" width="6.85546875" style="109" customWidth="1"/>
    <col min="11010" max="11010" width="39.28515625" style="109" customWidth="1"/>
    <col min="11011" max="11011" width="9.28515625" style="109" customWidth="1"/>
    <col min="11012" max="11012" width="10.7109375" style="109" customWidth="1"/>
    <col min="11013" max="11013" width="15" style="109" customWidth="1"/>
    <col min="11014" max="11014" width="10.42578125" style="109" customWidth="1"/>
    <col min="11015" max="11015" width="20.42578125" style="109" customWidth="1"/>
    <col min="11016" max="11016" width="20.7109375" style="109" customWidth="1"/>
    <col min="11017" max="11017" width="11.140625" style="109" customWidth="1"/>
    <col min="11018" max="11018" width="24" style="109" customWidth="1"/>
    <col min="11019" max="11019" width="20.28515625" style="109" customWidth="1"/>
    <col min="11020" max="11020" width="14.85546875" style="109" customWidth="1"/>
    <col min="11021" max="11021" width="11.28515625" style="109" customWidth="1"/>
    <col min="11022" max="11264" width="8.7109375" style="109"/>
    <col min="11265" max="11265" width="6.85546875" style="109" customWidth="1"/>
    <col min="11266" max="11266" width="39.28515625" style="109" customWidth="1"/>
    <col min="11267" max="11267" width="9.28515625" style="109" customWidth="1"/>
    <col min="11268" max="11268" width="10.7109375" style="109" customWidth="1"/>
    <col min="11269" max="11269" width="15" style="109" customWidth="1"/>
    <col min="11270" max="11270" width="10.42578125" style="109" customWidth="1"/>
    <col min="11271" max="11271" width="20.42578125" style="109" customWidth="1"/>
    <col min="11272" max="11272" width="20.7109375" style="109" customWidth="1"/>
    <col min="11273" max="11273" width="11.140625" style="109" customWidth="1"/>
    <col min="11274" max="11274" width="24" style="109" customWidth="1"/>
    <col min="11275" max="11275" width="20.28515625" style="109" customWidth="1"/>
    <col min="11276" max="11276" width="14.85546875" style="109" customWidth="1"/>
    <col min="11277" max="11277" width="11.28515625" style="109" customWidth="1"/>
    <col min="11278" max="11520" width="8.7109375" style="109"/>
    <col min="11521" max="11521" width="6.85546875" style="109" customWidth="1"/>
    <col min="11522" max="11522" width="39.28515625" style="109" customWidth="1"/>
    <col min="11523" max="11523" width="9.28515625" style="109" customWidth="1"/>
    <col min="11524" max="11524" width="10.7109375" style="109" customWidth="1"/>
    <col min="11525" max="11525" width="15" style="109" customWidth="1"/>
    <col min="11526" max="11526" width="10.42578125" style="109" customWidth="1"/>
    <col min="11527" max="11527" width="20.42578125" style="109" customWidth="1"/>
    <col min="11528" max="11528" width="20.7109375" style="109" customWidth="1"/>
    <col min="11529" max="11529" width="11.140625" style="109" customWidth="1"/>
    <col min="11530" max="11530" width="24" style="109" customWidth="1"/>
    <col min="11531" max="11531" width="20.28515625" style="109" customWidth="1"/>
    <col min="11532" max="11532" width="14.85546875" style="109" customWidth="1"/>
    <col min="11533" max="11533" width="11.28515625" style="109" customWidth="1"/>
    <col min="11534" max="11776" width="8.7109375" style="109"/>
    <col min="11777" max="11777" width="6.85546875" style="109" customWidth="1"/>
    <col min="11778" max="11778" width="39.28515625" style="109" customWidth="1"/>
    <col min="11779" max="11779" width="9.28515625" style="109" customWidth="1"/>
    <col min="11780" max="11780" width="10.7109375" style="109" customWidth="1"/>
    <col min="11781" max="11781" width="15" style="109" customWidth="1"/>
    <col min="11782" max="11782" width="10.42578125" style="109" customWidth="1"/>
    <col min="11783" max="11783" width="20.42578125" style="109" customWidth="1"/>
    <col min="11784" max="11784" width="20.7109375" style="109" customWidth="1"/>
    <col min="11785" max="11785" width="11.140625" style="109" customWidth="1"/>
    <col min="11786" max="11786" width="24" style="109" customWidth="1"/>
    <col min="11787" max="11787" width="20.28515625" style="109" customWidth="1"/>
    <col min="11788" max="11788" width="14.85546875" style="109" customWidth="1"/>
    <col min="11789" max="11789" width="11.28515625" style="109" customWidth="1"/>
    <col min="11790" max="12032" width="8.7109375" style="109"/>
    <col min="12033" max="12033" width="6.85546875" style="109" customWidth="1"/>
    <col min="12034" max="12034" width="39.28515625" style="109" customWidth="1"/>
    <col min="12035" max="12035" width="9.28515625" style="109" customWidth="1"/>
    <col min="12036" max="12036" width="10.7109375" style="109" customWidth="1"/>
    <col min="12037" max="12037" width="15" style="109" customWidth="1"/>
    <col min="12038" max="12038" width="10.42578125" style="109" customWidth="1"/>
    <col min="12039" max="12039" width="20.42578125" style="109" customWidth="1"/>
    <col min="12040" max="12040" width="20.7109375" style="109" customWidth="1"/>
    <col min="12041" max="12041" width="11.140625" style="109" customWidth="1"/>
    <col min="12042" max="12042" width="24" style="109" customWidth="1"/>
    <col min="12043" max="12043" width="20.28515625" style="109" customWidth="1"/>
    <col min="12044" max="12044" width="14.85546875" style="109" customWidth="1"/>
    <col min="12045" max="12045" width="11.28515625" style="109" customWidth="1"/>
    <col min="12046" max="12288" width="8.7109375" style="109"/>
    <col min="12289" max="12289" width="6.85546875" style="109" customWidth="1"/>
    <col min="12290" max="12290" width="39.28515625" style="109" customWidth="1"/>
    <col min="12291" max="12291" width="9.28515625" style="109" customWidth="1"/>
    <col min="12292" max="12292" width="10.7109375" style="109" customWidth="1"/>
    <col min="12293" max="12293" width="15" style="109" customWidth="1"/>
    <col min="12294" max="12294" width="10.42578125" style="109" customWidth="1"/>
    <col min="12295" max="12295" width="20.42578125" style="109" customWidth="1"/>
    <col min="12296" max="12296" width="20.7109375" style="109" customWidth="1"/>
    <col min="12297" max="12297" width="11.140625" style="109" customWidth="1"/>
    <col min="12298" max="12298" width="24" style="109" customWidth="1"/>
    <col min="12299" max="12299" width="20.28515625" style="109" customWidth="1"/>
    <col min="12300" max="12300" width="14.85546875" style="109" customWidth="1"/>
    <col min="12301" max="12301" width="11.28515625" style="109" customWidth="1"/>
    <col min="12302" max="12544" width="8.7109375" style="109"/>
    <col min="12545" max="12545" width="6.85546875" style="109" customWidth="1"/>
    <col min="12546" max="12546" width="39.28515625" style="109" customWidth="1"/>
    <col min="12547" max="12547" width="9.28515625" style="109" customWidth="1"/>
    <col min="12548" max="12548" width="10.7109375" style="109" customWidth="1"/>
    <col min="12549" max="12549" width="15" style="109" customWidth="1"/>
    <col min="12550" max="12550" width="10.42578125" style="109" customWidth="1"/>
    <col min="12551" max="12551" width="20.42578125" style="109" customWidth="1"/>
    <col min="12552" max="12552" width="20.7109375" style="109" customWidth="1"/>
    <col min="12553" max="12553" width="11.140625" style="109" customWidth="1"/>
    <col min="12554" max="12554" width="24" style="109" customWidth="1"/>
    <col min="12555" max="12555" width="20.28515625" style="109" customWidth="1"/>
    <col min="12556" max="12556" width="14.85546875" style="109" customWidth="1"/>
    <col min="12557" max="12557" width="11.28515625" style="109" customWidth="1"/>
    <col min="12558" max="12800" width="8.7109375" style="109"/>
    <col min="12801" max="12801" width="6.85546875" style="109" customWidth="1"/>
    <col min="12802" max="12802" width="39.28515625" style="109" customWidth="1"/>
    <col min="12803" max="12803" width="9.28515625" style="109" customWidth="1"/>
    <col min="12804" max="12804" width="10.7109375" style="109" customWidth="1"/>
    <col min="12805" max="12805" width="15" style="109" customWidth="1"/>
    <col min="12806" max="12806" width="10.42578125" style="109" customWidth="1"/>
    <col min="12807" max="12807" width="20.42578125" style="109" customWidth="1"/>
    <col min="12808" max="12808" width="20.7109375" style="109" customWidth="1"/>
    <col min="12809" max="12809" width="11.140625" style="109" customWidth="1"/>
    <col min="12810" max="12810" width="24" style="109" customWidth="1"/>
    <col min="12811" max="12811" width="20.28515625" style="109" customWidth="1"/>
    <col min="12812" max="12812" width="14.85546875" style="109" customWidth="1"/>
    <col min="12813" max="12813" width="11.28515625" style="109" customWidth="1"/>
    <col min="12814" max="13056" width="8.7109375" style="109"/>
    <col min="13057" max="13057" width="6.85546875" style="109" customWidth="1"/>
    <col min="13058" max="13058" width="39.28515625" style="109" customWidth="1"/>
    <col min="13059" max="13059" width="9.28515625" style="109" customWidth="1"/>
    <col min="13060" max="13060" width="10.7109375" style="109" customWidth="1"/>
    <col min="13061" max="13061" width="15" style="109" customWidth="1"/>
    <col min="13062" max="13062" width="10.42578125" style="109" customWidth="1"/>
    <col min="13063" max="13063" width="20.42578125" style="109" customWidth="1"/>
    <col min="13064" max="13064" width="20.7109375" style="109" customWidth="1"/>
    <col min="13065" max="13065" width="11.140625" style="109" customWidth="1"/>
    <col min="13066" max="13066" width="24" style="109" customWidth="1"/>
    <col min="13067" max="13067" width="20.28515625" style="109" customWidth="1"/>
    <col min="13068" max="13068" width="14.85546875" style="109" customWidth="1"/>
    <col min="13069" max="13069" width="11.28515625" style="109" customWidth="1"/>
    <col min="13070" max="13312" width="8.7109375" style="109"/>
    <col min="13313" max="13313" width="6.85546875" style="109" customWidth="1"/>
    <col min="13314" max="13314" width="39.28515625" style="109" customWidth="1"/>
    <col min="13315" max="13315" width="9.28515625" style="109" customWidth="1"/>
    <col min="13316" max="13316" width="10.7109375" style="109" customWidth="1"/>
    <col min="13317" max="13317" width="15" style="109" customWidth="1"/>
    <col min="13318" max="13318" width="10.42578125" style="109" customWidth="1"/>
    <col min="13319" max="13319" width="20.42578125" style="109" customWidth="1"/>
    <col min="13320" max="13320" width="20.7109375" style="109" customWidth="1"/>
    <col min="13321" max="13321" width="11.140625" style="109" customWidth="1"/>
    <col min="13322" max="13322" width="24" style="109" customWidth="1"/>
    <col min="13323" max="13323" width="20.28515625" style="109" customWidth="1"/>
    <col min="13324" max="13324" width="14.85546875" style="109" customWidth="1"/>
    <col min="13325" max="13325" width="11.28515625" style="109" customWidth="1"/>
    <col min="13326" max="13568" width="8.7109375" style="109"/>
    <col min="13569" max="13569" width="6.85546875" style="109" customWidth="1"/>
    <col min="13570" max="13570" width="39.28515625" style="109" customWidth="1"/>
    <col min="13571" max="13571" width="9.28515625" style="109" customWidth="1"/>
    <col min="13572" max="13572" width="10.7109375" style="109" customWidth="1"/>
    <col min="13573" max="13573" width="15" style="109" customWidth="1"/>
    <col min="13574" max="13574" width="10.42578125" style="109" customWidth="1"/>
    <col min="13575" max="13575" width="20.42578125" style="109" customWidth="1"/>
    <col min="13576" max="13576" width="20.7109375" style="109" customWidth="1"/>
    <col min="13577" max="13577" width="11.140625" style="109" customWidth="1"/>
    <col min="13578" max="13578" width="24" style="109" customWidth="1"/>
    <col min="13579" max="13579" width="20.28515625" style="109" customWidth="1"/>
    <col min="13580" max="13580" width="14.85546875" style="109" customWidth="1"/>
    <col min="13581" max="13581" width="11.28515625" style="109" customWidth="1"/>
    <col min="13582" max="13824" width="8.7109375" style="109"/>
    <col min="13825" max="13825" width="6.85546875" style="109" customWidth="1"/>
    <col min="13826" max="13826" width="39.28515625" style="109" customWidth="1"/>
    <col min="13827" max="13827" width="9.28515625" style="109" customWidth="1"/>
    <col min="13828" max="13828" width="10.7109375" style="109" customWidth="1"/>
    <col min="13829" max="13829" width="15" style="109" customWidth="1"/>
    <col min="13830" max="13830" width="10.42578125" style="109" customWidth="1"/>
    <col min="13831" max="13831" width="20.42578125" style="109" customWidth="1"/>
    <col min="13832" max="13832" width="20.7109375" style="109" customWidth="1"/>
    <col min="13833" max="13833" width="11.140625" style="109" customWidth="1"/>
    <col min="13834" max="13834" width="24" style="109" customWidth="1"/>
    <col min="13835" max="13835" width="20.28515625" style="109" customWidth="1"/>
    <col min="13836" max="13836" width="14.85546875" style="109" customWidth="1"/>
    <col min="13837" max="13837" width="11.28515625" style="109" customWidth="1"/>
    <col min="13838" max="14080" width="8.7109375" style="109"/>
    <col min="14081" max="14081" width="6.85546875" style="109" customWidth="1"/>
    <col min="14082" max="14082" width="39.28515625" style="109" customWidth="1"/>
    <col min="14083" max="14083" width="9.28515625" style="109" customWidth="1"/>
    <col min="14084" max="14084" width="10.7109375" style="109" customWidth="1"/>
    <col min="14085" max="14085" width="15" style="109" customWidth="1"/>
    <col min="14086" max="14086" width="10.42578125" style="109" customWidth="1"/>
    <col min="14087" max="14087" width="20.42578125" style="109" customWidth="1"/>
    <col min="14088" max="14088" width="20.7109375" style="109" customWidth="1"/>
    <col min="14089" max="14089" width="11.140625" style="109" customWidth="1"/>
    <col min="14090" max="14090" width="24" style="109" customWidth="1"/>
    <col min="14091" max="14091" width="20.28515625" style="109" customWidth="1"/>
    <col min="14092" max="14092" width="14.85546875" style="109" customWidth="1"/>
    <col min="14093" max="14093" width="11.28515625" style="109" customWidth="1"/>
    <col min="14094" max="14336" width="8.7109375" style="109"/>
    <col min="14337" max="14337" width="6.85546875" style="109" customWidth="1"/>
    <col min="14338" max="14338" width="39.28515625" style="109" customWidth="1"/>
    <col min="14339" max="14339" width="9.28515625" style="109" customWidth="1"/>
    <col min="14340" max="14340" width="10.7109375" style="109" customWidth="1"/>
    <col min="14341" max="14341" width="15" style="109" customWidth="1"/>
    <col min="14342" max="14342" width="10.42578125" style="109" customWidth="1"/>
    <col min="14343" max="14343" width="20.42578125" style="109" customWidth="1"/>
    <col min="14344" max="14344" width="20.7109375" style="109" customWidth="1"/>
    <col min="14345" max="14345" width="11.140625" style="109" customWidth="1"/>
    <col min="14346" max="14346" width="24" style="109" customWidth="1"/>
    <col min="14347" max="14347" width="20.28515625" style="109" customWidth="1"/>
    <col min="14348" max="14348" width="14.85546875" style="109" customWidth="1"/>
    <col min="14349" max="14349" width="11.28515625" style="109" customWidth="1"/>
    <col min="14350" max="14592" width="8.7109375" style="109"/>
    <col min="14593" max="14593" width="6.85546875" style="109" customWidth="1"/>
    <col min="14594" max="14594" width="39.28515625" style="109" customWidth="1"/>
    <col min="14595" max="14595" width="9.28515625" style="109" customWidth="1"/>
    <col min="14596" max="14596" width="10.7109375" style="109" customWidth="1"/>
    <col min="14597" max="14597" width="15" style="109" customWidth="1"/>
    <col min="14598" max="14598" width="10.42578125" style="109" customWidth="1"/>
    <col min="14599" max="14599" width="20.42578125" style="109" customWidth="1"/>
    <col min="14600" max="14600" width="20.7109375" style="109" customWidth="1"/>
    <col min="14601" max="14601" width="11.140625" style="109" customWidth="1"/>
    <col min="14602" max="14602" width="24" style="109" customWidth="1"/>
    <col min="14603" max="14603" width="20.28515625" style="109" customWidth="1"/>
    <col min="14604" max="14604" width="14.85546875" style="109" customWidth="1"/>
    <col min="14605" max="14605" width="11.28515625" style="109" customWidth="1"/>
    <col min="14606" max="14848" width="8.7109375" style="109"/>
    <col min="14849" max="14849" width="6.85546875" style="109" customWidth="1"/>
    <col min="14850" max="14850" width="39.28515625" style="109" customWidth="1"/>
    <col min="14851" max="14851" width="9.28515625" style="109" customWidth="1"/>
    <col min="14852" max="14852" width="10.7109375" style="109" customWidth="1"/>
    <col min="14853" max="14853" width="15" style="109" customWidth="1"/>
    <col min="14854" max="14854" width="10.42578125" style="109" customWidth="1"/>
    <col min="14855" max="14855" width="20.42578125" style="109" customWidth="1"/>
    <col min="14856" max="14856" width="20.7109375" style="109" customWidth="1"/>
    <col min="14857" max="14857" width="11.140625" style="109" customWidth="1"/>
    <col min="14858" max="14858" width="24" style="109" customWidth="1"/>
    <col min="14859" max="14859" width="20.28515625" style="109" customWidth="1"/>
    <col min="14860" max="14860" width="14.85546875" style="109" customWidth="1"/>
    <col min="14861" max="14861" width="11.28515625" style="109" customWidth="1"/>
    <col min="14862" max="15104" width="8.7109375" style="109"/>
    <col min="15105" max="15105" width="6.85546875" style="109" customWidth="1"/>
    <col min="15106" max="15106" width="39.28515625" style="109" customWidth="1"/>
    <col min="15107" max="15107" width="9.28515625" style="109" customWidth="1"/>
    <col min="15108" max="15108" width="10.7109375" style="109" customWidth="1"/>
    <col min="15109" max="15109" width="15" style="109" customWidth="1"/>
    <col min="15110" max="15110" width="10.42578125" style="109" customWidth="1"/>
    <col min="15111" max="15111" width="20.42578125" style="109" customWidth="1"/>
    <col min="15112" max="15112" width="20.7109375" style="109" customWidth="1"/>
    <col min="15113" max="15113" width="11.140625" style="109" customWidth="1"/>
    <col min="15114" max="15114" width="24" style="109" customWidth="1"/>
    <col min="15115" max="15115" width="20.28515625" style="109" customWidth="1"/>
    <col min="15116" max="15116" width="14.85546875" style="109" customWidth="1"/>
    <col min="15117" max="15117" width="11.28515625" style="109" customWidth="1"/>
    <col min="15118" max="15360" width="8.7109375" style="109"/>
    <col min="15361" max="15361" width="6.85546875" style="109" customWidth="1"/>
    <col min="15362" max="15362" width="39.28515625" style="109" customWidth="1"/>
    <col min="15363" max="15363" width="9.28515625" style="109" customWidth="1"/>
    <col min="15364" max="15364" width="10.7109375" style="109" customWidth="1"/>
    <col min="15365" max="15365" width="15" style="109" customWidth="1"/>
    <col min="15366" max="15366" width="10.42578125" style="109" customWidth="1"/>
    <col min="15367" max="15367" width="20.42578125" style="109" customWidth="1"/>
    <col min="15368" max="15368" width="20.7109375" style="109" customWidth="1"/>
    <col min="15369" max="15369" width="11.140625" style="109" customWidth="1"/>
    <col min="15370" max="15370" width="24" style="109" customWidth="1"/>
    <col min="15371" max="15371" width="20.28515625" style="109" customWidth="1"/>
    <col min="15372" max="15372" width="14.85546875" style="109" customWidth="1"/>
    <col min="15373" max="15373" width="11.28515625" style="109" customWidth="1"/>
    <col min="15374" max="15616" width="8.7109375" style="109"/>
    <col min="15617" max="15617" width="6.85546875" style="109" customWidth="1"/>
    <col min="15618" max="15618" width="39.28515625" style="109" customWidth="1"/>
    <col min="15619" max="15619" width="9.28515625" style="109" customWidth="1"/>
    <col min="15620" max="15620" width="10.7109375" style="109" customWidth="1"/>
    <col min="15621" max="15621" width="15" style="109" customWidth="1"/>
    <col min="15622" max="15622" width="10.42578125" style="109" customWidth="1"/>
    <col min="15623" max="15623" width="20.42578125" style="109" customWidth="1"/>
    <col min="15624" max="15624" width="20.7109375" style="109" customWidth="1"/>
    <col min="15625" max="15625" width="11.140625" style="109" customWidth="1"/>
    <col min="15626" max="15626" width="24" style="109" customWidth="1"/>
    <col min="15627" max="15627" width="20.28515625" style="109" customWidth="1"/>
    <col min="15628" max="15628" width="14.85546875" style="109" customWidth="1"/>
    <col min="15629" max="15629" width="11.28515625" style="109" customWidth="1"/>
    <col min="15630" max="15872" width="8.7109375" style="109"/>
    <col min="15873" max="15873" width="6.85546875" style="109" customWidth="1"/>
    <col min="15874" max="15874" width="39.28515625" style="109" customWidth="1"/>
    <col min="15875" max="15875" width="9.28515625" style="109" customWidth="1"/>
    <col min="15876" max="15876" width="10.7109375" style="109" customWidth="1"/>
    <col min="15877" max="15877" width="15" style="109" customWidth="1"/>
    <col min="15878" max="15878" width="10.42578125" style="109" customWidth="1"/>
    <col min="15879" max="15879" width="20.42578125" style="109" customWidth="1"/>
    <col min="15880" max="15880" width="20.7109375" style="109" customWidth="1"/>
    <col min="15881" max="15881" width="11.140625" style="109" customWidth="1"/>
    <col min="15882" max="15882" width="24" style="109" customWidth="1"/>
    <col min="15883" max="15883" width="20.28515625" style="109" customWidth="1"/>
    <col min="15884" max="15884" width="14.85546875" style="109" customWidth="1"/>
    <col min="15885" max="15885" width="11.28515625" style="109" customWidth="1"/>
    <col min="15886" max="16128" width="8.7109375" style="109"/>
    <col min="16129" max="16129" width="6.85546875" style="109" customWidth="1"/>
    <col min="16130" max="16130" width="39.28515625" style="109" customWidth="1"/>
    <col min="16131" max="16131" width="9.28515625" style="109" customWidth="1"/>
    <col min="16132" max="16132" width="10.7109375" style="109" customWidth="1"/>
    <col min="16133" max="16133" width="15" style="109" customWidth="1"/>
    <col min="16134" max="16134" width="10.42578125" style="109" customWidth="1"/>
    <col min="16135" max="16135" width="20.42578125" style="109" customWidth="1"/>
    <col min="16136" max="16136" width="20.7109375" style="109" customWidth="1"/>
    <col min="16137" max="16137" width="11.140625" style="109" customWidth="1"/>
    <col min="16138" max="16138" width="24" style="109" customWidth="1"/>
    <col min="16139" max="16139" width="20.28515625" style="109" customWidth="1"/>
    <col min="16140" max="16140" width="14.85546875" style="109" customWidth="1"/>
    <col min="16141" max="16141" width="11.28515625" style="109" customWidth="1"/>
    <col min="16142" max="16384" width="8.7109375" style="109"/>
  </cols>
  <sheetData>
    <row r="1" spans="1:12" s="72" customFormat="1" ht="18.75">
      <c r="A1" s="1512" t="s">
        <v>0</v>
      </c>
      <c r="B1" s="1512"/>
      <c r="C1" s="1512"/>
      <c r="D1" s="1512"/>
      <c r="E1" s="1512"/>
      <c r="F1" s="1512"/>
      <c r="G1" s="1512"/>
    </row>
    <row r="2" spans="1:12" s="72" customFormat="1" ht="18.75">
      <c r="A2" s="1512" t="s">
        <v>65</v>
      </c>
      <c r="B2" s="1512"/>
      <c r="C2" s="1512"/>
      <c r="D2" s="1512"/>
      <c r="E2" s="1512"/>
      <c r="F2" s="1512"/>
      <c r="G2" s="1512"/>
    </row>
    <row r="3" spans="1:12" s="72" customFormat="1" ht="13.9" customHeight="1">
      <c r="A3" s="1513" t="s">
        <v>39</v>
      </c>
      <c r="B3" s="1512"/>
      <c r="C3" s="1512"/>
      <c r="D3" s="1512"/>
      <c r="E3" s="1512"/>
      <c r="F3" s="1512"/>
      <c r="G3" s="1512"/>
    </row>
    <row r="4" spans="1:12" s="71" customFormat="1" ht="27" customHeight="1">
      <c r="A4" s="1514" t="s">
        <v>130</v>
      </c>
      <c r="B4" s="1514"/>
      <c r="C4" s="1514"/>
      <c r="D4" s="1514"/>
      <c r="E4" s="969"/>
      <c r="F4" s="620"/>
      <c r="G4" s="970"/>
    </row>
    <row r="5" spans="1:12" s="71" customFormat="1" ht="16.899999999999999" customHeight="1">
      <c r="A5" s="1512" t="s">
        <v>223</v>
      </c>
      <c r="B5" s="1512"/>
      <c r="C5" s="1512"/>
      <c r="D5" s="1512"/>
      <c r="E5" s="969"/>
      <c r="F5" s="620"/>
      <c r="G5" s="970"/>
    </row>
    <row r="6" spans="1:12" ht="10.5" customHeight="1">
      <c r="A6" s="108"/>
      <c r="B6" s="108"/>
      <c r="C6" s="120"/>
      <c r="D6" s="971"/>
      <c r="E6" s="123"/>
      <c r="F6" s="972"/>
      <c r="G6" s="973"/>
    </row>
    <row r="7" spans="1:12" ht="10.5" customHeight="1">
      <c r="D7" s="114"/>
      <c r="F7" s="115"/>
      <c r="G7" s="116"/>
    </row>
    <row r="8" spans="1:12" s="106" customFormat="1" ht="29.25" customHeight="1">
      <c r="A8" s="1518" t="s">
        <v>500</v>
      </c>
      <c r="B8" s="1518"/>
      <c r="C8" s="1518"/>
      <c r="D8" s="1518"/>
      <c r="E8" s="1518"/>
      <c r="F8" s="1518"/>
      <c r="G8" s="1518"/>
      <c r="H8" s="535" t="s">
        <v>195</v>
      </c>
      <c r="I8" s="106">
        <f>'LƯƠNG KT'!G8</f>
        <v>600</v>
      </c>
      <c r="J8" s="1216">
        <v>667.96</v>
      </c>
    </row>
    <row r="9" spans="1:12" ht="11.25" customHeight="1">
      <c r="A9" s="1515"/>
      <c r="B9" s="1515"/>
      <c r="C9" s="1515"/>
      <c r="D9" s="1515"/>
      <c r="E9" s="1515"/>
      <c r="F9" s="1515"/>
      <c r="G9" s="1515"/>
      <c r="J9" s="1515" t="s">
        <v>425</v>
      </c>
    </row>
    <row r="10" spans="1:12" ht="9" customHeight="1">
      <c r="A10" s="117"/>
      <c r="B10" s="117"/>
      <c r="C10" s="117"/>
      <c r="D10" s="117"/>
      <c r="E10" s="117"/>
      <c r="F10" s="117"/>
      <c r="G10" s="117"/>
      <c r="H10" s="536" t="s">
        <v>59</v>
      </c>
      <c r="I10" s="127"/>
      <c r="J10" s="1515"/>
    </row>
    <row r="11" spans="1:12" s="977" customFormat="1" ht="48" customHeight="1">
      <c r="A11" s="974" t="s">
        <v>3</v>
      </c>
      <c r="B11" s="974" t="s">
        <v>197</v>
      </c>
      <c r="C11" s="975" t="s">
        <v>70</v>
      </c>
      <c r="D11" s="975" t="s">
        <v>198</v>
      </c>
      <c r="E11" s="976" t="s">
        <v>208</v>
      </c>
      <c r="F11" s="868" t="s">
        <v>199</v>
      </c>
      <c r="G11" s="976" t="s">
        <v>5</v>
      </c>
      <c r="J11" s="978">
        <f>160000-E23</f>
        <v>98414.087999999989</v>
      </c>
      <c r="K11" s="977">
        <f>46.1*I8</f>
        <v>27660</v>
      </c>
    </row>
    <row r="12" spans="1:12" s="71" customFormat="1" ht="27.75" customHeight="1">
      <c r="A12" s="979" t="s">
        <v>77</v>
      </c>
      <c r="B12" s="980" t="s">
        <v>200</v>
      </c>
      <c r="C12" s="981"/>
      <c r="D12" s="982"/>
      <c r="E12" s="982"/>
      <c r="F12" s="982">
        <f>+F13+F28</f>
        <v>464729858</v>
      </c>
      <c r="G12" s="983"/>
      <c r="H12" s="118"/>
      <c r="I12" s="118"/>
      <c r="J12" s="118"/>
      <c r="K12" s="118"/>
    </row>
    <row r="13" spans="1:12" s="72" customFormat="1" ht="27.75" customHeight="1">
      <c r="A13" s="984">
        <v>1</v>
      </c>
      <c r="B13" s="985" t="s">
        <v>201</v>
      </c>
      <c r="C13" s="986"/>
      <c r="D13" s="987"/>
      <c r="E13" s="987"/>
      <c r="F13" s="987">
        <f>+F14+F19+F27</f>
        <v>456929858</v>
      </c>
      <c r="G13" s="988"/>
      <c r="I13" s="118"/>
      <c r="J13" s="118"/>
      <c r="K13" s="118"/>
    </row>
    <row r="14" spans="1:12" s="72" customFormat="1" ht="27.75" customHeight="1">
      <c r="A14" s="984" t="s">
        <v>80</v>
      </c>
      <c r="B14" s="985" t="s">
        <v>202</v>
      </c>
      <c r="C14" s="989"/>
      <c r="D14" s="987">
        <f>SUM(D15:D18)</f>
        <v>87943.056999999928</v>
      </c>
      <c r="E14" s="627"/>
      <c r="F14" s="987">
        <f>SUM(F15:F18)</f>
        <v>313860647</v>
      </c>
      <c r="G14" s="988"/>
      <c r="H14" s="1219">
        <f>+'LƯƠNG KT'!P95</f>
        <v>313860647.00357032</v>
      </c>
      <c r="I14" s="1185">
        <f>+H14-F14</f>
        <v>3.5703182220458984E-3</v>
      </c>
      <c r="J14" s="118"/>
      <c r="K14" s="118"/>
      <c r="L14" s="77"/>
    </row>
    <row r="15" spans="1:12" s="72" customFormat="1" ht="27.75" customHeight="1">
      <c r="A15" s="984"/>
      <c r="B15" s="985" t="s">
        <v>203</v>
      </c>
      <c r="C15" s="990" t="s">
        <v>79</v>
      </c>
      <c r="D15" s="991">
        <f>+SUMIF('Biểu 2 TH MỦ TẠP'!$AP$11:$AP$87,"A",'Biểu 2 TH MỦ TẠP'!$AO$11:$AO$87)</f>
        <v>44903.897756390405</v>
      </c>
      <c r="E15" s="992">
        <f>6.1*$I$8</f>
        <v>3660</v>
      </c>
      <c r="F15" s="987">
        <f>ROUND((D15*E15),0)</f>
        <v>164348266</v>
      </c>
      <c r="G15" s="988"/>
      <c r="H15" s="118"/>
      <c r="I15" s="1185"/>
      <c r="J15" s="118"/>
      <c r="K15" s="118"/>
    </row>
    <row r="16" spans="1:12" s="72" customFormat="1" ht="27.75" customHeight="1">
      <c r="A16" s="984"/>
      <c r="B16" s="985" t="s">
        <v>204</v>
      </c>
      <c r="C16" s="989" t="s">
        <v>79</v>
      </c>
      <c r="D16" s="991">
        <f>+SUMIF('Biểu 2 TH MỦ TẠP'!$AP$11:$AP$87,"B",'Biểu 2 TH MỦ TẠP'!$AO$11:$AO$87)</f>
        <v>41383.142618165664</v>
      </c>
      <c r="E16" s="992">
        <f>5.8*$I$8</f>
        <v>3480</v>
      </c>
      <c r="F16" s="987">
        <f>ROUND((D16*E16),0)</f>
        <v>144013336</v>
      </c>
      <c r="G16" s="988"/>
      <c r="H16" s="118"/>
      <c r="I16" s="1185"/>
      <c r="J16" s="118"/>
      <c r="K16" s="118"/>
    </row>
    <row r="17" spans="1:13" s="72" customFormat="1" ht="27.75" customHeight="1">
      <c r="A17" s="984"/>
      <c r="B17" s="985" t="s">
        <v>205</v>
      </c>
      <c r="C17" s="989" t="s">
        <v>79</v>
      </c>
      <c r="D17" s="991">
        <f>+SUMIF('Biểu 2 TH MỦ TẠP'!$AP$11:$AP$87,"C",'Biểu 2 TH MỦ TẠP'!$AO$11:$AO$87)</f>
        <v>1561.0436254438664</v>
      </c>
      <c r="E17" s="992">
        <f>5.5*$I$8</f>
        <v>3300</v>
      </c>
      <c r="F17" s="987">
        <f>ROUND((D17*E17),0)</f>
        <v>5151444</v>
      </c>
      <c r="G17" s="988"/>
      <c r="H17" s="766"/>
      <c r="I17" s="1185"/>
      <c r="J17" s="118"/>
      <c r="K17" s="118"/>
    </row>
    <row r="18" spans="1:13" s="72" customFormat="1" ht="27.75" customHeight="1">
      <c r="A18" s="984"/>
      <c r="B18" s="985" t="s">
        <v>590</v>
      </c>
      <c r="C18" s="990" t="s">
        <v>79</v>
      </c>
      <c r="D18" s="987">
        <f>+'SẢN LƯỢNG  SERUM THÁNG 12'!AH14</f>
        <v>94.973000000000013</v>
      </c>
      <c r="E18" s="992">
        <f>6.1*$I$8</f>
        <v>3660</v>
      </c>
      <c r="F18" s="987">
        <f>ROUND((D18*E18),0)</f>
        <v>347601</v>
      </c>
      <c r="G18" s="988"/>
      <c r="H18" s="1218">
        <f>+'LƯƠNG KT'!P91</f>
        <v>347601</v>
      </c>
      <c r="I18" s="1185">
        <f>+H18-F18</f>
        <v>0</v>
      </c>
      <c r="J18" s="118"/>
      <c r="K18" s="118"/>
    </row>
    <row r="19" spans="1:13" s="72" customFormat="1" ht="27.75" customHeight="1">
      <c r="A19" s="984" t="s">
        <v>83</v>
      </c>
      <c r="B19" s="985" t="s">
        <v>206</v>
      </c>
      <c r="C19" s="993"/>
      <c r="D19" s="987"/>
      <c r="E19" s="987"/>
      <c r="F19" s="987">
        <f>SUM(F20:F26)</f>
        <v>143069211</v>
      </c>
      <c r="G19" s="988"/>
      <c r="H19" s="1218">
        <f>+'LƯƠNG KT'!X95</f>
        <v>143069211</v>
      </c>
      <c r="I19" s="1185">
        <f>+H19-F19</f>
        <v>0</v>
      </c>
      <c r="J19" s="766">
        <f>+F19/25000</f>
        <v>5722.7684399999998</v>
      </c>
      <c r="K19" s="591">
        <v>5241.7051600000004</v>
      </c>
      <c r="L19" s="74"/>
    </row>
    <row r="20" spans="1:13" s="72" customFormat="1" ht="27.75" customHeight="1">
      <c r="A20" s="984"/>
      <c r="B20" s="985" t="s">
        <v>316</v>
      </c>
      <c r="C20" s="993" t="s">
        <v>89</v>
      </c>
      <c r="D20" s="987">
        <f>'LƯƠNG KT'!Q95</f>
        <v>2027</v>
      </c>
      <c r="E20" s="987">
        <f>46.1*$J$8</f>
        <v>30792.956000000002</v>
      </c>
      <c r="F20" s="987">
        <f t="shared" ref="F20:F26" si="0">ROUND((D20*E20),0)</f>
        <v>62417322</v>
      </c>
      <c r="G20" s="988"/>
      <c r="H20" s="766">
        <f>+F20/25000</f>
        <v>2496.6928800000001</v>
      </c>
      <c r="I20" s="1185"/>
      <c r="J20" s="766">
        <f>+F20/25000</f>
        <v>2496.6928800000001</v>
      </c>
      <c r="K20" s="118"/>
    </row>
    <row r="21" spans="1:13" s="107" customFormat="1" ht="27.75" customHeight="1">
      <c r="A21" s="984"/>
      <c r="B21" s="985" t="s">
        <v>146</v>
      </c>
      <c r="C21" s="993" t="s">
        <v>89</v>
      </c>
      <c r="D21" s="987">
        <f>'LƯƠNG KT'!R95</f>
        <v>265</v>
      </c>
      <c r="E21" s="987">
        <f>76.9*$J$8</f>
        <v>51366.124000000003</v>
      </c>
      <c r="F21" s="987">
        <f t="shared" si="0"/>
        <v>13612023</v>
      </c>
      <c r="G21" s="988"/>
      <c r="H21" s="766">
        <f t="shared" ref="H21:H26" si="1">+F21/25000</f>
        <v>544.48091999999997</v>
      </c>
      <c r="I21" s="1185"/>
      <c r="J21" s="766">
        <f t="shared" ref="J21:J26" si="2">+F21/25000</f>
        <v>544.48091999999997</v>
      </c>
      <c r="K21" s="118"/>
    </row>
    <row r="22" spans="1:13" s="107" customFormat="1" ht="27.75" customHeight="1">
      <c r="A22" s="994"/>
      <c r="B22" s="995" t="s">
        <v>128</v>
      </c>
      <c r="C22" s="993" t="s">
        <v>89</v>
      </c>
      <c r="D22" s="991">
        <f>'LƯƠNG KT'!W95</f>
        <v>186</v>
      </c>
      <c r="E22" s="991">
        <f>30.7*$J$8</f>
        <v>20506.371999999999</v>
      </c>
      <c r="F22" s="987">
        <f t="shared" si="0"/>
        <v>3814185</v>
      </c>
      <c r="G22" s="996"/>
      <c r="H22" s="766">
        <f t="shared" si="1"/>
        <v>152.56739999999999</v>
      </c>
      <c r="I22" s="1185"/>
      <c r="J22" s="766">
        <f t="shared" si="2"/>
        <v>152.56739999999999</v>
      </c>
      <c r="K22" s="118"/>
    </row>
    <row r="23" spans="1:13" s="107" customFormat="1" ht="27.75" customHeight="1">
      <c r="A23" s="984"/>
      <c r="B23" s="985" t="s">
        <v>392</v>
      </c>
      <c r="C23" s="993" t="s">
        <v>89</v>
      </c>
      <c r="D23" s="987">
        <f>'LƯƠNG KT'!S95</f>
        <v>43</v>
      </c>
      <c r="E23" s="987">
        <f>46.1*2*$J$8</f>
        <v>61585.912000000004</v>
      </c>
      <c r="F23" s="987">
        <f t="shared" si="0"/>
        <v>2648194</v>
      </c>
      <c r="G23" s="988"/>
      <c r="H23" s="766">
        <f t="shared" si="1"/>
        <v>105.92776000000001</v>
      </c>
      <c r="I23" s="1185"/>
      <c r="J23" s="766">
        <f t="shared" si="2"/>
        <v>105.92776000000001</v>
      </c>
      <c r="K23" s="118"/>
    </row>
    <row r="24" spans="1:13" s="107" customFormat="1" ht="27.75" customHeight="1">
      <c r="A24" s="984"/>
      <c r="B24" s="985" t="s">
        <v>495</v>
      </c>
      <c r="C24" s="993" t="s">
        <v>89</v>
      </c>
      <c r="D24" s="987">
        <f>+'LƯƠNG KT'!T95</f>
        <v>43</v>
      </c>
      <c r="E24" s="987">
        <f>76.9*2*$J$8</f>
        <v>102732.24800000001</v>
      </c>
      <c r="F24" s="987">
        <f t="shared" ref="F24:F25" si="3">ROUND((D24*E24),0)</f>
        <v>4417487</v>
      </c>
      <c r="G24" s="988"/>
      <c r="H24" s="766">
        <f t="shared" si="1"/>
        <v>176.69947999999999</v>
      </c>
      <c r="I24" s="1185"/>
      <c r="J24" s="766">
        <f t="shared" ref="J24" si="4">+F24/25000</f>
        <v>176.69947999999999</v>
      </c>
      <c r="K24" s="118"/>
    </row>
    <row r="25" spans="1:13" s="107" customFormat="1" ht="27.75" customHeight="1">
      <c r="A25" s="994"/>
      <c r="B25" s="985" t="s">
        <v>427</v>
      </c>
      <c r="C25" s="993" t="s">
        <v>89</v>
      </c>
      <c r="D25" s="987">
        <f>+D23+D24</f>
        <v>86</v>
      </c>
      <c r="E25" s="987">
        <f>100000</f>
        <v>100000</v>
      </c>
      <c r="F25" s="987">
        <f t="shared" si="3"/>
        <v>8600000</v>
      </c>
      <c r="G25" s="996"/>
      <c r="H25" s="766">
        <f t="shared" si="1"/>
        <v>344</v>
      </c>
      <c r="I25" s="1185"/>
      <c r="J25" s="766"/>
      <c r="K25" s="118"/>
    </row>
    <row r="26" spans="1:13" s="107" customFormat="1" ht="27.75" customHeight="1">
      <c r="A26" s="984"/>
      <c r="B26" s="985" t="s">
        <v>129</v>
      </c>
      <c r="C26" s="993" t="s">
        <v>89</v>
      </c>
      <c r="D26" s="987">
        <f>'LƯƠNG KT'!V95</f>
        <v>2378</v>
      </c>
      <c r="E26" s="987">
        <v>20000</v>
      </c>
      <c r="F26" s="987">
        <f t="shared" si="0"/>
        <v>47560000</v>
      </c>
      <c r="G26" s="988"/>
      <c r="H26" s="766">
        <f t="shared" si="1"/>
        <v>1902.4</v>
      </c>
      <c r="I26" s="1185"/>
      <c r="J26" s="766">
        <f t="shared" si="2"/>
        <v>1902.4</v>
      </c>
      <c r="K26" s="118">
        <f>46.1*2</f>
        <v>92.2</v>
      </c>
    </row>
    <row r="27" spans="1:13" s="72" customFormat="1" ht="27.75" customHeight="1">
      <c r="A27" s="984" t="s">
        <v>85</v>
      </c>
      <c r="B27" s="985" t="s">
        <v>207</v>
      </c>
      <c r="C27" s="993" t="s">
        <v>89</v>
      </c>
      <c r="D27" s="997">
        <f>'LƯƠNG KT'!G95</f>
        <v>0</v>
      </c>
      <c r="E27" s="987">
        <v>25000</v>
      </c>
      <c r="F27" s="987">
        <f>+D27*E27</f>
        <v>0</v>
      </c>
      <c r="G27" s="988"/>
      <c r="H27" s="1218">
        <f>+'LƯƠNG KT'!H95</f>
        <v>0</v>
      </c>
      <c r="I27" s="1185">
        <f>+H27-F27</f>
        <v>0</v>
      </c>
      <c r="J27" s="118"/>
      <c r="K27" s="118"/>
    </row>
    <row r="28" spans="1:13" s="71" customFormat="1" ht="27.75" customHeight="1">
      <c r="A28" s="984">
        <v>2</v>
      </c>
      <c r="B28" s="985" t="s">
        <v>194</v>
      </c>
      <c r="C28" s="993" t="s">
        <v>89</v>
      </c>
      <c r="D28" s="987">
        <f>+'LƯƠNG BV9THUC gộp pc ng viết'!L11/25000</f>
        <v>312</v>
      </c>
      <c r="E28" s="987">
        <v>25000</v>
      </c>
      <c r="F28" s="987">
        <f>+D28*E28</f>
        <v>7800000</v>
      </c>
      <c r="G28" s="983"/>
      <c r="H28" s="118">
        <f>+'LƯƠNG BV9THUC gộp pc ng viết'!L11</f>
        <v>7800000</v>
      </c>
      <c r="I28" s="1185"/>
      <c r="J28" s="118"/>
      <c r="K28" s="118"/>
      <c r="M28" s="113"/>
    </row>
    <row r="29" spans="1:13" s="338" customFormat="1" ht="27.75" customHeight="1">
      <c r="A29" s="998" t="s">
        <v>152</v>
      </c>
      <c r="B29" s="980" t="s">
        <v>497</v>
      </c>
      <c r="C29" s="981"/>
      <c r="D29" s="999">
        <f>+SUM(D30:D30)</f>
        <v>180.4</v>
      </c>
      <c r="E29" s="982"/>
      <c r="F29" s="982">
        <f>SUM(F30:F30)</f>
        <v>4510000</v>
      </c>
      <c r="G29" s="983"/>
      <c r="H29" s="337"/>
      <c r="I29" s="1185"/>
      <c r="J29" s="337"/>
      <c r="K29" s="337"/>
      <c r="M29" s="339"/>
    </row>
    <row r="30" spans="1:13" s="71" customFormat="1" ht="27.75" customHeight="1">
      <c r="A30" s="984">
        <v>1</v>
      </c>
      <c r="B30" s="985" t="s">
        <v>498</v>
      </c>
      <c r="C30" s="993" t="s">
        <v>89</v>
      </c>
      <c r="D30" s="627">
        <f>+'KEO LAI'!D25</f>
        <v>180.4</v>
      </c>
      <c r="E30" s="987">
        <v>25000</v>
      </c>
      <c r="F30" s="987">
        <f>D30*E30</f>
        <v>4510000</v>
      </c>
      <c r="G30" s="983"/>
      <c r="H30" s="118">
        <f>+'KEO LAI'!F25</f>
        <v>4510000</v>
      </c>
      <c r="I30" s="1185">
        <f t="shared" ref="I30:I33" si="5">+H30-F30</f>
        <v>0</v>
      </c>
      <c r="J30" s="118"/>
      <c r="K30" s="118"/>
      <c r="M30" s="113"/>
    </row>
    <row r="31" spans="1:13" s="71" customFormat="1" ht="27.75" customHeight="1">
      <c r="A31" s="998" t="s">
        <v>152</v>
      </c>
      <c r="B31" s="1000" t="s">
        <v>317</v>
      </c>
      <c r="C31" s="981"/>
      <c r="D31" s="982"/>
      <c r="E31" s="982"/>
      <c r="F31" s="982">
        <f>SUM(F32)</f>
        <v>4960000</v>
      </c>
      <c r="G31" s="983"/>
      <c r="H31" s="118"/>
      <c r="I31" s="1185"/>
      <c r="J31" s="118"/>
      <c r="K31" s="118"/>
      <c r="M31" s="113"/>
    </row>
    <row r="32" spans="1:13" s="72" customFormat="1" ht="27.75" customHeight="1">
      <c r="A32" s="984">
        <v>1</v>
      </c>
      <c r="B32" s="995" t="s">
        <v>398</v>
      </c>
      <c r="C32" s="993" t="s">
        <v>153</v>
      </c>
      <c r="D32" s="627"/>
      <c r="E32" s="987"/>
      <c r="F32" s="987">
        <f>+'Phụ cấp người việt'!F14</f>
        <v>4960000</v>
      </c>
      <c r="G32" s="988"/>
      <c r="H32" s="118">
        <f>+'Phụ cấp người việt'!F14</f>
        <v>4960000</v>
      </c>
      <c r="I32" s="1185">
        <f t="shared" si="5"/>
        <v>0</v>
      </c>
      <c r="J32" s="118"/>
      <c r="K32" s="118"/>
      <c r="M32" s="74"/>
    </row>
    <row r="33" spans="1:12" s="72" customFormat="1" ht="27.75" customHeight="1">
      <c r="A33" s="1519" t="s">
        <v>469</v>
      </c>
      <c r="B33" s="1519"/>
      <c r="C33" s="1001"/>
      <c r="D33" s="982"/>
      <c r="E33" s="987"/>
      <c r="F33" s="982">
        <f>F12+F31+F29</f>
        <v>474199858</v>
      </c>
      <c r="G33" s="983"/>
      <c r="H33" s="118">
        <f>+'LƯƠNG CNTT new'!X17</f>
        <v>474199858.00357032</v>
      </c>
      <c r="I33" s="1185">
        <f t="shared" si="5"/>
        <v>3.5703182220458984E-3</v>
      </c>
      <c r="J33" s="118"/>
      <c r="K33" s="118"/>
      <c r="L33" s="74"/>
    </row>
    <row r="34" spans="1:12" ht="27.75" customHeight="1">
      <c r="A34" s="1520" t="s">
        <v>602</v>
      </c>
      <c r="B34" s="1521"/>
      <c r="C34" s="1521"/>
      <c r="D34" s="1521"/>
      <c r="E34" s="1521"/>
      <c r="F34" s="1521"/>
      <c r="G34" s="1522"/>
      <c r="H34" s="118"/>
      <c r="I34" s="118"/>
      <c r="J34" s="118"/>
      <c r="K34" s="118"/>
    </row>
    <row r="35" spans="1:12" s="108" customFormat="1" ht="26.25" customHeight="1">
      <c r="A35" s="119"/>
      <c r="B35" s="119"/>
      <c r="C35" s="119"/>
      <c r="D35" s="120"/>
      <c r="E35" s="1523" t="s">
        <v>598</v>
      </c>
      <c r="F35" s="1523"/>
      <c r="G35" s="1523"/>
      <c r="H35" s="118"/>
      <c r="I35" s="118"/>
      <c r="J35" s="118"/>
      <c r="K35" s="118"/>
    </row>
    <row r="36" spans="1:12" s="108" customFormat="1" ht="4.1500000000000004" customHeight="1">
      <c r="A36" s="121"/>
      <c r="B36" s="121"/>
      <c r="C36" s="121"/>
      <c r="D36" s="122"/>
      <c r="E36" s="123"/>
      <c r="F36" s="124"/>
      <c r="G36" s="125"/>
      <c r="H36" s="118"/>
      <c r="I36" s="118"/>
      <c r="J36" s="118"/>
      <c r="K36" s="118"/>
    </row>
    <row r="37" spans="1:12" s="71" customFormat="1" ht="18.75">
      <c r="A37" s="1002" t="s">
        <v>530</v>
      </c>
      <c r="B37" s="967"/>
      <c r="C37" s="1002"/>
      <c r="D37" s="1524" t="s">
        <v>515</v>
      </c>
      <c r="E37" s="1524"/>
      <c r="F37" s="1003" t="s">
        <v>437</v>
      </c>
      <c r="G37" s="1004" t="s">
        <v>108</v>
      </c>
      <c r="H37" s="118"/>
      <c r="I37" s="118"/>
      <c r="J37" s="118"/>
      <c r="K37" s="118"/>
    </row>
    <row r="38" spans="1:12" s="108" customFormat="1" ht="18.75">
      <c r="A38" s="121"/>
      <c r="B38" s="121"/>
      <c r="C38" s="121"/>
      <c r="D38" s="122"/>
      <c r="E38" s="123"/>
      <c r="F38" s="124"/>
      <c r="G38" s="125"/>
      <c r="H38" s="118"/>
      <c r="I38" s="118"/>
      <c r="J38" s="118"/>
      <c r="K38" s="118"/>
    </row>
    <row r="39" spans="1:12" s="108" customFormat="1" ht="18.75">
      <c r="A39" s="121"/>
      <c r="B39" s="121"/>
      <c r="C39" s="121"/>
      <c r="D39" s="122"/>
      <c r="E39" s="123"/>
      <c r="F39" s="124"/>
      <c r="G39" s="125"/>
    </row>
    <row r="40" spans="1:12">
      <c r="H40" s="126"/>
    </row>
    <row r="42" spans="1:12" ht="16.5">
      <c r="F42" s="1516"/>
      <c r="G42" s="1517"/>
    </row>
    <row r="43" spans="1:12">
      <c r="H43" s="126"/>
      <c r="I43" s="126"/>
    </row>
    <row r="44" spans="1:12" s="967" customFormat="1" ht="18.75">
      <c r="C44" s="968"/>
      <c r="D44" s="1511" t="s">
        <v>524</v>
      </c>
      <c r="E44" s="1511"/>
      <c r="F44" s="620" t="s">
        <v>110</v>
      </c>
      <c r="G44" s="970" t="s">
        <v>290</v>
      </c>
    </row>
    <row r="45" spans="1:12">
      <c r="H45" s="126"/>
      <c r="I45" s="126"/>
    </row>
  </sheetData>
  <mergeCells count="14">
    <mergeCell ref="J9:J10"/>
    <mergeCell ref="F42:G42"/>
    <mergeCell ref="A8:G8"/>
    <mergeCell ref="A9:G9"/>
    <mergeCell ref="A33:B33"/>
    <mergeCell ref="A34:G34"/>
    <mergeCell ref="E35:G35"/>
    <mergeCell ref="D37:E37"/>
    <mergeCell ref="D44:E44"/>
    <mergeCell ref="A1:G1"/>
    <mergeCell ref="A2:G2"/>
    <mergeCell ref="A3:G3"/>
    <mergeCell ref="A4:D4"/>
    <mergeCell ref="A5:D5"/>
  </mergeCells>
  <pageMargins left="0.2" right="0" top="0.51" bottom="0.35" header="0.31496062992125984" footer="0.21"/>
  <pageSetup paperSize="9" fitToHeight="0"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F24"/>
  <sheetViews>
    <sheetView topLeftCell="A5" zoomScale="85" zoomScaleNormal="85" workbookViewId="0">
      <selection activeCell="E13" sqref="E13"/>
    </sheetView>
  </sheetViews>
  <sheetFormatPr defaultRowHeight="16.5"/>
  <cols>
    <col min="1" max="1" width="7" style="267" customWidth="1"/>
    <col min="2" max="2" width="29.28515625" style="267" customWidth="1"/>
    <col min="3" max="3" width="27.85546875" style="267" customWidth="1"/>
    <col min="4" max="4" width="24.5703125" style="267" customWidth="1"/>
    <col min="5" max="5" width="24" style="267" customWidth="1"/>
    <col min="6" max="6" width="29.42578125" style="267" customWidth="1"/>
    <col min="7" max="16384" width="9.140625" style="261"/>
  </cols>
  <sheetData>
    <row r="1" spans="1:6" ht="18.75">
      <c r="A1" s="1530" t="s">
        <v>0</v>
      </c>
      <c r="B1" s="1530"/>
      <c r="C1" s="1530"/>
      <c r="D1" s="1530"/>
      <c r="E1" s="1530"/>
      <c r="F1" s="1530"/>
    </row>
    <row r="2" spans="1:6" ht="18.75">
      <c r="A2" s="1530" t="s">
        <v>1</v>
      </c>
      <c r="B2" s="1530"/>
      <c r="C2" s="1530"/>
      <c r="D2" s="1530"/>
      <c r="E2" s="1530"/>
      <c r="F2" s="1530"/>
    </row>
    <row r="3" spans="1:6" ht="18.75">
      <c r="A3" s="1531" t="s">
        <v>318</v>
      </c>
      <c r="B3" s="1530"/>
      <c r="C3" s="1530"/>
      <c r="D3" s="1530"/>
      <c r="E3" s="1530"/>
      <c r="F3" s="1530"/>
    </row>
    <row r="4" spans="1:6" ht="18.75">
      <c r="A4" s="1005"/>
      <c r="B4" s="1005"/>
      <c r="C4" s="1005"/>
      <c r="D4" s="1005"/>
      <c r="E4" s="1005"/>
      <c r="F4" s="1006"/>
    </row>
    <row r="5" spans="1:6" ht="18.75">
      <c r="A5" s="1532" t="s">
        <v>130</v>
      </c>
      <c r="B5" s="1532"/>
      <c r="C5" s="1532"/>
      <c r="D5" s="1007"/>
      <c r="E5" s="1007"/>
      <c r="F5" s="1006"/>
    </row>
    <row r="6" spans="1:6" ht="18.75">
      <c r="A6" s="1533" t="s">
        <v>292</v>
      </c>
      <c r="B6" s="1533"/>
      <c r="C6" s="1533"/>
      <c r="D6" s="1006"/>
      <c r="E6" s="1006"/>
      <c r="F6" s="1006"/>
    </row>
    <row r="7" spans="1:6">
      <c r="A7" s="263"/>
      <c r="B7" s="263"/>
      <c r="C7" s="263"/>
      <c r="D7" s="262"/>
      <c r="E7" s="262"/>
      <c r="F7" s="262"/>
    </row>
    <row r="8" spans="1:6" ht="20.25">
      <c r="A8" s="1525" t="s">
        <v>572</v>
      </c>
      <c r="B8" s="1526"/>
      <c r="C8" s="1526"/>
      <c r="D8" s="1526"/>
      <c r="E8" s="1526"/>
      <c r="F8" s="1526"/>
    </row>
    <row r="9" spans="1:6">
      <c r="A9" s="264"/>
      <c r="B9" s="265"/>
      <c r="C9" s="264"/>
      <c r="D9" s="264"/>
      <c r="E9" s="264"/>
      <c r="F9" s="266"/>
    </row>
    <row r="10" spans="1:6" ht="24.95" customHeight="1">
      <c r="A10" s="1527" t="s">
        <v>3</v>
      </c>
      <c r="B10" s="1527" t="s">
        <v>209</v>
      </c>
      <c r="C10" s="1528" t="s">
        <v>210</v>
      </c>
      <c r="D10" s="1528" t="s">
        <v>133</v>
      </c>
      <c r="E10" s="1529" t="s">
        <v>326</v>
      </c>
      <c r="F10" s="1527" t="s">
        <v>5</v>
      </c>
    </row>
    <row r="11" spans="1:6" ht="24.95" customHeight="1">
      <c r="A11" s="1527"/>
      <c r="B11" s="1527"/>
      <c r="C11" s="1528"/>
      <c r="D11" s="1527"/>
      <c r="E11" s="1529"/>
      <c r="F11" s="1527"/>
    </row>
    <row r="12" spans="1:6" ht="31.5" customHeight="1">
      <c r="A12" s="1008">
        <v>1</v>
      </c>
      <c r="B12" s="1009" t="str">
        <f>+'Phụ cấp người việt'!B12</f>
        <v>Nguyễn Thị Thanh Trà</v>
      </c>
      <c r="C12" s="1010" t="s">
        <v>6</v>
      </c>
      <c r="D12" s="1011">
        <f>+'LƯƠNG BV9THUC gộp pc ng viết'!J21</f>
        <v>2480000</v>
      </c>
      <c r="E12" s="1011">
        <f>IF(D12&gt;65000000,((D12-65000000)*25%+10685000),IF(D12&gt;25000000,((D12-25000000)*20%+2685000),IF(D12&gt;15000000,((D12-15000000)*15%+1185000),IF(D12&gt;5000000,(D12-5000000)*10%+185000,IF(D12&gt;1300000,(D12-1300000)*5%,0)))))</f>
        <v>59000</v>
      </c>
      <c r="F12" s="1012"/>
    </row>
    <row r="13" spans="1:6" ht="31.5" customHeight="1">
      <c r="A13" s="1008">
        <v>2</v>
      </c>
      <c r="B13" s="1009" t="str">
        <f>+'Phụ cấp người việt'!B13</f>
        <v>Võ Thị Nguyên</v>
      </c>
      <c r="C13" s="1010" t="s">
        <v>6</v>
      </c>
      <c r="D13" s="1011">
        <f>+'LƯƠNG BV9THUC gộp pc ng viết'!J22</f>
        <v>2480000</v>
      </c>
      <c r="E13" s="1011">
        <f>IF(D13&gt;65000000,((D13-65000000)*25%+10685000),IF(D13&gt;25000000,((D13-25000000)*20%+2685000),IF(D13&gt;15000000,((D13-15000000)*15%+1185000),IF(D13&gt;5000000,(D13-5000000)*10%+185000,IF(D13&gt;1300000,(D13-1300000)*5%,0)))))</f>
        <v>59000</v>
      </c>
      <c r="F13" s="1012"/>
    </row>
    <row r="14" spans="1:6" ht="31.5" customHeight="1">
      <c r="A14" s="1527" t="s">
        <v>11</v>
      </c>
      <c r="B14" s="1527"/>
      <c r="C14" s="1013"/>
      <c r="D14" s="1013">
        <f>SUM(D12:D13)</f>
        <v>4960000</v>
      </c>
      <c r="E14" s="1215">
        <f>SUM(E12:E13)</f>
        <v>118000</v>
      </c>
      <c r="F14" s="1008"/>
    </row>
    <row r="15" spans="1:6" ht="31.5" customHeight="1">
      <c r="A15" s="1537" t="s">
        <v>574</v>
      </c>
      <c r="B15" s="1538"/>
      <c r="C15" s="1538"/>
      <c r="D15" s="1538"/>
      <c r="E15" s="1538"/>
      <c r="F15" s="1539"/>
    </row>
    <row r="16" spans="1:6" ht="21.75" customHeight="1">
      <c r="A16" s="1014"/>
      <c r="B16" s="1014"/>
      <c r="C16" s="1014"/>
      <c r="D16" s="1014"/>
      <c r="E16" s="1535" t="s">
        <v>573</v>
      </c>
      <c r="F16" s="1535"/>
    </row>
    <row r="17" spans="1:6" s="1016" customFormat="1" ht="22.5" customHeight="1">
      <c r="A17" s="1534" t="s">
        <v>57</v>
      </c>
      <c r="B17" s="1534"/>
      <c r="C17" s="1534"/>
      <c r="D17" s="1015" t="s">
        <v>36</v>
      </c>
      <c r="E17" s="1534" t="s">
        <v>108</v>
      </c>
      <c r="F17" s="1534"/>
    </row>
    <row r="23" spans="1:6">
      <c r="D23" s="1540"/>
      <c r="E23" s="1540"/>
      <c r="F23" s="268"/>
    </row>
    <row r="24" spans="1:6" s="1018" customFormat="1" ht="21" customHeight="1">
      <c r="A24" s="1017"/>
      <c r="B24" s="1017"/>
      <c r="C24" s="1017"/>
      <c r="D24" s="1017" t="s">
        <v>524</v>
      </c>
      <c r="E24" s="1536" t="s">
        <v>290</v>
      </c>
      <c r="F24" s="1536"/>
    </row>
  </sheetData>
  <mergeCells count="19">
    <mergeCell ref="A17:C17"/>
    <mergeCell ref="E17:F17"/>
    <mergeCell ref="E16:F16"/>
    <mergeCell ref="E24:F24"/>
    <mergeCell ref="F10:F11"/>
    <mergeCell ref="A14:B14"/>
    <mergeCell ref="A15:F15"/>
    <mergeCell ref="D23:E23"/>
    <mergeCell ref="A1:F1"/>
    <mergeCell ref="A2:F2"/>
    <mergeCell ref="A3:F3"/>
    <mergeCell ref="A5:C5"/>
    <mergeCell ref="A6:C6"/>
    <mergeCell ref="A8:F8"/>
    <mergeCell ref="A10:A11"/>
    <mergeCell ref="B10:B11"/>
    <mergeCell ref="C10:C11"/>
    <mergeCell ref="D10:D11"/>
    <mergeCell ref="E10:E11"/>
  </mergeCells>
  <pageMargins left="0.3" right="0.2" top="0.53" bottom="0.75" header="0.3" footer="0.3"/>
  <pageSetup paperSize="9"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pageSetUpPr fitToPage="1"/>
  </sheetPr>
  <dimension ref="A1:DA49"/>
  <sheetViews>
    <sheetView zoomScale="85" zoomScaleNormal="85" workbookViewId="0">
      <selection activeCell="C11" sqref="C11"/>
    </sheetView>
  </sheetViews>
  <sheetFormatPr defaultColWidth="9" defaultRowHeight="15.75"/>
  <cols>
    <col min="1" max="1" width="8.85546875" style="9" customWidth="1"/>
    <col min="2" max="2" width="13.42578125" style="9" hidden="1" customWidth="1"/>
    <col min="3" max="3" width="59.140625" style="9" customWidth="1"/>
    <col min="4" max="4" width="15.5703125" style="11" customWidth="1"/>
    <col min="5" max="5" width="15" style="11" customWidth="1"/>
    <col min="6" max="6" width="21.7109375" style="11" customWidth="1"/>
    <col min="7" max="7" width="14.85546875" style="12" customWidth="1"/>
    <col min="8" max="8" width="10.42578125" style="12" customWidth="1"/>
    <col min="9" max="9" width="11.28515625" style="10" customWidth="1"/>
    <col min="10" max="10" width="11.42578125" style="10" customWidth="1"/>
    <col min="11" max="16384" width="9" style="10"/>
  </cols>
  <sheetData>
    <row r="1" spans="1:105" s="1" customFormat="1" ht="18.75">
      <c r="A1" s="1556" t="s">
        <v>0</v>
      </c>
      <c r="B1" s="1556"/>
      <c r="C1" s="1556"/>
      <c r="D1" s="1556"/>
      <c r="E1" s="1556"/>
      <c r="F1" s="1556"/>
      <c r="G1" s="1556"/>
      <c r="H1" s="1556"/>
      <c r="I1" s="2"/>
      <c r="J1" s="2"/>
      <c r="K1" s="2"/>
      <c r="L1" s="2"/>
      <c r="M1" s="2"/>
      <c r="N1" s="2"/>
      <c r="O1" s="2"/>
      <c r="P1" s="2"/>
      <c r="Q1" s="2"/>
      <c r="R1" s="2"/>
      <c r="S1" s="2"/>
      <c r="T1" s="2"/>
      <c r="U1" s="2"/>
    </row>
    <row r="2" spans="1:105" s="1" customFormat="1" ht="18.75">
      <c r="A2" s="1556" t="s">
        <v>65</v>
      </c>
      <c r="B2" s="1556"/>
      <c r="C2" s="1556"/>
      <c r="D2" s="1556"/>
      <c r="E2" s="1556"/>
      <c r="F2" s="1556"/>
      <c r="G2" s="1556"/>
      <c r="H2" s="1556"/>
      <c r="I2" s="2"/>
      <c r="J2" s="2"/>
      <c r="K2" s="2"/>
      <c r="L2" s="2"/>
      <c r="M2" s="2"/>
      <c r="N2" s="2"/>
      <c r="O2" s="2"/>
      <c r="P2" s="2"/>
      <c r="Q2" s="2"/>
      <c r="R2" s="2"/>
      <c r="S2" s="2"/>
      <c r="T2" s="2"/>
      <c r="U2" s="2"/>
    </row>
    <row r="3" spans="1:105" s="1" customFormat="1" ht="18.75">
      <c r="A3" s="1557" t="s">
        <v>39</v>
      </c>
      <c r="B3" s="1556"/>
      <c r="C3" s="1556"/>
      <c r="D3" s="1556"/>
      <c r="E3" s="1556"/>
      <c r="F3" s="1556"/>
      <c r="G3" s="1556"/>
      <c r="H3" s="1556"/>
      <c r="I3" s="2"/>
      <c r="J3" s="2"/>
      <c r="K3" s="2"/>
      <c r="L3" s="2"/>
      <c r="M3" s="2"/>
      <c r="N3" s="2"/>
      <c r="O3" s="2"/>
      <c r="P3" s="2"/>
      <c r="Q3" s="2"/>
      <c r="R3" s="2"/>
      <c r="S3" s="2"/>
      <c r="T3" s="2"/>
      <c r="U3" s="2"/>
    </row>
    <row r="4" spans="1:105" s="4" customFormat="1" ht="21.75" customHeight="1">
      <c r="A4" s="1473" t="s">
        <v>130</v>
      </c>
      <c r="B4" s="1473"/>
      <c r="C4" s="1473"/>
      <c r="D4" s="494"/>
      <c r="E4" s="494"/>
      <c r="F4" s="494"/>
      <c r="G4" s="494"/>
      <c r="H4" s="494"/>
      <c r="I4" s="3"/>
      <c r="J4" s="3"/>
      <c r="K4" s="3"/>
      <c r="L4" s="3"/>
      <c r="M4" s="25"/>
      <c r="N4" s="26"/>
      <c r="O4" s="27"/>
      <c r="P4" s="25"/>
      <c r="Q4" s="25"/>
      <c r="R4" s="29"/>
      <c r="S4" s="30"/>
      <c r="U4" s="31"/>
    </row>
    <row r="5" spans="1:105" s="4" customFormat="1" ht="19.5" customHeight="1">
      <c r="A5" s="1402" t="s">
        <v>223</v>
      </c>
      <c r="B5" s="1402"/>
      <c r="C5" s="1402"/>
      <c r="D5" s="494"/>
      <c r="E5" s="490"/>
      <c r="F5" s="860"/>
      <c r="G5" s="490"/>
      <c r="H5" s="490"/>
      <c r="J5" s="6"/>
      <c r="K5" s="28"/>
      <c r="M5" s="25"/>
      <c r="N5" s="25"/>
      <c r="P5" s="25"/>
      <c r="Q5" s="25"/>
      <c r="R5" s="29"/>
      <c r="S5" s="30"/>
      <c r="U5" s="31"/>
    </row>
    <row r="6" spans="1:105" s="92" customFormat="1" ht="16.5">
      <c r="A6" s="93"/>
      <c r="B6" s="93"/>
      <c r="C6" s="93"/>
      <c r="D6" s="94"/>
      <c r="E6" s="94"/>
      <c r="F6" s="94"/>
      <c r="G6" s="95"/>
      <c r="H6" s="95"/>
    </row>
    <row r="7" spans="1:105" s="92" customFormat="1" ht="29.25" customHeight="1">
      <c r="A7" s="1541" t="s">
        <v>501</v>
      </c>
      <c r="B7" s="1541"/>
      <c r="C7" s="1541"/>
      <c r="D7" s="1541"/>
      <c r="E7" s="1541"/>
      <c r="F7" s="1541"/>
      <c r="G7" s="1541"/>
      <c r="H7" s="1541"/>
    </row>
    <row r="8" spans="1:105" s="91" customFormat="1" ht="20.25" customHeight="1">
      <c r="A8" s="96"/>
      <c r="B8" s="96"/>
      <c r="C8" s="96"/>
      <c r="D8" s="96"/>
      <c r="E8" s="96"/>
      <c r="F8" s="96"/>
      <c r="G8" s="1542" t="s">
        <v>356</v>
      </c>
      <c r="H8" s="1542"/>
    </row>
    <row r="9" spans="1:105" s="91" customFormat="1" ht="15" customHeight="1">
      <c r="A9" s="1543" t="s">
        <v>41</v>
      </c>
      <c r="B9" s="1543" t="s">
        <v>12</v>
      </c>
      <c r="C9" s="1543" t="s">
        <v>211</v>
      </c>
      <c r="D9" s="1560" t="s">
        <v>28</v>
      </c>
      <c r="E9" s="1560" t="s">
        <v>212</v>
      </c>
      <c r="F9" s="1560" t="s">
        <v>144</v>
      </c>
      <c r="G9" s="1548" t="s">
        <v>5</v>
      </c>
      <c r="H9" s="1549"/>
    </row>
    <row r="10" spans="1:105" s="91" customFormat="1" ht="18.75" customHeight="1">
      <c r="A10" s="1543"/>
      <c r="B10" s="1543"/>
      <c r="C10" s="1543"/>
      <c r="D10" s="1560"/>
      <c r="E10" s="1560"/>
      <c r="F10" s="1560"/>
      <c r="G10" s="1550"/>
      <c r="H10" s="1551"/>
    </row>
    <row r="11" spans="1:105" s="91" customFormat="1" ht="38.25" customHeight="1">
      <c r="A11" s="1019">
        <v>1</v>
      </c>
      <c r="B11" s="1020" t="s">
        <v>51</v>
      </c>
      <c r="C11" s="1021" t="s">
        <v>502</v>
      </c>
      <c r="D11" s="1022">
        <v>40</v>
      </c>
      <c r="E11" s="1023">
        <v>25000</v>
      </c>
      <c r="F11" s="1023">
        <f t="shared" ref="F11:F13" si="0">D11*E11</f>
        <v>1000000</v>
      </c>
      <c r="G11" s="1552"/>
      <c r="H11" s="1553"/>
    </row>
    <row r="12" spans="1:105" s="91" customFormat="1" ht="38.25" customHeight="1">
      <c r="A12" s="1019">
        <v>2</v>
      </c>
      <c r="B12" s="1020"/>
      <c r="C12" s="1024" t="s">
        <v>503</v>
      </c>
      <c r="D12" s="1022">
        <v>141.4</v>
      </c>
      <c r="E12" s="1023">
        <v>25000</v>
      </c>
      <c r="F12" s="1023">
        <f t="shared" si="0"/>
        <v>3535000</v>
      </c>
      <c r="G12" s="1552"/>
      <c r="H12" s="1553"/>
    </row>
    <row r="13" spans="1:105" s="91" customFormat="1" ht="38.25" customHeight="1">
      <c r="A13" s="1019">
        <v>3</v>
      </c>
      <c r="B13" s="1020"/>
      <c r="C13" s="1021" t="s">
        <v>504</v>
      </c>
      <c r="D13" s="1022">
        <v>19.600000000000001</v>
      </c>
      <c r="E13" s="1023">
        <v>25000</v>
      </c>
      <c r="F13" s="1023">
        <f t="shared" si="0"/>
        <v>490000.00000000006</v>
      </c>
      <c r="G13" s="1552"/>
      <c r="H13" s="1553"/>
    </row>
    <row r="14" spans="1:105" s="90" customFormat="1" ht="38.25" customHeight="1">
      <c r="A14" s="1543" t="s">
        <v>11</v>
      </c>
      <c r="B14" s="1543"/>
      <c r="C14" s="1543"/>
      <c r="D14" s="1025">
        <f>+SUM(D11:D13)</f>
        <v>201</v>
      </c>
      <c r="E14" s="1026">
        <v>25000</v>
      </c>
      <c r="F14" s="1026">
        <f>+SUM(F11:F13)</f>
        <v>5025000</v>
      </c>
      <c r="G14" s="1554"/>
      <c r="H14" s="1555"/>
      <c r="I14" s="91"/>
      <c r="J14" s="10"/>
      <c r="K14" s="91" t="s">
        <v>531</v>
      </c>
      <c r="L14" s="91"/>
      <c r="M14" s="91"/>
      <c r="N14" s="91"/>
      <c r="O14" s="91"/>
      <c r="P14" s="91"/>
      <c r="Q14" s="91"/>
      <c r="R14" s="91"/>
      <c r="S14" s="91"/>
      <c r="T14" s="91"/>
      <c r="U14" s="91"/>
      <c r="V14" s="91"/>
      <c r="W14" s="91"/>
      <c r="X14" s="91"/>
      <c r="Y14" s="91"/>
      <c r="Z14" s="91"/>
      <c r="AA14" s="91"/>
      <c r="AB14" s="91"/>
      <c r="AC14" s="91"/>
      <c r="AD14" s="91"/>
      <c r="AE14" s="91"/>
      <c r="AF14" s="91"/>
      <c r="AG14" s="91"/>
      <c r="AH14" s="91"/>
      <c r="AI14" s="91"/>
      <c r="AJ14" s="91"/>
      <c r="AK14" s="91"/>
      <c r="AL14" s="91"/>
      <c r="AM14" s="91"/>
      <c r="AN14" s="91"/>
      <c r="AO14" s="91"/>
      <c r="AP14" s="91"/>
      <c r="AQ14" s="91"/>
      <c r="AR14" s="91"/>
      <c r="AS14" s="91"/>
      <c r="AT14" s="91"/>
      <c r="AU14" s="91"/>
      <c r="AV14" s="91"/>
      <c r="AW14" s="91"/>
      <c r="AX14" s="91"/>
      <c r="AY14" s="91"/>
      <c r="AZ14" s="91"/>
      <c r="BA14" s="91"/>
      <c r="BB14" s="91"/>
      <c r="BC14" s="91"/>
      <c r="BD14" s="91"/>
      <c r="BE14" s="91"/>
      <c r="BF14" s="91"/>
      <c r="BG14" s="91"/>
      <c r="BH14" s="91"/>
      <c r="BI14" s="91"/>
      <c r="BJ14" s="91"/>
      <c r="BK14" s="91"/>
      <c r="BL14" s="91"/>
      <c r="BM14" s="91"/>
      <c r="BN14" s="91"/>
      <c r="BO14" s="91"/>
      <c r="BP14" s="91"/>
      <c r="BQ14" s="91"/>
      <c r="BR14" s="91"/>
      <c r="BS14" s="91"/>
      <c r="BT14" s="91"/>
      <c r="BU14" s="91"/>
      <c r="BV14" s="91"/>
      <c r="BW14" s="91"/>
      <c r="BX14" s="91"/>
      <c r="BY14" s="91"/>
      <c r="BZ14" s="91"/>
      <c r="CA14" s="91"/>
      <c r="CB14" s="91"/>
      <c r="CC14" s="91"/>
      <c r="CD14" s="91"/>
      <c r="CE14" s="91"/>
      <c r="CF14" s="91"/>
      <c r="CG14" s="91"/>
      <c r="CH14" s="91"/>
      <c r="CI14" s="91"/>
      <c r="CJ14" s="91"/>
      <c r="CK14" s="91"/>
      <c r="CL14" s="91"/>
      <c r="CM14" s="91"/>
      <c r="CN14" s="91"/>
      <c r="CO14" s="91"/>
      <c r="CP14" s="91"/>
      <c r="CQ14" s="91"/>
      <c r="CR14" s="91"/>
      <c r="CS14" s="91"/>
      <c r="CT14" s="91"/>
      <c r="CU14" s="91"/>
      <c r="CV14" s="91"/>
      <c r="CW14" s="91"/>
      <c r="CX14" s="91"/>
      <c r="CY14" s="91"/>
      <c r="CZ14" s="91"/>
      <c r="DA14" s="91"/>
    </row>
    <row r="15" spans="1:105" s="16" customFormat="1" ht="30" customHeight="1">
      <c r="A15" s="1544" t="s">
        <v>505</v>
      </c>
      <c r="B15" s="1545"/>
      <c r="C15" s="1545"/>
      <c r="D15" s="1545"/>
      <c r="E15" s="1545"/>
      <c r="F15" s="1545"/>
      <c r="G15" s="1545"/>
      <c r="H15" s="1546"/>
      <c r="I15" s="90"/>
      <c r="J15" s="104"/>
      <c r="K15" s="90"/>
      <c r="M15" s="105"/>
    </row>
    <row r="16" spans="1:105" s="16" customFormat="1" ht="23.25" customHeight="1">
      <c r="A16" s="1027"/>
      <c r="B16" s="1027"/>
      <c r="C16" s="1028"/>
      <c r="D16" s="1028"/>
      <c r="E16" s="1547" t="s">
        <v>493</v>
      </c>
      <c r="F16" s="1547"/>
      <c r="G16" s="1547"/>
      <c r="H16" s="1547"/>
      <c r="I16" s="90"/>
      <c r="J16" s="8"/>
      <c r="K16" s="90"/>
      <c r="M16" s="105"/>
    </row>
    <row r="17" spans="1:105" ht="26.25" customHeight="1">
      <c r="A17" s="1029" t="s">
        <v>533</v>
      </c>
      <c r="B17" s="1029"/>
      <c r="C17" s="1029"/>
      <c r="D17" s="1563" t="s">
        <v>473</v>
      </c>
      <c r="E17" s="1563"/>
      <c r="F17" s="1030" t="s">
        <v>108</v>
      </c>
      <c r="G17" s="1563" t="s">
        <v>532</v>
      </c>
      <c r="H17" s="1563"/>
      <c r="I17" s="355"/>
      <c r="J17" s="355"/>
      <c r="K17" s="355"/>
      <c r="L17" s="355"/>
    </row>
    <row r="18" spans="1:105" s="8" customFormat="1" ht="15.75" customHeight="1">
      <c r="A18" s="1561"/>
      <c r="B18" s="1561"/>
      <c r="C18" s="1561"/>
      <c r="D18" s="92"/>
      <c r="E18" s="92"/>
      <c r="F18" s="92"/>
      <c r="G18" s="99"/>
      <c r="H18" s="99"/>
    </row>
    <row r="19" spans="1:105" s="8" customFormat="1" ht="15.75" customHeight="1">
      <c r="A19" s="97"/>
      <c r="B19" s="97"/>
      <c r="C19" s="97"/>
      <c r="D19" s="97"/>
      <c r="E19" s="97"/>
      <c r="F19" s="97"/>
      <c r="G19" s="100"/>
      <c r="H19" s="100"/>
    </row>
    <row r="20" spans="1:105" s="8" customFormat="1" ht="27" customHeight="1">
      <c r="A20" s="16"/>
      <c r="B20" s="16"/>
      <c r="C20" s="16"/>
      <c r="D20" s="16"/>
      <c r="E20" s="16"/>
      <c r="F20" s="16"/>
      <c r="G20" s="101"/>
      <c r="H20" s="101"/>
    </row>
    <row r="21" spans="1:105" s="8" customFormat="1" ht="16.5">
      <c r="A21" s="17"/>
      <c r="B21" s="17"/>
      <c r="C21" s="17"/>
      <c r="D21" s="18"/>
      <c r="E21" s="1562"/>
      <c r="F21" s="1562"/>
      <c r="G21" s="1562"/>
      <c r="H21" s="1562"/>
    </row>
    <row r="22" spans="1:105" s="1030" customFormat="1" ht="21.75" customHeight="1">
      <c r="A22" s="1563"/>
      <c r="B22" s="1563"/>
      <c r="C22" s="1030" t="s">
        <v>534</v>
      </c>
      <c r="D22" s="1564" t="s">
        <v>110</v>
      </c>
      <c r="E22" s="1564"/>
      <c r="F22" s="1031" t="s">
        <v>290</v>
      </c>
      <c r="G22" s="1564" t="s">
        <v>314</v>
      </c>
      <c r="H22" s="1564"/>
    </row>
    <row r="23" spans="1:105" s="8" customFormat="1" ht="15">
      <c r="A23" s="102"/>
      <c r="B23" s="102"/>
      <c r="C23" s="102"/>
      <c r="D23" s="16"/>
      <c r="E23" s="1558"/>
      <c r="F23" s="1558"/>
      <c r="G23" s="1558"/>
      <c r="H23" s="1558"/>
    </row>
    <row r="24" spans="1:105" s="8" customFormat="1" ht="15">
      <c r="C24" s="20"/>
      <c r="D24" s="22"/>
      <c r="E24" s="22"/>
      <c r="F24" s="1559"/>
      <c r="G24" s="1559"/>
      <c r="H24" s="1559"/>
    </row>
    <row r="25" spans="1:105" s="8" customFormat="1" ht="15"/>
    <row r="26" spans="1:105">
      <c r="A26" s="7"/>
      <c r="B26" s="7"/>
      <c r="C26" s="7"/>
      <c r="G26" s="102"/>
      <c r="H26" s="102"/>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row>
    <row r="27" spans="1:105" s="7" customFormat="1">
      <c r="A27" s="24"/>
      <c r="B27" s="24"/>
      <c r="C27" s="24"/>
      <c r="D27" s="24"/>
      <c r="E27" s="24"/>
      <c r="F27" s="24"/>
      <c r="G27" s="103"/>
      <c r="H27" s="103"/>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row>
    <row r="28" spans="1:105">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row>
    <row r="29" spans="1:105">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row>
    <row r="30" spans="1:105">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row>
    <row r="31" spans="1:105">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row>
    <row r="32" spans="1:105">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row>
    <row r="33" spans="9:105">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row>
    <row r="34" spans="9:105">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row>
    <row r="35" spans="9:105">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row>
    <row r="36" spans="9:105">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row>
    <row r="37" spans="9:105">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row>
    <row r="38" spans="9:105">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row>
    <row r="39" spans="9:105">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row>
    <row r="40" spans="9:105">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row>
    <row r="41" spans="9:105">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row>
    <row r="42" spans="9:105">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row>
    <row r="43" spans="9:105">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row>
    <row r="44" spans="9:105">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row>
    <row r="45" spans="9:105">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row>
    <row r="46" spans="9:105">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row>
    <row r="47" spans="9:105">
      <c r="I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row>
    <row r="48" spans="9:105">
      <c r="I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row>
    <row r="49" spans="9:105">
      <c r="I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row>
  </sheetData>
  <mergeCells count="31">
    <mergeCell ref="E23:H23"/>
    <mergeCell ref="F24:H24"/>
    <mergeCell ref="A9:A10"/>
    <mergeCell ref="B9:B10"/>
    <mergeCell ref="C9:C10"/>
    <mergeCell ref="D9:D10"/>
    <mergeCell ref="E9:E10"/>
    <mergeCell ref="F9:F10"/>
    <mergeCell ref="A18:C18"/>
    <mergeCell ref="E21:F21"/>
    <mergeCell ref="G21:H21"/>
    <mergeCell ref="A22:B22"/>
    <mergeCell ref="G17:H17"/>
    <mergeCell ref="D17:E17"/>
    <mergeCell ref="D22:E22"/>
    <mergeCell ref="G22:H22"/>
    <mergeCell ref="A1:H1"/>
    <mergeCell ref="A2:H2"/>
    <mergeCell ref="A3:H3"/>
    <mergeCell ref="A4:C4"/>
    <mergeCell ref="A5:C5"/>
    <mergeCell ref="A7:H7"/>
    <mergeCell ref="G8:H8"/>
    <mergeCell ref="A14:C14"/>
    <mergeCell ref="A15:H15"/>
    <mergeCell ref="E16:H16"/>
    <mergeCell ref="G9:H10"/>
    <mergeCell ref="G11:H11"/>
    <mergeCell ref="G12:H12"/>
    <mergeCell ref="G13:H13"/>
    <mergeCell ref="G14:H14"/>
  </mergeCells>
  <printOptions horizontalCentered="1"/>
  <pageMargins left="0.2" right="0" top="0.37" bottom="0.196850393700787" header="0.196850393700787" footer="0.196850393700787"/>
  <pageSetup paperSize="9" scale="98" fitToHeight="0" orientation="landscape" r:id="rId1"/>
  <headerFooter alignWithMargins="0"/>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249977111117893"/>
  </sheetPr>
  <dimension ref="A1:DB51"/>
  <sheetViews>
    <sheetView topLeftCell="A5" zoomScale="85" zoomScaleNormal="85" workbookViewId="0">
      <selection activeCell="C9" sqref="C9:C10"/>
    </sheetView>
  </sheetViews>
  <sheetFormatPr defaultColWidth="9" defaultRowHeight="15.75"/>
  <cols>
    <col min="1" max="1" width="7.140625" style="594" customWidth="1"/>
    <col min="2" max="2" width="21.7109375" style="594" customWidth="1"/>
    <col min="3" max="3" width="26.85546875" style="594" customWidth="1"/>
    <col min="4" max="4" width="19.85546875" style="594" customWidth="1"/>
    <col min="5" max="5" width="14" style="11" customWidth="1"/>
    <col min="6" max="6" width="13" style="11" customWidth="1"/>
    <col min="7" max="7" width="23.140625" style="11" customWidth="1"/>
    <col min="8" max="8" width="16.28515625" style="11" customWidth="1"/>
    <col min="9" max="9" width="15.7109375" style="12" customWidth="1"/>
    <col min="10" max="10" width="11.28515625" style="10" customWidth="1"/>
    <col min="11" max="11" width="11.42578125" style="10" customWidth="1"/>
    <col min="12" max="16384" width="9" style="10"/>
  </cols>
  <sheetData>
    <row r="1" spans="1:106" s="1" customFormat="1" ht="24" customHeight="1">
      <c r="A1" s="1578" t="s">
        <v>0</v>
      </c>
      <c r="B1" s="1578"/>
      <c r="C1" s="1578"/>
      <c r="D1" s="1578"/>
      <c r="E1" s="1578"/>
      <c r="F1" s="1578"/>
      <c r="G1" s="1578"/>
      <c r="H1" s="1578"/>
      <c r="I1" s="1578"/>
      <c r="J1" s="2"/>
      <c r="K1" s="2"/>
      <c r="L1" s="2"/>
      <c r="M1" s="2"/>
      <c r="N1" s="2"/>
      <c r="O1" s="2"/>
      <c r="P1" s="2"/>
      <c r="Q1" s="2"/>
      <c r="R1" s="2"/>
      <c r="S1" s="2"/>
      <c r="T1" s="2"/>
      <c r="U1" s="2"/>
      <c r="V1" s="2"/>
    </row>
    <row r="2" spans="1:106" s="1" customFormat="1" ht="18.75">
      <c r="A2" s="1578" t="s">
        <v>65</v>
      </c>
      <c r="B2" s="1578"/>
      <c r="C2" s="1578"/>
      <c r="D2" s="1578"/>
      <c r="E2" s="1578"/>
      <c r="F2" s="1578"/>
      <c r="G2" s="1578"/>
      <c r="H2" s="1578"/>
      <c r="I2" s="1578"/>
      <c r="J2" s="2"/>
      <c r="K2" s="2"/>
      <c r="L2" s="2"/>
      <c r="M2" s="2"/>
      <c r="N2" s="2"/>
      <c r="O2" s="2"/>
      <c r="P2" s="2"/>
      <c r="Q2" s="2"/>
      <c r="R2" s="2"/>
      <c r="S2" s="2"/>
      <c r="T2" s="2"/>
      <c r="U2" s="2"/>
      <c r="V2" s="2"/>
    </row>
    <row r="3" spans="1:106" s="1" customFormat="1" ht="18.75">
      <c r="A3" s="1557" t="s">
        <v>39</v>
      </c>
      <c r="B3" s="1556"/>
      <c r="C3" s="1556"/>
      <c r="D3" s="1556"/>
      <c r="E3" s="1556"/>
      <c r="F3" s="1556"/>
      <c r="G3" s="1556"/>
      <c r="H3" s="1556"/>
      <c r="I3" s="1556"/>
      <c r="J3" s="2"/>
      <c r="K3" s="2"/>
      <c r="L3" s="2"/>
      <c r="M3" s="2"/>
      <c r="N3" s="2"/>
      <c r="O3" s="2"/>
      <c r="P3" s="2"/>
      <c r="Q3" s="2"/>
      <c r="R3" s="2"/>
      <c r="S3" s="2"/>
      <c r="T3" s="2"/>
      <c r="U3" s="2"/>
      <c r="V3" s="2"/>
    </row>
    <row r="4" spans="1:106" s="4" customFormat="1" ht="21.75" customHeight="1">
      <c r="A4" s="1473" t="s">
        <v>130</v>
      </c>
      <c r="B4" s="1473"/>
      <c r="C4" s="1473"/>
      <c r="D4" s="860"/>
      <c r="E4" s="494"/>
      <c r="F4" s="494"/>
      <c r="G4" s="494"/>
      <c r="H4" s="494"/>
      <c r="I4" s="494"/>
      <c r="J4" s="3"/>
      <c r="K4" s="3"/>
      <c r="L4" s="3"/>
      <c r="M4" s="3"/>
      <c r="N4" s="25"/>
      <c r="O4" s="26"/>
      <c r="P4" s="27"/>
      <c r="Q4" s="25"/>
      <c r="R4" s="25"/>
      <c r="S4" s="29"/>
      <c r="T4" s="30"/>
      <c r="V4" s="31"/>
    </row>
    <row r="5" spans="1:106" s="4" customFormat="1" ht="19.5" customHeight="1">
      <c r="A5" s="1402" t="s">
        <v>223</v>
      </c>
      <c r="B5" s="1402"/>
      <c r="C5" s="1402"/>
      <c r="D5" s="852"/>
      <c r="E5" s="494"/>
      <c r="F5" s="490"/>
      <c r="G5" s="490"/>
      <c r="H5" s="860"/>
      <c r="I5" s="490"/>
      <c r="K5" s="592"/>
      <c r="L5" s="28"/>
      <c r="N5" s="25"/>
      <c r="O5" s="25"/>
      <c r="Q5" s="25"/>
      <c r="R5" s="25"/>
      <c r="S5" s="29"/>
      <c r="T5" s="30"/>
      <c r="V5" s="31"/>
    </row>
    <row r="6" spans="1:106" s="92" customFormat="1" ht="18.75">
      <c r="A6" s="1032"/>
      <c r="B6" s="1032"/>
      <c r="C6" s="1032"/>
      <c r="D6" s="1032"/>
      <c r="E6" s="1033"/>
      <c r="F6" s="1033"/>
      <c r="G6" s="1033"/>
      <c r="H6" s="1033"/>
      <c r="I6" s="1034"/>
    </row>
    <row r="7" spans="1:106" s="92" customFormat="1" ht="27" customHeight="1">
      <c r="A7" s="1541" t="s">
        <v>511</v>
      </c>
      <c r="B7" s="1541"/>
      <c r="C7" s="1541"/>
      <c r="D7" s="1541"/>
      <c r="E7" s="1541"/>
      <c r="F7" s="1541"/>
      <c r="G7" s="1541"/>
      <c r="H7" s="1541"/>
      <c r="I7" s="1541"/>
    </row>
    <row r="8" spans="1:106" s="91" customFormat="1" ht="21" customHeight="1">
      <c r="A8" s="96"/>
      <c r="B8" s="96"/>
      <c r="C8" s="96"/>
      <c r="D8" s="96"/>
      <c r="E8" s="96"/>
      <c r="F8" s="96"/>
      <c r="G8" s="96"/>
      <c r="H8" s="1577" t="s">
        <v>196</v>
      </c>
      <c r="I8" s="1577"/>
    </row>
    <row r="9" spans="1:106" s="91" customFormat="1" ht="26.25" customHeight="1">
      <c r="A9" s="1543" t="s">
        <v>3</v>
      </c>
      <c r="B9" s="1543" t="s">
        <v>12</v>
      </c>
      <c r="C9" s="1543" t="s">
        <v>4</v>
      </c>
      <c r="D9" s="1570" t="s">
        <v>136</v>
      </c>
      <c r="E9" s="1572" t="s">
        <v>45</v>
      </c>
      <c r="F9" s="1573"/>
      <c r="G9" s="1573"/>
      <c r="H9" s="1574"/>
      <c r="I9" s="1560" t="s">
        <v>5</v>
      </c>
    </row>
    <row r="10" spans="1:106" s="91" customFormat="1" ht="45.75" customHeight="1">
      <c r="A10" s="1543"/>
      <c r="B10" s="1543"/>
      <c r="C10" s="1543"/>
      <c r="D10" s="1571"/>
      <c r="E10" s="1035" t="s">
        <v>213</v>
      </c>
      <c r="F10" s="1035" t="s">
        <v>151</v>
      </c>
      <c r="G10" s="1035" t="s">
        <v>212</v>
      </c>
      <c r="H10" s="1035" t="s">
        <v>144</v>
      </c>
      <c r="I10" s="1560"/>
    </row>
    <row r="11" spans="1:106" s="91" customFormat="1" ht="29.25" customHeight="1">
      <c r="A11" s="1019">
        <v>1</v>
      </c>
      <c r="B11" s="1019" t="s">
        <v>506</v>
      </c>
      <c r="C11" s="1019" t="s">
        <v>426</v>
      </c>
      <c r="D11" s="1036"/>
      <c r="E11" s="1022">
        <v>45</v>
      </c>
      <c r="F11" s="1037" t="s">
        <v>89</v>
      </c>
      <c r="G11" s="1037">
        <v>25000</v>
      </c>
      <c r="H11" s="1023">
        <f>+E11*G11</f>
        <v>1125000</v>
      </c>
      <c r="I11" s="1038"/>
    </row>
    <row r="12" spans="1:106" s="91" customFormat="1" ht="29.25" customHeight="1">
      <c r="A12" s="1019">
        <v>2</v>
      </c>
      <c r="B12" s="1019" t="s">
        <v>507</v>
      </c>
      <c r="C12" s="1019" t="s">
        <v>426</v>
      </c>
      <c r="D12" s="1036"/>
      <c r="E12" s="1022">
        <v>45</v>
      </c>
      <c r="F12" s="1037" t="s">
        <v>89</v>
      </c>
      <c r="G12" s="1037">
        <v>25000</v>
      </c>
      <c r="H12" s="1023">
        <f t="shared" ref="H12:H15" si="0">+E12*G12</f>
        <v>1125000</v>
      </c>
      <c r="I12" s="1038"/>
    </row>
    <row r="13" spans="1:106" s="91" customFormat="1" ht="29.25" customHeight="1">
      <c r="A13" s="1019">
        <v>3</v>
      </c>
      <c r="B13" s="1019" t="s">
        <v>508</v>
      </c>
      <c r="C13" s="1019" t="s">
        <v>426</v>
      </c>
      <c r="D13" s="1024"/>
      <c r="E13" s="1022">
        <v>45</v>
      </c>
      <c r="F13" s="1037" t="s">
        <v>89</v>
      </c>
      <c r="G13" s="1037">
        <v>25000</v>
      </c>
      <c r="H13" s="1023">
        <f t="shared" si="0"/>
        <v>1125000</v>
      </c>
      <c r="I13" s="1038"/>
    </row>
    <row r="14" spans="1:106" s="91" customFormat="1" ht="29.25" customHeight="1">
      <c r="A14" s="1019">
        <v>4</v>
      </c>
      <c r="B14" s="1019" t="s">
        <v>509</v>
      </c>
      <c r="C14" s="1019" t="s">
        <v>426</v>
      </c>
      <c r="D14" s="1024"/>
      <c r="E14" s="1022">
        <v>45</v>
      </c>
      <c r="F14" s="1037" t="s">
        <v>89</v>
      </c>
      <c r="G14" s="1037">
        <v>25000</v>
      </c>
      <c r="H14" s="1023">
        <f t="shared" si="0"/>
        <v>1125000</v>
      </c>
      <c r="I14" s="1038"/>
    </row>
    <row r="15" spans="1:106" s="91" customFormat="1" ht="29.25" customHeight="1">
      <c r="A15" s="1019">
        <v>5</v>
      </c>
      <c r="B15" s="1019" t="s">
        <v>510</v>
      </c>
      <c r="C15" s="1019" t="s">
        <v>426</v>
      </c>
      <c r="D15" s="1024"/>
      <c r="E15" s="1022">
        <v>21</v>
      </c>
      <c r="F15" s="1037" t="s">
        <v>89</v>
      </c>
      <c r="G15" s="1037">
        <v>25000</v>
      </c>
      <c r="H15" s="1023">
        <f t="shared" si="0"/>
        <v>525000</v>
      </c>
      <c r="I15" s="1038"/>
    </row>
    <row r="16" spans="1:106" s="90" customFormat="1" ht="29.25" customHeight="1">
      <c r="A16" s="1543" t="s">
        <v>11</v>
      </c>
      <c r="B16" s="1543"/>
      <c r="C16" s="1543"/>
      <c r="D16" s="1039"/>
      <c r="E16" s="1040">
        <f>+SUM(E11:E15)</f>
        <v>201</v>
      </c>
      <c r="F16" s="1026"/>
      <c r="G16" s="1026"/>
      <c r="H16" s="1026">
        <f>+SUM(H11:H15)</f>
        <v>5025000</v>
      </c>
      <c r="I16" s="1041"/>
      <c r="J16" s="91"/>
      <c r="K16" s="10"/>
      <c r="L16" s="840">
        <f>+H16+350000</f>
        <v>5375000</v>
      </c>
      <c r="M16" s="91"/>
      <c r="N16" s="91"/>
      <c r="O16" s="91"/>
      <c r="P16" s="91"/>
      <c r="Q16" s="91"/>
      <c r="R16" s="91"/>
      <c r="S16" s="91"/>
      <c r="T16" s="91"/>
      <c r="U16" s="91"/>
      <c r="V16" s="91"/>
      <c r="W16" s="91"/>
      <c r="X16" s="91"/>
      <c r="Y16" s="91"/>
      <c r="Z16" s="91"/>
      <c r="AA16" s="91"/>
      <c r="AB16" s="91"/>
      <c r="AC16" s="91"/>
      <c r="AD16" s="91"/>
      <c r="AE16" s="91"/>
      <c r="AF16" s="91"/>
      <c r="AG16" s="91"/>
      <c r="AH16" s="91"/>
      <c r="AI16" s="91"/>
      <c r="AJ16" s="91"/>
      <c r="AK16" s="91"/>
      <c r="AL16" s="91"/>
      <c r="AM16" s="91"/>
      <c r="AN16" s="91"/>
      <c r="AO16" s="91"/>
      <c r="AP16" s="91"/>
      <c r="AQ16" s="91"/>
      <c r="AR16" s="91"/>
      <c r="AS16" s="91"/>
      <c r="AT16" s="91"/>
      <c r="AU16" s="91"/>
      <c r="AV16" s="91"/>
      <c r="AW16" s="91"/>
      <c r="AX16" s="91"/>
      <c r="AY16" s="91"/>
      <c r="AZ16" s="91"/>
      <c r="BA16" s="91"/>
      <c r="BB16" s="91"/>
      <c r="BC16" s="91"/>
      <c r="BD16" s="91"/>
      <c r="BE16" s="91"/>
      <c r="BF16" s="91"/>
      <c r="BG16" s="91"/>
      <c r="BH16" s="91"/>
      <c r="BI16" s="91"/>
      <c r="BJ16" s="91"/>
      <c r="BK16" s="91"/>
      <c r="BL16" s="91"/>
      <c r="BM16" s="91"/>
      <c r="BN16" s="91"/>
      <c r="BO16" s="91"/>
      <c r="BP16" s="91"/>
      <c r="BQ16" s="91"/>
      <c r="BR16" s="91"/>
      <c r="BS16" s="91"/>
      <c r="BT16" s="91"/>
      <c r="BU16" s="91"/>
      <c r="BV16" s="91"/>
      <c r="BW16" s="91"/>
      <c r="BX16" s="91"/>
      <c r="BY16" s="91"/>
      <c r="BZ16" s="91"/>
      <c r="CA16" s="91"/>
      <c r="CB16" s="91"/>
      <c r="CC16" s="91"/>
      <c r="CD16" s="91"/>
      <c r="CE16" s="91"/>
      <c r="CF16" s="91"/>
      <c r="CG16" s="91"/>
      <c r="CH16" s="91"/>
      <c r="CI16" s="91"/>
      <c r="CJ16" s="91"/>
      <c r="CK16" s="91"/>
      <c r="CL16" s="91"/>
      <c r="CM16" s="91"/>
      <c r="CN16" s="91"/>
      <c r="CO16" s="91"/>
      <c r="CP16" s="91"/>
      <c r="CQ16" s="91"/>
      <c r="CR16" s="91"/>
      <c r="CS16" s="91"/>
      <c r="CT16" s="91"/>
      <c r="CU16" s="91"/>
      <c r="CV16" s="91"/>
      <c r="CW16" s="91"/>
      <c r="CX16" s="91"/>
      <c r="CY16" s="91"/>
      <c r="CZ16" s="91"/>
      <c r="DA16" s="91"/>
      <c r="DB16" s="91"/>
    </row>
    <row r="17" spans="1:106" s="16" customFormat="1" ht="29.25" customHeight="1">
      <c r="A17" s="1544" t="s">
        <v>513</v>
      </c>
      <c r="B17" s="1545"/>
      <c r="C17" s="1545"/>
      <c r="D17" s="1575"/>
      <c r="E17" s="1545"/>
      <c r="F17" s="1545"/>
      <c r="G17" s="1575"/>
      <c r="H17" s="1545"/>
      <c r="I17" s="1546"/>
      <c r="J17" s="90"/>
      <c r="K17" s="104"/>
      <c r="L17" s="90"/>
      <c r="N17" s="105"/>
    </row>
    <row r="18" spans="1:106" s="16" customFormat="1" ht="23.25" customHeight="1">
      <c r="A18" s="97"/>
      <c r="B18" s="97"/>
      <c r="C18" s="98"/>
      <c r="D18" s="98"/>
      <c r="E18" s="98"/>
      <c r="F18" s="1576" t="s">
        <v>493</v>
      </c>
      <c r="G18" s="1576"/>
      <c r="H18" s="1576"/>
      <c r="I18" s="1576"/>
      <c r="J18" s="90"/>
      <c r="K18" s="8"/>
      <c r="L18" s="90"/>
      <c r="N18" s="105"/>
    </row>
    <row r="19" spans="1:106" s="1043" customFormat="1" ht="26.25" customHeight="1">
      <c r="A19" s="1565" t="s">
        <v>536</v>
      </c>
      <c r="B19" s="1565"/>
      <c r="C19" s="1048" t="s">
        <v>537</v>
      </c>
      <c r="D19" s="1048" t="s">
        <v>538</v>
      </c>
      <c r="E19" s="1565" t="s">
        <v>539</v>
      </c>
      <c r="F19" s="1565"/>
      <c r="G19" s="1048" t="s">
        <v>108</v>
      </c>
      <c r="H19" s="1565" t="s">
        <v>33</v>
      </c>
      <c r="I19" s="1565"/>
      <c r="J19" s="1042"/>
      <c r="K19" s="1042"/>
      <c r="L19" s="1042"/>
      <c r="M19" s="1042"/>
    </row>
    <row r="20" spans="1:106" s="1043" customFormat="1" ht="15.75" customHeight="1">
      <c r="A20" s="1568"/>
      <c r="B20" s="1568"/>
      <c r="C20" s="1568"/>
      <c r="D20" s="1044"/>
      <c r="I20" s="1045"/>
    </row>
    <row r="21" spans="1:106" s="1043" customFormat="1" ht="15.75" customHeight="1">
      <c r="A21" s="1046"/>
      <c r="B21" s="1046"/>
      <c r="C21" s="1046"/>
      <c r="D21" s="1046"/>
      <c r="E21" s="1046"/>
      <c r="F21" s="1046"/>
      <c r="G21" s="1046"/>
      <c r="H21" s="1046"/>
      <c r="I21" s="1047"/>
    </row>
    <row r="22" spans="1:106" s="1043" customFormat="1" ht="57.75" customHeight="1">
      <c r="A22" s="1046"/>
      <c r="B22" s="1046"/>
      <c r="C22" s="1046"/>
      <c r="D22" s="1046"/>
      <c r="E22" s="1046"/>
      <c r="F22" s="1046"/>
      <c r="G22" s="1046"/>
      <c r="H22" s="1046"/>
      <c r="I22" s="1047"/>
      <c r="M22" s="1043" t="s">
        <v>535</v>
      </c>
    </row>
    <row r="23" spans="1:106" s="1050" customFormat="1" ht="27" customHeight="1">
      <c r="A23" s="1049"/>
      <c r="B23" s="1049"/>
      <c r="D23" s="1048" t="s">
        <v>524</v>
      </c>
      <c r="E23" s="1569" t="s">
        <v>110</v>
      </c>
      <c r="F23" s="1569"/>
      <c r="G23" s="1051" t="s">
        <v>290</v>
      </c>
      <c r="H23" s="1563" t="s">
        <v>314</v>
      </c>
      <c r="I23" s="1563"/>
    </row>
    <row r="24" spans="1:106">
      <c r="A24" s="1566"/>
      <c r="B24" s="1566"/>
      <c r="C24" s="593"/>
      <c r="D24" s="593"/>
      <c r="H24" s="1567"/>
      <c r="I24" s="1567"/>
    </row>
    <row r="25" spans="1:106" s="8" customFormat="1" ht="15">
      <c r="A25" s="102"/>
      <c r="B25" s="102"/>
      <c r="C25" s="102"/>
      <c r="D25" s="102"/>
      <c r="E25" s="16"/>
      <c r="F25" s="1558"/>
      <c r="G25" s="1558"/>
      <c r="H25" s="1558"/>
      <c r="I25" s="1558"/>
    </row>
    <row r="26" spans="1:106" s="8" customFormat="1" ht="15">
      <c r="C26" s="595"/>
      <c r="D26" s="595"/>
      <c r="E26" s="22"/>
      <c r="F26" s="22"/>
      <c r="G26" s="22"/>
      <c r="H26" s="1559"/>
      <c r="I26" s="1559"/>
    </row>
    <row r="27" spans="1:106" s="8" customFormat="1" ht="15"/>
    <row r="28" spans="1:106">
      <c r="A28" s="7"/>
      <c r="B28" s="7"/>
      <c r="C28" s="7"/>
      <c r="D28" s="7"/>
      <c r="I28" s="102"/>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row>
    <row r="29" spans="1:106" s="7" customFormat="1">
      <c r="A29" s="24"/>
      <c r="B29" s="24"/>
      <c r="C29" s="24"/>
      <c r="D29" s="24"/>
      <c r="E29" s="24"/>
      <c r="F29" s="24"/>
      <c r="G29" s="24"/>
      <c r="H29" s="24"/>
      <c r="I29" s="103"/>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row>
    <row r="30" spans="1:106">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row>
    <row r="31" spans="1:106">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row>
    <row r="32" spans="1:106">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row>
    <row r="33" spans="10:106">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row>
    <row r="34" spans="10:106">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row>
    <row r="35" spans="10:106">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row>
    <row r="36" spans="10:106">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c r="CR36" s="8"/>
      <c r="CS36" s="8"/>
      <c r="CT36" s="8"/>
      <c r="CU36" s="8"/>
      <c r="CV36" s="8"/>
      <c r="CW36" s="8"/>
      <c r="CX36" s="8"/>
      <c r="CY36" s="8"/>
      <c r="CZ36" s="8"/>
      <c r="DA36" s="8"/>
      <c r="DB36" s="8"/>
    </row>
    <row r="37" spans="10:106">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row>
    <row r="38" spans="10:106">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row>
    <row r="39" spans="10:106">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row>
    <row r="40" spans="10:106">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row>
    <row r="41" spans="10:106">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row>
    <row r="42" spans="10:106">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row>
    <row r="43" spans="10:106">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row>
    <row r="44" spans="10:106">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row>
    <row r="45" spans="10:106">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row>
    <row r="46" spans="10:106">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row>
    <row r="47" spans="10:106">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row>
    <row r="48" spans="10:106">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row>
    <row r="49" spans="10:106">
      <c r="J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row>
    <row r="50" spans="10:106">
      <c r="J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row>
    <row r="51" spans="10:106">
      <c r="J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row>
  </sheetData>
  <mergeCells count="26">
    <mergeCell ref="H8:I8"/>
    <mergeCell ref="A1:I1"/>
    <mergeCell ref="A2:I2"/>
    <mergeCell ref="A3:I3"/>
    <mergeCell ref="A4:C4"/>
    <mergeCell ref="A5:C5"/>
    <mergeCell ref="A7:I7"/>
    <mergeCell ref="D9:D10"/>
    <mergeCell ref="E9:H9"/>
    <mergeCell ref="A16:C16"/>
    <mergeCell ref="A17:I17"/>
    <mergeCell ref="F18:I18"/>
    <mergeCell ref="A9:A10"/>
    <mergeCell ref="B9:B10"/>
    <mergeCell ref="C9:C10"/>
    <mergeCell ref="I9:I10"/>
    <mergeCell ref="A19:B19"/>
    <mergeCell ref="A24:B24"/>
    <mergeCell ref="H24:I24"/>
    <mergeCell ref="F25:I25"/>
    <mergeCell ref="H26:I26"/>
    <mergeCell ref="A20:C20"/>
    <mergeCell ref="H19:I19"/>
    <mergeCell ref="E19:F19"/>
    <mergeCell ref="E23:F23"/>
    <mergeCell ref="H23:I23"/>
  </mergeCells>
  <printOptions horizontalCentered="1"/>
  <pageMargins left="0.19685039370078741" right="0" top="0.35433070866141736" bottom="0.19685039370078741" header="0.19685039370078741" footer="0.19685039370078741"/>
  <pageSetup scale="85" fitToHeight="0" orientation="landscape"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AV31"/>
  <sheetViews>
    <sheetView topLeftCell="B13" zoomScale="70" zoomScaleNormal="70" workbookViewId="0">
      <selection activeCell="D15" sqref="D15"/>
    </sheetView>
  </sheetViews>
  <sheetFormatPr defaultColWidth="9.140625" defaultRowHeight="16.5"/>
  <cols>
    <col min="1" max="1" width="3.140625" style="256" hidden="1" customWidth="1"/>
    <col min="2" max="2" width="5.7109375" style="256" customWidth="1"/>
    <col min="3" max="3" width="24.140625" style="256" customWidth="1"/>
    <col min="4" max="4" width="17.85546875" style="256" customWidth="1"/>
    <col min="5" max="6" width="5" style="256" customWidth="1"/>
    <col min="7" max="7" width="4.5703125" style="256" customWidth="1"/>
    <col min="8" max="20" width="5" style="256" customWidth="1"/>
    <col min="21" max="21" width="4.5703125" style="256" customWidth="1"/>
    <col min="22" max="33" width="5" style="256" customWidth="1"/>
    <col min="34" max="34" width="4.7109375" style="256" customWidth="1"/>
    <col min="35" max="35" width="5.28515625" style="256" customWidth="1"/>
    <col min="36" max="36" width="6.7109375" style="256" customWidth="1"/>
    <col min="37" max="37" width="1.42578125" style="256" hidden="1" customWidth="1"/>
    <col min="38" max="38" width="9.140625" style="256" customWidth="1"/>
    <col min="39" max="46" width="9.140625" style="256" hidden="1" customWidth="1"/>
    <col min="47" max="47" width="1.140625" style="256" customWidth="1"/>
    <col min="48" max="48" width="14.85546875" style="256" customWidth="1"/>
    <col min="49" max="16384" width="9.140625" style="256"/>
  </cols>
  <sheetData>
    <row r="1" spans="1:48" s="254" customFormat="1" ht="28.5" customHeight="1">
      <c r="A1" s="597"/>
      <c r="B1" s="1579" t="s">
        <v>37</v>
      </c>
      <c r="C1" s="1579"/>
      <c r="D1" s="1579"/>
      <c r="E1" s="1579"/>
      <c r="F1" s="1579"/>
      <c r="G1" s="1579"/>
      <c r="H1" s="1579"/>
      <c r="I1" s="1579"/>
      <c r="J1" s="1579"/>
      <c r="K1" s="1579"/>
      <c r="L1" s="1579"/>
      <c r="M1" s="1579"/>
      <c r="N1" s="1579"/>
      <c r="O1" s="1579"/>
      <c r="P1" s="1579"/>
      <c r="Q1" s="1579"/>
      <c r="R1" s="1579"/>
      <c r="S1" s="1579"/>
      <c r="T1" s="1579"/>
      <c r="U1" s="1579"/>
      <c r="V1" s="1579"/>
      <c r="W1" s="1579"/>
      <c r="X1" s="1579"/>
      <c r="Y1" s="1579"/>
      <c r="Z1" s="1579"/>
      <c r="AA1" s="1579"/>
      <c r="AB1" s="1579"/>
      <c r="AC1" s="1579"/>
      <c r="AD1" s="1579"/>
      <c r="AE1" s="1579"/>
      <c r="AF1" s="1579"/>
      <c r="AG1" s="1579"/>
      <c r="AH1" s="1579"/>
      <c r="AI1" s="1579"/>
      <c r="AJ1" s="1579"/>
      <c r="AK1" s="1579"/>
      <c r="AL1" s="1579"/>
      <c r="AO1" s="255">
        <v>1</v>
      </c>
      <c r="AP1" s="255">
        <v>2</v>
      </c>
      <c r="AQ1" s="255">
        <v>3</v>
      </c>
      <c r="AR1" s="255">
        <v>4</v>
      </c>
      <c r="AS1" s="255">
        <v>5</v>
      </c>
      <c r="AT1" s="255">
        <v>6</v>
      </c>
      <c r="AU1" s="255">
        <v>7</v>
      </c>
      <c r="AV1" s="698"/>
    </row>
    <row r="2" spans="1:48" s="254" customFormat="1" ht="18.75">
      <c r="A2" s="597"/>
      <c r="B2" s="1579" t="s">
        <v>38</v>
      </c>
      <c r="C2" s="1579"/>
      <c r="D2" s="1579"/>
      <c r="E2" s="1579"/>
      <c r="F2" s="1579"/>
      <c r="G2" s="1579"/>
      <c r="H2" s="1579"/>
      <c r="I2" s="1579"/>
      <c r="J2" s="1579"/>
      <c r="K2" s="1579"/>
      <c r="L2" s="1579"/>
      <c r="M2" s="1579"/>
      <c r="N2" s="1579"/>
      <c r="O2" s="1579"/>
      <c r="P2" s="1579"/>
      <c r="Q2" s="1579"/>
      <c r="R2" s="1579"/>
      <c r="S2" s="1579"/>
      <c r="T2" s="1579"/>
      <c r="U2" s="1579"/>
      <c r="V2" s="1579"/>
      <c r="W2" s="1579"/>
      <c r="X2" s="1579"/>
      <c r="Y2" s="1579"/>
      <c r="Z2" s="1579"/>
      <c r="AA2" s="1579"/>
      <c r="AB2" s="1579"/>
      <c r="AC2" s="1579"/>
      <c r="AD2" s="1579"/>
      <c r="AE2" s="1579"/>
      <c r="AF2" s="1579"/>
      <c r="AG2" s="1579"/>
      <c r="AH2" s="1579"/>
      <c r="AI2" s="1579"/>
      <c r="AJ2" s="1579"/>
      <c r="AK2" s="1579"/>
      <c r="AL2" s="1579"/>
      <c r="AO2" s="255" t="s">
        <v>30</v>
      </c>
      <c r="AP2" s="255" t="s">
        <v>159</v>
      </c>
      <c r="AQ2" s="255" t="s">
        <v>160</v>
      </c>
      <c r="AR2" s="255" t="s">
        <v>161</v>
      </c>
      <c r="AS2" s="255" t="s">
        <v>10</v>
      </c>
      <c r="AT2" s="255" t="s">
        <v>162</v>
      </c>
      <c r="AU2" s="699" t="s">
        <v>163</v>
      </c>
      <c r="AV2" s="698"/>
    </row>
    <row r="3" spans="1:48" s="254" customFormat="1" ht="18.75">
      <c r="A3" s="597"/>
      <c r="B3" s="1581" t="s">
        <v>39</v>
      </c>
      <c r="C3" s="1579"/>
      <c r="D3" s="1579"/>
      <c r="E3" s="1579"/>
      <c r="F3" s="1579"/>
      <c r="G3" s="1579"/>
      <c r="H3" s="1579"/>
      <c r="I3" s="1579"/>
      <c r="J3" s="1579"/>
      <c r="K3" s="1579"/>
      <c r="L3" s="1579"/>
      <c r="M3" s="1579"/>
      <c r="N3" s="1579"/>
      <c r="O3" s="1579"/>
      <c r="P3" s="1579"/>
      <c r="Q3" s="1579"/>
      <c r="R3" s="1579"/>
      <c r="S3" s="1579"/>
      <c r="T3" s="1579"/>
      <c r="U3" s="1579"/>
      <c r="V3" s="1579"/>
      <c r="W3" s="1579"/>
      <c r="X3" s="1579"/>
      <c r="Y3" s="1579"/>
      <c r="Z3" s="1579"/>
      <c r="AA3" s="1579"/>
      <c r="AB3" s="1579"/>
      <c r="AC3" s="1579"/>
      <c r="AD3" s="1579"/>
      <c r="AE3" s="1579"/>
      <c r="AF3" s="1579"/>
      <c r="AG3" s="1579"/>
      <c r="AH3" s="1579"/>
      <c r="AI3" s="1579"/>
      <c r="AJ3" s="1579"/>
      <c r="AK3" s="1579"/>
      <c r="AL3" s="1579"/>
      <c r="AO3" s="255"/>
      <c r="AP3" s="255"/>
      <c r="AQ3" s="255"/>
      <c r="AR3" s="255"/>
      <c r="AS3" s="255"/>
      <c r="AT3" s="255"/>
      <c r="AU3" s="255"/>
      <c r="AV3" s="698"/>
    </row>
    <row r="4" spans="1:48" s="254" customFormat="1" ht="18.75">
      <c r="A4" s="597"/>
      <c r="B4" s="1582" t="s">
        <v>130</v>
      </c>
      <c r="C4" s="1582"/>
      <c r="D4" s="1582"/>
      <c r="E4" s="1582"/>
      <c r="F4" s="1582"/>
      <c r="G4" s="1582"/>
      <c r="H4" s="1582"/>
      <c r="I4" s="1582"/>
      <c r="J4" s="1582"/>
      <c r="K4" s="1582"/>
      <c r="L4" s="598"/>
      <c r="M4" s="598"/>
      <c r="N4" s="598"/>
      <c r="O4" s="598"/>
      <c r="P4" s="598"/>
      <c r="Q4" s="598"/>
      <c r="R4" s="598"/>
      <c r="S4" s="598"/>
      <c r="T4" s="598"/>
      <c r="U4" s="598"/>
      <c r="V4" s="598"/>
      <c r="W4" s="598"/>
      <c r="X4" s="598"/>
      <c r="Y4" s="598"/>
      <c r="Z4" s="598"/>
      <c r="AA4" s="598"/>
      <c r="AB4" s="598"/>
      <c r="AC4" s="598"/>
      <c r="AD4" s="598"/>
      <c r="AE4" s="598"/>
      <c r="AF4" s="598"/>
      <c r="AG4" s="598"/>
      <c r="AH4" s="598"/>
      <c r="AI4" s="598"/>
      <c r="AJ4" s="598"/>
      <c r="AK4" s="598"/>
      <c r="AL4" s="598"/>
      <c r="AO4" s="255"/>
      <c r="AP4" s="255"/>
      <c r="AQ4" s="255"/>
      <c r="AR4" s="255"/>
      <c r="AS4" s="255"/>
      <c r="AT4" s="255"/>
      <c r="AU4" s="255"/>
      <c r="AV4" s="698"/>
    </row>
    <row r="5" spans="1:48" s="254" customFormat="1" ht="18.75">
      <c r="A5" s="597"/>
      <c r="B5" s="1579" t="s">
        <v>223</v>
      </c>
      <c r="C5" s="1579"/>
      <c r="D5" s="1579"/>
      <c r="E5" s="1579"/>
      <c r="F5" s="1579"/>
      <c r="G5" s="1579"/>
      <c r="H5" s="1579"/>
      <c r="I5" s="1579"/>
      <c r="J5" s="1579"/>
      <c r="K5" s="1579"/>
      <c r="L5" s="598"/>
      <c r="M5" s="598"/>
      <c r="N5" s="598"/>
      <c r="O5" s="598"/>
      <c r="P5" s="598"/>
      <c r="Q5" s="598"/>
      <c r="R5" s="598"/>
      <c r="S5" s="598"/>
      <c r="T5" s="598"/>
      <c r="U5" s="598"/>
      <c r="V5" s="598"/>
      <c r="W5" s="598"/>
      <c r="X5" s="598"/>
      <c r="Y5" s="598"/>
      <c r="Z5" s="598"/>
      <c r="AA5" s="598"/>
      <c r="AB5" s="598"/>
      <c r="AC5" s="598"/>
      <c r="AD5" s="598"/>
      <c r="AE5" s="598"/>
      <c r="AF5" s="598"/>
      <c r="AG5" s="598"/>
      <c r="AH5" s="598"/>
      <c r="AI5" s="598"/>
      <c r="AJ5" s="598"/>
      <c r="AK5" s="598"/>
      <c r="AL5" s="598"/>
      <c r="AO5" s="255"/>
      <c r="AP5" s="255"/>
      <c r="AQ5" s="255"/>
      <c r="AR5" s="255"/>
      <c r="AS5" s="255"/>
      <c r="AT5" s="255"/>
      <c r="AU5" s="255"/>
    </row>
    <row r="6" spans="1:48" s="254" customFormat="1" ht="18.75">
      <c r="A6" s="597"/>
      <c r="B6" s="861"/>
      <c r="C6" s="861"/>
      <c r="D6" s="861"/>
      <c r="E6" s="861"/>
      <c r="F6" s="861"/>
      <c r="G6" s="861"/>
      <c r="H6" s="861"/>
      <c r="I6" s="861"/>
      <c r="J6" s="861"/>
      <c r="K6" s="861"/>
      <c r="L6" s="861"/>
      <c r="M6" s="861"/>
      <c r="N6" s="861"/>
      <c r="O6" s="861"/>
      <c r="P6" s="861"/>
      <c r="Q6" s="861"/>
      <c r="R6" s="861"/>
      <c r="S6" s="861"/>
      <c r="T6" s="861"/>
      <c r="U6" s="861"/>
      <c r="V6" s="861"/>
      <c r="W6" s="861"/>
      <c r="X6" s="861"/>
      <c r="Y6" s="861"/>
      <c r="Z6" s="861"/>
      <c r="AA6" s="861"/>
      <c r="AB6" s="861"/>
      <c r="AC6" s="861"/>
      <c r="AD6" s="861"/>
      <c r="AE6" s="861"/>
      <c r="AF6" s="861"/>
      <c r="AG6" s="861"/>
      <c r="AH6" s="861"/>
      <c r="AI6" s="861"/>
      <c r="AJ6" s="861"/>
      <c r="AK6" s="861"/>
      <c r="AL6" s="861"/>
      <c r="AO6" s="255"/>
      <c r="AP6" s="255"/>
      <c r="AQ6" s="255"/>
      <c r="AR6" s="255"/>
      <c r="AS6" s="255"/>
      <c r="AT6" s="255"/>
      <c r="AU6" s="255"/>
    </row>
    <row r="7" spans="1:48" ht="44.25" customHeight="1">
      <c r="A7" s="599"/>
      <c r="B7" s="599"/>
      <c r="C7" s="599"/>
      <c r="D7" s="599"/>
      <c r="E7" s="1580" t="s">
        <v>164</v>
      </c>
      <c r="F7" s="1580"/>
      <c r="G7" s="1580"/>
      <c r="H7" s="1580"/>
      <c r="I7" s="1580"/>
      <c r="J7" s="1580"/>
      <c r="K7" s="1580"/>
      <c r="L7" s="1580"/>
      <c r="M7" s="1580"/>
      <c r="N7" s="1580"/>
      <c r="O7" s="1580"/>
      <c r="P7" s="1580"/>
      <c r="Q7" s="1580"/>
      <c r="R7" s="1580"/>
      <c r="S7" s="1580"/>
      <c r="T7" s="1580"/>
      <c r="U7" s="1580"/>
      <c r="V7" s="1580"/>
      <c r="W7" s="1580"/>
      <c r="X7" s="1580"/>
      <c r="Y7" s="1580"/>
      <c r="Z7" s="1580"/>
      <c r="AA7" s="1580"/>
      <c r="AB7" s="1580"/>
      <c r="AC7" s="1580"/>
      <c r="AD7" s="1580"/>
      <c r="AE7" s="1580"/>
      <c r="AF7" s="1580"/>
      <c r="AG7" s="1580"/>
      <c r="AH7" s="1580"/>
      <c r="AI7" s="1580"/>
      <c r="AJ7" s="599"/>
      <c r="AK7" s="599"/>
      <c r="AL7" s="599"/>
    </row>
    <row r="8" spans="1:48" ht="16.5" customHeight="1">
      <c r="A8" s="599"/>
      <c r="B8" s="1579" t="s">
        <v>165</v>
      </c>
      <c r="C8" s="1579"/>
      <c r="D8" s="598">
        <v>2025</v>
      </c>
      <c r="E8" s="1588" t="str">
        <f>"Tháng "&amp;IF(LEN($D$9)=1,"0"&amp;$D$9,$D$9)&amp;" năm "&amp;D8</f>
        <v>Tháng 12 năm 2025</v>
      </c>
      <c r="F8" s="1588"/>
      <c r="G8" s="1588"/>
      <c r="H8" s="1588"/>
      <c r="I8" s="1588"/>
      <c r="J8" s="1588"/>
      <c r="K8" s="1588"/>
      <c r="L8" s="1588"/>
      <c r="M8" s="1588"/>
      <c r="N8" s="1588"/>
      <c r="O8" s="1588"/>
      <c r="P8" s="1588"/>
      <c r="Q8" s="1588"/>
      <c r="R8" s="1588"/>
      <c r="S8" s="1588"/>
      <c r="T8" s="1588"/>
      <c r="U8" s="1588"/>
      <c r="V8" s="1588"/>
      <c r="W8" s="1588"/>
      <c r="X8" s="1588"/>
      <c r="Y8" s="1588"/>
      <c r="Z8" s="1588"/>
      <c r="AA8" s="1588"/>
      <c r="AB8" s="1588"/>
      <c r="AC8" s="1588"/>
      <c r="AD8" s="1588"/>
      <c r="AE8" s="1588"/>
      <c r="AF8" s="1588"/>
      <c r="AG8" s="1588"/>
      <c r="AH8" s="1588"/>
      <c r="AI8" s="1588"/>
      <c r="AJ8" s="599"/>
      <c r="AK8" s="599"/>
      <c r="AL8" s="599"/>
    </row>
    <row r="9" spans="1:48" ht="18.75">
      <c r="A9" s="599"/>
      <c r="B9" s="1589" t="s">
        <v>166</v>
      </c>
      <c r="C9" s="1589"/>
      <c r="D9" s="598">
        <v>12</v>
      </c>
      <c r="E9" s="599"/>
      <c r="F9" s="599"/>
      <c r="G9" s="599"/>
      <c r="H9" s="599"/>
      <c r="I9" s="599"/>
      <c r="J9" s="599"/>
      <c r="K9" s="599"/>
      <c r="L9" s="599"/>
      <c r="M9" s="599"/>
      <c r="N9" s="599"/>
      <c r="O9" s="599"/>
      <c r="P9" s="599"/>
      <c r="Q9" s="599"/>
      <c r="R9" s="599"/>
      <c r="S9" s="599"/>
      <c r="T9" s="599"/>
      <c r="U9" s="599"/>
      <c r="V9" s="599"/>
      <c r="W9" s="599"/>
      <c r="X9" s="599"/>
      <c r="Y9" s="599"/>
      <c r="Z9" s="599"/>
      <c r="AA9" s="599"/>
      <c r="AB9" s="599"/>
      <c r="AC9" s="599"/>
      <c r="AD9" s="599"/>
      <c r="AE9" s="599"/>
      <c r="AF9" s="599"/>
      <c r="AG9" s="599"/>
      <c r="AH9" s="599"/>
      <c r="AI9" s="599"/>
      <c r="AJ9" s="599"/>
      <c r="AK9" s="599"/>
      <c r="AL9" s="599"/>
    </row>
    <row r="10" spans="1:48" s="257" customFormat="1" ht="27.75" customHeight="1">
      <c r="A10" s="600"/>
      <c r="B10" s="1590" t="s">
        <v>3</v>
      </c>
      <c r="C10" s="1583" t="s">
        <v>12</v>
      </c>
      <c r="D10" s="1583" t="s">
        <v>4</v>
      </c>
      <c r="E10" s="601">
        <v>1</v>
      </c>
      <c r="F10" s="601">
        <v>2</v>
      </c>
      <c r="G10" s="601">
        <v>3</v>
      </c>
      <c r="H10" s="601">
        <v>4</v>
      </c>
      <c r="I10" s="601">
        <v>5</v>
      </c>
      <c r="J10" s="601">
        <v>6</v>
      </c>
      <c r="K10" s="601">
        <v>7</v>
      </c>
      <c r="L10" s="601">
        <v>8</v>
      </c>
      <c r="M10" s="601">
        <v>9</v>
      </c>
      <c r="N10" s="601">
        <v>10</v>
      </c>
      <c r="O10" s="601">
        <v>11</v>
      </c>
      <c r="P10" s="601">
        <v>12</v>
      </c>
      <c r="Q10" s="601">
        <v>13</v>
      </c>
      <c r="R10" s="601">
        <v>14</v>
      </c>
      <c r="S10" s="601">
        <v>15</v>
      </c>
      <c r="T10" s="601">
        <v>16</v>
      </c>
      <c r="U10" s="601">
        <v>17</v>
      </c>
      <c r="V10" s="601">
        <v>18</v>
      </c>
      <c r="W10" s="601">
        <v>19</v>
      </c>
      <c r="X10" s="601">
        <v>20</v>
      </c>
      <c r="Y10" s="601">
        <v>21</v>
      </c>
      <c r="Z10" s="601">
        <v>22</v>
      </c>
      <c r="AA10" s="601">
        <v>23</v>
      </c>
      <c r="AB10" s="601">
        <v>24</v>
      </c>
      <c r="AC10" s="601">
        <v>25</v>
      </c>
      <c r="AD10" s="601">
        <v>26</v>
      </c>
      <c r="AE10" s="601">
        <v>27</v>
      </c>
      <c r="AF10" s="601">
        <v>28</v>
      </c>
      <c r="AG10" s="601">
        <f>IF(DAY(DATE(D8,D9+1,1)-1)&lt;29,"",29)</f>
        <v>29</v>
      </c>
      <c r="AH10" s="601">
        <v>30</v>
      </c>
      <c r="AI10" s="601">
        <v>31</v>
      </c>
      <c r="AJ10" s="1583" t="s">
        <v>27</v>
      </c>
      <c r="AK10" s="1583" t="s">
        <v>167</v>
      </c>
      <c r="AL10" s="1583" t="s">
        <v>5</v>
      </c>
    </row>
    <row r="11" spans="1:48" s="257" customFormat="1" ht="48.75" customHeight="1">
      <c r="A11" s="600"/>
      <c r="B11" s="1591"/>
      <c r="C11" s="1584"/>
      <c r="D11" s="1584"/>
      <c r="E11" s="602" t="str">
        <f t="shared" ref="E11:AH11" si="0">IF(E10="","",HLOOKUP(WEEKDAY(DATE($D$8,$D$9,E10)),$AO$1:$AU$2,2,0))</f>
        <v>Hai</v>
      </c>
      <c r="F11" s="602" t="str">
        <f t="shared" si="0"/>
        <v>Ba</v>
      </c>
      <c r="G11" s="602" t="str">
        <f t="shared" si="0"/>
        <v>Tư</v>
      </c>
      <c r="H11" s="602" t="str">
        <f t="shared" si="0"/>
        <v>Năm</v>
      </c>
      <c r="I11" s="602" t="str">
        <f t="shared" si="0"/>
        <v>Sáu</v>
      </c>
      <c r="J11" s="602" t="str">
        <f t="shared" si="0"/>
        <v>Bảy</v>
      </c>
      <c r="K11" s="602" t="str">
        <f t="shared" si="0"/>
        <v>CN</v>
      </c>
      <c r="L11" s="602" t="str">
        <f t="shared" si="0"/>
        <v>Hai</v>
      </c>
      <c r="M11" s="602" t="str">
        <f t="shared" si="0"/>
        <v>Ba</v>
      </c>
      <c r="N11" s="602" t="str">
        <f t="shared" si="0"/>
        <v>Tư</v>
      </c>
      <c r="O11" s="602" t="str">
        <f t="shared" si="0"/>
        <v>Năm</v>
      </c>
      <c r="P11" s="602" t="str">
        <f t="shared" si="0"/>
        <v>Sáu</v>
      </c>
      <c r="Q11" s="602" t="str">
        <f t="shared" si="0"/>
        <v>Bảy</v>
      </c>
      <c r="R11" s="602" t="str">
        <f t="shared" si="0"/>
        <v>CN</v>
      </c>
      <c r="S11" s="602" t="str">
        <f t="shared" si="0"/>
        <v>Hai</v>
      </c>
      <c r="T11" s="602" t="str">
        <f t="shared" si="0"/>
        <v>Ba</v>
      </c>
      <c r="U11" s="602" t="str">
        <f t="shared" si="0"/>
        <v>Tư</v>
      </c>
      <c r="V11" s="602" t="str">
        <f t="shared" si="0"/>
        <v>Năm</v>
      </c>
      <c r="W11" s="602" t="str">
        <f t="shared" si="0"/>
        <v>Sáu</v>
      </c>
      <c r="X11" s="602" t="str">
        <f t="shared" si="0"/>
        <v>Bảy</v>
      </c>
      <c r="Y11" s="602" t="str">
        <f t="shared" si="0"/>
        <v>CN</v>
      </c>
      <c r="Z11" s="602" t="str">
        <f t="shared" si="0"/>
        <v>Hai</v>
      </c>
      <c r="AA11" s="602" t="str">
        <f t="shared" si="0"/>
        <v>Ba</v>
      </c>
      <c r="AB11" s="602" t="str">
        <f t="shared" si="0"/>
        <v>Tư</v>
      </c>
      <c r="AC11" s="602" t="str">
        <f t="shared" si="0"/>
        <v>Năm</v>
      </c>
      <c r="AD11" s="602" t="str">
        <f t="shared" si="0"/>
        <v>Sáu</v>
      </c>
      <c r="AE11" s="602" t="str">
        <f t="shared" si="0"/>
        <v>Bảy</v>
      </c>
      <c r="AF11" s="602" t="str">
        <f t="shared" si="0"/>
        <v>CN</v>
      </c>
      <c r="AG11" s="601" t="str">
        <f t="shared" si="0"/>
        <v>Hai</v>
      </c>
      <c r="AH11" s="601" t="str">
        <f t="shared" si="0"/>
        <v>Ba</v>
      </c>
      <c r="AI11" s="601" t="s">
        <v>161</v>
      </c>
      <c r="AJ11" s="1584"/>
      <c r="AK11" s="1584"/>
      <c r="AL11" s="1584"/>
    </row>
    <row r="12" spans="1:48" ht="32.25" customHeight="1">
      <c r="A12" s="599"/>
      <c r="B12" s="601">
        <v>1</v>
      </c>
      <c r="C12" s="611" t="s">
        <v>290</v>
      </c>
      <c r="D12" s="611" t="s">
        <v>190</v>
      </c>
      <c r="E12" s="601" t="s">
        <v>29</v>
      </c>
      <c r="F12" s="601" t="s">
        <v>29</v>
      </c>
      <c r="G12" s="601" t="s">
        <v>29</v>
      </c>
      <c r="H12" s="601" t="s">
        <v>29</v>
      </c>
      <c r="I12" s="601" t="s">
        <v>29</v>
      </c>
      <c r="J12" s="601" t="s">
        <v>29</v>
      </c>
      <c r="K12" s="601"/>
      <c r="L12" s="601" t="s">
        <v>29</v>
      </c>
      <c r="M12" s="601" t="s">
        <v>29</v>
      </c>
      <c r="N12" s="601" t="s">
        <v>29</v>
      </c>
      <c r="O12" s="601" t="s">
        <v>29</v>
      </c>
      <c r="P12" s="601" t="s">
        <v>29</v>
      </c>
      <c r="Q12" s="601" t="s">
        <v>29</v>
      </c>
      <c r="R12" s="601"/>
      <c r="S12" s="601" t="s">
        <v>29</v>
      </c>
      <c r="T12" s="601" t="s">
        <v>29</v>
      </c>
      <c r="U12" s="601" t="s">
        <v>29</v>
      </c>
      <c r="V12" s="601" t="s">
        <v>29</v>
      </c>
      <c r="W12" s="601" t="s">
        <v>29</v>
      </c>
      <c r="X12" s="601" t="s">
        <v>29</v>
      </c>
      <c r="Y12" s="601"/>
      <c r="Z12" s="601" t="s">
        <v>29</v>
      </c>
      <c r="AA12" s="601" t="s">
        <v>29</v>
      </c>
      <c r="AB12" s="601" t="s">
        <v>29</v>
      </c>
      <c r="AC12" s="601" t="s">
        <v>29</v>
      </c>
      <c r="AD12" s="601" t="s">
        <v>29</v>
      </c>
      <c r="AE12" s="601" t="s">
        <v>29</v>
      </c>
      <c r="AF12" s="601"/>
      <c r="AG12" s="601" t="s">
        <v>29</v>
      </c>
      <c r="AH12" s="601" t="s">
        <v>29</v>
      </c>
      <c r="AI12" s="601" t="s">
        <v>29</v>
      </c>
      <c r="AJ12" s="603">
        <f t="shared" ref="AJ12:AJ18" si="1">COUNTIF(E12:AI12,"X")+COUNTIF(E12:AI12,"P")+COUNTIF(E12:AI12,"PT")</f>
        <v>27</v>
      </c>
      <c r="AK12" s="603">
        <f t="shared" ref="AK12:AK18" si="2">COUNTIF(E12:AI12,"TT")</f>
        <v>0</v>
      </c>
      <c r="AL12" s="603"/>
    </row>
    <row r="13" spans="1:48" ht="32.25" customHeight="1">
      <c r="A13" s="599"/>
      <c r="B13" s="601">
        <v>2</v>
      </c>
      <c r="C13" s="611" t="s">
        <v>323</v>
      </c>
      <c r="D13" s="611" t="s">
        <v>215</v>
      </c>
      <c r="E13" s="601" t="s">
        <v>29</v>
      </c>
      <c r="F13" s="601" t="s">
        <v>29</v>
      </c>
      <c r="G13" s="601" t="s">
        <v>29</v>
      </c>
      <c r="H13" s="601" t="s">
        <v>29</v>
      </c>
      <c r="I13" s="601" t="s">
        <v>29</v>
      </c>
      <c r="J13" s="601" t="s">
        <v>29</v>
      </c>
      <c r="K13" s="601"/>
      <c r="L13" s="601" t="s">
        <v>29</v>
      </c>
      <c r="M13" s="601" t="s">
        <v>29</v>
      </c>
      <c r="N13" s="601" t="s">
        <v>29</v>
      </c>
      <c r="O13" s="601" t="s">
        <v>29</v>
      </c>
      <c r="P13" s="601" t="s">
        <v>29</v>
      </c>
      <c r="Q13" s="601" t="s">
        <v>29</v>
      </c>
      <c r="R13" s="601"/>
      <c r="S13" s="601" t="s">
        <v>29</v>
      </c>
      <c r="T13" s="601" t="s">
        <v>29</v>
      </c>
      <c r="U13" s="601" t="s">
        <v>29</v>
      </c>
      <c r="V13" s="601" t="s">
        <v>29</v>
      </c>
      <c r="W13" s="601" t="s">
        <v>29</v>
      </c>
      <c r="X13" s="601" t="s">
        <v>29</v>
      </c>
      <c r="Y13" s="601"/>
      <c r="Z13" s="601" t="s">
        <v>29</v>
      </c>
      <c r="AA13" s="601" t="s">
        <v>29</v>
      </c>
      <c r="AB13" s="601" t="s">
        <v>29</v>
      </c>
      <c r="AC13" s="601" t="s">
        <v>29</v>
      </c>
      <c r="AD13" s="601" t="s">
        <v>29</v>
      </c>
      <c r="AE13" s="601" t="s">
        <v>29</v>
      </c>
      <c r="AF13" s="601"/>
      <c r="AG13" s="601" t="s">
        <v>29</v>
      </c>
      <c r="AH13" s="601" t="s">
        <v>29</v>
      </c>
      <c r="AI13" s="601" t="s">
        <v>29</v>
      </c>
      <c r="AJ13" s="603">
        <f t="shared" si="1"/>
        <v>27</v>
      </c>
      <c r="AK13" s="603">
        <f t="shared" si="2"/>
        <v>0</v>
      </c>
      <c r="AL13" s="603"/>
    </row>
    <row r="14" spans="1:48" ht="32.25" customHeight="1">
      <c r="A14" s="599"/>
      <c r="B14" s="601">
        <v>3</v>
      </c>
      <c r="C14" s="612" t="s">
        <v>324</v>
      </c>
      <c r="D14" s="611" t="s">
        <v>215</v>
      </c>
      <c r="E14" s="601" t="s">
        <v>29</v>
      </c>
      <c r="F14" s="601" t="s">
        <v>29</v>
      </c>
      <c r="G14" s="601" t="s">
        <v>29</v>
      </c>
      <c r="H14" s="601" t="s">
        <v>29</v>
      </c>
      <c r="I14" s="601" t="s">
        <v>29</v>
      </c>
      <c r="J14" s="601" t="s">
        <v>29</v>
      </c>
      <c r="K14" s="601"/>
      <c r="L14" s="601" t="s">
        <v>29</v>
      </c>
      <c r="M14" s="601" t="s">
        <v>29</v>
      </c>
      <c r="N14" s="601" t="s">
        <v>29</v>
      </c>
      <c r="O14" s="601" t="s">
        <v>29</v>
      </c>
      <c r="P14" s="601" t="s">
        <v>29</v>
      </c>
      <c r="Q14" s="601" t="s">
        <v>29</v>
      </c>
      <c r="R14" s="601"/>
      <c r="S14" s="601" t="s">
        <v>29</v>
      </c>
      <c r="T14" s="601" t="s">
        <v>29</v>
      </c>
      <c r="U14" s="601" t="s">
        <v>29</v>
      </c>
      <c r="V14" s="601" t="s">
        <v>29</v>
      </c>
      <c r="W14" s="601" t="s">
        <v>29</v>
      </c>
      <c r="X14" s="601" t="s">
        <v>29</v>
      </c>
      <c r="Y14" s="601"/>
      <c r="Z14" s="601" t="s">
        <v>29</v>
      </c>
      <c r="AA14" s="601" t="s">
        <v>29</v>
      </c>
      <c r="AB14" s="601" t="s">
        <v>29</v>
      </c>
      <c r="AC14" s="601" t="s">
        <v>29</v>
      </c>
      <c r="AD14" s="601" t="s">
        <v>29</v>
      </c>
      <c r="AE14" s="601" t="s">
        <v>29</v>
      </c>
      <c r="AF14" s="601"/>
      <c r="AG14" s="601" t="s">
        <v>29</v>
      </c>
      <c r="AH14" s="601" t="s">
        <v>29</v>
      </c>
      <c r="AI14" s="601" t="s">
        <v>29</v>
      </c>
      <c r="AJ14" s="603">
        <f t="shared" si="1"/>
        <v>27</v>
      </c>
      <c r="AK14" s="603">
        <f t="shared" si="2"/>
        <v>0</v>
      </c>
      <c r="AL14" s="603"/>
    </row>
    <row r="15" spans="1:48" ht="32.25" customHeight="1">
      <c r="A15" s="599"/>
      <c r="B15" s="601">
        <v>4</v>
      </c>
      <c r="C15" s="611" t="s">
        <v>348</v>
      </c>
      <c r="D15" s="611" t="s">
        <v>192</v>
      </c>
      <c r="E15" s="601" t="s">
        <v>29</v>
      </c>
      <c r="F15" s="601" t="s">
        <v>29</v>
      </c>
      <c r="G15" s="601" t="s">
        <v>29</v>
      </c>
      <c r="H15" s="601" t="s">
        <v>29</v>
      </c>
      <c r="I15" s="601" t="s">
        <v>29</v>
      </c>
      <c r="J15" s="601" t="s">
        <v>29</v>
      </c>
      <c r="K15" s="601"/>
      <c r="L15" s="601" t="s">
        <v>29</v>
      </c>
      <c r="M15" s="601" t="s">
        <v>29</v>
      </c>
      <c r="N15" s="1089" t="s">
        <v>548</v>
      </c>
      <c r="O15" s="1089" t="s">
        <v>548</v>
      </c>
      <c r="P15" s="1089" t="s">
        <v>548</v>
      </c>
      <c r="Q15" s="1089" t="s">
        <v>548</v>
      </c>
      <c r="R15" s="601"/>
      <c r="S15" s="601" t="s">
        <v>29</v>
      </c>
      <c r="T15" s="601" t="s">
        <v>29</v>
      </c>
      <c r="U15" s="601" t="s">
        <v>29</v>
      </c>
      <c r="V15" s="601" t="s">
        <v>29</v>
      </c>
      <c r="W15" s="601" t="s">
        <v>29</v>
      </c>
      <c r="X15" s="601" t="s">
        <v>29</v>
      </c>
      <c r="Y15" s="601"/>
      <c r="Z15" s="601" t="s">
        <v>29</v>
      </c>
      <c r="AA15" s="601" t="s">
        <v>29</v>
      </c>
      <c r="AB15" s="601" t="s">
        <v>29</v>
      </c>
      <c r="AC15" s="601" t="s">
        <v>29</v>
      </c>
      <c r="AD15" s="601" t="s">
        <v>29</v>
      </c>
      <c r="AE15" s="601" t="s">
        <v>29</v>
      </c>
      <c r="AF15" s="601"/>
      <c r="AG15" s="601" t="s">
        <v>29</v>
      </c>
      <c r="AH15" s="601" t="s">
        <v>29</v>
      </c>
      <c r="AI15" s="601" t="s">
        <v>29</v>
      </c>
      <c r="AJ15" s="603">
        <f t="shared" si="1"/>
        <v>27</v>
      </c>
      <c r="AK15" s="603">
        <f t="shared" si="2"/>
        <v>0</v>
      </c>
      <c r="AL15" s="603"/>
    </row>
    <row r="16" spans="1:48" ht="32.25" customHeight="1">
      <c r="A16" s="599"/>
      <c r="B16" s="601">
        <v>5</v>
      </c>
      <c r="C16" s="611" t="s">
        <v>325</v>
      </c>
      <c r="D16" s="611" t="s">
        <v>192</v>
      </c>
      <c r="E16" s="601" t="s">
        <v>29</v>
      </c>
      <c r="F16" s="601" t="s">
        <v>29</v>
      </c>
      <c r="G16" s="601" t="s">
        <v>29</v>
      </c>
      <c r="H16" s="601" t="s">
        <v>29</v>
      </c>
      <c r="I16" s="601" t="s">
        <v>29</v>
      </c>
      <c r="J16" s="601" t="s">
        <v>29</v>
      </c>
      <c r="K16" s="601"/>
      <c r="L16" s="601" t="s">
        <v>29</v>
      </c>
      <c r="M16" s="601" t="s">
        <v>29</v>
      </c>
      <c r="N16" s="601" t="s">
        <v>29</v>
      </c>
      <c r="O16" s="601" t="s">
        <v>29</v>
      </c>
      <c r="P16" s="601" t="s">
        <v>29</v>
      </c>
      <c r="Q16" s="601" t="s">
        <v>29</v>
      </c>
      <c r="R16" s="601"/>
      <c r="S16" s="601" t="s">
        <v>29</v>
      </c>
      <c r="T16" s="601" t="s">
        <v>29</v>
      </c>
      <c r="U16" s="601" t="s">
        <v>29</v>
      </c>
      <c r="V16" s="1089" t="s">
        <v>548</v>
      </c>
      <c r="W16" s="1089" t="s">
        <v>548</v>
      </c>
      <c r="X16" s="1089" t="s">
        <v>548</v>
      </c>
      <c r="Y16" s="1089"/>
      <c r="Z16" s="1089" t="s">
        <v>548</v>
      </c>
      <c r="AA16" s="601" t="s">
        <v>29</v>
      </c>
      <c r="AB16" s="601" t="s">
        <v>29</v>
      </c>
      <c r="AC16" s="601" t="s">
        <v>29</v>
      </c>
      <c r="AD16" s="601" t="s">
        <v>29</v>
      </c>
      <c r="AE16" s="601" t="s">
        <v>29</v>
      </c>
      <c r="AF16" s="601"/>
      <c r="AG16" s="601" t="s">
        <v>29</v>
      </c>
      <c r="AH16" s="601" t="s">
        <v>29</v>
      </c>
      <c r="AI16" s="601" t="s">
        <v>29</v>
      </c>
      <c r="AJ16" s="603">
        <f t="shared" si="1"/>
        <v>27</v>
      </c>
      <c r="AK16" s="603">
        <f t="shared" si="2"/>
        <v>0</v>
      </c>
      <c r="AL16" s="603"/>
    </row>
    <row r="17" spans="1:38" ht="32.25" customHeight="1">
      <c r="A17" s="599"/>
      <c r="B17" s="601">
        <v>6</v>
      </c>
      <c r="C17" s="611" t="s">
        <v>314</v>
      </c>
      <c r="D17" s="611" t="s">
        <v>597</v>
      </c>
      <c r="E17" s="601" t="s">
        <v>29</v>
      </c>
      <c r="F17" s="601" t="s">
        <v>29</v>
      </c>
      <c r="G17" s="601" t="s">
        <v>29</v>
      </c>
      <c r="H17" s="601" t="s">
        <v>29</v>
      </c>
      <c r="I17" s="601" t="s">
        <v>29</v>
      </c>
      <c r="J17" s="601" t="s">
        <v>29</v>
      </c>
      <c r="K17" s="601"/>
      <c r="L17" s="601" t="s">
        <v>29</v>
      </c>
      <c r="M17" s="601" t="s">
        <v>29</v>
      </c>
      <c r="N17" s="601" t="s">
        <v>29</v>
      </c>
      <c r="O17" s="601" t="s">
        <v>29</v>
      </c>
      <c r="P17" s="601" t="s">
        <v>29</v>
      </c>
      <c r="Q17" s="601" t="s">
        <v>29</v>
      </c>
      <c r="R17" s="601"/>
      <c r="S17" s="601" t="s">
        <v>29</v>
      </c>
      <c r="T17" s="601" t="s">
        <v>29</v>
      </c>
      <c r="U17" s="601" t="s">
        <v>29</v>
      </c>
      <c r="V17" s="601" t="s">
        <v>29</v>
      </c>
      <c r="W17" s="601" t="s">
        <v>29</v>
      </c>
      <c r="X17" s="601" t="s">
        <v>29</v>
      </c>
      <c r="Y17" s="601"/>
      <c r="Z17" s="601" t="s">
        <v>29</v>
      </c>
      <c r="AA17" s="601" t="s">
        <v>29</v>
      </c>
      <c r="AB17" s="601" t="s">
        <v>29</v>
      </c>
      <c r="AC17" s="601" t="s">
        <v>29</v>
      </c>
      <c r="AD17" s="601" t="s">
        <v>29</v>
      </c>
      <c r="AE17" s="601" t="s">
        <v>29</v>
      </c>
      <c r="AF17" s="601"/>
      <c r="AG17" s="601" t="s">
        <v>29</v>
      </c>
      <c r="AH17" s="601" t="s">
        <v>29</v>
      </c>
      <c r="AI17" s="601" t="s">
        <v>29</v>
      </c>
      <c r="AJ17" s="603">
        <f t="shared" si="1"/>
        <v>27</v>
      </c>
      <c r="AK17" s="603"/>
      <c r="AL17" s="603"/>
    </row>
    <row r="18" spans="1:38" s="258" customFormat="1" ht="32.25" customHeight="1">
      <c r="A18" s="604"/>
      <c r="B18" s="601">
        <v>7</v>
      </c>
      <c r="C18" s="611" t="s">
        <v>34</v>
      </c>
      <c r="D18" s="611" t="s">
        <v>214</v>
      </c>
      <c r="E18" s="601" t="s">
        <v>29</v>
      </c>
      <c r="F18" s="601" t="s">
        <v>29</v>
      </c>
      <c r="G18" s="601" t="s">
        <v>29</v>
      </c>
      <c r="H18" s="601" t="s">
        <v>29</v>
      </c>
      <c r="I18" s="601" t="s">
        <v>29</v>
      </c>
      <c r="J18" s="601" t="s">
        <v>29</v>
      </c>
      <c r="K18" s="601"/>
      <c r="L18" s="601" t="s">
        <v>29</v>
      </c>
      <c r="M18" s="601" t="s">
        <v>29</v>
      </c>
      <c r="N18" s="601" t="s">
        <v>29</v>
      </c>
      <c r="O18" s="601" t="s">
        <v>29</v>
      </c>
      <c r="P18" s="601" t="s">
        <v>29</v>
      </c>
      <c r="Q18" s="601" t="s">
        <v>29</v>
      </c>
      <c r="R18" s="601"/>
      <c r="S18" s="601" t="s">
        <v>29</v>
      </c>
      <c r="T18" s="601" t="s">
        <v>29</v>
      </c>
      <c r="U18" s="601" t="s">
        <v>29</v>
      </c>
      <c r="V18" s="601" t="s">
        <v>29</v>
      </c>
      <c r="W18" s="601" t="s">
        <v>29</v>
      </c>
      <c r="X18" s="601" t="s">
        <v>29</v>
      </c>
      <c r="Y18" s="601"/>
      <c r="Z18" s="601" t="s">
        <v>29</v>
      </c>
      <c r="AA18" s="601" t="s">
        <v>29</v>
      </c>
      <c r="AB18" s="601" t="s">
        <v>29</v>
      </c>
      <c r="AC18" s="1089" t="s">
        <v>548</v>
      </c>
      <c r="AD18" s="1089" t="s">
        <v>548</v>
      </c>
      <c r="AE18" s="1089" t="s">
        <v>548</v>
      </c>
      <c r="AF18" s="1089"/>
      <c r="AG18" s="1089" t="s">
        <v>548</v>
      </c>
      <c r="AH18" s="1089" t="s">
        <v>548</v>
      </c>
      <c r="AI18" s="1089" t="s">
        <v>548</v>
      </c>
      <c r="AJ18" s="603">
        <f t="shared" si="1"/>
        <v>27</v>
      </c>
      <c r="AK18" s="605">
        <f t="shared" si="2"/>
        <v>0</v>
      </c>
      <c r="AL18" s="605"/>
    </row>
    <row r="19" spans="1:38" s="255" customFormat="1" ht="32.25" customHeight="1">
      <c r="A19" s="700"/>
      <c r="B19" s="1585" t="s">
        <v>168</v>
      </c>
      <c r="C19" s="1586"/>
      <c r="D19" s="701"/>
      <c r="E19" s="606">
        <f t="shared" ref="E19:AI19" si="3">COUNTIF(E12:E18,"X")+COUNTIF(E12:E18,"P")</f>
        <v>7</v>
      </c>
      <c r="F19" s="606">
        <f t="shared" si="3"/>
        <v>7</v>
      </c>
      <c r="G19" s="606">
        <f t="shared" si="3"/>
        <v>7</v>
      </c>
      <c r="H19" s="606">
        <f t="shared" si="3"/>
        <v>7</v>
      </c>
      <c r="I19" s="606">
        <f t="shared" si="3"/>
        <v>7</v>
      </c>
      <c r="J19" s="606">
        <f t="shared" si="3"/>
        <v>7</v>
      </c>
      <c r="K19" s="606">
        <f t="shared" si="3"/>
        <v>0</v>
      </c>
      <c r="L19" s="606">
        <f t="shared" si="3"/>
        <v>7</v>
      </c>
      <c r="M19" s="606">
        <f t="shared" si="3"/>
        <v>7</v>
      </c>
      <c r="N19" s="606">
        <f t="shared" si="3"/>
        <v>7</v>
      </c>
      <c r="O19" s="606">
        <f t="shared" si="3"/>
        <v>7</v>
      </c>
      <c r="P19" s="606">
        <f t="shared" si="3"/>
        <v>7</v>
      </c>
      <c r="Q19" s="606">
        <f t="shared" si="3"/>
        <v>7</v>
      </c>
      <c r="R19" s="606">
        <f t="shared" si="3"/>
        <v>0</v>
      </c>
      <c r="S19" s="606">
        <f t="shared" si="3"/>
        <v>7</v>
      </c>
      <c r="T19" s="606">
        <f t="shared" si="3"/>
        <v>7</v>
      </c>
      <c r="U19" s="606">
        <f t="shared" si="3"/>
        <v>7</v>
      </c>
      <c r="V19" s="606">
        <f t="shared" si="3"/>
        <v>7</v>
      </c>
      <c r="W19" s="606">
        <f t="shared" si="3"/>
        <v>7</v>
      </c>
      <c r="X19" s="606">
        <f t="shared" si="3"/>
        <v>7</v>
      </c>
      <c r="Y19" s="606">
        <f t="shared" si="3"/>
        <v>0</v>
      </c>
      <c r="Z19" s="606">
        <f t="shared" si="3"/>
        <v>7</v>
      </c>
      <c r="AA19" s="606">
        <f t="shared" si="3"/>
        <v>7</v>
      </c>
      <c r="AB19" s="606">
        <f t="shared" si="3"/>
        <v>7</v>
      </c>
      <c r="AC19" s="606">
        <f t="shared" si="3"/>
        <v>7</v>
      </c>
      <c r="AD19" s="606">
        <f t="shared" si="3"/>
        <v>7</v>
      </c>
      <c r="AE19" s="606">
        <f t="shared" si="3"/>
        <v>7</v>
      </c>
      <c r="AF19" s="606">
        <f t="shared" si="3"/>
        <v>0</v>
      </c>
      <c r="AG19" s="606">
        <f t="shared" si="3"/>
        <v>7</v>
      </c>
      <c r="AH19" s="606">
        <f t="shared" si="3"/>
        <v>7</v>
      </c>
      <c r="AI19" s="606">
        <f t="shared" si="3"/>
        <v>7</v>
      </c>
      <c r="AJ19" s="607">
        <f>SUM(AJ12:AJ18)</f>
        <v>189</v>
      </c>
      <c r="AK19" s="606" t="e">
        <f>SUM(#REF!,#REF!,#REF!,#REF!)</f>
        <v>#REF!</v>
      </c>
      <c r="AL19" s="606"/>
    </row>
    <row r="20" spans="1:38" ht="21" customHeight="1">
      <c r="A20" s="1587"/>
      <c r="B20" s="1587"/>
      <c r="C20" s="600" t="s">
        <v>124</v>
      </c>
      <c r="D20" s="599" t="s">
        <v>169</v>
      </c>
      <c r="E20" s="599"/>
      <c r="F20" s="599"/>
      <c r="G20" s="610" t="s">
        <v>217</v>
      </c>
      <c r="H20" s="599"/>
      <c r="I20" s="599"/>
      <c r="J20" s="599"/>
      <c r="K20" s="599"/>
      <c r="L20" s="599"/>
      <c r="M20" s="599"/>
      <c r="N20" s="599"/>
      <c r="O20" s="599"/>
      <c r="P20" s="599"/>
      <c r="Q20" s="599"/>
      <c r="R20" s="599"/>
      <c r="S20" s="599"/>
      <c r="T20" s="599"/>
      <c r="U20" s="599"/>
      <c r="V20" s="599"/>
      <c r="W20" s="599"/>
      <c r="X20" s="599"/>
      <c r="Y20" s="599"/>
      <c r="Z20" s="599"/>
      <c r="AA20" s="599"/>
      <c r="AB20" s="599"/>
      <c r="AC20" s="599"/>
      <c r="AD20" s="599"/>
      <c r="AE20" s="599"/>
      <c r="AF20" s="599"/>
      <c r="AG20" s="599"/>
      <c r="AH20" s="599"/>
      <c r="AI20" s="599"/>
      <c r="AJ20" s="608"/>
      <c r="AK20" s="608"/>
      <c r="AL20" s="608"/>
    </row>
    <row r="21" spans="1:38" ht="18.75">
      <c r="A21" s="599"/>
      <c r="B21" s="599"/>
      <c r="C21" s="599"/>
      <c r="D21" s="599" t="s">
        <v>216</v>
      </c>
      <c r="E21" s="599"/>
      <c r="F21" s="599"/>
      <c r="G21" s="599"/>
      <c r="H21" s="599"/>
      <c r="I21" s="599"/>
      <c r="J21" s="599"/>
      <c r="K21" s="599"/>
      <c r="L21" s="599"/>
      <c r="M21" s="599"/>
      <c r="N21" s="599"/>
      <c r="O21" s="599"/>
      <c r="P21" s="599"/>
      <c r="Q21" s="599"/>
      <c r="R21" s="599"/>
      <c r="S21" s="599"/>
      <c r="T21" s="599"/>
      <c r="U21" s="599"/>
      <c r="V21" s="599"/>
      <c r="W21" s="599"/>
      <c r="X21" s="599"/>
      <c r="Y21" s="599"/>
      <c r="Z21" s="599"/>
      <c r="AA21" s="1593" t="s">
        <v>577</v>
      </c>
      <c r="AB21" s="1593"/>
      <c r="AC21" s="1593"/>
      <c r="AD21" s="1593"/>
      <c r="AE21" s="1593"/>
      <c r="AF21" s="1593"/>
      <c r="AG21" s="1593"/>
      <c r="AH21" s="1593"/>
      <c r="AI21" s="1593"/>
      <c r="AJ21" s="1593"/>
      <c r="AK21" s="1593"/>
      <c r="AL21" s="1593"/>
    </row>
    <row r="22" spans="1:38" s="254" customFormat="1" ht="16.5" hidden="1" customHeight="1">
      <c r="A22" s="597"/>
      <c r="B22" s="597"/>
      <c r="C22" s="597"/>
      <c r="D22" s="599" t="s">
        <v>217</v>
      </c>
      <c r="E22" s="597"/>
      <c r="F22" s="597"/>
      <c r="G22" s="597"/>
      <c r="H22" s="597"/>
      <c r="I22" s="597"/>
      <c r="J22" s="597"/>
      <c r="K22" s="597"/>
      <c r="L22" s="597"/>
      <c r="M22" s="597"/>
      <c r="N22" s="597"/>
      <c r="O22" s="597"/>
      <c r="P22" s="597"/>
      <c r="Q22" s="597"/>
      <c r="R22" s="597"/>
      <c r="S22" s="597"/>
      <c r="T22" s="597"/>
      <c r="U22" s="597"/>
      <c r="V22" s="597"/>
      <c r="W22" s="597"/>
      <c r="X22" s="597"/>
      <c r="Y22" s="597"/>
      <c r="Z22" s="597"/>
      <c r="AA22" s="1588"/>
      <c r="AB22" s="1588"/>
      <c r="AC22" s="1588"/>
      <c r="AD22" s="1588"/>
      <c r="AE22" s="1588"/>
      <c r="AF22" s="1588"/>
      <c r="AG22" s="1588"/>
      <c r="AH22" s="1588"/>
      <c r="AI22" s="1588"/>
      <c r="AJ22" s="1588"/>
      <c r="AK22" s="1588"/>
      <c r="AL22" s="1588"/>
    </row>
    <row r="23" spans="1:38" s="259" customFormat="1" ht="16.5" hidden="1" customHeight="1">
      <c r="A23" s="609"/>
      <c r="B23" s="609"/>
      <c r="C23" s="609"/>
      <c r="E23" s="609"/>
      <c r="F23" s="609"/>
      <c r="G23" s="609"/>
      <c r="H23" s="609"/>
      <c r="I23" s="609"/>
      <c r="J23" s="609"/>
      <c r="K23" s="609"/>
      <c r="L23" s="609"/>
      <c r="M23" s="609"/>
      <c r="N23" s="609"/>
      <c r="O23" s="609"/>
      <c r="P23" s="609"/>
      <c r="Q23" s="609"/>
      <c r="R23" s="609"/>
      <c r="S23" s="609"/>
      <c r="T23" s="609"/>
      <c r="U23" s="609"/>
      <c r="V23" s="609"/>
      <c r="W23" s="609"/>
      <c r="X23" s="609"/>
      <c r="Y23" s="609"/>
      <c r="Z23" s="609"/>
      <c r="AA23" s="609"/>
      <c r="AB23" s="609"/>
      <c r="AC23" s="609"/>
      <c r="AD23" s="609"/>
      <c r="AE23" s="609"/>
      <c r="AF23" s="609"/>
      <c r="AG23" s="609"/>
      <c r="AH23" s="609"/>
      <c r="AI23" s="609"/>
      <c r="AJ23" s="609"/>
      <c r="AK23" s="609"/>
      <c r="AL23" s="609"/>
    </row>
    <row r="24" spans="1:38" s="260" customFormat="1" ht="24" customHeight="1">
      <c r="A24" s="1592" t="s">
        <v>170</v>
      </c>
      <c r="B24" s="1592"/>
      <c r="C24" s="1592"/>
      <c r="D24" s="1592"/>
      <c r="E24" s="1592"/>
      <c r="F24" s="1592"/>
      <c r="G24" s="609"/>
      <c r="H24" s="609"/>
      <c r="I24" s="1592" t="s">
        <v>296</v>
      </c>
      <c r="J24" s="1592"/>
      <c r="K24" s="1592"/>
      <c r="L24" s="1592"/>
      <c r="M24" s="1592"/>
      <c r="N24" s="1592"/>
      <c r="O24" s="1592"/>
      <c r="P24" s="1592"/>
      <c r="Q24" s="1592"/>
      <c r="R24" s="1592"/>
      <c r="S24" s="1592"/>
      <c r="T24" s="1592"/>
      <c r="U24" s="609"/>
      <c r="V24" s="1592" t="s">
        <v>108</v>
      </c>
      <c r="W24" s="1592"/>
      <c r="X24" s="1592"/>
      <c r="Y24" s="1592"/>
      <c r="Z24" s="1592"/>
      <c r="AA24" s="1592"/>
      <c r="AB24" s="1592"/>
      <c r="AC24" s="1592"/>
      <c r="AD24" s="1592"/>
      <c r="AE24" s="1592" t="s">
        <v>33</v>
      </c>
      <c r="AF24" s="1592"/>
      <c r="AG24" s="1592"/>
      <c r="AH24" s="1592"/>
      <c r="AI24" s="1592"/>
      <c r="AJ24" s="1592"/>
      <c r="AK24" s="1592"/>
      <c r="AL24" s="1592"/>
    </row>
    <row r="28" spans="1:38" ht="51.75" customHeight="1"/>
    <row r="29" spans="1:38">
      <c r="I29" s="259"/>
      <c r="J29" s="259"/>
      <c r="K29" s="259"/>
      <c r="L29" s="259"/>
      <c r="M29" s="259"/>
      <c r="N29" s="259"/>
      <c r="O29" s="259"/>
      <c r="P29" s="259"/>
      <c r="Q29" s="259"/>
      <c r="R29" s="259"/>
      <c r="S29" s="259"/>
      <c r="T29" s="259"/>
    </row>
    <row r="30" spans="1:38" s="597" customFormat="1" ht="24.75" customHeight="1">
      <c r="B30" s="1579" t="s">
        <v>524</v>
      </c>
      <c r="C30" s="1579"/>
      <c r="D30" s="1579"/>
      <c r="E30" s="1579"/>
      <c r="F30" s="1579"/>
      <c r="I30" s="1592" t="s">
        <v>110</v>
      </c>
      <c r="J30" s="1592"/>
      <c r="K30" s="1592"/>
      <c r="L30" s="1592"/>
      <c r="M30" s="1592"/>
      <c r="N30" s="1592"/>
      <c r="O30" s="1592"/>
      <c r="P30" s="1592"/>
      <c r="Q30" s="1592"/>
      <c r="R30" s="1592"/>
      <c r="S30" s="1592"/>
      <c r="T30" s="1592"/>
      <c r="U30" s="609"/>
      <c r="V30" s="1592" t="s">
        <v>290</v>
      </c>
      <c r="W30" s="1592"/>
      <c r="X30" s="1592"/>
      <c r="Y30" s="1592"/>
      <c r="Z30" s="1592"/>
      <c r="AA30" s="1592"/>
      <c r="AB30" s="1592"/>
      <c r="AC30" s="1592"/>
      <c r="AD30" s="1592"/>
      <c r="AE30" s="1579" t="s">
        <v>314</v>
      </c>
      <c r="AF30" s="1579"/>
      <c r="AG30" s="1579"/>
      <c r="AH30" s="1579"/>
      <c r="AI30" s="1579"/>
      <c r="AJ30" s="1579"/>
      <c r="AK30" s="1579"/>
      <c r="AL30" s="1579"/>
    </row>
    <row r="31" spans="1:38">
      <c r="W31" s="259"/>
      <c r="X31" s="259"/>
      <c r="Y31" s="259"/>
      <c r="Z31" s="259"/>
      <c r="AA31" s="259"/>
      <c r="AB31" s="259"/>
      <c r="AC31" s="259"/>
      <c r="AD31" s="259"/>
      <c r="AE31" s="259"/>
    </row>
  </sheetData>
  <mergeCells count="27">
    <mergeCell ref="I30:T30"/>
    <mergeCell ref="V30:AD30"/>
    <mergeCell ref="AE30:AL30"/>
    <mergeCell ref="AA22:AL22"/>
    <mergeCell ref="AA21:AL21"/>
    <mergeCell ref="AE24:AL24"/>
    <mergeCell ref="A24:F24"/>
    <mergeCell ref="I24:T24"/>
    <mergeCell ref="V24:AD24"/>
    <mergeCell ref="AJ10:AJ11"/>
    <mergeCell ref="AK10:AK11"/>
    <mergeCell ref="B30:F30"/>
    <mergeCell ref="E7:AI7"/>
    <mergeCell ref="B1:AL1"/>
    <mergeCell ref="B2:AL2"/>
    <mergeCell ref="B3:AL3"/>
    <mergeCell ref="B4:K4"/>
    <mergeCell ref="B5:K5"/>
    <mergeCell ref="AL10:AL11"/>
    <mergeCell ref="B19:C19"/>
    <mergeCell ref="A20:B20"/>
    <mergeCell ref="B8:C8"/>
    <mergeCell ref="E8:AI8"/>
    <mergeCell ref="B9:C9"/>
    <mergeCell ref="B10:B11"/>
    <mergeCell ref="C10:C11"/>
    <mergeCell ref="D10:D11"/>
  </mergeCells>
  <printOptions horizontalCentered="1"/>
  <pageMargins left="0.11811023622047245" right="0.19685039370078741" top="0.55118110236220474" bottom="0.74803149606299213" header="0.31496062992125984" footer="0.31496062992125984"/>
  <pageSetup paperSize="9" scale="65" fitToHeight="0"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A23"/>
  <sheetViews>
    <sheetView showGridLines="0" topLeftCell="A5" zoomScaleNormal="100" zoomScaleSheetLayoutView="70" workbookViewId="0">
      <selection activeCell="I11" sqref="I11"/>
    </sheetView>
  </sheetViews>
  <sheetFormatPr defaultColWidth="9.140625" defaultRowHeight="15"/>
  <cols>
    <col min="1" max="1" width="6" style="48" customWidth="1"/>
    <col min="2" max="2" width="7" style="48" hidden="1" customWidth="1"/>
    <col min="3" max="3" width="5.7109375" style="48" hidden="1" customWidth="1"/>
    <col min="4" max="4" width="19.140625" style="48" customWidth="1"/>
    <col min="5" max="5" width="18" style="48" hidden="1" customWidth="1"/>
    <col min="6" max="7" width="13.42578125" style="48" customWidth="1"/>
    <col min="8" max="8" width="24.28515625" style="48" customWidth="1"/>
    <col min="9" max="9" width="27.140625" style="48" customWidth="1"/>
    <col min="10" max="10" width="16.5703125" style="48" customWidth="1"/>
    <col min="11" max="11" width="23.28515625" style="48" customWidth="1"/>
    <col min="12" max="12" width="10.28515625" style="48" customWidth="1"/>
    <col min="13" max="13" width="19.42578125" style="48" customWidth="1"/>
    <col min="14" max="14" width="11.7109375" style="48" customWidth="1"/>
    <col min="15" max="15" width="17.85546875" style="48" customWidth="1"/>
    <col min="16" max="16" width="15.7109375" style="48" customWidth="1"/>
    <col min="17" max="18" width="9.140625" style="48"/>
    <col min="19" max="20" width="9.140625" style="48" hidden="1" customWidth="1"/>
    <col min="21" max="26" width="9.140625" style="48"/>
    <col min="27" max="27" width="9.140625" style="48" hidden="1" customWidth="1"/>
    <col min="28" max="16384" width="9.140625" style="48"/>
  </cols>
  <sheetData>
    <row r="1" spans="1:16" s="151" customFormat="1" ht="16.5">
      <c r="A1" s="1594" t="s">
        <v>0</v>
      </c>
      <c r="B1" s="1594"/>
      <c r="C1" s="1594"/>
      <c r="D1" s="1594"/>
      <c r="E1" s="1594"/>
      <c r="F1" s="1594"/>
      <c r="G1" s="1594"/>
      <c r="H1" s="1594"/>
      <c r="I1" s="1594"/>
      <c r="J1" s="1594"/>
      <c r="K1" s="1594"/>
      <c r="L1" s="153"/>
      <c r="M1" s="153"/>
      <c r="N1" s="153"/>
      <c r="O1" s="153"/>
      <c r="P1" s="153"/>
    </row>
    <row r="2" spans="1:16" s="151" customFormat="1" ht="16.5">
      <c r="A2" s="1594" t="s">
        <v>65</v>
      </c>
      <c r="B2" s="1594"/>
      <c r="C2" s="1594"/>
      <c r="D2" s="1594"/>
      <c r="E2" s="1594"/>
      <c r="F2" s="1594"/>
      <c r="G2" s="1594"/>
      <c r="H2" s="1594"/>
      <c r="I2" s="1594"/>
      <c r="J2" s="1594"/>
      <c r="K2" s="1594"/>
      <c r="L2" s="153"/>
      <c r="M2" s="153"/>
      <c r="N2" s="153"/>
      <c r="O2" s="153"/>
      <c r="P2" s="153"/>
    </row>
    <row r="3" spans="1:16" s="151" customFormat="1" ht="16.5">
      <c r="A3" s="1595" t="s">
        <v>39</v>
      </c>
      <c r="B3" s="1594"/>
      <c r="C3" s="1594"/>
      <c r="D3" s="1594"/>
      <c r="E3" s="1594"/>
      <c r="F3" s="1594"/>
      <c r="G3" s="1594"/>
      <c r="H3" s="1594"/>
      <c r="I3" s="1594"/>
      <c r="J3" s="1594"/>
      <c r="K3" s="1594"/>
      <c r="L3" s="153"/>
      <c r="M3" s="153"/>
      <c r="N3" s="153"/>
      <c r="O3" s="153"/>
      <c r="P3" s="153"/>
    </row>
    <row r="4" spans="1:16" s="4" customFormat="1" ht="15.75">
      <c r="A4" s="1596" t="s">
        <v>130</v>
      </c>
      <c r="B4" s="1596"/>
      <c r="C4" s="1596"/>
      <c r="D4" s="1596"/>
      <c r="E4" s="1596"/>
      <c r="F4" s="1596"/>
      <c r="G4" s="1596"/>
      <c r="J4" s="175"/>
      <c r="K4" s="25"/>
      <c r="L4" s="25"/>
      <c r="M4" s="29"/>
      <c r="N4" s="30"/>
      <c r="P4" s="31"/>
    </row>
    <row r="5" spans="1:16" s="4" customFormat="1" ht="15.75">
      <c r="A5" s="1597" t="s">
        <v>223</v>
      </c>
      <c r="B5" s="1597"/>
      <c r="C5" s="1597"/>
      <c r="D5" s="1597"/>
      <c r="E5" s="1597"/>
      <c r="F5" s="1597"/>
      <c r="G5" s="1597"/>
      <c r="J5" s="25"/>
      <c r="K5" s="25"/>
      <c r="L5" s="25"/>
      <c r="M5" s="29"/>
      <c r="N5" s="30"/>
      <c r="P5" s="31"/>
    </row>
    <row r="6" spans="1:16" s="46" customFormat="1" ht="11.25"/>
    <row r="7" spans="1:16" ht="18.75">
      <c r="A7" s="1389" t="s">
        <v>499</v>
      </c>
      <c r="B7" s="1389"/>
      <c r="C7" s="1389"/>
      <c r="D7" s="1389"/>
      <c r="E7" s="1389"/>
      <c r="F7" s="1389"/>
      <c r="G7" s="1389"/>
      <c r="H7" s="1389"/>
      <c r="I7" s="1389"/>
      <c r="J7" s="1389"/>
      <c r="K7" s="1389"/>
      <c r="L7" s="50"/>
    </row>
    <row r="8" spans="1:16" s="46" customFormat="1" ht="11.25">
      <c r="K8" s="56"/>
      <c r="L8" s="56"/>
      <c r="M8" s="56">
        <v>30</v>
      </c>
    </row>
    <row r="9" spans="1:16" s="88" customFormat="1" ht="15.75" customHeight="1">
      <c r="A9" s="1599" t="s">
        <v>3</v>
      </c>
      <c r="B9" s="1409" t="s">
        <v>42</v>
      </c>
      <c r="C9" s="1607" t="s">
        <v>12</v>
      </c>
      <c r="D9" s="1608"/>
      <c r="E9" s="1605" t="s">
        <v>171</v>
      </c>
      <c r="F9" s="1409" t="s">
        <v>136</v>
      </c>
      <c r="G9" s="1606" t="s">
        <v>28</v>
      </c>
      <c r="H9" s="1409" t="s">
        <v>172</v>
      </c>
      <c r="I9" s="1606" t="s">
        <v>173</v>
      </c>
      <c r="J9" s="1409" t="s">
        <v>144</v>
      </c>
      <c r="K9" s="1409" t="s">
        <v>174</v>
      </c>
      <c r="L9" s="57"/>
    </row>
    <row r="10" spans="1:16" s="88" customFormat="1" ht="51.95" customHeight="1">
      <c r="A10" s="1599"/>
      <c r="B10" s="1409"/>
      <c r="C10" s="1499"/>
      <c r="D10" s="1609"/>
      <c r="E10" s="1503"/>
      <c r="F10" s="1599"/>
      <c r="G10" s="1506"/>
      <c r="H10" s="1409"/>
      <c r="I10" s="1506"/>
      <c r="J10" s="1599"/>
      <c r="K10" s="1599"/>
      <c r="L10" s="58"/>
      <c r="M10" s="176"/>
      <c r="O10" s="59"/>
    </row>
    <row r="11" spans="1:16" s="6" customFormat="1" ht="27.95" customHeight="1">
      <c r="A11" s="81">
        <v>1</v>
      </c>
      <c r="B11" s="82"/>
      <c r="C11" s="44" t="s">
        <v>53</v>
      </c>
      <c r="D11" s="38" t="str">
        <f>+'BCC BẢO VỆ'!C12</f>
        <v>Phò Lay</v>
      </c>
      <c r="E11" s="44" t="s">
        <v>175</v>
      </c>
      <c r="F11" s="43"/>
      <c r="G11" s="83">
        <f>VLOOKUP(D11,'BCC BẢO VỆ'!$C$12:$AJ$14,34,0)</f>
        <v>31</v>
      </c>
      <c r="H11" s="42">
        <f>2000000/$M$8*G11</f>
        <v>2066666.6666666667</v>
      </c>
      <c r="I11" s="42">
        <f>600000*G11/$M$8</f>
        <v>620000</v>
      </c>
      <c r="J11" s="42">
        <f>SUM(H11:I11)</f>
        <v>2686666.666666667</v>
      </c>
      <c r="K11" s="177"/>
      <c r="L11" s="60"/>
      <c r="M11" s="61"/>
      <c r="N11" s="178"/>
      <c r="O11" s="61"/>
      <c r="P11" s="62"/>
    </row>
    <row r="12" spans="1:16" s="6" customFormat="1" ht="27.95" customHeight="1">
      <c r="A12" s="81">
        <v>2</v>
      </c>
      <c r="B12" s="82" t="s">
        <v>54</v>
      </c>
      <c r="C12" s="44"/>
      <c r="D12" s="38" t="str">
        <f>+'BCC BẢO VỆ'!C13</f>
        <v>Phò Mừng</v>
      </c>
      <c r="E12" s="44" t="s">
        <v>175</v>
      </c>
      <c r="F12" s="43"/>
      <c r="G12" s="83">
        <f>VLOOKUP(D12,'BCC BẢO VỆ'!$C$12:$AJ$14,34,0)</f>
        <v>31</v>
      </c>
      <c r="H12" s="42">
        <f t="shared" ref="H12:H13" si="0">2000000/$M$8*G12</f>
        <v>2066666.6666666667</v>
      </c>
      <c r="I12" s="42">
        <f t="shared" ref="I12:I13" si="1">600000*G12/$M$8</f>
        <v>620000</v>
      </c>
      <c r="J12" s="42">
        <f>SUM(H12:I12)</f>
        <v>2686666.666666667</v>
      </c>
      <c r="K12" s="177"/>
      <c r="L12" s="60"/>
      <c r="M12" s="61"/>
      <c r="N12" s="62"/>
      <c r="O12" s="61"/>
      <c r="P12" s="62"/>
    </row>
    <row r="13" spans="1:16" s="449" customFormat="1" ht="27.95" customHeight="1">
      <c r="A13" s="81">
        <v>3</v>
      </c>
      <c r="B13" s="82"/>
      <c r="C13" s="44"/>
      <c r="D13" s="38" t="str">
        <f>+'BCC BẢO VỆ'!C14</f>
        <v>Phò Khọi</v>
      </c>
      <c r="E13" s="44"/>
      <c r="F13" s="43"/>
      <c r="G13" s="83">
        <f>VLOOKUP(D13,'BCC BẢO VỆ'!$C$12:$AJ$14,34,0)</f>
        <v>31</v>
      </c>
      <c r="H13" s="42">
        <f t="shared" si="0"/>
        <v>2066666.6666666667</v>
      </c>
      <c r="I13" s="42">
        <f t="shared" si="1"/>
        <v>620000</v>
      </c>
      <c r="J13" s="42">
        <f>SUM(H13:I13)</f>
        <v>2686666.666666667</v>
      </c>
      <c r="K13" s="177"/>
      <c r="L13" s="60"/>
      <c r="M13" s="61"/>
      <c r="N13" s="62"/>
      <c r="O13" s="61"/>
      <c r="P13" s="62"/>
    </row>
    <row r="14" spans="1:16" s="6" customFormat="1" ht="27.95" customHeight="1">
      <c r="A14" s="1599" t="s">
        <v>11</v>
      </c>
      <c r="B14" s="1599"/>
      <c r="C14" s="1599"/>
      <c r="D14" s="1599"/>
      <c r="E14" s="45"/>
      <c r="F14" s="45"/>
      <c r="G14" s="171">
        <f>SUM(G11:G13)</f>
        <v>93</v>
      </c>
      <c r="H14" s="644">
        <f>SUM(H11:H13)</f>
        <v>6200000</v>
      </c>
      <c r="I14" s="172">
        <f t="shared" ref="I14:J14" si="2">SUM(I11:I13)</f>
        <v>1860000</v>
      </c>
      <c r="J14" s="172">
        <f t="shared" si="2"/>
        <v>8060000.0000000009</v>
      </c>
      <c r="K14" s="45"/>
      <c r="L14" s="63"/>
      <c r="M14" s="64"/>
      <c r="N14" s="62">
        <f>+J14/25000</f>
        <v>322.40000000000003</v>
      </c>
      <c r="O14" s="65"/>
      <c r="P14" s="62"/>
    </row>
    <row r="15" spans="1:16" s="47" customFormat="1" ht="27" customHeight="1">
      <c r="A15" s="1600" t="s">
        <v>376</v>
      </c>
      <c r="B15" s="1601"/>
      <c r="C15" s="1601"/>
      <c r="D15" s="1601"/>
      <c r="E15" s="1601"/>
      <c r="F15" s="1601"/>
      <c r="G15" s="1601"/>
      <c r="H15" s="1601"/>
      <c r="I15" s="1601"/>
      <c r="J15" s="1601"/>
      <c r="K15" s="1602"/>
      <c r="L15" s="66"/>
      <c r="M15" s="67">
        <f>+J14+'Phụ cấp người việt'!H14</f>
        <v>12902000</v>
      </c>
      <c r="O15" s="68"/>
    </row>
    <row r="16" spans="1:16" s="88" customFormat="1" ht="22.5" customHeight="1">
      <c r="A16" s="52"/>
      <c r="B16" s="52"/>
      <c r="C16" s="48"/>
      <c r="D16" s="53"/>
      <c r="E16" s="53"/>
      <c r="F16" s="53"/>
      <c r="G16" s="54"/>
      <c r="H16" s="48"/>
      <c r="I16" s="1603" t="s">
        <v>483</v>
      </c>
      <c r="J16" s="1603"/>
      <c r="K16" s="1603"/>
      <c r="L16" s="1474"/>
      <c r="M16" s="1474"/>
      <c r="N16" s="59"/>
    </row>
    <row r="17" spans="1:14" s="79" customFormat="1" ht="25.5" customHeight="1">
      <c r="A17" s="1427" t="s">
        <v>35</v>
      </c>
      <c r="B17" s="1427"/>
      <c r="C17" s="1427"/>
      <c r="D17" s="1427"/>
      <c r="E17" s="173" t="s">
        <v>57</v>
      </c>
      <c r="F17" s="1427" t="s">
        <v>57</v>
      </c>
      <c r="G17" s="1427"/>
      <c r="H17" s="218" t="s">
        <v>36</v>
      </c>
      <c r="I17" s="218" t="s">
        <v>145</v>
      </c>
      <c r="J17" s="1427" t="s">
        <v>176</v>
      </c>
      <c r="K17" s="1427"/>
      <c r="L17" s="80"/>
      <c r="M17" s="78"/>
    </row>
    <row r="18" spans="1:14" s="88" customFormat="1" ht="12.75">
      <c r="N18" s="88">
        <f>+J14/25000</f>
        <v>322.40000000000003</v>
      </c>
    </row>
    <row r="19" spans="1:14" s="88" customFormat="1" ht="12.75">
      <c r="M19" s="88">
        <f>9*400</f>
        <v>3600</v>
      </c>
      <c r="N19" s="88">
        <f>2000000/25000</f>
        <v>80</v>
      </c>
    </row>
    <row r="20" spans="1:14" s="88" customFormat="1" ht="41.25" customHeight="1">
      <c r="M20" s="88">
        <f>+M19+9000</f>
        <v>12600</v>
      </c>
      <c r="N20" s="88">
        <f>+N19+N18</f>
        <v>402.40000000000003</v>
      </c>
    </row>
    <row r="21" spans="1:14" s="88" customFormat="1" ht="14.25">
      <c r="A21" s="47"/>
      <c r="B21" s="47"/>
      <c r="C21" s="47"/>
      <c r="D21" s="47"/>
      <c r="E21" s="47"/>
      <c r="F21" s="47"/>
      <c r="G21" s="47"/>
    </row>
    <row r="22" spans="1:14" s="88" customFormat="1" ht="15" customHeight="1">
      <c r="A22" s="1610"/>
      <c r="B22" s="1610"/>
      <c r="C22" s="1610"/>
      <c r="D22" s="1610"/>
      <c r="E22" s="51"/>
      <c r="F22" s="174"/>
      <c r="G22" s="174"/>
      <c r="H22" s="1611"/>
      <c r="I22" s="1611"/>
      <c r="J22" s="1598"/>
      <c r="K22" s="1598"/>
    </row>
    <row r="23" spans="1:14">
      <c r="J23" s="1604"/>
      <c r="K23" s="1604"/>
      <c r="L23" s="49"/>
    </row>
  </sheetData>
  <mergeCells count="27">
    <mergeCell ref="J23:K23"/>
    <mergeCell ref="A9:A10"/>
    <mergeCell ref="B9:B10"/>
    <mergeCell ref="E9:E10"/>
    <mergeCell ref="F9:F10"/>
    <mergeCell ref="G9:G10"/>
    <mergeCell ref="H9:H10"/>
    <mergeCell ref="I9:I10"/>
    <mergeCell ref="J9:J10"/>
    <mergeCell ref="K9:K10"/>
    <mergeCell ref="C9:D10"/>
    <mergeCell ref="A17:D17"/>
    <mergeCell ref="F17:G17"/>
    <mergeCell ref="J17:K17"/>
    <mergeCell ref="A22:D22"/>
    <mergeCell ref="H22:I22"/>
    <mergeCell ref="J22:K22"/>
    <mergeCell ref="A7:K7"/>
    <mergeCell ref="A14:D14"/>
    <mergeCell ref="A15:K15"/>
    <mergeCell ref="I16:K16"/>
    <mergeCell ref="L16:M16"/>
    <mergeCell ref="A1:K1"/>
    <mergeCell ref="A2:K2"/>
    <mergeCell ref="A3:K3"/>
    <mergeCell ref="A4:G4"/>
    <mergeCell ref="A5:G5"/>
  </mergeCells>
  <printOptions horizontalCentered="1"/>
  <pageMargins left="0.19685039370078741" right="0" top="0.39370078740157483" bottom="0.39370078740157483" header="0.31496062992125984" footer="0.31496062992125984"/>
  <pageSetup paperSize="9"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E24"/>
  <sheetViews>
    <sheetView zoomScaleNormal="100" workbookViewId="0">
      <selection activeCell="G13" sqref="G13"/>
    </sheetView>
  </sheetViews>
  <sheetFormatPr defaultRowHeight="16.5"/>
  <cols>
    <col min="1" max="1" width="5.5703125" style="252" customWidth="1"/>
    <col min="2" max="2" width="23.85546875" style="252" customWidth="1"/>
    <col min="3" max="3" width="13.42578125" style="252" customWidth="1"/>
    <col min="4" max="4" width="12.85546875" style="252" customWidth="1"/>
    <col min="5" max="5" width="13.42578125" style="252" customWidth="1"/>
    <col min="6" max="6" width="19.7109375" style="252" customWidth="1"/>
    <col min="7" max="7" width="22.7109375" style="252" customWidth="1"/>
    <col min="8" max="8" width="15.42578125" style="252" customWidth="1"/>
    <col min="9" max="9" width="18.85546875" style="252" customWidth="1"/>
    <col min="10" max="10" width="22.28515625" style="252" customWidth="1"/>
    <col min="11" max="16384" width="9.140625" style="240"/>
  </cols>
  <sheetData>
    <row r="1" spans="1:10">
      <c r="A1" s="1618" t="s">
        <v>0</v>
      </c>
      <c r="B1" s="1618"/>
      <c r="C1" s="1618"/>
      <c r="D1" s="1618"/>
      <c r="E1" s="1618"/>
      <c r="F1" s="1618"/>
      <c r="G1" s="1618"/>
      <c r="H1" s="1618"/>
      <c r="I1" s="1618"/>
      <c r="J1" s="1618"/>
    </row>
    <row r="2" spans="1:10">
      <c r="A2" s="1618" t="s">
        <v>1</v>
      </c>
      <c r="B2" s="1618"/>
      <c r="C2" s="1618"/>
      <c r="D2" s="1618"/>
      <c r="E2" s="1618"/>
      <c r="F2" s="1618"/>
      <c r="G2" s="1618"/>
      <c r="H2" s="1618"/>
      <c r="I2" s="1618"/>
      <c r="J2" s="1618"/>
    </row>
    <row r="3" spans="1:10">
      <c r="A3" s="1619" t="s">
        <v>318</v>
      </c>
      <c r="B3" s="1618"/>
      <c r="C3" s="1618"/>
      <c r="D3" s="1618"/>
      <c r="E3" s="1618"/>
      <c r="F3" s="1618"/>
      <c r="G3" s="1618"/>
      <c r="H3" s="1618"/>
      <c r="I3" s="1618"/>
      <c r="J3" s="1618"/>
    </row>
    <row r="4" spans="1:10">
      <c r="A4" s="241"/>
      <c r="B4" s="241"/>
      <c r="C4" s="241"/>
      <c r="D4" s="241"/>
      <c r="E4" s="241"/>
      <c r="F4" s="241"/>
      <c r="G4" s="241"/>
      <c r="H4" s="241"/>
      <c r="I4" s="242"/>
      <c r="J4" s="242"/>
    </row>
    <row r="5" spans="1:10">
      <c r="A5" s="1620" t="s">
        <v>130</v>
      </c>
      <c r="B5" s="1620"/>
      <c r="C5" s="1620"/>
      <c r="D5" s="1620"/>
      <c r="E5" s="1620"/>
      <c r="F5" s="243"/>
      <c r="G5" s="243"/>
      <c r="H5" s="243"/>
      <c r="I5" s="242"/>
      <c r="J5" s="242"/>
    </row>
    <row r="6" spans="1:10">
      <c r="A6" s="1621" t="s">
        <v>292</v>
      </c>
      <c r="B6" s="1621"/>
      <c r="C6" s="1621"/>
      <c r="D6" s="1621"/>
      <c r="E6" s="1621"/>
      <c r="F6" s="244"/>
      <c r="G6" s="244"/>
      <c r="H6" s="242"/>
      <c r="I6" s="242"/>
      <c r="J6" s="242"/>
    </row>
    <row r="7" spans="1:10">
      <c r="A7" s="245"/>
      <c r="B7" s="245"/>
      <c r="C7" s="245"/>
      <c r="D7" s="245"/>
      <c r="E7" s="245"/>
      <c r="F7" s="244"/>
      <c r="G7" s="244"/>
      <c r="H7" s="242"/>
      <c r="I7" s="242"/>
      <c r="J7" s="242"/>
    </row>
    <row r="8" spans="1:10" ht="18.75">
      <c r="A8" s="1616" t="s">
        <v>492</v>
      </c>
      <c r="B8" s="1617"/>
      <c r="C8" s="1617"/>
      <c r="D8" s="1617"/>
      <c r="E8" s="1617"/>
      <c r="F8" s="1617"/>
      <c r="G8" s="1617"/>
      <c r="H8" s="1617"/>
      <c r="I8" s="1617"/>
      <c r="J8" s="1617"/>
    </row>
    <row r="9" spans="1:10">
      <c r="A9" s="246"/>
      <c r="B9" s="247"/>
      <c r="C9" s="247"/>
      <c r="D9" s="246"/>
      <c r="E9" s="246"/>
      <c r="F9" s="246"/>
      <c r="G9" s="246"/>
      <c r="H9" s="246"/>
      <c r="I9" s="1624" t="s">
        <v>319</v>
      </c>
      <c r="J9" s="1624"/>
    </row>
    <row r="10" spans="1:10" ht="15">
      <c r="A10" s="1612" t="s">
        <v>3</v>
      </c>
      <c r="B10" s="1612" t="s">
        <v>320</v>
      </c>
      <c r="C10" s="1612" t="s">
        <v>321</v>
      </c>
      <c r="D10" s="1625" t="s">
        <v>27</v>
      </c>
      <c r="E10" s="1627" t="s">
        <v>212</v>
      </c>
      <c r="F10" s="1627" t="s">
        <v>144</v>
      </c>
      <c r="G10" s="1625" t="s">
        <v>148</v>
      </c>
      <c r="H10" s="1628" t="s">
        <v>322</v>
      </c>
      <c r="I10" s="1612" t="s">
        <v>136</v>
      </c>
      <c r="J10" s="1612" t="s">
        <v>5</v>
      </c>
    </row>
    <row r="11" spans="1:10" ht="20.25" customHeight="1">
      <c r="A11" s="1612"/>
      <c r="B11" s="1612"/>
      <c r="C11" s="1612"/>
      <c r="D11" s="1626"/>
      <c r="E11" s="1627"/>
      <c r="F11" s="1627"/>
      <c r="G11" s="1626"/>
      <c r="H11" s="1628"/>
      <c r="I11" s="1612"/>
      <c r="J11" s="1612"/>
    </row>
    <row r="12" spans="1:10" ht="34.5" customHeight="1">
      <c r="A12" s="251">
        <v>1</v>
      </c>
      <c r="B12" s="351" t="str">
        <f>+'Biểu 1 TH CÔNG'!C21</f>
        <v>Nguyễn Thị Thanh Trà</v>
      </c>
      <c r="C12" s="251" t="s">
        <v>6</v>
      </c>
      <c r="D12" s="352">
        <v>31</v>
      </c>
      <c r="E12" s="353">
        <v>80000</v>
      </c>
      <c r="F12" s="353">
        <f>D12*E12</f>
        <v>2480000</v>
      </c>
      <c r="G12" s="353">
        <f>IF(F12&gt;65000000,((F12-65000000)*25%+10685000),IF(F12&gt;25000000,((F12-25000000)*20%+2685000),IF(F12&gt;15000000,((F12-15000000)*15%+1185000),IF(F12&gt;5000000,(F12-5000000)*10%+185000,IF(F12&gt;1300000,(F12-1300000)*5%,0)))))</f>
        <v>59000</v>
      </c>
      <c r="H12" s="353">
        <f>+F12-G12</f>
        <v>2421000</v>
      </c>
      <c r="I12" s="347"/>
      <c r="J12" s="347"/>
    </row>
    <row r="13" spans="1:10" ht="34.5" customHeight="1">
      <c r="A13" s="251">
        <v>2</v>
      </c>
      <c r="B13" s="351" t="str">
        <f>+'Biểu 1 TH CÔNG'!C25</f>
        <v>Võ Thị Nguyên</v>
      </c>
      <c r="C13" s="251" t="s">
        <v>6</v>
      </c>
      <c r="D13" s="352">
        <v>31</v>
      </c>
      <c r="E13" s="353">
        <v>80000</v>
      </c>
      <c r="F13" s="353">
        <f t="shared" ref="F13" si="0">D13*E13</f>
        <v>2480000</v>
      </c>
      <c r="G13" s="353">
        <f>IF(F13&gt;65000000,((F13-65000000)*25%+10685000),IF(F13&gt;25000000,((F13-25000000)*20%+2685000),IF(F13&gt;15000000,((F13-15000000)*15%+1185000),IF(F13&gt;5000000,(F13-5000000)*10%+185000,IF(F13&gt;1300000,(F13-1300000)*5%,0)))))</f>
        <v>59000</v>
      </c>
      <c r="H13" s="353">
        <f t="shared" ref="H13" si="1">+F13-G13</f>
        <v>2421000</v>
      </c>
      <c r="I13" s="347"/>
      <c r="J13" s="347"/>
    </row>
    <row r="14" spans="1:10" ht="34.5" customHeight="1">
      <c r="A14" s="1612" t="s">
        <v>11</v>
      </c>
      <c r="B14" s="1612"/>
      <c r="C14" s="248"/>
      <c r="D14" s="249">
        <f>SUM(D12:D13)</f>
        <v>62</v>
      </c>
      <c r="E14" s="250"/>
      <c r="F14" s="249">
        <f>SUM(F12:F13)</f>
        <v>4960000</v>
      </c>
      <c r="G14" s="249">
        <f>SUM(G12:G13)</f>
        <v>118000</v>
      </c>
      <c r="H14" s="249">
        <f>SUM(H12:H13)</f>
        <v>4842000</v>
      </c>
      <c r="I14" s="249"/>
      <c r="J14" s="251"/>
    </row>
    <row r="15" spans="1:10" ht="27.75" customHeight="1">
      <c r="A15" s="1613"/>
      <c r="B15" s="1614"/>
      <c r="C15" s="1614"/>
      <c r="D15" s="1614"/>
      <c r="E15" s="1614"/>
      <c r="F15" s="1614"/>
      <c r="G15" s="1614"/>
      <c r="H15" s="1614"/>
      <c r="I15" s="1614"/>
      <c r="J15" s="1615"/>
    </row>
    <row r="16" spans="1:10" ht="23.25" customHeight="1">
      <c r="H16" s="1622" t="s">
        <v>439</v>
      </c>
      <c r="I16" s="1622"/>
      <c r="J16" s="1622"/>
    </row>
    <row r="17" spans="1:31" ht="21" customHeight="1">
      <c r="A17" s="1427" t="s">
        <v>35</v>
      </c>
      <c r="B17" s="1427"/>
      <c r="C17" s="1427" t="s">
        <v>57</v>
      </c>
      <c r="D17" s="1427"/>
      <c r="E17" s="1427" t="s">
        <v>36</v>
      </c>
      <c r="F17" s="1427"/>
      <c r="G17" s="218" t="s">
        <v>145</v>
      </c>
      <c r="H17" s="218"/>
      <c r="I17" s="78" t="s">
        <v>291</v>
      </c>
      <c r="J17" s="218"/>
      <c r="K17" s="218"/>
      <c r="L17" s="218"/>
      <c r="M17" s="218"/>
      <c r="N17" s="218"/>
      <c r="O17" s="218"/>
      <c r="P17" s="78"/>
      <c r="Q17" s="78"/>
      <c r="R17" s="78"/>
      <c r="S17" s="218"/>
      <c r="T17" s="253"/>
      <c r="U17" s="253"/>
      <c r="V17" s="253"/>
      <c r="W17" s="253"/>
      <c r="X17" s="253"/>
      <c r="Z17" s="253"/>
      <c r="AA17" s="253"/>
      <c r="AB17" s="253"/>
      <c r="AC17" s="253"/>
      <c r="AE17" s="253"/>
    </row>
    <row r="23" spans="1:31">
      <c r="H23" s="1623"/>
      <c r="I23" s="1623"/>
      <c r="J23" s="1623"/>
    </row>
    <row r="24" spans="1:31">
      <c r="D24" s="252" t="s">
        <v>56</v>
      </c>
    </row>
  </sheetData>
  <mergeCells count="24">
    <mergeCell ref="H16:J16"/>
    <mergeCell ref="H23:J23"/>
    <mergeCell ref="I9:J9"/>
    <mergeCell ref="A10:A11"/>
    <mergeCell ref="B10:B11"/>
    <mergeCell ref="C10:C11"/>
    <mergeCell ref="D10:D11"/>
    <mergeCell ref="E10:E11"/>
    <mergeCell ref="F10:F11"/>
    <mergeCell ref="G10:G11"/>
    <mergeCell ref="H10:H11"/>
    <mergeCell ref="I10:I11"/>
    <mergeCell ref="J10:J11"/>
    <mergeCell ref="A17:B17"/>
    <mergeCell ref="C17:D17"/>
    <mergeCell ref="E17:F17"/>
    <mergeCell ref="A14:B14"/>
    <mergeCell ref="A15:J15"/>
    <mergeCell ref="A8:J8"/>
    <mergeCell ref="A1:J1"/>
    <mergeCell ref="A2:J2"/>
    <mergeCell ref="A3:J3"/>
    <mergeCell ref="A5:E5"/>
    <mergeCell ref="A6:E6"/>
  </mergeCells>
  <pageMargins left="0.2" right="0.21" top="0.55000000000000004" bottom="0.75" header="0.3" footer="0.3"/>
  <pageSetup paperSize="9" scale="85"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Q53"/>
  <sheetViews>
    <sheetView topLeftCell="A9" zoomScaleNormal="100" workbookViewId="0">
      <selection activeCell="D15" sqref="D15"/>
    </sheetView>
  </sheetViews>
  <sheetFormatPr defaultColWidth="9" defaultRowHeight="15.75"/>
  <cols>
    <col min="1" max="1" width="22.7109375" style="9" customWidth="1"/>
    <col min="2" max="2" width="1.5703125" style="9" hidden="1" customWidth="1"/>
    <col min="3" max="3" width="24.5703125" style="10" customWidth="1"/>
    <col min="4" max="4" width="22.5703125" style="11" customWidth="1"/>
    <col min="5" max="5" width="25.28515625" style="11" customWidth="1"/>
    <col min="6" max="6" width="21.28515625" style="11" customWidth="1"/>
    <col min="7" max="7" width="17.5703125" style="12" customWidth="1"/>
    <col min="8" max="9" width="9" style="10"/>
    <col min="10" max="10" width="10.140625" style="10" bestFit="1" customWidth="1"/>
    <col min="11" max="17" width="9" style="10"/>
    <col min="18" max="18" width="12.85546875" style="10" customWidth="1"/>
    <col min="19" max="16384" width="9" style="10"/>
  </cols>
  <sheetData>
    <row r="1" spans="1:21" s="1" customFormat="1">
      <c r="A1" s="1629" t="s">
        <v>0</v>
      </c>
      <c r="B1" s="1629"/>
      <c r="C1" s="1629"/>
      <c r="D1" s="1629"/>
      <c r="E1" s="1629"/>
      <c r="F1" s="1629"/>
      <c r="G1" s="1629"/>
      <c r="H1" s="2"/>
      <c r="I1" s="2"/>
      <c r="J1" s="2"/>
      <c r="K1" s="2"/>
      <c r="L1" s="2"/>
      <c r="M1" s="2"/>
      <c r="N1" s="2"/>
      <c r="O1" s="2"/>
      <c r="P1" s="2"/>
      <c r="Q1" s="2"/>
      <c r="R1" s="2"/>
      <c r="S1" s="2"/>
      <c r="T1" s="2"/>
      <c r="U1" s="2"/>
    </row>
    <row r="2" spans="1:21" s="1" customFormat="1">
      <c r="A2" s="1629" t="s">
        <v>65</v>
      </c>
      <c r="B2" s="1629"/>
      <c r="C2" s="1629"/>
      <c r="D2" s="1629"/>
      <c r="E2" s="1629"/>
      <c r="F2" s="1629"/>
      <c r="G2" s="1629"/>
      <c r="H2" s="2"/>
      <c r="I2" s="2"/>
      <c r="J2" s="2"/>
      <c r="K2" s="2"/>
      <c r="L2" s="2"/>
      <c r="M2" s="2"/>
      <c r="N2" s="2"/>
      <c r="O2" s="2"/>
      <c r="P2" s="2"/>
      <c r="Q2" s="2"/>
      <c r="R2" s="2"/>
      <c r="S2" s="2"/>
      <c r="T2" s="2"/>
      <c r="U2" s="2"/>
    </row>
    <row r="3" spans="1:21" s="1" customFormat="1">
      <c r="A3" s="1630" t="s">
        <v>39</v>
      </c>
      <c r="B3" s="1629"/>
      <c r="C3" s="1629"/>
      <c r="D3" s="1629"/>
      <c r="E3" s="1629"/>
      <c r="F3" s="1629"/>
      <c r="G3" s="1629"/>
      <c r="H3" s="2"/>
      <c r="I3" s="2"/>
      <c r="J3" s="2"/>
      <c r="K3" s="2"/>
      <c r="L3" s="2"/>
      <c r="M3" s="2"/>
      <c r="N3" s="2"/>
      <c r="O3" s="2"/>
      <c r="P3" s="2"/>
      <c r="Q3" s="2"/>
      <c r="R3" s="2"/>
      <c r="S3" s="2"/>
      <c r="T3" s="2"/>
      <c r="U3" s="2"/>
    </row>
    <row r="4" spans="1:21" s="4" customFormat="1" ht="24" customHeight="1">
      <c r="A4" s="1631" t="s">
        <v>130</v>
      </c>
      <c r="B4" s="1632"/>
      <c r="C4" s="1632"/>
      <c r="D4" s="1632"/>
      <c r="E4" s="3"/>
      <c r="F4" s="3"/>
      <c r="G4" s="3"/>
      <c r="H4" s="3"/>
      <c r="I4" s="3"/>
      <c r="J4" s="3"/>
      <c r="K4" s="3"/>
      <c r="L4" s="3"/>
      <c r="M4" s="25"/>
      <c r="N4" s="26"/>
      <c r="O4" s="27"/>
      <c r="P4" s="25"/>
      <c r="Q4" s="25"/>
      <c r="R4" s="29"/>
      <c r="S4" s="30"/>
      <c r="U4" s="31"/>
    </row>
    <row r="5" spans="1:21" s="4" customFormat="1" ht="15.75" customHeight="1">
      <c r="A5" s="1633" t="s">
        <v>292</v>
      </c>
      <c r="B5" s="1481"/>
      <c r="C5" s="1481"/>
      <c r="D5" s="1481"/>
      <c r="F5" s="6"/>
      <c r="J5" s="6"/>
      <c r="K5" s="28"/>
      <c r="M5" s="25"/>
      <c r="N5" s="25"/>
      <c r="P5" s="25"/>
      <c r="Q5" s="25"/>
      <c r="R5" s="29"/>
      <c r="S5" s="30"/>
      <c r="U5" s="31"/>
    </row>
    <row r="7" spans="1:21" ht="21" customHeight="1">
      <c r="A7" s="1634" t="s">
        <v>377</v>
      </c>
      <c r="B7" s="1634"/>
      <c r="C7" s="1634"/>
      <c r="D7" s="1634"/>
      <c r="E7" s="1634"/>
      <c r="F7" s="1634"/>
      <c r="G7" s="1634"/>
    </row>
    <row r="8" spans="1:21">
      <c r="A8" s="13"/>
      <c r="B8" s="13"/>
      <c r="C8" s="13"/>
      <c r="D8" s="13"/>
      <c r="E8" s="13"/>
      <c r="F8" s="13"/>
      <c r="G8" s="13"/>
    </row>
    <row r="9" spans="1:21" ht="15" customHeight="1">
      <c r="A9" s="1635" t="s">
        <v>3</v>
      </c>
      <c r="B9" s="1635" t="s">
        <v>43</v>
      </c>
      <c r="C9" s="1642" t="s">
        <v>218</v>
      </c>
      <c r="D9" s="1639" t="s">
        <v>219</v>
      </c>
      <c r="E9" s="1639" t="s">
        <v>220</v>
      </c>
      <c r="F9" s="1640" t="s">
        <v>221</v>
      </c>
      <c r="G9" s="1639" t="s">
        <v>222</v>
      </c>
    </row>
    <row r="10" spans="1:21" ht="21" customHeight="1">
      <c r="A10" s="1635"/>
      <c r="B10" s="1635"/>
      <c r="C10" s="1642"/>
      <c r="D10" s="1639"/>
      <c r="E10" s="1639"/>
      <c r="F10" s="1639"/>
      <c r="G10" s="1639"/>
      <c r="R10" s="10">
        <f>12345679*36</f>
        <v>444444444</v>
      </c>
    </row>
    <row r="11" spans="1:21" ht="10.5" customHeight="1">
      <c r="A11" s="1635"/>
      <c r="B11" s="1635"/>
      <c r="C11" s="1642"/>
      <c r="D11" s="1639"/>
      <c r="E11" s="1639"/>
      <c r="F11" s="1639"/>
      <c r="G11" s="1639"/>
    </row>
    <row r="12" spans="1:21" ht="31.5" customHeight="1">
      <c r="A12" s="340">
        <v>1</v>
      </c>
      <c r="B12" s="335"/>
      <c r="C12" s="478" t="s">
        <v>7</v>
      </c>
      <c r="D12" s="425"/>
      <c r="E12" s="341">
        <v>25000</v>
      </c>
      <c r="F12" s="341">
        <f>D12*E12</f>
        <v>0</v>
      </c>
      <c r="G12" s="336"/>
    </row>
    <row r="13" spans="1:21" ht="31.5" customHeight="1">
      <c r="A13" s="340">
        <v>2</v>
      </c>
      <c r="B13" s="451"/>
      <c r="C13" s="479" t="s">
        <v>378</v>
      </c>
      <c r="D13" s="425"/>
      <c r="E13" s="341">
        <v>25000</v>
      </c>
      <c r="F13" s="341">
        <f t="shared" ref="F13:F17" si="0">D13*E13</f>
        <v>0</v>
      </c>
      <c r="G13" s="452"/>
    </row>
    <row r="14" spans="1:21" ht="31.5" customHeight="1">
      <c r="A14" s="340">
        <v>3</v>
      </c>
      <c r="B14" s="451"/>
      <c r="C14" s="479" t="s">
        <v>379</v>
      </c>
      <c r="D14" s="425"/>
      <c r="E14" s="341">
        <v>25000</v>
      </c>
      <c r="F14" s="341">
        <f t="shared" si="0"/>
        <v>0</v>
      </c>
      <c r="G14" s="452"/>
    </row>
    <row r="15" spans="1:21" ht="31.5" customHeight="1">
      <c r="A15" s="340">
        <v>4</v>
      </c>
      <c r="B15" s="451"/>
      <c r="C15" s="479" t="s">
        <v>48</v>
      </c>
      <c r="D15" s="425"/>
      <c r="E15" s="341">
        <v>25000</v>
      </c>
      <c r="F15" s="341">
        <f t="shared" si="0"/>
        <v>0</v>
      </c>
      <c r="G15" s="452"/>
    </row>
    <row r="16" spans="1:21" ht="31.5" customHeight="1">
      <c r="A16" s="340">
        <v>5</v>
      </c>
      <c r="B16" s="451"/>
      <c r="C16" s="479" t="s">
        <v>380</v>
      </c>
      <c r="D16" s="425"/>
      <c r="E16" s="341">
        <v>25000</v>
      </c>
      <c r="F16" s="341">
        <f t="shared" si="0"/>
        <v>0</v>
      </c>
      <c r="G16" s="452"/>
    </row>
    <row r="17" spans="1:95" ht="31.5" customHeight="1">
      <c r="A17" s="340">
        <v>6</v>
      </c>
      <c r="B17" s="451"/>
      <c r="C17" s="479" t="s">
        <v>381</v>
      </c>
      <c r="D17" s="425"/>
      <c r="E17" s="341">
        <v>25000</v>
      </c>
      <c r="F17" s="341">
        <f t="shared" si="0"/>
        <v>0</v>
      </c>
      <c r="G17" s="452"/>
    </row>
    <row r="18" spans="1:95" s="7" customFormat="1" ht="31.5" customHeight="1">
      <c r="A18" s="1635" t="s">
        <v>11</v>
      </c>
      <c r="B18" s="1635"/>
      <c r="C18" s="1635"/>
      <c r="D18" s="480">
        <f>SUM(D12:D17)</f>
        <v>0</v>
      </c>
      <c r="E18" s="14"/>
      <c r="F18" s="342">
        <f>SUM(F12:F17)</f>
        <v>0</v>
      </c>
      <c r="G18" s="15"/>
      <c r="H18" s="10" t="e">
        <f>+#REF!</f>
        <v>#REF!</v>
      </c>
      <c r="I18" s="481" t="e">
        <f>+H18-D18</f>
        <v>#REF!</v>
      </c>
      <c r="J18" s="204" t="e">
        <f>+H18*25000</f>
        <v>#REF!</v>
      </c>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10"/>
      <c r="BK18" s="10"/>
      <c r="BL18" s="10"/>
      <c r="BM18" s="10"/>
      <c r="BN18" s="10"/>
      <c r="BO18" s="10"/>
      <c r="BP18" s="10"/>
      <c r="BQ18" s="10"/>
      <c r="BR18" s="10"/>
      <c r="BS18" s="10"/>
      <c r="BT18" s="10"/>
      <c r="BU18" s="10"/>
      <c r="BV18" s="10"/>
      <c r="BW18" s="10"/>
      <c r="BX18" s="10"/>
      <c r="BY18" s="10"/>
      <c r="BZ18" s="10"/>
      <c r="CA18" s="10"/>
      <c r="CB18" s="10"/>
      <c r="CC18" s="10"/>
      <c r="CD18" s="10"/>
      <c r="CE18" s="10"/>
      <c r="CF18" s="10"/>
      <c r="CG18" s="10"/>
      <c r="CH18" s="10"/>
      <c r="CI18" s="10"/>
      <c r="CJ18" s="10"/>
      <c r="CK18" s="10"/>
      <c r="CL18" s="10"/>
      <c r="CM18" s="10"/>
      <c r="CN18" s="10"/>
      <c r="CO18" s="10"/>
      <c r="CP18" s="10"/>
      <c r="CQ18" s="10"/>
    </row>
    <row r="19" spans="1:95" s="7" customFormat="1" ht="23.25" customHeight="1">
      <c r="A19" s="1636" t="s">
        <v>382</v>
      </c>
      <c r="B19" s="1636"/>
      <c r="C19" s="1636"/>
      <c r="D19" s="1636"/>
      <c r="E19" s="1636"/>
      <c r="F19" s="1636"/>
      <c r="G19" s="1636"/>
      <c r="H19" s="10"/>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10"/>
      <c r="BK19" s="10"/>
      <c r="BL19" s="10"/>
      <c r="BM19" s="10"/>
      <c r="BN19" s="10"/>
      <c r="BO19" s="10"/>
      <c r="BP19" s="10"/>
      <c r="BQ19" s="10"/>
      <c r="BR19" s="10"/>
      <c r="BS19" s="10"/>
      <c r="BT19" s="10"/>
      <c r="BU19" s="10"/>
      <c r="BV19" s="10"/>
      <c r="BW19" s="10"/>
      <c r="BX19" s="10"/>
      <c r="BY19" s="10"/>
      <c r="BZ19" s="10"/>
      <c r="CA19" s="10"/>
      <c r="CB19" s="10"/>
      <c r="CC19" s="10"/>
      <c r="CD19" s="10"/>
      <c r="CE19" s="10"/>
      <c r="CF19" s="10"/>
      <c r="CG19" s="10"/>
      <c r="CH19" s="10"/>
      <c r="CI19" s="10"/>
      <c r="CJ19" s="10"/>
      <c r="CK19" s="10"/>
      <c r="CL19" s="10"/>
      <c r="CM19" s="10"/>
      <c r="CN19" s="10"/>
      <c r="CO19" s="10"/>
      <c r="CP19" s="10"/>
      <c r="CQ19" s="10"/>
    </row>
    <row r="20" spans="1:95" s="7" customFormat="1">
      <c r="E20" s="1641" t="s">
        <v>397</v>
      </c>
      <c r="F20" s="1641"/>
      <c r="G20" s="1641"/>
    </row>
    <row r="21" spans="1:95" ht="18.75" customHeight="1">
      <c r="A21" s="1637" t="s">
        <v>35</v>
      </c>
      <c r="B21" s="1638"/>
      <c r="C21" s="498" t="s">
        <v>344</v>
      </c>
      <c r="D21" s="343" t="s">
        <v>36</v>
      </c>
      <c r="E21" s="344" t="s">
        <v>145</v>
      </c>
      <c r="F21" s="343" t="s">
        <v>108</v>
      </c>
      <c r="G21" s="343" t="s">
        <v>33</v>
      </c>
    </row>
    <row r="22" spans="1:95" ht="21" customHeight="1">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c r="BO22" s="8"/>
      <c r="BP22" s="8"/>
      <c r="BQ22" s="8"/>
      <c r="BR22" s="8"/>
      <c r="BS22" s="8"/>
      <c r="BT22" s="8"/>
      <c r="BU22" s="8"/>
      <c r="BV22" s="8"/>
      <c r="BW22" s="8"/>
      <c r="BX22" s="8"/>
      <c r="BY22" s="8"/>
      <c r="BZ22" s="8"/>
      <c r="CA22" s="8"/>
      <c r="CB22" s="8"/>
      <c r="CC22" s="8"/>
      <c r="CD22" s="8"/>
      <c r="CE22" s="8"/>
      <c r="CF22" s="8"/>
      <c r="CG22" s="8"/>
      <c r="CH22" s="8"/>
      <c r="CI22" s="8"/>
      <c r="CJ22" s="8"/>
      <c r="CK22" s="8"/>
      <c r="CL22" s="8"/>
      <c r="CM22" s="8"/>
      <c r="CN22" s="8"/>
      <c r="CO22" s="8"/>
      <c r="CP22" s="8"/>
      <c r="CQ22" s="8"/>
    </row>
    <row r="23" spans="1:95" s="8" customFormat="1" ht="15.75" customHeight="1">
      <c r="A23" s="16"/>
      <c r="B23" s="16"/>
      <c r="C23" s="16"/>
      <c r="D23" s="104"/>
    </row>
    <row r="24" spans="1:95" s="8" customFormat="1" ht="54.75" customHeight="1">
      <c r="A24" s="16"/>
      <c r="B24" s="16"/>
      <c r="C24" s="16"/>
      <c r="D24" s="16"/>
      <c r="E24" s="16"/>
    </row>
    <row r="25" spans="1:95" s="8" customFormat="1" ht="15">
      <c r="A25" s="17"/>
      <c r="B25" s="17"/>
      <c r="D25" s="18"/>
      <c r="E25" s="18"/>
    </row>
    <row r="26" spans="1:95" s="8" customFormat="1" ht="15">
      <c r="A26" s="19"/>
      <c r="B26" s="19"/>
      <c r="C26" s="1558"/>
      <c r="D26" s="1558"/>
      <c r="E26" s="18"/>
      <c r="G26" s="19"/>
    </row>
    <row r="27" spans="1:95" s="8" customFormat="1" ht="15">
      <c r="A27" s="17"/>
      <c r="B27" s="17"/>
      <c r="D27" s="20"/>
      <c r="E27" s="20"/>
    </row>
    <row r="28" spans="1:95" s="8" customFormat="1" ht="15">
      <c r="A28" s="21"/>
      <c r="B28" s="21"/>
      <c r="D28" s="22"/>
      <c r="E28" s="22"/>
    </row>
    <row r="29" spans="1:95" s="8" customFormat="1" ht="15">
      <c r="C29" s="23"/>
      <c r="E29" s="21"/>
    </row>
    <row r="30" spans="1:95">
      <c r="A30" s="7"/>
      <c r="B30" s="7"/>
      <c r="C30" s="7"/>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row>
    <row r="31" spans="1:95" s="7" customFormat="1">
      <c r="A31" s="24"/>
      <c r="B31" s="24"/>
      <c r="C31" s="24"/>
      <c r="D31" s="24"/>
      <c r="E31" s="24"/>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row>
    <row r="32" spans="1:95">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row>
    <row r="33" spans="8:95">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row>
    <row r="34" spans="8:95">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row>
    <row r="35" spans="8:95">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row>
    <row r="36" spans="8:95">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8"/>
      <c r="BK36" s="8"/>
      <c r="BL36" s="8"/>
      <c r="BM36" s="8"/>
      <c r="BN36" s="8"/>
      <c r="BO36" s="8"/>
      <c r="BP36" s="8"/>
      <c r="BQ36" s="8"/>
      <c r="BR36" s="8"/>
      <c r="BS36" s="8"/>
      <c r="BT36" s="8"/>
      <c r="BU36" s="8"/>
      <c r="BV36" s="8"/>
      <c r="BW36" s="8"/>
      <c r="BX36" s="8"/>
      <c r="BY36" s="8"/>
      <c r="BZ36" s="8"/>
      <c r="CA36" s="8"/>
      <c r="CB36" s="8"/>
      <c r="CC36" s="8"/>
      <c r="CD36" s="8"/>
      <c r="CE36" s="8"/>
      <c r="CF36" s="8"/>
      <c r="CG36" s="8"/>
      <c r="CH36" s="8"/>
      <c r="CI36" s="8"/>
      <c r="CJ36" s="8"/>
      <c r="CK36" s="8"/>
      <c r="CL36" s="8"/>
      <c r="CM36" s="8"/>
      <c r="CN36" s="8"/>
      <c r="CO36" s="8"/>
      <c r="CP36" s="8"/>
      <c r="CQ36" s="8"/>
    </row>
    <row r="37" spans="8:95">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row>
    <row r="38" spans="8:95">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row>
    <row r="39" spans="8:95">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row>
    <row r="40" spans="8:95">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row>
    <row r="41" spans="8:95">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row>
    <row r="42" spans="8:95">
      <c r="H42" s="8"/>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row>
    <row r="43" spans="8:95">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row>
    <row r="44" spans="8:95">
      <c r="H44" s="8"/>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row>
    <row r="45" spans="8:95">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row>
    <row r="46" spans="8:95">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row>
    <row r="47" spans="8:95">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row>
    <row r="48" spans="8:95">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row>
    <row r="49" spans="8:95">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row>
    <row r="50" spans="8:95">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row>
    <row r="51" spans="8:95">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row>
    <row r="52" spans="8:95">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row>
    <row r="53" spans="8:95">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row>
  </sheetData>
  <mergeCells count="18">
    <mergeCell ref="C26:D26"/>
    <mergeCell ref="A9:A11"/>
    <mergeCell ref="B9:B11"/>
    <mergeCell ref="C9:C11"/>
    <mergeCell ref="D9:D11"/>
    <mergeCell ref="A7:G7"/>
    <mergeCell ref="A18:C18"/>
    <mergeCell ref="A19:G19"/>
    <mergeCell ref="A21:B21"/>
    <mergeCell ref="E9:E11"/>
    <mergeCell ref="F9:F11"/>
    <mergeCell ref="G9:G11"/>
    <mergeCell ref="E20:G20"/>
    <mergeCell ref="A1:G1"/>
    <mergeCell ref="A2:G2"/>
    <mergeCell ref="A3:G3"/>
    <mergeCell ref="A4:D4"/>
    <mergeCell ref="A5:D5"/>
  </mergeCells>
  <pageMargins left="0.2" right="0.2" top="0.28999999999999998" bottom="0.2" header="0.2" footer="0.2"/>
  <pageSetup fitToHeight="0" orientation="landscape" r:id="rId1"/>
  <headerFooter alignWithMargins="0"/>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pageSetUpPr fitToPage="1"/>
  </sheetPr>
  <dimension ref="A1:CQ63"/>
  <sheetViews>
    <sheetView topLeftCell="A9" zoomScaleNormal="100" workbookViewId="0">
      <selection activeCell="C27" sqref="C27"/>
    </sheetView>
  </sheetViews>
  <sheetFormatPr defaultColWidth="9" defaultRowHeight="15.75"/>
  <cols>
    <col min="1" max="1" width="25.140625" style="473" customWidth="1"/>
    <col min="2" max="2" width="14" style="473" hidden="1" customWidth="1"/>
    <col min="3" max="3" width="28.28515625" style="10" customWidth="1"/>
    <col min="4" max="4" width="26" style="11" customWidth="1"/>
    <col min="5" max="5" width="27.85546875" style="11" customWidth="1"/>
    <col min="6" max="6" width="27.42578125" style="11" customWidth="1"/>
    <col min="7" max="7" width="27.7109375" style="12" customWidth="1"/>
    <col min="8" max="8" width="9.140625" style="10" bestFit="1" customWidth="1"/>
    <col min="9" max="9" width="10.85546875" style="10" bestFit="1" customWidth="1"/>
    <col min="10" max="10" width="11.28515625" style="10" bestFit="1" customWidth="1"/>
    <col min="11" max="17" width="9" style="10"/>
    <col min="18" max="18" width="12.85546875" style="10" customWidth="1"/>
    <col min="19" max="16384" width="9" style="10"/>
  </cols>
  <sheetData>
    <row r="1" spans="1:21" s="1" customFormat="1">
      <c r="A1" s="1629" t="s">
        <v>0</v>
      </c>
      <c r="B1" s="1629"/>
      <c r="C1" s="1629"/>
      <c r="D1" s="1629"/>
      <c r="E1" s="1629"/>
      <c r="F1" s="1629"/>
      <c r="G1" s="1629"/>
      <c r="H1" s="2"/>
      <c r="I1" s="2"/>
      <c r="J1" s="2"/>
      <c r="K1" s="2"/>
      <c r="L1" s="2"/>
      <c r="M1" s="2"/>
      <c r="N1" s="2"/>
      <c r="O1" s="2"/>
      <c r="P1" s="2"/>
      <c r="Q1" s="2"/>
      <c r="R1" s="2"/>
      <c r="S1" s="2"/>
      <c r="T1" s="2"/>
      <c r="U1" s="2"/>
    </row>
    <row r="2" spans="1:21" s="1" customFormat="1">
      <c r="A2" s="1629" t="s">
        <v>65</v>
      </c>
      <c r="B2" s="1629"/>
      <c r="C2" s="1629"/>
      <c r="D2" s="1629"/>
      <c r="E2" s="1629"/>
      <c r="F2" s="1629"/>
      <c r="G2" s="1629"/>
      <c r="H2" s="2"/>
      <c r="I2" s="2"/>
      <c r="J2" s="2"/>
      <c r="K2" s="2"/>
      <c r="L2" s="2"/>
      <c r="M2" s="2"/>
      <c r="N2" s="2"/>
      <c r="O2" s="2"/>
      <c r="P2" s="2"/>
      <c r="Q2" s="2"/>
      <c r="R2" s="2"/>
      <c r="S2" s="2"/>
      <c r="T2" s="2"/>
      <c r="U2" s="2"/>
    </row>
    <row r="3" spans="1:21" s="1" customFormat="1" ht="14.25" customHeight="1">
      <c r="A3" s="1630" t="s">
        <v>39</v>
      </c>
      <c r="B3" s="1629"/>
      <c r="C3" s="1629"/>
      <c r="D3" s="1629"/>
      <c r="E3" s="1629"/>
      <c r="F3" s="1629"/>
      <c r="G3" s="1629"/>
      <c r="H3" s="2"/>
      <c r="I3" s="2"/>
      <c r="J3" s="2"/>
      <c r="K3" s="2"/>
      <c r="L3" s="2"/>
      <c r="M3" s="2"/>
      <c r="N3" s="2"/>
      <c r="O3" s="2"/>
      <c r="P3" s="2"/>
      <c r="Q3" s="2"/>
      <c r="R3" s="2"/>
      <c r="S3" s="2"/>
      <c r="T3" s="2"/>
      <c r="U3" s="2"/>
    </row>
    <row r="4" spans="1:21" s="4" customFormat="1" ht="19.5" customHeight="1">
      <c r="A4" s="1631" t="s">
        <v>130</v>
      </c>
      <c r="B4" s="1632"/>
      <c r="C4" s="1632"/>
      <c r="D4" s="1632"/>
      <c r="E4" s="3"/>
      <c r="F4" s="3"/>
      <c r="G4" s="3"/>
      <c r="H4" s="3"/>
      <c r="I4" s="3"/>
      <c r="J4" s="3"/>
      <c r="K4" s="3"/>
      <c r="L4" s="3"/>
      <c r="M4" s="25"/>
      <c r="N4" s="26"/>
      <c r="O4" s="27"/>
      <c r="P4" s="25"/>
      <c r="Q4" s="25"/>
      <c r="R4" s="29"/>
      <c r="S4" s="30"/>
      <c r="U4" s="31"/>
    </row>
    <row r="5" spans="1:21" s="4" customFormat="1" ht="15.75" customHeight="1">
      <c r="A5" s="1633" t="s">
        <v>292</v>
      </c>
      <c r="B5" s="1481"/>
      <c r="C5" s="1481"/>
      <c r="D5" s="1481"/>
      <c r="F5" s="472"/>
      <c r="J5" s="472"/>
      <c r="K5" s="28"/>
      <c r="M5" s="25"/>
      <c r="N5" s="25"/>
      <c r="P5" s="25"/>
      <c r="Q5" s="25"/>
      <c r="R5" s="29"/>
      <c r="S5" s="30"/>
      <c r="U5" s="31"/>
    </row>
    <row r="6" spans="1:21" ht="10.5" customHeight="1"/>
    <row r="7" spans="1:21" ht="18.75">
      <c r="A7" s="1634" t="s">
        <v>570</v>
      </c>
      <c r="B7" s="1634"/>
      <c r="C7" s="1634"/>
      <c r="D7" s="1634"/>
      <c r="E7" s="1634"/>
      <c r="F7" s="1634"/>
      <c r="G7" s="1634"/>
    </row>
    <row r="8" spans="1:21" ht="12" customHeight="1">
      <c r="A8" s="13"/>
      <c r="B8" s="13"/>
      <c r="C8" s="13"/>
      <c r="D8" s="496"/>
      <c r="E8" s="13"/>
      <c r="F8" s="13"/>
      <c r="G8" s="13"/>
    </row>
    <row r="9" spans="1:21" ht="33.75" customHeight="1">
      <c r="A9" s="499" t="s">
        <v>3</v>
      </c>
      <c r="B9" s="499" t="s">
        <v>43</v>
      </c>
      <c r="C9" s="500" t="s">
        <v>218</v>
      </c>
      <c r="D9" s="501" t="s">
        <v>219</v>
      </c>
      <c r="E9" s="501" t="s">
        <v>220</v>
      </c>
      <c r="F9" s="502" t="s">
        <v>221</v>
      </c>
      <c r="G9" s="501" t="s">
        <v>222</v>
      </c>
    </row>
    <row r="10" spans="1:21" ht="30.75" customHeight="1">
      <c r="A10" s="340">
        <v>1</v>
      </c>
      <c r="B10" s="476"/>
      <c r="C10" s="1114" t="s">
        <v>565</v>
      </c>
      <c r="D10" s="425">
        <f>+'LƯƠNG BV9THUC gộp pc ng viết'!G16</f>
        <v>45</v>
      </c>
      <c r="E10" s="341">
        <v>25000</v>
      </c>
      <c r="F10" s="341">
        <f>D10*E10</f>
        <v>1125000</v>
      </c>
      <c r="G10" s="477"/>
    </row>
    <row r="11" spans="1:21" ht="30.75" customHeight="1">
      <c r="A11" s="340">
        <v>2</v>
      </c>
      <c r="B11" s="476"/>
      <c r="C11" s="1114" t="s">
        <v>566</v>
      </c>
      <c r="D11" s="425">
        <f>+'LƯƠNG BV9THUC gộp pc ng viết'!G17</f>
        <v>45</v>
      </c>
      <c r="E11" s="341">
        <v>25000</v>
      </c>
      <c r="F11" s="341">
        <f t="shared" ref="F11:F24" si="0">D11*E11</f>
        <v>1125000</v>
      </c>
      <c r="G11" s="477"/>
    </row>
    <row r="12" spans="1:21" ht="30.75" customHeight="1">
      <c r="A12" s="340">
        <v>3</v>
      </c>
      <c r="B12" s="476"/>
      <c r="C12" s="1114" t="s">
        <v>567</v>
      </c>
      <c r="D12" s="425">
        <f>+'LƯƠNG BV9THUC gộp pc ng viết'!G18</f>
        <v>45</v>
      </c>
      <c r="E12" s="341">
        <v>25000</v>
      </c>
      <c r="F12" s="341">
        <f t="shared" si="0"/>
        <v>1125000</v>
      </c>
      <c r="G12" s="477"/>
    </row>
    <row r="13" spans="1:21" ht="30.75" customHeight="1">
      <c r="A13" s="340">
        <v>4</v>
      </c>
      <c r="B13" s="476"/>
      <c r="C13" s="1115" t="s">
        <v>512</v>
      </c>
      <c r="D13" s="425">
        <f>+'LƯƠNG BV9THUC gộp pc ng viết'!G19</f>
        <v>45.4</v>
      </c>
      <c r="E13" s="341">
        <v>25000</v>
      </c>
      <c r="F13" s="341">
        <f t="shared" si="0"/>
        <v>1135000</v>
      </c>
      <c r="G13" s="477"/>
    </row>
    <row r="14" spans="1:21" ht="30.75" hidden="1" customHeight="1">
      <c r="A14" s="340">
        <v>24</v>
      </c>
      <c r="B14" s="476"/>
      <c r="C14" s="497" t="s">
        <v>50</v>
      </c>
      <c r="D14" s="425">
        <f>+'LƯƠNG BV9THUC gộp pc ng viết'!G20</f>
        <v>62</v>
      </c>
      <c r="E14" s="341">
        <v>25000</v>
      </c>
      <c r="F14" s="341">
        <f t="shared" si="0"/>
        <v>1550000</v>
      </c>
      <c r="G14" s="477"/>
    </row>
    <row r="15" spans="1:21" ht="30.75" hidden="1" customHeight="1">
      <c r="A15" s="340">
        <v>25</v>
      </c>
      <c r="B15" s="476"/>
      <c r="C15" s="497" t="s">
        <v>8</v>
      </c>
      <c r="D15" s="425">
        <f>+'LƯƠNG BV9THUC gộp pc ng viết'!G21</f>
        <v>31</v>
      </c>
      <c r="E15" s="341">
        <v>25000</v>
      </c>
      <c r="F15" s="341">
        <f t="shared" si="0"/>
        <v>775000</v>
      </c>
      <c r="G15" s="477"/>
    </row>
    <row r="16" spans="1:21" ht="30.75" hidden="1" customHeight="1">
      <c r="A16" s="340">
        <v>26</v>
      </c>
      <c r="B16" s="476"/>
      <c r="C16" s="497" t="s">
        <v>9</v>
      </c>
      <c r="D16" s="425">
        <f>+'LƯƠNG BV9THUC gộp pc ng viết'!G22</f>
        <v>31</v>
      </c>
      <c r="E16" s="341">
        <v>25000</v>
      </c>
      <c r="F16" s="341">
        <f t="shared" si="0"/>
        <v>775000</v>
      </c>
      <c r="G16" s="477"/>
    </row>
    <row r="17" spans="1:95" ht="30.75" hidden="1" customHeight="1">
      <c r="A17" s="340">
        <v>27</v>
      </c>
      <c r="B17" s="476"/>
      <c r="C17" s="497" t="s">
        <v>31</v>
      </c>
      <c r="D17" s="425">
        <f>+'LƯƠNG BV9THUC gộp pc ng viết'!G23</f>
        <v>0</v>
      </c>
      <c r="E17" s="341">
        <v>25000</v>
      </c>
      <c r="F17" s="341">
        <f t="shared" si="0"/>
        <v>0</v>
      </c>
      <c r="G17" s="477"/>
    </row>
    <row r="18" spans="1:95" ht="30.75" hidden="1" customHeight="1">
      <c r="A18" s="340">
        <v>28</v>
      </c>
      <c r="B18" s="476"/>
      <c r="C18" s="497" t="s">
        <v>385</v>
      </c>
      <c r="D18" s="425">
        <f>+'LƯƠNG BV9THUC gộp pc ng viết'!G24</f>
        <v>0</v>
      </c>
      <c r="E18" s="341">
        <v>25000</v>
      </c>
      <c r="F18" s="341">
        <f t="shared" si="0"/>
        <v>0</v>
      </c>
      <c r="G18" s="477"/>
    </row>
    <row r="19" spans="1:95" ht="30.75" hidden="1" customHeight="1">
      <c r="A19" s="340">
        <v>29</v>
      </c>
      <c r="B19" s="476"/>
      <c r="C19" s="497" t="s">
        <v>386</v>
      </c>
      <c r="D19" s="425">
        <f>+'LƯƠNG BV9THUC gộp pc ng viết'!G25</f>
        <v>0</v>
      </c>
      <c r="E19" s="341">
        <v>25000</v>
      </c>
      <c r="F19" s="341">
        <f t="shared" si="0"/>
        <v>0</v>
      </c>
      <c r="G19" s="477"/>
    </row>
    <row r="20" spans="1:95" ht="30.75" hidden="1" customHeight="1">
      <c r="A20" s="340">
        <v>30</v>
      </c>
      <c r="B20" s="476"/>
      <c r="C20" s="497" t="s">
        <v>387</v>
      </c>
      <c r="D20" s="425" t="str">
        <f>+'LƯƠNG BV9THUC gộp pc ng viết'!G26</f>
        <v xml:space="preserve">        P. TC - KT</v>
      </c>
      <c r="E20" s="341">
        <v>25000</v>
      </c>
      <c r="F20" s="341" t="e">
        <f t="shared" si="0"/>
        <v>#VALUE!</v>
      </c>
      <c r="G20" s="477"/>
    </row>
    <row r="21" spans="1:95" ht="30.75" hidden="1" customHeight="1">
      <c r="A21" s="340">
        <v>31</v>
      </c>
      <c r="B21" s="476"/>
      <c r="C21" s="497" t="s">
        <v>388</v>
      </c>
      <c r="D21" s="425">
        <f>+'LƯƠNG BV9THUC gộp pc ng viết'!G27</f>
        <v>0</v>
      </c>
      <c r="E21" s="341">
        <v>25000</v>
      </c>
      <c r="F21" s="341">
        <f t="shared" si="0"/>
        <v>0</v>
      </c>
      <c r="G21" s="477"/>
    </row>
    <row r="22" spans="1:95" ht="30.75" hidden="1" customHeight="1">
      <c r="A22" s="340">
        <v>32</v>
      </c>
      <c r="B22" s="476"/>
      <c r="C22" s="497" t="s">
        <v>389</v>
      </c>
      <c r="D22" s="425">
        <f>+'LƯƠNG BV9THUC gộp pc ng viết'!G28</f>
        <v>0</v>
      </c>
      <c r="E22" s="341">
        <v>25000</v>
      </c>
      <c r="F22" s="341">
        <f t="shared" si="0"/>
        <v>0</v>
      </c>
      <c r="G22" s="477"/>
    </row>
    <row r="23" spans="1:95" ht="30.75" hidden="1" customHeight="1">
      <c r="A23" s="340">
        <v>33</v>
      </c>
      <c r="B23" s="476"/>
      <c r="C23" s="497" t="s">
        <v>390</v>
      </c>
      <c r="D23" s="425">
        <f>+'LƯƠNG BV9THUC gộp pc ng viết'!G29</f>
        <v>0</v>
      </c>
      <c r="E23" s="341">
        <v>25000</v>
      </c>
      <c r="F23" s="341">
        <f t="shared" si="0"/>
        <v>0</v>
      </c>
      <c r="G23" s="477"/>
    </row>
    <row r="24" spans="1:95" ht="30.75" hidden="1" customHeight="1">
      <c r="A24" s="340">
        <v>34</v>
      </c>
      <c r="B24" s="476"/>
      <c r="C24" s="497" t="s">
        <v>391</v>
      </c>
      <c r="D24" s="425">
        <f>+'LƯƠNG BV9THUC gộp pc ng viết'!G30</f>
        <v>0</v>
      </c>
      <c r="E24" s="341">
        <v>25000</v>
      </c>
      <c r="F24" s="341">
        <f t="shared" si="0"/>
        <v>0</v>
      </c>
      <c r="G24" s="477"/>
    </row>
    <row r="25" spans="1:95" s="7" customFormat="1" ht="30.75" customHeight="1">
      <c r="A25" s="1635" t="s">
        <v>11</v>
      </c>
      <c r="B25" s="1635"/>
      <c r="C25" s="1635"/>
      <c r="D25" s="480">
        <f>SUM(D10:D13)</f>
        <v>180.4</v>
      </c>
      <c r="E25" s="14"/>
      <c r="F25" s="342">
        <f>SUM(F10:F13)</f>
        <v>4510000</v>
      </c>
      <c r="G25" s="15"/>
      <c r="H25" s="534"/>
      <c r="I25" s="481"/>
      <c r="J25" s="204">
        <f>+H25*25000</f>
        <v>0</v>
      </c>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10"/>
      <c r="BK25" s="10"/>
      <c r="BL25" s="10"/>
      <c r="BM25" s="10"/>
      <c r="BN25" s="10"/>
      <c r="BO25" s="10"/>
      <c r="BP25" s="10"/>
      <c r="BQ25" s="10"/>
      <c r="BR25" s="10"/>
      <c r="BS25" s="10"/>
      <c r="BT25" s="10"/>
      <c r="BU25" s="10"/>
      <c r="BV25" s="10"/>
      <c r="BW25" s="10"/>
      <c r="BX25" s="10"/>
      <c r="BY25" s="10"/>
      <c r="BZ25" s="10"/>
      <c r="CA25" s="10"/>
      <c r="CB25" s="10"/>
      <c r="CC25" s="10"/>
      <c r="CD25" s="10"/>
      <c r="CE25" s="10"/>
      <c r="CF25" s="10"/>
      <c r="CG25" s="10"/>
      <c r="CH25" s="10"/>
      <c r="CI25" s="10"/>
      <c r="CJ25" s="10"/>
      <c r="CK25" s="10"/>
      <c r="CL25" s="10"/>
      <c r="CM25" s="10"/>
      <c r="CN25" s="10"/>
      <c r="CO25" s="10"/>
      <c r="CP25" s="10"/>
      <c r="CQ25" s="10"/>
    </row>
    <row r="26" spans="1:95" s="7" customFormat="1" ht="30.75" customHeight="1">
      <c r="A26" s="1636" t="s">
        <v>571</v>
      </c>
      <c r="B26" s="1636"/>
      <c r="C26" s="1636"/>
      <c r="D26" s="1636"/>
      <c r="E26" s="1636"/>
      <c r="F26" s="1636"/>
      <c r="G26" s="1636"/>
      <c r="H26" s="10"/>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c r="BU26" s="10"/>
      <c r="BV26" s="10"/>
      <c r="BW26" s="10"/>
      <c r="BX26" s="10"/>
      <c r="BY26" s="10"/>
      <c r="BZ26" s="10"/>
      <c r="CA26" s="10"/>
      <c r="CB26" s="10"/>
      <c r="CC26" s="10"/>
      <c r="CD26" s="10"/>
      <c r="CE26" s="10"/>
      <c r="CF26" s="10"/>
      <c r="CG26" s="10"/>
      <c r="CH26" s="10"/>
      <c r="CI26" s="10"/>
      <c r="CJ26" s="10"/>
      <c r="CK26" s="10"/>
      <c r="CL26" s="10"/>
      <c r="CM26" s="10"/>
      <c r="CN26" s="10"/>
      <c r="CO26" s="10"/>
      <c r="CP26" s="10"/>
      <c r="CQ26" s="10"/>
    </row>
    <row r="27" spans="1:95" s="7" customFormat="1">
      <c r="F27" s="1643" t="s">
        <v>564</v>
      </c>
      <c r="G27" s="1643"/>
    </row>
    <row r="28" spans="1:95" s="1058" customFormat="1" ht="18.75" customHeight="1">
      <c r="A28" s="1644" t="s">
        <v>35</v>
      </c>
      <c r="B28" s="1645"/>
      <c r="C28" s="1057" t="s">
        <v>518</v>
      </c>
      <c r="D28" s="1057" t="s">
        <v>515</v>
      </c>
      <c r="E28" s="1057" t="s">
        <v>437</v>
      </c>
      <c r="F28" s="1056" t="s">
        <v>108</v>
      </c>
      <c r="G28" s="1056" t="s">
        <v>33</v>
      </c>
    </row>
    <row r="29" spans="1:95" ht="21" customHeight="1">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row>
    <row r="30" spans="1:95" ht="21" customHeight="1">
      <c r="A30" s="594"/>
      <c r="B30" s="594"/>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row>
    <row r="31" spans="1:95" ht="21" customHeight="1">
      <c r="A31" s="594"/>
      <c r="B31" s="594"/>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row>
    <row r="32" spans="1:95" ht="21" customHeight="1">
      <c r="A32" s="594"/>
      <c r="B32" s="594"/>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row>
    <row r="33" spans="1:95" s="8" customFormat="1" ht="15.75" customHeight="1">
      <c r="A33" s="16"/>
      <c r="B33" s="16"/>
      <c r="C33" s="16"/>
      <c r="D33" s="104"/>
    </row>
    <row r="34" spans="1:95" s="1052" customFormat="1" ht="22.5" customHeight="1">
      <c r="D34" s="1053" t="s">
        <v>524</v>
      </c>
      <c r="E34" s="1054" t="s">
        <v>110</v>
      </c>
      <c r="F34" s="1055" t="s">
        <v>540</v>
      </c>
      <c r="G34" s="1053" t="s">
        <v>314</v>
      </c>
    </row>
    <row r="35" spans="1:95" s="8" customFormat="1" ht="15">
      <c r="A35" s="17"/>
      <c r="B35" s="17"/>
      <c r="D35" s="18"/>
      <c r="E35" s="18"/>
    </row>
    <row r="36" spans="1:95" s="8" customFormat="1" ht="15">
      <c r="A36" s="474"/>
      <c r="B36" s="474"/>
      <c r="C36" s="1558"/>
      <c r="D36" s="1558"/>
      <c r="E36" s="18"/>
      <c r="G36" s="474"/>
    </row>
    <row r="37" spans="1:95" s="8" customFormat="1" ht="15">
      <c r="A37" s="17"/>
      <c r="B37" s="17"/>
      <c r="D37" s="475"/>
      <c r="E37" s="475"/>
    </row>
    <row r="38" spans="1:95" s="8" customFormat="1" ht="15">
      <c r="A38" s="21"/>
      <c r="B38" s="21"/>
      <c r="D38" s="22"/>
      <c r="E38" s="22"/>
    </row>
    <row r="39" spans="1:95" s="8" customFormat="1" ht="15">
      <c r="C39" s="23"/>
      <c r="E39" s="21"/>
    </row>
    <row r="40" spans="1:95">
      <c r="A40" s="7"/>
      <c r="B40" s="7"/>
      <c r="C40" s="7"/>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row>
    <row r="41" spans="1:95" s="7" customFormat="1">
      <c r="A41" s="24"/>
      <c r="B41" s="24"/>
      <c r="C41" s="24"/>
      <c r="D41" s="24"/>
      <c r="E41" s="24"/>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row>
    <row r="42" spans="1:95">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row>
    <row r="43" spans="1:95">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row>
    <row r="44" spans="1:95">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row>
    <row r="45" spans="1:95">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row>
    <row r="46" spans="1:95">
      <c r="H46" s="8"/>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row>
    <row r="47" spans="1:95">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row>
    <row r="48" spans="1:95">
      <c r="H48" s="8"/>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row>
    <row r="49" spans="8:95">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row>
    <row r="50" spans="8:95">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row>
    <row r="51" spans="8:95">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row>
    <row r="52" spans="8:95">
      <c r="H52" s="8"/>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row>
    <row r="53" spans="8:95">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row>
    <row r="54" spans="8:95">
      <c r="H54" s="8"/>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row>
    <row r="55" spans="8:95">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row>
    <row r="56" spans="8:95">
      <c r="H56" s="8"/>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row>
    <row r="57" spans="8:95">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row>
    <row r="58" spans="8:95">
      <c r="H58" s="8"/>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row>
    <row r="59" spans="8:95">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row>
    <row r="60" spans="8:95">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row>
    <row r="61" spans="8:95">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row>
    <row r="62" spans="8:95">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row>
    <row r="63" spans="8:95">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row>
  </sheetData>
  <mergeCells count="11">
    <mergeCell ref="A25:C25"/>
    <mergeCell ref="A26:G26"/>
    <mergeCell ref="F27:G27"/>
    <mergeCell ref="A28:B28"/>
    <mergeCell ref="C36:D36"/>
    <mergeCell ref="A7:G7"/>
    <mergeCell ref="A1:G1"/>
    <mergeCell ref="A2:G2"/>
    <mergeCell ref="A3:G3"/>
    <mergeCell ref="A4:D4"/>
    <mergeCell ref="A5:D5"/>
  </mergeCells>
  <pageMargins left="0.2" right="0.2" top="0.51" bottom="0.2" header="0.2" footer="0.2"/>
  <pageSetup scale="83" fitToHeight="0" orientation="landscape"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38</vt:i4>
      </vt:variant>
    </vt:vector>
  </HeadingPairs>
  <TitlesOfParts>
    <vt:vector size="60" baseType="lpstr">
      <vt:lpstr>bcsx  t10 + cdc IN KÝ</vt:lpstr>
      <vt:lpstr>Thanh toán mủ dây</vt:lpstr>
      <vt:lpstr>Biểu 2 TH MỦ dây</vt:lpstr>
      <vt:lpstr>SẢN LƯỢNG  SERUM THÁNG 12</vt:lpstr>
      <vt:lpstr>Phu cấp cây non</vt:lpstr>
      <vt:lpstr>Biểu 1 TH CÔNG</vt:lpstr>
      <vt:lpstr>Biểu 2 TH MỦ TẠP</vt:lpstr>
      <vt:lpstr>LƯƠNG KT</vt:lpstr>
      <vt:lpstr>PLcon</vt:lpstr>
      <vt:lpstr>CÁCH TÍNH LƯƠNG</vt:lpstr>
      <vt:lpstr>BCC BẢO VỆ</vt:lpstr>
      <vt:lpstr>LƯƠNG BV9THUC gộp pc ng viết</vt:lpstr>
      <vt:lpstr>LƯƠNG CNTT new</vt:lpstr>
      <vt:lpstr>BẢNG PHÂN TOÁN </vt:lpstr>
      <vt:lpstr>THUÊ TNCN</vt:lpstr>
      <vt:lpstr>CV KHÁC</vt:lpstr>
      <vt:lpstr>THANH TOÁN CV KHÁC</vt:lpstr>
      <vt:lpstr>chấm công  nv đội 6</vt:lpstr>
      <vt:lpstr>LƯƠNG BV9THUC</vt:lpstr>
      <vt:lpstr>Phụ cấp người việt</vt:lpstr>
      <vt:lpstr>KTCB</vt:lpstr>
      <vt:lpstr>KEO LAI</vt:lpstr>
      <vt:lpstr>'BẢNG PHÂN TOÁN '!Print_Area</vt:lpstr>
      <vt:lpstr>'BCC BẢO VỆ'!Print_Area</vt:lpstr>
      <vt:lpstr>'bcsx  t10 + cdc IN KÝ'!Print_Area</vt:lpstr>
      <vt:lpstr>'Biểu 1 TH CÔNG'!Print_Area</vt:lpstr>
      <vt:lpstr>'Biểu 2 TH MỦ dây'!Print_Area</vt:lpstr>
      <vt:lpstr>'Biểu 2 TH MỦ TẠP'!Print_Area</vt:lpstr>
      <vt:lpstr>'CÁCH TÍNH LƯƠNG'!Print_Area</vt:lpstr>
      <vt:lpstr>'CV KHÁC'!Print_Area</vt:lpstr>
      <vt:lpstr>'chấm công  nv đội 6'!Print_Area</vt:lpstr>
      <vt:lpstr>'KEO LAI'!Print_Area</vt:lpstr>
      <vt:lpstr>KTCB!Print_Area</vt:lpstr>
      <vt:lpstr>'LƯƠNG BV9THUC'!Print_Area</vt:lpstr>
      <vt:lpstr>'LƯƠNG BV9THUC gộp pc ng viết'!Print_Area</vt:lpstr>
      <vt:lpstr>'LƯƠNG CNTT new'!Print_Area</vt:lpstr>
      <vt:lpstr>'LƯƠNG KT'!Print_Area</vt:lpstr>
      <vt:lpstr>PLcon!Print_Area</vt:lpstr>
      <vt:lpstr>'Phu cấp cây non'!Print_Area</vt:lpstr>
      <vt:lpstr>'Phụ cấp người việt'!Print_Area</vt:lpstr>
      <vt:lpstr>'SẢN LƯỢNG  SERUM THÁNG 12'!Print_Area</vt:lpstr>
      <vt:lpstr>'THANH TOÁN CV KHÁC'!Print_Area</vt:lpstr>
      <vt:lpstr>'Thanh toán mủ dây'!Print_Area</vt:lpstr>
      <vt:lpstr>'BẢNG PHÂN TOÁN '!Print_Titles</vt:lpstr>
      <vt:lpstr>'bcsx  t10 + cdc IN KÝ'!Print_Titles</vt:lpstr>
      <vt:lpstr>'Biểu 1 TH CÔNG'!Print_Titles</vt:lpstr>
      <vt:lpstr>'Biểu 2 TH MỦ dây'!Print_Titles</vt:lpstr>
      <vt:lpstr>'Biểu 2 TH MỦ TẠP'!Print_Titles</vt:lpstr>
      <vt:lpstr>'CÁCH TÍNH LƯƠNG'!Print_Titles</vt:lpstr>
      <vt:lpstr>'CV KHÁC'!Print_Titles</vt:lpstr>
      <vt:lpstr>'chấm công  nv đội 6'!Print_Titles</vt:lpstr>
      <vt:lpstr>'KEO LAI'!Print_Titles</vt:lpstr>
      <vt:lpstr>KTCB!Print_Titles</vt:lpstr>
      <vt:lpstr>'LƯƠNG BV9THUC'!Print_Titles</vt:lpstr>
      <vt:lpstr>'LƯƠNG BV9THUC gộp pc ng viết'!Print_Titles</vt:lpstr>
      <vt:lpstr>'LƯƠNG CNTT new'!Print_Titles</vt:lpstr>
      <vt:lpstr>'LƯƠNG KT'!Print_Titles</vt:lpstr>
      <vt:lpstr>'SẢN LƯỢNG  SERUM THÁNG 12'!Print_Titles</vt:lpstr>
      <vt:lpstr>'THANH TOÁN CV KHÁC'!Print_Titles</vt:lpstr>
      <vt:lpstr>'Thanh toán mủ dây'!Print_Titles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ldtlqsg</dc:creator>
  <cp:lastModifiedBy>pc</cp:lastModifiedBy>
  <cp:lastPrinted>2026-01-02T03:19:46Z</cp:lastPrinted>
  <dcterms:created xsi:type="dcterms:W3CDTF">2016-08-22T04:16:00Z</dcterms:created>
  <dcterms:modified xsi:type="dcterms:W3CDTF">2026-01-27T07:43:17Z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961F4183088D4E28B2841495CE95CFD3_12</vt:lpwstr>
  </property>
  <property fmtid="{D5CDD505-2E9C-101B-9397-08002B2CF9AE}" pid="3" name="KSOProductBuildVer">
    <vt:lpwstr>1033-12.2.0.21179</vt:lpwstr>
  </property>
</Properties>
</file>